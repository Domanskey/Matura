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queryTables/queryTable4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queryTables/queryTable5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domad\Desktop\informatyka_2019_maj_stara\"/>
    </mc:Choice>
  </mc:AlternateContent>
  <xr:revisionPtr revIDLastSave="0" documentId="13_ncr:1_{9184F71F-3FDE-4BFA-97C7-8C9172994ECF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Dane" sheetId="1" r:id="rId1"/>
    <sheet name="1" sheetId="2" r:id="rId2"/>
    <sheet name="2" sheetId="3" r:id="rId3"/>
    <sheet name="3" sheetId="4" r:id="rId4"/>
    <sheet name="4" sheetId="5" r:id="rId5"/>
    <sheet name="5" sheetId="6" r:id="rId6"/>
  </sheets>
  <definedNames>
    <definedName name="kursy" localSheetId="1">'1'!$A$1:$F$301</definedName>
    <definedName name="kursy" localSheetId="2">'2'!$A$1:$F$301</definedName>
    <definedName name="kursy" localSheetId="3">'3'!$A$1:$C$301</definedName>
    <definedName name="kursy" localSheetId="4">'4'!$A$1:$C$301</definedName>
    <definedName name="kursy" localSheetId="5">'5'!$A$1:$F$301</definedName>
    <definedName name="kursy" localSheetId="0">Dane!$A$1:$F$301</definedName>
  </definedNames>
  <calcPr calcId="191029"/>
  <pivotCaches>
    <pivotCache cacheId="5" r:id="rId7"/>
    <pivotCache cacheId="9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6" l="1"/>
  <c r="G5" i="6"/>
  <c r="G6" i="6"/>
  <c r="G7" i="6" s="1"/>
  <c r="G8" i="6" s="1"/>
  <c r="G9" i="6" s="1"/>
  <c r="G10" i="6"/>
  <c r="G11" i="6"/>
  <c r="G12" i="6"/>
  <c r="G13" i="6"/>
  <c r="G14" i="6"/>
  <c r="G15" i="6"/>
  <c r="G16" i="6"/>
  <c r="G17" i="6"/>
  <c r="G18" i="6" s="1"/>
  <c r="G19" i="6" s="1"/>
  <c r="G20" i="6" s="1"/>
  <c r="G21" i="6" s="1"/>
  <c r="G22" i="6" s="1"/>
  <c r="G23" i="6" s="1"/>
  <c r="G24" i="6"/>
  <c r="G25" i="6"/>
  <c r="G26" i="6"/>
  <c r="G27" i="6"/>
  <c r="G28" i="6" s="1"/>
  <c r="G29" i="6" s="1"/>
  <c r="G30" i="6" s="1"/>
  <c r="G31" i="6" s="1"/>
  <c r="G32" i="6"/>
  <c r="G33" i="6"/>
  <c r="G34" i="6" s="1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 s="1"/>
  <c r="G56" i="6" s="1"/>
  <c r="G57" i="6" s="1"/>
  <c r="G58" i="6"/>
  <c r="G59" i="6"/>
  <c r="G60" i="6"/>
  <c r="G61" i="6"/>
  <c r="G62" i="6"/>
  <c r="G63" i="6"/>
  <c r="G64" i="6"/>
  <c r="G65" i="6"/>
  <c r="G66" i="6" s="1"/>
  <c r="G67" i="6"/>
  <c r="G68" i="6"/>
  <c r="G69" i="6"/>
  <c r="G70" i="6" s="1"/>
  <c r="G71" i="6" s="1"/>
  <c r="G72" i="6" s="1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 s="1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 s="1"/>
  <c r="G118" i="6" s="1"/>
  <c r="G119" i="6" s="1"/>
  <c r="G120" i="6" s="1"/>
  <c r="G121" i="6"/>
  <c r="G122" i="6"/>
  <c r="G123" i="6"/>
  <c r="G124" i="6"/>
  <c r="G125" i="6"/>
  <c r="G126" i="6" s="1"/>
  <c r="G127" i="6"/>
  <c r="G128" i="6"/>
  <c r="G129" i="6"/>
  <c r="G130" i="6"/>
  <c r="G131" i="6"/>
  <c r="G132" i="6"/>
  <c r="G133" i="6"/>
  <c r="G134" i="6"/>
  <c r="G135" i="6"/>
  <c r="G136" i="6"/>
  <c r="G137" i="6"/>
  <c r="G138" i="6" s="1"/>
  <c r="G139" i="6" s="1"/>
  <c r="G140" i="6"/>
  <c r="G141" i="6"/>
  <c r="G142" i="6"/>
  <c r="G143" i="6"/>
  <c r="G144" i="6" s="1"/>
  <c r="G145" i="6"/>
  <c r="G146" i="6"/>
  <c r="G147" i="6"/>
  <c r="G148" i="6"/>
  <c r="G149" i="6"/>
  <c r="G150" i="6"/>
  <c r="G151" i="6"/>
  <c r="G152" i="6"/>
  <c r="G153" i="6" s="1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 s="1"/>
  <c r="G175" i="6"/>
  <c r="G176" i="6"/>
  <c r="G177" i="6" s="1"/>
  <c r="G178" i="6" s="1"/>
  <c r="G179" i="6" s="1"/>
  <c r="G180" i="6"/>
  <c r="G181" i="6"/>
  <c r="G182" i="6"/>
  <c r="G183" i="6"/>
  <c r="G184" i="6"/>
  <c r="G185" i="6"/>
  <c r="G186" i="6"/>
  <c r="G187" i="6"/>
  <c r="G188" i="6"/>
  <c r="G189" i="6"/>
  <c r="G190" i="6" s="1"/>
  <c r="G191" i="6"/>
  <c r="G192" i="6"/>
  <c r="G193" i="6"/>
  <c r="G194" i="6"/>
  <c r="G195" i="6"/>
  <c r="G196" i="6"/>
  <c r="G197" i="6"/>
  <c r="G198" i="6" s="1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 s="1"/>
  <c r="G215" i="6"/>
  <c r="G216" i="6"/>
  <c r="G217" i="6"/>
  <c r="G218" i="6"/>
  <c r="G219" i="6"/>
  <c r="G220" i="6"/>
  <c r="G221" i="6"/>
  <c r="G222" i="6"/>
  <c r="G223" i="6"/>
  <c r="G224" i="6"/>
  <c r="G225" i="6" s="1"/>
  <c r="G226" i="6" s="1"/>
  <c r="G227" i="6" s="1"/>
  <c r="G228" i="6" s="1"/>
  <c r="G229" i="6"/>
  <c r="G230" i="6"/>
  <c r="G231" i="6"/>
  <c r="G232" i="6"/>
  <c r="G233" i="6"/>
  <c r="G234" i="6"/>
  <c r="G235" i="6" s="1"/>
  <c r="G236" i="6" s="1"/>
  <c r="G237" i="6" s="1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 s="1"/>
  <c r="G260" i="6" s="1"/>
  <c r="G261" i="6"/>
  <c r="G262" i="6"/>
  <c r="G263" i="6"/>
  <c r="G264" i="6" s="1"/>
  <c r="G265" i="6" s="1"/>
  <c r="G266" i="6" s="1"/>
  <c r="G267" i="6"/>
  <c r="G268" i="6"/>
  <c r="G269" i="6"/>
  <c r="G270" i="6"/>
  <c r="G271" i="6"/>
  <c r="G272" i="6"/>
  <c r="G273" i="6" s="1"/>
  <c r="G274" i="6"/>
  <c r="G275" i="6"/>
  <c r="G276" i="6"/>
  <c r="G277" i="6"/>
  <c r="G278" i="6"/>
  <c r="G279" i="6"/>
  <c r="G280" i="6"/>
  <c r="G281" i="6"/>
  <c r="G282" i="6"/>
  <c r="G283" i="6"/>
  <c r="G284" i="6" s="1"/>
  <c r="G285" i="6" s="1"/>
  <c r="G286" i="6" s="1"/>
  <c r="G287" i="6" s="1"/>
  <c r="G288" i="6" s="1"/>
  <c r="G289" i="6" s="1"/>
  <c r="G290" i="6" s="1"/>
  <c r="G291" i="6" s="1"/>
  <c r="G292" i="6" s="1"/>
  <c r="G293" i="6"/>
  <c r="G294" i="6"/>
  <c r="G295" i="6"/>
  <c r="G296" i="6"/>
  <c r="G297" i="6" s="1"/>
  <c r="G298" i="6" s="1"/>
  <c r="G299" i="6" s="1"/>
  <c r="G300" i="6"/>
  <c r="G301" i="6"/>
  <c r="G3" i="6"/>
  <c r="G2" i="6"/>
  <c r="BZ6" i="4"/>
  <c r="J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2" i="3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2" i="2"/>
  <c r="K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2" i="2"/>
  <c r="L2" i="6" l="1"/>
  <c r="H14" i="6" l="1"/>
  <c r="H38" i="6"/>
  <c r="H50" i="6"/>
  <c r="H86" i="6"/>
  <c r="H98" i="6"/>
  <c r="H110" i="6"/>
  <c r="H122" i="6"/>
  <c r="H146" i="6"/>
  <c r="H158" i="6"/>
  <c r="H170" i="6"/>
  <c r="H206" i="6"/>
  <c r="H218" i="6"/>
  <c r="H230" i="6"/>
  <c r="H2" i="6"/>
  <c r="H15" i="6"/>
  <c r="H39" i="6"/>
  <c r="H51" i="6"/>
  <c r="H63" i="6"/>
  <c r="H87" i="6"/>
  <c r="H99" i="6"/>
  <c r="H111" i="6"/>
  <c r="H123" i="6"/>
  <c r="H147" i="6"/>
  <c r="H171" i="6"/>
  <c r="H183" i="6"/>
  <c r="H219" i="6"/>
  <c r="H267" i="6"/>
  <c r="H279" i="6"/>
  <c r="H41" i="6"/>
  <c r="H65" i="6"/>
  <c r="H101" i="6"/>
  <c r="H113" i="6"/>
  <c r="H125" i="6"/>
  <c r="H149" i="6"/>
  <c r="H161" i="6"/>
  <c r="H185" i="6"/>
  <c r="H209" i="6"/>
  <c r="H221" i="6"/>
  <c r="H233" i="6"/>
  <c r="H245" i="6"/>
  <c r="H269" i="6"/>
  <c r="H281" i="6"/>
  <c r="H293" i="6"/>
  <c r="H10" i="6"/>
  <c r="H46" i="6"/>
  <c r="H82" i="6"/>
  <c r="H94" i="6"/>
  <c r="H130" i="6"/>
  <c r="H142" i="6"/>
  <c r="H190" i="6"/>
  <c r="H202" i="6"/>
  <c r="H238" i="6"/>
  <c r="H250" i="6"/>
  <c r="H13" i="6"/>
  <c r="H49" i="6"/>
  <c r="H73" i="6"/>
  <c r="H97" i="6"/>
  <c r="H121" i="6"/>
  <c r="H145" i="6"/>
  <c r="H169" i="6"/>
  <c r="H217" i="6"/>
  <c r="H241" i="6"/>
  <c r="H265" i="6"/>
  <c r="H25" i="6"/>
  <c r="H37" i="6"/>
  <c r="H61" i="6"/>
  <c r="H85" i="6"/>
  <c r="H109" i="6"/>
  <c r="H157" i="6"/>
  <c r="H181" i="6"/>
  <c r="H205" i="6"/>
  <c r="H253" i="6"/>
  <c r="H277" i="6"/>
  <c r="H301" i="6"/>
  <c r="H228" i="6"/>
  <c r="H224" i="6"/>
  <c r="H257" i="6"/>
  <c r="H140" i="6"/>
  <c r="H137" i="6"/>
  <c r="H156" i="6"/>
  <c r="H282" i="6"/>
  <c r="H249" i="6"/>
  <c r="H243" i="6"/>
  <c r="H114" i="6"/>
  <c r="H165" i="6"/>
  <c r="H112" i="6"/>
  <c r="H199" i="6"/>
  <c r="H132" i="6"/>
  <c r="H166" i="6"/>
  <c r="H56" i="6"/>
  <c r="H234" i="6"/>
  <c r="H124" i="6"/>
  <c r="H194" i="6"/>
  <c r="H107" i="6"/>
  <c r="H106" i="6"/>
  <c r="H136" i="6"/>
  <c r="H270" i="6"/>
  <c r="H216" i="6"/>
  <c r="H210" i="6"/>
  <c r="H68" i="6"/>
  <c r="H150" i="6"/>
  <c r="H96" i="6"/>
  <c r="H180" i="6"/>
  <c r="H36" i="6"/>
  <c r="H70" i="6"/>
  <c r="H20" i="6"/>
  <c r="H18" i="6"/>
  <c r="H100" i="6"/>
  <c r="H22" i="6"/>
  <c r="H6" i="6"/>
  <c r="H76" i="6"/>
  <c r="H95" i="6"/>
  <c r="H173" i="6"/>
  <c r="H176" i="6"/>
  <c r="H127" i="6"/>
  <c r="H126" i="6"/>
  <c r="H227" i="6"/>
  <c r="H59" i="6"/>
  <c r="H222" i="6"/>
  <c r="H203" i="6"/>
  <c r="H3" i="6"/>
  <c r="H151" i="6"/>
  <c r="H60" i="6"/>
  <c r="H271" i="6"/>
  <c r="H53" i="6"/>
  <c r="H261" i="6"/>
  <c r="H7" i="6"/>
  <c r="H207" i="6"/>
  <c r="H251" i="6"/>
  <c r="H152" i="6"/>
  <c r="H164" i="6"/>
  <c r="H284" i="6"/>
  <c r="H290" i="6"/>
  <c r="H300" i="6"/>
  <c r="H12" i="6"/>
  <c r="H212" i="6"/>
  <c r="H258" i="6"/>
  <c r="H198" i="6"/>
  <c r="H175" i="6"/>
  <c r="H191" i="6"/>
  <c r="H74" i="6"/>
  <c r="H16" i="6"/>
  <c r="H225" i="6"/>
  <c r="H116" i="6"/>
  <c r="H278" i="6"/>
  <c r="H105" i="6"/>
  <c r="H291" i="6"/>
  <c r="H240" i="6"/>
  <c r="H272" i="6"/>
  <c r="H102" i="6"/>
  <c r="H246" i="6"/>
  <c r="H33" i="6"/>
  <c r="H223" i="6"/>
  <c r="H69" i="6"/>
  <c r="H266" i="6"/>
  <c r="H19" i="6"/>
  <c r="H23" i="6"/>
  <c r="H178" i="6"/>
  <c r="H214" i="6"/>
  <c r="H288" i="6"/>
  <c r="H184" i="6"/>
  <c r="H274" i="6"/>
  <c r="H54" i="6"/>
  <c r="H262" i="6"/>
  <c r="H26" i="6"/>
  <c r="H144" i="6"/>
  <c r="H182" i="6"/>
  <c r="H226" i="6"/>
  <c r="H81" i="6"/>
  <c r="H159" i="6"/>
  <c r="H160" i="6"/>
  <c r="H91" i="6"/>
  <c r="H90" i="6"/>
  <c r="H237" i="6"/>
  <c r="H204" i="6"/>
  <c r="H280" i="6"/>
  <c r="H52" i="6"/>
  <c r="H84" i="6"/>
  <c r="H83" i="6"/>
  <c r="H162" i="6"/>
  <c r="H289" i="6"/>
  <c r="H8" i="6"/>
  <c r="H177" i="6"/>
  <c r="H273" i="6"/>
  <c r="H115" i="6"/>
  <c r="H260" i="6"/>
  <c r="H163" i="6"/>
  <c r="H93" i="6"/>
  <c r="H103" i="6"/>
  <c r="H247" i="6"/>
  <c r="H143" i="6"/>
  <c r="H255" i="6"/>
  <c r="H252" i="6"/>
  <c r="H88" i="6"/>
  <c r="H231" i="6"/>
  <c r="H133" i="6"/>
  <c r="H196" i="6"/>
  <c r="H295" i="6"/>
  <c r="H72" i="6"/>
  <c r="H200" i="6"/>
  <c r="H286" i="6"/>
  <c r="H75" i="6"/>
  <c r="H229" i="6"/>
  <c r="H256" i="6"/>
  <c r="H11" i="6"/>
  <c r="H192" i="6"/>
  <c r="H148" i="6"/>
  <c r="H141" i="6"/>
  <c r="H80" i="6"/>
  <c r="H78" i="6"/>
  <c r="H77" i="6"/>
  <c r="H118" i="6"/>
  <c r="H186" i="6"/>
  <c r="H168" i="6"/>
  <c r="H268" i="6"/>
  <c r="H276" i="6"/>
  <c r="H67" i="6"/>
  <c r="H66" i="6"/>
  <c r="H128" i="6"/>
  <c r="H193" i="6"/>
  <c r="H285" i="6"/>
  <c r="H283" i="6"/>
  <c r="H197" i="6"/>
  <c r="H64" i="6"/>
  <c r="H297" i="6"/>
  <c r="H108" i="6"/>
  <c r="H24" i="6"/>
  <c r="H58" i="6"/>
  <c r="H57" i="6"/>
  <c r="H104" i="6"/>
  <c r="H155" i="6"/>
  <c r="H154" i="6"/>
  <c r="H248" i="6"/>
  <c r="H211" i="6"/>
  <c r="H35" i="6"/>
  <c r="H34" i="6"/>
  <c r="H287" i="6"/>
  <c r="H259" i="6"/>
  <c r="H79" i="6"/>
  <c r="H55" i="6"/>
  <c r="H215" i="6"/>
  <c r="H32" i="6"/>
  <c r="H42" i="6"/>
  <c r="H275" i="6"/>
  <c r="H220" i="6"/>
  <c r="H45" i="6"/>
  <c r="H292" i="6"/>
  <c r="H167" i="6"/>
  <c r="H213" i="6"/>
  <c r="H71" i="6"/>
  <c r="H195" i="6"/>
  <c r="H239" i="6"/>
  <c r="H189" i="6"/>
  <c r="H47" i="6"/>
  <c r="H201" i="6"/>
  <c r="H264" i="6"/>
  <c r="H174" i="6"/>
  <c r="H187" i="6"/>
  <c r="H131" i="6"/>
  <c r="H129" i="6"/>
  <c r="H236" i="6"/>
  <c r="H242" i="6"/>
  <c r="H92" i="6"/>
  <c r="H294" i="6"/>
  <c r="H44" i="6"/>
  <c r="H43" i="6"/>
  <c r="H89" i="6"/>
  <c r="H135" i="6"/>
  <c r="H134" i="6"/>
  <c r="H232" i="6"/>
  <c r="H62" i="6"/>
  <c r="H9" i="6"/>
  <c r="H5" i="6"/>
  <c r="H48" i="6"/>
  <c r="H263" i="6"/>
  <c r="H117" i="6"/>
  <c r="H235" i="6"/>
  <c r="H17" i="6"/>
  <c r="H21" i="6"/>
  <c r="H208" i="6"/>
  <c r="H296" i="6"/>
  <c r="H40" i="6"/>
  <c r="H172" i="6"/>
  <c r="H188" i="6"/>
  <c r="H254" i="6"/>
  <c r="H244" i="6"/>
  <c r="H179" i="6"/>
  <c r="H298" i="6"/>
  <c r="H138" i="6"/>
  <c r="H153" i="6"/>
  <c r="H27" i="6"/>
  <c r="H4" i="6"/>
  <c r="H119" i="6"/>
  <c r="H299" i="6"/>
  <c r="H139" i="6"/>
  <c r="H120" i="6"/>
  <c r="H28" i="6"/>
  <c r="H29" i="6"/>
  <c r="H30" i="6"/>
  <c r="H31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1DBDF5-B92C-4914-A311-B5D4E0C1DF3C}" name="kursy" type="6" refreshedVersion="8" background="1" saveData="1">
    <textPr codePage="1250" sourceFile="C:\Users\domad\Desktop\Dane_PR2\kursy.txt" decimal="," thousands=" " tab="0" semicolon="1">
      <textFields count="6">
        <textField type="DMY"/>
        <textField/>
        <textField/>
        <textField/>
        <textField/>
        <textField/>
      </textFields>
    </textPr>
  </connection>
  <connection id="2" xr16:uid="{BC9B445B-A3FF-450A-9120-63B081FF886E}" name="kursy1" type="6" refreshedVersion="8" background="1" saveData="1">
    <textPr codePage="1250" sourceFile="C:\Users\domad\Desktop\Dane_PR2\kursy.txt" decimal="," thousands=" " tab="0" semicolon="1">
      <textFields count="6">
        <textField type="DMY"/>
        <textField/>
        <textField/>
        <textField/>
        <textField/>
        <textField/>
      </textFields>
    </textPr>
  </connection>
  <connection id="3" xr16:uid="{F6F0D12C-7ECB-4398-8657-DA0D495C345B}" name="kursy2" type="6" refreshedVersion="8" background="1" saveData="1">
    <textPr codePage="1250" sourceFile="C:\Users\domad\Desktop\Dane_PR2\kursy.txt" decimal="," thousands=" " tab="0" semicolon="1">
      <textFields count="6">
        <textField type="DMY"/>
        <textField/>
        <textField/>
        <textField/>
        <textField/>
        <textField/>
      </textFields>
    </textPr>
  </connection>
  <connection id="4" xr16:uid="{B23C4695-47A6-47C4-B58A-D176CE8F20E9}" name="kursy3" type="6" refreshedVersion="8" background="1" saveData="1">
    <textPr codePage="1250" sourceFile="C:\Users\domad\Desktop\Dane_PR2\kursy.txt" decimal="," thousands=" " tab="0" semicolon="1">
      <textFields count="6">
        <textField type="DMY"/>
        <textField/>
        <textField/>
        <textField/>
        <textField/>
        <textField/>
      </textFields>
    </textPr>
  </connection>
  <connection id="5" xr16:uid="{AAD4857A-C508-4061-B0F1-3DBA9174CC17}" name="kursy4" type="6" refreshedVersion="8" background="1" saveData="1">
    <textPr codePage="1250" sourceFile="C:\Users\domad\Desktop\Dane_PR2\kursy.txt" decimal="," thousands=" " tab="0" semicolon="1">
      <textFields count="6">
        <textField type="DMY"/>
        <textField/>
        <textField/>
        <textField/>
        <textField/>
        <textField/>
      </textFields>
    </textPr>
  </connection>
  <connection id="6" xr16:uid="{87E2FC0C-4D9D-45A0-839E-97138A181A83}" name="kursy5" type="6" refreshedVersion="8" background="1" saveData="1">
    <textPr codePage="1250" sourceFile="C:\Users\domad\Desktop\Dane_PR2\kursy.txt" decimal="," thousands=" " tab="0" semicolon="1">
      <textFields count="6">
        <textField type="DMY"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<sst xmlns="http://schemas.openxmlformats.org/spreadsheetml/2006/main" count="3800" uniqueCount="82">
  <si>
    <t>Data</t>
  </si>
  <si>
    <t>Poczatek</t>
  </si>
  <si>
    <t>Koniec</t>
  </si>
  <si>
    <t>Waga</t>
  </si>
  <si>
    <t>Odleglosc</t>
  </si>
  <si>
    <t>Cena</t>
  </si>
  <si>
    <t>Olsztyn</t>
  </si>
  <si>
    <t>Torun</t>
  </si>
  <si>
    <t>Plock</t>
  </si>
  <si>
    <t>Ostroleka</t>
  </si>
  <si>
    <t>Suwalki</t>
  </si>
  <si>
    <t>Lomza</t>
  </si>
  <si>
    <t>Ciechanow</t>
  </si>
  <si>
    <t>Kuznica Bialostocka</t>
  </si>
  <si>
    <t>Poznan</t>
  </si>
  <si>
    <t>Gubin</t>
  </si>
  <si>
    <t>Skierniewice</t>
  </si>
  <si>
    <t>Tarnow</t>
  </si>
  <si>
    <t>Katowice</t>
  </si>
  <si>
    <t>Radom</t>
  </si>
  <si>
    <t>Konin</t>
  </si>
  <si>
    <t>Pila</t>
  </si>
  <si>
    <t>Kolbaskowo</t>
  </si>
  <si>
    <t>Szczecin</t>
  </si>
  <si>
    <t>Swinoujscie</t>
  </si>
  <si>
    <t>Kostrzyn</t>
  </si>
  <si>
    <t>Gorzow Wielkopolski</t>
  </si>
  <si>
    <t>Jakuszyce</t>
  </si>
  <si>
    <t>Kalisz</t>
  </si>
  <si>
    <t>Piotrkow Trybunalski</t>
  </si>
  <si>
    <t>Gdansk</t>
  </si>
  <si>
    <t>Koszalin</t>
  </si>
  <si>
    <t>Czestochowa</t>
  </si>
  <si>
    <t>Chyzne</t>
  </si>
  <si>
    <t>Krosno</t>
  </si>
  <si>
    <t>Kudowa-Slone</t>
  </si>
  <si>
    <t>Elblag</t>
  </si>
  <si>
    <t>Opole</t>
  </si>
  <si>
    <t>Bielsko-Biala</t>
  </si>
  <si>
    <t>Zakopane</t>
  </si>
  <si>
    <t>Bydgoszcz</t>
  </si>
  <si>
    <t>Wloclawek</t>
  </si>
  <si>
    <t>Sieradz</t>
  </si>
  <si>
    <t>Walbrzych</t>
  </si>
  <si>
    <t>Zamosc</t>
  </si>
  <si>
    <t>Medyka</t>
  </si>
  <si>
    <t>Tarnobrzeg</t>
  </si>
  <si>
    <t>Kielce</t>
  </si>
  <si>
    <t>Zielona Gora</t>
  </si>
  <si>
    <t>Cieszyn</t>
  </si>
  <si>
    <t>Barwinek</t>
  </si>
  <si>
    <t>Rzeszow</t>
  </si>
  <si>
    <t>Zgorzelec</t>
  </si>
  <si>
    <t>Wroclaw</t>
  </si>
  <si>
    <t>Krakow</t>
  </si>
  <si>
    <t>Biala Podlaska</t>
  </si>
  <si>
    <t>Przemysl</t>
  </si>
  <si>
    <t>Chalupki</t>
  </si>
  <si>
    <t>Swiecko</t>
  </si>
  <si>
    <t>Warszawa</t>
  </si>
  <si>
    <t>Lodz</t>
  </si>
  <si>
    <t>Legnica</t>
  </si>
  <si>
    <t>Leszno</t>
  </si>
  <si>
    <t>Jelenia Gora</t>
  </si>
  <si>
    <t>Olszyna</t>
  </si>
  <si>
    <t>Siedlce</t>
  </si>
  <si>
    <t>Hrebenne</t>
  </si>
  <si>
    <t>Lublin</t>
  </si>
  <si>
    <t>Chelm</t>
  </si>
  <si>
    <t>Terespol</t>
  </si>
  <si>
    <t>Slupsk</t>
  </si>
  <si>
    <t>Bialystok</t>
  </si>
  <si>
    <t>Bezledy</t>
  </si>
  <si>
    <t>Nowy Sacz</t>
  </si>
  <si>
    <t>stawka na km</t>
  </si>
  <si>
    <t>Etykiety wierszy</t>
  </si>
  <si>
    <t>Suma końcowa</t>
  </si>
  <si>
    <t>Suma z Waga</t>
  </si>
  <si>
    <t>Etykiety kolumn</t>
  </si>
  <si>
    <t>Liczba z Poczatek</t>
  </si>
  <si>
    <t>Miasto</t>
  </si>
  <si>
    <t>ile kursów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</si>
</sst>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3" borderId="0" xfId="0" applyNumberFormat="1" applyFont="1" applyFill="1"/>
    <xf numFmtId="0" fontId="1" fillId="2" borderId="0" xfId="0" applyNumberFormat="1" applyFont="1" applyFill="1"/>
  </cellXfs>
  <cellStyles count="1">
    <cellStyle name="Normalny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charset val="238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charset val="238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238"/>
        <scheme val="minor"/>
      </font>
      <fill>
        <patternFill patternType="solid">
          <fgColor indexed="65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Liczba</a:t>
            </a:r>
            <a:r>
              <a:rPr lang="pl-PL" baseline="0"/>
              <a:t> kursów dla każdego miast do których odbyło się conajmniej 8 kursów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'4'!$M$7</c:f>
              <c:strCache>
                <c:ptCount val="1"/>
                <c:pt idx="0">
                  <c:v>ile kursów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'4'!$L$8:$L$18</c:f>
              <c:strCache>
                <c:ptCount val="11"/>
                <c:pt idx="0">
                  <c:v>Warszawa</c:v>
                </c:pt>
                <c:pt idx="1">
                  <c:v>Szczecin</c:v>
                </c:pt>
                <c:pt idx="2">
                  <c:v>Bielsko-Biala</c:v>
                </c:pt>
                <c:pt idx="3">
                  <c:v>Konin</c:v>
                </c:pt>
                <c:pt idx="4">
                  <c:v>Ciechanow</c:v>
                </c:pt>
                <c:pt idx="5">
                  <c:v>Kielce</c:v>
                </c:pt>
                <c:pt idx="6">
                  <c:v>Kostrzyn</c:v>
                </c:pt>
                <c:pt idx="7">
                  <c:v>Opole</c:v>
                </c:pt>
                <c:pt idx="8">
                  <c:v>Pila</c:v>
                </c:pt>
                <c:pt idx="9">
                  <c:v>Poznan</c:v>
                </c:pt>
                <c:pt idx="10">
                  <c:v>Zielona Gora</c:v>
                </c:pt>
              </c:strCache>
            </c:strRef>
          </c:cat>
          <c:val>
            <c:numRef>
              <c:f>'4'!$M$8:$M$18</c:f>
              <c:numCache>
                <c:formatCode>General</c:formatCode>
                <c:ptCount val="11"/>
                <c:pt idx="0">
                  <c:v>11</c:v>
                </c:pt>
                <c:pt idx="1">
                  <c:v>10</c:v>
                </c:pt>
                <c:pt idx="2">
                  <c:v>9</c:v>
                </c:pt>
                <c:pt idx="3">
                  <c:v>9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A3-4FEB-BA79-2A368E9C17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2015280"/>
        <c:axId val="1481054224"/>
      </c:barChart>
      <c:catAx>
        <c:axId val="14720152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Miasto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81054224"/>
        <c:crosses val="autoZero"/>
        <c:auto val="1"/>
        <c:lblAlgn val="ctr"/>
        <c:lblOffset val="100"/>
        <c:noMultiLvlLbl val="0"/>
      </c:catAx>
      <c:valAx>
        <c:axId val="148105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Ile</a:t>
                </a:r>
                <a:r>
                  <a:rPr lang="pl-PL" baseline="0"/>
                  <a:t> kursów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72015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609599</xdr:colOff>
      <xdr:row>20</xdr:row>
      <xdr:rowOff>147636</xdr:rowOff>
    </xdr:from>
    <xdr:to>
      <xdr:col>15</xdr:col>
      <xdr:colOff>104775</xdr:colOff>
      <xdr:row>45</xdr:row>
      <xdr:rowOff>171449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1FD75FB3-C032-46D1-4B08-DAA86BEBDF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Domański" refreshedDate="45404.761284953704" createdVersion="8" refreshedVersion="8" minRefreshableVersion="3" recordCount="300" xr:uid="{691E93D2-3EDB-40F2-94EF-2D2693A82B5C}">
  <cacheSource type="worksheet">
    <worksheetSource ref="A1:C301" sheet="3"/>
  </cacheSource>
  <cacheFields count="3">
    <cacheField name="Poczatek" numFmtId="0">
      <sharedItems count="67">
        <s v="Olsztyn"/>
        <s v="Torun"/>
        <s v="Plock"/>
        <s v="Ostroleka"/>
        <s v="Lomza"/>
        <s v="Ciechanow"/>
        <s v="Kuznica Bialostocka"/>
        <s v="Poznan"/>
        <s v="Skierniewice"/>
        <s v="Tarnow"/>
        <s v="Radom"/>
        <s v="Konin"/>
        <s v="Kolbaskowo"/>
        <s v="Szczecin"/>
        <s v="Swinoujscie"/>
        <s v="Kostrzyn"/>
        <s v="Gorzow Wielkopolski"/>
        <s v="Pila"/>
        <s v="Jakuszyce"/>
        <s v="Kalisz"/>
        <s v="Piotrkow Trybunalski"/>
        <s v="Gdansk"/>
        <s v="Koszalin"/>
        <s v="Katowice"/>
        <s v="Kudowa-Slone"/>
        <s v="Elblag"/>
        <s v="Opole"/>
        <s v="Bielsko-Biala"/>
        <s v="Bydgoszcz"/>
        <s v="Wloclawek"/>
        <s v="Gubin"/>
        <s v="Zamosc"/>
        <s v="Medyka"/>
        <s v="Tarnobrzeg"/>
        <s v="Krosno"/>
        <s v="Zielona Gora"/>
        <s v="Chyzne"/>
        <s v="Barwinek"/>
        <s v="Rzeszow"/>
        <s v="Zgorzelec"/>
        <s v="Krakow"/>
        <s v="Kielce"/>
        <s v="Przemysl"/>
        <s v="Walbrzych"/>
        <s v="Chalupki"/>
        <s v="Swiecko"/>
        <s v="Lodz"/>
        <s v="Warszawa"/>
        <s v="Legnica"/>
        <s v="Leszno"/>
        <s v="Jelenia Gora"/>
        <s v="Olszyna"/>
        <s v="Siedlce"/>
        <s v="Hrebenne"/>
        <s v="Lublin"/>
        <s v="Biala Podlaska"/>
        <s v="Chelm"/>
        <s v="Terespol"/>
        <s v="Zakopane"/>
        <s v="Slupsk"/>
        <s v="Suwalki"/>
        <s v="Sieradz"/>
        <s v="Czestochowa"/>
        <s v="Bezledy"/>
        <s v="Nowy Sacz"/>
        <s v="Cieszyn"/>
        <s v="Bialystok"/>
      </sharedItems>
    </cacheField>
    <cacheField name="Koniec" numFmtId="0">
      <sharedItems count="68">
        <s v="Torun"/>
        <s v="Plock"/>
        <s v="Ostroleka"/>
        <s v="Suwalki"/>
        <s v="Ciechanow"/>
        <s v="Lomza"/>
        <s v="Kuznica Bialostocka"/>
        <s v="Gubin"/>
        <s v="Tarnow"/>
        <s v="Katowice"/>
        <s v="Konin"/>
        <s v="Olsztyn"/>
        <s v="Pila"/>
        <s v="Szczecin"/>
        <s v="Swinoujscie"/>
        <s v="Kostrzyn"/>
        <s v="Kolbaskowo"/>
        <s v="Gorzow Wielkopolski"/>
        <s v="Poznan"/>
        <s v="Kalisz"/>
        <s v="Piotrkow Trybunalski"/>
        <s v="Koszalin"/>
        <s v="Czestochowa"/>
        <s v="Chyzne"/>
        <s v="Krosno"/>
        <s v="Jakuszyce"/>
        <s v="Opole"/>
        <s v="Bielsko-Biala"/>
        <s v="Zakopane"/>
        <s v="Bydgoszcz"/>
        <s v="Wloclawek"/>
        <s v="Skierniewice"/>
        <s v="Sieradz"/>
        <s v="Walbrzych"/>
        <s v="Medyka"/>
        <s v="Tarnobrzeg"/>
        <s v="Kielce"/>
        <s v="Radom"/>
        <s v="Zielona Gora"/>
        <s v="Cieszyn"/>
        <s v="Zamosc"/>
        <s v="Wroclaw"/>
        <s v="Krakow"/>
        <s v="Biala Podlaska"/>
        <s v="Barwinek"/>
        <s v="Swiecko"/>
        <s v="Warszawa"/>
        <s v="Lodz"/>
        <s v="Przemysl"/>
        <s v="Legnica"/>
        <s v="Chalupki"/>
        <s v="Leszno"/>
        <s v="Jelenia Gora"/>
        <s v="Olszyna"/>
        <s v="Lublin"/>
        <s v="Terespol"/>
        <s v="Slupsk"/>
        <s v="Gdansk"/>
        <s v="Zgorzelec"/>
        <s v="Bialystok"/>
        <s v="Elblag"/>
        <s v="Chelm"/>
        <s v="Siedlce"/>
        <s v="Kudowa-Slone"/>
        <s v="Nowy Sacz"/>
        <s v="Rzeszow"/>
        <s v="Hrebenne"/>
        <s v="Bezledy"/>
      </sharedItems>
    </cacheField>
    <cacheField name="Waga" numFmtId="0">
      <sharedItems containsSemiMixedTypes="0" containsString="0" containsNumber="1" containsInteger="1" minValue="1011" maxValue="5986" count="291">
        <n v="3527"/>
        <n v="3666"/>
        <n v="4888"/>
        <n v="1099"/>
        <n v="4881"/>
        <n v="5851"/>
        <n v="5963"/>
        <n v="1364"/>
        <n v="1245"/>
        <n v="3771"/>
        <n v="4522"/>
        <n v="4588"/>
        <n v="1952"/>
        <n v="3318"/>
        <n v="3106"/>
        <n v="5593"/>
        <n v="5983"/>
        <n v="5496"/>
        <n v="4572"/>
        <n v="4529"/>
        <n v="4981"/>
        <n v="3808"/>
        <n v="1359"/>
        <n v="2320"/>
        <n v="2607"/>
        <n v="3657"/>
        <n v="5671"/>
        <n v="4871"/>
        <n v="1686"/>
        <n v="5628"/>
        <n v="3295"/>
        <n v="5291"/>
        <n v="5838"/>
        <n v="3319"/>
        <n v="2152"/>
        <n v="3810"/>
        <n v="5713"/>
        <n v="4163"/>
        <n v="3216"/>
        <n v="5060"/>
        <n v="2446"/>
        <n v="3305"/>
        <n v="1743"/>
        <n v="4053"/>
        <n v="4905"/>
        <n v="1624"/>
        <n v="5326"/>
        <n v="4398"/>
        <n v="4494"/>
        <n v="2136"/>
        <n v="4481"/>
        <n v="1749"/>
        <n v="1203"/>
        <n v="4505"/>
        <n v="1454"/>
        <n v="2835"/>
        <n v="2338"/>
        <n v="4154"/>
        <n v="1767"/>
        <n v="2929"/>
        <n v="2151"/>
        <n v="2431"/>
        <n v="1168"/>
        <n v="4251"/>
        <n v="4347"/>
        <n v="5287"/>
        <n v="5177"/>
        <n v="3858"/>
        <n v="4637"/>
        <n v="5212"/>
        <n v="4422"/>
        <n v="2742"/>
        <n v="2100"/>
        <n v="5626"/>
        <n v="1629"/>
        <n v="4787"/>
        <n v="4678"/>
        <n v="5869"/>
        <n v="2678"/>
        <n v="3193"/>
        <n v="1011"/>
        <n v="3398"/>
        <n v="5416"/>
        <n v="3914"/>
        <n v="5805"/>
        <n v="4033"/>
        <n v="1021"/>
        <n v="5162"/>
        <n v="2050"/>
        <n v="5312"/>
        <n v="2443"/>
        <n v="1161"/>
        <n v="3435"/>
        <n v="3358"/>
        <n v="2719"/>
        <n v="1793"/>
        <n v="1858"/>
        <n v="4651"/>
        <n v="2608"/>
        <n v="3094"/>
        <n v="5288"/>
        <n v="5475"/>
        <n v="4863"/>
        <n v="5933"/>
        <n v="1730"/>
        <n v="3178"/>
        <n v="3983"/>
        <n v="3007"/>
        <n v="5832"/>
        <n v="3012"/>
        <n v="4508"/>
        <n v="1777"/>
        <n v="4788"/>
        <n v="3035"/>
        <n v="3380"/>
        <n v="5014"/>
        <n v="1852"/>
        <n v="5493"/>
        <n v="5560"/>
        <n v="2571"/>
        <n v="3348"/>
        <n v="2906"/>
        <n v="5660"/>
        <n v="2575"/>
        <n v="1676"/>
        <n v="1536"/>
        <n v="1996"/>
        <n v="4769"/>
        <n v="4542"/>
        <n v="2286"/>
        <n v="1504"/>
        <n v="3990"/>
        <n v="4569"/>
        <n v="3469"/>
        <n v="2498"/>
        <n v="4118"/>
        <n v="5847"/>
        <n v="2032"/>
        <n v="2735"/>
        <n v="5467"/>
        <n v="3691"/>
        <n v="3681"/>
        <n v="2256"/>
        <n v="4602"/>
        <n v="4354"/>
        <n v="4260"/>
        <n v="2800"/>
        <n v="2637"/>
        <n v="5651"/>
        <n v="2511"/>
        <n v="2448"/>
        <n v="3414"/>
        <n v="4039"/>
        <n v="5862"/>
        <n v="3077"/>
        <n v="5569"/>
        <n v="4513"/>
        <n v="2771"/>
        <n v="1079"/>
        <n v="3126"/>
        <n v="3650"/>
        <n v="5721"/>
        <n v="5759"/>
        <n v="2871"/>
        <n v="3571"/>
        <n v="3061"/>
        <n v="5336"/>
        <n v="5658"/>
        <n v="2697"/>
        <n v="5368"/>
        <n v="2706"/>
        <n v="3456"/>
        <n v="1914"/>
        <n v="1134"/>
        <n v="2935"/>
        <n v="4379"/>
        <n v="1328"/>
        <n v="4133"/>
        <n v="5370"/>
        <n v="4663"/>
        <n v="5151"/>
        <n v="1090"/>
        <n v="5746"/>
        <n v="3200"/>
        <n v="3586"/>
        <n v="3460"/>
        <n v="1347"/>
        <n v="2421"/>
        <n v="2939"/>
        <n v="4921"/>
        <n v="3580"/>
        <n v="5215"/>
        <n v="1369"/>
        <n v="1655"/>
        <n v="2192"/>
        <n v="5919"/>
        <n v="5986"/>
        <n v="2750"/>
        <n v="1381"/>
        <n v="2219"/>
        <n v="5041"/>
        <n v="4432"/>
        <n v="2761"/>
        <n v="3565"/>
        <n v="3096"/>
        <n v="3325"/>
        <n v="2563"/>
        <n v="2914"/>
        <n v="2832"/>
        <n v="5257"/>
        <n v="4378"/>
        <n v="3108"/>
        <n v="2133"/>
        <n v="1125"/>
        <n v="4375"/>
        <n v="5455"/>
        <n v="4649"/>
        <n v="4016"/>
        <n v="1211"/>
        <n v="4633"/>
        <n v="2488"/>
        <n v="5798"/>
        <n v="2918"/>
        <n v="1886"/>
        <n v="4431"/>
        <n v="1956"/>
        <n v="4059"/>
        <n v="2157"/>
        <n v="3353"/>
        <n v="4677"/>
        <n v="2059"/>
        <n v="5537"/>
        <n v="2987"/>
        <n v="5570"/>
        <n v="3948"/>
        <n v="4201"/>
        <n v="3592"/>
        <n v="4543"/>
        <n v="1813"/>
        <n v="4567"/>
        <n v="1830"/>
        <n v="3678"/>
        <n v="1782"/>
        <n v="2966"/>
        <n v="4746"/>
        <n v="3161"/>
        <n v="3600"/>
        <n v="4093"/>
        <n v="1981"/>
        <n v="3154"/>
        <n v="4876"/>
        <n v="5153"/>
        <n v="1720"/>
        <n v="5392"/>
        <n v="1698"/>
        <n v="3411"/>
        <n v="5558"/>
        <n v="2592"/>
        <n v="5214"/>
        <n v="5491"/>
        <n v="4594"/>
        <n v="1047"/>
        <n v="5517"/>
        <n v="4155"/>
        <n v="2798"/>
        <n v="4217"/>
        <n v="4327"/>
        <n v="2555"/>
        <n v="5150"/>
        <n v="5697"/>
        <n v="3192"/>
        <n v="2781"/>
        <n v="1093"/>
        <n v="2291"/>
        <n v="2962"/>
        <n v="3436"/>
        <n v="2342"/>
        <n v="5238"/>
        <n v="2823"/>
        <n v="1173"/>
        <n v="1465"/>
        <n v="1572"/>
        <n v="4084"/>
        <n v="4635"/>
        <n v="3705"/>
        <n v="5624"/>
        <n v="4157"/>
        <n v="3021"/>
        <n v="3573"/>
        <n v="4748"/>
        <n v="229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Domański" refreshedDate="45404.764632638886" createdVersion="8" refreshedVersion="8" minRefreshableVersion="3" recordCount="300" xr:uid="{1DF921C3-B8A9-4920-91BC-BCDC31449C97}">
  <cacheSource type="worksheet">
    <worksheetSource ref="A1:C301" sheet="4"/>
  </cacheSource>
  <cacheFields count="3">
    <cacheField name="Data" numFmtId="14">
      <sharedItems containsSemiMixedTypes="0" containsNonDate="0" containsDate="1" containsString="0" minDate="2017-01-02T00:00:00" maxDate="2018-01-01T00:00:00"/>
    </cacheField>
    <cacheField name="Poczatek" numFmtId="0">
      <sharedItems/>
    </cacheField>
    <cacheField name="Koniec" numFmtId="0">
      <sharedItems count="68">
        <s v="Torun"/>
        <s v="Plock"/>
        <s v="Ostroleka"/>
        <s v="Suwalki"/>
        <s v="Ciechanow"/>
        <s v="Lomza"/>
        <s v="Kuznica Bialostocka"/>
        <s v="Gubin"/>
        <s v="Tarnow"/>
        <s v="Katowice"/>
        <s v="Konin"/>
        <s v="Olsztyn"/>
        <s v="Pila"/>
        <s v="Szczecin"/>
        <s v="Swinoujscie"/>
        <s v="Kostrzyn"/>
        <s v="Kolbaskowo"/>
        <s v="Gorzow Wielkopolski"/>
        <s v="Poznan"/>
        <s v="Kalisz"/>
        <s v="Piotrkow Trybunalski"/>
        <s v="Koszalin"/>
        <s v="Czestochowa"/>
        <s v="Chyzne"/>
        <s v="Krosno"/>
        <s v="Jakuszyce"/>
        <s v="Opole"/>
        <s v="Bielsko-Biala"/>
        <s v="Zakopane"/>
        <s v="Bydgoszcz"/>
        <s v="Wloclawek"/>
        <s v="Skierniewice"/>
        <s v="Sieradz"/>
        <s v="Walbrzych"/>
        <s v="Medyka"/>
        <s v="Tarnobrzeg"/>
        <s v="Kielce"/>
        <s v="Radom"/>
        <s v="Zielona Gora"/>
        <s v="Cieszyn"/>
        <s v="Zamosc"/>
        <s v="Wroclaw"/>
        <s v="Krakow"/>
        <s v="Biala Podlaska"/>
        <s v="Barwinek"/>
        <s v="Swiecko"/>
        <s v="Warszawa"/>
        <s v="Lodz"/>
        <s v="Przemysl"/>
        <s v="Legnica"/>
        <s v="Chalupki"/>
        <s v="Leszno"/>
        <s v="Jelenia Gora"/>
        <s v="Olszyna"/>
        <s v="Lublin"/>
        <s v="Terespol"/>
        <s v="Slupsk"/>
        <s v="Gdansk"/>
        <s v="Zgorzelec"/>
        <s v="Bialystok"/>
        <s v="Elblag"/>
        <s v="Chelm"/>
        <s v="Siedlce"/>
        <s v="Kudowa-Slone"/>
        <s v="Nowy Sacz"/>
        <s v="Rzeszow"/>
        <s v="Hrebenne"/>
        <s v="Bezled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x v="0"/>
    <x v="0"/>
  </r>
  <r>
    <x v="1"/>
    <x v="1"/>
    <x v="1"/>
  </r>
  <r>
    <x v="2"/>
    <x v="2"/>
    <x v="2"/>
  </r>
  <r>
    <x v="3"/>
    <x v="3"/>
    <x v="3"/>
  </r>
  <r>
    <x v="4"/>
    <x v="4"/>
    <x v="4"/>
  </r>
  <r>
    <x v="5"/>
    <x v="5"/>
    <x v="5"/>
  </r>
  <r>
    <x v="4"/>
    <x v="6"/>
    <x v="6"/>
  </r>
  <r>
    <x v="6"/>
    <x v="2"/>
    <x v="7"/>
  </r>
  <r>
    <x v="3"/>
    <x v="3"/>
    <x v="8"/>
  </r>
  <r>
    <x v="7"/>
    <x v="7"/>
    <x v="9"/>
  </r>
  <r>
    <x v="8"/>
    <x v="8"/>
    <x v="10"/>
  </r>
  <r>
    <x v="9"/>
    <x v="9"/>
    <x v="11"/>
  </r>
  <r>
    <x v="10"/>
    <x v="10"/>
    <x v="12"/>
  </r>
  <r>
    <x v="11"/>
    <x v="0"/>
    <x v="13"/>
  </r>
  <r>
    <x v="6"/>
    <x v="2"/>
    <x v="14"/>
  </r>
  <r>
    <x v="3"/>
    <x v="11"/>
    <x v="15"/>
  </r>
  <r>
    <x v="0"/>
    <x v="4"/>
    <x v="16"/>
  </r>
  <r>
    <x v="5"/>
    <x v="11"/>
    <x v="17"/>
  </r>
  <r>
    <x v="0"/>
    <x v="5"/>
    <x v="18"/>
  </r>
  <r>
    <x v="4"/>
    <x v="4"/>
    <x v="19"/>
  </r>
  <r>
    <x v="5"/>
    <x v="11"/>
    <x v="20"/>
  </r>
  <r>
    <x v="0"/>
    <x v="0"/>
    <x v="21"/>
  </r>
  <r>
    <x v="1"/>
    <x v="12"/>
    <x v="22"/>
  </r>
  <r>
    <x v="12"/>
    <x v="13"/>
    <x v="23"/>
  </r>
  <r>
    <x v="13"/>
    <x v="14"/>
    <x v="24"/>
  </r>
  <r>
    <x v="14"/>
    <x v="13"/>
    <x v="25"/>
  </r>
  <r>
    <x v="13"/>
    <x v="15"/>
    <x v="26"/>
  </r>
  <r>
    <x v="15"/>
    <x v="16"/>
    <x v="27"/>
  </r>
  <r>
    <x v="12"/>
    <x v="17"/>
    <x v="28"/>
  </r>
  <r>
    <x v="16"/>
    <x v="12"/>
    <x v="29"/>
  </r>
  <r>
    <x v="17"/>
    <x v="18"/>
    <x v="30"/>
  </r>
  <r>
    <x v="18"/>
    <x v="19"/>
    <x v="31"/>
  </r>
  <r>
    <x v="19"/>
    <x v="20"/>
    <x v="32"/>
  </r>
  <r>
    <x v="20"/>
    <x v="10"/>
    <x v="33"/>
  </r>
  <r>
    <x v="21"/>
    <x v="0"/>
    <x v="34"/>
  </r>
  <r>
    <x v="1"/>
    <x v="12"/>
    <x v="35"/>
  </r>
  <r>
    <x v="17"/>
    <x v="21"/>
    <x v="36"/>
  </r>
  <r>
    <x v="22"/>
    <x v="12"/>
    <x v="37"/>
  </r>
  <r>
    <x v="17"/>
    <x v="22"/>
    <x v="38"/>
  </r>
  <r>
    <x v="4"/>
    <x v="23"/>
    <x v="39"/>
  </r>
  <r>
    <x v="22"/>
    <x v="14"/>
    <x v="40"/>
  </r>
  <r>
    <x v="14"/>
    <x v="13"/>
    <x v="41"/>
  </r>
  <r>
    <x v="17"/>
    <x v="0"/>
    <x v="42"/>
  </r>
  <r>
    <x v="9"/>
    <x v="24"/>
    <x v="43"/>
  </r>
  <r>
    <x v="23"/>
    <x v="20"/>
    <x v="44"/>
  </r>
  <r>
    <x v="2"/>
    <x v="0"/>
    <x v="45"/>
  </r>
  <r>
    <x v="24"/>
    <x v="25"/>
    <x v="46"/>
  </r>
  <r>
    <x v="25"/>
    <x v="4"/>
    <x v="47"/>
  </r>
  <r>
    <x v="24"/>
    <x v="26"/>
    <x v="48"/>
  </r>
  <r>
    <x v="26"/>
    <x v="27"/>
    <x v="49"/>
  </r>
  <r>
    <x v="27"/>
    <x v="28"/>
    <x v="50"/>
  </r>
  <r>
    <x v="20"/>
    <x v="18"/>
    <x v="51"/>
  </r>
  <r>
    <x v="20"/>
    <x v="10"/>
    <x v="52"/>
  </r>
  <r>
    <x v="11"/>
    <x v="29"/>
    <x v="53"/>
  </r>
  <r>
    <x v="28"/>
    <x v="30"/>
    <x v="54"/>
  </r>
  <r>
    <x v="29"/>
    <x v="31"/>
    <x v="55"/>
  </r>
  <r>
    <x v="8"/>
    <x v="32"/>
    <x v="56"/>
  </r>
  <r>
    <x v="16"/>
    <x v="33"/>
    <x v="57"/>
  </r>
  <r>
    <x v="30"/>
    <x v="15"/>
    <x v="58"/>
  </r>
  <r>
    <x v="31"/>
    <x v="34"/>
    <x v="59"/>
  </r>
  <r>
    <x v="32"/>
    <x v="35"/>
    <x v="60"/>
  </r>
  <r>
    <x v="33"/>
    <x v="36"/>
    <x v="61"/>
  </r>
  <r>
    <x v="34"/>
    <x v="35"/>
    <x v="62"/>
  </r>
  <r>
    <x v="33"/>
    <x v="37"/>
    <x v="63"/>
  </r>
  <r>
    <x v="10"/>
    <x v="31"/>
    <x v="64"/>
  </r>
  <r>
    <x v="8"/>
    <x v="30"/>
    <x v="65"/>
  </r>
  <r>
    <x v="9"/>
    <x v="9"/>
    <x v="66"/>
  </r>
  <r>
    <x v="30"/>
    <x v="17"/>
    <x v="67"/>
  </r>
  <r>
    <x v="16"/>
    <x v="38"/>
    <x v="68"/>
  </r>
  <r>
    <x v="35"/>
    <x v="18"/>
    <x v="69"/>
  </r>
  <r>
    <x v="7"/>
    <x v="29"/>
    <x v="3"/>
  </r>
  <r>
    <x v="28"/>
    <x v="30"/>
    <x v="70"/>
  </r>
  <r>
    <x v="36"/>
    <x v="27"/>
    <x v="71"/>
  </r>
  <r>
    <x v="27"/>
    <x v="23"/>
    <x v="72"/>
  </r>
  <r>
    <x v="36"/>
    <x v="27"/>
    <x v="73"/>
  </r>
  <r>
    <x v="27"/>
    <x v="23"/>
    <x v="74"/>
  </r>
  <r>
    <x v="36"/>
    <x v="39"/>
    <x v="75"/>
  </r>
  <r>
    <x v="37"/>
    <x v="34"/>
    <x v="76"/>
  </r>
  <r>
    <x v="32"/>
    <x v="40"/>
    <x v="77"/>
  </r>
  <r>
    <x v="38"/>
    <x v="40"/>
    <x v="78"/>
  </r>
  <r>
    <x v="11"/>
    <x v="33"/>
    <x v="79"/>
  </r>
  <r>
    <x v="18"/>
    <x v="15"/>
    <x v="80"/>
  </r>
  <r>
    <x v="15"/>
    <x v="13"/>
    <x v="81"/>
  </r>
  <r>
    <x v="39"/>
    <x v="41"/>
    <x v="82"/>
  </r>
  <r>
    <x v="3"/>
    <x v="42"/>
    <x v="83"/>
  </r>
  <r>
    <x v="40"/>
    <x v="36"/>
    <x v="84"/>
  </r>
  <r>
    <x v="41"/>
    <x v="42"/>
    <x v="85"/>
  </r>
  <r>
    <x v="31"/>
    <x v="43"/>
    <x v="86"/>
  </r>
  <r>
    <x v="42"/>
    <x v="34"/>
    <x v="87"/>
  </r>
  <r>
    <x v="32"/>
    <x v="40"/>
    <x v="88"/>
  </r>
  <r>
    <x v="43"/>
    <x v="26"/>
    <x v="89"/>
  </r>
  <r>
    <x v="13"/>
    <x v="32"/>
    <x v="90"/>
  </r>
  <r>
    <x v="42"/>
    <x v="44"/>
    <x v="91"/>
  </r>
  <r>
    <x v="37"/>
    <x v="8"/>
    <x v="92"/>
  </r>
  <r>
    <x v="44"/>
    <x v="22"/>
    <x v="93"/>
  </r>
  <r>
    <x v="39"/>
    <x v="45"/>
    <x v="94"/>
  </r>
  <r>
    <x v="45"/>
    <x v="13"/>
    <x v="95"/>
  </r>
  <r>
    <x v="10"/>
    <x v="20"/>
    <x v="96"/>
  </r>
  <r>
    <x v="20"/>
    <x v="37"/>
    <x v="97"/>
  </r>
  <r>
    <x v="10"/>
    <x v="20"/>
    <x v="59"/>
  </r>
  <r>
    <x v="20"/>
    <x v="19"/>
    <x v="98"/>
  </r>
  <r>
    <x v="19"/>
    <x v="18"/>
    <x v="99"/>
  </r>
  <r>
    <x v="10"/>
    <x v="46"/>
    <x v="100"/>
  </r>
  <r>
    <x v="43"/>
    <x v="19"/>
    <x v="2"/>
  </r>
  <r>
    <x v="19"/>
    <x v="47"/>
    <x v="101"/>
  </r>
  <r>
    <x v="46"/>
    <x v="36"/>
    <x v="102"/>
  </r>
  <r>
    <x v="20"/>
    <x v="48"/>
    <x v="103"/>
  </r>
  <r>
    <x v="47"/>
    <x v="49"/>
    <x v="104"/>
  </r>
  <r>
    <x v="48"/>
    <x v="7"/>
    <x v="105"/>
  </r>
  <r>
    <x v="20"/>
    <x v="30"/>
    <x v="106"/>
  </r>
  <r>
    <x v="25"/>
    <x v="6"/>
    <x v="107"/>
  </r>
  <r>
    <x v="47"/>
    <x v="9"/>
    <x v="108"/>
  </r>
  <r>
    <x v="24"/>
    <x v="26"/>
    <x v="109"/>
  </r>
  <r>
    <x v="26"/>
    <x v="50"/>
    <x v="110"/>
  </r>
  <r>
    <x v="3"/>
    <x v="45"/>
    <x v="111"/>
  </r>
  <r>
    <x v="45"/>
    <x v="49"/>
    <x v="112"/>
  </r>
  <r>
    <x v="48"/>
    <x v="51"/>
    <x v="113"/>
  </r>
  <r>
    <x v="49"/>
    <x v="52"/>
    <x v="114"/>
  </r>
  <r>
    <x v="50"/>
    <x v="53"/>
    <x v="115"/>
  </r>
  <r>
    <x v="51"/>
    <x v="45"/>
    <x v="116"/>
  </r>
  <r>
    <x v="52"/>
    <x v="5"/>
    <x v="117"/>
  </r>
  <r>
    <x v="38"/>
    <x v="40"/>
    <x v="118"/>
  </r>
  <r>
    <x v="53"/>
    <x v="54"/>
    <x v="119"/>
  </r>
  <r>
    <x v="54"/>
    <x v="37"/>
    <x v="120"/>
  </r>
  <r>
    <x v="10"/>
    <x v="35"/>
    <x v="121"/>
  </r>
  <r>
    <x v="33"/>
    <x v="42"/>
    <x v="122"/>
  </r>
  <r>
    <x v="10"/>
    <x v="20"/>
    <x v="123"/>
  </r>
  <r>
    <x v="55"/>
    <x v="35"/>
    <x v="124"/>
  </r>
  <r>
    <x v="33"/>
    <x v="36"/>
    <x v="125"/>
  </r>
  <r>
    <x v="41"/>
    <x v="32"/>
    <x v="126"/>
  </r>
  <r>
    <x v="56"/>
    <x v="55"/>
    <x v="127"/>
  </r>
  <r>
    <x v="57"/>
    <x v="46"/>
    <x v="128"/>
  </r>
  <r>
    <x v="47"/>
    <x v="47"/>
    <x v="129"/>
  </r>
  <r>
    <x v="46"/>
    <x v="30"/>
    <x v="130"/>
  </r>
  <r>
    <x v="34"/>
    <x v="28"/>
    <x v="131"/>
  </r>
  <r>
    <x v="41"/>
    <x v="8"/>
    <x v="132"/>
  </r>
  <r>
    <x v="9"/>
    <x v="9"/>
    <x v="133"/>
  </r>
  <r>
    <x v="23"/>
    <x v="28"/>
    <x v="134"/>
  </r>
  <r>
    <x v="58"/>
    <x v="8"/>
    <x v="135"/>
  </r>
  <r>
    <x v="21"/>
    <x v="56"/>
    <x v="136"/>
  </r>
  <r>
    <x v="59"/>
    <x v="57"/>
    <x v="137"/>
  </r>
  <r>
    <x v="21"/>
    <x v="21"/>
    <x v="138"/>
  </r>
  <r>
    <x v="22"/>
    <x v="16"/>
    <x v="139"/>
  </r>
  <r>
    <x v="12"/>
    <x v="12"/>
    <x v="140"/>
  </r>
  <r>
    <x v="30"/>
    <x v="58"/>
    <x v="141"/>
  </r>
  <r>
    <x v="49"/>
    <x v="10"/>
    <x v="142"/>
  </r>
  <r>
    <x v="11"/>
    <x v="1"/>
    <x v="143"/>
  </r>
  <r>
    <x v="2"/>
    <x v="10"/>
    <x v="144"/>
  </r>
  <r>
    <x v="11"/>
    <x v="47"/>
    <x v="145"/>
  </r>
  <r>
    <x v="28"/>
    <x v="30"/>
    <x v="146"/>
  </r>
  <r>
    <x v="29"/>
    <x v="19"/>
    <x v="147"/>
  </r>
  <r>
    <x v="19"/>
    <x v="18"/>
    <x v="148"/>
  </r>
  <r>
    <x v="7"/>
    <x v="38"/>
    <x v="149"/>
  </r>
  <r>
    <x v="42"/>
    <x v="57"/>
    <x v="150"/>
  </r>
  <r>
    <x v="60"/>
    <x v="59"/>
    <x v="151"/>
  </r>
  <r>
    <x v="59"/>
    <x v="60"/>
    <x v="152"/>
  </r>
  <r>
    <x v="25"/>
    <x v="56"/>
    <x v="153"/>
  </r>
  <r>
    <x v="31"/>
    <x v="48"/>
    <x v="154"/>
  </r>
  <r>
    <x v="55"/>
    <x v="17"/>
    <x v="155"/>
  </r>
  <r>
    <x v="16"/>
    <x v="38"/>
    <x v="156"/>
  </r>
  <r>
    <x v="23"/>
    <x v="31"/>
    <x v="157"/>
  </r>
  <r>
    <x v="37"/>
    <x v="32"/>
    <x v="158"/>
  </r>
  <r>
    <x v="61"/>
    <x v="22"/>
    <x v="159"/>
  </r>
  <r>
    <x v="62"/>
    <x v="47"/>
    <x v="160"/>
  </r>
  <r>
    <x v="55"/>
    <x v="61"/>
    <x v="161"/>
  </r>
  <r>
    <x v="56"/>
    <x v="37"/>
    <x v="162"/>
  </r>
  <r>
    <x v="10"/>
    <x v="46"/>
    <x v="163"/>
  </r>
  <r>
    <x v="2"/>
    <x v="2"/>
    <x v="164"/>
  </r>
  <r>
    <x v="3"/>
    <x v="46"/>
    <x v="165"/>
  </r>
  <r>
    <x v="47"/>
    <x v="62"/>
    <x v="166"/>
  </r>
  <r>
    <x v="20"/>
    <x v="25"/>
    <x v="167"/>
  </r>
  <r>
    <x v="18"/>
    <x v="15"/>
    <x v="168"/>
  </r>
  <r>
    <x v="15"/>
    <x v="38"/>
    <x v="169"/>
  </r>
  <r>
    <x v="35"/>
    <x v="18"/>
    <x v="170"/>
  </r>
  <r>
    <x v="54"/>
    <x v="38"/>
    <x v="171"/>
  </r>
  <r>
    <x v="35"/>
    <x v="18"/>
    <x v="172"/>
  </r>
  <r>
    <x v="7"/>
    <x v="12"/>
    <x v="173"/>
  </r>
  <r>
    <x v="17"/>
    <x v="15"/>
    <x v="174"/>
  </r>
  <r>
    <x v="15"/>
    <x v="7"/>
    <x v="175"/>
  </r>
  <r>
    <x v="26"/>
    <x v="63"/>
    <x v="176"/>
  </r>
  <r>
    <x v="59"/>
    <x v="57"/>
    <x v="177"/>
  </r>
  <r>
    <x v="41"/>
    <x v="10"/>
    <x v="178"/>
  </r>
  <r>
    <x v="11"/>
    <x v="1"/>
    <x v="179"/>
  </r>
  <r>
    <x v="2"/>
    <x v="29"/>
    <x v="180"/>
  </r>
  <r>
    <x v="28"/>
    <x v="10"/>
    <x v="113"/>
  </r>
  <r>
    <x v="63"/>
    <x v="5"/>
    <x v="181"/>
  </r>
  <r>
    <x v="4"/>
    <x v="6"/>
    <x v="182"/>
  </r>
  <r>
    <x v="33"/>
    <x v="48"/>
    <x v="183"/>
  </r>
  <r>
    <x v="42"/>
    <x v="44"/>
    <x v="184"/>
  </r>
  <r>
    <x v="37"/>
    <x v="8"/>
    <x v="185"/>
  </r>
  <r>
    <x v="56"/>
    <x v="37"/>
    <x v="186"/>
  </r>
  <r>
    <x v="10"/>
    <x v="47"/>
    <x v="187"/>
  </r>
  <r>
    <x v="46"/>
    <x v="36"/>
    <x v="188"/>
  </r>
  <r>
    <x v="41"/>
    <x v="8"/>
    <x v="189"/>
  </r>
  <r>
    <x v="9"/>
    <x v="27"/>
    <x v="190"/>
  </r>
  <r>
    <x v="27"/>
    <x v="64"/>
    <x v="191"/>
  </r>
  <r>
    <x v="64"/>
    <x v="65"/>
    <x v="192"/>
  </r>
  <r>
    <x v="38"/>
    <x v="54"/>
    <x v="193"/>
  </r>
  <r>
    <x v="35"/>
    <x v="49"/>
    <x v="194"/>
  </r>
  <r>
    <x v="5"/>
    <x v="46"/>
    <x v="195"/>
  </r>
  <r>
    <x v="54"/>
    <x v="8"/>
    <x v="196"/>
  </r>
  <r>
    <x v="9"/>
    <x v="28"/>
    <x v="197"/>
  </r>
  <r>
    <x v="58"/>
    <x v="44"/>
    <x v="198"/>
  </r>
  <r>
    <x v="46"/>
    <x v="46"/>
    <x v="199"/>
  </r>
  <r>
    <x v="47"/>
    <x v="62"/>
    <x v="200"/>
  </r>
  <r>
    <x v="22"/>
    <x v="13"/>
    <x v="201"/>
  </r>
  <r>
    <x v="0"/>
    <x v="4"/>
    <x v="202"/>
  </r>
  <r>
    <x v="5"/>
    <x v="0"/>
    <x v="174"/>
  </r>
  <r>
    <x v="25"/>
    <x v="29"/>
    <x v="203"/>
  </r>
  <r>
    <x v="2"/>
    <x v="27"/>
    <x v="204"/>
  </r>
  <r>
    <x v="37"/>
    <x v="5"/>
    <x v="205"/>
  </r>
  <r>
    <x v="30"/>
    <x v="46"/>
    <x v="206"/>
  </r>
  <r>
    <x v="47"/>
    <x v="37"/>
    <x v="207"/>
  </r>
  <r>
    <x v="10"/>
    <x v="20"/>
    <x v="208"/>
  </r>
  <r>
    <x v="47"/>
    <x v="33"/>
    <x v="209"/>
  </r>
  <r>
    <x v="44"/>
    <x v="33"/>
    <x v="16"/>
  </r>
  <r>
    <x v="43"/>
    <x v="53"/>
    <x v="210"/>
  </r>
  <r>
    <x v="51"/>
    <x v="15"/>
    <x v="211"/>
  </r>
  <r>
    <x v="15"/>
    <x v="58"/>
    <x v="212"/>
  </r>
  <r>
    <x v="39"/>
    <x v="38"/>
    <x v="213"/>
  </r>
  <r>
    <x v="35"/>
    <x v="15"/>
    <x v="214"/>
  </r>
  <r>
    <x v="29"/>
    <x v="4"/>
    <x v="215"/>
  </r>
  <r>
    <x v="20"/>
    <x v="19"/>
    <x v="216"/>
  </r>
  <r>
    <x v="19"/>
    <x v="47"/>
    <x v="217"/>
  </r>
  <r>
    <x v="46"/>
    <x v="22"/>
    <x v="218"/>
  </r>
  <r>
    <x v="62"/>
    <x v="32"/>
    <x v="219"/>
  </r>
  <r>
    <x v="61"/>
    <x v="26"/>
    <x v="220"/>
  </r>
  <r>
    <x v="26"/>
    <x v="63"/>
    <x v="221"/>
  </r>
  <r>
    <x v="61"/>
    <x v="51"/>
    <x v="222"/>
  </r>
  <r>
    <x v="49"/>
    <x v="49"/>
    <x v="223"/>
  </r>
  <r>
    <x v="59"/>
    <x v="57"/>
    <x v="224"/>
  </r>
  <r>
    <x v="21"/>
    <x v="29"/>
    <x v="225"/>
  </r>
  <r>
    <x v="30"/>
    <x v="17"/>
    <x v="226"/>
  </r>
  <r>
    <x v="16"/>
    <x v="13"/>
    <x v="227"/>
  </r>
  <r>
    <x v="13"/>
    <x v="14"/>
    <x v="228"/>
  </r>
  <r>
    <x v="14"/>
    <x v="12"/>
    <x v="229"/>
  </r>
  <r>
    <x v="17"/>
    <x v="15"/>
    <x v="230"/>
  </r>
  <r>
    <x v="2"/>
    <x v="20"/>
    <x v="231"/>
  </r>
  <r>
    <x v="20"/>
    <x v="46"/>
    <x v="232"/>
  </r>
  <r>
    <x v="57"/>
    <x v="54"/>
    <x v="233"/>
  </r>
  <r>
    <x v="54"/>
    <x v="66"/>
    <x v="234"/>
  </r>
  <r>
    <x v="42"/>
    <x v="46"/>
    <x v="235"/>
  </r>
  <r>
    <x v="47"/>
    <x v="4"/>
    <x v="236"/>
  </r>
  <r>
    <x v="5"/>
    <x v="30"/>
    <x v="237"/>
  </r>
  <r>
    <x v="5"/>
    <x v="2"/>
    <x v="238"/>
  </r>
  <r>
    <x v="27"/>
    <x v="39"/>
    <x v="239"/>
  </r>
  <r>
    <x v="65"/>
    <x v="26"/>
    <x v="240"/>
  </r>
  <r>
    <x v="26"/>
    <x v="50"/>
    <x v="241"/>
  </r>
  <r>
    <x v="9"/>
    <x v="27"/>
    <x v="242"/>
  </r>
  <r>
    <x v="5"/>
    <x v="11"/>
    <x v="243"/>
  </r>
  <r>
    <x v="62"/>
    <x v="36"/>
    <x v="244"/>
  </r>
  <r>
    <x v="26"/>
    <x v="9"/>
    <x v="245"/>
  </r>
  <r>
    <x v="46"/>
    <x v="59"/>
    <x v="246"/>
  </r>
  <r>
    <x v="66"/>
    <x v="3"/>
    <x v="247"/>
  </r>
  <r>
    <x v="60"/>
    <x v="2"/>
    <x v="248"/>
  </r>
  <r>
    <x v="3"/>
    <x v="11"/>
    <x v="249"/>
  </r>
  <r>
    <x v="2"/>
    <x v="54"/>
    <x v="250"/>
  </r>
  <r>
    <x v="54"/>
    <x v="66"/>
    <x v="251"/>
  </r>
  <r>
    <x v="53"/>
    <x v="34"/>
    <x v="252"/>
  </r>
  <r>
    <x v="32"/>
    <x v="40"/>
    <x v="253"/>
  </r>
  <r>
    <x v="59"/>
    <x v="13"/>
    <x v="254"/>
  </r>
  <r>
    <x v="13"/>
    <x v="12"/>
    <x v="255"/>
  </r>
  <r>
    <x v="17"/>
    <x v="18"/>
    <x v="256"/>
  </r>
  <r>
    <x v="7"/>
    <x v="29"/>
    <x v="257"/>
  </r>
  <r>
    <x v="28"/>
    <x v="57"/>
    <x v="258"/>
  </r>
  <r>
    <x v="21"/>
    <x v="29"/>
    <x v="259"/>
  </r>
  <r>
    <x v="8"/>
    <x v="63"/>
    <x v="260"/>
  </r>
  <r>
    <x v="24"/>
    <x v="26"/>
    <x v="261"/>
  </r>
  <r>
    <x v="30"/>
    <x v="46"/>
    <x v="262"/>
  </r>
  <r>
    <x v="47"/>
    <x v="4"/>
    <x v="263"/>
  </r>
  <r>
    <x v="48"/>
    <x v="38"/>
    <x v="264"/>
  </r>
  <r>
    <x v="35"/>
    <x v="49"/>
    <x v="265"/>
  </r>
  <r>
    <x v="48"/>
    <x v="38"/>
    <x v="266"/>
  </r>
  <r>
    <x v="62"/>
    <x v="27"/>
    <x v="267"/>
  </r>
  <r>
    <x v="27"/>
    <x v="50"/>
    <x v="268"/>
  </r>
  <r>
    <x v="42"/>
    <x v="36"/>
    <x v="269"/>
  </r>
  <r>
    <x v="41"/>
    <x v="35"/>
    <x v="270"/>
  </r>
  <r>
    <x v="27"/>
    <x v="46"/>
    <x v="271"/>
  </r>
  <r>
    <x v="47"/>
    <x v="1"/>
    <x v="272"/>
  </r>
  <r>
    <x v="2"/>
    <x v="10"/>
    <x v="273"/>
  </r>
  <r>
    <x v="30"/>
    <x v="13"/>
    <x v="274"/>
  </r>
  <r>
    <x v="1"/>
    <x v="1"/>
    <x v="188"/>
  </r>
  <r>
    <x v="2"/>
    <x v="10"/>
    <x v="20"/>
  </r>
  <r>
    <x v="11"/>
    <x v="47"/>
    <x v="275"/>
  </r>
  <r>
    <x v="46"/>
    <x v="36"/>
    <x v="276"/>
  </r>
  <r>
    <x v="41"/>
    <x v="42"/>
    <x v="248"/>
  </r>
  <r>
    <x v="40"/>
    <x v="39"/>
    <x v="277"/>
  </r>
  <r>
    <x v="65"/>
    <x v="26"/>
    <x v="278"/>
  </r>
  <r>
    <x v="26"/>
    <x v="27"/>
    <x v="279"/>
  </r>
  <r>
    <x v="27"/>
    <x v="28"/>
    <x v="280"/>
  </r>
  <r>
    <x v="58"/>
    <x v="9"/>
    <x v="281"/>
  </r>
  <r>
    <x v="23"/>
    <x v="28"/>
    <x v="282"/>
  </r>
  <r>
    <x v="30"/>
    <x v="13"/>
    <x v="283"/>
  </r>
  <r>
    <x v="21"/>
    <x v="67"/>
    <x v="284"/>
  </r>
  <r>
    <x v="0"/>
    <x v="27"/>
    <x v="285"/>
  </r>
  <r>
    <x v="27"/>
    <x v="26"/>
    <x v="286"/>
  </r>
  <r>
    <x v="26"/>
    <x v="33"/>
    <x v="287"/>
  </r>
  <r>
    <x v="43"/>
    <x v="58"/>
    <x v="288"/>
  </r>
  <r>
    <x v="39"/>
    <x v="7"/>
    <x v="289"/>
  </r>
  <r>
    <x v="5"/>
    <x v="11"/>
    <x v="29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d v="2017-01-02T00:00:00"/>
    <s v="Olsztyn"/>
    <x v="0"/>
  </r>
  <r>
    <d v="2017-01-03T00:00:00"/>
    <s v="Torun"/>
    <x v="1"/>
  </r>
  <r>
    <d v="2017-01-04T00:00:00"/>
    <s v="Plock"/>
    <x v="2"/>
  </r>
  <r>
    <d v="2017-01-05T00:00:00"/>
    <s v="Ostroleka"/>
    <x v="3"/>
  </r>
  <r>
    <d v="2017-01-07T00:00:00"/>
    <s v="Lomza"/>
    <x v="4"/>
  </r>
  <r>
    <d v="2017-01-08T00:00:00"/>
    <s v="Ciechanow"/>
    <x v="5"/>
  </r>
  <r>
    <d v="2017-01-09T00:00:00"/>
    <s v="Lomza"/>
    <x v="6"/>
  </r>
  <r>
    <d v="2017-01-10T00:00:00"/>
    <s v="Kuznica Bialostocka"/>
    <x v="2"/>
  </r>
  <r>
    <d v="2017-01-11T00:00:00"/>
    <s v="Ostroleka"/>
    <x v="3"/>
  </r>
  <r>
    <d v="2017-01-12T00:00:00"/>
    <s v="Poznan"/>
    <x v="7"/>
  </r>
  <r>
    <d v="2017-01-14T00:00:00"/>
    <s v="Skierniewice"/>
    <x v="8"/>
  </r>
  <r>
    <d v="2017-01-15T00:00:00"/>
    <s v="Tarnow"/>
    <x v="9"/>
  </r>
  <r>
    <d v="2017-01-16T00:00:00"/>
    <s v="Radom"/>
    <x v="10"/>
  </r>
  <r>
    <d v="2017-01-17T00:00:00"/>
    <s v="Konin"/>
    <x v="0"/>
  </r>
  <r>
    <d v="2017-01-20T00:00:00"/>
    <s v="Kuznica Bialostocka"/>
    <x v="2"/>
  </r>
  <r>
    <d v="2017-01-21T00:00:00"/>
    <s v="Ostroleka"/>
    <x v="11"/>
  </r>
  <r>
    <d v="2017-01-22T00:00:00"/>
    <s v="Olsztyn"/>
    <x v="4"/>
  </r>
  <r>
    <d v="2017-01-23T00:00:00"/>
    <s v="Ciechanow"/>
    <x v="11"/>
  </r>
  <r>
    <d v="2017-01-24T00:00:00"/>
    <s v="Olsztyn"/>
    <x v="5"/>
  </r>
  <r>
    <d v="2017-01-25T00:00:00"/>
    <s v="Lomza"/>
    <x v="4"/>
  </r>
  <r>
    <d v="2017-01-26T00:00:00"/>
    <s v="Ciechanow"/>
    <x v="11"/>
  </r>
  <r>
    <d v="2017-01-27T00:00:00"/>
    <s v="Olsztyn"/>
    <x v="0"/>
  </r>
  <r>
    <d v="2017-01-28T00:00:00"/>
    <s v="Torun"/>
    <x v="12"/>
  </r>
  <r>
    <d v="2017-01-29T00:00:00"/>
    <s v="Kolbaskowo"/>
    <x v="13"/>
  </r>
  <r>
    <d v="2017-01-30T00:00:00"/>
    <s v="Szczecin"/>
    <x v="14"/>
  </r>
  <r>
    <d v="2017-01-31T00:00:00"/>
    <s v="Swinoujscie"/>
    <x v="13"/>
  </r>
  <r>
    <d v="2017-02-01T00:00:00"/>
    <s v="Szczecin"/>
    <x v="15"/>
  </r>
  <r>
    <d v="2017-02-02T00:00:00"/>
    <s v="Kostrzyn"/>
    <x v="16"/>
  </r>
  <r>
    <d v="2017-02-03T00:00:00"/>
    <s v="Kolbaskowo"/>
    <x v="17"/>
  </r>
  <r>
    <d v="2017-02-04T00:00:00"/>
    <s v="Gorzow Wielkopolski"/>
    <x v="12"/>
  </r>
  <r>
    <d v="2017-02-05T00:00:00"/>
    <s v="Pila"/>
    <x v="18"/>
  </r>
  <r>
    <d v="2017-02-06T00:00:00"/>
    <s v="Jakuszyce"/>
    <x v="19"/>
  </r>
  <r>
    <d v="2017-02-07T00:00:00"/>
    <s v="Kalisz"/>
    <x v="20"/>
  </r>
  <r>
    <d v="2017-02-08T00:00:00"/>
    <s v="Piotrkow Trybunalski"/>
    <x v="10"/>
  </r>
  <r>
    <d v="2017-02-09T00:00:00"/>
    <s v="Gdansk"/>
    <x v="0"/>
  </r>
  <r>
    <d v="2017-02-10T00:00:00"/>
    <s v="Torun"/>
    <x v="12"/>
  </r>
  <r>
    <d v="2017-02-11T00:00:00"/>
    <s v="Pila"/>
    <x v="21"/>
  </r>
  <r>
    <d v="2017-02-12T00:00:00"/>
    <s v="Koszalin"/>
    <x v="12"/>
  </r>
  <r>
    <d v="2017-02-13T00:00:00"/>
    <s v="Pila"/>
    <x v="22"/>
  </r>
  <r>
    <d v="2017-02-14T00:00:00"/>
    <s v="Lomza"/>
    <x v="23"/>
  </r>
  <r>
    <d v="2017-02-16T00:00:00"/>
    <s v="Koszalin"/>
    <x v="14"/>
  </r>
  <r>
    <d v="2017-02-17T00:00:00"/>
    <s v="Swinoujscie"/>
    <x v="13"/>
  </r>
  <r>
    <d v="2017-02-19T00:00:00"/>
    <s v="Pila"/>
    <x v="0"/>
  </r>
  <r>
    <d v="2017-02-22T00:00:00"/>
    <s v="Tarnow"/>
    <x v="24"/>
  </r>
  <r>
    <d v="2017-02-23T00:00:00"/>
    <s v="Katowice"/>
    <x v="20"/>
  </r>
  <r>
    <d v="2017-02-25T00:00:00"/>
    <s v="Plock"/>
    <x v="0"/>
  </r>
  <r>
    <d v="2017-02-27T00:00:00"/>
    <s v="Kudowa-Slone"/>
    <x v="25"/>
  </r>
  <r>
    <d v="2017-02-28T00:00:00"/>
    <s v="Elblag"/>
    <x v="4"/>
  </r>
  <r>
    <d v="2017-03-01T00:00:00"/>
    <s v="Kudowa-Slone"/>
    <x v="26"/>
  </r>
  <r>
    <d v="2017-03-02T00:00:00"/>
    <s v="Opole"/>
    <x v="27"/>
  </r>
  <r>
    <d v="2017-03-03T00:00:00"/>
    <s v="Bielsko-Biala"/>
    <x v="28"/>
  </r>
  <r>
    <d v="2017-03-04T00:00:00"/>
    <s v="Piotrkow Trybunalski"/>
    <x v="18"/>
  </r>
  <r>
    <d v="2017-03-08T00:00:00"/>
    <s v="Piotrkow Trybunalski"/>
    <x v="10"/>
  </r>
  <r>
    <d v="2017-03-09T00:00:00"/>
    <s v="Konin"/>
    <x v="29"/>
  </r>
  <r>
    <d v="2017-03-10T00:00:00"/>
    <s v="Bydgoszcz"/>
    <x v="30"/>
  </r>
  <r>
    <d v="2017-03-11T00:00:00"/>
    <s v="Wloclawek"/>
    <x v="31"/>
  </r>
  <r>
    <d v="2017-03-12T00:00:00"/>
    <s v="Skierniewice"/>
    <x v="32"/>
  </r>
  <r>
    <d v="2017-03-13T00:00:00"/>
    <s v="Gorzow Wielkopolski"/>
    <x v="33"/>
  </r>
  <r>
    <d v="2017-03-16T00:00:00"/>
    <s v="Gubin"/>
    <x v="15"/>
  </r>
  <r>
    <d v="2017-03-18T00:00:00"/>
    <s v="Zamosc"/>
    <x v="34"/>
  </r>
  <r>
    <d v="2017-03-19T00:00:00"/>
    <s v="Medyka"/>
    <x v="35"/>
  </r>
  <r>
    <d v="2017-03-20T00:00:00"/>
    <s v="Tarnobrzeg"/>
    <x v="36"/>
  </r>
  <r>
    <d v="2017-03-21T00:00:00"/>
    <s v="Krosno"/>
    <x v="35"/>
  </r>
  <r>
    <d v="2017-03-22T00:00:00"/>
    <s v="Tarnobrzeg"/>
    <x v="37"/>
  </r>
  <r>
    <d v="2017-03-23T00:00:00"/>
    <s v="Radom"/>
    <x v="31"/>
  </r>
  <r>
    <d v="2017-03-24T00:00:00"/>
    <s v="Skierniewice"/>
    <x v="30"/>
  </r>
  <r>
    <d v="2017-03-26T00:00:00"/>
    <s v="Tarnow"/>
    <x v="9"/>
  </r>
  <r>
    <d v="2017-03-27T00:00:00"/>
    <s v="Gubin"/>
    <x v="17"/>
  </r>
  <r>
    <d v="2017-03-28T00:00:00"/>
    <s v="Gorzow Wielkopolski"/>
    <x v="38"/>
  </r>
  <r>
    <d v="2017-03-29T00:00:00"/>
    <s v="Zielona Gora"/>
    <x v="18"/>
  </r>
  <r>
    <d v="2017-03-30T00:00:00"/>
    <s v="Poznan"/>
    <x v="29"/>
  </r>
  <r>
    <d v="2017-03-31T00:00:00"/>
    <s v="Bydgoszcz"/>
    <x v="30"/>
  </r>
  <r>
    <d v="2017-04-02T00:00:00"/>
    <s v="Chyzne"/>
    <x v="27"/>
  </r>
  <r>
    <d v="2017-04-03T00:00:00"/>
    <s v="Bielsko-Biala"/>
    <x v="23"/>
  </r>
  <r>
    <d v="2017-04-04T00:00:00"/>
    <s v="Chyzne"/>
    <x v="27"/>
  </r>
  <r>
    <d v="2017-04-05T00:00:00"/>
    <s v="Bielsko-Biala"/>
    <x v="23"/>
  </r>
  <r>
    <d v="2017-04-06T00:00:00"/>
    <s v="Chyzne"/>
    <x v="39"/>
  </r>
  <r>
    <d v="2017-04-07T00:00:00"/>
    <s v="Barwinek"/>
    <x v="34"/>
  </r>
  <r>
    <d v="2017-04-08T00:00:00"/>
    <s v="Medyka"/>
    <x v="40"/>
  </r>
  <r>
    <d v="2017-04-09T00:00:00"/>
    <s v="Rzeszow"/>
    <x v="40"/>
  </r>
  <r>
    <d v="2017-04-10T00:00:00"/>
    <s v="Konin"/>
    <x v="33"/>
  </r>
  <r>
    <d v="2017-04-11T00:00:00"/>
    <s v="Jakuszyce"/>
    <x v="15"/>
  </r>
  <r>
    <d v="2017-04-12T00:00:00"/>
    <s v="Kostrzyn"/>
    <x v="13"/>
  </r>
  <r>
    <d v="2017-04-14T00:00:00"/>
    <s v="Zgorzelec"/>
    <x v="41"/>
  </r>
  <r>
    <d v="2017-04-15T00:00:00"/>
    <s v="Ostroleka"/>
    <x v="42"/>
  </r>
  <r>
    <d v="2017-04-16T00:00:00"/>
    <s v="Krakow"/>
    <x v="36"/>
  </r>
  <r>
    <d v="2017-04-17T00:00:00"/>
    <s v="Kielce"/>
    <x v="42"/>
  </r>
  <r>
    <d v="2017-04-19T00:00:00"/>
    <s v="Zamosc"/>
    <x v="43"/>
  </r>
  <r>
    <d v="2017-04-21T00:00:00"/>
    <s v="Przemysl"/>
    <x v="34"/>
  </r>
  <r>
    <d v="2017-04-22T00:00:00"/>
    <s v="Medyka"/>
    <x v="40"/>
  </r>
  <r>
    <d v="2017-04-24T00:00:00"/>
    <s v="Walbrzych"/>
    <x v="26"/>
  </r>
  <r>
    <d v="2017-04-26T00:00:00"/>
    <s v="Szczecin"/>
    <x v="32"/>
  </r>
  <r>
    <d v="2017-04-28T00:00:00"/>
    <s v="Przemysl"/>
    <x v="44"/>
  </r>
  <r>
    <d v="2017-04-29T00:00:00"/>
    <s v="Barwinek"/>
    <x v="8"/>
  </r>
  <r>
    <d v="2017-04-30T00:00:00"/>
    <s v="Chalupki"/>
    <x v="22"/>
  </r>
  <r>
    <d v="2017-05-01T00:00:00"/>
    <s v="Zgorzelec"/>
    <x v="45"/>
  </r>
  <r>
    <d v="2017-05-02T00:00:00"/>
    <s v="Swiecko"/>
    <x v="13"/>
  </r>
  <r>
    <d v="2017-05-05T00:00:00"/>
    <s v="Radom"/>
    <x v="20"/>
  </r>
  <r>
    <d v="2017-05-06T00:00:00"/>
    <s v="Piotrkow Trybunalski"/>
    <x v="37"/>
  </r>
  <r>
    <d v="2017-05-07T00:00:00"/>
    <s v="Radom"/>
    <x v="20"/>
  </r>
  <r>
    <d v="2017-05-08T00:00:00"/>
    <s v="Piotrkow Trybunalski"/>
    <x v="19"/>
  </r>
  <r>
    <d v="2017-05-09T00:00:00"/>
    <s v="Kalisz"/>
    <x v="18"/>
  </r>
  <r>
    <d v="2017-05-12T00:00:00"/>
    <s v="Radom"/>
    <x v="46"/>
  </r>
  <r>
    <d v="2017-05-13T00:00:00"/>
    <s v="Walbrzych"/>
    <x v="19"/>
  </r>
  <r>
    <d v="2017-05-14T00:00:00"/>
    <s v="Kalisz"/>
    <x v="47"/>
  </r>
  <r>
    <d v="2017-05-15T00:00:00"/>
    <s v="Lodz"/>
    <x v="36"/>
  </r>
  <r>
    <d v="2017-05-17T00:00:00"/>
    <s v="Piotrkow Trybunalski"/>
    <x v="48"/>
  </r>
  <r>
    <d v="2017-05-18T00:00:00"/>
    <s v="Warszawa"/>
    <x v="49"/>
  </r>
  <r>
    <d v="2017-05-19T00:00:00"/>
    <s v="Legnica"/>
    <x v="7"/>
  </r>
  <r>
    <d v="2017-05-22T00:00:00"/>
    <s v="Piotrkow Trybunalski"/>
    <x v="30"/>
  </r>
  <r>
    <d v="2017-05-23T00:00:00"/>
    <s v="Elblag"/>
    <x v="6"/>
  </r>
  <r>
    <d v="2017-05-24T00:00:00"/>
    <s v="Warszawa"/>
    <x v="9"/>
  </r>
  <r>
    <d v="2017-05-26T00:00:00"/>
    <s v="Kudowa-Slone"/>
    <x v="26"/>
  </r>
  <r>
    <d v="2017-05-27T00:00:00"/>
    <s v="Opole"/>
    <x v="50"/>
  </r>
  <r>
    <d v="2017-05-28T00:00:00"/>
    <s v="Ostroleka"/>
    <x v="45"/>
  </r>
  <r>
    <d v="2017-05-29T00:00:00"/>
    <s v="Swiecko"/>
    <x v="49"/>
  </r>
  <r>
    <d v="2017-05-30T00:00:00"/>
    <s v="Legnica"/>
    <x v="51"/>
  </r>
  <r>
    <d v="2017-05-31T00:00:00"/>
    <s v="Leszno"/>
    <x v="52"/>
  </r>
  <r>
    <d v="2017-06-01T00:00:00"/>
    <s v="Jelenia Gora"/>
    <x v="53"/>
  </r>
  <r>
    <d v="2017-06-02T00:00:00"/>
    <s v="Olszyna"/>
    <x v="45"/>
  </r>
  <r>
    <d v="2017-06-04T00:00:00"/>
    <s v="Siedlce"/>
    <x v="5"/>
  </r>
  <r>
    <d v="2017-06-06T00:00:00"/>
    <s v="Rzeszow"/>
    <x v="40"/>
  </r>
  <r>
    <d v="2017-06-07T00:00:00"/>
    <s v="Hrebenne"/>
    <x v="54"/>
  </r>
  <r>
    <d v="2017-06-08T00:00:00"/>
    <s v="Lublin"/>
    <x v="37"/>
  </r>
  <r>
    <d v="2017-06-09T00:00:00"/>
    <s v="Radom"/>
    <x v="35"/>
  </r>
  <r>
    <d v="2017-06-10T00:00:00"/>
    <s v="Tarnobrzeg"/>
    <x v="42"/>
  </r>
  <r>
    <d v="2017-06-11T00:00:00"/>
    <s v="Radom"/>
    <x v="20"/>
  </r>
  <r>
    <d v="2017-06-12T00:00:00"/>
    <s v="Biala Podlaska"/>
    <x v="35"/>
  </r>
  <r>
    <d v="2017-06-13T00:00:00"/>
    <s v="Tarnobrzeg"/>
    <x v="36"/>
  </r>
  <r>
    <d v="2017-06-14T00:00:00"/>
    <s v="Kielce"/>
    <x v="32"/>
  </r>
  <r>
    <d v="2017-06-16T00:00:00"/>
    <s v="Chelm"/>
    <x v="55"/>
  </r>
  <r>
    <d v="2017-06-17T00:00:00"/>
    <s v="Terespol"/>
    <x v="46"/>
  </r>
  <r>
    <d v="2017-06-18T00:00:00"/>
    <s v="Warszawa"/>
    <x v="47"/>
  </r>
  <r>
    <d v="2017-06-19T00:00:00"/>
    <s v="Lodz"/>
    <x v="30"/>
  </r>
  <r>
    <d v="2017-06-20T00:00:00"/>
    <s v="Krosno"/>
    <x v="28"/>
  </r>
  <r>
    <d v="2017-06-21T00:00:00"/>
    <s v="Kielce"/>
    <x v="8"/>
  </r>
  <r>
    <d v="2017-06-22T00:00:00"/>
    <s v="Tarnow"/>
    <x v="9"/>
  </r>
  <r>
    <d v="2017-06-23T00:00:00"/>
    <s v="Katowice"/>
    <x v="28"/>
  </r>
  <r>
    <d v="2017-06-24T00:00:00"/>
    <s v="Zakopane"/>
    <x v="8"/>
  </r>
  <r>
    <d v="2017-06-25T00:00:00"/>
    <s v="Gdansk"/>
    <x v="56"/>
  </r>
  <r>
    <d v="2017-06-26T00:00:00"/>
    <s v="Slupsk"/>
    <x v="57"/>
  </r>
  <r>
    <d v="2017-06-27T00:00:00"/>
    <s v="Gdansk"/>
    <x v="21"/>
  </r>
  <r>
    <d v="2017-06-28T00:00:00"/>
    <s v="Koszalin"/>
    <x v="16"/>
  </r>
  <r>
    <d v="2017-06-29T00:00:00"/>
    <s v="Kolbaskowo"/>
    <x v="12"/>
  </r>
  <r>
    <d v="2017-06-30T00:00:00"/>
    <s v="Gubin"/>
    <x v="58"/>
  </r>
  <r>
    <d v="2017-07-01T00:00:00"/>
    <s v="Leszno"/>
    <x v="10"/>
  </r>
  <r>
    <d v="2017-07-02T00:00:00"/>
    <s v="Konin"/>
    <x v="1"/>
  </r>
  <r>
    <d v="2017-07-03T00:00:00"/>
    <s v="Plock"/>
    <x v="10"/>
  </r>
  <r>
    <d v="2017-07-04T00:00:00"/>
    <s v="Konin"/>
    <x v="47"/>
  </r>
  <r>
    <d v="2017-07-05T00:00:00"/>
    <s v="Bydgoszcz"/>
    <x v="30"/>
  </r>
  <r>
    <d v="2017-07-06T00:00:00"/>
    <s v="Wloclawek"/>
    <x v="19"/>
  </r>
  <r>
    <d v="2017-07-07T00:00:00"/>
    <s v="Kalisz"/>
    <x v="18"/>
  </r>
  <r>
    <d v="2017-07-08T00:00:00"/>
    <s v="Poznan"/>
    <x v="38"/>
  </r>
  <r>
    <d v="2017-07-10T00:00:00"/>
    <s v="Przemysl"/>
    <x v="57"/>
  </r>
  <r>
    <d v="2017-07-11T00:00:00"/>
    <s v="Suwalki"/>
    <x v="59"/>
  </r>
  <r>
    <d v="2017-07-12T00:00:00"/>
    <s v="Slupsk"/>
    <x v="60"/>
  </r>
  <r>
    <d v="2017-07-13T00:00:00"/>
    <s v="Elblag"/>
    <x v="56"/>
  </r>
  <r>
    <d v="2017-07-15T00:00:00"/>
    <s v="Zamosc"/>
    <x v="48"/>
  </r>
  <r>
    <d v="2017-07-16T00:00:00"/>
    <s v="Biala Podlaska"/>
    <x v="17"/>
  </r>
  <r>
    <d v="2017-07-17T00:00:00"/>
    <s v="Gorzow Wielkopolski"/>
    <x v="38"/>
  </r>
  <r>
    <d v="2017-07-19T00:00:00"/>
    <s v="Katowice"/>
    <x v="31"/>
  </r>
  <r>
    <d v="2017-07-20T00:00:00"/>
    <s v="Barwinek"/>
    <x v="32"/>
  </r>
  <r>
    <d v="2017-07-21T00:00:00"/>
    <s v="Sieradz"/>
    <x v="22"/>
  </r>
  <r>
    <d v="2017-07-22T00:00:00"/>
    <s v="Czestochowa"/>
    <x v="47"/>
  </r>
  <r>
    <d v="2017-07-23T00:00:00"/>
    <s v="Biala Podlaska"/>
    <x v="61"/>
  </r>
  <r>
    <d v="2017-07-24T00:00:00"/>
    <s v="Chelm"/>
    <x v="37"/>
  </r>
  <r>
    <d v="2017-07-25T00:00:00"/>
    <s v="Radom"/>
    <x v="46"/>
  </r>
  <r>
    <d v="2017-07-28T00:00:00"/>
    <s v="Plock"/>
    <x v="2"/>
  </r>
  <r>
    <d v="2017-07-29T00:00:00"/>
    <s v="Ostroleka"/>
    <x v="46"/>
  </r>
  <r>
    <d v="2017-07-30T00:00:00"/>
    <s v="Warszawa"/>
    <x v="62"/>
  </r>
  <r>
    <d v="2017-07-31T00:00:00"/>
    <s v="Piotrkow Trybunalski"/>
    <x v="25"/>
  </r>
  <r>
    <d v="2017-08-01T00:00:00"/>
    <s v="Jakuszyce"/>
    <x v="15"/>
  </r>
  <r>
    <d v="2017-08-02T00:00:00"/>
    <s v="Kostrzyn"/>
    <x v="38"/>
  </r>
  <r>
    <d v="2017-08-03T00:00:00"/>
    <s v="Zielona Gora"/>
    <x v="18"/>
  </r>
  <r>
    <d v="2017-08-06T00:00:00"/>
    <s v="Lublin"/>
    <x v="38"/>
  </r>
  <r>
    <d v="2017-08-07T00:00:00"/>
    <s v="Zielona Gora"/>
    <x v="18"/>
  </r>
  <r>
    <d v="2017-08-08T00:00:00"/>
    <s v="Poznan"/>
    <x v="12"/>
  </r>
  <r>
    <d v="2017-08-09T00:00:00"/>
    <s v="Pila"/>
    <x v="15"/>
  </r>
  <r>
    <d v="2017-08-10T00:00:00"/>
    <s v="Kostrzyn"/>
    <x v="7"/>
  </r>
  <r>
    <d v="2017-08-12T00:00:00"/>
    <s v="Opole"/>
    <x v="63"/>
  </r>
  <r>
    <d v="2017-08-13T00:00:00"/>
    <s v="Slupsk"/>
    <x v="57"/>
  </r>
  <r>
    <d v="2017-08-15T00:00:00"/>
    <s v="Kielce"/>
    <x v="10"/>
  </r>
  <r>
    <d v="2017-08-16T00:00:00"/>
    <s v="Konin"/>
    <x v="1"/>
  </r>
  <r>
    <d v="2017-08-17T00:00:00"/>
    <s v="Plock"/>
    <x v="29"/>
  </r>
  <r>
    <d v="2017-08-18T00:00:00"/>
    <s v="Bydgoszcz"/>
    <x v="10"/>
  </r>
  <r>
    <d v="2017-08-20T00:00:00"/>
    <s v="Bezledy"/>
    <x v="5"/>
  </r>
  <r>
    <d v="2017-08-21T00:00:00"/>
    <s v="Lomza"/>
    <x v="6"/>
  </r>
  <r>
    <d v="2017-08-23T00:00:00"/>
    <s v="Tarnobrzeg"/>
    <x v="48"/>
  </r>
  <r>
    <d v="2017-08-24T00:00:00"/>
    <s v="Przemysl"/>
    <x v="44"/>
  </r>
  <r>
    <d v="2017-08-25T00:00:00"/>
    <s v="Barwinek"/>
    <x v="8"/>
  </r>
  <r>
    <d v="2017-08-26T00:00:00"/>
    <s v="Chelm"/>
    <x v="37"/>
  </r>
  <r>
    <d v="2017-08-27T00:00:00"/>
    <s v="Radom"/>
    <x v="47"/>
  </r>
  <r>
    <d v="2017-08-28T00:00:00"/>
    <s v="Lodz"/>
    <x v="36"/>
  </r>
  <r>
    <d v="2017-08-29T00:00:00"/>
    <s v="Kielce"/>
    <x v="8"/>
  </r>
  <r>
    <d v="2017-08-30T00:00:00"/>
    <s v="Tarnow"/>
    <x v="27"/>
  </r>
  <r>
    <d v="2017-08-31T00:00:00"/>
    <s v="Bielsko-Biala"/>
    <x v="64"/>
  </r>
  <r>
    <d v="2017-09-01T00:00:00"/>
    <s v="Nowy Sacz"/>
    <x v="65"/>
  </r>
  <r>
    <d v="2017-09-02T00:00:00"/>
    <s v="Rzeszow"/>
    <x v="54"/>
  </r>
  <r>
    <d v="2017-09-03T00:00:00"/>
    <s v="Zielona Gora"/>
    <x v="49"/>
  </r>
  <r>
    <d v="2017-09-04T00:00:00"/>
    <s v="Ciechanow"/>
    <x v="46"/>
  </r>
  <r>
    <d v="2017-09-05T00:00:00"/>
    <s v="Lublin"/>
    <x v="8"/>
  </r>
  <r>
    <d v="2017-09-06T00:00:00"/>
    <s v="Tarnow"/>
    <x v="28"/>
  </r>
  <r>
    <d v="2017-09-07T00:00:00"/>
    <s v="Zakopane"/>
    <x v="44"/>
  </r>
  <r>
    <d v="2017-09-08T00:00:00"/>
    <s v="Lodz"/>
    <x v="46"/>
  </r>
  <r>
    <d v="2017-09-09T00:00:00"/>
    <s v="Warszawa"/>
    <x v="62"/>
  </r>
  <r>
    <d v="2017-09-11T00:00:00"/>
    <s v="Koszalin"/>
    <x v="13"/>
  </r>
  <r>
    <d v="2017-09-12T00:00:00"/>
    <s v="Olsztyn"/>
    <x v="4"/>
  </r>
  <r>
    <d v="2017-09-13T00:00:00"/>
    <s v="Ciechanow"/>
    <x v="0"/>
  </r>
  <r>
    <d v="2017-09-14T00:00:00"/>
    <s v="Elblag"/>
    <x v="29"/>
  </r>
  <r>
    <d v="2017-09-15T00:00:00"/>
    <s v="Plock"/>
    <x v="27"/>
  </r>
  <r>
    <d v="2017-09-17T00:00:00"/>
    <s v="Barwinek"/>
    <x v="5"/>
  </r>
  <r>
    <d v="2017-09-19T00:00:00"/>
    <s v="Gubin"/>
    <x v="46"/>
  </r>
  <r>
    <d v="2017-09-20T00:00:00"/>
    <s v="Warszawa"/>
    <x v="37"/>
  </r>
  <r>
    <d v="2017-09-21T00:00:00"/>
    <s v="Radom"/>
    <x v="20"/>
  </r>
  <r>
    <d v="2017-09-22T00:00:00"/>
    <s v="Warszawa"/>
    <x v="33"/>
  </r>
  <r>
    <d v="2017-09-23T00:00:00"/>
    <s v="Chalupki"/>
    <x v="33"/>
  </r>
  <r>
    <d v="2017-09-24T00:00:00"/>
    <s v="Walbrzych"/>
    <x v="53"/>
  </r>
  <r>
    <d v="2017-09-25T00:00:00"/>
    <s v="Olszyna"/>
    <x v="15"/>
  </r>
  <r>
    <d v="2017-09-26T00:00:00"/>
    <s v="Kostrzyn"/>
    <x v="58"/>
  </r>
  <r>
    <d v="2017-09-27T00:00:00"/>
    <s v="Zgorzelec"/>
    <x v="38"/>
  </r>
  <r>
    <d v="2017-09-28T00:00:00"/>
    <s v="Zielona Gora"/>
    <x v="15"/>
  </r>
  <r>
    <d v="2017-09-30T00:00:00"/>
    <s v="Wloclawek"/>
    <x v="4"/>
  </r>
  <r>
    <d v="2017-10-01T00:00:00"/>
    <s v="Piotrkow Trybunalski"/>
    <x v="19"/>
  </r>
  <r>
    <d v="2017-10-02T00:00:00"/>
    <s v="Kalisz"/>
    <x v="47"/>
  </r>
  <r>
    <d v="2017-10-03T00:00:00"/>
    <s v="Lodz"/>
    <x v="22"/>
  </r>
  <r>
    <d v="2017-10-04T00:00:00"/>
    <s v="Czestochowa"/>
    <x v="32"/>
  </r>
  <r>
    <d v="2017-10-05T00:00:00"/>
    <s v="Sieradz"/>
    <x v="26"/>
  </r>
  <r>
    <d v="2017-10-06T00:00:00"/>
    <s v="Opole"/>
    <x v="63"/>
  </r>
  <r>
    <d v="2017-10-07T00:00:00"/>
    <s v="Sieradz"/>
    <x v="51"/>
  </r>
  <r>
    <d v="2017-10-08T00:00:00"/>
    <s v="Leszno"/>
    <x v="49"/>
  </r>
  <r>
    <d v="2017-10-09T00:00:00"/>
    <s v="Slupsk"/>
    <x v="57"/>
  </r>
  <r>
    <d v="2017-10-10T00:00:00"/>
    <s v="Gdansk"/>
    <x v="29"/>
  </r>
  <r>
    <d v="2017-10-11T00:00:00"/>
    <s v="Gubin"/>
    <x v="17"/>
  </r>
  <r>
    <d v="2017-10-12T00:00:00"/>
    <s v="Gorzow Wielkopolski"/>
    <x v="13"/>
  </r>
  <r>
    <d v="2017-10-13T00:00:00"/>
    <s v="Szczecin"/>
    <x v="14"/>
  </r>
  <r>
    <d v="2017-10-14T00:00:00"/>
    <s v="Swinoujscie"/>
    <x v="12"/>
  </r>
  <r>
    <d v="2017-10-15T00:00:00"/>
    <s v="Pila"/>
    <x v="15"/>
  </r>
  <r>
    <d v="2017-10-17T00:00:00"/>
    <s v="Plock"/>
    <x v="20"/>
  </r>
  <r>
    <d v="2017-10-18T00:00:00"/>
    <s v="Piotrkow Trybunalski"/>
    <x v="46"/>
  </r>
  <r>
    <d v="2017-10-20T00:00:00"/>
    <s v="Terespol"/>
    <x v="54"/>
  </r>
  <r>
    <d v="2017-10-21T00:00:00"/>
    <s v="Lublin"/>
    <x v="66"/>
  </r>
  <r>
    <d v="2017-10-22T00:00:00"/>
    <s v="Przemysl"/>
    <x v="46"/>
  </r>
  <r>
    <d v="2017-10-23T00:00:00"/>
    <s v="Warszawa"/>
    <x v="4"/>
  </r>
  <r>
    <d v="2017-10-24T00:00:00"/>
    <s v="Ciechanow"/>
    <x v="30"/>
  </r>
  <r>
    <d v="2017-10-26T00:00:00"/>
    <s v="Ciechanow"/>
    <x v="2"/>
  </r>
  <r>
    <d v="2017-10-27T00:00:00"/>
    <s v="Bielsko-Biala"/>
    <x v="39"/>
  </r>
  <r>
    <d v="2017-10-28T00:00:00"/>
    <s v="Cieszyn"/>
    <x v="26"/>
  </r>
  <r>
    <d v="2017-10-29T00:00:00"/>
    <s v="Opole"/>
    <x v="50"/>
  </r>
  <r>
    <d v="2017-10-30T00:00:00"/>
    <s v="Tarnow"/>
    <x v="27"/>
  </r>
  <r>
    <d v="2017-11-01T00:00:00"/>
    <s v="Ciechanow"/>
    <x v="11"/>
  </r>
  <r>
    <d v="2017-11-03T00:00:00"/>
    <s v="Czestochowa"/>
    <x v="36"/>
  </r>
  <r>
    <d v="2017-11-05T00:00:00"/>
    <s v="Opole"/>
    <x v="9"/>
  </r>
  <r>
    <d v="2017-11-06T00:00:00"/>
    <s v="Lodz"/>
    <x v="59"/>
  </r>
  <r>
    <d v="2017-11-07T00:00:00"/>
    <s v="Bialystok"/>
    <x v="3"/>
  </r>
  <r>
    <d v="2017-11-08T00:00:00"/>
    <s v="Suwalki"/>
    <x v="2"/>
  </r>
  <r>
    <d v="2017-11-09T00:00:00"/>
    <s v="Ostroleka"/>
    <x v="11"/>
  </r>
  <r>
    <d v="2017-11-12T00:00:00"/>
    <s v="Plock"/>
    <x v="54"/>
  </r>
  <r>
    <d v="2017-11-13T00:00:00"/>
    <s v="Lublin"/>
    <x v="66"/>
  </r>
  <r>
    <d v="2017-11-14T00:00:00"/>
    <s v="Hrebenne"/>
    <x v="34"/>
  </r>
  <r>
    <d v="2017-11-15T00:00:00"/>
    <s v="Medyka"/>
    <x v="40"/>
  </r>
  <r>
    <d v="2017-11-16T00:00:00"/>
    <s v="Slupsk"/>
    <x v="13"/>
  </r>
  <r>
    <d v="2017-11-17T00:00:00"/>
    <s v="Szczecin"/>
    <x v="12"/>
  </r>
  <r>
    <d v="2017-11-18T00:00:00"/>
    <s v="Pila"/>
    <x v="18"/>
  </r>
  <r>
    <d v="2017-11-19T00:00:00"/>
    <s v="Poznan"/>
    <x v="29"/>
  </r>
  <r>
    <d v="2017-11-20T00:00:00"/>
    <s v="Bydgoszcz"/>
    <x v="57"/>
  </r>
  <r>
    <d v="2017-11-21T00:00:00"/>
    <s v="Gdansk"/>
    <x v="29"/>
  </r>
  <r>
    <d v="2017-11-22T00:00:00"/>
    <s v="Skierniewice"/>
    <x v="63"/>
  </r>
  <r>
    <d v="2017-11-23T00:00:00"/>
    <s v="Kudowa-Slone"/>
    <x v="26"/>
  </r>
  <r>
    <d v="2017-11-24T00:00:00"/>
    <s v="Gubin"/>
    <x v="46"/>
  </r>
  <r>
    <d v="2017-11-25T00:00:00"/>
    <s v="Warszawa"/>
    <x v="4"/>
  </r>
  <r>
    <d v="2017-11-28T00:00:00"/>
    <s v="Legnica"/>
    <x v="38"/>
  </r>
  <r>
    <d v="2017-11-29T00:00:00"/>
    <s v="Zielona Gora"/>
    <x v="49"/>
  </r>
  <r>
    <d v="2017-11-30T00:00:00"/>
    <s v="Legnica"/>
    <x v="38"/>
  </r>
  <r>
    <d v="2017-12-01T00:00:00"/>
    <s v="Czestochowa"/>
    <x v="27"/>
  </r>
  <r>
    <d v="2017-12-02T00:00:00"/>
    <s v="Bielsko-Biala"/>
    <x v="50"/>
  </r>
  <r>
    <d v="2017-12-03T00:00:00"/>
    <s v="Przemysl"/>
    <x v="36"/>
  </r>
  <r>
    <d v="2017-12-04T00:00:00"/>
    <s v="Kielce"/>
    <x v="35"/>
  </r>
  <r>
    <d v="2017-12-06T00:00:00"/>
    <s v="Bielsko-Biala"/>
    <x v="46"/>
  </r>
  <r>
    <d v="2017-12-07T00:00:00"/>
    <s v="Warszawa"/>
    <x v="1"/>
  </r>
  <r>
    <d v="2017-12-08T00:00:00"/>
    <s v="Plock"/>
    <x v="10"/>
  </r>
  <r>
    <d v="2017-12-09T00:00:00"/>
    <s v="Gubin"/>
    <x v="13"/>
  </r>
  <r>
    <d v="2017-12-10T00:00:00"/>
    <s v="Torun"/>
    <x v="1"/>
  </r>
  <r>
    <d v="2017-12-11T00:00:00"/>
    <s v="Plock"/>
    <x v="10"/>
  </r>
  <r>
    <d v="2017-12-12T00:00:00"/>
    <s v="Konin"/>
    <x v="47"/>
  </r>
  <r>
    <d v="2017-12-13T00:00:00"/>
    <s v="Lodz"/>
    <x v="36"/>
  </r>
  <r>
    <d v="2017-12-14T00:00:00"/>
    <s v="Kielce"/>
    <x v="42"/>
  </r>
  <r>
    <d v="2017-12-15T00:00:00"/>
    <s v="Krakow"/>
    <x v="39"/>
  </r>
  <r>
    <d v="2017-12-16T00:00:00"/>
    <s v="Cieszyn"/>
    <x v="26"/>
  </r>
  <r>
    <d v="2017-12-17T00:00:00"/>
    <s v="Opole"/>
    <x v="27"/>
  </r>
  <r>
    <d v="2017-12-18T00:00:00"/>
    <s v="Bielsko-Biala"/>
    <x v="28"/>
  </r>
  <r>
    <d v="2017-12-19T00:00:00"/>
    <s v="Zakopane"/>
    <x v="9"/>
  </r>
  <r>
    <d v="2017-12-20T00:00:00"/>
    <s v="Katowice"/>
    <x v="28"/>
  </r>
  <r>
    <d v="2017-12-21T00:00:00"/>
    <s v="Gubin"/>
    <x v="13"/>
  </r>
  <r>
    <d v="2017-12-23T00:00:00"/>
    <s v="Gdansk"/>
    <x v="67"/>
  </r>
  <r>
    <d v="2017-12-25T00:00:00"/>
    <s v="Olsztyn"/>
    <x v="27"/>
  </r>
  <r>
    <d v="2017-12-26T00:00:00"/>
    <s v="Bielsko-Biala"/>
    <x v="26"/>
  </r>
  <r>
    <d v="2017-12-27T00:00:00"/>
    <s v="Opole"/>
    <x v="33"/>
  </r>
  <r>
    <d v="2017-12-28T00:00:00"/>
    <s v="Walbrzych"/>
    <x v="58"/>
  </r>
  <r>
    <d v="2017-12-29T00:00:00"/>
    <s v="Zgorzelec"/>
    <x v="7"/>
  </r>
  <r>
    <d v="2017-12-31T00:00:00"/>
    <s v="Ciechanow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ADDB2B-8C95-49EF-B2F1-21334E610FF1}" name="Tabela przestawna1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F3:BW72" firstHeaderRow="1" firstDataRow="2" firstDataCol="1"/>
  <pivotFields count="3">
    <pivotField axis="axisRow" showAll="0">
      <items count="68">
        <item x="37"/>
        <item x="63"/>
        <item x="55"/>
        <item x="66"/>
        <item x="27"/>
        <item x="28"/>
        <item x="44"/>
        <item x="56"/>
        <item x="36"/>
        <item x="5"/>
        <item x="65"/>
        <item x="62"/>
        <item x="25"/>
        <item x="21"/>
        <item x="16"/>
        <item x="30"/>
        <item x="53"/>
        <item x="18"/>
        <item x="50"/>
        <item x="19"/>
        <item x="23"/>
        <item x="41"/>
        <item x="12"/>
        <item x="11"/>
        <item x="15"/>
        <item x="22"/>
        <item x="40"/>
        <item x="34"/>
        <item x="24"/>
        <item x="6"/>
        <item x="48"/>
        <item x="49"/>
        <item x="46"/>
        <item x="4"/>
        <item x="54"/>
        <item x="32"/>
        <item x="64"/>
        <item x="0"/>
        <item x="51"/>
        <item x="26"/>
        <item x="3"/>
        <item x="17"/>
        <item x="20"/>
        <item x="2"/>
        <item x="7"/>
        <item x="42"/>
        <item x="10"/>
        <item x="38"/>
        <item x="52"/>
        <item x="61"/>
        <item x="8"/>
        <item x="59"/>
        <item x="60"/>
        <item x="45"/>
        <item x="14"/>
        <item x="13"/>
        <item x="33"/>
        <item x="9"/>
        <item x="57"/>
        <item x="1"/>
        <item x="43"/>
        <item x="47"/>
        <item x="29"/>
        <item x="58"/>
        <item x="31"/>
        <item x="39"/>
        <item x="35"/>
        <item t="default"/>
      </items>
    </pivotField>
    <pivotField axis="axisCol" showAll="0">
      <items count="69">
        <item x="44"/>
        <item x="67"/>
        <item x="43"/>
        <item x="59"/>
        <item x="27"/>
        <item x="29"/>
        <item x="50"/>
        <item x="61"/>
        <item x="23"/>
        <item x="4"/>
        <item x="39"/>
        <item x="22"/>
        <item x="60"/>
        <item x="57"/>
        <item x="17"/>
        <item x="7"/>
        <item x="66"/>
        <item x="25"/>
        <item x="52"/>
        <item x="19"/>
        <item x="9"/>
        <item x="36"/>
        <item x="16"/>
        <item x="10"/>
        <item x="15"/>
        <item x="21"/>
        <item x="42"/>
        <item x="24"/>
        <item x="63"/>
        <item x="6"/>
        <item x="49"/>
        <item x="51"/>
        <item x="47"/>
        <item x="5"/>
        <item x="54"/>
        <item x="34"/>
        <item x="64"/>
        <item x="11"/>
        <item x="53"/>
        <item x="26"/>
        <item x="2"/>
        <item x="12"/>
        <item x="20"/>
        <item x="1"/>
        <item x="18"/>
        <item x="48"/>
        <item x="37"/>
        <item x="65"/>
        <item x="62"/>
        <item x="32"/>
        <item x="31"/>
        <item x="56"/>
        <item x="3"/>
        <item x="45"/>
        <item x="14"/>
        <item x="13"/>
        <item x="35"/>
        <item x="8"/>
        <item x="55"/>
        <item x="0"/>
        <item x="33"/>
        <item x="46"/>
        <item x="30"/>
        <item x="41"/>
        <item x="28"/>
        <item x="40"/>
        <item x="58"/>
        <item x="38"/>
        <item t="default"/>
      </items>
    </pivotField>
    <pivotField dataField="1" showAll="0">
      <items count="292">
        <item x="80"/>
        <item x="86"/>
        <item x="261"/>
        <item x="158"/>
        <item x="181"/>
        <item x="272"/>
        <item x="3"/>
        <item x="213"/>
        <item x="173"/>
        <item x="91"/>
        <item x="62"/>
        <item x="279"/>
        <item x="52"/>
        <item x="218"/>
        <item x="8"/>
        <item x="176"/>
        <item x="186"/>
        <item x="22"/>
        <item x="7"/>
        <item x="192"/>
        <item x="198"/>
        <item x="54"/>
        <item x="280"/>
        <item x="130"/>
        <item x="125"/>
        <item x="281"/>
        <item x="45"/>
        <item x="74"/>
        <item x="193"/>
        <item x="124"/>
        <item x="28"/>
        <item x="254"/>
        <item x="252"/>
        <item x="104"/>
        <item x="42"/>
        <item x="51"/>
        <item x="58"/>
        <item x="111"/>
        <item x="242"/>
        <item x="95"/>
        <item x="238"/>
        <item x="240"/>
        <item x="116"/>
        <item x="96"/>
        <item x="223"/>
        <item x="172"/>
        <item x="12"/>
        <item x="225"/>
        <item x="248"/>
        <item x="126"/>
        <item x="137"/>
        <item x="88"/>
        <item x="230"/>
        <item x="72"/>
        <item x="212"/>
        <item x="49"/>
        <item x="60"/>
        <item x="34"/>
        <item x="227"/>
        <item x="194"/>
        <item x="199"/>
        <item x="142"/>
        <item x="129"/>
        <item x="273"/>
        <item x="290"/>
        <item x="23"/>
        <item x="56"/>
        <item x="276"/>
        <item x="187"/>
        <item x="61"/>
        <item x="90"/>
        <item x="40"/>
        <item x="150"/>
        <item x="220"/>
        <item x="134"/>
        <item x="149"/>
        <item x="267"/>
        <item x="206"/>
        <item x="119"/>
        <item x="123"/>
        <item x="257"/>
        <item x="24"/>
        <item x="98"/>
        <item x="147"/>
        <item x="78"/>
        <item x="168"/>
        <item x="170"/>
        <item x="94"/>
        <item x="138"/>
        <item x="71"/>
        <item x="197"/>
        <item x="202"/>
        <item x="157"/>
        <item x="271"/>
        <item x="264"/>
        <item x="146"/>
        <item x="278"/>
        <item x="208"/>
        <item x="55"/>
        <item x="163"/>
        <item x="121"/>
        <item x="207"/>
        <item x="222"/>
        <item x="59"/>
        <item x="174"/>
        <item x="188"/>
        <item x="274"/>
        <item x="243"/>
        <item x="232"/>
        <item x="107"/>
        <item x="109"/>
        <item x="287"/>
        <item x="113"/>
        <item x="165"/>
        <item x="154"/>
        <item x="99"/>
        <item x="204"/>
        <item x="14"/>
        <item x="211"/>
        <item x="159"/>
        <item x="249"/>
        <item x="245"/>
        <item x="105"/>
        <item x="270"/>
        <item x="79"/>
        <item x="183"/>
        <item x="38"/>
        <item x="30"/>
        <item x="41"/>
        <item x="13"/>
        <item x="33"/>
        <item x="205"/>
        <item x="120"/>
        <item x="228"/>
        <item x="93"/>
        <item x="114"/>
        <item x="81"/>
        <item x="255"/>
        <item x="151"/>
        <item x="92"/>
        <item x="275"/>
        <item x="171"/>
        <item x="185"/>
        <item x="133"/>
        <item x="0"/>
        <item x="203"/>
        <item x="164"/>
        <item x="288"/>
        <item x="190"/>
        <item x="184"/>
        <item x="236"/>
        <item x="246"/>
        <item x="160"/>
        <item x="25"/>
        <item x="1"/>
        <item x="241"/>
        <item x="141"/>
        <item x="140"/>
        <item x="284"/>
        <item x="9"/>
        <item x="21"/>
        <item x="35"/>
        <item x="67"/>
        <item x="83"/>
        <item x="234"/>
        <item x="106"/>
        <item x="131"/>
        <item x="217"/>
        <item x="85"/>
        <item x="152"/>
        <item x="43"/>
        <item x="226"/>
        <item x="282"/>
        <item x="247"/>
        <item x="135"/>
        <item x="177"/>
        <item x="57"/>
        <item x="263"/>
        <item x="286"/>
        <item x="37"/>
        <item x="235"/>
        <item x="265"/>
        <item x="63"/>
        <item x="145"/>
        <item x="266"/>
        <item x="64"/>
        <item x="144"/>
        <item x="214"/>
        <item x="210"/>
        <item x="175"/>
        <item x="47"/>
        <item x="70"/>
        <item x="224"/>
        <item x="201"/>
        <item x="50"/>
        <item x="48"/>
        <item x="53"/>
        <item x="110"/>
        <item x="156"/>
        <item x="10"/>
        <item x="19"/>
        <item x="128"/>
        <item x="237"/>
        <item x="239"/>
        <item x="132"/>
        <item x="18"/>
        <item x="11"/>
        <item x="260"/>
        <item x="143"/>
        <item x="219"/>
        <item x="283"/>
        <item x="68"/>
        <item x="216"/>
        <item x="97"/>
        <item x="179"/>
        <item x="229"/>
        <item x="76"/>
        <item x="244"/>
        <item x="289"/>
        <item x="127"/>
        <item x="75"/>
        <item x="112"/>
        <item x="102"/>
        <item x="27"/>
        <item x="250"/>
        <item x="4"/>
        <item x="2"/>
        <item x="44"/>
        <item x="189"/>
        <item x="20"/>
        <item x="115"/>
        <item x="200"/>
        <item x="39"/>
        <item x="268"/>
        <item x="180"/>
        <item x="251"/>
        <item x="87"/>
        <item x="66"/>
        <item x="69"/>
        <item x="258"/>
        <item x="191"/>
        <item x="277"/>
        <item x="209"/>
        <item x="65"/>
        <item x="100"/>
        <item x="31"/>
        <item x="89"/>
        <item x="46"/>
        <item x="166"/>
        <item x="169"/>
        <item x="178"/>
        <item x="253"/>
        <item x="82"/>
        <item x="215"/>
        <item x="139"/>
        <item x="101"/>
        <item x="259"/>
        <item x="117"/>
        <item x="17"/>
        <item x="262"/>
        <item x="231"/>
        <item x="256"/>
        <item x="118"/>
        <item x="155"/>
        <item x="233"/>
        <item x="15"/>
        <item x="285"/>
        <item x="73"/>
        <item x="29"/>
        <item x="148"/>
        <item x="167"/>
        <item x="122"/>
        <item x="26"/>
        <item x="269"/>
        <item x="36"/>
        <item x="161"/>
        <item x="182"/>
        <item x="162"/>
        <item x="221"/>
        <item x="84"/>
        <item x="108"/>
        <item x="32"/>
        <item x="136"/>
        <item x="5"/>
        <item x="153"/>
        <item x="77"/>
        <item x="195"/>
        <item x="103"/>
        <item x="6"/>
        <item x="16"/>
        <item x="196"/>
        <item t="default"/>
      </items>
    </pivotField>
  </pivotFields>
  <rowFields count="1">
    <field x="0"/>
  </rowFields>
  <rowItems count="6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 t="grand">
      <x/>
    </i>
  </rowItems>
  <colFields count="1">
    <field x="1"/>
  </colFields>
  <colItems count="6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 t="grand">
      <x/>
    </i>
  </colItems>
  <dataFields count="1">
    <dataField name="Suma z Waga" fld="2" baseField="0" baseItem="0"/>
  </dataFields>
  <formats count="3">
    <format dxfId="2">
      <pivotArea collapsedLevelsAreSubtotals="1" fieldPosition="0">
        <references count="2">
          <reference field="0" count="1">
            <x v="9"/>
          </reference>
          <reference field="1" count="1" selected="0">
            <x v="37"/>
          </reference>
        </references>
      </pivotArea>
    </format>
    <format dxfId="1">
      <pivotArea collapsedLevelsAreSubtotals="1" fieldPosition="0">
        <references count="2">
          <reference field="0" count="9">
            <x v="0"/>
            <x v="1"/>
            <x v="2"/>
            <x v="3"/>
            <x v="4"/>
            <x v="5"/>
            <x v="6"/>
            <x v="7"/>
            <x v="8"/>
          </reference>
          <reference field="1" count="1" selected="0">
            <x v="37"/>
          </reference>
        </references>
      </pivotArea>
    </format>
    <format dxfId="0">
      <pivotArea collapsedLevelsAreSubtotals="1" fieldPosition="0">
        <references count="2">
          <reference field="0" count="1">
            <x v="9"/>
          </reference>
          <reference field="1" count="37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39F45E-49F2-453F-8B39-9210E401293D}" name="Tabela przestawna2" cacheId="9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I7:J19" firstHeaderRow="1" firstDataRow="1" firstDataCol="1"/>
  <pivotFields count="3">
    <pivotField numFmtId="14" showAll="0"/>
    <pivotField dataField="1" showAll="0"/>
    <pivotField axis="axisRow" showAll="0" measureFilter="1">
      <items count="69">
        <item x="44"/>
        <item x="67"/>
        <item x="43"/>
        <item x="59"/>
        <item x="27"/>
        <item x="29"/>
        <item x="50"/>
        <item x="61"/>
        <item x="23"/>
        <item x="4"/>
        <item x="39"/>
        <item x="22"/>
        <item x="60"/>
        <item x="57"/>
        <item x="17"/>
        <item x="7"/>
        <item x="66"/>
        <item x="25"/>
        <item x="52"/>
        <item x="19"/>
        <item x="9"/>
        <item x="36"/>
        <item x="16"/>
        <item x="10"/>
        <item x="15"/>
        <item x="21"/>
        <item x="42"/>
        <item x="24"/>
        <item x="63"/>
        <item x="6"/>
        <item x="49"/>
        <item x="51"/>
        <item x="47"/>
        <item x="5"/>
        <item x="54"/>
        <item x="34"/>
        <item x="64"/>
        <item x="11"/>
        <item x="53"/>
        <item x="26"/>
        <item x="2"/>
        <item x="12"/>
        <item x="20"/>
        <item x="1"/>
        <item x="18"/>
        <item x="48"/>
        <item x="37"/>
        <item x="65"/>
        <item x="62"/>
        <item x="32"/>
        <item x="31"/>
        <item x="56"/>
        <item x="3"/>
        <item x="45"/>
        <item x="14"/>
        <item x="13"/>
        <item x="35"/>
        <item x="8"/>
        <item x="55"/>
        <item x="0"/>
        <item x="33"/>
        <item x="46"/>
        <item x="30"/>
        <item x="41"/>
        <item x="28"/>
        <item x="40"/>
        <item x="58"/>
        <item x="38"/>
        <item t="default"/>
      </items>
    </pivotField>
  </pivotFields>
  <rowFields count="1">
    <field x="2"/>
  </rowFields>
  <rowItems count="12">
    <i>
      <x v="4"/>
    </i>
    <i>
      <x v="9"/>
    </i>
    <i>
      <x v="21"/>
    </i>
    <i>
      <x v="23"/>
    </i>
    <i>
      <x v="24"/>
    </i>
    <i>
      <x v="39"/>
    </i>
    <i>
      <x v="41"/>
    </i>
    <i>
      <x v="44"/>
    </i>
    <i>
      <x v="55"/>
    </i>
    <i>
      <x v="61"/>
    </i>
    <i>
      <x v="67"/>
    </i>
    <i t="grand">
      <x/>
    </i>
  </rowItems>
  <colItems count="1">
    <i/>
  </colItems>
  <dataFields count="1">
    <dataField name="Liczba z Poczatek" fld="1" subtotal="count" baseField="0" baseItem="0"/>
  </dataFields>
  <pivotTableStyleInfo name="PivotStyleLight16" showRowHeaders="1" showColHeaders="1" showRowStripes="0" showColStripes="0" showLastColumn="1"/>
  <filters count="1">
    <filter fld="2" type="valueGreaterThanOrEqual" evalOrder="-1" id="1" iMeasureFld="0">
      <autoFilter ref="A1">
        <filterColumn colId="0">
          <customFilters>
            <customFilter operator="greaterThanOrEqual" val="8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ursy" connectionId="1" xr16:uid="{A09E90C5-7777-4CC6-8773-71DBF9C9253B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ursy" connectionId="2" xr16:uid="{B828DC0A-02ED-46EE-A06E-85B3FEAC0F11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ursy" connectionId="3" xr16:uid="{6869A0E5-CB89-47DB-B43D-875432924F70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ursy" connectionId="4" xr16:uid="{DE6C2E52-776D-4A16-A115-EF71F1DB39FC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ursy" connectionId="5" xr16:uid="{07C10AA6-6D08-40FB-A010-45C05EEF146C}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ursy" connectionId="6" xr16:uid="{18233212-B346-4858-9A08-4B7C888DB0A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5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1"/>
  <sheetViews>
    <sheetView workbookViewId="0"/>
  </sheetViews>
  <sheetFormatPr defaultRowHeight="15" x14ac:dyDescent="0.25"/>
  <cols>
    <col min="1" max="1" width="10.140625" bestFit="1" customWidth="1"/>
    <col min="2" max="3" width="20" bestFit="1" customWidth="1"/>
    <col min="4" max="4" width="5.85546875" bestFit="1" customWidth="1"/>
    <col min="5" max="5" width="9.7109375" bestFit="1" customWidth="1"/>
    <col min="6" max="6" width="5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42737</v>
      </c>
      <c r="B2" t="s">
        <v>6</v>
      </c>
      <c r="C2" t="s">
        <v>7</v>
      </c>
      <c r="D2">
        <v>3527</v>
      </c>
      <c r="E2">
        <v>167</v>
      </c>
      <c r="F2">
        <v>206</v>
      </c>
    </row>
    <row r="3" spans="1:6" x14ac:dyDescent="0.25">
      <c r="A3" s="1">
        <v>42738</v>
      </c>
      <c r="B3" t="s">
        <v>7</v>
      </c>
      <c r="C3" t="s">
        <v>8</v>
      </c>
      <c r="D3">
        <v>3666</v>
      </c>
      <c r="E3">
        <v>112</v>
      </c>
      <c r="F3">
        <v>280</v>
      </c>
    </row>
    <row r="4" spans="1:6" x14ac:dyDescent="0.25">
      <c r="A4" s="1">
        <v>42739</v>
      </c>
      <c r="B4" t="s">
        <v>8</v>
      </c>
      <c r="C4" t="s">
        <v>9</v>
      </c>
      <c r="D4">
        <v>4888</v>
      </c>
      <c r="E4">
        <v>167</v>
      </c>
      <c r="F4">
        <v>624</v>
      </c>
    </row>
    <row r="5" spans="1:6" x14ac:dyDescent="0.25">
      <c r="A5" s="1">
        <v>42740</v>
      </c>
      <c r="B5" t="s">
        <v>9</v>
      </c>
      <c r="C5" t="s">
        <v>10</v>
      </c>
      <c r="D5">
        <v>1099</v>
      </c>
      <c r="E5">
        <v>167</v>
      </c>
      <c r="F5">
        <v>390</v>
      </c>
    </row>
    <row r="6" spans="1:6" x14ac:dyDescent="0.25">
      <c r="A6" s="1">
        <v>42742</v>
      </c>
      <c r="B6" t="s">
        <v>11</v>
      </c>
      <c r="C6" t="s">
        <v>12</v>
      </c>
      <c r="D6">
        <v>4881</v>
      </c>
      <c r="E6">
        <v>118</v>
      </c>
      <c r="F6">
        <v>219</v>
      </c>
    </row>
    <row r="7" spans="1:6" x14ac:dyDescent="0.25">
      <c r="A7" s="1">
        <v>42743</v>
      </c>
      <c r="B7" t="s">
        <v>12</v>
      </c>
      <c r="C7" t="s">
        <v>11</v>
      </c>
      <c r="D7">
        <v>5851</v>
      </c>
      <c r="E7">
        <v>113</v>
      </c>
      <c r="F7">
        <v>160</v>
      </c>
    </row>
    <row r="8" spans="1:6" x14ac:dyDescent="0.25">
      <c r="A8" s="1">
        <v>42744</v>
      </c>
      <c r="B8" t="s">
        <v>11</v>
      </c>
      <c r="C8" t="s">
        <v>13</v>
      </c>
      <c r="D8">
        <v>5963</v>
      </c>
      <c r="E8">
        <v>141</v>
      </c>
      <c r="F8">
        <v>168</v>
      </c>
    </row>
    <row r="9" spans="1:6" x14ac:dyDescent="0.25">
      <c r="A9" s="1">
        <v>42745</v>
      </c>
      <c r="B9" t="s">
        <v>13</v>
      </c>
      <c r="C9" t="s">
        <v>9</v>
      </c>
      <c r="D9">
        <v>1364</v>
      </c>
      <c r="E9">
        <v>179</v>
      </c>
      <c r="F9">
        <v>533</v>
      </c>
    </row>
    <row r="10" spans="1:6" x14ac:dyDescent="0.25">
      <c r="A10" s="1">
        <v>42746</v>
      </c>
      <c r="B10" t="s">
        <v>9</v>
      </c>
      <c r="C10" t="s">
        <v>10</v>
      </c>
      <c r="D10">
        <v>1245</v>
      </c>
      <c r="E10">
        <v>166</v>
      </c>
      <c r="F10">
        <v>209</v>
      </c>
    </row>
    <row r="11" spans="1:6" x14ac:dyDescent="0.25">
      <c r="A11" s="1">
        <v>42747</v>
      </c>
      <c r="B11" t="s">
        <v>14</v>
      </c>
      <c r="C11" t="s">
        <v>15</v>
      </c>
      <c r="D11">
        <v>3771</v>
      </c>
      <c r="E11">
        <v>196</v>
      </c>
      <c r="F11">
        <v>696</v>
      </c>
    </row>
    <row r="12" spans="1:6" x14ac:dyDescent="0.25">
      <c r="A12" s="1">
        <v>42749</v>
      </c>
      <c r="B12" t="s">
        <v>16</v>
      </c>
      <c r="C12" t="s">
        <v>17</v>
      </c>
      <c r="D12">
        <v>4522</v>
      </c>
      <c r="E12">
        <v>300</v>
      </c>
      <c r="F12">
        <v>1113</v>
      </c>
    </row>
    <row r="13" spans="1:6" x14ac:dyDescent="0.25">
      <c r="A13" s="1">
        <v>42750</v>
      </c>
      <c r="B13" t="s">
        <v>17</v>
      </c>
      <c r="C13" t="s">
        <v>18</v>
      </c>
      <c r="D13">
        <v>4588</v>
      </c>
      <c r="E13">
        <v>148</v>
      </c>
      <c r="F13">
        <v>494</v>
      </c>
    </row>
    <row r="14" spans="1:6" x14ac:dyDescent="0.25">
      <c r="A14" s="1">
        <v>42751</v>
      </c>
      <c r="B14" t="s">
        <v>19</v>
      </c>
      <c r="C14" t="s">
        <v>20</v>
      </c>
      <c r="D14">
        <v>1952</v>
      </c>
      <c r="E14">
        <v>267</v>
      </c>
      <c r="F14">
        <v>602</v>
      </c>
    </row>
    <row r="15" spans="1:6" x14ac:dyDescent="0.25">
      <c r="A15" s="1">
        <v>42752</v>
      </c>
      <c r="B15" t="s">
        <v>20</v>
      </c>
      <c r="C15" t="s">
        <v>7</v>
      </c>
      <c r="D15">
        <v>3318</v>
      </c>
      <c r="E15">
        <v>110</v>
      </c>
      <c r="F15">
        <v>422</v>
      </c>
    </row>
    <row r="16" spans="1:6" x14ac:dyDescent="0.25">
      <c r="A16" s="1">
        <v>42755</v>
      </c>
      <c r="B16" t="s">
        <v>13</v>
      </c>
      <c r="C16" t="s">
        <v>9</v>
      </c>
      <c r="D16">
        <v>3106</v>
      </c>
      <c r="E16">
        <v>173</v>
      </c>
      <c r="F16">
        <v>312</v>
      </c>
    </row>
    <row r="17" spans="1:6" x14ac:dyDescent="0.25">
      <c r="A17" s="1">
        <v>42756</v>
      </c>
      <c r="B17" t="s">
        <v>9</v>
      </c>
      <c r="C17" t="s">
        <v>6</v>
      </c>
      <c r="D17">
        <v>5593</v>
      </c>
      <c r="E17">
        <v>127</v>
      </c>
      <c r="F17">
        <v>421</v>
      </c>
    </row>
    <row r="18" spans="1:6" x14ac:dyDescent="0.25">
      <c r="A18" s="1">
        <v>42757</v>
      </c>
      <c r="B18" t="s">
        <v>6</v>
      </c>
      <c r="C18" t="s">
        <v>12</v>
      </c>
      <c r="D18">
        <v>5983</v>
      </c>
      <c r="E18">
        <v>118</v>
      </c>
      <c r="F18">
        <v>416</v>
      </c>
    </row>
    <row r="19" spans="1:6" x14ac:dyDescent="0.25">
      <c r="A19" s="1">
        <v>42758</v>
      </c>
      <c r="B19" t="s">
        <v>12</v>
      </c>
      <c r="C19" t="s">
        <v>6</v>
      </c>
      <c r="D19">
        <v>5496</v>
      </c>
      <c r="E19">
        <v>115</v>
      </c>
      <c r="F19">
        <v>291</v>
      </c>
    </row>
    <row r="20" spans="1:6" x14ac:dyDescent="0.25">
      <c r="A20" s="1">
        <v>42759</v>
      </c>
      <c r="B20" t="s">
        <v>6</v>
      </c>
      <c r="C20" t="s">
        <v>11</v>
      </c>
      <c r="D20">
        <v>4572</v>
      </c>
      <c r="E20">
        <v>164</v>
      </c>
      <c r="F20">
        <v>550</v>
      </c>
    </row>
    <row r="21" spans="1:6" x14ac:dyDescent="0.25">
      <c r="A21" s="1">
        <v>42760</v>
      </c>
      <c r="B21" t="s">
        <v>11</v>
      </c>
      <c r="C21" t="s">
        <v>12</v>
      </c>
      <c r="D21">
        <v>4529</v>
      </c>
      <c r="E21">
        <v>121</v>
      </c>
      <c r="F21">
        <v>373</v>
      </c>
    </row>
    <row r="22" spans="1:6" x14ac:dyDescent="0.25">
      <c r="A22" s="1">
        <v>42761</v>
      </c>
      <c r="B22" t="s">
        <v>12</v>
      </c>
      <c r="C22" t="s">
        <v>6</v>
      </c>
      <c r="D22">
        <v>4981</v>
      </c>
      <c r="E22">
        <v>123</v>
      </c>
      <c r="F22">
        <v>218</v>
      </c>
    </row>
    <row r="23" spans="1:6" x14ac:dyDescent="0.25">
      <c r="A23" s="1">
        <v>42762</v>
      </c>
      <c r="B23" t="s">
        <v>6</v>
      </c>
      <c r="C23" t="s">
        <v>7</v>
      </c>
      <c r="D23">
        <v>3808</v>
      </c>
      <c r="E23">
        <v>163</v>
      </c>
      <c r="F23">
        <v>655</v>
      </c>
    </row>
    <row r="24" spans="1:6" x14ac:dyDescent="0.25">
      <c r="A24" s="1">
        <v>42763</v>
      </c>
      <c r="B24" t="s">
        <v>7</v>
      </c>
      <c r="C24" t="s">
        <v>21</v>
      </c>
      <c r="D24">
        <v>1359</v>
      </c>
      <c r="E24">
        <v>130</v>
      </c>
      <c r="F24">
        <v>346</v>
      </c>
    </row>
    <row r="25" spans="1:6" x14ac:dyDescent="0.25">
      <c r="A25" s="1">
        <v>42764</v>
      </c>
      <c r="B25" t="s">
        <v>22</v>
      </c>
      <c r="C25" t="s">
        <v>23</v>
      </c>
      <c r="D25">
        <v>2320</v>
      </c>
      <c r="E25">
        <v>24</v>
      </c>
      <c r="F25">
        <v>68</v>
      </c>
    </row>
    <row r="26" spans="1:6" x14ac:dyDescent="0.25">
      <c r="A26" s="1">
        <v>42765</v>
      </c>
      <c r="B26" t="s">
        <v>23</v>
      </c>
      <c r="C26" t="s">
        <v>24</v>
      </c>
      <c r="D26">
        <v>2607</v>
      </c>
      <c r="E26">
        <v>115</v>
      </c>
      <c r="F26">
        <v>264</v>
      </c>
    </row>
    <row r="27" spans="1:6" x14ac:dyDescent="0.25">
      <c r="A27" s="1">
        <v>42766</v>
      </c>
      <c r="B27" t="s">
        <v>24</v>
      </c>
      <c r="C27" t="s">
        <v>23</v>
      </c>
      <c r="D27">
        <v>3657</v>
      </c>
      <c r="E27">
        <v>100</v>
      </c>
      <c r="F27">
        <v>424</v>
      </c>
    </row>
    <row r="28" spans="1:6" x14ac:dyDescent="0.25">
      <c r="A28" s="1">
        <v>42767</v>
      </c>
      <c r="B28" t="s">
        <v>23</v>
      </c>
      <c r="C28" t="s">
        <v>25</v>
      </c>
      <c r="D28">
        <v>5671</v>
      </c>
      <c r="E28">
        <v>118</v>
      </c>
      <c r="F28">
        <v>390</v>
      </c>
    </row>
    <row r="29" spans="1:6" x14ac:dyDescent="0.25">
      <c r="A29" s="1">
        <v>42768</v>
      </c>
      <c r="B29" t="s">
        <v>25</v>
      </c>
      <c r="C29" t="s">
        <v>22</v>
      </c>
      <c r="D29">
        <v>4871</v>
      </c>
      <c r="E29">
        <v>126</v>
      </c>
      <c r="F29">
        <v>185</v>
      </c>
    </row>
    <row r="30" spans="1:6" x14ac:dyDescent="0.25">
      <c r="A30" s="1">
        <v>42769</v>
      </c>
      <c r="B30" t="s">
        <v>22</v>
      </c>
      <c r="C30" t="s">
        <v>26</v>
      </c>
      <c r="D30">
        <v>1686</v>
      </c>
      <c r="E30">
        <v>102</v>
      </c>
      <c r="F30">
        <v>167</v>
      </c>
    </row>
    <row r="31" spans="1:6" x14ac:dyDescent="0.25">
      <c r="A31" s="1">
        <v>42770</v>
      </c>
      <c r="B31" t="s">
        <v>26</v>
      </c>
      <c r="C31" t="s">
        <v>21</v>
      </c>
      <c r="D31">
        <v>5628</v>
      </c>
      <c r="E31">
        <v>123</v>
      </c>
      <c r="F31">
        <v>450</v>
      </c>
    </row>
    <row r="32" spans="1:6" x14ac:dyDescent="0.25">
      <c r="A32" s="1">
        <v>42771</v>
      </c>
      <c r="B32" t="s">
        <v>21</v>
      </c>
      <c r="C32" t="s">
        <v>14</v>
      </c>
      <c r="D32">
        <v>3295</v>
      </c>
      <c r="E32">
        <v>103</v>
      </c>
      <c r="F32">
        <v>346</v>
      </c>
    </row>
    <row r="33" spans="1:6" x14ac:dyDescent="0.25">
      <c r="A33" s="1">
        <v>42772</v>
      </c>
      <c r="B33" t="s">
        <v>27</v>
      </c>
      <c r="C33" t="s">
        <v>28</v>
      </c>
      <c r="D33">
        <v>5291</v>
      </c>
      <c r="E33">
        <v>273</v>
      </c>
      <c r="F33">
        <v>520</v>
      </c>
    </row>
    <row r="34" spans="1:6" x14ac:dyDescent="0.25">
      <c r="A34" s="1">
        <v>42773</v>
      </c>
      <c r="B34" t="s">
        <v>28</v>
      </c>
      <c r="C34" t="s">
        <v>29</v>
      </c>
      <c r="D34">
        <v>5838</v>
      </c>
      <c r="E34">
        <v>128</v>
      </c>
      <c r="F34">
        <v>518</v>
      </c>
    </row>
    <row r="35" spans="1:6" x14ac:dyDescent="0.25">
      <c r="A35" s="1">
        <v>42774</v>
      </c>
      <c r="B35" t="s">
        <v>29</v>
      </c>
      <c r="C35" t="s">
        <v>20</v>
      </c>
      <c r="D35">
        <v>3319</v>
      </c>
      <c r="E35">
        <v>154</v>
      </c>
      <c r="F35">
        <v>314</v>
      </c>
    </row>
    <row r="36" spans="1:6" x14ac:dyDescent="0.25">
      <c r="A36" s="1">
        <v>42775</v>
      </c>
      <c r="B36" t="s">
        <v>30</v>
      </c>
      <c r="C36" t="s">
        <v>7</v>
      </c>
      <c r="D36">
        <v>2152</v>
      </c>
      <c r="E36">
        <v>190</v>
      </c>
      <c r="F36">
        <v>406</v>
      </c>
    </row>
    <row r="37" spans="1:6" x14ac:dyDescent="0.25">
      <c r="A37" s="1">
        <v>42776</v>
      </c>
      <c r="B37" t="s">
        <v>7</v>
      </c>
      <c r="C37" t="s">
        <v>21</v>
      </c>
      <c r="D37">
        <v>3810</v>
      </c>
      <c r="E37">
        <v>135</v>
      </c>
      <c r="F37">
        <v>221</v>
      </c>
    </row>
    <row r="38" spans="1:6" x14ac:dyDescent="0.25">
      <c r="A38" s="1">
        <v>42777</v>
      </c>
      <c r="B38" t="s">
        <v>21</v>
      </c>
      <c r="C38" t="s">
        <v>31</v>
      </c>
      <c r="D38">
        <v>5713</v>
      </c>
      <c r="E38">
        <v>128</v>
      </c>
      <c r="F38">
        <v>376</v>
      </c>
    </row>
    <row r="39" spans="1:6" x14ac:dyDescent="0.25">
      <c r="A39" s="1">
        <v>42778</v>
      </c>
      <c r="B39" t="s">
        <v>31</v>
      </c>
      <c r="C39" t="s">
        <v>21</v>
      </c>
      <c r="D39">
        <v>4163</v>
      </c>
      <c r="E39">
        <v>128</v>
      </c>
      <c r="F39">
        <v>257</v>
      </c>
    </row>
    <row r="40" spans="1:6" x14ac:dyDescent="0.25">
      <c r="A40" s="1">
        <v>42779</v>
      </c>
      <c r="B40" t="s">
        <v>21</v>
      </c>
      <c r="C40" t="s">
        <v>32</v>
      </c>
      <c r="D40">
        <v>3216</v>
      </c>
      <c r="E40">
        <v>162</v>
      </c>
      <c r="F40">
        <v>278</v>
      </c>
    </row>
    <row r="41" spans="1:6" x14ac:dyDescent="0.25">
      <c r="A41" s="1">
        <v>42780</v>
      </c>
      <c r="B41" t="s">
        <v>11</v>
      </c>
      <c r="C41" t="s">
        <v>33</v>
      </c>
      <c r="D41">
        <v>5060</v>
      </c>
      <c r="E41">
        <v>550</v>
      </c>
      <c r="F41">
        <v>1622</v>
      </c>
    </row>
    <row r="42" spans="1:6" x14ac:dyDescent="0.25">
      <c r="A42" s="1">
        <v>42782</v>
      </c>
      <c r="B42" t="s">
        <v>31</v>
      </c>
      <c r="C42" t="s">
        <v>24</v>
      </c>
      <c r="D42">
        <v>2446</v>
      </c>
      <c r="E42">
        <v>161</v>
      </c>
      <c r="F42">
        <v>379</v>
      </c>
    </row>
    <row r="43" spans="1:6" x14ac:dyDescent="0.25">
      <c r="A43" s="1">
        <v>42783</v>
      </c>
      <c r="B43" t="s">
        <v>24</v>
      </c>
      <c r="C43" t="s">
        <v>23</v>
      </c>
      <c r="D43">
        <v>3305</v>
      </c>
      <c r="E43">
        <v>106</v>
      </c>
      <c r="F43">
        <v>116</v>
      </c>
    </row>
    <row r="44" spans="1:6" x14ac:dyDescent="0.25">
      <c r="A44" s="1">
        <v>42785</v>
      </c>
      <c r="B44" t="s">
        <v>21</v>
      </c>
      <c r="C44" t="s">
        <v>7</v>
      </c>
      <c r="D44">
        <v>1743</v>
      </c>
      <c r="E44">
        <v>145</v>
      </c>
      <c r="F44">
        <v>376</v>
      </c>
    </row>
    <row r="45" spans="1:6" x14ac:dyDescent="0.25">
      <c r="A45" s="1">
        <v>42788</v>
      </c>
      <c r="B45" t="s">
        <v>17</v>
      </c>
      <c r="C45" t="s">
        <v>34</v>
      </c>
      <c r="D45">
        <v>4053</v>
      </c>
      <c r="E45">
        <v>146</v>
      </c>
      <c r="F45">
        <v>441</v>
      </c>
    </row>
    <row r="46" spans="1:6" x14ac:dyDescent="0.25">
      <c r="A46" s="1">
        <v>42789</v>
      </c>
      <c r="B46" t="s">
        <v>18</v>
      </c>
      <c r="C46" t="s">
        <v>29</v>
      </c>
      <c r="D46">
        <v>4905</v>
      </c>
      <c r="E46">
        <v>157</v>
      </c>
      <c r="F46">
        <v>392</v>
      </c>
    </row>
    <row r="47" spans="1:6" x14ac:dyDescent="0.25">
      <c r="A47" s="1">
        <v>42791</v>
      </c>
      <c r="B47" t="s">
        <v>8</v>
      </c>
      <c r="C47" t="s">
        <v>7</v>
      </c>
      <c r="D47">
        <v>1624</v>
      </c>
      <c r="E47">
        <v>111</v>
      </c>
      <c r="F47">
        <v>221</v>
      </c>
    </row>
    <row r="48" spans="1:6" x14ac:dyDescent="0.25">
      <c r="A48" s="1">
        <v>42793</v>
      </c>
      <c r="B48" t="s">
        <v>35</v>
      </c>
      <c r="C48" t="s">
        <v>27</v>
      </c>
      <c r="D48">
        <v>5326</v>
      </c>
      <c r="E48">
        <v>171</v>
      </c>
      <c r="F48">
        <v>263</v>
      </c>
    </row>
    <row r="49" spans="1:6" x14ac:dyDescent="0.25">
      <c r="A49" s="1">
        <v>42794</v>
      </c>
      <c r="B49" t="s">
        <v>36</v>
      </c>
      <c r="C49" t="s">
        <v>12</v>
      </c>
      <c r="D49">
        <v>4398</v>
      </c>
      <c r="E49">
        <v>225</v>
      </c>
      <c r="F49">
        <v>400</v>
      </c>
    </row>
    <row r="50" spans="1:6" x14ac:dyDescent="0.25">
      <c r="A50" s="1">
        <v>42795</v>
      </c>
      <c r="B50" t="s">
        <v>35</v>
      </c>
      <c r="C50" t="s">
        <v>37</v>
      </c>
      <c r="D50">
        <v>4494</v>
      </c>
      <c r="E50">
        <v>143</v>
      </c>
      <c r="F50">
        <v>252</v>
      </c>
    </row>
    <row r="51" spans="1:6" x14ac:dyDescent="0.25">
      <c r="A51" s="1">
        <v>42796</v>
      </c>
      <c r="B51" t="s">
        <v>37</v>
      </c>
      <c r="C51" t="s">
        <v>38</v>
      </c>
      <c r="D51">
        <v>2136</v>
      </c>
      <c r="E51">
        <v>139</v>
      </c>
      <c r="F51">
        <v>522</v>
      </c>
    </row>
    <row r="52" spans="1:6" x14ac:dyDescent="0.25">
      <c r="A52" s="1">
        <v>42797</v>
      </c>
      <c r="B52" t="s">
        <v>38</v>
      </c>
      <c r="C52" t="s">
        <v>39</v>
      </c>
      <c r="D52">
        <v>4481</v>
      </c>
      <c r="E52">
        <v>121</v>
      </c>
      <c r="F52">
        <v>446</v>
      </c>
    </row>
    <row r="53" spans="1:6" x14ac:dyDescent="0.25">
      <c r="A53" s="1">
        <v>42798</v>
      </c>
      <c r="B53" t="s">
        <v>29</v>
      </c>
      <c r="C53" t="s">
        <v>14</v>
      </c>
      <c r="D53">
        <v>1749</v>
      </c>
      <c r="E53">
        <v>232</v>
      </c>
      <c r="F53">
        <v>928</v>
      </c>
    </row>
    <row r="54" spans="1:6" x14ac:dyDescent="0.25">
      <c r="A54" s="1">
        <v>42802</v>
      </c>
      <c r="B54" t="s">
        <v>29</v>
      </c>
      <c r="C54" t="s">
        <v>20</v>
      </c>
      <c r="D54">
        <v>1203</v>
      </c>
      <c r="E54">
        <v>146</v>
      </c>
      <c r="F54">
        <v>330</v>
      </c>
    </row>
    <row r="55" spans="1:6" x14ac:dyDescent="0.25">
      <c r="A55" s="1">
        <v>42803</v>
      </c>
      <c r="B55" t="s">
        <v>20</v>
      </c>
      <c r="C55" t="s">
        <v>40</v>
      </c>
      <c r="D55">
        <v>4505</v>
      </c>
      <c r="E55">
        <v>118</v>
      </c>
      <c r="F55">
        <v>374</v>
      </c>
    </row>
    <row r="56" spans="1:6" x14ac:dyDescent="0.25">
      <c r="A56" s="1">
        <v>42804</v>
      </c>
      <c r="B56" t="s">
        <v>40</v>
      </c>
      <c r="C56" t="s">
        <v>41</v>
      </c>
      <c r="D56">
        <v>1454</v>
      </c>
      <c r="E56">
        <v>95</v>
      </c>
      <c r="F56">
        <v>197</v>
      </c>
    </row>
    <row r="57" spans="1:6" x14ac:dyDescent="0.25">
      <c r="A57" s="1">
        <v>42805</v>
      </c>
      <c r="B57" t="s">
        <v>41</v>
      </c>
      <c r="C57" t="s">
        <v>16</v>
      </c>
      <c r="D57">
        <v>2835</v>
      </c>
      <c r="E57">
        <v>136</v>
      </c>
      <c r="F57">
        <v>418</v>
      </c>
    </row>
    <row r="58" spans="1:6" x14ac:dyDescent="0.25">
      <c r="A58" s="1">
        <v>42806</v>
      </c>
      <c r="B58" t="s">
        <v>16</v>
      </c>
      <c r="C58" t="s">
        <v>42</v>
      </c>
      <c r="D58">
        <v>2338</v>
      </c>
      <c r="E58">
        <v>123</v>
      </c>
      <c r="F58">
        <v>215</v>
      </c>
    </row>
    <row r="59" spans="1:6" x14ac:dyDescent="0.25">
      <c r="A59" s="1">
        <v>42807</v>
      </c>
      <c r="B59" t="s">
        <v>26</v>
      </c>
      <c r="C59" t="s">
        <v>43</v>
      </c>
      <c r="D59">
        <v>4154</v>
      </c>
      <c r="E59">
        <v>277</v>
      </c>
      <c r="F59">
        <v>924</v>
      </c>
    </row>
    <row r="60" spans="1:6" x14ac:dyDescent="0.25">
      <c r="A60" s="1">
        <v>42810</v>
      </c>
      <c r="B60" t="s">
        <v>15</v>
      </c>
      <c r="C60" t="s">
        <v>25</v>
      </c>
      <c r="D60">
        <v>1767</v>
      </c>
      <c r="E60">
        <v>91</v>
      </c>
      <c r="F60">
        <v>247</v>
      </c>
    </row>
    <row r="61" spans="1:6" x14ac:dyDescent="0.25">
      <c r="A61" s="1">
        <v>42812</v>
      </c>
      <c r="B61" t="s">
        <v>44</v>
      </c>
      <c r="C61" t="s">
        <v>45</v>
      </c>
      <c r="D61">
        <v>2929</v>
      </c>
      <c r="E61">
        <v>152</v>
      </c>
      <c r="F61">
        <v>278</v>
      </c>
    </row>
    <row r="62" spans="1:6" x14ac:dyDescent="0.25">
      <c r="A62" s="1">
        <v>42813</v>
      </c>
      <c r="B62" t="s">
        <v>45</v>
      </c>
      <c r="C62" t="s">
        <v>46</v>
      </c>
      <c r="D62">
        <v>2151</v>
      </c>
      <c r="E62">
        <v>177</v>
      </c>
      <c r="F62">
        <v>365</v>
      </c>
    </row>
    <row r="63" spans="1:6" x14ac:dyDescent="0.25">
      <c r="A63" s="1">
        <v>42814</v>
      </c>
      <c r="B63" t="s">
        <v>46</v>
      </c>
      <c r="C63" t="s">
        <v>47</v>
      </c>
      <c r="D63">
        <v>2431</v>
      </c>
      <c r="E63">
        <v>96</v>
      </c>
      <c r="F63">
        <v>409</v>
      </c>
    </row>
    <row r="64" spans="1:6" x14ac:dyDescent="0.25">
      <c r="A64" s="1">
        <v>42815</v>
      </c>
      <c r="B64" t="s">
        <v>34</v>
      </c>
      <c r="C64" t="s">
        <v>46</v>
      </c>
      <c r="D64">
        <v>1168</v>
      </c>
      <c r="E64">
        <v>143</v>
      </c>
      <c r="F64">
        <v>501</v>
      </c>
    </row>
    <row r="65" spans="1:6" x14ac:dyDescent="0.25">
      <c r="A65" s="1">
        <v>42816</v>
      </c>
      <c r="B65" t="s">
        <v>46</v>
      </c>
      <c r="C65" t="s">
        <v>19</v>
      </c>
      <c r="D65">
        <v>4251</v>
      </c>
      <c r="E65">
        <v>122</v>
      </c>
      <c r="F65">
        <v>227</v>
      </c>
    </row>
    <row r="66" spans="1:6" x14ac:dyDescent="0.25">
      <c r="A66" s="1">
        <v>42817</v>
      </c>
      <c r="B66" t="s">
        <v>19</v>
      </c>
      <c r="C66" t="s">
        <v>16</v>
      </c>
      <c r="D66">
        <v>4347</v>
      </c>
      <c r="E66">
        <v>117</v>
      </c>
      <c r="F66">
        <v>158</v>
      </c>
    </row>
    <row r="67" spans="1:6" x14ac:dyDescent="0.25">
      <c r="A67" s="1">
        <v>42818</v>
      </c>
      <c r="B67" t="s">
        <v>16</v>
      </c>
      <c r="C67" t="s">
        <v>41</v>
      </c>
      <c r="D67">
        <v>5287</v>
      </c>
      <c r="E67">
        <v>127</v>
      </c>
      <c r="F67">
        <v>495</v>
      </c>
    </row>
    <row r="68" spans="1:6" x14ac:dyDescent="0.25">
      <c r="A68" s="1">
        <v>42820</v>
      </c>
      <c r="B68" t="s">
        <v>17</v>
      </c>
      <c r="C68" t="s">
        <v>18</v>
      </c>
      <c r="D68">
        <v>5177</v>
      </c>
      <c r="E68">
        <v>147</v>
      </c>
      <c r="F68">
        <v>443</v>
      </c>
    </row>
    <row r="69" spans="1:6" x14ac:dyDescent="0.25">
      <c r="A69" s="1">
        <v>42821</v>
      </c>
      <c r="B69" t="s">
        <v>15</v>
      </c>
      <c r="C69" t="s">
        <v>26</v>
      </c>
      <c r="D69">
        <v>3858</v>
      </c>
      <c r="E69">
        <v>155</v>
      </c>
      <c r="F69">
        <v>261</v>
      </c>
    </row>
    <row r="70" spans="1:6" x14ac:dyDescent="0.25">
      <c r="A70" s="1">
        <v>42822</v>
      </c>
      <c r="B70" t="s">
        <v>26</v>
      </c>
      <c r="C70" t="s">
        <v>48</v>
      </c>
      <c r="D70">
        <v>4637</v>
      </c>
      <c r="E70">
        <v>116</v>
      </c>
      <c r="F70">
        <v>242</v>
      </c>
    </row>
    <row r="71" spans="1:6" x14ac:dyDescent="0.25">
      <c r="A71" s="1">
        <v>42823</v>
      </c>
      <c r="B71" t="s">
        <v>48</v>
      </c>
      <c r="C71" t="s">
        <v>14</v>
      </c>
      <c r="D71">
        <v>5212</v>
      </c>
      <c r="E71">
        <v>123</v>
      </c>
      <c r="F71">
        <v>517</v>
      </c>
    </row>
    <row r="72" spans="1:6" x14ac:dyDescent="0.25">
      <c r="A72" s="1">
        <v>42824</v>
      </c>
      <c r="B72" t="s">
        <v>14</v>
      </c>
      <c r="C72" t="s">
        <v>40</v>
      </c>
      <c r="D72">
        <v>1099</v>
      </c>
      <c r="E72">
        <v>128</v>
      </c>
      <c r="F72">
        <v>205</v>
      </c>
    </row>
    <row r="73" spans="1:6" x14ac:dyDescent="0.25">
      <c r="A73" s="1">
        <v>42825</v>
      </c>
      <c r="B73" t="s">
        <v>40</v>
      </c>
      <c r="C73" t="s">
        <v>41</v>
      </c>
      <c r="D73">
        <v>4422</v>
      </c>
      <c r="E73">
        <v>105</v>
      </c>
      <c r="F73">
        <v>145</v>
      </c>
    </row>
    <row r="74" spans="1:6" x14ac:dyDescent="0.25">
      <c r="A74" s="1">
        <v>42827</v>
      </c>
      <c r="B74" t="s">
        <v>33</v>
      </c>
      <c r="C74" t="s">
        <v>38</v>
      </c>
      <c r="D74">
        <v>2742</v>
      </c>
      <c r="E74">
        <v>109</v>
      </c>
      <c r="F74">
        <v>117</v>
      </c>
    </row>
    <row r="75" spans="1:6" x14ac:dyDescent="0.25">
      <c r="A75" s="1">
        <v>42828</v>
      </c>
      <c r="B75" t="s">
        <v>38</v>
      </c>
      <c r="C75" t="s">
        <v>33</v>
      </c>
      <c r="D75">
        <v>2100</v>
      </c>
      <c r="E75">
        <v>115</v>
      </c>
      <c r="F75">
        <v>172</v>
      </c>
    </row>
    <row r="76" spans="1:6" x14ac:dyDescent="0.25">
      <c r="A76" s="1">
        <v>42829</v>
      </c>
      <c r="B76" t="s">
        <v>33</v>
      </c>
      <c r="C76" t="s">
        <v>38</v>
      </c>
      <c r="D76">
        <v>5626</v>
      </c>
      <c r="E76">
        <v>123</v>
      </c>
      <c r="F76">
        <v>377</v>
      </c>
    </row>
    <row r="77" spans="1:6" x14ac:dyDescent="0.25">
      <c r="A77" s="1">
        <v>42830</v>
      </c>
      <c r="B77" t="s">
        <v>38</v>
      </c>
      <c r="C77" t="s">
        <v>33</v>
      </c>
      <c r="D77">
        <v>1629</v>
      </c>
      <c r="E77">
        <v>109</v>
      </c>
      <c r="F77">
        <v>258</v>
      </c>
    </row>
    <row r="78" spans="1:6" x14ac:dyDescent="0.25">
      <c r="A78" s="1">
        <v>42831</v>
      </c>
      <c r="B78" t="s">
        <v>33</v>
      </c>
      <c r="C78" t="s">
        <v>49</v>
      </c>
      <c r="D78">
        <v>4787</v>
      </c>
      <c r="E78">
        <v>155</v>
      </c>
      <c r="F78">
        <v>354</v>
      </c>
    </row>
    <row r="79" spans="1:6" x14ac:dyDescent="0.25">
      <c r="A79" s="1">
        <v>42832</v>
      </c>
      <c r="B79" t="s">
        <v>50</v>
      </c>
      <c r="C79" t="s">
        <v>45</v>
      </c>
      <c r="D79">
        <v>4678</v>
      </c>
      <c r="E79">
        <v>182</v>
      </c>
      <c r="F79">
        <v>254</v>
      </c>
    </row>
    <row r="80" spans="1:6" x14ac:dyDescent="0.25">
      <c r="A80" s="1">
        <v>42833</v>
      </c>
      <c r="B80" t="s">
        <v>45</v>
      </c>
      <c r="C80" t="s">
        <v>44</v>
      </c>
      <c r="D80">
        <v>5869</v>
      </c>
      <c r="E80">
        <v>152</v>
      </c>
      <c r="F80">
        <v>599</v>
      </c>
    </row>
    <row r="81" spans="1:6" x14ac:dyDescent="0.25">
      <c r="A81" s="1">
        <v>42834</v>
      </c>
      <c r="B81" t="s">
        <v>51</v>
      </c>
      <c r="C81" t="s">
        <v>44</v>
      </c>
      <c r="D81">
        <v>2678</v>
      </c>
      <c r="E81">
        <v>178</v>
      </c>
      <c r="F81">
        <v>481</v>
      </c>
    </row>
    <row r="82" spans="1:6" x14ac:dyDescent="0.25">
      <c r="A82" s="1">
        <v>42835</v>
      </c>
      <c r="B82" t="s">
        <v>20</v>
      </c>
      <c r="C82" t="s">
        <v>43</v>
      </c>
      <c r="D82">
        <v>3193</v>
      </c>
      <c r="E82">
        <v>241</v>
      </c>
      <c r="F82">
        <v>507</v>
      </c>
    </row>
    <row r="83" spans="1:6" x14ac:dyDescent="0.25">
      <c r="A83" s="1">
        <v>42836</v>
      </c>
      <c r="B83" t="s">
        <v>27</v>
      </c>
      <c r="C83" t="s">
        <v>25</v>
      </c>
      <c r="D83">
        <v>1011</v>
      </c>
      <c r="E83">
        <v>211</v>
      </c>
      <c r="F83">
        <v>536</v>
      </c>
    </row>
    <row r="84" spans="1:6" x14ac:dyDescent="0.25">
      <c r="A84" s="1">
        <v>42837</v>
      </c>
      <c r="B84" t="s">
        <v>25</v>
      </c>
      <c r="C84" t="s">
        <v>23</v>
      </c>
      <c r="D84">
        <v>3398</v>
      </c>
      <c r="E84">
        <v>122</v>
      </c>
      <c r="F84">
        <v>163</v>
      </c>
    </row>
    <row r="85" spans="1:6" x14ac:dyDescent="0.25">
      <c r="A85" s="1">
        <v>42839</v>
      </c>
      <c r="B85" t="s">
        <v>52</v>
      </c>
      <c r="C85" t="s">
        <v>53</v>
      </c>
      <c r="D85">
        <v>5416</v>
      </c>
      <c r="E85">
        <v>156</v>
      </c>
      <c r="F85">
        <v>349</v>
      </c>
    </row>
    <row r="86" spans="1:6" x14ac:dyDescent="0.25">
      <c r="A86" s="1">
        <v>42840</v>
      </c>
      <c r="B86" t="s">
        <v>9</v>
      </c>
      <c r="C86" t="s">
        <v>54</v>
      </c>
      <c r="D86">
        <v>3914</v>
      </c>
      <c r="E86">
        <v>417</v>
      </c>
      <c r="F86">
        <v>888</v>
      </c>
    </row>
    <row r="87" spans="1:6" x14ac:dyDescent="0.25">
      <c r="A87" s="1">
        <v>42841</v>
      </c>
      <c r="B87" t="s">
        <v>54</v>
      </c>
      <c r="C87" t="s">
        <v>47</v>
      </c>
      <c r="D87">
        <v>5805</v>
      </c>
      <c r="E87">
        <v>145</v>
      </c>
      <c r="F87">
        <v>301</v>
      </c>
    </row>
    <row r="88" spans="1:6" x14ac:dyDescent="0.25">
      <c r="A88" s="1">
        <v>42842</v>
      </c>
      <c r="B88" t="s">
        <v>47</v>
      </c>
      <c r="C88" t="s">
        <v>54</v>
      </c>
      <c r="D88">
        <v>4033</v>
      </c>
      <c r="E88">
        <v>136</v>
      </c>
      <c r="F88">
        <v>297</v>
      </c>
    </row>
    <row r="89" spans="1:6" x14ac:dyDescent="0.25">
      <c r="A89" s="1">
        <v>42844</v>
      </c>
      <c r="B89" t="s">
        <v>44</v>
      </c>
      <c r="C89" t="s">
        <v>55</v>
      </c>
      <c r="D89">
        <v>1021</v>
      </c>
      <c r="E89">
        <v>184</v>
      </c>
      <c r="F89">
        <v>660</v>
      </c>
    </row>
    <row r="90" spans="1:6" x14ac:dyDescent="0.25">
      <c r="A90" s="1">
        <v>42846</v>
      </c>
      <c r="B90" t="s">
        <v>56</v>
      </c>
      <c r="C90" t="s">
        <v>45</v>
      </c>
      <c r="D90">
        <v>5162</v>
      </c>
      <c r="E90">
        <v>17</v>
      </c>
      <c r="F90">
        <v>28</v>
      </c>
    </row>
    <row r="91" spans="1:6" x14ac:dyDescent="0.25">
      <c r="A91" s="1">
        <v>42847</v>
      </c>
      <c r="B91" t="s">
        <v>45</v>
      </c>
      <c r="C91" t="s">
        <v>44</v>
      </c>
      <c r="D91">
        <v>2050</v>
      </c>
      <c r="E91">
        <v>162</v>
      </c>
      <c r="F91">
        <v>569</v>
      </c>
    </row>
    <row r="92" spans="1:6" x14ac:dyDescent="0.25">
      <c r="A92" s="1">
        <v>42849</v>
      </c>
      <c r="B92" t="s">
        <v>43</v>
      </c>
      <c r="C92" t="s">
        <v>37</v>
      </c>
      <c r="D92">
        <v>5312</v>
      </c>
      <c r="E92">
        <v>153</v>
      </c>
      <c r="F92">
        <v>356</v>
      </c>
    </row>
    <row r="93" spans="1:6" x14ac:dyDescent="0.25">
      <c r="A93" s="1">
        <v>42851</v>
      </c>
      <c r="B93" t="s">
        <v>23</v>
      </c>
      <c r="C93" t="s">
        <v>42</v>
      </c>
      <c r="D93">
        <v>2443</v>
      </c>
      <c r="E93">
        <v>392</v>
      </c>
      <c r="F93">
        <v>1392</v>
      </c>
    </row>
    <row r="94" spans="1:6" x14ac:dyDescent="0.25">
      <c r="A94" s="1">
        <v>42853</v>
      </c>
      <c r="B94" t="s">
        <v>56</v>
      </c>
      <c r="C94" t="s">
        <v>50</v>
      </c>
      <c r="D94">
        <v>1161</v>
      </c>
      <c r="E94">
        <v>174</v>
      </c>
      <c r="F94">
        <v>323</v>
      </c>
    </row>
    <row r="95" spans="1:6" x14ac:dyDescent="0.25">
      <c r="A95" s="1">
        <v>42854</v>
      </c>
      <c r="B95" t="s">
        <v>50</v>
      </c>
      <c r="C95" t="s">
        <v>17</v>
      </c>
      <c r="D95">
        <v>3435</v>
      </c>
      <c r="E95">
        <v>146</v>
      </c>
      <c r="F95">
        <v>530</v>
      </c>
    </row>
    <row r="96" spans="1:6" x14ac:dyDescent="0.25">
      <c r="A96" s="1">
        <v>42855</v>
      </c>
      <c r="B96" t="s">
        <v>57</v>
      </c>
      <c r="C96" t="s">
        <v>32</v>
      </c>
      <c r="D96">
        <v>3358</v>
      </c>
      <c r="E96">
        <v>168</v>
      </c>
      <c r="F96">
        <v>569</v>
      </c>
    </row>
    <row r="97" spans="1:6" x14ac:dyDescent="0.25">
      <c r="A97" s="1">
        <v>42856</v>
      </c>
      <c r="B97" t="s">
        <v>52</v>
      </c>
      <c r="C97" t="s">
        <v>58</v>
      </c>
      <c r="D97">
        <v>2719</v>
      </c>
      <c r="E97">
        <v>152</v>
      </c>
      <c r="F97">
        <v>240</v>
      </c>
    </row>
    <row r="98" spans="1:6" x14ac:dyDescent="0.25">
      <c r="A98" s="1">
        <v>42857</v>
      </c>
      <c r="B98" t="s">
        <v>58</v>
      </c>
      <c r="C98" t="s">
        <v>23</v>
      </c>
      <c r="D98">
        <v>1793</v>
      </c>
      <c r="E98">
        <v>197</v>
      </c>
      <c r="F98">
        <v>754</v>
      </c>
    </row>
    <row r="99" spans="1:6" x14ac:dyDescent="0.25">
      <c r="A99" s="1">
        <v>42860</v>
      </c>
      <c r="B99" t="s">
        <v>19</v>
      </c>
      <c r="C99" t="s">
        <v>29</v>
      </c>
      <c r="D99">
        <v>1858</v>
      </c>
      <c r="E99">
        <v>104</v>
      </c>
      <c r="F99">
        <v>171</v>
      </c>
    </row>
    <row r="100" spans="1:6" x14ac:dyDescent="0.25">
      <c r="A100" s="1">
        <v>42861</v>
      </c>
      <c r="B100" t="s">
        <v>29</v>
      </c>
      <c r="C100" t="s">
        <v>19</v>
      </c>
      <c r="D100">
        <v>4651</v>
      </c>
      <c r="E100">
        <v>111</v>
      </c>
      <c r="F100">
        <v>190</v>
      </c>
    </row>
    <row r="101" spans="1:6" x14ac:dyDescent="0.25">
      <c r="A101" s="1">
        <v>42862</v>
      </c>
      <c r="B101" t="s">
        <v>19</v>
      </c>
      <c r="C101" t="s">
        <v>29</v>
      </c>
      <c r="D101">
        <v>2929</v>
      </c>
      <c r="E101">
        <v>111</v>
      </c>
      <c r="F101">
        <v>395</v>
      </c>
    </row>
    <row r="102" spans="1:6" x14ac:dyDescent="0.25">
      <c r="A102" s="1">
        <v>42863</v>
      </c>
      <c r="B102" t="s">
        <v>29</v>
      </c>
      <c r="C102" t="s">
        <v>28</v>
      </c>
      <c r="D102">
        <v>2608</v>
      </c>
      <c r="E102">
        <v>123</v>
      </c>
      <c r="F102">
        <v>223</v>
      </c>
    </row>
    <row r="103" spans="1:6" x14ac:dyDescent="0.25">
      <c r="A103" s="1">
        <v>42864</v>
      </c>
      <c r="B103" t="s">
        <v>28</v>
      </c>
      <c r="C103" t="s">
        <v>14</v>
      </c>
      <c r="D103">
        <v>3094</v>
      </c>
      <c r="E103">
        <v>107</v>
      </c>
      <c r="F103">
        <v>143</v>
      </c>
    </row>
    <row r="104" spans="1:6" x14ac:dyDescent="0.25">
      <c r="A104" s="1">
        <v>42867</v>
      </c>
      <c r="B104" t="s">
        <v>19</v>
      </c>
      <c r="C104" t="s">
        <v>59</v>
      </c>
      <c r="D104">
        <v>5288</v>
      </c>
      <c r="E104">
        <v>107</v>
      </c>
      <c r="F104">
        <v>312</v>
      </c>
    </row>
    <row r="105" spans="1:6" x14ac:dyDescent="0.25">
      <c r="A105" s="1">
        <v>42868</v>
      </c>
      <c r="B105" t="s">
        <v>43</v>
      </c>
      <c r="C105" t="s">
        <v>28</v>
      </c>
      <c r="D105">
        <v>4888</v>
      </c>
      <c r="E105">
        <v>182</v>
      </c>
      <c r="F105">
        <v>248</v>
      </c>
    </row>
    <row r="106" spans="1:6" x14ac:dyDescent="0.25">
      <c r="A106" s="1">
        <v>42869</v>
      </c>
      <c r="B106" t="s">
        <v>28</v>
      </c>
      <c r="C106" t="s">
        <v>60</v>
      </c>
      <c r="D106">
        <v>5475</v>
      </c>
      <c r="E106">
        <v>129</v>
      </c>
      <c r="F106">
        <v>200</v>
      </c>
    </row>
    <row r="107" spans="1:6" x14ac:dyDescent="0.25">
      <c r="A107" s="1">
        <v>42870</v>
      </c>
      <c r="B107" t="s">
        <v>60</v>
      </c>
      <c r="C107" t="s">
        <v>47</v>
      </c>
      <c r="D107">
        <v>4863</v>
      </c>
      <c r="E107">
        <v>141</v>
      </c>
      <c r="F107">
        <v>444</v>
      </c>
    </row>
    <row r="108" spans="1:6" x14ac:dyDescent="0.25">
      <c r="A108" s="1">
        <v>42872</v>
      </c>
      <c r="B108" t="s">
        <v>29</v>
      </c>
      <c r="C108" t="s">
        <v>56</v>
      </c>
      <c r="D108">
        <v>5933</v>
      </c>
      <c r="E108">
        <v>335</v>
      </c>
      <c r="F108">
        <v>479</v>
      </c>
    </row>
    <row r="109" spans="1:6" x14ac:dyDescent="0.25">
      <c r="A109" s="1">
        <v>42873</v>
      </c>
      <c r="B109" t="s">
        <v>59</v>
      </c>
      <c r="C109" t="s">
        <v>61</v>
      </c>
      <c r="D109">
        <v>1730</v>
      </c>
      <c r="E109">
        <v>410</v>
      </c>
      <c r="F109">
        <v>1087</v>
      </c>
    </row>
    <row r="110" spans="1:6" x14ac:dyDescent="0.25">
      <c r="A110" s="1">
        <v>42874</v>
      </c>
      <c r="B110" t="s">
        <v>61</v>
      </c>
      <c r="C110" t="s">
        <v>15</v>
      </c>
      <c r="D110">
        <v>3178</v>
      </c>
      <c r="E110">
        <v>171</v>
      </c>
      <c r="F110">
        <v>646</v>
      </c>
    </row>
    <row r="111" spans="1:6" x14ac:dyDescent="0.25">
      <c r="A111" s="1">
        <v>42877</v>
      </c>
      <c r="B111" t="s">
        <v>29</v>
      </c>
      <c r="C111" t="s">
        <v>41</v>
      </c>
      <c r="D111">
        <v>3983</v>
      </c>
      <c r="E111">
        <v>153</v>
      </c>
      <c r="F111">
        <v>175</v>
      </c>
    </row>
    <row r="112" spans="1:6" x14ac:dyDescent="0.25">
      <c r="A112" s="1">
        <v>42878</v>
      </c>
      <c r="B112" t="s">
        <v>36</v>
      </c>
      <c r="C112" t="s">
        <v>13</v>
      </c>
      <c r="D112">
        <v>3007</v>
      </c>
      <c r="E112">
        <v>391</v>
      </c>
      <c r="F112">
        <v>1406</v>
      </c>
    </row>
    <row r="113" spans="1:6" x14ac:dyDescent="0.25">
      <c r="A113" s="1">
        <v>42879</v>
      </c>
      <c r="B113" t="s">
        <v>59</v>
      </c>
      <c r="C113" t="s">
        <v>18</v>
      </c>
      <c r="D113">
        <v>5832</v>
      </c>
      <c r="E113">
        <v>300</v>
      </c>
      <c r="F113">
        <v>453</v>
      </c>
    </row>
    <row r="114" spans="1:6" x14ac:dyDescent="0.25">
      <c r="A114" s="1">
        <v>42881</v>
      </c>
      <c r="B114" t="s">
        <v>35</v>
      </c>
      <c r="C114" t="s">
        <v>37</v>
      </c>
      <c r="D114">
        <v>3012</v>
      </c>
      <c r="E114">
        <v>148</v>
      </c>
      <c r="F114">
        <v>185</v>
      </c>
    </row>
    <row r="115" spans="1:6" x14ac:dyDescent="0.25">
      <c r="A115" s="1">
        <v>42882</v>
      </c>
      <c r="B115" t="s">
        <v>37</v>
      </c>
      <c r="C115" t="s">
        <v>57</v>
      </c>
      <c r="D115">
        <v>4508</v>
      </c>
      <c r="E115">
        <v>104</v>
      </c>
      <c r="F115">
        <v>399</v>
      </c>
    </row>
    <row r="116" spans="1:6" x14ac:dyDescent="0.25">
      <c r="A116" s="1">
        <v>42883</v>
      </c>
      <c r="B116" t="s">
        <v>9</v>
      </c>
      <c r="C116" t="s">
        <v>58</v>
      </c>
      <c r="D116">
        <v>1777</v>
      </c>
      <c r="E116">
        <v>552</v>
      </c>
      <c r="F116">
        <v>1964</v>
      </c>
    </row>
    <row r="117" spans="1:6" x14ac:dyDescent="0.25">
      <c r="A117" s="1">
        <v>42884</v>
      </c>
      <c r="B117" t="s">
        <v>58</v>
      </c>
      <c r="C117" t="s">
        <v>61</v>
      </c>
      <c r="D117">
        <v>4788</v>
      </c>
      <c r="E117">
        <v>203</v>
      </c>
      <c r="F117">
        <v>347</v>
      </c>
    </row>
    <row r="118" spans="1:6" x14ac:dyDescent="0.25">
      <c r="A118" s="1">
        <v>42885</v>
      </c>
      <c r="B118" t="s">
        <v>61</v>
      </c>
      <c r="C118" t="s">
        <v>62</v>
      </c>
      <c r="D118">
        <v>3035</v>
      </c>
      <c r="E118">
        <v>103</v>
      </c>
      <c r="F118">
        <v>376</v>
      </c>
    </row>
    <row r="119" spans="1:6" x14ac:dyDescent="0.25">
      <c r="A119" s="1">
        <v>42886</v>
      </c>
      <c r="B119" t="s">
        <v>62</v>
      </c>
      <c r="C119" t="s">
        <v>63</v>
      </c>
      <c r="D119">
        <v>3380</v>
      </c>
      <c r="E119">
        <v>155</v>
      </c>
      <c r="F119">
        <v>542</v>
      </c>
    </row>
    <row r="120" spans="1:6" x14ac:dyDescent="0.25">
      <c r="A120" s="1">
        <v>42887</v>
      </c>
      <c r="B120" t="s">
        <v>63</v>
      </c>
      <c r="C120" t="s">
        <v>64</v>
      </c>
      <c r="D120">
        <v>5014</v>
      </c>
      <c r="E120">
        <v>154</v>
      </c>
      <c r="F120">
        <v>577</v>
      </c>
    </row>
    <row r="121" spans="1:6" x14ac:dyDescent="0.25">
      <c r="A121" s="1">
        <v>42888</v>
      </c>
      <c r="B121" t="s">
        <v>64</v>
      </c>
      <c r="C121" t="s">
        <v>58</v>
      </c>
      <c r="D121">
        <v>1852</v>
      </c>
      <c r="E121">
        <v>110</v>
      </c>
      <c r="F121">
        <v>407</v>
      </c>
    </row>
    <row r="122" spans="1:6" x14ac:dyDescent="0.25">
      <c r="A122" s="1">
        <v>42890</v>
      </c>
      <c r="B122" t="s">
        <v>65</v>
      </c>
      <c r="C122" t="s">
        <v>11</v>
      </c>
      <c r="D122">
        <v>5493</v>
      </c>
      <c r="E122">
        <v>145</v>
      </c>
      <c r="F122">
        <v>168</v>
      </c>
    </row>
    <row r="123" spans="1:6" x14ac:dyDescent="0.25">
      <c r="A123" s="1">
        <v>42892</v>
      </c>
      <c r="B123" t="s">
        <v>51</v>
      </c>
      <c r="C123" t="s">
        <v>44</v>
      </c>
      <c r="D123">
        <v>5560</v>
      </c>
      <c r="E123">
        <v>187</v>
      </c>
      <c r="F123">
        <v>288</v>
      </c>
    </row>
    <row r="124" spans="1:6" x14ac:dyDescent="0.25">
      <c r="A124" s="1">
        <v>42893</v>
      </c>
      <c r="B124" t="s">
        <v>66</v>
      </c>
      <c r="C124" t="s">
        <v>67</v>
      </c>
      <c r="D124">
        <v>2571</v>
      </c>
      <c r="E124">
        <v>145</v>
      </c>
      <c r="F124">
        <v>567</v>
      </c>
    </row>
    <row r="125" spans="1:6" x14ac:dyDescent="0.25">
      <c r="A125" s="1">
        <v>42894</v>
      </c>
      <c r="B125" t="s">
        <v>67</v>
      </c>
      <c r="C125" t="s">
        <v>19</v>
      </c>
      <c r="D125">
        <v>3348</v>
      </c>
      <c r="E125">
        <v>111</v>
      </c>
      <c r="F125">
        <v>135</v>
      </c>
    </row>
    <row r="126" spans="1:6" x14ac:dyDescent="0.25">
      <c r="A126" s="1">
        <v>42895</v>
      </c>
      <c r="B126" t="s">
        <v>19</v>
      </c>
      <c r="C126" t="s">
        <v>46</v>
      </c>
      <c r="D126">
        <v>2906</v>
      </c>
      <c r="E126">
        <v>119</v>
      </c>
      <c r="F126">
        <v>398</v>
      </c>
    </row>
    <row r="127" spans="1:6" x14ac:dyDescent="0.25">
      <c r="A127" s="1">
        <v>42896</v>
      </c>
      <c r="B127" t="s">
        <v>46</v>
      </c>
      <c r="C127" t="s">
        <v>54</v>
      </c>
      <c r="D127">
        <v>5660</v>
      </c>
      <c r="E127">
        <v>137</v>
      </c>
      <c r="F127">
        <v>490</v>
      </c>
    </row>
    <row r="128" spans="1:6" x14ac:dyDescent="0.25">
      <c r="A128" s="1">
        <v>42897</v>
      </c>
      <c r="B128" t="s">
        <v>19</v>
      </c>
      <c r="C128" t="s">
        <v>29</v>
      </c>
      <c r="D128">
        <v>2575</v>
      </c>
      <c r="E128">
        <v>113</v>
      </c>
      <c r="F128">
        <v>277</v>
      </c>
    </row>
    <row r="129" spans="1:6" x14ac:dyDescent="0.25">
      <c r="A129" s="1">
        <v>42898</v>
      </c>
      <c r="B129" t="s">
        <v>55</v>
      </c>
      <c r="C129" t="s">
        <v>46</v>
      </c>
      <c r="D129">
        <v>1676</v>
      </c>
      <c r="E129">
        <v>217</v>
      </c>
      <c r="F129">
        <v>499</v>
      </c>
    </row>
    <row r="130" spans="1:6" x14ac:dyDescent="0.25">
      <c r="A130" s="1">
        <v>42899</v>
      </c>
      <c r="B130" t="s">
        <v>46</v>
      </c>
      <c r="C130" t="s">
        <v>47</v>
      </c>
      <c r="D130">
        <v>1536</v>
      </c>
      <c r="E130">
        <v>96</v>
      </c>
      <c r="F130">
        <v>154</v>
      </c>
    </row>
    <row r="131" spans="1:6" x14ac:dyDescent="0.25">
      <c r="A131" s="1">
        <v>42900</v>
      </c>
      <c r="B131" t="s">
        <v>47</v>
      </c>
      <c r="C131" t="s">
        <v>42</v>
      </c>
      <c r="D131">
        <v>1996</v>
      </c>
      <c r="E131">
        <v>158</v>
      </c>
      <c r="F131">
        <v>653</v>
      </c>
    </row>
    <row r="132" spans="1:6" x14ac:dyDescent="0.25">
      <c r="A132" s="1">
        <v>42902</v>
      </c>
      <c r="B132" t="s">
        <v>68</v>
      </c>
      <c r="C132" t="s">
        <v>69</v>
      </c>
      <c r="D132">
        <v>4769</v>
      </c>
      <c r="E132">
        <v>160</v>
      </c>
      <c r="F132">
        <v>522</v>
      </c>
    </row>
    <row r="133" spans="1:6" x14ac:dyDescent="0.25">
      <c r="A133" s="1">
        <v>42903</v>
      </c>
      <c r="B133" t="s">
        <v>69</v>
      </c>
      <c r="C133" t="s">
        <v>59</v>
      </c>
      <c r="D133">
        <v>4542</v>
      </c>
      <c r="E133">
        <v>205</v>
      </c>
      <c r="F133">
        <v>524</v>
      </c>
    </row>
    <row r="134" spans="1:6" x14ac:dyDescent="0.25">
      <c r="A134" s="1">
        <v>42904</v>
      </c>
      <c r="B134" t="s">
        <v>59</v>
      </c>
      <c r="C134" t="s">
        <v>60</v>
      </c>
      <c r="D134">
        <v>2286</v>
      </c>
      <c r="E134">
        <v>140</v>
      </c>
      <c r="F134">
        <v>136</v>
      </c>
    </row>
    <row r="135" spans="1:6" x14ac:dyDescent="0.25">
      <c r="A135" s="1">
        <v>42905</v>
      </c>
      <c r="B135" t="s">
        <v>60</v>
      </c>
      <c r="C135" t="s">
        <v>41</v>
      </c>
      <c r="D135">
        <v>1504</v>
      </c>
      <c r="E135">
        <v>95</v>
      </c>
      <c r="F135">
        <v>382</v>
      </c>
    </row>
    <row r="136" spans="1:6" x14ac:dyDescent="0.25">
      <c r="A136" s="1">
        <v>42906</v>
      </c>
      <c r="B136" t="s">
        <v>34</v>
      </c>
      <c r="C136" t="s">
        <v>39</v>
      </c>
      <c r="D136">
        <v>3990</v>
      </c>
      <c r="E136">
        <v>195</v>
      </c>
      <c r="F136">
        <v>468</v>
      </c>
    </row>
    <row r="137" spans="1:6" x14ac:dyDescent="0.25">
      <c r="A137" s="1">
        <v>42907</v>
      </c>
      <c r="B137" t="s">
        <v>47</v>
      </c>
      <c r="C137" t="s">
        <v>17</v>
      </c>
      <c r="D137">
        <v>4569</v>
      </c>
      <c r="E137">
        <v>123</v>
      </c>
      <c r="F137">
        <v>295</v>
      </c>
    </row>
    <row r="138" spans="1:6" x14ac:dyDescent="0.25">
      <c r="A138" s="1">
        <v>42908</v>
      </c>
      <c r="B138" t="s">
        <v>17</v>
      </c>
      <c r="C138" t="s">
        <v>18</v>
      </c>
      <c r="D138">
        <v>3469</v>
      </c>
      <c r="E138">
        <v>151</v>
      </c>
      <c r="F138">
        <v>558</v>
      </c>
    </row>
    <row r="139" spans="1:6" x14ac:dyDescent="0.25">
      <c r="A139" s="1">
        <v>42909</v>
      </c>
      <c r="B139" t="s">
        <v>18</v>
      </c>
      <c r="C139" t="s">
        <v>39</v>
      </c>
      <c r="D139">
        <v>2498</v>
      </c>
      <c r="E139">
        <v>163</v>
      </c>
      <c r="F139">
        <v>610</v>
      </c>
    </row>
    <row r="140" spans="1:6" x14ac:dyDescent="0.25">
      <c r="A140" s="1">
        <v>42910</v>
      </c>
      <c r="B140" t="s">
        <v>39</v>
      </c>
      <c r="C140" t="s">
        <v>17</v>
      </c>
      <c r="D140">
        <v>4118</v>
      </c>
      <c r="E140">
        <v>144</v>
      </c>
      <c r="F140">
        <v>256</v>
      </c>
    </row>
    <row r="141" spans="1:6" x14ac:dyDescent="0.25">
      <c r="A141" s="1">
        <v>42911</v>
      </c>
      <c r="B141" t="s">
        <v>30</v>
      </c>
      <c r="C141" t="s">
        <v>70</v>
      </c>
      <c r="D141">
        <v>5847</v>
      </c>
      <c r="E141">
        <v>137</v>
      </c>
      <c r="F141">
        <v>270</v>
      </c>
    </row>
    <row r="142" spans="1:6" x14ac:dyDescent="0.25">
      <c r="A142" s="1">
        <v>42912</v>
      </c>
      <c r="B142" t="s">
        <v>70</v>
      </c>
      <c r="C142" t="s">
        <v>30</v>
      </c>
      <c r="D142">
        <v>2032</v>
      </c>
      <c r="E142">
        <v>129</v>
      </c>
      <c r="F142">
        <v>245</v>
      </c>
    </row>
    <row r="143" spans="1:6" x14ac:dyDescent="0.25">
      <c r="A143" s="1">
        <v>42913</v>
      </c>
      <c r="B143" t="s">
        <v>30</v>
      </c>
      <c r="C143" t="s">
        <v>31</v>
      </c>
      <c r="D143">
        <v>2735</v>
      </c>
      <c r="E143">
        <v>213</v>
      </c>
      <c r="F143">
        <v>213</v>
      </c>
    </row>
    <row r="144" spans="1:6" x14ac:dyDescent="0.25">
      <c r="A144" s="1">
        <v>42914</v>
      </c>
      <c r="B144" t="s">
        <v>31</v>
      </c>
      <c r="C144" t="s">
        <v>22</v>
      </c>
      <c r="D144">
        <v>5467</v>
      </c>
      <c r="E144">
        <v>168</v>
      </c>
      <c r="F144">
        <v>336</v>
      </c>
    </row>
    <row r="145" spans="1:6" x14ac:dyDescent="0.25">
      <c r="A145" s="1">
        <v>42915</v>
      </c>
      <c r="B145" t="s">
        <v>22</v>
      </c>
      <c r="C145" t="s">
        <v>21</v>
      </c>
      <c r="D145">
        <v>3691</v>
      </c>
      <c r="E145">
        <v>170</v>
      </c>
      <c r="F145">
        <v>525</v>
      </c>
    </row>
    <row r="146" spans="1:6" x14ac:dyDescent="0.25">
      <c r="A146" s="1">
        <v>42916</v>
      </c>
      <c r="B146" t="s">
        <v>15</v>
      </c>
      <c r="C146" t="s">
        <v>52</v>
      </c>
      <c r="D146">
        <v>3681</v>
      </c>
      <c r="E146">
        <v>145</v>
      </c>
      <c r="F146">
        <v>546</v>
      </c>
    </row>
    <row r="147" spans="1:6" x14ac:dyDescent="0.25">
      <c r="A147" s="1">
        <v>42917</v>
      </c>
      <c r="B147" t="s">
        <v>62</v>
      </c>
      <c r="C147" t="s">
        <v>20</v>
      </c>
      <c r="D147">
        <v>2256</v>
      </c>
      <c r="E147">
        <v>146</v>
      </c>
      <c r="F147">
        <v>315</v>
      </c>
    </row>
    <row r="148" spans="1:6" x14ac:dyDescent="0.25">
      <c r="A148" s="1">
        <v>42918</v>
      </c>
      <c r="B148" t="s">
        <v>20</v>
      </c>
      <c r="C148" t="s">
        <v>8</v>
      </c>
      <c r="D148">
        <v>4602</v>
      </c>
      <c r="E148">
        <v>120</v>
      </c>
      <c r="F148">
        <v>288</v>
      </c>
    </row>
    <row r="149" spans="1:6" x14ac:dyDescent="0.25">
      <c r="A149" s="1">
        <v>42919</v>
      </c>
      <c r="B149" t="s">
        <v>8</v>
      </c>
      <c r="C149" t="s">
        <v>20</v>
      </c>
      <c r="D149">
        <v>4354</v>
      </c>
      <c r="E149">
        <v>135</v>
      </c>
      <c r="F149">
        <v>215</v>
      </c>
    </row>
    <row r="150" spans="1:6" x14ac:dyDescent="0.25">
      <c r="A150" s="1">
        <v>42920</v>
      </c>
      <c r="B150" t="s">
        <v>20</v>
      </c>
      <c r="C150" t="s">
        <v>60</v>
      </c>
      <c r="D150">
        <v>4260</v>
      </c>
      <c r="E150">
        <v>118</v>
      </c>
      <c r="F150">
        <v>222</v>
      </c>
    </row>
    <row r="151" spans="1:6" x14ac:dyDescent="0.25">
      <c r="A151" s="1">
        <v>42921</v>
      </c>
      <c r="B151" t="s">
        <v>40</v>
      </c>
      <c r="C151" t="s">
        <v>41</v>
      </c>
      <c r="D151">
        <v>2800</v>
      </c>
      <c r="E151">
        <v>98</v>
      </c>
      <c r="F151">
        <v>108</v>
      </c>
    </row>
    <row r="152" spans="1:6" x14ac:dyDescent="0.25">
      <c r="A152" s="1">
        <v>42922</v>
      </c>
      <c r="B152" t="s">
        <v>41</v>
      </c>
      <c r="C152" t="s">
        <v>28</v>
      </c>
      <c r="D152">
        <v>2637</v>
      </c>
      <c r="E152">
        <v>138</v>
      </c>
      <c r="F152">
        <v>179</v>
      </c>
    </row>
    <row r="153" spans="1:6" x14ac:dyDescent="0.25">
      <c r="A153" s="1">
        <v>42923</v>
      </c>
      <c r="B153" t="s">
        <v>28</v>
      </c>
      <c r="C153" t="s">
        <v>14</v>
      </c>
      <c r="D153">
        <v>5651</v>
      </c>
      <c r="E153">
        <v>116</v>
      </c>
      <c r="F153">
        <v>141</v>
      </c>
    </row>
    <row r="154" spans="1:6" x14ac:dyDescent="0.25">
      <c r="A154" s="1">
        <v>42924</v>
      </c>
      <c r="B154" t="s">
        <v>14</v>
      </c>
      <c r="C154" t="s">
        <v>48</v>
      </c>
      <c r="D154">
        <v>2511</v>
      </c>
      <c r="E154">
        <v>120</v>
      </c>
      <c r="F154">
        <v>438</v>
      </c>
    </row>
    <row r="155" spans="1:6" x14ac:dyDescent="0.25">
      <c r="A155" s="1">
        <v>42926</v>
      </c>
      <c r="B155" t="s">
        <v>56</v>
      </c>
      <c r="C155" t="s">
        <v>30</v>
      </c>
      <c r="D155">
        <v>2448</v>
      </c>
      <c r="E155">
        <v>744</v>
      </c>
      <c r="F155">
        <v>2887</v>
      </c>
    </row>
    <row r="156" spans="1:6" x14ac:dyDescent="0.25">
      <c r="A156" s="1">
        <v>42927</v>
      </c>
      <c r="B156" t="s">
        <v>10</v>
      </c>
      <c r="C156" t="s">
        <v>71</v>
      </c>
      <c r="D156">
        <v>3414</v>
      </c>
      <c r="E156">
        <v>114</v>
      </c>
      <c r="F156">
        <v>301</v>
      </c>
    </row>
    <row r="157" spans="1:6" x14ac:dyDescent="0.25">
      <c r="A157" s="1">
        <v>42928</v>
      </c>
      <c r="B157" t="s">
        <v>70</v>
      </c>
      <c r="C157" t="s">
        <v>36</v>
      </c>
      <c r="D157">
        <v>4039</v>
      </c>
      <c r="E157">
        <v>204</v>
      </c>
      <c r="F157">
        <v>614</v>
      </c>
    </row>
    <row r="158" spans="1:6" x14ac:dyDescent="0.25">
      <c r="A158" s="1">
        <v>42929</v>
      </c>
      <c r="B158" t="s">
        <v>36</v>
      </c>
      <c r="C158" t="s">
        <v>70</v>
      </c>
      <c r="D158">
        <v>5862</v>
      </c>
      <c r="E158">
        <v>202</v>
      </c>
      <c r="F158">
        <v>518</v>
      </c>
    </row>
    <row r="159" spans="1:6" x14ac:dyDescent="0.25">
      <c r="A159" s="1">
        <v>42931</v>
      </c>
      <c r="B159" t="s">
        <v>44</v>
      </c>
      <c r="C159" t="s">
        <v>56</v>
      </c>
      <c r="D159">
        <v>3077</v>
      </c>
      <c r="E159">
        <v>148</v>
      </c>
      <c r="F159">
        <v>454</v>
      </c>
    </row>
    <row r="160" spans="1:6" x14ac:dyDescent="0.25">
      <c r="A160" s="1">
        <v>42932</v>
      </c>
      <c r="B160" t="s">
        <v>55</v>
      </c>
      <c r="C160" t="s">
        <v>26</v>
      </c>
      <c r="D160">
        <v>5569</v>
      </c>
      <c r="E160">
        <v>604</v>
      </c>
      <c r="F160">
        <v>1446</v>
      </c>
    </row>
    <row r="161" spans="1:6" x14ac:dyDescent="0.25">
      <c r="A161" s="1">
        <v>42933</v>
      </c>
      <c r="B161" t="s">
        <v>26</v>
      </c>
      <c r="C161" t="s">
        <v>48</v>
      </c>
      <c r="D161">
        <v>4513</v>
      </c>
      <c r="E161">
        <v>114</v>
      </c>
      <c r="F161">
        <v>125</v>
      </c>
    </row>
    <row r="162" spans="1:6" x14ac:dyDescent="0.25">
      <c r="A162" s="1">
        <v>42935</v>
      </c>
      <c r="B162" t="s">
        <v>18</v>
      </c>
      <c r="C162" t="s">
        <v>16</v>
      </c>
      <c r="D162">
        <v>2771</v>
      </c>
      <c r="E162">
        <v>239</v>
      </c>
      <c r="F162">
        <v>396</v>
      </c>
    </row>
    <row r="163" spans="1:6" x14ac:dyDescent="0.25">
      <c r="A163" s="1">
        <v>42936</v>
      </c>
      <c r="B163" t="s">
        <v>50</v>
      </c>
      <c r="C163" t="s">
        <v>42</v>
      </c>
      <c r="D163">
        <v>1079</v>
      </c>
      <c r="E163">
        <v>438</v>
      </c>
      <c r="F163">
        <v>899</v>
      </c>
    </row>
    <row r="164" spans="1:6" x14ac:dyDescent="0.25">
      <c r="A164" s="1">
        <v>42937</v>
      </c>
      <c r="B164" t="s">
        <v>42</v>
      </c>
      <c r="C164" t="s">
        <v>32</v>
      </c>
      <c r="D164">
        <v>3126</v>
      </c>
      <c r="E164">
        <v>124</v>
      </c>
      <c r="F164">
        <v>317</v>
      </c>
    </row>
    <row r="165" spans="1:6" x14ac:dyDescent="0.25">
      <c r="A165" s="1">
        <v>42938</v>
      </c>
      <c r="B165" t="s">
        <v>32</v>
      </c>
      <c r="C165" t="s">
        <v>60</v>
      </c>
      <c r="D165">
        <v>3650</v>
      </c>
      <c r="E165">
        <v>137</v>
      </c>
      <c r="F165">
        <v>308</v>
      </c>
    </row>
    <row r="166" spans="1:6" x14ac:dyDescent="0.25">
      <c r="A166" s="1">
        <v>42939</v>
      </c>
      <c r="B166" t="s">
        <v>55</v>
      </c>
      <c r="C166" t="s">
        <v>68</v>
      </c>
      <c r="D166">
        <v>5721</v>
      </c>
      <c r="E166">
        <v>122</v>
      </c>
      <c r="F166">
        <v>280</v>
      </c>
    </row>
    <row r="167" spans="1:6" x14ac:dyDescent="0.25">
      <c r="A167" s="1">
        <v>42940</v>
      </c>
      <c r="B167" t="s">
        <v>68</v>
      </c>
      <c r="C167" t="s">
        <v>19</v>
      </c>
      <c r="D167">
        <v>5759</v>
      </c>
      <c r="E167">
        <v>175</v>
      </c>
      <c r="F167">
        <v>297</v>
      </c>
    </row>
    <row r="168" spans="1:6" x14ac:dyDescent="0.25">
      <c r="A168" s="1">
        <v>42941</v>
      </c>
      <c r="B168" t="s">
        <v>19</v>
      </c>
      <c r="C168" t="s">
        <v>59</v>
      </c>
      <c r="D168">
        <v>2871</v>
      </c>
      <c r="E168">
        <v>113</v>
      </c>
      <c r="F168">
        <v>110</v>
      </c>
    </row>
    <row r="169" spans="1:6" x14ac:dyDescent="0.25">
      <c r="A169" s="1">
        <v>42944</v>
      </c>
      <c r="B169" t="s">
        <v>8</v>
      </c>
      <c r="C169" t="s">
        <v>9</v>
      </c>
      <c r="D169">
        <v>3571</v>
      </c>
      <c r="E169">
        <v>162</v>
      </c>
      <c r="F169">
        <v>292</v>
      </c>
    </row>
    <row r="170" spans="1:6" x14ac:dyDescent="0.25">
      <c r="A170" s="1">
        <v>42945</v>
      </c>
      <c r="B170" t="s">
        <v>9</v>
      </c>
      <c r="C170" t="s">
        <v>59</v>
      </c>
      <c r="D170">
        <v>3061</v>
      </c>
      <c r="E170">
        <v>107</v>
      </c>
      <c r="F170">
        <v>258</v>
      </c>
    </row>
    <row r="171" spans="1:6" x14ac:dyDescent="0.25">
      <c r="A171" s="1">
        <v>42946</v>
      </c>
      <c r="B171" t="s">
        <v>59</v>
      </c>
      <c r="C171" t="s">
        <v>65</v>
      </c>
      <c r="D171">
        <v>5336</v>
      </c>
      <c r="E171">
        <v>107</v>
      </c>
      <c r="F171">
        <v>171</v>
      </c>
    </row>
    <row r="172" spans="1:6" x14ac:dyDescent="0.25">
      <c r="A172" s="1">
        <v>42947</v>
      </c>
      <c r="B172" t="s">
        <v>29</v>
      </c>
      <c r="C172" t="s">
        <v>27</v>
      </c>
      <c r="D172">
        <v>5658</v>
      </c>
      <c r="E172">
        <v>249</v>
      </c>
      <c r="F172">
        <v>967</v>
      </c>
    </row>
    <row r="173" spans="1:6" x14ac:dyDescent="0.25">
      <c r="A173" s="1">
        <v>42948</v>
      </c>
      <c r="B173" t="s">
        <v>27</v>
      </c>
      <c r="C173" t="s">
        <v>25</v>
      </c>
      <c r="D173">
        <v>2697</v>
      </c>
      <c r="E173">
        <v>209</v>
      </c>
      <c r="F173">
        <v>699</v>
      </c>
    </row>
    <row r="174" spans="1:6" x14ac:dyDescent="0.25">
      <c r="A174" s="1">
        <v>42949</v>
      </c>
      <c r="B174" t="s">
        <v>25</v>
      </c>
      <c r="C174" t="s">
        <v>48</v>
      </c>
      <c r="D174">
        <v>5368</v>
      </c>
      <c r="E174">
        <v>122</v>
      </c>
      <c r="F174">
        <v>491</v>
      </c>
    </row>
    <row r="175" spans="1:6" x14ac:dyDescent="0.25">
      <c r="A175" s="1">
        <v>42950</v>
      </c>
      <c r="B175" t="s">
        <v>48</v>
      </c>
      <c r="C175" t="s">
        <v>14</v>
      </c>
      <c r="D175">
        <v>2706</v>
      </c>
      <c r="E175">
        <v>137</v>
      </c>
      <c r="F175">
        <v>292</v>
      </c>
    </row>
    <row r="176" spans="1:6" x14ac:dyDescent="0.25">
      <c r="A176" s="1">
        <v>42953</v>
      </c>
      <c r="B176" t="s">
        <v>67</v>
      </c>
      <c r="C176" t="s">
        <v>48</v>
      </c>
      <c r="D176">
        <v>3456</v>
      </c>
      <c r="E176">
        <v>542</v>
      </c>
      <c r="F176">
        <v>1891</v>
      </c>
    </row>
    <row r="177" spans="1:6" x14ac:dyDescent="0.25">
      <c r="A177" s="1">
        <v>42954</v>
      </c>
      <c r="B177" t="s">
        <v>48</v>
      </c>
      <c r="C177" t="s">
        <v>14</v>
      </c>
      <c r="D177">
        <v>1914</v>
      </c>
      <c r="E177">
        <v>138</v>
      </c>
      <c r="F177">
        <v>405</v>
      </c>
    </row>
    <row r="178" spans="1:6" x14ac:dyDescent="0.25">
      <c r="A178" s="1">
        <v>42955</v>
      </c>
      <c r="B178" t="s">
        <v>14</v>
      </c>
      <c r="C178" t="s">
        <v>21</v>
      </c>
      <c r="D178">
        <v>1134</v>
      </c>
      <c r="E178">
        <v>95</v>
      </c>
      <c r="F178">
        <v>115</v>
      </c>
    </row>
    <row r="179" spans="1:6" x14ac:dyDescent="0.25">
      <c r="A179" s="1">
        <v>42956</v>
      </c>
      <c r="B179" t="s">
        <v>21</v>
      </c>
      <c r="C179" t="s">
        <v>25</v>
      </c>
      <c r="D179">
        <v>2935</v>
      </c>
      <c r="E179">
        <v>160</v>
      </c>
      <c r="F179">
        <v>275</v>
      </c>
    </row>
    <row r="180" spans="1:6" x14ac:dyDescent="0.25">
      <c r="A180" s="1">
        <v>42957</v>
      </c>
      <c r="B180" t="s">
        <v>25</v>
      </c>
      <c r="C180" t="s">
        <v>15</v>
      </c>
      <c r="D180">
        <v>4379</v>
      </c>
      <c r="E180">
        <v>93</v>
      </c>
      <c r="F180">
        <v>147</v>
      </c>
    </row>
    <row r="181" spans="1:6" x14ac:dyDescent="0.25">
      <c r="A181" s="1">
        <v>42959</v>
      </c>
      <c r="B181" t="s">
        <v>37</v>
      </c>
      <c r="C181" t="s">
        <v>35</v>
      </c>
      <c r="D181">
        <v>1328</v>
      </c>
      <c r="E181">
        <v>148</v>
      </c>
      <c r="F181">
        <v>516</v>
      </c>
    </row>
    <row r="182" spans="1:6" x14ac:dyDescent="0.25">
      <c r="A182" s="1">
        <v>42960</v>
      </c>
      <c r="B182" t="s">
        <v>70</v>
      </c>
      <c r="C182" t="s">
        <v>30</v>
      </c>
      <c r="D182">
        <v>4133</v>
      </c>
      <c r="E182">
        <v>130</v>
      </c>
      <c r="F182">
        <v>398</v>
      </c>
    </row>
    <row r="183" spans="1:6" x14ac:dyDescent="0.25">
      <c r="A183" s="1">
        <v>42962</v>
      </c>
      <c r="B183" t="s">
        <v>47</v>
      </c>
      <c r="C183" t="s">
        <v>20</v>
      </c>
      <c r="D183">
        <v>5370</v>
      </c>
      <c r="E183">
        <v>266</v>
      </c>
      <c r="F183">
        <v>699</v>
      </c>
    </row>
    <row r="184" spans="1:6" x14ac:dyDescent="0.25">
      <c r="A184" s="1">
        <v>42963</v>
      </c>
      <c r="B184" t="s">
        <v>20</v>
      </c>
      <c r="C184" t="s">
        <v>8</v>
      </c>
      <c r="D184">
        <v>4663</v>
      </c>
      <c r="E184">
        <v>122</v>
      </c>
      <c r="F184">
        <v>256</v>
      </c>
    </row>
    <row r="185" spans="1:6" x14ac:dyDescent="0.25">
      <c r="A185" s="1">
        <v>42964</v>
      </c>
      <c r="B185" t="s">
        <v>8</v>
      </c>
      <c r="C185" t="s">
        <v>40</v>
      </c>
      <c r="D185">
        <v>5151</v>
      </c>
      <c r="E185">
        <v>151</v>
      </c>
      <c r="F185">
        <v>195</v>
      </c>
    </row>
    <row r="186" spans="1:6" x14ac:dyDescent="0.25">
      <c r="A186" s="1">
        <v>42965</v>
      </c>
      <c r="B186" t="s">
        <v>40</v>
      </c>
      <c r="C186" t="s">
        <v>20</v>
      </c>
      <c r="D186">
        <v>3035</v>
      </c>
      <c r="E186">
        <v>118</v>
      </c>
      <c r="F186">
        <v>207</v>
      </c>
    </row>
    <row r="187" spans="1:6" x14ac:dyDescent="0.25">
      <c r="A187" s="1">
        <v>42967</v>
      </c>
      <c r="B187" t="s">
        <v>72</v>
      </c>
      <c r="C187" t="s">
        <v>11</v>
      </c>
      <c r="D187">
        <v>1090</v>
      </c>
      <c r="E187">
        <v>200</v>
      </c>
      <c r="F187">
        <v>585</v>
      </c>
    </row>
    <row r="188" spans="1:6" x14ac:dyDescent="0.25">
      <c r="A188" s="1">
        <v>42968</v>
      </c>
      <c r="B188" t="s">
        <v>11</v>
      </c>
      <c r="C188" t="s">
        <v>13</v>
      </c>
      <c r="D188">
        <v>5746</v>
      </c>
      <c r="E188">
        <v>145</v>
      </c>
      <c r="F188">
        <v>214</v>
      </c>
    </row>
    <row r="189" spans="1:6" x14ac:dyDescent="0.25">
      <c r="A189" s="1">
        <v>42970</v>
      </c>
      <c r="B189" t="s">
        <v>46</v>
      </c>
      <c r="C189" t="s">
        <v>56</v>
      </c>
      <c r="D189">
        <v>3200</v>
      </c>
      <c r="E189">
        <v>138</v>
      </c>
      <c r="F189">
        <v>417</v>
      </c>
    </row>
    <row r="190" spans="1:6" x14ac:dyDescent="0.25">
      <c r="A190" s="1">
        <v>42971</v>
      </c>
      <c r="B190" t="s">
        <v>56</v>
      </c>
      <c r="C190" t="s">
        <v>50</v>
      </c>
      <c r="D190">
        <v>3586</v>
      </c>
      <c r="E190">
        <v>155</v>
      </c>
      <c r="F190">
        <v>290</v>
      </c>
    </row>
    <row r="191" spans="1:6" x14ac:dyDescent="0.25">
      <c r="A191" s="1">
        <v>42972</v>
      </c>
      <c r="B191" t="s">
        <v>50</v>
      </c>
      <c r="C191" t="s">
        <v>17</v>
      </c>
      <c r="D191">
        <v>3460</v>
      </c>
      <c r="E191">
        <v>145</v>
      </c>
      <c r="F191">
        <v>162</v>
      </c>
    </row>
    <row r="192" spans="1:6" x14ac:dyDescent="0.25">
      <c r="A192" s="1">
        <v>42973</v>
      </c>
      <c r="B192" t="s">
        <v>68</v>
      </c>
      <c r="C192" t="s">
        <v>19</v>
      </c>
      <c r="D192">
        <v>1347</v>
      </c>
      <c r="E192">
        <v>173</v>
      </c>
      <c r="F192">
        <v>576</v>
      </c>
    </row>
    <row r="193" spans="1:6" x14ac:dyDescent="0.25">
      <c r="A193" s="1">
        <v>42974</v>
      </c>
      <c r="B193" t="s">
        <v>19</v>
      </c>
      <c r="C193" t="s">
        <v>60</v>
      </c>
      <c r="D193">
        <v>2421</v>
      </c>
      <c r="E193">
        <v>148</v>
      </c>
      <c r="F193">
        <v>552</v>
      </c>
    </row>
    <row r="194" spans="1:6" x14ac:dyDescent="0.25">
      <c r="A194" s="1">
        <v>42975</v>
      </c>
      <c r="B194" t="s">
        <v>60</v>
      </c>
      <c r="C194" t="s">
        <v>47</v>
      </c>
      <c r="D194">
        <v>2939</v>
      </c>
      <c r="E194">
        <v>125</v>
      </c>
      <c r="F194">
        <v>307</v>
      </c>
    </row>
    <row r="195" spans="1:6" x14ac:dyDescent="0.25">
      <c r="A195" s="1">
        <v>42976</v>
      </c>
      <c r="B195" t="s">
        <v>47</v>
      </c>
      <c r="C195" t="s">
        <v>17</v>
      </c>
      <c r="D195">
        <v>4921</v>
      </c>
      <c r="E195">
        <v>124</v>
      </c>
      <c r="F195">
        <v>472</v>
      </c>
    </row>
    <row r="196" spans="1:6" x14ac:dyDescent="0.25">
      <c r="A196" s="1">
        <v>42977</v>
      </c>
      <c r="B196" t="s">
        <v>17</v>
      </c>
      <c r="C196" t="s">
        <v>38</v>
      </c>
      <c r="D196">
        <v>3580</v>
      </c>
      <c r="E196">
        <v>173</v>
      </c>
      <c r="F196">
        <v>382</v>
      </c>
    </row>
    <row r="197" spans="1:6" x14ac:dyDescent="0.25">
      <c r="A197" s="1">
        <v>42978</v>
      </c>
      <c r="B197" t="s">
        <v>38</v>
      </c>
      <c r="C197" t="s">
        <v>73</v>
      </c>
      <c r="D197">
        <v>5215</v>
      </c>
      <c r="E197">
        <v>158</v>
      </c>
      <c r="F197">
        <v>375</v>
      </c>
    </row>
    <row r="198" spans="1:6" x14ac:dyDescent="0.25">
      <c r="A198" s="1">
        <v>42979</v>
      </c>
      <c r="B198" t="s">
        <v>73</v>
      </c>
      <c r="C198" t="s">
        <v>51</v>
      </c>
      <c r="D198">
        <v>1369</v>
      </c>
      <c r="E198">
        <v>170</v>
      </c>
      <c r="F198">
        <v>276</v>
      </c>
    </row>
    <row r="199" spans="1:6" x14ac:dyDescent="0.25">
      <c r="A199" s="1">
        <v>42980</v>
      </c>
      <c r="B199" t="s">
        <v>51</v>
      </c>
      <c r="C199" t="s">
        <v>67</v>
      </c>
      <c r="D199">
        <v>1655</v>
      </c>
      <c r="E199">
        <v>180</v>
      </c>
      <c r="F199">
        <v>332</v>
      </c>
    </row>
    <row r="200" spans="1:6" x14ac:dyDescent="0.25">
      <c r="A200" s="1">
        <v>42981</v>
      </c>
      <c r="B200" t="s">
        <v>48</v>
      </c>
      <c r="C200" t="s">
        <v>61</v>
      </c>
      <c r="D200">
        <v>2192</v>
      </c>
      <c r="E200">
        <v>114</v>
      </c>
      <c r="F200">
        <v>137</v>
      </c>
    </row>
    <row r="201" spans="1:6" x14ac:dyDescent="0.25">
      <c r="A201" s="1">
        <v>42982</v>
      </c>
      <c r="B201" t="s">
        <v>12</v>
      </c>
      <c r="C201" t="s">
        <v>59</v>
      </c>
      <c r="D201">
        <v>5919</v>
      </c>
      <c r="E201">
        <v>103</v>
      </c>
      <c r="F201">
        <v>279</v>
      </c>
    </row>
    <row r="202" spans="1:6" x14ac:dyDescent="0.25">
      <c r="A202" s="1">
        <v>42983</v>
      </c>
      <c r="B202" t="s">
        <v>67</v>
      </c>
      <c r="C202" t="s">
        <v>17</v>
      </c>
      <c r="D202">
        <v>5986</v>
      </c>
      <c r="E202">
        <v>222</v>
      </c>
      <c r="F202">
        <v>501</v>
      </c>
    </row>
    <row r="203" spans="1:6" x14ac:dyDescent="0.25">
      <c r="A203" s="1">
        <v>42984</v>
      </c>
      <c r="B203" t="s">
        <v>17</v>
      </c>
      <c r="C203" t="s">
        <v>39</v>
      </c>
      <c r="D203">
        <v>2750</v>
      </c>
      <c r="E203">
        <v>144</v>
      </c>
      <c r="F203">
        <v>422</v>
      </c>
    </row>
    <row r="204" spans="1:6" x14ac:dyDescent="0.25">
      <c r="A204" s="1">
        <v>42985</v>
      </c>
      <c r="B204" t="s">
        <v>39</v>
      </c>
      <c r="C204" t="s">
        <v>50</v>
      </c>
      <c r="D204">
        <v>1381</v>
      </c>
      <c r="E204">
        <v>192</v>
      </c>
      <c r="F204">
        <v>556</v>
      </c>
    </row>
    <row r="205" spans="1:6" x14ac:dyDescent="0.25">
      <c r="A205" s="1">
        <v>42986</v>
      </c>
      <c r="B205" t="s">
        <v>60</v>
      </c>
      <c r="C205" t="s">
        <v>59</v>
      </c>
      <c r="D205">
        <v>2219</v>
      </c>
      <c r="E205">
        <v>136</v>
      </c>
      <c r="F205">
        <v>162</v>
      </c>
    </row>
    <row r="206" spans="1:6" x14ac:dyDescent="0.25">
      <c r="A206" s="1">
        <v>42987</v>
      </c>
      <c r="B206" t="s">
        <v>59</v>
      </c>
      <c r="C206" t="s">
        <v>65</v>
      </c>
      <c r="D206">
        <v>5041</v>
      </c>
      <c r="E206">
        <v>101</v>
      </c>
      <c r="F206">
        <v>319</v>
      </c>
    </row>
    <row r="207" spans="1:6" x14ac:dyDescent="0.25">
      <c r="A207" s="1">
        <v>42989</v>
      </c>
      <c r="B207" t="s">
        <v>31</v>
      </c>
      <c r="C207" t="s">
        <v>23</v>
      </c>
      <c r="D207">
        <v>4432</v>
      </c>
      <c r="E207">
        <v>159</v>
      </c>
      <c r="F207">
        <v>585</v>
      </c>
    </row>
    <row r="208" spans="1:6" x14ac:dyDescent="0.25">
      <c r="A208" s="1">
        <v>42990</v>
      </c>
      <c r="B208" t="s">
        <v>6</v>
      </c>
      <c r="C208" t="s">
        <v>12</v>
      </c>
      <c r="D208">
        <v>2761</v>
      </c>
      <c r="E208">
        <v>129</v>
      </c>
      <c r="F208">
        <v>288</v>
      </c>
    </row>
    <row r="209" spans="1:6" x14ac:dyDescent="0.25">
      <c r="A209" s="1">
        <v>42991</v>
      </c>
      <c r="B209" t="s">
        <v>12</v>
      </c>
      <c r="C209" t="s">
        <v>7</v>
      </c>
      <c r="D209">
        <v>2935</v>
      </c>
      <c r="E209">
        <v>162</v>
      </c>
      <c r="F209">
        <v>572</v>
      </c>
    </row>
    <row r="210" spans="1:6" x14ac:dyDescent="0.25">
      <c r="A210" s="1">
        <v>42992</v>
      </c>
      <c r="B210" t="s">
        <v>36</v>
      </c>
      <c r="C210" t="s">
        <v>40</v>
      </c>
      <c r="D210">
        <v>3565</v>
      </c>
      <c r="E210">
        <v>176</v>
      </c>
      <c r="F210">
        <v>224</v>
      </c>
    </row>
    <row r="211" spans="1:6" x14ac:dyDescent="0.25">
      <c r="A211" s="1">
        <v>42993</v>
      </c>
      <c r="B211" t="s">
        <v>8</v>
      </c>
      <c r="C211" t="s">
        <v>38</v>
      </c>
      <c r="D211">
        <v>3096</v>
      </c>
      <c r="E211">
        <v>353</v>
      </c>
      <c r="F211">
        <v>993</v>
      </c>
    </row>
    <row r="212" spans="1:6" x14ac:dyDescent="0.25">
      <c r="A212" s="1">
        <v>42995</v>
      </c>
      <c r="B212" t="s">
        <v>50</v>
      </c>
      <c r="C212" t="s">
        <v>11</v>
      </c>
      <c r="D212">
        <v>3325</v>
      </c>
      <c r="E212">
        <v>517</v>
      </c>
      <c r="F212">
        <v>1107</v>
      </c>
    </row>
    <row r="213" spans="1:6" x14ac:dyDescent="0.25">
      <c r="A213" s="1">
        <v>42997</v>
      </c>
      <c r="B213" t="s">
        <v>15</v>
      </c>
      <c r="C213" t="s">
        <v>59</v>
      </c>
      <c r="D213">
        <v>2563</v>
      </c>
      <c r="E213">
        <v>480</v>
      </c>
      <c r="F213">
        <v>1849</v>
      </c>
    </row>
    <row r="214" spans="1:6" x14ac:dyDescent="0.25">
      <c r="A214" s="1">
        <v>42998</v>
      </c>
      <c r="B214" t="s">
        <v>59</v>
      </c>
      <c r="C214" t="s">
        <v>19</v>
      </c>
      <c r="D214">
        <v>2914</v>
      </c>
      <c r="E214">
        <v>104</v>
      </c>
      <c r="F214">
        <v>275</v>
      </c>
    </row>
    <row r="215" spans="1:6" x14ac:dyDescent="0.25">
      <c r="A215" s="1">
        <v>42999</v>
      </c>
      <c r="B215" t="s">
        <v>19</v>
      </c>
      <c r="C215" t="s">
        <v>29</v>
      </c>
      <c r="D215">
        <v>2832</v>
      </c>
      <c r="E215">
        <v>106</v>
      </c>
      <c r="F215">
        <v>396</v>
      </c>
    </row>
    <row r="216" spans="1:6" x14ac:dyDescent="0.25">
      <c r="A216" s="1">
        <v>43000</v>
      </c>
      <c r="B216" t="s">
        <v>59</v>
      </c>
      <c r="C216" t="s">
        <v>43</v>
      </c>
      <c r="D216">
        <v>5257</v>
      </c>
      <c r="E216">
        <v>407</v>
      </c>
      <c r="F216">
        <v>551</v>
      </c>
    </row>
    <row r="217" spans="1:6" x14ac:dyDescent="0.25">
      <c r="A217" s="1">
        <v>43001</v>
      </c>
      <c r="B217" t="s">
        <v>57</v>
      </c>
      <c r="C217" t="s">
        <v>43</v>
      </c>
      <c r="D217">
        <v>5983</v>
      </c>
      <c r="E217">
        <v>227</v>
      </c>
      <c r="F217">
        <v>832</v>
      </c>
    </row>
    <row r="218" spans="1:6" x14ac:dyDescent="0.25">
      <c r="A218" s="1">
        <v>43002</v>
      </c>
      <c r="B218" t="s">
        <v>43</v>
      </c>
      <c r="C218" t="s">
        <v>64</v>
      </c>
      <c r="D218">
        <v>4378</v>
      </c>
      <c r="E218">
        <v>187</v>
      </c>
      <c r="F218">
        <v>653</v>
      </c>
    </row>
    <row r="219" spans="1:6" x14ac:dyDescent="0.25">
      <c r="A219" s="1">
        <v>43003</v>
      </c>
      <c r="B219" t="s">
        <v>64</v>
      </c>
      <c r="C219" t="s">
        <v>25</v>
      </c>
      <c r="D219">
        <v>3108</v>
      </c>
      <c r="E219">
        <v>114</v>
      </c>
      <c r="F219">
        <v>174</v>
      </c>
    </row>
    <row r="220" spans="1:6" x14ac:dyDescent="0.25">
      <c r="A220" s="1">
        <v>43004</v>
      </c>
      <c r="B220" t="s">
        <v>25</v>
      </c>
      <c r="C220" t="s">
        <v>52</v>
      </c>
      <c r="D220">
        <v>2133</v>
      </c>
      <c r="E220">
        <v>166</v>
      </c>
      <c r="F220">
        <v>513</v>
      </c>
    </row>
    <row r="221" spans="1:6" x14ac:dyDescent="0.25">
      <c r="A221" s="1">
        <v>43005</v>
      </c>
      <c r="B221" t="s">
        <v>52</v>
      </c>
      <c r="C221" t="s">
        <v>48</v>
      </c>
      <c r="D221">
        <v>1125</v>
      </c>
      <c r="E221">
        <v>98</v>
      </c>
      <c r="F221">
        <v>194</v>
      </c>
    </row>
    <row r="222" spans="1:6" x14ac:dyDescent="0.25">
      <c r="A222" s="1">
        <v>43006</v>
      </c>
      <c r="B222" t="s">
        <v>48</v>
      </c>
      <c r="C222" t="s">
        <v>25</v>
      </c>
      <c r="D222">
        <v>4375</v>
      </c>
      <c r="E222">
        <v>140</v>
      </c>
      <c r="F222">
        <v>134</v>
      </c>
    </row>
    <row r="223" spans="1:6" x14ac:dyDescent="0.25">
      <c r="A223" s="1">
        <v>43008</v>
      </c>
      <c r="B223" t="s">
        <v>41</v>
      </c>
      <c r="C223" t="s">
        <v>12</v>
      </c>
      <c r="D223">
        <v>5455</v>
      </c>
      <c r="E223">
        <v>124</v>
      </c>
      <c r="F223">
        <v>231</v>
      </c>
    </row>
    <row r="224" spans="1:6" x14ac:dyDescent="0.25">
      <c r="A224" s="1">
        <v>43009</v>
      </c>
      <c r="B224" t="s">
        <v>29</v>
      </c>
      <c r="C224" t="s">
        <v>28</v>
      </c>
      <c r="D224">
        <v>4649</v>
      </c>
      <c r="E224">
        <v>125</v>
      </c>
      <c r="F224">
        <v>356</v>
      </c>
    </row>
    <row r="225" spans="1:6" x14ac:dyDescent="0.25">
      <c r="A225" s="1">
        <v>43010</v>
      </c>
      <c r="B225" t="s">
        <v>28</v>
      </c>
      <c r="C225" t="s">
        <v>60</v>
      </c>
      <c r="D225">
        <v>4016</v>
      </c>
      <c r="E225">
        <v>115</v>
      </c>
      <c r="F225">
        <v>145</v>
      </c>
    </row>
    <row r="226" spans="1:6" x14ac:dyDescent="0.25">
      <c r="A226" s="1">
        <v>43011</v>
      </c>
      <c r="B226" t="s">
        <v>60</v>
      </c>
      <c r="C226" t="s">
        <v>32</v>
      </c>
      <c r="D226">
        <v>1211</v>
      </c>
      <c r="E226">
        <v>139</v>
      </c>
      <c r="F226">
        <v>218</v>
      </c>
    </row>
    <row r="227" spans="1:6" x14ac:dyDescent="0.25">
      <c r="A227" s="1">
        <v>43012</v>
      </c>
      <c r="B227" t="s">
        <v>32</v>
      </c>
      <c r="C227" t="s">
        <v>42</v>
      </c>
      <c r="D227">
        <v>4633</v>
      </c>
      <c r="E227">
        <v>120</v>
      </c>
      <c r="F227">
        <v>280</v>
      </c>
    </row>
    <row r="228" spans="1:6" x14ac:dyDescent="0.25">
      <c r="A228" s="1">
        <v>43013</v>
      </c>
      <c r="B228" t="s">
        <v>42</v>
      </c>
      <c r="C228" t="s">
        <v>37</v>
      </c>
      <c r="D228">
        <v>2488</v>
      </c>
      <c r="E228">
        <v>144</v>
      </c>
      <c r="F228">
        <v>252</v>
      </c>
    </row>
    <row r="229" spans="1:6" x14ac:dyDescent="0.25">
      <c r="A229" s="1">
        <v>43014</v>
      </c>
      <c r="B229" t="s">
        <v>37</v>
      </c>
      <c r="C229" t="s">
        <v>35</v>
      </c>
      <c r="D229">
        <v>5798</v>
      </c>
      <c r="E229">
        <v>142</v>
      </c>
      <c r="F229">
        <v>501</v>
      </c>
    </row>
    <row r="230" spans="1:6" x14ac:dyDescent="0.25">
      <c r="A230" s="1">
        <v>43015</v>
      </c>
      <c r="B230" t="s">
        <v>42</v>
      </c>
      <c r="C230" t="s">
        <v>62</v>
      </c>
      <c r="D230">
        <v>2918</v>
      </c>
      <c r="E230">
        <v>181</v>
      </c>
      <c r="F230">
        <v>289</v>
      </c>
    </row>
    <row r="231" spans="1:6" x14ac:dyDescent="0.25">
      <c r="A231" s="1">
        <v>43016</v>
      </c>
      <c r="B231" t="s">
        <v>62</v>
      </c>
      <c r="C231" t="s">
        <v>61</v>
      </c>
      <c r="D231">
        <v>1886</v>
      </c>
      <c r="E231">
        <v>110</v>
      </c>
      <c r="F231">
        <v>254</v>
      </c>
    </row>
    <row r="232" spans="1:6" x14ac:dyDescent="0.25">
      <c r="A232" s="1">
        <v>43017</v>
      </c>
      <c r="B232" t="s">
        <v>70</v>
      </c>
      <c r="C232" t="s">
        <v>30</v>
      </c>
      <c r="D232">
        <v>4431</v>
      </c>
      <c r="E232">
        <v>128</v>
      </c>
      <c r="F232">
        <v>213</v>
      </c>
    </row>
    <row r="233" spans="1:6" x14ac:dyDescent="0.25">
      <c r="A233" s="1">
        <v>43018</v>
      </c>
      <c r="B233" t="s">
        <v>30</v>
      </c>
      <c r="C233" t="s">
        <v>40</v>
      </c>
      <c r="D233">
        <v>1956</v>
      </c>
      <c r="E233">
        <v>176</v>
      </c>
      <c r="F233">
        <v>248</v>
      </c>
    </row>
    <row r="234" spans="1:6" x14ac:dyDescent="0.25">
      <c r="A234" s="1">
        <v>43019</v>
      </c>
      <c r="B234" t="s">
        <v>15</v>
      </c>
      <c r="C234" t="s">
        <v>26</v>
      </c>
      <c r="D234">
        <v>4059</v>
      </c>
      <c r="E234">
        <v>162</v>
      </c>
      <c r="F234">
        <v>550</v>
      </c>
    </row>
    <row r="235" spans="1:6" x14ac:dyDescent="0.25">
      <c r="A235" s="1">
        <v>43020</v>
      </c>
      <c r="B235" t="s">
        <v>26</v>
      </c>
      <c r="C235" t="s">
        <v>23</v>
      </c>
      <c r="D235">
        <v>2157</v>
      </c>
      <c r="E235">
        <v>115</v>
      </c>
      <c r="F235">
        <v>182</v>
      </c>
    </row>
    <row r="236" spans="1:6" x14ac:dyDescent="0.25">
      <c r="A236" s="1">
        <v>43021</v>
      </c>
      <c r="B236" t="s">
        <v>23</v>
      </c>
      <c r="C236" t="s">
        <v>24</v>
      </c>
      <c r="D236">
        <v>3353</v>
      </c>
      <c r="E236">
        <v>117</v>
      </c>
      <c r="F236">
        <v>312</v>
      </c>
    </row>
    <row r="237" spans="1:6" x14ac:dyDescent="0.25">
      <c r="A237" s="1">
        <v>43022</v>
      </c>
      <c r="B237" t="s">
        <v>24</v>
      </c>
      <c r="C237" t="s">
        <v>21</v>
      </c>
      <c r="D237">
        <v>4677</v>
      </c>
      <c r="E237">
        <v>219</v>
      </c>
      <c r="F237">
        <v>255</v>
      </c>
    </row>
    <row r="238" spans="1:6" x14ac:dyDescent="0.25">
      <c r="A238" s="1">
        <v>43023</v>
      </c>
      <c r="B238" t="s">
        <v>21</v>
      </c>
      <c r="C238" t="s">
        <v>25</v>
      </c>
      <c r="D238">
        <v>2059</v>
      </c>
      <c r="E238">
        <v>164</v>
      </c>
      <c r="F238">
        <v>630</v>
      </c>
    </row>
    <row r="239" spans="1:6" x14ac:dyDescent="0.25">
      <c r="A239" s="1">
        <v>43025</v>
      </c>
      <c r="B239" t="s">
        <v>8</v>
      </c>
      <c r="C239" t="s">
        <v>29</v>
      </c>
      <c r="D239">
        <v>5537</v>
      </c>
      <c r="E239">
        <v>141</v>
      </c>
      <c r="F239">
        <v>240</v>
      </c>
    </row>
    <row r="240" spans="1:6" x14ac:dyDescent="0.25">
      <c r="A240" s="1">
        <v>43026</v>
      </c>
      <c r="B240" t="s">
        <v>29</v>
      </c>
      <c r="C240" t="s">
        <v>59</v>
      </c>
      <c r="D240">
        <v>2987</v>
      </c>
      <c r="E240">
        <v>149</v>
      </c>
      <c r="F240">
        <v>464</v>
      </c>
    </row>
    <row r="241" spans="1:6" x14ac:dyDescent="0.25">
      <c r="A241" s="1">
        <v>43028</v>
      </c>
      <c r="B241" t="s">
        <v>69</v>
      </c>
      <c r="C241" t="s">
        <v>67</v>
      </c>
      <c r="D241">
        <v>5570</v>
      </c>
      <c r="E241">
        <v>166</v>
      </c>
      <c r="F241">
        <v>577</v>
      </c>
    </row>
    <row r="242" spans="1:6" x14ac:dyDescent="0.25">
      <c r="A242" s="1">
        <v>43029</v>
      </c>
      <c r="B242" t="s">
        <v>67</v>
      </c>
      <c r="C242" t="s">
        <v>66</v>
      </c>
      <c r="D242">
        <v>3948</v>
      </c>
      <c r="E242">
        <v>137</v>
      </c>
      <c r="F242">
        <v>469</v>
      </c>
    </row>
    <row r="243" spans="1:6" x14ac:dyDescent="0.25">
      <c r="A243" s="1">
        <v>43030</v>
      </c>
      <c r="B243" t="s">
        <v>56</v>
      </c>
      <c r="C243" t="s">
        <v>59</v>
      </c>
      <c r="D243">
        <v>4201</v>
      </c>
      <c r="E243">
        <v>380</v>
      </c>
      <c r="F243">
        <v>528</v>
      </c>
    </row>
    <row r="244" spans="1:6" x14ac:dyDescent="0.25">
      <c r="A244" s="1">
        <v>43031</v>
      </c>
      <c r="B244" t="s">
        <v>59</v>
      </c>
      <c r="C244" t="s">
        <v>12</v>
      </c>
      <c r="D244">
        <v>3592</v>
      </c>
      <c r="E244">
        <v>109</v>
      </c>
      <c r="F244">
        <v>134</v>
      </c>
    </row>
    <row r="245" spans="1:6" x14ac:dyDescent="0.25">
      <c r="A245" s="1">
        <v>43032</v>
      </c>
      <c r="B245" t="s">
        <v>12</v>
      </c>
      <c r="C245" t="s">
        <v>41</v>
      </c>
      <c r="D245">
        <v>4543</v>
      </c>
      <c r="E245">
        <v>135</v>
      </c>
      <c r="F245">
        <v>345</v>
      </c>
    </row>
    <row r="246" spans="1:6" x14ac:dyDescent="0.25">
      <c r="A246" s="1">
        <v>43034</v>
      </c>
      <c r="B246" t="s">
        <v>12</v>
      </c>
      <c r="C246" t="s">
        <v>9</v>
      </c>
      <c r="D246">
        <v>1813</v>
      </c>
      <c r="E246">
        <v>86</v>
      </c>
      <c r="F246">
        <v>163</v>
      </c>
    </row>
    <row r="247" spans="1:6" x14ac:dyDescent="0.25">
      <c r="A247" s="1">
        <v>43035</v>
      </c>
      <c r="B247" t="s">
        <v>38</v>
      </c>
      <c r="C247" t="s">
        <v>49</v>
      </c>
      <c r="D247">
        <v>4567</v>
      </c>
      <c r="E247">
        <v>31</v>
      </c>
      <c r="F247">
        <v>54</v>
      </c>
    </row>
    <row r="248" spans="1:6" x14ac:dyDescent="0.25">
      <c r="A248" s="1">
        <v>43036</v>
      </c>
      <c r="B248" t="s">
        <v>49</v>
      </c>
      <c r="C248" t="s">
        <v>37</v>
      </c>
      <c r="D248">
        <v>1830</v>
      </c>
      <c r="E248">
        <v>152</v>
      </c>
      <c r="F248">
        <v>301</v>
      </c>
    </row>
    <row r="249" spans="1:6" x14ac:dyDescent="0.25">
      <c r="A249" s="1">
        <v>43037</v>
      </c>
      <c r="B249" t="s">
        <v>37</v>
      </c>
      <c r="C249" t="s">
        <v>57</v>
      </c>
      <c r="D249">
        <v>3678</v>
      </c>
      <c r="E249">
        <v>104</v>
      </c>
      <c r="F249">
        <v>275</v>
      </c>
    </row>
    <row r="250" spans="1:6" x14ac:dyDescent="0.25">
      <c r="A250" s="1">
        <v>43038</v>
      </c>
      <c r="B250" t="s">
        <v>17</v>
      </c>
      <c r="C250" t="s">
        <v>38</v>
      </c>
      <c r="D250">
        <v>1782</v>
      </c>
      <c r="E250">
        <v>171</v>
      </c>
      <c r="F250">
        <v>193</v>
      </c>
    </row>
    <row r="251" spans="1:6" x14ac:dyDescent="0.25">
      <c r="A251" s="1">
        <v>43040</v>
      </c>
      <c r="B251" t="s">
        <v>12</v>
      </c>
      <c r="C251" t="s">
        <v>6</v>
      </c>
      <c r="D251">
        <v>2966</v>
      </c>
      <c r="E251">
        <v>125</v>
      </c>
      <c r="F251">
        <v>170</v>
      </c>
    </row>
    <row r="252" spans="1:6" x14ac:dyDescent="0.25">
      <c r="A252" s="1">
        <v>43042</v>
      </c>
      <c r="B252" t="s">
        <v>32</v>
      </c>
      <c r="C252" t="s">
        <v>47</v>
      </c>
      <c r="D252">
        <v>4746</v>
      </c>
      <c r="E252">
        <v>131</v>
      </c>
      <c r="F252">
        <v>245</v>
      </c>
    </row>
    <row r="253" spans="1:6" x14ac:dyDescent="0.25">
      <c r="A253" s="1">
        <v>43044</v>
      </c>
      <c r="B253" t="s">
        <v>37</v>
      </c>
      <c r="C253" t="s">
        <v>18</v>
      </c>
      <c r="D253">
        <v>3161</v>
      </c>
      <c r="E253">
        <v>101</v>
      </c>
      <c r="F253">
        <v>115</v>
      </c>
    </row>
    <row r="254" spans="1:6" x14ac:dyDescent="0.25">
      <c r="A254" s="1">
        <v>43045</v>
      </c>
      <c r="B254" t="s">
        <v>60</v>
      </c>
      <c r="C254" t="s">
        <v>71</v>
      </c>
      <c r="D254">
        <v>3600</v>
      </c>
      <c r="E254">
        <v>211</v>
      </c>
      <c r="F254">
        <v>670</v>
      </c>
    </row>
    <row r="255" spans="1:6" x14ac:dyDescent="0.25">
      <c r="A255" s="1">
        <v>43046</v>
      </c>
      <c r="B255" t="s">
        <v>71</v>
      </c>
      <c r="C255" t="s">
        <v>10</v>
      </c>
      <c r="D255">
        <v>4093</v>
      </c>
      <c r="E255">
        <v>119</v>
      </c>
      <c r="F255">
        <v>254</v>
      </c>
    </row>
    <row r="256" spans="1:6" x14ac:dyDescent="0.25">
      <c r="A256" s="1">
        <v>43047</v>
      </c>
      <c r="B256" t="s">
        <v>10</v>
      </c>
      <c r="C256" t="s">
        <v>9</v>
      </c>
      <c r="D256">
        <v>1981</v>
      </c>
      <c r="E256">
        <v>159</v>
      </c>
      <c r="F256">
        <v>192</v>
      </c>
    </row>
    <row r="257" spans="1:6" x14ac:dyDescent="0.25">
      <c r="A257" s="1">
        <v>43048</v>
      </c>
      <c r="B257" t="s">
        <v>9</v>
      </c>
      <c r="C257" t="s">
        <v>6</v>
      </c>
      <c r="D257">
        <v>3154</v>
      </c>
      <c r="E257">
        <v>127</v>
      </c>
      <c r="F257">
        <v>390</v>
      </c>
    </row>
    <row r="258" spans="1:6" x14ac:dyDescent="0.25">
      <c r="A258" s="1">
        <v>43051</v>
      </c>
      <c r="B258" t="s">
        <v>8</v>
      </c>
      <c r="C258" t="s">
        <v>67</v>
      </c>
      <c r="D258">
        <v>4876</v>
      </c>
      <c r="E258">
        <v>280</v>
      </c>
      <c r="F258">
        <v>688</v>
      </c>
    </row>
    <row r="259" spans="1:6" x14ac:dyDescent="0.25">
      <c r="A259" s="1">
        <v>43052</v>
      </c>
      <c r="B259" t="s">
        <v>67</v>
      </c>
      <c r="C259" t="s">
        <v>66</v>
      </c>
      <c r="D259">
        <v>5153</v>
      </c>
      <c r="E259">
        <v>141</v>
      </c>
      <c r="F259">
        <v>547</v>
      </c>
    </row>
    <row r="260" spans="1:6" x14ac:dyDescent="0.25">
      <c r="A260" s="1">
        <v>43053</v>
      </c>
      <c r="B260" t="s">
        <v>66</v>
      </c>
      <c r="C260" t="s">
        <v>45</v>
      </c>
      <c r="D260">
        <v>1720</v>
      </c>
      <c r="E260">
        <v>122</v>
      </c>
      <c r="F260">
        <v>363</v>
      </c>
    </row>
    <row r="261" spans="1:6" x14ac:dyDescent="0.25">
      <c r="A261" s="1">
        <v>43054</v>
      </c>
      <c r="B261" t="s">
        <v>45</v>
      </c>
      <c r="C261" t="s">
        <v>44</v>
      </c>
      <c r="D261">
        <v>5392</v>
      </c>
      <c r="E261">
        <v>161</v>
      </c>
      <c r="F261">
        <v>240</v>
      </c>
    </row>
    <row r="262" spans="1:6" x14ac:dyDescent="0.25">
      <c r="A262" s="1">
        <v>43055</v>
      </c>
      <c r="B262" t="s">
        <v>70</v>
      </c>
      <c r="C262" t="s">
        <v>23</v>
      </c>
      <c r="D262">
        <v>1698</v>
      </c>
      <c r="E262">
        <v>224</v>
      </c>
      <c r="F262">
        <v>579</v>
      </c>
    </row>
    <row r="263" spans="1:6" x14ac:dyDescent="0.25">
      <c r="A263" s="1">
        <v>43056</v>
      </c>
      <c r="B263" t="s">
        <v>23</v>
      </c>
      <c r="C263" t="s">
        <v>21</v>
      </c>
      <c r="D263">
        <v>3411</v>
      </c>
      <c r="E263">
        <v>166</v>
      </c>
      <c r="F263">
        <v>574</v>
      </c>
    </row>
    <row r="264" spans="1:6" x14ac:dyDescent="0.25">
      <c r="A264" s="1">
        <v>43057</v>
      </c>
      <c r="B264" t="s">
        <v>21</v>
      </c>
      <c r="C264" t="s">
        <v>14</v>
      </c>
      <c r="D264">
        <v>5558</v>
      </c>
      <c r="E264">
        <v>107</v>
      </c>
      <c r="F264">
        <v>202</v>
      </c>
    </row>
    <row r="265" spans="1:6" x14ac:dyDescent="0.25">
      <c r="A265" s="1">
        <v>43058</v>
      </c>
      <c r="B265" t="s">
        <v>14</v>
      </c>
      <c r="C265" t="s">
        <v>40</v>
      </c>
      <c r="D265">
        <v>2592</v>
      </c>
      <c r="E265">
        <v>136</v>
      </c>
      <c r="F265">
        <v>325</v>
      </c>
    </row>
    <row r="266" spans="1:6" x14ac:dyDescent="0.25">
      <c r="A266" s="1">
        <v>43059</v>
      </c>
      <c r="B266" t="s">
        <v>40</v>
      </c>
      <c r="C266" t="s">
        <v>30</v>
      </c>
      <c r="D266">
        <v>5214</v>
      </c>
      <c r="E266">
        <v>178</v>
      </c>
      <c r="F266">
        <v>634</v>
      </c>
    </row>
    <row r="267" spans="1:6" x14ac:dyDescent="0.25">
      <c r="A267" s="1">
        <v>43060</v>
      </c>
      <c r="B267" t="s">
        <v>30</v>
      </c>
      <c r="C267" t="s">
        <v>40</v>
      </c>
      <c r="D267">
        <v>5491</v>
      </c>
      <c r="E267">
        <v>162</v>
      </c>
      <c r="F267">
        <v>408</v>
      </c>
    </row>
    <row r="268" spans="1:6" x14ac:dyDescent="0.25">
      <c r="A268" s="1">
        <v>43061</v>
      </c>
      <c r="B268" t="s">
        <v>16</v>
      </c>
      <c r="C268" t="s">
        <v>35</v>
      </c>
      <c r="D268">
        <v>4594</v>
      </c>
      <c r="E268">
        <v>443</v>
      </c>
      <c r="F268">
        <v>1098</v>
      </c>
    </row>
    <row r="269" spans="1:6" x14ac:dyDescent="0.25">
      <c r="A269" s="1">
        <v>43062</v>
      </c>
      <c r="B269" t="s">
        <v>35</v>
      </c>
      <c r="C269" t="s">
        <v>37</v>
      </c>
      <c r="D269">
        <v>1047</v>
      </c>
      <c r="E269">
        <v>147</v>
      </c>
      <c r="F269">
        <v>432</v>
      </c>
    </row>
    <row r="270" spans="1:6" x14ac:dyDescent="0.25">
      <c r="A270" s="1">
        <v>43063</v>
      </c>
      <c r="B270" t="s">
        <v>15</v>
      </c>
      <c r="C270" t="s">
        <v>59</v>
      </c>
      <c r="D270">
        <v>5517</v>
      </c>
      <c r="E270">
        <v>494</v>
      </c>
      <c r="F270">
        <v>1185</v>
      </c>
    </row>
    <row r="271" spans="1:6" x14ac:dyDescent="0.25">
      <c r="A271" s="1">
        <v>43064</v>
      </c>
      <c r="B271" t="s">
        <v>59</v>
      </c>
      <c r="C271" t="s">
        <v>12</v>
      </c>
      <c r="D271">
        <v>4155</v>
      </c>
      <c r="E271">
        <v>93</v>
      </c>
      <c r="F271">
        <v>181</v>
      </c>
    </row>
    <row r="272" spans="1:6" x14ac:dyDescent="0.25">
      <c r="A272" s="1">
        <v>43067</v>
      </c>
      <c r="B272" t="s">
        <v>61</v>
      </c>
      <c r="C272" t="s">
        <v>48</v>
      </c>
      <c r="D272">
        <v>2798</v>
      </c>
      <c r="E272">
        <v>109</v>
      </c>
      <c r="F272">
        <v>366</v>
      </c>
    </row>
    <row r="273" spans="1:6" x14ac:dyDescent="0.25">
      <c r="A273" s="1">
        <v>43068</v>
      </c>
      <c r="B273" t="s">
        <v>48</v>
      </c>
      <c r="C273" t="s">
        <v>61</v>
      </c>
      <c r="D273">
        <v>4217</v>
      </c>
      <c r="E273">
        <v>112</v>
      </c>
      <c r="F273">
        <v>263</v>
      </c>
    </row>
    <row r="274" spans="1:6" x14ac:dyDescent="0.25">
      <c r="A274" s="1">
        <v>43069</v>
      </c>
      <c r="B274" t="s">
        <v>61</v>
      </c>
      <c r="C274" t="s">
        <v>48</v>
      </c>
      <c r="D274">
        <v>4327</v>
      </c>
      <c r="E274">
        <v>109</v>
      </c>
      <c r="F274">
        <v>196</v>
      </c>
    </row>
    <row r="275" spans="1:6" x14ac:dyDescent="0.25">
      <c r="A275" s="1">
        <v>43070</v>
      </c>
      <c r="B275" t="s">
        <v>32</v>
      </c>
      <c r="C275" t="s">
        <v>38</v>
      </c>
      <c r="D275">
        <v>2555</v>
      </c>
      <c r="E275">
        <v>124</v>
      </c>
      <c r="F275">
        <v>150</v>
      </c>
    </row>
    <row r="276" spans="1:6" x14ac:dyDescent="0.25">
      <c r="A276" s="1">
        <v>43071</v>
      </c>
      <c r="B276" t="s">
        <v>38</v>
      </c>
      <c r="C276" t="s">
        <v>57</v>
      </c>
      <c r="D276">
        <v>5150</v>
      </c>
      <c r="E276">
        <v>104</v>
      </c>
      <c r="F276">
        <v>435</v>
      </c>
    </row>
    <row r="277" spans="1:6" x14ac:dyDescent="0.25">
      <c r="A277" s="1">
        <v>43072</v>
      </c>
      <c r="B277" t="s">
        <v>56</v>
      </c>
      <c r="C277" t="s">
        <v>47</v>
      </c>
      <c r="D277">
        <v>5697</v>
      </c>
      <c r="E277">
        <v>257</v>
      </c>
      <c r="F277">
        <v>717</v>
      </c>
    </row>
    <row r="278" spans="1:6" x14ac:dyDescent="0.25">
      <c r="A278" s="1">
        <v>43073</v>
      </c>
      <c r="B278" t="s">
        <v>47</v>
      </c>
      <c r="C278" t="s">
        <v>46</v>
      </c>
      <c r="D278">
        <v>3192</v>
      </c>
      <c r="E278">
        <v>113</v>
      </c>
      <c r="F278">
        <v>310</v>
      </c>
    </row>
    <row r="279" spans="1:6" x14ac:dyDescent="0.25">
      <c r="A279" s="1">
        <v>43075</v>
      </c>
      <c r="B279" t="s">
        <v>38</v>
      </c>
      <c r="C279" t="s">
        <v>59</v>
      </c>
      <c r="D279">
        <v>2781</v>
      </c>
      <c r="E279">
        <v>409</v>
      </c>
      <c r="F279">
        <v>1436</v>
      </c>
    </row>
    <row r="280" spans="1:6" x14ac:dyDescent="0.25">
      <c r="A280" s="1">
        <v>43076</v>
      </c>
      <c r="B280" t="s">
        <v>59</v>
      </c>
      <c r="C280" t="s">
        <v>8</v>
      </c>
      <c r="D280">
        <v>1093</v>
      </c>
      <c r="E280">
        <v>110</v>
      </c>
      <c r="F280">
        <v>400</v>
      </c>
    </row>
    <row r="281" spans="1:6" x14ac:dyDescent="0.25">
      <c r="A281" s="1">
        <v>43077</v>
      </c>
      <c r="B281" t="s">
        <v>8</v>
      </c>
      <c r="C281" t="s">
        <v>20</v>
      </c>
      <c r="D281">
        <v>2291</v>
      </c>
      <c r="E281">
        <v>132</v>
      </c>
      <c r="F281">
        <v>163</v>
      </c>
    </row>
    <row r="282" spans="1:6" x14ac:dyDescent="0.25">
      <c r="A282" s="1">
        <v>43078</v>
      </c>
      <c r="B282" t="s">
        <v>15</v>
      </c>
      <c r="C282" t="s">
        <v>23</v>
      </c>
      <c r="D282">
        <v>2962</v>
      </c>
      <c r="E282">
        <v>170</v>
      </c>
      <c r="F282">
        <v>273</v>
      </c>
    </row>
    <row r="283" spans="1:6" x14ac:dyDescent="0.25">
      <c r="A283" s="1">
        <v>43079</v>
      </c>
      <c r="B283" t="s">
        <v>7</v>
      </c>
      <c r="C283" t="s">
        <v>8</v>
      </c>
      <c r="D283">
        <v>2939</v>
      </c>
      <c r="E283">
        <v>110</v>
      </c>
      <c r="F283">
        <v>279</v>
      </c>
    </row>
    <row r="284" spans="1:6" x14ac:dyDescent="0.25">
      <c r="A284" s="1">
        <v>43080</v>
      </c>
      <c r="B284" t="s">
        <v>8</v>
      </c>
      <c r="C284" t="s">
        <v>20</v>
      </c>
      <c r="D284">
        <v>4981</v>
      </c>
      <c r="E284">
        <v>138</v>
      </c>
      <c r="F284">
        <v>455</v>
      </c>
    </row>
    <row r="285" spans="1:6" x14ac:dyDescent="0.25">
      <c r="A285" s="1">
        <v>43081</v>
      </c>
      <c r="B285" t="s">
        <v>20</v>
      </c>
      <c r="C285" t="s">
        <v>60</v>
      </c>
      <c r="D285">
        <v>3436</v>
      </c>
      <c r="E285">
        <v>114</v>
      </c>
      <c r="F285">
        <v>370</v>
      </c>
    </row>
    <row r="286" spans="1:6" x14ac:dyDescent="0.25">
      <c r="A286" s="1">
        <v>43082</v>
      </c>
      <c r="B286" t="s">
        <v>60</v>
      </c>
      <c r="C286" t="s">
        <v>47</v>
      </c>
      <c r="D286">
        <v>2342</v>
      </c>
      <c r="E286">
        <v>141</v>
      </c>
      <c r="F286">
        <v>319</v>
      </c>
    </row>
    <row r="287" spans="1:6" x14ac:dyDescent="0.25">
      <c r="A287" s="1">
        <v>43083</v>
      </c>
      <c r="B287" t="s">
        <v>47</v>
      </c>
      <c r="C287" t="s">
        <v>54</v>
      </c>
      <c r="D287">
        <v>1981</v>
      </c>
      <c r="E287">
        <v>126</v>
      </c>
      <c r="F287">
        <v>396</v>
      </c>
    </row>
    <row r="288" spans="1:6" x14ac:dyDescent="0.25">
      <c r="A288" s="1">
        <v>43084</v>
      </c>
      <c r="B288" t="s">
        <v>54</v>
      </c>
      <c r="C288" t="s">
        <v>49</v>
      </c>
      <c r="D288">
        <v>5238</v>
      </c>
      <c r="E288">
        <v>131</v>
      </c>
      <c r="F288">
        <v>158</v>
      </c>
    </row>
    <row r="289" spans="1:6" x14ac:dyDescent="0.25">
      <c r="A289" s="1">
        <v>43085</v>
      </c>
      <c r="B289" t="s">
        <v>49</v>
      </c>
      <c r="C289" t="s">
        <v>37</v>
      </c>
      <c r="D289">
        <v>2823</v>
      </c>
      <c r="E289">
        <v>156</v>
      </c>
      <c r="F289">
        <v>280</v>
      </c>
    </row>
    <row r="290" spans="1:6" x14ac:dyDescent="0.25">
      <c r="A290" s="1">
        <v>43086</v>
      </c>
      <c r="B290" t="s">
        <v>37</v>
      </c>
      <c r="C290" t="s">
        <v>38</v>
      </c>
      <c r="D290">
        <v>1173</v>
      </c>
      <c r="E290">
        <v>139</v>
      </c>
      <c r="F290">
        <v>475</v>
      </c>
    </row>
    <row r="291" spans="1:6" x14ac:dyDescent="0.25">
      <c r="A291" s="1">
        <v>43087</v>
      </c>
      <c r="B291" t="s">
        <v>38</v>
      </c>
      <c r="C291" t="s">
        <v>39</v>
      </c>
      <c r="D291">
        <v>1465</v>
      </c>
      <c r="E291">
        <v>121</v>
      </c>
      <c r="F291">
        <v>193</v>
      </c>
    </row>
    <row r="292" spans="1:6" x14ac:dyDescent="0.25">
      <c r="A292" s="1">
        <v>43088</v>
      </c>
      <c r="B292" t="s">
        <v>39</v>
      </c>
      <c r="C292" t="s">
        <v>18</v>
      </c>
      <c r="D292">
        <v>1572</v>
      </c>
      <c r="E292">
        <v>159</v>
      </c>
      <c r="F292">
        <v>476</v>
      </c>
    </row>
    <row r="293" spans="1:6" x14ac:dyDescent="0.25">
      <c r="A293" s="1">
        <v>43089</v>
      </c>
      <c r="B293" t="s">
        <v>18</v>
      </c>
      <c r="C293" t="s">
        <v>39</v>
      </c>
      <c r="D293">
        <v>4084</v>
      </c>
      <c r="E293">
        <v>160</v>
      </c>
      <c r="F293">
        <v>338</v>
      </c>
    </row>
    <row r="294" spans="1:6" x14ac:dyDescent="0.25">
      <c r="A294" s="1">
        <v>43090</v>
      </c>
      <c r="B294" t="s">
        <v>15</v>
      </c>
      <c r="C294" t="s">
        <v>23</v>
      </c>
      <c r="D294">
        <v>4635</v>
      </c>
      <c r="E294">
        <v>163</v>
      </c>
      <c r="F294">
        <v>359</v>
      </c>
    </row>
    <row r="295" spans="1:6" x14ac:dyDescent="0.25">
      <c r="A295" s="1">
        <v>43092</v>
      </c>
      <c r="B295" t="s">
        <v>30</v>
      </c>
      <c r="C295" t="s">
        <v>72</v>
      </c>
      <c r="D295">
        <v>3705</v>
      </c>
      <c r="E295">
        <v>182</v>
      </c>
      <c r="F295">
        <v>760</v>
      </c>
    </row>
    <row r="296" spans="1:6" x14ac:dyDescent="0.25">
      <c r="A296" s="1">
        <v>43094</v>
      </c>
      <c r="B296" t="s">
        <v>6</v>
      </c>
      <c r="C296" t="s">
        <v>38</v>
      </c>
      <c r="D296">
        <v>5624</v>
      </c>
      <c r="E296">
        <v>541</v>
      </c>
      <c r="F296">
        <v>1198</v>
      </c>
    </row>
    <row r="297" spans="1:6" x14ac:dyDescent="0.25">
      <c r="A297" s="1">
        <v>43095</v>
      </c>
      <c r="B297" t="s">
        <v>38</v>
      </c>
      <c r="C297" t="s">
        <v>37</v>
      </c>
      <c r="D297">
        <v>4157</v>
      </c>
      <c r="E297">
        <v>151</v>
      </c>
      <c r="F297">
        <v>168</v>
      </c>
    </row>
    <row r="298" spans="1:6" x14ac:dyDescent="0.25">
      <c r="A298" s="1">
        <v>43096</v>
      </c>
      <c r="B298" t="s">
        <v>37</v>
      </c>
      <c r="C298" t="s">
        <v>43</v>
      </c>
      <c r="D298">
        <v>3021</v>
      </c>
      <c r="E298">
        <v>137</v>
      </c>
      <c r="F298">
        <v>323</v>
      </c>
    </row>
    <row r="299" spans="1:6" x14ac:dyDescent="0.25">
      <c r="A299" s="1">
        <v>43097</v>
      </c>
      <c r="B299" t="s">
        <v>43</v>
      </c>
      <c r="C299" t="s">
        <v>52</v>
      </c>
      <c r="D299">
        <v>3573</v>
      </c>
      <c r="E299">
        <v>149</v>
      </c>
      <c r="F299">
        <v>341</v>
      </c>
    </row>
    <row r="300" spans="1:6" x14ac:dyDescent="0.25">
      <c r="A300" s="1">
        <v>43098</v>
      </c>
      <c r="B300" t="s">
        <v>52</v>
      </c>
      <c r="C300" t="s">
        <v>15</v>
      </c>
      <c r="D300">
        <v>4748</v>
      </c>
      <c r="E300">
        <v>152</v>
      </c>
      <c r="F300">
        <v>491</v>
      </c>
    </row>
    <row r="301" spans="1:6" x14ac:dyDescent="0.25">
      <c r="A301" s="1">
        <v>43100</v>
      </c>
      <c r="B301" t="s">
        <v>12</v>
      </c>
      <c r="C301" t="s">
        <v>6</v>
      </c>
      <c r="D301">
        <v>2293</v>
      </c>
      <c r="E301">
        <v>126</v>
      </c>
      <c r="F301">
        <v>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8574B-1262-4098-8A78-AE8CC742C503}">
  <dimension ref="A1:K301"/>
  <sheetViews>
    <sheetView topLeftCell="A37" workbookViewId="0">
      <selection activeCell="B63" sqref="B63:C63"/>
    </sheetView>
  </sheetViews>
  <sheetFormatPr defaultRowHeight="15" x14ac:dyDescent="0.25"/>
  <cols>
    <col min="1" max="1" width="10.140625" bestFit="1" customWidth="1"/>
    <col min="2" max="3" width="20" bestFit="1" customWidth="1"/>
    <col min="4" max="4" width="5.85546875" bestFit="1" customWidth="1"/>
    <col min="5" max="5" width="9.7109375" bestFit="1" customWidth="1"/>
    <col min="6" max="6" width="5.42578125" bestFit="1" customWidth="1"/>
    <col min="7" max="7" width="12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74</v>
      </c>
    </row>
    <row r="2" spans="1:11" x14ac:dyDescent="0.25">
      <c r="A2" s="1">
        <v>42737</v>
      </c>
      <c r="B2" t="s">
        <v>6</v>
      </c>
      <c r="C2" t="s">
        <v>7</v>
      </c>
      <c r="D2">
        <v>3527</v>
      </c>
      <c r="E2">
        <v>167</v>
      </c>
      <c r="F2">
        <v>206</v>
      </c>
      <c r="G2">
        <f>F2/E2</f>
        <v>1.2335329341317365</v>
      </c>
      <c r="H2" t="str">
        <f>IF(G2=$K$2,"xxxxxxxxxxxxxxxxxxxxx","")</f>
        <v/>
      </c>
      <c r="K2">
        <f>MAX(G2:G301)</f>
        <v>4.260416666666667</v>
      </c>
    </row>
    <row r="3" spans="1:11" x14ac:dyDescent="0.25">
      <c r="A3" s="1">
        <v>42738</v>
      </c>
      <c r="B3" t="s">
        <v>7</v>
      </c>
      <c r="C3" t="s">
        <v>8</v>
      </c>
      <c r="D3">
        <v>3666</v>
      </c>
      <c r="E3">
        <v>112</v>
      </c>
      <c r="F3">
        <v>280</v>
      </c>
      <c r="G3">
        <f t="shared" ref="G3:G66" si="0">F3/E3</f>
        <v>2.5</v>
      </c>
      <c r="H3" t="str">
        <f t="shared" ref="H3:H66" si="1">IF(G3=$K$2,"xxxxxxxxxxxxxxxxxxxxx","")</f>
        <v/>
      </c>
    </row>
    <row r="4" spans="1:11" x14ac:dyDescent="0.25">
      <c r="A4" s="1">
        <v>42739</v>
      </c>
      <c r="B4" t="s">
        <v>8</v>
      </c>
      <c r="C4" t="s">
        <v>9</v>
      </c>
      <c r="D4">
        <v>4888</v>
      </c>
      <c r="E4">
        <v>167</v>
      </c>
      <c r="F4">
        <v>624</v>
      </c>
      <c r="G4">
        <f t="shared" si="0"/>
        <v>3.7365269461077846</v>
      </c>
      <c r="H4" t="str">
        <f t="shared" si="1"/>
        <v/>
      </c>
    </row>
    <row r="5" spans="1:11" x14ac:dyDescent="0.25">
      <c r="A5" s="1">
        <v>42740</v>
      </c>
      <c r="B5" t="s">
        <v>9</v>
      </c>
      <c r="C5" t="s">
        <v>10</v>
      </c>
      <c r="D5">
        <v>1099</v>
      </c>
      <c r="E5">
        <v>167</v>
      </c>
      <c r="F5">
        <v>390</v>
      </c>
      <c r="G5">
        <f t="shared" si="0"/>
        <v>2.3353293413173652</v>
      </c>
      <c r="H5" t="str">
        <f t="shared" si="1"/>
        <v/>
      </c>
    </row>
    <row r="6" spans="1:11" x14ac:dyDescent="0.25">
      <c r="A6" s="1">
        <v>42742</v>
      </c>
      <c r="B6" t="s">
        <v>11</v>
      </c>
      <c r="C6" t="s">
        <v>12</v>
      </c>
      <c r="D6">
        <v>4881</v>
      </c>
      <c r="E6">
        <v>118</v>
      </c>
      <c r="F6">
        <v>219</v>
      </c>
      <c r="G6">
        <f t="shared" si="0"/>
        <v>1.8559322033898304</v>
      </c>
      <c r="H6" t="str">
        <f t="shared" si="1"/>
        <v/>
      </c>
    </row>
    <row r="7" spans="1:11" x14ac:dyDescent="0.25">
      <c r="A7" s="1">
        <v>42743</v>
      </c>
      <c r="B7" t="s">
        <v>12</v>
      </c>
      <c r="C7" t="s">
        <v>11</v>
      </c>
      <c r="D7">
        <v>5851</v>
      </c>
      <c r="E7">
        <v>113</v>
      </c>
      <c r="F7">
        <v>160</v>
      </c>
      <c r="G7">
        <f t="shared" si="0"/>
        <v>1.415929203539823</v>
      </c>
      <c r="H7" t="str">
        <f t="shared" si="1"/>
        <v/>
      </c>
    </row>
    <row r="8" spans="1:11" x14ac:dyDescent="0.25">
      <c r="A8" s="1">
        <v>42744</v>
      </c>
      <c r="B8" t="s">
        <v>11</v>
      </c>
      <c r="C8" t="s">
        <v>13</v>
      </c>
      <c r="D8">
        <v>5963</v>
      </c>
      <c r="E8">
        <v>141</v>
      </c>
      <c r="F8">
        <v>168</v>
      </c>
      <c r="G8">
        <f t="shared" si="0"/>
        <v>1.1914893617021276</v>
      </c>
      <c r="H8" t="str">
        <f t="shared" si="1"/>
        <v/>
      </c>
    </row>
    <row r="9" spans="1:11" x14ac:dyDescent="0.25">
      <c r="A9" s="1">
        <v>42745</v>
      </c>
      <c r="B9" t="s">
        <v>13</v>
      </c>
      <c r="C9" t="s">
        <v>9</v>
      </c>
      <c r="D9">
        <v>1364</v>
      </c>
      <c r="E9">
        <v>179</v>
      </c>
      <c r="F9">
        <v>533</v>
      </c>
      <c r="G9">
        <f t="shared" si="0"/>
        <v>2.977653631284916</v>
      </c>
      <c r="H9" t="str">
        <f t="shared" si="1"/>
        <v/>
      </c>
    </row>
    <row r="10" spans="1:11" x14ac:dyDescent="0.25">
      <c r="A10" s="1">
        <v>42746</v>
      </c>
      <c r="B10" t="s">
        <v>9</v>
      </c>
      <c r="C10" t="s">
        <v>10</v>
      </c>
      <c r="D10">
        <v>1245</v>
      </c>
      <c r="E10">
        <v>166</v>
      </c>
      <c r="F10">
        <v>209</v>
      </c>
      <c r="G10">
        <f t="shared" si="0"/>
        <v>1.2590361445783131</v>
      </c>
      <c r="H10" t="str">
        <f t="shared" si="1"/>
        <v/>
      </c>
    </row>
    <row r="11" spans="1:11" x14ac:dyDescent="0.25">
      <c r="A11" s="1">
        <v>42747</v>
      </c>
      <c r="B11" t="s">
        <v>14</v>
      </c>
      <c r="C11" t="s">
        <v>15</v>
      </c>
      <c r="D11">
        <v>3771</v>
      </c>
      <c r="E11">
        <v>196</v>
      </c>
      <c r="F11">
        <v>696</v>
      </c>
      <c r="G11">
        <f t="shared" si="0"/>
        <v>3.5510204081632653</v>
      </c>
      <c r="H11" t="str">
        <f t="shared" si="1"/>
        <v/>
      </c>
    </row>
    <row r="12" spans="1:11" x14ac:dyDescent="0.25">
      <c r="A12" s="1">
        <v>42749</v>
      </c>
      <c r="B12" t="s">
        <v>16</v>
      </c>
      <c r="C12" t="s">
        <v>17</v>
      </c>
      <c r="D12">
        <v>4522</v>
      </c>
      <c r="E12">
        <v>300</v>
      </c>
      <c r="F12">
        <v>1113</v>
      </c>
      <c r="G12">
        <f t="shared" si="0"/>
        <v>3.71</v>
      </c>
      <c r="H12" t="str">
        <f t="shared" si="1"/>
        <v/>
      </c>
    </row>
    <row r="13" spans="1:11" x14ac:dyDescent="0.25">
      <c r="A13" s="1">
        <v>42750</v>
      </c>
      <c r="B13" t="s">
        <v>17</v>
      </c>
      <c r="C13" t="s">
        <v>18</v>
      </c>
      <c r="D13">
        <v>4588</v>
      </c>
      <c r="E13">
        <v>148</v>
      </c>
      <c r="F13">
        <v>494</v>
      </c>
      <c r="G13">
        <f t="shared" si="0"/>
        <v>3.3378378378378377</v>
      </c>
      <c r="H13" t="str">
        <f t="shared" si="1"/>
        <v/>
      </c>
    </row>
    <row r="14" spans="1:11" x14ac:dyDescent="0.25">
      <c r="A14" s="1">
        <v>42751</v>
      </c>
      <c r="B14" t="s">
        <v>19</v>
      </c>
      <c r="C14" t="s">
        <v>20</v>
      </c>
      <c r="D14">
        <v>1952</v>
      </c>
      <c r="E14">
        <v>267</v>
      </c>
      <c r="F14">
        <v>602</v>
      </c>
      <c r="G14">
        <f t="shared" si="0"/>
        <v>2.2546816479400751</v>
      </c>
      <c r="H14" t="str">
        <f t="shared" si="1"/>
        <v/>
      </c>
    </row>
    <row r="15" spans="1:11" x14ac:dyDescent="0.25">
      <c r="A15" s="1">
        <v>42752</v>
      </c>
      <c r="B15" t="s">
        <v>20</v>
      </c>
      <c r="C15" t="s">
        <v>7</v>
      </c>
      <c r="D15">
        <v>3318</v>
      </c>
      <c r="E15">
        <v>110</v>
      </c>
      <c r="F15">
        <v>422</v>
      </c>
      <c r="G15">
        <f t="shared" si="0"/>
        <v>3.8363636363636364</v>
      </c>
      <c r="H15" t="str">
        <f t="shared" si="1"/>
        <v/>
      </c>
    </row>
    <row r="16" spans="1:11" x14ac:dyDescent="0.25">
      <c r="A16" s="1">
        <v>42755</v>
      </c>
      <c r="B16" t="s">
        <v>13</v>
      </c>
      <c r="C16" t="s">
        <v>9</v>
      </c>
      <c r="D16">
        <v>3106</v>
      </c>
      <c r="E16">
        <v>173</v>
      </c>
      <c r="F16">
        <v>312</v>
      </c>
      <c r="G16">
        <f t="shared" si="0"/>
        <v>1.8034682080924855</v>
      </c>
      <c r="H16" t="str">
        <f t="shared" si="1"/>
        <v/>
      </c>
    </row>
    <row r="17" spans="1:8" x14ac:dyDescent="0.25">
      <c r="A17" s="1">
        <v>42756</v>
      </c>
      <c r="B17" t="s">
        <v>9</v>
      </c>
      <c r="C17" t="s">
        <v>6</v>
      </c>
      <c r="D17">
        <v>5593</v>
      </c>
      <c r="E17">
        <v>127</v>
      </c>
      <c r="F17">
        <v>421</v>
      </c>
      <c r="G17">
        <f t="shared" si="0"/>
        <v>3.3149606299212597</v>
      </c>
      <c r="H17" t="str">
        <f t="shared" si="1"/>
        <v/>
      </c>
    </row>
    <row r="18" spans="1:8" x14ac:dyDescent="0.25">
      <c r="A18" s="1">
        <v>42757</v>
      </c>
      <c r="B18" t="s">
        <v>6</v>
      </c>
      <c r="C18" t="s">
        <v>12</v>
      </c>
      <c r="D18">
        <v>5983</v>
      </c>
      <c r="E18">
        <v>118</v>
      </c>
      <c r="F18">
        <v>416</v>
      </c>
      <c r="G18">
        <f t="shared" si="0"/>
        <v>3.5254237288135593</v>
      </c>
      <c r="H18" t="str">
        <f t="shared" si="1"/>
        <v/>
      </c>
    </row>
    <row r="19" spans="1:8" x14ac:dyDescent="0.25">
      <c r="A19" s="1">
        <v>42758</v>
      </c>
      <c r="B19" t="s">
        <v>12</v>
      </c>
      <c r="C19" t="s">
        <v>6</v>
      </c>
      <c r="D19">
        <v>5496</v>
      </c>
      <c r="E19">
        <v>115</v>
      </c>
      <c r="F19">
        <v>291</v>
      </c>
      <c r="G19">
        <f t="shared" si="0"/>
        <v>2.5304347826086957</v>
      </c>
      <c r="H19" t="str">
        <f t="shared" si="1"/>
        <v/>
      </c>
    </row>
    <row r="20" spans="1:8" x14ac:dyDescent="0.25">
      <c r="A20" s="1">
        <v>42759</v>
      </c>
      <c r="B20" t="s">
        <v>6</v>
      </c>
      <c r="C20" t="s">
        <v>11</v>
      </c>
      <c r="D20">
        <v>4572</v>
      </c>
      <c r="E20">
        <v>164</v>
      </c>
      <c r="F20">
        <v>550</v>
      </c>
      <c r="G20">
        <f t="shared" si="0"/>
        <v>3.3536585365853657</v>
      </c>
      <c r="H20" t="str">
        <f t="shared" si="1"/>
        <v/>
      </c>
    </row>
    <row r="21" spans="1:8" x14ac:dyDescent="0.25">
      <c r="A21" s="1">
        <v>42760</v>
      </c>
      <c r="B21" t="s">
        <v>11</v>
      </c>
      <c r="C21" t="s">
        <v>12</v>
      </c>
      <c r="D21">
        <v>4529</v>
      </c>
      <c r="E21">
        <v>121</v>
      </c>
      <c r="F21">
        <v>373</v>
      </c>
      <c r="G21">
        <f t="shared" si="0"/>
        <v>3.0826446280991737</v>
      </c>
      <c r="H21" t="str">
        <f t="shared" si="1"/>
        <v/>
      </c>
    </row>
    <row r="22" spans="1:8" x14ac:dyDescent="0.25">
      <c r="A22" s="1">
        <v>42761</v>
      </c>
      <c r="B22" t="s">
        <v>12</v>
      </c>
      <c r="C22" t="s">
        <v>6</v>
      </c>
      <c r="D22">
        <v>4981</v>
      </c>
      <c r="E22">
        <v>123</v>
      </c>
      <c r="F22">
        <v>218</v>
      </c>
      <c r="G22">
        <f t="shared" si="0"/>
        <v>1.7723577235772359</v>
      </c>
      <c r="H22" t="str">
        <f t="shared" si="1"/>
        <v/>
      </c>
    </row>
    <row r="23" spans="1:8" x14ac:dyDescent="0.25">
      <c r="A23" s="1">
        <v>42762</v>
      </c>
      <c r="B23" t="s">
        <v>6</v>
      </c>
      <c r="C23" t="s">
        <v>7</v>
      </c>
      <c r="D23">
        <v>3808</v>
      </c>
      <c r="E23">
        <v>163</v>
      </c>
      <c r="F23">
        <v>655</v>
      </c>
      <c r="G23">
        <f t="shared" si="0"/>
        <v>4.0184049079754605</v>
      </c>
      <c r="H23" t="str">
        <f t="shared" si="1"/>
        <v/>
      </c>
    </row>
    <row r="24" spans="1:8" x14ac:dyDescent="0.25">
      <c r="A24" s="1">
        <v>42763</v>
      </c>
      <c r="B24" t="s">
        <v>7</v>
      </c>
      <c r="C24" t="s">
        <v>21</v>
      </c>
      <c r="D24">
        <v>1359</v>
      </c>
      <c r="E24">
        <v>130</v>
      </c>
      <c r="F24">
        <v>346</v>
      </c>
      <c r="G24">
        <f t="shared" si="0"/>
        <v>2.6615384615384614</v>
      </c>
      <c r="H24" t="str">
        <f t="shared" si="1"/>
        <v/>
      </c>
    </row>
    <row r="25" spans="1:8" x14ac:dyDescent="0.25">
      <c r="A25" s="1">
        <v>42764</v>
      </c>
      <c r="B25" t="s">
        <v>22</v>
      </c>
      <c r="C25" t="s">
        <v>23</v>
      </c>
      <c r="D25">
        <v>2320</v>
      </c>
      <c r="E25">
        <v>24</v>
      </c>
      <c r="F25">
        <v>68</v>
      </c>
      <c r="G25">
        <f t="shared" si="0"/>
        <v>2.8333333333333335</v>
      </c>
      <c r="H25" t="str">
        <f t="shared" si="1"/>
        <v/>
      </c>
    </row>
    <row r="26" spans="1:8" x14ac:dyDescent="0.25">
      <c r="A26" s="1">
        <v>42765</v>
      </c>
      <c r="B26" t="s">
        <v>23</v>
      </c>
      <c r="C26" t="s">
        <v>24</v>
      </c>
      <c r="D26">
        <v>2607</v>
      </c>
      <c r="E26">
        <v>115</v>
      </c>
      <c r="F26">
        <v>264</v>
      </c>
      <c r="G26">
        <f t="shared" si="0"/>
        <v>2.2956521739130435</v>
      </c>
      <c r="H26" t="str">
        <f t="shared" si="1"/>
        <v/>
      </c>
    </row>
    <row r="27" spans="1:8" x14ac:dyDescent="0.25">
      <c r="A27" s="1">
        <v>42766</v>
      </c>
      <c r="B27" t="s">
        <v>24</v>
      </c>
      <c r="C27" t="s">
        <v>23</v>
      </c>
      <c r="D27">
        <v>3657</v>
      </c>
      <c r="E27">
        <v>100</v>
      </c>
      <c r="F27">
        <v>424</v>
      </c>
      <c r="G27">
        <f t="shared" si="0"/>
        <v>4.24</v>
      </c>
      <c r="H27" t="str">
        <f t="shared" si="1"/>
        <v/>
      </c>
    </row>
    <row r="28" spans="1:8" x14ac:dyDescent="0.25">
      <c r="A28" s="1">
        <v>42767</v>
      </c>
      <c r="B28" t="s">
        <v>23</v>
      </c>
      <c r="C28" t="s">
        <v>25</v>
      </c>
      <c r="D28">
        <v>5671</v>
      </c>
      <c r="E28">
        <v>118</v>
      </c>
      <c r="F28">
        <v>390</v>
      </c>
      <c r="G28">
        <f t="shared" si="0"/>
        <v>3.3050847457627119</v>
      </c>
      <c r="H28" t="str">
        <f t="shared" si="1"/>
        <v/>
      </c>
    </row>
    <row r="29" spans="1:8" x14ac:dyDescent="0.25">
      <c r="A29" s="1">
        <v>42768</v>
      </c>
      <c r="B29" t="s">
        <v>25</v>
      </c>
      <c r="C29" t="s">
        <v>22</v>
      </c>
      <c r="D29">
        <v>4871</v>
      </c>
      <c r="E29">
        <v>126</v>
      </c>
      <c r="F29">
        <v>185</v>
      </c>
      <c r="G29">
        <f t="shared" si="0"/>
        <v>1.4682539682539681</v>
      </c>
      <c r="H29" t="str">
        <f t="shared" si="1"/>
        <v/>
      </c>
    </row>
    <row r="30" spans="1:8" x14ac:dyDescent="0.25">
      <c r="A30" s="1">
        <v>42769</v>
      </c>
      <c r="B30" t="s">
        <v>22</v>
      </c>
      <c r="C30" t="s">
        <v>26</v>
      </c>
      <c r="D30">
        <v>1686</v>
      </c>
      <c r="E30">
        <v>102</v>
      </c>
      <c r="F30">
        <v>167</v>
      </c>
      <c r="G30">
        <f t="shared" si="0"/>
        <v>1.6372549019607843</v>
      </c>
      <c r="H30" t="str">
        <f t="shared" si="1"/>
        <v/>
      </c>
    </row>
    <row r="31" spans="1:8" x14ac:dyDescent="0.25">
      <c r="A31" s="1">
        <v>42770</v>
      </c>
      <c r="B31" t="s">
        <v>26</v>
      </c>
      <c r="C31" t="s">
        <v>21</v>
      </c>
      <c r="D31">
        <v>5628</v>
      </c>
      <c r="E31">
        <v>123</v>
      </c>
      <c r="F31">
        <v>450</v>
      </c>
      <c r="G31">
        <f t="shared" si="0"/>
        <v>3.6585365853658538</v>
      </c>
      <c r="H31" t="str">
        <f t="shared" si="1"/>
        <v/>
      </c>
    </row>
    <row r="32" spans="1:8" x14ac:dyDescent="0.25">
      <c r="A32" s="1">
        <v>42771</v>
      </c>
      <c r="B32" t="s">
        <v>21</v>
      </c>
      <c r="C32" t="s">
        <v>14</v>
      </c>
      <c r="D32">
        <v>3295</v>
      </c>
      <c r="E32">
        <v>103</v>
      </c>
      <c r="F32">
        <v>346</v>
      </c>
      <c r="G32">
        <f t="shared" si="0"/>
        <v>3.3592233009708736</v>
      </c>
      <c r="H32" t="str">
        <f t="shared" si="1"/>
        <v/>
      </c>
    </row>
    <row r="33" spans="1:8" x14ac:dyDescent="0.25">
      <c r="A33" s="1">
        <v>42772</v>
      </c>
      <c r="B33" t="s">
        <v>27</v>
      </c>
      <c r="C33" t="s">
        <v>28</v>
      </c>
      <c r="D33">
        <v>5291</v>
      </c>
      <c r="E33">
        <v>273</v>
      </c>
      <c r="F33">
        <v>520</v>
      </c>
      <c r="G33">
        <f t="shared" si="0"/>
        <v>1.9047619047619047</v>
      </c>
      <c r="H33" t="str">
        <f t="shared" si="1"/>
        <v/>
      </c>
    </row>
    <row r="34" spans="1:8" x14ac:dyDescent="0.25">
      <c r="A34" s="1">
        <v>42773</v>
      </c>
      <c r="B34" t="s">
        <v>28</v>
      </c>
      <c r="C34" t="s">
        <v>29</v>
      </c>
      <c r="D34">
        <v>5838</v>
      </c>
      <c r="E34">
        <v>128</v>
      </c>
      <c r="F34">
        <v>518</v>
      </c>
      <c r="G34">
        <f t="shared" si="0"/>
        <v>4.046875</v>
      </c>
      <c r="H34" t="str">
        <f t="shared" si="1"/>
        <v/>
      </c>
    </row>
    <row r="35" spans="1:8" x14ac:dyDescent="0.25">
      <c r="A35" s="1">
        <v>42774</v>
      </c>
      <c r="B35" t="s">
        <v>29</v>
      </c>
      <c r="C35" t="s">
        <v>20</v>
      </c>
      <c r="D35">
        <v>3319</v>
      </c>
      <c r="E35">
        <v>154</v>
      </c>
      <c r="F35">
        <v>314</v>
      </c>
      <c r="G35">
        <f t="shared" si="0"/>
        <v>2.0389610389610389</v>
      </c>
      <c r="H35" t="str">
        <f t="shared" si="1"/>
        <v/>
      </c>
    </row>
    <row r="36" spans="1:8" x14ac:dyDescent="0.25">
      <c r="A36" s="1">
        <v>42775</v>
      </c>
      <c r="B36" t="s">
        <v>30</v>
      </c>
      <c r="C36" t="s">
        <v>7</v>
      </c>
      <c r="D36">
        <v>2152</v>
      </c>
      <c r="E36">
        <v>190</v>
      </c>
      <c r="F36">
        <v>406</v>
      </c>
      <c r="G36">
        <f t="shared" si="0"/>
        <v>2.1368421052631579</v>
      </c>
      <c r="H36" t="str">
        <f t="shared" si="1"/>
        <v/>
      </c>
    </row>
    <row r="37" spans="1:8" x14ac:dyDescent="0.25">
      <c r="A37" s="1">
        <v>42776</v>
      </c>
      <c r="B37" t="s">
        <v>7</v>
      </c>
      <c r="C37" t="s">
        <v>21</v>
      </c>
      <c r="D37">
        <v>3810</v>
      </c>
      <c r="E37">
        <v>135</v>
      </c>
      <c r="F37">
        <v>221</v>
      </c>
      <c r="G37">
        <f t="shared" si="0"/>
        <v>1.6370370370370371</v>
      </c>
      <c r="H37" t="str">
        <f t="shared" si="1"/>
        <v/>
      </c>
    </row>
    <row r="38" spans="1:8" x14ac:dyDescent="0.25">
      <c r="A38" s="1">
        <v>42777</v>
      </c>
      <c r="B38" t="s">
        <v>21</v>
      </c>
      <c r="C38" t="s">
        <v>31</v>
      </c>
      <c r="D38">
        <v>5713</v>
      </c>
      <c r="E38">
        <v>128</v>
      </c>
      <c r="F38">
        <v>376</v>
      </c>
      <c r="G38">
        <f t="shared" si="0"/>
        <v>2.9375</v>
      </c>
      <c r="H38" t="str">
        <f t="shared" si="1"/>
        <v/>
      </c>
    </row>
    <row r="39" spans="1:8" x14ac:dyDescent="0.25">
      <c r="A39" s="1">
        <v>42778</v>
      </c>
      <c r="B39" t="s">
        <v>31</v>
      </c>
      <c r="C39" t="s">
        <v>21</v>
      </c>
      <c r="D39">
        <v>4163</v>
      </c>
      <c r="E39">
        <v>128</v>
      </c>
      <c r="F39">
        <v>257</v>
      </c>
      <c r="G39">
        <f t="shared" si="0"/>
        <v>2.0078125</v>
      </c>
      <c r="H39" t="str">
        <f t="shared" si="1"/>
        <v/>
      </c>
    </row>
    <row r="40" spans="1:8" x14ac:dyDescent="0.25">
      <c r="A40" s="1">
        <v>42779</v>
      </c>
      <c r="B40" t="s">
        <v>21</v>
      </c>
      <c r="C40" t="s">
        <v>32</v>
      </c>
      <c r="D40">
        <v>3216</v>
      </c>
      <c r="E40">
        <v>162</v>
      </c>
      <c r="F40">
        <v>278</v>
      </c>
      <c r="G40">
        <f t="shared" si="0"/>
        <v>1.7160493827160495</v>
      </c>
      <c r="H40" t="str">
        <f t="shared" si="1"/>
        <v/>
      </c>
    </row>
    <row r="41" spans="1:8" x14ac:dyDescent="0.25">
      <c r="A41" s="1">
        <v>42780</v>
      </c>
      <c r="B41" t="s">
        <v>11</v>
      </c>
      <c r="C41" t="s">
        <v>33</v>
      </c>
      <c r="D41">
        <v>5060</v>
      </c>
      <c r="E41">
        <v>550</v>
      </c>
      <c r="F41">
        <v>1622</v>
      </c>
      <c r="G41">
        <f t="shared" si="0"/>
        <v>2.9490909090909092</v>
      </c>
      <c r="H41" t="str">
        <f t="shared" si="1"/>
        <v/>
      </c>
    </row>
    <row r="42" spans="1:8" x14ac:dyDescent="0.25">
      <c r="A42" s="1">
        <v>42782</v>
      </c>
      <c r="B42" t="s">
        <v>31</v>
      </c>
      <c r="C42" t="s">
        <v>24</v>
      </c>
      <c r="D42">
        <v>2446</v>
      </c>
      <c r="E42">
        <v>161</v>
      </c>
      <c r="F42">
        <v>379</v>
      </c>
      <c r="G42">
        <f t="shared" si="0"/>
        <v>2.3540372670807455</v>
      </c>
      <c r="H42" t="str">
        <f t="shared" si="1"/>
        <v/>
      </c>
    </row>
    <row r="43" spans="1:8" x14ac:dyDescent="0.25">
      <c r="A43" s="1">
        <v>42783</v>
      </c>
      <c r="B43" t="s">
        <v>24</v>
      </c>
      <c r="C43" t="s">
        <v>23</v>
      </c>
      <c r="D43">
        <v>3305</v>
      </c>
      <c r="E43">
        <v>106</v>
      </c>
      <c r="F43">
        <v>116</v>
      </c>
      <c r="G43">
        <f t="shared" si="0"/>
        <v>1.0943396226415094</v>
      </c>
      <c r="H43" t="str">
        <f t="shared" si="1"/>
        <v/>
      </c>
    </row>
    <row r="44" spans="1:8" x14ac:dyDescent="0.25">
      <c r="A44" s="1">
        <v>42785</v>
      </c>
      <c r="B44" t="s">
        <v>21</v>
      </c>
      <c r="C44" t="s">
        <v>7</v>
      </c>
      <c r="D44">
        <v>1743</v>
      </c>
      <c r="E44">
        <v>145</v>
      </c>
      <c r="F44">
        <v>376</v>
      </c>
      <c r="G44">
        <f t="shared" si="0"/>
        <v>2.5931034482758619</v>
      </c>
      <c r="H44" t="str">
        <f t="shared" si="1"/>
        <v/>
      </c>
    </row>
    <row r="45" spans="1:8" x14ac:dyDescent="0.25">
      <c r="A45" s="1">
        <v>42788</v>
      </c>
      <c r="B45" t="s">
        <v>17</v>
      </c>
      <c r="C45" t="s">
        <v>34</v>
      </c>
      <c r="D45">
        <v>4053</v>
      </c>
      <c r="E45">
        <v>146</v>
      </c>
      <c r="F45">
        <v>441</v>
      </c>
      <c r="G45">
        <f t="shared" si="0"/>
        <v>3.0205479452054793</v>
      </c>
      <c r="H45" t="str">
        <f t="shared" si="1"/>
        <v/>
      </c>
    </row>
    <row r="46" spans="1:8" x14ac:dyDescent="0.25">
      <c r="A46" s="1">
        <v>42789</v>
      </c>
      <c r="B46" t="s">
        <v>18</v>
      </c>
      <c r="C46" t="s">
        <v>29</v>
      </c>
      <c r="D46">
        <v>4905</v>
      </c>
      <c r="E46">
        <v>157</v>
      </c>
      <c r="F46">
        <v>392</v>
      </c>
      <c r="G46">
        <f t="shared" si="0"/>
        <v>2.4968152866242037</v>
      </c>
      <c r="H46" t="str">
        <f t="shared" si="1"/>
        <v/>
      </c>
    </row>
    <row r="47" spans="1:8" x14ac:dyDescent="0.25">
      <c r="A47" s="1">
        <v>42791</v>
      </c>
      <c r="B47" t="s">
        <v>8</v>
      </c>
      <c r="C47" t="s">
        <v>7</v>
      </c>
      <c r="D47">
        <v>1624</v>
      </c>
      <c r="E47">
        <v>111</v>
      </c>
      <c r="F47">
        <v>221</v>
      </c>
      <c r="G47">
        <f t="shared" si="0"/>
        <v>1.9909909909909911</v>
      </c>
      <c r="H47" t="str">
        <f t="shared" si="1"/>
        <v/>
      </c>
    </row>
    <row r="48" spans="1:8" x14ac:dyDescent="0.25">
      <c r="A48" s="1">
        <v>42793</v>
      </c>
      <c r="B48" t="s">
        <v>35</v>
      </c>
      <c r="C48" t="s">
        <v>27</v>
      </c>
      <c r="D48">
        <v>5326</v>
      </c>
      <c r="E48">
        <v>171</v>
      </c>
      <c r="F48">
        <v>263</v>
      </c>
      <c r="G48">
        <f t="shared" si="0"/>
        <v>1.5380116959064327</v>
      </c>
      <c r="H48" t="str">
        <f t="shared" si="1"/>
        <v/>
      </c>
    </row>
    <row r="49" spans="1:8" x14ac:dyDescent="0.25">
      <c r="A49" s="1">
        <v>42794</v>
      </c>
      <c r="B49" t="s">
        <v>36</v>
      </c>
      <c r="C49" t="s">
        <v>12</v>
      </c>
      <c r="D49">
        <v>4398</v>
      </c>
      <c r="E49">
        <v>225</v>
      </c>
      <c r="F49">
        <v>400</v>
      </c>
      <c r="G49">
        <f t="shared" si="0"/>
        <v>1.7777777777777777</v>
      </c>
      <c r="H49" t="str">
        <f t="shared" si="1"/>
        <v/>
      </c>
    </row>
    <row r="50" spans="1:8" x14ac:dyDescent="0.25">
      <c r="A50" s="1">
        <v>42795</v>
      </c>
      <c r="B50" t="s">
        <v>35</v>
      </c>
      <c r="C50" t="s">
        <v>37</v>
      </c>
      <c r="D50">
        <v>4494</v>
      </c>
      <c r="E50">
        <v>143</v>
      </c>
      <c r="F50">
        <v>252</v>
      </c>
      <c r="G50">
        <f t="shared" si="0"/>
        <v>1.7622377622377623</v>
      </c>
      <c r="H50" t="str">
        <f t="shared" si="1"/>
        <v/>
      </c>
    </row>
    <row r="51" spans="1:8" x14ac:dyDescent="0.25">
      <c r="A51" s="1">
        <v>42796</v>
      </c>
      <c r="B51" t="s">
        <v>37</v>
      </c>
      <c r="C51" t="s">
        <v>38</v>
      </c>
      <c r="D51">
        <v>2136</v>
      </c>
      <c r="E51">
        <v>139</v>
      </c>
      <c r="F51">
        <v>522</v>
      </c>
      <c r="G51">
        <f t="shared" si="0"/>
        <v>3.7553956834532376</v>
      </c>
      <c r="H51" t="str">
        <f t="shared" si="1"/>
        <v/>
      </c>
    </row>
    <row r="52" spans="1:8" x14ac:dyDescent="0.25">
      <c r="A52" s="1">
        <v>42797</v>
      </c>
      <c r="B52" t="s">
        <v>38</v>
      </c>
      <c r="C52" t="s">
        <v>39</v>
      </c>
      <c r="D52">
        <v>4481</v>
      </c>
      <c r="E52">
        <v>121</v>
      </c>
      <c r="F52">
        <v>446</v>
      </c>
      <c r="G52">
        <f t="shared" si="0"/>
        <v>3.6859504132231407</v>
      </c>
      <c r="H52" t="str">
        <f t="shared" si="1"/>
        <v/>
      </c>
    </row>
    <row r="53" spans="1:8" x14ac:dyDescent="0.25">
      <c r="A53" s="1">
        <v>42798</v>
      </c>
      <c r="B53" t="s">
        <v>29</v>
      </c>
      <c r="C53" t="s">
        <v>14</v>
      </c>
      <c r="D53">
        <v>1749</v>
      </c>
      <c r="E53">
        <v>232</v>
      </c>
      <c r="F53">
        <v>928</v>
      </c>
      <c r="G53">
        <f t="shared" si="0"/>
        <v>4</v>
      </c>
      <c r="H53" t="str">
        <f t="shared" si="1"/>
        <v/>
      </c>
    </row>
    <row r="54" spans="1:8" x14ac:dyDescent="0.25">
      <c r="A54" s="1">
        <v>42802</v>
      </c>
      <c r="B54" t="s">
        <v>29</v>
      </c>
      <c r="C54" t="s">
        <v>20</v>
      </c>
      <c r="D54">
        <v>1203</v>
      </c>
      <c r="E54">
        <v>146</v>
      </c>
      <c r="F54">
        <v>330</v>
      </c>
      <c r="G54">
        <f t="shared" si="0"/>
        <v>2.2602739726027399</v>
      </c>
      <c r="H54" t="str">
        <f t="shared" si="1"/>
        <v/>
      </c>
    </row>
    <row r="55" spans="1:8" x14ac:dyDescent="0.25">
      <c r="A55" s="1">
        <v>42803</v>
      </c>
      <c r="B55" t="s">
        <v>20</v>
      </c>
      <c r="C55" t="s">
        <v>40</v>
      </c>
      <c r="D55">
        <v>4505</v>
      </c>
      <c r="E55">
        <v>118</v>
      </c>
      <c r="F55">
        <v>374</v>
      </c>
      <c r="G55">
        <f t="shared" si="0"/>
        <v>3.1694915254237288</v>
      </c>
      <c r="H55" t="str">
        <f t="shared" si="1"/>
        <v/>
      </c>
    </row>
    <row r="56" spans="1:8" x14ac:dyDescent="0.25">
      <c r="A56" s="1">
        <v>42804</v>
      </c>
      <c r="B56" t="s">
        <v>40</v>
      </c>
      <c r="C56" t="s">
        <v>41</v>
      </c>
      <c r="D56">
        <v>1454</v>
      </c>
      <c r="E56">
        <v>95</v>
      </c>
      <c r="F56">
        <v>197</v>
      </c>
      <c r="G56">
        <f t="shared" si="0"/>
        <v>2.0736842105263156</v>
      </c>
      <c r="H56" t="str">
        <f t="shared" si="1"/>
        <v/>
      </c>
    </row>
    <row r="57" spans="1:8" x14ac:dyDescent="0.25">
      <c r="A57" s="1">
        <v>42805</v>
      </c>
      <c r="B57" t="s">
        <v>41</v>
      </c>
      <c r="C57" t="s">
        <v>16</v>
      </c>
      <c r="D57">
        <v>2835</v>
      </c>
      <c r="E57">
        <v>136</v>
      </c>
      <c r="F57">
        <v>418</v>
      </c>
      <c r="G57">
        <f t="shared" si="0"/>
        <v>3.0735294117647061</v>
      </c>
      <c r="H57" t="str">
        <f t="shared" si="1"/>
        <v/>
      </c>
    </row>
    <row r="58" spans="1:8" x14ac:dyDescent="0.25">
      <c r="A58" s="1">
        <v>42806</v>
      </c>
      <c r="B58" t="s">
        <v>16</v>
      </c>
      <c r="C58" t="s">
        <v>42</v>
      </c>
      <c r="D58">
        <v>2338</v>
      </c>
      <c r="E58">
        <v>123</v>
      </c>
      <c r="F58">
        <v>215</v>
      </c>
      <c r="G58">
        <f t="shared" si="0"/>
        <v>1.7479674796747968</v>
      </c>
      <c r="H58" t="str">
        <f t="shared" si="1"/>
        <v/>
      </c>
    </row>
    <row r="59" spans="1:8" x14ac:dyDescent="0.25">
      <c r="A59" s="1">
        <v>42807</v>
      </c>
      <c r="B59" t="s">
        <v>26</v>
      </c>
      <c r="C59" t="s">
        <v>43</v>
      </c>
      <c r="D59">
        <v>4154</v>
      </c>
      <c r="E59">
        <v>277</v>
      </c>
      <c r="F59">
        <v>924</v>
      </c>
      <c r="G59">
        <f t="shared" si="0"/>
        <v>3.335740072202166</v>
      </c>
      <c r="H59" t="str">
        <f t="shared" si="1"/>
        <v/>
      </c>
    </row>
    <row r="60" spans="1:8" x14ac:dyDescent="0.25">
      <c r="A60" s="1">
        <v>42810</v>
      </c>
      <c r="B60" t="s">
        <v>15</v>
      </c>
      <c r="C60" t="s">
        <v>25</v>
      </c>
      <c r="D60">
        <v>1767</v>
      </c>
      <c r="E60">
        <v>91</v>
      </c>
      <c r="F60">
        <v>247</v>
      </c>
      <c r="G60">
        <f t="shared" si="0"/>
        <v>2.7142857142857144</v>
      </c>
      <c r="H60" t="str">
        <f t="shared" si="1"/>
        <v/>
      </c>
    </row>
    <row r="61" spans="1:8" x14ac:dyDescent="0.25">
      <c r="A61" s="1">
        <v>42812</v>
      </c>
      <c r="B61" t="s">
        <v>44</v>
      </c>
      <c r="C61" t="s">
        <v>45</v>
      </c>
      <c r="D61">
        <v>2929</v>
      </c>
      <c r="E61">
        <v>152</v>
      </c>
      <c r="F61">
        <v>278</v>
      </c>
      <c r="G61">
        <f t="shared" si="0"/>
        <v>1.8289473684210527</v>
      </c>
      <c r="H61" t="str">
        <f t="shared" si="1"/>
        <v/>
      </c>
    </row>
    <row r="62" spans="1:8" x14ac:dyDescent="0.25">
      <c r="A62" s="1">
        <v>42813</v>
      </c>
      <c r="B62" t="s">
        <v>45</v>
      </c>
      <c r="C62" t="s">
        <v>46</v>
      </c>
      <c r="D62">
        <v>2151</v>
      </c>
      <c r="E62">
        <v>177</v>
      </c>
      <c r="F62">
        <v>365</v>
      </c>
      <c r="G62">
        <f t="shared" si="0"/>
        <v>2.0621468926553672</v>
      </c>
      <c r="H62" t="str">
        <f t="shared" si="1"/>
        <v/>
      </c>
    </row>
    <row r="63" spans="1:8" x14ac:dyDescent="0.25">
      <c r="A63" s="1">
        <v>42814</v>
      </c>
      <c r="B63" t="s">
        <v>46</v>
      </c>
      <c r="C63" t="s">
        <v>47</v>
      </c>
      <c r="D63">
        <v>2431</v>
      </c>
      <c r="E63">
        <v>96</v>
      </c>
      <c r="F63">
        <v>409</v>
      </c>
      <c r="G63">
        <f t="shared" si="0"/>
        <v>4.260416666666667</v>
      </c>
      <c r="H63" t="str">
        <f t="shared" si="1"/>
        <v>xxxxxxxxxxxxxxxxxxxxx</v>
      </c>
    </row>
    <row r="64" spans="1:8" x14ac:dyDescent="0.25">
      <c r="A64" s="1">
        <v>42815</v>
      </c>
      <c r="B64" t="s">
        <v>34</v>
      </c>
      <c r="C64" t="s">
        <v>46</v>
      </c>
      <c r="D64">
        <v>1168</v>
      </c>
      <c r="E64">
        <v>143</v>
      </c>
      <c r="F64">
        <v>501</v>
      </c>
      <c r="G64">
        <f t="shared" si="0"/>
        <v>3.5034965034965033</v>
      </c>
      <c r="H64" t="str">
        <f t="shared" si="1"/>
        <v/>
      </c>
    </row>
    <row r="65" spans="1:8" x14ac:dyDescent="0.25">
      <c r="A65" s="1">
        <v>42816</v>
      </c>
      <c r="B65" t="s">
        <v>46</v>
      </c>
      <c r="C65" t="s">
        <v>19</v>
      </c>
      <c r="D65">
        <v>4251</v>
      </c>
      <c r="E65">
        <v>122</v>
      </c>
      <c r="F65">
        <v>227</v>
      </c>
      <c r="G65">
        <f t="shared" si="0"/>
        <v>1.860655737704918</v>
      </c>
      <c r="H65" t="str">
        <f t="shared" si="1"/>
        <v/>
      </c>
    </row>
    <row r="66" spans="1:8" x14ac:dyDescent="0.25">
      <c r="A66" s="1">
        <v>42817</v>
      </c>
      <c r="B66" t="s">
        <v>19</v>
      </c>
      <c r="C66" t="s">
        <v>16</v>
      </c>
      <c r="D66">
        <v>4347</v>
      </c>
      <c r="E66">
        <v>117</v>
      </c>
      <c r="F66">
        <v>158</v>
      </c>
      <c r="G66">
        <f t="shared" si="0"/>
        <v>1.3504273504273505</v>
      </c>
      <c r="H66" t="str">
        <f t="shared" si="1"/>
        <v/>
      </c>
    </row>
    <row r="67" spans="1:8" x14ac:dyDescent="0.25">
      <c r="A67" s="1">
        <v>42818</v>
      </c>
      <c r="B67" t="s">
        <v>16</v>
      </c>
      <c r="C67" t="s">
        <v>41</v>
      </c>
      <c r="D67">
        <v>5287</v>
      </c>
      <c r="E67">
        <v>127</v>
      </c>
      <c r="F67">
        <v>495</v>
      </c>
      <c r="G67">
        <f t="shared" ref="G67:G130" si="2">F67/E67</f>
        <v>3.8976377952755907</v>
      </c>
      <c r="H67" t="str">
        <f t="shared" ref="H67:H130" si="3">IF(G67=$K$2,"xxxxxxxxxxxxxxxxxxxxx","")</f>
        <v/>
      </c>
    </row>
    <row r="68" spans="1:8" x14ac:dyDescent="0.25">
      <c r="A68" s="1">
        <v>42820</v>
      </c>
      <c r="B68" t="s">
        <v>17</v>
      </c>
      <c r="C68" t="s">
        <v>18</v>
      </c>
      <c r="D68">
        <v>5177</v>
      </c>
      <c r="E68">
        <v>147</v>
      </c>
      <c r="F68">
        <v>443</v>
      </c>
      <c r="G68">
        <f t="shared" si="2"/>
        <v>3.0136054421768708</v>
      </c>
      <c r="H68" t="str">
        <f t="shared" si="3"/>
        <v/>
      </c>
    </row>
    <row r="69" spans="1:8" x14ac:dyDescent="0.25">
      <c r="A69" s="1">
        <v>42821</v>
      </c>
      <c r="B69" t="s">
        <v>15</v>
      </c>
      <c r="C69" t="s">
        <v>26</v>
      </c>
      <c r="D69">
        <v>3858</v>
      </c>
      <c r="E69">
        <v>155</v>
      </c>
      <c r="F69">
        <v>261</v>
      </c>
      <c r="G69">
        <f t="shared" si="2"/>
        <v>1.6838709677419355</v>
      </c>
      <c r="H69" t="str">
        <f t="shared" si="3"/>
        <v/>
      </c>
    </row>
    <row r="70" spans="1:8" x14ac:dyDescent="0.25">
      <c r="A70" s="1">
        <v>42822</v>
      </c>
      <c r="B70" t="s">
        <v>26</v>
      </c>
      <c r="C70" t="s">
        <v>48</v>
      </c>
      <c r="D70">
        <v>4637</v>
      </c>
      <c r="E70">
        <v>116</v>
      </c>
      <c r="F70">
        <v>242</v>
      </c>
      <c r="G70">
        <f t="shared" si="2"/>
        <v>2.0862068965517242</v>
      </c>
      <c r="H70" t="str">
        <f t="shared" si="3"/>
        <v/>
      </c>
    </row>
    <row r="71" spans="1:8" x14ac:dyDescent="0.25">
      <c r="A71" s="1">
        <v>42823</v>
      </c>
      <c r="B71" t="s">
        <v>48</v>
      </c>
      <c r="C71" t="s">
        <v>14</v>
      </c>
      <c r="D71">
        <v>5212</v>
      </c>
      <c r="E71">
        <v>123</v>
      </c>
      <c r="F71">
        <v>517</v>
      </c>
      <c r="G71">
        <f t="shared" si="2"/>
        <v>4.2032520325203251</v>
      </c>
      <c r="H71" t="str">
        <f t="shared" si="3"/>
        <v/>
      </c>
    </row>
    <row r="72" spans="1:8" x14ac:dyDescent="0.25">
      <c r="A72" s="1">
        <v>42824</v>
      </c>
      <c r="B72" t="s">
        <v>14</v>
      </c>
      <c r="C72" t="s">
        <v>40</v>
      </c>
      <c r="D72">
        <v>1099</v>
      </c>
      <c r="E72">
        <v>128</v>
      </c>
      <c r="F72">
        <v>205</v>
      </c>
      <c r="G72">
        <f t="shared" si="2"/>
        <v>1.6015625</v>
      </c>
      <c r="H72" t="str">
        <f t="shared" si="3"/>
        <v/>
      </c>
    </row>
    <row r="73" spans="1:8" x14ac:dyDescent="0.25">
      <c r="A73" s="1">
        <v>42825</v>
      </c>
      <c r="B73" t="s">
        <v>40</v>
      </c>
      <c r="C73" t="s">
        <v>41</v>
      </c>
      <c r="D73">
        <v>4422</v>
      </c>
      <c r="E73">
        <v>105</v>
      </c>
      <c r="F73">
        <v>145</v>
      </c>
      <c r="G73">
        <f t="shared" si="2"/>
        <v>1.3809523809523809</v>
      </c>
      <c r="H73" t="str">
        <f t="shared" si="3"/>
        <v/>
      </c>
    </row>
    <row r="74" spans="1:8" x14ac:dyDescent="0.25">
      <c r="A74" s="1">
        <v>42827</v>
      </c>
      <c r="B74" t="s">
        <v>33</v>
      </c>
      <c r="C74" t="s">
        <v>38</v>
      </c>
      <c r="D74">
        <v>2742</v>
      </c>
      <c r="E74">
        <v>109</v>
      </c>
      <c r="F74">
        <v>117</v>
      </c>
      <c r="G74">
        <f t="shared" si="2"/>
        <v>1.073394495412844</v>
      </c>
      <c r="H74" t="str">
        <f t="shared" si="3"/>
        <v/>
      </c>
    </row>
    <row r="75" spans="1:8" x14ac:dyDescent="0.25">
      <c r="A75" s="1">
        <v>42828</v>
      </c>
      <c r="B75" t="s">
        <v>38</v>
      </c>
      <c r="C75" t="s">
        <v>33</v>
      </c>
      <c r="D75">
        <v>2100</v>
      </c>
      <c r="E75">
        <v>115</v>
      </c>
      <c r="F75">
        <v>172</v>
      </c>
      <c r="G75">
        <f t="shared" si="2"/>
        <v>1.4956521739130435</v>
      </c>
      <c r="H75" t="str">
        <f t="shared" si="3"/>
        <v/>
      </c>
    </row>
    <row r="76" spans="1:8" x14ac:dyDescent="0.25">
      <c r="A76" s="1">
        <v>42829</v>
      </c>
      <c r="B76" t="s">
        <v>33</v>
      </c>
      <c r="C76" t="s">
        <v>38</v>
      </c>
      <c r="D76">
        <v>5626</v>
      </c>
      <c r="E76">
        <v>123</v>
      </c>
      <c r="F76">
        <v>377</v>
      </c>
      <c r="G76">
        <f t="shared" si="2"/>
        <v>3.065040650406504</v>
      </c>
      <c r="H76" t="str">
        <f t="shared" si="3"/>
        <v/>
      </c>
    </row>
    <row r="77" spans="1:8" x14ac:dyDescent="0.25">
      <c r="A77" s="1">
        <v>42830</v>
      </c>
      <c r="B77" t="s">
        <v>38</v>
      </c>
      <c r="C77" t="s">
        <v>33</v>
      </c>
      <c r="D77">
        <v>1629</v>
      </c>
      <c r="E77">
        <v>109</v>
      </c>
      <c r="F77">
        <v>258</v>
      </c>
      <c r="G77">
        <f t="shared" si="2"/>
        <v>2.3669724770642202</v>
      </c>
      <c r="H77" t="str">
        <f t="shared" si="3"/>
        <v/>
      </c>
    </row>
    <row r="78" spans="1:8" x14ac:dyDescent="0.25">
      <c r="A78" s="1">
        <v>42831</v>
      </c>
      <c r="B78" t="s">
        <v>33</v>
      </c>
      <c r="C78" t="s">
        <v>49</v>
      </c>
      <c r="D78">
        <v>4787</v>
      </c>
      <c r="E78">
        <v>155</v>
      </c>
      <c r="F78">
        <v>354</v>
      </c>
      <c r="G78">
        <f t="shared" si="2"/>
        <v>2.2838709677419353</v>
      </c>
      <c r="H78" t="str">
        <f t="shared" si="3"/>
        <v/>
      </c>
    </row>
    <row r="79" spans="1:8" x14ac:dyDescent="0.25">
      <c r="A79" s="1">
        <v>42832</v>
      </c>
      <c r="B79" t="s">
        <v>50</v>
      </c>
      <c r="C79" t="s">
        <v>45</v>
      </c>
      <c r="D79">
        <v>4678</v>
      </c>
      <c r="E79">
        <v>182</v>
      </c>
      <c r="F79">
        <v>254</v>
      </c>
      <c r="G79">
        <f t="shared" si="2"/>
        <v>1.3956043956043955</v>
      </c>
      <c r="H79" t="str">
        <f t="shared" si="3"/>
        <v/>
      </c>
    </row>
    <row r="80" spans="1:8" x14ac:dyDescent="0.25">
      <c r="A80" s="1">
        <v>42833</v>
      </c>
      <c r="B80" t="s">
        <v>45</v>
      </c>
      <c r="C80" t="s">
        <v>44</v>
      </c>
      <c r="D80">
        <v>5869</v>
      </c>
      <c r="E80">
        <v>152</v>
      </c>
      <c r="F80">
        <v>599</v>
      </c>
      <c r="G80">
        <f t="shared" si="2"/>
        <v>3.9407894736842106</v>
      </c>
      <c r="H80" t="str">
        <f t="shared" si="3"/>
        <v/>
      </c>
    </row>
    <row r="81" spans="1:8" x14ac:dyDescent="0.25">
      <c r="A81" s="1">
        <v>42834</v>
      </c>
      <c r="B81" t="s">
        <v>51</v>
      </c>
      <c r="C81" t="s">
        <v>44</v>
      </c>
      <c r="D81">
        <v>2678</v>
      </c>
      <c r="E81">
        <v>178</v>
      </c>
      <c r="F81">
        <v>481</v>
      </c>
      <c r="G81">
        <f t="shared" si="2"/>
        <v>2.702247191011236</v>
      </c>
      <c r="H81" t="str">
        <f t="shared" si="3"/>
        <v/>
      </c>
    </row>
    <row r="82" spans="1:8" x14ac:dyDescent="0.25">
      <c r="A82" s="1">
        <v>42835</v>
      </c>
      <c r="B82" t="s">
        <v>20</v>
      </c>
      <c r="C82" t="s">
        <v>43</v>
      </c>
      <c r="D82">
        <v>3193</v>
      </c>
      <c r="E82">
        <v>241</v>
      </c>
      <c r="F82">
        <v>507</v>
      </c>
      <c r="G82">
        <f t="shared" si="2"/>
        <v>2.103734439834025</v>
      </c>
      <c r="H82" t="str">
        <f t="shared" si="3"/>
        <v/>
      </c>
    </row>
    <row r="83" spans="1:8" x14ac:dyDescent="0.25">
      <c r="A83" s="1">
        <v>42836</v>
      </c>
      <c r="B83" t="s">
        <v>27</v>
      </c>
      <c r="C83" t="s">
        <v>25</v>
      </c>
      <c r="D83">
        <v>1011</v>
      </c>
      <c r="E83">
        <v>211</v>
      </c>
      <c r="F83">
        <v>536</v>
      </c>
      <c r="G83">
        <f t="shared" si="2"/>
        <v>2.5402843601895735</v>
      </c>
      <c r="H83" t="str">
        <f t="shared" si="3"/>
        <v/>
      </c>
    </row>
    <row r="84" spans="1:8" x14ac:dyDescent="0.25">
      <c r="A84" s="1">
        <v>42837</v>
      </c>
      <c r="B84" t="s">
        <v>25</v>
      </c>
      <c r="C84" t="s">
        <v>23</v>
      </c>
      <c r="D84">
        <v>3398</v>
      </c>
      <c r="E84">
        <v>122</v>
      </c>
      <c r="F84">
        <v>163</v>
      </c>
      <c r="G84">
        <f t="shared" si="2"/>
        <v>1.3360655737704918</v>
      </c>
      <c r="H84" t="str">
        <f t="shared" si="3"/>
        <v/>
      </c>
    </row>
    <row r="85" spans="1:8" x14ac:dyDescent="0.25">
      <c r="A85" s="1">
        <v>42839</v>
      </c>
      <c r="B85" t="s">
        <v>52</v>
      </c>
      <c r="C85" t="s">
        <v>53</v>
      </c>
      <c r="D85">
        <v>5416</v>
      </c>
      <c r="E85">
        <v>156</v>
      </c>
      <c r="F85">
        <v>349</v>
      </c>
      <c r="G85">
        <f t="shared" si="2"/>
        <v>2.2371794871794872</v>
      </c>
      <c r="H85" t="str">
        <f t="shared" si="3"/>
        <v/>
      </c>
    </row>
    <row r="86" spans="1:8" x14ac:dyDescent="0.25">
      <c r="A86" s="1">
        <v>42840</v>
      </c>
      <c r="B86" t="s">
        <v>9</v>
      </c>
      <c r="C86" t="s">
        <v>54</v>
      </c>
      <c r="D86">
        <v>3914</v>
      </c>
      <c r="E86">
        <v>417</v>
      </c>
      <c r="F86">
        <v>888</v>
      </c>
      <c r="G86">
        <f t="shared" si="2"/>
        <v>2.1294964028776979</v>
      </c>
      <c r="H86" t="str">
        <f t="shared" si="3"/>
        <v/>
      </c>
    </row>
    <row r="87" spans="1:8" x14ac:dyDescent="0.25">
      <c r="A87" s="1">
        <v>42841</v>
      </c>
      <c r="B87" t="s">
        <v>54</v>
      </c>
      <c r="C87" t="s">
        <v>47</v>
      </c>
      <c r="D87">
        <v>5805</v>
      </c>
      <c r="E87">
        <v>145</v>
      </c>
      <c r="F87">
        <v>301</v>
      </c>
      <c r="G87">
        <f t="shared" si="2"/>
        <v>2.0758620689655172</v>
      </c>
      <c r="H87" t="str">
        <f t="shared" si="3"/>
        <v/>
      </c>
    </row>
    <row r="88" spans="1:8" x14ac:dyDescent="0.25">
      <c r="A88" s="1">
        <v>42842</v>
      </c>
      <c r="B88" t="s">
        <v>47</v>
      </c>
      <c r="C88" t="s">
        <v>54</v>
      </c>
      <c r="D88">
        <v>4033</v>
      </c>
      <c r="E88">
        <v>136</v>
      </c>
      <c r="F88">
        <v>297</v>
      </c>
      <c r="G88">
        <f t="shared" si="2"/>
        <v>2.1838235294117645</v>
      </c>
      <c r="H88" t="str">
        <f t="shared" si="3"/>
        <v/>
      </c>
    </row>
    <row r="89" spans="1:8" x14ac:dyDescent="0.25">
      <c r="A89" s="1">
        <v>42844</v>
      </c>
      <c r="B89" t="s">
        <v>44</v>
      </c>
      <c r="C89" t="s">
        <v>55</v>
      </c>
      <c r="D89">
        <v>1021</v>
      </c>
      <c r="E89">
        <v>184</v>
      </c>
      <c r="F89">
        <v>660</v>
      </c>
      <c r="G89">
        <f t="shared" si="2"/>
        <v>3.5869565217391304</v>
      </c>
      <c r="H89" t="str">
        <f t="shared" si="3"/>
        <v/>
      </c>
    </row>
    <row r="90" spans="1:8" x14ac:dyDescent="0.25">
      <c r="A90" s="1">
        <v>42846</v>
      </c>
      <c r="B90" t="s">
        <v>56</v>
      </c>
      <c r="C90" t="s">
        <v>45</v>
      </c>
      <c r="D90">
        <v>5162</v>
      </c>
      <c r="E90">
        <v>17</v>
      </c>
      <c r="F90">
        <v>28</v>
      </c>
      <c r="G90">
        <f t="shared" si="2"/>
        <v>1.6470588235294117</v>
      </c>
      <c r="H90" t="str">
        <f t="shared" si="3"/>
        <v/>
      </c>
    </row>
    <row r="91" spans="1:8" x14ac:dyDescent="0.25">
      <c r="A91" s="1">
        <v>42847</v>
      </c>
      <c r="B91" t="s">
        <v>45</v>
      </c>
      <c r="C91" t="s">
        <v>44</v>
      </c>
      <c r="D91">
        <v>2050</v>
      </c>
      <c r="E91">
        <v>162</v>
      </c>
      <c r="F91">
        <v>569</v>
      </c>
      <c r="G91">
        <f t="shared" si="2"/>
        <v>3.5123456790123457</v>
      </c>
      <c r="H91" t="str">
        <f t="shared" si="3"/>
        <v/>
      </c>
    </row>
    <row r="92" spans="1:8" x14ac:dyDescent="0.25">
      <c r="A92" s="1">
        <v>42849</v>
      </c>
      <c r="B92" t="s">
        <v>43</v>
      </c>
      <c r="C92" t="s">
        <v>37</v>
      </c>
      <c r="D92">
        <v>5312</v>
      </c>
      <c r="E92">
        <v>153</v>
      </c>
      <c r="F92">
        <v>356</v>
      </c>
      <c r="G92">
        <f t="shared" si="2"/>
        <v>2.3267973856209152</v>
      </c>
      <c r="H92" t="str">
        <f t="shared" si="3"/>
        <v/>
      </c>
    </row>
    <row r="93" spans="1:8" x14ac:dyDescent="0.25">
      <c r="A93" s="1">
        <v>42851</v>
      </c>
      <c r="B93" t="s">
        <v>23</v>
      </c>
      <c r="C93" t="s">
        <v>42</v>
      </c>
      <c r="D93">
        <v>2443</v>
      </c>
      <c r="E93">
        <v>392</v>
      </c>
      <c r="F93">
        <v>1392</v>
      </c>
      <c r="G93">
        <f t="shared" si="2"/>
        <v>3.5510204081632653</v>
      </c>
      <c r="H93" t="str">
        <f t="shared" si="3"/>
        <v/>
      </c>
    </row>
    <row r="94" spans="1:8" x14ac:dyDescent="0.25">
      <c r="A94" s="1">
        <v>42853</v>
      </c>
      <c r="B94" t="s">
        <v>56</v>
      </c>
      <c r="C94" t="s">
        <v>50</v>
      </c>
      <c r="D94">
        <v>1161</v>
      </c>
      <c r="E94">
        <v>174</v>
      </c>
      <c r="F94">
        <v>323</v>
      </c>
      <c r="G94">
        <f t="shared" si="2"/>
        <v>1.8563218390804597</v>
      </c>
      <c r="H94" t="str">
        <f t="shared" si="3"/>
        <v/>
      </c>
    </row>
    <row r="95" spans="1:8" x14ac:dyDescent="0.25">
      <c r="A95" s="1">
        <v>42854</v>
      </c>
      <c r="B95" t="s">
        <v>50</v>
      </c>
      <c r="C95" t="s">
        <v>17</v>
      </c>
      <c r="D95">
        <v>3435</v>
      </c>
      <c r="E95">
        <v>146</v>
      </c>
      <c r="F95">
        <v>530</v>
      </c>
      <c r="G95">
        <f t="shared" si="2"/>
        <v>3.6301369863013697</v>
      </c>
      <c r="H95" t="str">
        <f t="shared" si="3"/>
        <v/>
      </c>
    </row>
    <row r="96" spans="1:8" x14ac:dyDescent="0.25">
      <c r="A96" s="1">
        <v>42855</v>
      </c>
      <c r="B96" t="s">
        <v>57</v>
      </c>
      <c r="C96" t="s">
        <v>32</v>
      </c>
      <c r="D96">
        <v>3358</v>
      </c>
      <c r="E96">
        <v>168</v>
      </c>
      <c r="F96">
        <v>569</v>
      </c>
      <c r="G96">
        <f t="shared" si="2"/>
        <v>3.3869047619047619</v>
      </c>
      <c r="H96" t="str">
        <f t="shared" si="3"/>
        <v/>
      </c>
    </row>
    <row r="97" spans="1:8" x14ac:dyDescent="0.25">
      <c r="A97" s="1">
        <v>42856</v>
      </c>
      <c r="B97" t="s">
        <v>52</v>
      </c>
      <c r="C97" t="s">
        <v>58</v>
      </c>
      <c r="D97">
        <v>2719</v>
      </c>
      <c r="E97">
        <v>152</v>
      </c>
      <c r="F97">
        <v>240</v>
      </c>
      <c r="G97">
        <f t="shared" si="2"/>
        <v>1.5789473684210527</v>
      </c>
      <c r="H97" t="str">
        <f t="shared" si="3"/>
        <v/>
      </c>
    </row>
    <row r="98" spans="1:8" x14ac:dyDescent="0.25">
      <c r="A98" s="1">
        <v>42857</v>
      </c>
      <c r="B98" t="s">
        <v>58</v>
      </c>
      <c r="C98" t="s">
        <v>23</v>
      </c>
      <c r="D98">
        <v>1793</v>
      </c>
      <c r="E98">
        <v>197</v>
      </c>
      <c r="F98">
        <v>754</v>
      </c>
      <c r="G98">
        <f t="shared" si="2"/>
        <v>3.8274111675126905</v>
      </c>
      <c r="H98" t="str">
        <f t="shared" si="3"/>
        <v/>
      </c>
    </row>
    <row r="99" spans="1:8" x14ac:dyDescent="0.25">
      <c r="A99" s="1">
        <v>42860</v>
      </c>
      <c r="B99" t="s">
        <v>19</v>
      </c>
      <c r="C99" t="s">
        <v>29</v>
      </c>
      <c r="D99">
        <v>1858</v>
      </c>
      <c r="E99">
        <v>104</v>
      </c>
      <c r="F99">
        <v>171</v>
      </c>
      <c r="G99">
        <f t="shared" si="2"/>
        <v>1.6442307692307692</v>
      </c>
      <c r="H99" t="str">
        <f t="shared" si="3"/>
        <v/>
      </c>
    </row>
    <row r="100" spans="1:8" x14ac:dyDescent="0.25">
      <c r="A100" s="1">
        <v>42861</v>
      </c>
      <c r="B100" t="s">
        <v>29</v>
      </c>
      <c r="C100" t="s">
        <v>19</v>
      </c>
      <c r="D100">
        <v>4651</v>
      </c>
      <c r="E100">
        <v>111</v>
      </c>
      <c r="F100">
        <v>190</v>
      </c>
      <c r="G100">
        <f t="shared" si="2"/>
        <v>1.7117117117117118</v>
      </c>
      <c r="H100" t="str">
        <f t="shared" si="3"/>
        <v/>
      </c>
    </row>
    <row r="101" spans="1:8" x14ac:dyDescent="0.25">
      <c r="A101" s="1">
        <v>42862</v>
      </c>
      <c r="B101" t="s">
        <v>19</v>
      </c>
      <c r="C101" t="s">
        <v>29</v>
      </c>
      <c r="D101">
        <v>2929</v>
      </c>
      <c r="E101">
        <v>111</v>
      </c>
      <c r="F101">
        <v>395</v>
      </c>
      <c r="G101">
        <f t="shared" si="2"/>
        <v>3.5585585585585586</v>
      </c>
      <c r="H101" t="str">
        <f t="shared" si="3"/>
        <v/>
      </c>
    </row>
    <row r="102" spans="1:8" x14ac:dyDescent="0.25">
      <c r="A102" s="1">
        <v>42863</v>
      </c>
      <c r="B102" t="s">
        <v>29</v>
      </c>
      <c r="C102" t="s">
        <v>28</v>
      </c>
      <c r="D102">
        <v>2608</v>
      </c>
      <c r="E102">
        <v>123</v>
      </c>
      <c r="F102">
        <v>223</v>
      </c>
      <c r="G102">
        <f t="shared" si="2"/>
        <v>1.8130081300813008</v>
      </c>
      <c r="H102" t="str">
        <f t="shared" si="3"/>
        <v/>
      </c>
    </row>
    <row r="103" spans="1:8" x14ac:dyDescent="0.25">
      <c r="A103" s="1">
        <v>42864</v>
      </c>
      <c r="B103" t="s">
        <v>28</v>
      </c>
      <c r="C103" t="s">
        <v>14</v>
      </c>
      <c r="D103">
        <v>3094</v>
      </c>
      <c r="E103">
        <v>107</v>
      </c>
      <c r="F103">
        <v>143</v>
      </c>
      <c r="G103">
        <f t="shared" si="2"/>
        <v>1.3364485981308412</v>
      </c>
      <c r="H103" t="str">
        <f t="shared" si="3"/>
        <v/>
      </c>
    </row>
    <row r="104" spans="1:8" x14ac:dyDescent="0.25">
      <c r="A104" s="1">
        <v>42867</v>
      </c>
      <c r="B104" t="s">
        <v>19</v>
      </c>
      <c r="C104" t="s">
        <v>59</v>
      </c>
      <c r="D104">
        <v>5288</v>
      </c>
      <c r="E104">
        <v>107</v>
      </c>
      <c r="F104">
        <v>312</v>
      </c>
      <c r="G104">
        <f t="shared" si="2"/>
        <v>2.9158878504672896</v>
      </c>
      <c r="H104" t="str">
        <f t="shared" si="3"/>
        <v/>
      </c>
    </row>
    <row r="105" spans="1:8" x14ac:dyDescent="0.25">
      <c r="A105" s="1">
        <v>42868</v>
      </c>
      <c r="B105" t="s">
        <v>43</v>
      </c>
      <c r="C105" t="s">
        <v>28</v>
      </c>
      <c r="D105">
        <v>4888</v>
      </c>
      <c r="E105">
        <v>182</v>
      </c>
      <c r="F105">
        <v>248</v>
      </c>
      <c r="G105">
        <f t="shared" si="2"/>
        <v>1.3626373626373627</v>
      </c>
      <c r="H105" t="str">
        <f t="shared" si="3"/>
        <v/>
      </c>
    </row>
    <row r="106" spans="1:8" x14ac:dyDescent="0.25">
      <c r="A106" s="1">
        <v>42869</v>
      </c>
      <c r="B106" t="s">
        <v>28</v>
      </c>
      <c r="C106" t="s">
        <v>60</v>
      </c>
      <c r="D106">
        <v>5475</v>
      </c>
      <c r="E106">
        <v>129</v>
      </c>
      <c r="F106">
        <v>200</v>
      </c>
      <c r="G106">
        <f t="shared" si="2"/>
        <v>1.5503875968992249</v>
      </c>
      <c r="H106" t="str">
        <f t="shared" si="3"/>
        <v/>
      </c>
    </row>
    <row r="107" spans="1:8" x14ac:dyDescent="0.25">
      <c r="A107" s="1">
        <v>42870</v>
      </c>
      <c r="B107" t="s">
        <v>60</v>
      </c>
      <c r="C107" t="s">
        <v>47</v>
      </c>
      <c r="D107">
        <v>4863</v>
      </c>
      <c r="E107">
        <v>141</v>
      </c>
      <c r="F107">
        <v>444</v>
      </c>
      <c r="G107">
        <f t="shared" si="2"/>
        <v>3.1489361702127661</v>
      </c>
      <c r="H107" t="str">
        <f t="shared" si="3"/>
        <v/>
      </c>
    </row>
    <row r="108" spans="1:8" x14ac:dyDescent="0.25">
      <c r="A108" s="1">
        <v>42872</v>
      </c>
      <c r="B108" t="s">
        <v>29</v>
      </c>
      <c r="C108" t="s">
        <v>56</v>
      </c>
      <c r="D108">
        <v>5933</v>
      </c>
      <c r="E108">
        <v>335</v>
      </c>
      <c r="F108">
        <v>479</v>
      </c>
      <c r="G108">
        <f t="shared" si="2"/>
        <v>1.4298507462686567</v>
      </c>
      <c r="H108" t="str">
        <f t="shared" si="3"/>
        <v/>
      </c>
    </row>
    <row r="109" spans="1:8" x14ac:dyDescent="0.25">
      <c r="A109" s="1">
        <v>42873</v>
      </c>
      <c r="B109" t="s">
        <v>59</v>
      </c>
      <c r="C109" t="s">
        <v>61</v>
      </c>
      <c r="D109">
        <v>1730</v>
      </c>
      <c r="E109">
        <v>410</v>
      </c>
      <c r="F109">
        <v>1087</v>
      </c>
      <c r="G109">
        <f t="shared" si="2"/>
        <v>2.6512195121951221</v>
      </c>
      <c r="H109" t="str">
        <f t="shared" si="3"/>
        <v/>
      </c>
    </row>
    <row r="110" spans="1:8" x14ac:dyDescent="0.25">
      <c r="A110" s="1">
        <v>42874</v>
      </c>
      <c r="B110" t="s">
        <v>61</v>
      </c>
      <c r="C110" t="s">
        <v>15</v>
      </c>
      <c r="D110">
        <v>3178</v>
      </c>
      <c r="E110">
        <v>171</v>
      </c>
      <c r="F110">
        <v>646</v>
      </c>
      <c r="G110">
        <f t="shared" si="2"/>
        <v>3.7777777777777777</v>
      </c>
      <c r="H110" t="str">
        <f t="shared" si="3"/>
        <v/>
      </c>
    </row>
    <row r="111" spans="1:8" x14ac:dyDescent="0.25">
      <c r="A111" s="1">
        <v>42877</v>
      </c>
      <c r="B111" t="s">
        <v>29</v>
      </c>
      <c r="C111" t="s">
        <v>41</v>
      </c>
      <c r="D111">
        <v>3983</v>
      </c>
      <c r="E111">
        <v>153</v>
      </c>
      <c r="F111">
        <v>175</v>
      </c>
      <c r="G111">
        <f t="shared" si="2"/>
        <v>1.1437908496732025</v>
      </c>
      <c r="H111" t="str">
        <f t="shared" si="3"/>
        <v/>
      </c>
    </row>
    <row r="112" spans="1:8" x14ac:dyDescent="0.25">
      <c r="A112" s="1">
        <v>42878</v>
      </c>
      <c r="B112" t="s">
        <v>36</v>
      </c>
      <c r="C112" t="s">
        <v>13</v>
      </c>
      <c r="D112">
        <v>3007</v>
      </c>
      <c r="E112">
        <v>391</v>
      </c>
      <c r="F112">
        <v>1406</v>
      </c>
      <c r="G112">
        <f t="shared" si="2"/>
        <v>3.5959079283887467</v>
      </c>
      <c r="H112" t="str">
        <f t="shared" si="3"/>
        <v/>
      </c>
    </row>
    <row r="113" spans="1:8" x14ac:dyDescent="0.25">
      <c r="A113" s="1">
        <v>42879</v>
      </c>
      <c r="B113" t="s">
        <v>59</v>
      </c>
      <c r="C113" t="s">
        <v>18</v>
      </c>
      <c r="D113">
        <v>5832</v>
      </c>
      <c r="E113">
        <v>300</v>
      </c>
      <c r="F113">
        <v>453</v>
      </c>
      <c r="G113">
        <f t="shared" si="2"/>
        <v>1.51</v>
      </c>
      <c r="H113" t="str">
        <f t="shared" si="3"/>
        <v/>
      </c>
    </row>
    <row r="114" spans="1:8" x14ac:dyDescent="0.25">
      <c r="A114" s="1">
        <v>42881</v>
      </c>
      <c r="B114" t="s">
        <v>35</v>
      </c>
      <c r="C114" t="s">
        <v>37</v>
      </c>
      <c r="D114">
        <v>3012</v>
      </c>
      <c r="E114">
        <v>148</v>
      </c>
      <c r="F114">
        <v>185</v>
      </c>
      <c r="G114">
        <f t="shared" si="2"/>
        <v>1.25</v>
      </c>
      <c r="H114" t="str">
        <f t="shared" si="3"/>
        <v/>
      </c>
    </row>
    <row r="115" spans="1:8" x14ac:dyDescent="0.25">
      <c r="A115" s="1">
        <v>42882</v>
      </c>
      <c r="B115" t="s">
        <v>37</v>
      </c>
      <c r="C115" t="s">
        <v>57</v>
      </c>
      <c r="D115">
        <v>4508</v>
      </c>
      <c r="E115">
        <v>104</v>
      </c>
      <c r="F115">
        <v>399</v>
      </c>
      <c r="G115">
        <f t="shared" si="2"/>
        <v>3.8365384615384617</v>
      </c>
      <c r="H115" t="str">
        <f t="shared" si="3"/>
        <v/>
      </c>
    </row>
    <row r="116" spans="1:8" x14ac:dyDescent="0.25">
      <c r="A116" s="1">
        <v>42883</v>
      </c>
      <c r="B116" t="s">
        <v>9</v>
      </c>
      <c r="C116" t="s">
        <v>58</v>
      </c>
      <c r="D116">
        <v>1777</v>
      </c>
      <c r="E116">
        <v>552</v>
      </c>
      <c r="F116">
        <v>1964</v>
      </c>
      <c r="G116">
        <f t="shared" si="2"/>
        <v>3.5579710144927534</v>
      </c>
      <c r="H116" t="str">
        <f t="shared" si="3"/>
        <v/>
      </c>
    </row>
    <row r="117" spans="1:8" x14ac:dyDescent="0.25">
      <c r="A117" s="1">
        <v>42884</v>
      </c>
      <c r="B117" t="s">
        <v>58</v>
      </c>
      <c r="C117" t="s">
        <v>61</v>
      </c>
      <c r="D117">
        <v>4788</v>
      </c>
      <c r="E117">
        <v>203</v>
      </c>
      <c r="F117">
        <v>347</v>
      </c>
      <c r="G117">
        <f t="shared" si="2"/>
        <v>1.7093596059113301</v>
      </c>
      <c r="H117" t="str">
        <f t="shared" si="3"/>
        <v/>
      </c>
    </row>
    <row r="118" spans="1:8" x14ac:dyDescent="0.25">
      <c r="A118" s="1">
        <v>42885</v>
      </c>
      <c r="B118" t="s">
        <v>61</v>
      </c>
      <c r="C118" t="s">
        <v>62</v>
      </c>
      <c r="D118">
        <v>3035</v>
      </c>
      <c r="E118">
        <v>103</v>
      </c>
      <c r="F118">
        <v>376</v>
      </c>
      <c r="G118">
        <f t="shared" si="2"/>
        <v>3.650485436893204</v>
      </c>
      <c r="H118" t="str">
        <f t="shared" si="3"/>
        <v/>
      </c>
    </row>
    <row r="119" spans="1:8" x14ac:dyDescent="0.25">
      <c r="A119" s="1">
        <v>42886</v>
      </c>
      <c r="B119" t="s">
        <v>62</v>
      </c>
      <c r="C119" t="s">
        <v>63</v>
      </c>
      <c r="D119">
        <v>3380</v>
      </c>
      <c r="E119">
        <v>155</v>
      </c>
      <c r="F119">
        <v>542</v>
      </c>
      <c r="G119">
        <f t="shared" si="2"/>
        <v>3.4967741935483869</v>
      </c>
      <c r="H119" t="str">
        <f t="shared" si="3"/>
        <v/>
      </c>
    </row>
    <row r="120" spans="1:8" x14ac:dyDescent="0.25">
      <c r="A120" s="1">
        <v>42887</v>
      </c>
      <c r="B120" t="s">
        <v>63</v>
      </c>
      <c r="C120" t="s">
        <v>64</v>
      </c>
      <c r="D120">
        <v>5014</v>
      </c>
      <c r="E120">
        <v>154</v>
      </c>
      <c r="F120">
        <v>577</v>
      </c>
      <c r="G120">
        <f t="shared" si="2"/>
        <v>3.7467532467532467</v>
      </c>
      <c r="H120" t="str">
        <f t="shared" si="3"/>
        <v/>
      </c>
    </row>
    <row r="121" spans="1:8" x14ac:dyDescent="0.25">
      <c r="A121" s="1">
        <v>42888</v>
      </c>
      <c r="B121" t="s">
        <v>64</v>
      </c>
      <c r="C121" t="s">
        <v>58</v>
      </c>
      <c r="D121">
        <v>1852</v>
      </c>
      <c r="E121">
        <v>110</v>
      </c>
      <c r="F121">
        <v>407</v>
      </c>
      <c r="G121">
        <f t="shared" si="2"/>
        <v>3.7</v>
      </c>
      <c r="H121" t="str">
        <f t="shared" si="3"/>
        <v/>
      </c>
    </row>
    <row r="122" spans="1:8" x14ac:dyDescent="0.25">
      <c r="A122" s="1">
        <v>42890</v>
      </c>
      <c r="B122" t="s">
        <v>65</v>
      </c>
      <c r="C122" t="s">
        <v>11</v>
      </c>
      <c r="D122">
        <v>5493</v>
      </c>
      <c r="E122">
        <v>145</v>
      </c>
      <c r="F122">
        <v>168</v>
      </c>
      <c r="G122">
        <f t="shared" si="2"/>
        <v>1.1586206896551725</v>
      </c>
      <c r="H122" t="str">
        <f t="shared" si="3"/>
        <v/>
      </c>
    </row>
    <row r="123" spans="1:8" x14ac:dyDescent="0.25">
      <c r="A123" s="1">
        <v>42892</v>
      </c>
      <c r="B123" t="s">
        <v>51</v>
      </c>
      <c r="C123" t="s">
        <v>44</v>
      </c>
      <c r="D123">
        <v>5560</v>
      </c>
      <c r="E123">
        <v>187</v>
      </c>
      <c r="F123">
        <v>288</v>
      </c>
      <c r="G123">
        <f t="shared" si="2"/>
        <v>1.5401069518716577</v>
      </c>
      <c r="H123" t="str">
        <f t="shared" si="3"/>
        <v/>
      </c>
    </row>
    <row r="124" spans="1:8" x14ac:dyDescent="0.25">
      <c r="A124" s="1">
        <v>42893</v>
      </c>
      <c r="B124" t="s">
        <v>66</v>
      </c>
      <c r="C124" t="s">
        <v>67</v>
      </c>
      <c r="D124">
        <v>2571</v>
      </c>
      <c r="E124">
        <v>145</v>
      </c>
      <c r="F124">
        <v>567</v>
      </c>
      <c r="G124">
        <f t="shared" si="2"/>
        <v>3.9103448275862069</v>
      </c>
      <c r="H124" t="str">
        <f t="shared" si="3"/>
        <v/>
      </c>
    </row>
    <row r="125" spans="1:8" x14ac:dyDescent="0.25">
      <c r="A125" s="1">
        <v>42894</v>
      </c>
      <c r="B125" t="s">
        <v>67</v>
      </c>
      <c r="C125" t="s">
        <v>19</v>
      </c>
      <c r="D125">
        <v>3348</v>
      </c>
      <c r="E125">
        <v>111</v>
      </c>
      <c r="F125">
        <v>135</v>
      </c>
      <c r="G125">
        <f t="shared" si="2"/>
        <v>1.2162162162162162</v>
      </c>
      <c r="H125" t="str">
        <f t="shared" si="3"/>
        <v/>
      </c>
    </row>
    <row r="126" spans="1:8" x14ac:dyDescent="0.25">
      <c r="A126" s="1">
        <v>42895</v>
      </c>
      <c r="B126" t="s">
        <v>19</v>
      </c>
      <c r="C126" t="s">
        <v>46</v>
      </c>
      <c r="D126">
        <v>2906</v>
      </c>
      <c r="E126">
        <v>119</v>
      </c>
      <c r="F126">
        <v>398</v>
      </c>
      <c r="G126">
        <f t="shared" si="2"/>
        <v>3.3445378151260505</v>
      </c>
      <c r="H126" t="str">
        <f t="shared" si="3"/>
        <v/>
      </c>
    </row>
    <row r="127" spans="1:8" x14ac:dyDescent="0.25">
      <c r="A127" s="1">
        <v>42896</v>
      </c>
      <c r="B127" t="s">
        <v>46</v>
      </c>
      <c r="C127" t="s">
        <v>54</v>
      </c>
      <c r="D127">
        <v>5660</v>
      </c>
      <c r="E127">
        <v>137</v>
      </c>
      <c r="F127">
        <v>490</v>
      </c>
      <c r="G127">
        <f t="shared" si="2"/>
        <v>3.5766423357664232</v>
      </c>
      <c r="H127" t="str">
        <f t="shared" si="3"/>
        <v/>
      </c>
    </row>
    <row r="128" spans="1:8" x14ac:dyDescent="0.25">
      <c r="A128" s="1">
        <v>42897</v>
      </c>
      <c r="B128" t="s">
        <v>19</v>
      </c>
      <c r="C128" t="s">
        <v>29</v>
      </c>
      <c r="D128">
        <v>2575</v>
      </c>
      <c r="E128">
        <v>113</v>
      </c>
      <c r="F128">
        <v>277</v>
      </c>
      <c r="G128">
        <f t="shared" si="2"/>
        <v>2.4513274336283186</v>
      </c>
      <c r="H128" t="str">
        <f t="shared" si="3"/>
        <v/>
      </c>
    </row>
    <row r="129" spans="1:8" x14ac:dyDescent="0.25">
      <c r="A129" s="1">
        <v>42898</v>
      </c>
      <c r="B129" t="s">
        <v>55</v>
      </c>
      <c r="C129" t="s">
        <v>46</v>
      </c>
      <c r="D129">
        <v>1676</v>
      </c>
      <c r="E129">
        <v>217</v>
      </c>
      <c r="F129">
        <v>499</v>
      </c>
      <c r="G129">
        <f t="shared" si="2"/>
        <v>2.2995391705069124</v>
      </c>
      <c r="H129" t="str">
        <f t="shared" si="3"/>
        <v/>
      </c>
    </row>
    <row r="130" spans="1:8" x14ac:dyDescent="0.25">
      <c r="A130" s="1">
        <v>42899</v>
      </c>
      <c r="B130" t="s">
        <v>46</v>
      </c>
      <c r="C130" t="s">
        <v>47</v>
      </c>
      <c r="D130">
        <v>1536</v>
      </c>
      <c r="E130">
        <v>96</v>
      </c>
      <c r="F130">
        <v>154</v>
      </c>
      <c r="G130">
        <f t="shared" si="2"/>
        <v>1.6041666666666667</v>
      </c>
      <c r="H130" t="str">
        <f t="shared" si="3"/>
        <v/>
      </c>
    </row>
    <row r="131" spans="1:8" x14ac:dyDescent="0.25">
      <c r="A131" s="1">
        <v>42900</v>
      </c>
      <c r="B131" t="s">
        <v>47</v>
      </c>
      <c r="C131" t="s">
        <v>42</v>
      </c>
      <c r="D131">
        <v>1996</v>
      </c>
      <c r="E131">
        <v>158</v>
      </c>
      <c r="F131">
        <v>653</v>
      </c>
      <c r="G131">
        <f t="shared" ref="G131:G194" si="4">F131/E131</f>
        <v>4.1329113924050631</v>
      </c>
      <c r="H131" t="str">
        <f t="shared" ref="H131:H194" si="5">IF(G131=$K$2,"xxxxxxxxxxxxxxxxxxxxx","")</f>
        <v/>
      </c>
    </row>
    <row r="132" spans="1:8" x14ac:dyDescent="0.25">
      <c r="A132" s="1">
        <v>42902</v>
      </c>
      <c r="B132" t="s">
        <v>68</v>
      </c>
      <c r="C132" t="s">
        <v>69</v>
      </c>
      <c r="D132">
        <v>4769</v>
      </c>
      <c r="E132">
        <v>160</v>
      </c>
      <c r="F132">
        <v>522</v>
      </c>
      <c r="G132">
        <f t="shared" si="4"/>
        <v>3.2625000000000002</v>
      </c>
      <c r="H132" t="str">
        <f t="shared" si="5"/>
        <v/>
      </c>
    </row>
    <row r="133" spans="1:8" x14ac:dyDescent="0.25">
      <c r="A133" s="1">
        <v>42903</v>
      </c>
      <c r="B133" t="s">
        <v>69</v>
      </c>
      <c r="C133" t="s">
        <v>59</v>
      </c>
      <c r="D133">
        <v>4542</v>
      </c>
      <c r="E133">
        <v>205</v>
      </c>
      <c r="F133">
        <v>524</v>
      </c>
      <c r="G133">
        <f t="shared" si="4"/>
        <v>2.5560975609756098</v>
      </c>
      <c r="H133" t="str">
        <f t="shared" si="5"/>
        <v/>
      </c>
    </row>
    <row r="134" spans="1:8" x14ac:dyDescent="0.25">
      <c r="A134" s="1">
        <v>42904</v>
      </c>
      <c r="B134" t="s">
        <v>59</v>
      </c>
      <c r="C134" t="s">
        <v>60</v>
      </c>
      <c r="D134">
        <v>2286</v>
      </c>
      <c r="E134">
        <v>140</v>
      </c>
      <c r="F134">
        <v>136</v>
      </c>
      <c r="G134">
        <f t="shared" si="4"/>
        <v>0.97142857142857142</v>
      </c>
      <c r="H134" t="str">
        <f t="shared" si="5"/>
        <v/>
      </c>
    </row>
    <row r="135" spans="1:8" x14ac:dyDescent="0.25">
      <c r="A135" s="1">
        <v>42905</v>
      </c>
      <c r="B135" t="s">
        <v>60</v>
      </c>
      <c r="C135" t="s">
        <v>41</v>
      </c>
      <c r="D135">
        <v>1504</v>
      </c>
      <c r="E135">
        <v>95</v>
      </c>
      <c r="F135">
        <v>382</v>
      </c>
      <c r="G135">
        <f t="shared" si="4"/>
        <v>4.0210526315789474</v>
      </c>
      <c r="H135" t="str">
        <f t="shared" si="5"/>
        <v/>
      </c>
    </row>
    <row r="136" spans="1:8" x14ac:dyDescent="0.25">
      <c r="A136" s="1">
        <v>42906</v>
      </c>
      <c r="B136" t="s">
        <v>34</v>
      </c>
      <c r="C136" t="s">
        <v>39</v>
      </c>
      <c r="D136">
        <v>3990</v>
      </c>
      <c r="E136">
        <v>195</v>
      </c>
      <c r="F136">
        <v>468</v>
      </c>
      <c r="G136">
        <f t="shared" si="4"/>
        <v>2.4</v>
      </c>
      <c r="H136" t="str">
        <f t="shared" si="5"/>
        <v/>
      </c>
    </row>
    <row r="137" spans="1:8" x14ac:dyDescent="0.25">
      <c r="A137" s="1">
        <v>42907</v>
      </c>
      <c r="B137" t="s">
        <v>47</v>
      </c>
      <c r="C137" t="s">
        <v>17</v>
      </c>
      <c r="D137">
        <v>4569</v>
      </c>
      <c r="E137">
        <v>123</v>
      </c>
      <c r="F137">
        <v>295</v>
      </c>
      <c r="G137">
        <f t="shared" si="4"/>
        <v>2.3983739837398375</v>
      </c>
      <c r="H137" t="str">
        <f t="shared" si="5"/>
        <v/>
      </c>
    </row>
    <row r="138" spans="1:8" x14ac:dyDescent="0.25">
      <c r="A138" s="1">
        <v>42908</v>
      </c>
      <c r="B138" t="s">
        <v>17</v>
      </c>
      <c r="C138" t="s">
        <v>18</v>
      </c>
      <c r="D138">
        <v>3469</v>
      </c>
      <c r="E138">
        <v>151</v>
      </c>
      <c r="F138">
        <v>558</v>
      </c>
      <c r="G138">
        <f t="shared" si="4"/>
        <v>3.6953642384105962</v>
      </c>
      <c r="H138" t="str">
        <f t="shared" si="5"/>
        <v/>
      </c>
    </row>
    <row r="139" spans="1:8" x14ac:dyDescent="0.25">
      <c r="A139" s="1">
        <v>42909</v>
      </c>
      <c r="B139" t="s">
        <v>18</v>
      </c>
      <c r="C139" t="s">
        <v>39</v>
      </c>
      <c r="D139">
        <v>2498</v>
      </c>
      <c r="E139">
        <v>163</v>
      </c>
      <c r="F139">
        <v>610</v>
      </c>
      <c r="G139">
        <f t="shared" si="4"/>
        <v>3.7423312883435584</v>
      </c>
      <c r="H139" t="str">
        <f t="shared" si="5"/>
        <v/>
      </c>
    </row>
    <row r="140" spans="1:8" x14ac:dyDescent="0.25">
      <c r="A140" s="1">
        <v>42910</v>
      </c>
      <c r="B140" t="s">
        <v>39</v>
      </c>
      <c r="C140" t="s">
        <v>17</v>
      </c>
      <c r="D140">
        <v>4118</v>
      </c>
      <c r="E140">
        <v>144</v>
      </c>
      <c r="F140">
        <v>256</v>
      </c>
      <c r="G140">
        <f t="shared" si="4"/>
        <v>1.7777777777777777</v>
      </c>
      <c r="H140" t="str">
        <f t="shared" si="5"/>
        <v/>
      </c>
    </row>
    <row r="141" spans="1:8" x14ac:dyDescent="0.25">
      <c r="A141" s="1">
        <v>42911</v>
      </c>
      <c r="B141" t="s">
        <v>30</v>
      </c>
      <c r="C141" t="s">
        <v>70</v>
      </c>
      <c r="D141">
        <v>5847</v>
      </c>
      <c r="E141">
        <v>137</v>
      </c>
      <c r="F141">
        <v>270</v>
      </c>
      <c r="G141">
        <f t="shared" si="4"/>
        <v>1.9708029197080292</v>
      </c>
      <c r="H141" t="str">
        <f t="shared" si="5"/>
        <v/>
      </c>
    </row>
    <row r="142" spans="1:8" x14ac:dyDescent="0.25">
      <c r="A142" s="1">
        <v>42912</v>
      </c>
      <c r="B142" t="s">
        <v>70</v>
      </c>
      <c r="C142" t="s">
        <v>30</v>
      </c>
      <c r="D142">
        <v>2032</v>
      </c>
      <c r="E142">
        <v>129</v>
      </c>
      <c r="F142">
        <v>245</v>
      </c>
      <c r="G142">
        <f t="shared" si="4"/>
        <v>1.8992248062015504</v>
      </c>
      <c r="H142" t="str">
        <f t="shared" si="5"/>
        <v/>
      </c>
    </row>
    <row r="143" spans="1:8" x14ac:dyDescent="0.25">
      <c r="A143" s="1">
        <v>42913</v>
      </c>
      <c r="B143" t="s">
        <v>30</v>
      </c>
      <c r="C143" t="s">
        <v>31</v>
      </c>
      <c r="D143">
        <v>2735</v>
      </c>
      <c r="E143">
        <v>213</v>
      </c>
      <c r="F143">
        <v>213</v>
      </c>
      <c r="G143">
        <f t="shared" si="4"/>
        <v>1</v>
      </c>
      <c r="H143" t="str">
        <f t="shared" si="5"/>
        <v/>
      </c>
    </row>
    <row r="144" spans="1:8" x14ac:dyDescent="0.25">
      <c r="A144" s="1">
        <v>42914</v>
      </c>
      <c r="B144" t="s">
        <v>31</v>
      </c>
      <c r="C144" t="s">
        <v>22</v>
      </c>
      <c r="D144">
        <v>5467</v>
      </c>
      <c r="E144">
        <v>168</v>
      </c>
      <c r="F144">
        <v>336</v>
      </c>
      <c r="G144">
        <f t="shared" si="4"/>
        <v>2</v>
      </c>
      <c r="H144" t="str">
        <f t="shared" si="5"/>
        <v/>
      </c>
    </row>
    <row r="145" spans="1:8" x14ac:dyDescent="0.25">
      <c r="A145" s="1">
        <v>42915</v>
      </c>
      <c r="B145" t="s">
        <v>22</v>
      </c>
      <c r="C145" t="s">
        <v>21</v>
      </c>
      <c r="D145">
        <v>3691</v>
      </c>
      <c r="E145">
        <v>170</v>
      </c>
      <c r="F145">
        <v>525</v>
      </c>
      <c r="G145">
        <f t="shared" si="4"/>
        <v>3.0882352941176472</v>
      </c>
      <c r="H145" t="str">
        <f t="shared" si="5"/>
        <v/>
      </c>
    </row>
    <row r="146" spans="1:8" x14ac:dyDescent="0.25">
      <c r="A146" s="1">
        <v>42916</v>
      </c>
      <c r="B146" t="s">
        <v>15</v>
      </c>
      <c r="C146" t="s">
        <v>52</v>
      </c>
      <c r="D146">
        <v>3681</v>
      </c>
      <c r="E146">
        <v>145</v>
      </c>
      <c r="F146">
        <v>546</v>
      </c>
      <c r="G146">
        <f t="shared" si="4"/>
        <v>3.7655172413793103</v>
      </c>
      <c r="H146" t="str">
        <f t="shared" si="5"/>
        <v/>
      </c>
    </row>
    <row r="147" spans="1:8" x14ac:dyDescent="0.25">
      <c r="A147" s="1">
        <v>42917</v>
      </c>
      <c r="B147" t="s">
        <v>62</v>
      </c>
      <c r="C147" t="s">
        <v>20</v>
      </c>
      <c r="D147">
        <v>2256</v>
      </c>
      <c r="E147">
        <v>146</v>
      </c>
      <c r="F147">
        <v>315</v>
      </c>
      <c r="G147">
        <f t="shared" si="4"/>
        <v>2.1575342465753424</v>
      </c>
      <c r="H147" t="str">
        <f t="shared" si="5"/>
        <v/>
      </c>
    </row>
    <row r="148" spans="1:8" x14ac:dyDescent="0.25">
      <c r="A148" s="1">
        <v>42918</v>
      </c>
      <c r="B148" t="s">
        <v>20</v>
      </c>
      <c r="C148" t="s">
        <v>8</v>
      </c>
      <c r="D148">
        <v>4602</v>
      </c>
      <c r="E148">
        <v>120</v>
      </c>
      <c r="F148">
        <v>288</v>
      </c>
      <c r="G148">
        <f t="shared" si="4"/>
        <v>2.4</v>
      </c>
      <c r="H148" t="str">
        <f t="shared" si="5"/>
        <v/>
      </c>
    </row>
    <row r="149" spans="1:8" x14ac:dyDescent="0.25">
      <c r="A149" s="1">
        <v>42919</v>
      </c>
      <c r="B149" t="s">
        <v>8</v>
      </c>
      <c r="C149" t="s">
        <v>20</v>
      </c>
      <c r="D149">
        <v>4354</v>
      </c>
      <c r="E149">
        <v>135</v>
      </c>
      <c r="F149">
        <v>215</v>
      </c>
      <c r="G149">
        <f t="shared" si="4"/>
        <v>1.5925925925925926</v>
      </c>
      <c r="H149" t="str">
        <f t="shared" si="5"/>
        <v/>
      </c>
    </row>
    <row r="150" spans="1:8" x14ac:dyDescent="0.25">
      <c r="A150" s="1">
        <v>42920</v>
      </c>
      <c r="B150" t="s">
        <v>20</v>
      </c>
      <c r="C150" t="s">
        <v>60</v>
      </c>
      <c r="D150">
        <v>4260</v>
      </c>
      <c r="E150">
        <v>118</v>
      </c>
      <c r="F150">
        <v>222</v>
      </c>
      <c r="G150">
        <f t="shared" si="4"/>
        <v>1.8813559322033899</v>
      </c>
      <c r="H150" t="str">
        <f t="shared" si="5"/>
        <v/>
      </c>
    </row>
    <row r="151" spans="1:8" x14ac:dyDescent="0.25">
      <c r="A151" s="1">
        <v>42921</v>
      </c>
      <c r="B151" t="s">
        <v>40</v>
      </c>
      <c r="C151" t="s">
        <v>41</v>
      </c>
      <c r="D151">
        <v>2800</v>
      </c>
      <c r="E151">
        <v>98</v>
      </c>
      <c r="F151">
        <v>108</v>
      </c>
      <c r="G151">
        <f t="shared" si="4"/>
        <v>1.1020408163265305</v>
      </c>
      <c r="H151" t="str">
        <f t="shared" si="5"/>
        <v/>
      </c>
    </row>
    <row r="152" spans="1:8" x14ac:dyDescent="0.25">
      <c r="A152" s="1">
        <v>42922</v>
      </c>
      <c r="B152" t="s">
        <v>41</v>
      </c>
      <c r="C152" t="s">
        <v>28</v>
      </c>
      <c r="D152">
        <v>2637</v>
      </c>
      <c r="E152">
        <v>138</v>
      </c>
      <c r="F152">
        <v>179</v>
      </c>
      <c r="G152">
        <f t="shared" si="4"/>
        <v>1.2971014492753623</v>
      </c>
      <c r="H152" t="str">
        <f t="shared" si="5"/>
        <v/>
      </c>
    </row>
    <row r="153" spans="1:8" x14ac:dyDescent="0.25">
      <c r="A153" s="1">
        <v>42923</v>
      </c>
      <c r="B153" t="s">
        <v>28</v>
      </c>
      <c r="C153" t="s">
        <v>14</v>
      </c>
      <c r="D153">
        <v>5651</v>
      </c>
      <c r="E153">
        <v>116</v>
      </c>
      <c r="F153">
        <v>141</v>
      </c>
      <c r="G153">
        <f t="shared" si="4"/>
        <v>1.2155172413793103</v>
      </c>
      <c r="H153" t="str">
        <f t="shared" si="5"/>
        <v/>
      </c>
    </row>
    <row r="154" spans="1:8" x14ac:dyDescent="0.25">
      <c r="A154" s="1">
        <v>42924</v>
      </c>
      <c r="B154" t="s">
        <v>14</v>
      </c>
      <c r="C154" t="s">
        <v>48</v>
      </c>
      <c r="D154">
        <v>2511</v>
      </c>
      <c r="E154">
        <v>120</v>
      </c>
      <c r="F154">
        <v>438</v>
      </c>
      <c r="G154">
        <f t="shared" si="4"/>
        <v>3.65</v>
      </c>
      <c r="H154" t="str">
        <f t="shared" si="5"/>
        <v/>
      </c>
    </row>
    <row r="155" spans="1:8" x14ac:dyDescent="0.25">
      <c r="A155" s="1">
        <v>42926</v>
      </c>
      <c r="B155" t="s">
        <v>56</v>
      </c>
      <c r="C155" t="s">
        <v>30</v>
      </c>
      <c r="D155">
        <v>2448</v>
      </c>
      <c r="E155">
        <v>744</v>
      </c>
      <c r="F155">
        <v>2887</v>
      </c>
      <c r="G155">
        <f t="shared" si="4"/>
        <v>3.8803763440860215</v>
      </c>
      <c r="H155" t="str">
        <f t="shared" si="5"/>
        <v/>
      </c>
    </row>
    <row r="156" spans="1:8" x14ac:dyDescent="0.25">
      <c r="A156" s="1">
        <v>42927</v>
      </c>
      <c r="B156" t="s">
        <v>10</v>
      </c>
      <c r="C156" t="s">
        <v>71</v>
      </c>
      <c r="D156">
        <v>3414</v>
      </c>
      <c r="E156">
        <v>114</v>
      </c>
      <c r="F156">
        <v>301</v>
      </c>
      <c r="G156">
        <f t="shared" si="4"/>
        <v>2.6403508771929824</v>
      </c>
      <c r="H156" t="str">
        <f t="shared" si="5"/>
        <v/>
      </c>
    </row>
    <row r="157" spans="1:8" x14ac:dyDescent="0.25">
      <c r="A157" s="1">
        <v>42928</v>
      </c>
      <c r="B157" t="s">
        <v>70</v>
      </c>
      <c r="C157" t="s">
        <v>36</v>
      </c>
      <c r="D157">
        <v>4039</v>
      </c>
      <c r="E157">
        <v>204</v>
      </c>
      <c r="F157">
        <v>614</v>
      </c>
      <c r="G157">
        <f t="shared" si="4"/>
        <v>3.0098039215686274</v>
      </c>
      <c r="H157" t="str">
        <f t="shared" si="5"/>
        <v/>
      </c>
    </row>
    <row r="158" spans="1:8" x14ac:dyDescent="0.25">
      <c r="A158" s="1">
        <v>42929</v>
      </c>
      <c r="B158" t="s">
        <v>36</v>
      </c>
      <c r="C158" t="s">
        <v>70</v>
      </c>
      <c r="D158">
        <v>5862</v>
      </c>
      <c r="E158">
        <v>202</v>
      </c>
      <c r="F158">
        <v>518</v>
      </c>
      <c r="G158">
        <f t="shared" si="4"/>
        <v>2.5643564356435644</v>
      </c>
      <c r="H158" t="str">
        <f t="shared" si="5"/>
        <v/>
      </c>
    </row>
    <row r="159" spans="1:8" x14ac:dyDescent="0.25">
      <c r="A159" s="1">
        <v>42931</v>
      </c>
      <c r="B159" t="s">
        <v>44</v>
      </c>
      <c r="C159" t="s">
        <v>56</v>
      </c>
      <c r="D159">
        <v>3077</v>
      </c>
      <c r="E159">
        <v>148</v>
      </c>
      <c r="F159">
        <v>454</v>
      </c>
      <c r="G159">
        <f t="shared" si="4"/>
        <v>3.0675675675675675</v>
      </c>
      <c r="H159" t="str">
        <f t="shared" si="5"/>
        <v/>
      </c>
    </row>
    <row r="160" spans="1:8" x14ac:dyDescent="0.25">
      <c r="A160" s="1">
        <v>42932</v>
      </c>
      <c r="B160" t="s">
        <v>55</v>
      </c>
      <c r="C160" t="s">
        <v>26</v>
      </c>
      <c r="D160">
        <v>5569</v>
      </c>
      <c r="E160">
        <v>604</v>
      </c>
      <c r="F160">
        <v>1446</v>
      </c>
      <c r="G160">
        <f t="shared" si="4"/>
        <v>2.3940397350993377</v>
      </c>
      <c r="H160" t="str">
        <f t="shared" si="5"/>
        <v/>
      </c>
    </row>
    <row r="161" spans="1:8" x14ac:dyDescent="0.25">
      <c r="A161" s="1">
        <v>42933</v>
      </c>
      <c r="B161" t="s">
        <v>26</v>
      </c>
      <c r="C161" t="s">
        <v>48</v>
      </c>
      <c r="D161">
        <v>4513</v>
      </c>
      <c r="E161">
        <v>114</v>
      </c>
      <c r="F161">
        <v>125</v>
      </c>
      <c r="G161">
        <f t="shared" si="4"/>
        <v>1.0964912280701755</v>
      </c>
      <c r="H161" t="str">
        <f t="shared" si="5"/>
        <v/>
      </c>
    </row>
    <row r="162" spans="1:8" x14ac:dyDescent="0.25">
      <c r="A162" s="1">
        <v>42935</v>
      </c>
      <c r="B162" t="s">
        <v>18</v>
      </c>
      <c r="C162" t="s">
        <v>16</v>
      </c>
      <c r="D162">
        <v>2771</v>
      </c>
      <c r="E162">
        <v>239</v>
      </c>
      <c r="F162">
        <v>396</v>
      </c>
      <c r="G162">
        <f t="shared" si="4"/>
        <v>1.6569037656903767</v>
      </c>
      <c r="H162" t="str">
        <f t="shared" si="5"/>
        <v/>
      </c>
    </row>
    <row r="163" spans="1:8" x14ac:dyDescent="0.25">
      <c r="A163" s="1">
        <v>42936</v>
      </c>
      <c r="B163" t="s">
        <v>50</v>
      </c>
      <c r="C163" t="s">
        <v>42</v>
      </c>
      <c r="D163">
        <v>1079</v>
      </c>
      <c r="E163">
        <v>438</v>
      </c>
      <c r="F163">
        <v>899</v>
      </c>
      <c r="G163">
        <f t="shared" si="4"/>
        <v>2.0525114155251143</v>
      </c>
      <c r="H163" t="str">
        <f t="shared" si="5"/>
        <v/>
      </c>
    </row>
    <row r="164" spans="1:8" x14ac:dyDescent="0.25">
      <c r="A164" s="1">
        <v>42937</v>
      </c>
      <c r="B164" t="s">
        <v>42</v>
      </c>
      <c r="C164" t="s">
        <v>32</v>
      </c>
      <c r="D164">
        <v>3126</v>
      </c>
      <c r="E164">
        <v>124</v>
      </c>
      <c r="F164">
        <v>317</v>
      </c>
      <c r="G164">
        <f t="shared" si="4"/>
        <v>2.556451612903226</v>
      </c>
      <c r="H164" t="str">
        <f t="shared" si="5"/>
        <v/>
      </c>
    </row>
    <row r="165" spans="1:8" x14ac:dyDescent="0.25">
      <c r="A165" s="1">
        <v>42938</v>
      </c>
      <c r="B165" t="s">
        <v>32</v>
      </c>
      <c r="C165" t="s">
        <v>60</v>
      </c>
      <c r="D165">
        <v>3650</v>
      </c>
      <c r="E165">
        <v>137</v>
      </c>
      <c r="F165">
        <v>308</v>
      </c>
      <c r="G165">
        <f t="shared" si="4"/>
        <v>2.2481751824817517</v>
      </c>
      <c r="H165" t="str">
        <f t="shared" si="5"/>
        <v/>
      </c>
    </row>
    <row r="166" spans="1:8" x14ac:dyDescent="0.25">
      <c r="A166" s="1">
        <v>42939</v>
      </c>
      <c r="B166" t="s">
        <v>55</v>
      </c>
      <c r="C166" t="s">
        <v>68</v>
      </c>
      <c r="D166">
        <v>5721</v>
      </c>
      <c r="E166">
        <v>122</v>
      </c>
      <c r="F166">
        <v>280</v>
      </c>
      <c r="G166">
        <f t="shared" si="4"/>
        <v>2.2950819672131146</v>
      </c>
      <c r="H166" t="str">
        <f t="shared" si="5"/>
        <v/>
      </c>
    </row>
    <row r="167" spans="1:8" x14ac:dyDescent="0.25">
      <c r="A167" s="1">
        <v>42940</v>
      </c>
      <c r="B167" t="s">
        <v>68</v>
      </c>
      <c r="C167" t="s">
        <v>19</v>
      </c>
      <c r="D167">
        <v>5759</v>
      </c>
      <c r="E167">
        <v>175</v>
      </c>
      <c r="F167">
        <v>297</v>
      </c>
      <c r="G167">
        <f t="shared" si="4"/>
        <v>1.6971428571428571</v>
      </c>
      <c r="H167" t="str">
        <f t="shared" si="5"/>
        <v/>
      </c>
    </row>
    <row r="168" spans="1:8" x14ac:dyDescent="0.25">
      <c r="A168" s="1">
        <v>42941</v>
      </c>
      <c r="B168" t="s">
        <v>19</v>
      </c>
      <c r="C168" t="s">
        <v>59</v>
      </c>
      <c r="D168">
        <v>2871</v>
      </c>
      <c r="E168">
        <v>113</v>
      </c>
      <c r="F168">
        <v>110</v>
      </c>
      <c r="G168">
        <f t="shared" si="4"/>
        <v>0.97345132743362828</v>
      </c>
      <c r="H168" t="str">
        <f t="shared" si="5"/>
        <v/>
      </c>
    </row>
    <row r="169" spans="1:8" x14ac:dyDescent="0.25">
      <c r="A169" s="1">
        <v>42944</v>
      </c>
      <c r="B169" t="s">
        <v>8</v>
      </c>
      <c r="C169" t="s">
        <v>9</v>
      </c>
      <c r="D169">
        <v>3571</v>
      </c>
      <c r="E169">
        <v>162</v>
      </c>
      <c r="F169">
        <v>292</v>
      </c>
      <c r="G169">
        <f t="shared" si="4"/>
        <v>1.8024691358024691</v>
      </c>
      <c r="H169" t="str">
        <f t="shared" si="5"/>
        <v/>
      </c>
    </row>
    <row r="170" spans="1:8" x14ac:dyDescent="0.25">
      <c r="A170" s="1">
        <v>42945</v>
      </c>
      <c r="B170" t="s">
        <v>9</v>
      </c>
      <c r="C170" t="s">
        <v>59</v>
      </c>
      <c r="D170">
        <v>3061</v>
      </c>
      <c r="E170">
        <v>107</v>
      </c>
      <c r="F170">
        <v>258</v>
      </c>
      <c r="G170">
        <f t="shared" si="4"/>
        <v>2.4112149532710281</v>
      </c>
      <c r="H170" t="str">
        <f t="shared" si="5"/>
        <v/>
      </c>
    </row>
    <row r="171" spans="1:8" x14ac:dyDescent="0.25">
      <c r="A171" s="1">
        <v>42946</v>
      </c>
      <c r="B171" t="s">
        <v>59</v>
      </c>
      <c r="C171" t="s">
        <v>65</v>
      </c>
      <c r="D171">
        <v>5336</v>
      </c>
      <c r="E171">
        <v>107</v>
      </c>
      <c r="F171">
        <v>171</v>
      </c>
      <c r="G171">
        <f t="shared" si="4"/>
        <v>1.5981308411214954</v>
      </c>
      <c r="H171" t="str">
        <f t="shared" si="5"/>
        <v/>
      </c>
    </row>
    <row r="172" spans="1:8" x14ac:dyDescent="0.25">
      <c r="A172" s="1">
        <v>42947</v>
      </c>
      <c r="B172" t="s">
        <v>29</v>
      </c>
      <c r="C172" t="s">
        <v>27</v>
      </c>
      <c r="D172">
        <v>5658</v>
      </c>
      <c r="E172">
        <v>249</v>
      </c>
      <c r="F172">
        <v>967</v>
      </c>
      <c r="G172">
        <f t="shared" si="4"/>
        <v>3.8835341365461846</v>
      </c>
      <c r="H172" t="str">
        <f t="shared" si="5"/>
        <v/>
      </c>
    </row>
    <row r="173" spans="1:8" x14ac:dyDescent="0.25">
      <c r="A173" s="1">
        <v>42948</v>
      </c>
      <c r="B173" t="s">
        <v>27</v>
      </c>
      <c r="C173" t="s">
        <v>25</v>
      </c>
      <c r="D173">
        <v>2697</v>
      </c>
      <c r="E173">
        <v>209</v>
      </c>
      <c r="F173">
        <v>699</v>
      </c>
      <c r="G173">
        <f t="shared" si="4"/>
        <v>3.3444976076555024</v>
      </c>
      <c r="H173" t="str">
        <f t="shared" si="5"/>
        <v/>
      </c>
    </row>
    <row r="174" spans="1:8" x14ac:dyDescent="0.25">
      <c r="A174" s="1">
        <v>42949</v>
      </c>
      <c r="B174" t="s">
        <v>25</v>
      </c>
      <c r="C174" t="s">
        <v>48</v>
      </c>
      <c r="D174">
        <v>5368</v>
      </c>
      <c r="E174">
        <v>122</v>
      </c>
      <c r="F174">
        <v>491</v>
      </c>
      <c r="G174">
        <f t="shared" si="4"/>
        <v>4.0245901639344259</v>
      </c>
      <c r="H174" t="str">
        <f t="shared" si="5"/>
        <v/>
      </c>
    </row>
    <row r="175" spans="1:8" x14ac:dyDescent="0.25">
      <c r="A175" s="1">
        <v>42950</v>
      </c>
      <c r="B175" t="s">
        <v>48</v>
      </c>
      <c r="C175" t="s">
        <v>14</v>
      </c>
      <c r="D175">
        <v>2706</v>
      </c>
      <c r="E175">
        <v>137</v>
      </c>
      <c r="F175">
        <v>292</v>
      </c>
      <c r="G175">
        <f t="shared" si="4"/>
        <v>2.1313868613138687</v>
      </c>
      <c r="H175" t="str">
        <f t="shared" si="5"/>
        <v/>
      </c>
    </row>
    <row r="176" spans="1:8" x14ac:dyDescent="0.25">
      <c r="A176" s="1">
        <v>42953</v>
      </c>
      <c r="B176" t="s">
        <v>67</v>
      </c>
      <c r="C176" t="s">
        <v>48</v>
      </c>
      <c r="D176">
        <v>3456</v>
      </c>
      <c r="E176">
        <v>542</v>
      </c>
      <c r="F176">
        <v>1891</v>
      </c>
      <c r="G176">
        <f t="shared" si="4"/>
        <v>3.4889298892988929</v>
      </c>
      <c r="H176" t="str">
        <f t="shared" si="5"/>
        <v/>
      </c>
    </row>
    <row r="177" spans="1:8" x14ac:dyDescent="0.25">
      <c r="A177" s="1">
        <v>42954</v>
      </c>
      <c r="B177" t="s">
        <v>48</v>
      </c>
      <c r="C177" t="s">
        <v>14</v>
      </c>
      <c r="D177">
        <v>1914</v>
      </c>
      <c r="E177">
        <v>138</v>
      </c>
      <c r="F177">
        <v>405</v>
      </c>
      <c r="G177">
        <f t="shared" si="4"/>
        <v>2.9347826086956523</v>
      </c>
      <c r="H177" t="str">
        <f t="shared" si="5"/>
        <v/>
      </c>
    </row>
    <row r="178" spans="1:8" x14ac:dyDescent="0.25">
      <c r="A178" s="1">
        <v>42955</v>
      </c>
      <c r="B178" t="s">
        <v>14</v>
      </c>
      <c r="C178" t="s">
        <v>21</v>
      </c>
      <c r="D178">
        <v>1134</v>
      </c>
      <c r="E178">
        <v>95</v>
      </c>
      <c r="F178">
        <v>115</v>
      </c>
      <c r="G178">
        <f t="shared" si="4"/>
        <v>1.2105263157894737</v>
      </c>
      <c r="H178" t="str">
        <f t="shared" si="5"/>
        <v/>
      </c>
    </row>
    <row r="179" spans="1:8" x14ac:dyDescent="0.25">
      <c r="A179" s="1">
        <v>42956</v>
      </c>
      <c r="B179" t="s">
        <v>21</v>
      </c>
      <c r="C179" t="s">
        <v>25</v>
      </c>
      <c r="D179">
        <v>2935</v>
      </c>
      <c r="E179">
        <v>160</v>
      </c>
      <c r="F179">
        <v>275</v>
      </c>
      <c r="G179">
        <f t="shared" si="4"/>
        <v>1.71875</v>
      </c>
      <c r="H179" t="str">
        <f t="shared" si="5"/>
        <v/>
      </c>
    </row>
    <row r="180" spans="1:8" x14ac:dyDescent="0.25">
      <c r="A180" s="1">
        <v>42957</v>
      </c>
      <c r="B180" t="s">
        <v>25</v>
      </c>
      <c r="C180" t="s">
        <v>15</v>
      </c>
      <c r="D180">
        <v>4379</v>
      </c>
      <c r="E180">
        <v>93</v>
      </c>
      <c r="F180">
        <v>147</v>
      </c>
      <c r="G180">
        <f t="shared" si="4"/>
        <v>1.5806451612903225</v>
      </c>
      <c r="H180" t="str">
        <f t="shared" si="5"/>
        <v/>
      </c>
    </row>
    <row r="181" spans="1:8" x14ac:dyDescent="0.25">
      <c r="A181" s="1">
        <v>42959</v>
      </c>
      <c r="B181" t="s">
        <v>37</v>
      </c>
      <c r="C181" t="s">
        <v>35</v>
      </c>
      <c r="D181">
        <v>1328</v>
      </c>
      <c r="E181">
        <v>148</v>
      </c>
      <c r="F181">
        <v>516</v>
      </c>
      <c r="G181">
        <f t="shared" si="4"/>
        <v>3.4864864864864864</v>
      </c>
      <c r="H181" t="str">
        <f t="shared" si="5"/>
        <v/>
      </c>
    </row>
    <row r="182" spans="1:8" x14ac:dyDescent="0.25">
      <c r="A182" s="1">
        <v>42960</v>
      </c>
      <c r="B182" t="s">
        <v>70</v>
      </c>
      <c r="C182" t="s">
        <v>30</v>
      </c>
      <c r="D182">
        <v>4133</v>
      </c>
      <c r="E182">
        <v>130</v>
      </c>
      <c r="F182">
        <v>398</v>
      </c>
      <c r="G182">
        <f t="shared" si="4"/>
        <v>3.0615384615384613</v>
      </c>
      <c r="H182" t="str">
        <f t="shared" si="5"/>
        <v/>
      </c>
    </row>
    <row r="183" spans="1:8" x14ac:dyDescent="0.25">
      <c r="A183" s="1">
        <v>42962</v>
      </c>
      <c r="B183" t="s">
        <v>47</v>
      </c>
      <c r="C183" t="s">
        <v>20</v>
      </c>
      <c r="D183">
        <v>5370</v>
      </c>
      <c r="E183">
        <v>266</v>
      </c>
      <c r="F183">
        <v>699</v>
      </c>
      <c r="G183">
        <f t="shared" si="4"/>
        <v>2.6278195488721803</v>
      </c>
      <c r="H183" t="str">
        <f t="shared" si="5"/>
        <v/>
      </c>
    </row>
    <row r="184" spans="1:8" x14ac:dyDescent="0.25">
      <c r="A184" s="1">
        <v>42963</v>
      </c>
      <c r="B184" t="s">
        <v>20</v>
      </c>
      <c r="C184" t="s">
        <v>8</v>
      </c>
      <c r="D184">
        <v>4663</v>
      </c>
      <c r="E184">
        <v>122</v>
      </c>
      <c r="F184">
        <v>256</v>
      </c>
      <c r="G184">
        <f t="shared" si="4"/>
        <v>2.098360655737705</v>
      </c>
      <c r="H184" t="str">
        <f t="shared" si="5"/>
        <v/>
      </c>
    </row>
    <row r="185" spans="1:8" x14ac:dyDescent="0.25">
      <c r="A185" s="1">
        <v>42964</v>
      </c>
      <c r="B185" t="s">
        <v>8</v>
      </c>
      <c r="C185" t="s">
        <v>40</v>
      </c>
      <c r="D185">
        <v>5151</v>
      </c>
      <c r="E185">
        <v>151</v>
      </c>
      <c r="F185">
        <v>195</v>
      </c>
      <c r="G185">
        <f t="shared" si="4"/>
        <v>1.2913907284768211</v>
      </c>
      <c r="H185" t="str">
        <f t="shared" si="5"/>
        <v/>
      </c>
    </row>
    <row r="186" spans="1:8" x14ac:dyDescent="0.25">
      <c r="A186" s="1">
        <v>42965</v>
      </c>
      <c r="B186" t="s">
        <v>40</v>
      </c>
      <c r="C186" t="s">
        <v>20</v>
      </c>
      <c r="D186">
        <v>3035</v>
      </c>
      <c r="E186">
        <v>118</v>
      </c>
      <c r="F186">
        <v>207</v>
      </c>
      <c r="G186">
        <f t="shared" si="4"/>
        <v>1.7542372881355932</v>
      </c>
      <c r="H186" t="str">
        <f t="shared" si="5"/>
        <v/>
      </c>
    </row>
    <row r="187" spans="1:8" x14ac:dyDescent="0.25">
      <c r="A187" s="1">
        <v>42967</v>
      </c>
      <c r="B187" t="s">
        <v>72</v>
      </c>
      <c r="C187" t="s">
        <v>11</v>
      </c>
      <c r="D187">
        <v>1090</v>
      </c>
      <c r="E187">
        <v>200</v>
      </c>
      <c r="F187">
        <v>585</v>
      </c>
      <c r="G187">
        <f t="shared" si="4"/>
        <v>2.9249999999999998</v>
      </c>
      <c r="H187" t="str">
        <f t="shared" si="5"/>
        <v/>
      </c>
    </row>
    <row r="188" spans="1:8" x14ac:dyDescent="0.25">
      <c r="A188" s="1">
        <v>42968</v>
      </c>
      <c r="B188" t="s">
        <v>11</v>
      </c>
      <c r="C188" t="s">
        <v>13</v>
      </c>
      <c r="D188">
        <v>5746</v>
      </c>
      <c r="E188">
        <v>145</v>
      </c>
      <c r="F188">
        <v>214</v>
      </c>
      <c r="G188">
        <f t="shared" si="4"/>
        <v>1.4758620689655173</v>
      </c>
      <c r="H188" t="str">
        <f t="shared" si="5"/>
        <v/>
      </c>
    </row>
    <row r="189" spans="1:8" x14ac:dyDescent="0.25">
      <c r="A189" s="1">
        <v>42970</v>
      </c>
      <c r="B189" t="s">
        <v>46</v>
      </c>
      <c r="C189" t="s">
        <v>56</v>
      </c>
      <c r="D189">
        <v>3200</v>
      </c>
      <c r="E189">
        <v>138</v>
      </c>
      <c r="F189">
        <v>417</v>
      </c>
      <c r="G189">
        <f t="shared" si="4"/>
        <v>3.0217391304347827</v>
      </c>
      <c r="H189" t="str">
        <f t="shared" si="5"/>
        <v/>
      </c>
    </row>
    <row r="190" spans="1:8" x14ac:dyDescent="0.25">
      <c r="A190" s="1">
        <v>42971</v>
      </c>
      <c r="B190" t="s">
        <v>56</v>
      </c>
      <c r="C190" t="s">
        <v>50</v>
      </c>
      <c r="D190">
        <v>3586</v>
      </c>
      <c r="E190">
        <v>155</v>
      </c>
      <c r="F190">
        <v>290</v>
      </c>
      <c r="G190">
        <f t="shared" si="4"/>
        <v>1.8709677419354838</v>
      </c>
      <c r="H190" t="str">
        <f t="shared" si="5"/>
        <v/>
      </c>
    </row>
    <row r="191" spans="1:8" x14ac:dyDescent="0.25">
      <c r="A191" s="1">
        <v>42972</v>
      </c>
      <c r="B191" t="s">
        <v>50</v>
      </c>
      <c r="C191" t="s">
        <v>17</v>
      </c>
      <c r="D191">
        <v>3460</v>
      </c>
      <c r="E191">
        <v>145</v>
      </c>
      <c r="F191">
        <v>162</v>
      </c>
      <c r="G191">
        <f t="shared" si="4"/>
        <v>1.1172413793103448</v>
      </c>
      <c r="H191" t="str">
        <f t="shared" si="5"/>
        <v/>
      </c>
    </row>
    <row r="192" spans="1:8" x14ac:dyDescent="0.25">
      <c r="A192" s="1">
        <v>42973</v>
      </c>
      <c r="B192" t="s">
        <v>68</v>
      </c>
      <c r="C192" t="s">
        <v>19</v>
      </c>
      <c r="D192">
        <v>1347</v>
      </c>
      <c r="E192">
        <v>173</v>
      </c>
      <c r="F192">
        <v>576</v>
      </c>
      <c r="G192">
        <f t="shared" si="4"/>
        <v>3.3294797687861273</v>
      </c>
      <c r="H192" t="str">
        <f t="shared" si="5"/>
        <v/>
      </c>
    </row>
    <row r="193" spans="1:8" x14ac:dyDescent="0.25">
      <c r="A193" s="1">
        <v>42974</v>
      </c>
      <c r="B193" t="s">
        <v>19</v>
      </c>
      <c r="C193" t="s">
        <v>60</v>
      </c>
      <c r="D193">
        <v>2421</v>
      </c>
      <c r="E193">
        <v>148</v>
      </c>
      <c r="F193">
        <v>552</v>
      </c>
      <c r="G193">
        <f t="shared" si="4"/>
        <v>3.7297297297297298</v>
      </c>
      <c r="H193" t="str">
        <f t="shared" si="5"/>
        <v/>
      </c>
    </row>
    <row r="194" spans="1:8" x14ac:dyDescent="0.25">
      <c r="A194" s="1">
        <v>42975</v>
      </c>
      <c r="B194" t="s">
        <v>60</v>
      </c>
      <c r="C194" t="s">
        <v>47</v>
      </c>
      <c r="D194">
        <v>2939</v>
      </c>
      <c r="E194">
        <v>125</v>
      </c>
      <c r="F194">
        <v>307</v>
      </c>
      <c r="G194">
        <f t="shared" si="4"/>
        <v>2.456</v>
      </c>
      <c r="H194" t="str">
        <f t="shared" si="5"/>
        <v/>
      </c>
    </row>
    <row r="195" spans="1:8" x14ac:dyDescent="0.25">
      <c r="A195" s="1">
        <v>42976</v>
      </c>
      <c r="B195" t="s">
        <v>47</v>
      </c>
      <c r="C195" t="s">
        <v>17</v>
      </c>
      <c r="D195">
        <v>4921</v>
      </c>
      <c r="E195">
        <v>124</v>
      </c>
      <c r="F195">
        <v>472</v>
      </c>
      <c r="G195">
        <f t="shared" ref="G195:G258" si="6">F195/E195</f>
        <v>3.806451612903226</v>
      </c>
      <c r="H195" t="str">
        <f t="shared" ref="H195:H258" si="7">IF(G195=$K$2,"xxxxxxxxxxxxxxxxxxxxx","")</f>
        <v/>
      </c>
    </row>
    <row r="196" spans="1:8" x14ac:dyDescent="0.25">
      <c r="A196" s="1">
        <v>42977</v>
      </c>
      <c r="B196" t="s">
        <v>17</v>
      </c>
      <c r="C196" t="s">
        <v>38</v>
      </c>
      <c r="D196">
        <v>3580</v>
      </c>
      <c r="E196">
        <v>173</v>
      </c>
      <c r="F196">
        <v>382</v>
      </c>
      <c r="G196">
        <f t="shared" si="6"/>
        <v>2.2080924855491331</v>
      </c>
      <c r="H196" t="str">
        <f t="shared" si="7"/>
        <v/>
      </c>
    </row>
    <row r="197" spans="1:8" x14ac:dyDescent="0.25">
      <c r="A197" s="1">
        <v>42978</v>
      </c>
      <c r="B197" t="s">
        <v>38</v>
      </c>
      <c r="C197" t="s">
        <v>73</v>
      </c>
      <c r="D197">
        <v>5215</v>
      </c>
      <c r="E197">
        <v>158</v>
      </c>
      <c r="F197">
        <v>375</v>
      </c>
      <c r="G197">
        <f t="shared" si="6"/>
        <v>2.3734177215189876</v>
      </c>
      <c r="H197" t="str">
        <f t="shared" si="7"/>
        <v/>
      </c>
    </row>
    <row r="198" spans="1:8" x14ac:dyDescent="0.25">
      <c r="A198" s="1">
        <v>42979</v>
      </c>
      <c r="B198" t="s">
        <v>73</v>
      </c>
      <c r="C198" t="s">
        <v>51</v>
      </c>
      <c r="D198">
        <v>1369</v>
      </c>
      <c r="E198">
        <v>170</v>
      </c>
      <c r="F198">
        <v>276</v>
      </c>
      <c r="G198">
        <f t="shared" si="6"/>
        <v>1.6235294117647059</v>
      </c>
      <c r="H198" t="str">
        <f t="shared" si="7"/>
        <v/>
      </c>
    </row>
    <row r="199" spans="1:8" x14ac:dyDescent="0.25">
      <c r="A199" s="1">
        <v>42980</v>
      </c>
      <c r="B199" t="s">
        <v>51</v>
      </c>
      <c r="C199" t="s">
        <v>67</v>
      </c>
      <c r="D199">
        <v>1655</v>
      </c>
      <c r="E199">
        <v>180</v>
      </c>
      <c r="F199">
        <v>332</v>
      </c>
      <c r="G199">
        <f t="shared" si="6"/>
        <v>1.8444444444444446</v>
      </c>
      <c r="H199" t="str">
        <f t="shared" si="7"/>
        <v/>
      </c>
    </row>
    <row r="200" spans="1:8" x14ac:dyDescent="0.25">
      <c r="A200" s="1">
        <v>42981</v>
      </c>
      <c r="B200" t="s">
        <v>48</v>
      </c>
      <c r="C200" t="s">
        <v>61</v>
      </c>
      <c r="D200">
        <v>2192</v>
      </c>
      <c r="E200">
        <v>114</v>
      </c>
      <c r="F200">
        <v>137</v>
      </c>
      <c r="G200">
        <f t="shared" si="6"/>
        <v>1.2017543859649122</v>
      </c>
      <c r="H200" t="str">
        <f t="shared" si="7"/>
        <v/>
      </c>
    </row>
    <row r="201" spans="1:8" x14ac:dyDescent="0.25">
      <c r="A201" s="1">
        <v>42982</v>
      </c>
      <c r="B201" t="s">
        <v>12</v>
      </c>
      <c r="C201" t="s">
        <v>59</v>
      </c>
      <c r="D201">
        <v>5919</v>
      </c>
      <c r="E201">
        <v>103</v>
      </c>
      <c r="F201">
        <v>279</v>
      </c>
      <c r="G201">
        <f t="shared" si="6"/>
        <v>2.70873786407767</v>
      </c>
      <c r="H201" t="str">
        <f t="shared" si="7"/>
        <v/>
      </c>
    </row>
    <row r="202" spans="1:8" x14ac:dyDescent="0.25">
      <c r="A202" s="1">
        <v>42983</v>
      </c>
      <c r="B202" t="s">
        <v>67</v>
      </c>
      <c r="C202" t="s">
        <v>17</v>
      </c>
      <c r="D202">
        <v>5986</v>
      </c>
      <c r="E202">
        <v>222</v>
      </c>
      <c r="F202">
        <v>501</v>
      </c>
      <c r="G202">
        <f t="shared" si="6"/>
        <v>2.2567567567567566</v>
      </c>
      <c r="H202" t="str">
        <f t="shared" si="7"/>
        <v/>
      </c>
    </row>
    <row r="203" spans="1:8" x14ac:dyDescent="0.25">
      <c r="A203" s="1">
        <v>42984</v>
      </c>
      <c r="B203" t="s">
        <v>17</v>
      </c>
      <c r="C203" t="s">
        <v>39</v>
      </c>
      <c r="D203">
        <v>2750</v>
      </c>
      <c r="E203">
        <v>144</v>
      </c>
      <c r="F203">
        <v>422</v>
      </c>
      <c r="G203">
        <f t="shared" si="6"/>
        <v>2.9305555555555554</v>
      </c>
      <c r="H203" t="str">
        <f t="shared" si="7"/>
        <v/>
      </c>
    </row>
    <row r="204" spans="1:8" x14ac:dyDescent="0.25">
      <c r="A204" s="1">
        <v>42985</v>
      </c>
      <c r="B204" t="s">
        <v>39</v>
      </c>
      <c r="C204" t="s">
        <v>50</v>
      </c>
      <c r="D204">
        <v>1381</v>
      </c>
      <c r="E204">
        <v>192</v>
      </c>
      <c r="F204">
        <v>556</v>
      </c>
      <c r="G204">
        <f t="shared" si="6"/>
        <v>2.8958333333333335</v>
      </c>
      <c r="H204" t="str">
        <f t="shared" si="7"/>
        <v/>
      </c>
    </row>
    <row r="205" spans="1:8" x14ac:dyDescent="0.25">
      <c r="A205" s="1">
        <v>42986</v>
      </c>
      <c r="B205" t="s">
        <v>60</v>
      </c>
      <c r="C205" t="s">
        <v>59</v>
      </c>
      <c r="D205">
        <v>2219</v>
      </c>
      <c r="E205">
        <v>136</v>
      </c>
      <c r="F205">
        <v>162</v>
      </c>
      <c r="G205">
        <f t="shared" si="6"/>
        <v>1.1911764705882353</v>
      </c>
      <c r="H205" t="str">
        <f t="shared" si="7"/>
        <v/>
      </c>
    </row>
    <row r="206" spans="1:8" x14ac:dyDescent="0.25">
      <c r="A206" s="1">
        <v>42987</v>
      </c>
      <c r="B206" t="s">
        <v>59</v>
      </c>
      <c r="C206" t="s">
        <v>65</v>
      </c>
      <c r="D206">
        <v>5041</v>
      </c>
      <c r="E206">
        <v>101</v>
      </c>
      <c r="F206">
        <v>319</v>
      </c>
      <c r="G206">
        <f t="shared" si="6"/>
        <v>3.1584158415841586</v>
      </c>
      <c r="H206" t="str">
        <f t="shared" si="7"/>
        <v/>
      </c>
    </row>
    <row r="207" spans="1:8" x14ac:dyDescent="0.25">
      <c r="A207" s="1">
        <v>42989</v>
      </c>
      <c r="B207" t="s">
        <v>31</v>
      </c>
      <c r="C207" t="s">
        <v>23</v>
      </c>
      <c r="D207">
        <v>4432</v>
      </c>
      <c r="E207">
        <v>159</v>
      </c>
      <c r="F207">
        <v>585</v>
      </c>
      <c r="G207">
        <f t="shared" si="6"/>
        <v>3.6792452830188678</v>
      </c>
      <c r="H207" t="str">
        <f t="shared" si="7"/>
        <v/>
      </c>
    </row>
    <row r="208" spans="1:8" x14ac:dyDescent="0.25">
      <c r="A208" s="1">
        <v>42990</v>
      </c>
      <c r="B208" t="s">
        <v>6</v>
      </c>
      <c r="C208" t="s">
        <v>12</v>
      </c>
      <c r="D208">
        <v>2761</v>
      </c>
      <c r="E208">
        <v>129</v>
      </c>
      <c r="F208">
        <v>288</v>
      </c>
      <c r="G208">
        <f t="shared" si="6"/>
        <v>2.2325581395348837</v>
      </c>
      <c r="H208" t="str">
        <f t="shared" si="7"/>
        <v/>
      </c>
    </row>
    <row r="209" spans="1:8" x14ac:dyDescent="0.25">
      <c r="A209" s="1">
        <v>42991</v>
      </c>
      <c r="B209" t="s">
        <v>12</v>
      </c>
      <c r="C209" t="s">
        <v>7</v>
      </c>
      <c r="D209">
        <v>2935</v>
      </c>
      <c r="E209">
        <v>162</v>
      </c>
      <c r="F209">
        <v>572</v>
      </c>
      <c r="G209">
        <f t="shared" si="6"/>
        <v>3.5308641975308643</v>
      </c>
      <c r="H209" t="str">
        <f t="shared" si="7"/>
        <v/>
      </c>
    </row>
    <row r="210" spans="1:8" x14ac:dyDescent="0.25">
      <c r="A210" s="1">
        <v>42992</v>
      </c>
      <c r="B210" t="s">
        <v>36</v>
      </c>
      <c r="C210" t="s">
        <v>40</v>
      </c>
      <c r="D210">
        <v>3565</v>
      </c>
      <c r="E210">
        <v>176</v>
      </c>
      <c r="F210">
        <v>224</v>
      </c>
      <c r="G210">
        <f t="shared" si="6"/>
        <v>1.2727272727272727</v>
      </c>
      <c r="H210" t="str">
        <f t="shared" si="7"/>
        <v/>
      </c>
    </row>
    <row r="211" spans="1:8" x14ac:dyDescent="0.25">
      <c r="A211" s="1">
        <v>42993</v>
      </c>
      <c r="B211" t="s">
        <v>8</v>
      </c>
      <c r="C211" t="s">
        <v>38</v>
      </c>
      <c r="D211">
        <v>3096</v>
      </c>
      <c r="E211">
        <v>353</v>
      </c>
      <c r="F211">
        <v>993</v>
      </c>
      <c r="G211">
        <f t="shared" si="6"/>
        <v>2.8130311614730878</v>
      </c>
      <c r="H211" t="str">
        <f t="shared" si="7"/>
        <v/>
      </c>
    </row>
    <row r="212" spans="1:8" x14ac:dyDescent="0.25">
      <c r="A212" s="1">
        <v>42995</v>
      </c>
      <c r="B212" t="s">
        <v>50</v>
      </c>
      <c r="C212" t="s">
        <v>11</v>
      </c>
      <c r="D212">
        <v>3325</v>
      </c>
      <c r="E212">
        <v>517</v>
      </c>
      <c r="F212">
        <v>1107</v>
      </c>
      <c r="G212">
        <f t="shared" si="6"/>
        <v>2.1411992263056092</v>
      </c>
      <c r="H212" t="str">
        <f t="shared" si="7"/>
        <v/>
      </c>
    </row>
    <row r="213" spans="1:8" x14ac:dyDescent="0.25">
      <c r="A213" s="1">
        <v>42997</v>
      </c>
      <c r="B213" t="s">
        <v>15</v>
      </c>
      <c r="C213" t="s">
        <v>59</v>
      </c>
      <c r="D213">
        <v>2563</v>
      </c>
      <c r="E213">
        <v>480</v>
      </c>
      <c r="F213">
        <v>1849</v>
      </c>
      <c r="G213">
        <f t="shared" si="6"/>
        <v>3.8520833333333333</v>
      </c>
      <c r="H213" t="str">
        <f t="shared" si="7"/>
        <v/>
      </c>
    </row>
    <row r="214" spans="1:8" x14ac:dyDescent="0.25">
      <c r="A214" s="1">
        <v>42998</v>
      </c>
      <c r="B214" t="s">
        <v>59</v>
      </c>
      <c r="C214" t="s">
        <v>19</v>
      </c>
      <c r="D214">
        <v>2914</v>
      </c>
      <c r="E214">
        <v>104</v>
      </c>
      <c r="F214">
        <v>275</v>
      </c>
      <c r="G214">
        <f t="shared" si="6"/>
        <v>2.6442307692307692</v>
      </c>
      <c r="H214" t="str">
        <f t="shared" si="7"/>
        <v/>
      </c>
    </row>
    <row r="215" spans="1:8" x14ac:dyDescent="0.25">
      <c r="A215" s="1">
        <v>42999</v>
      </c>
      <c r="B215" t="s">
        <v>19</v>
      </c>
      <c r="C215" t="s">
        <v>29</v>
      </c>
      <c r="D215">
        <v>2832</v>
      </c>
      <c r="E215">
        <v>106</v>
      </c>
      <c r="F215">
        <v>396</v>
      </c>
      <c r="G215">
        <f t="shared" si="6"/>
        <v>3.7358490566037736</v>
      </c>
      <c r="H215" t="str">
        <f t="shared" si="7"/>
        <v/>
      </c>
    </row>
    <row r="216" spans="1:8" x14ac:dyDescent="0.25">
      <c r="A216" s="1">
        <v>43000</v>
      </c>
      <c r="B216" t="s">
        <v>59</v>
      </c>
      <c r="C216" t="s">
        <v>43</v>
      </c>
      <c r="D216">
        <v>5257</v>
      </c>
      <c r="E216">
        <v>407</v>
      </c>
      <c r="F216">
        <v>551</v>
      </c>
      <c r="G216">
        <f t="shared" si="6"/>
        <v>1.3538083538083538</v>
      </c>
      <c r="H216" t="str">
        <f t="shared" si="7"/>
        <v/>
      </c>
    </row>
    <row r="217" spans="1:8" x14ac:dyDescent="0.25">
      <c r="A217" s="1">
        <v>43001</v>
      </c>
      <c r="B217" t="s">
        <v>57</v>
      </c>
      <c r="C217" t="s">
        <v>43</v>
      </c>
      <c r="D217">
        <v>5983</v>
      </c>
      <c r="E217">
        <v>227</v>
      </c>
      <c r="F217">
        <v>832</v>
      </c>
      <c r="G217">
        <f t="shared" si="6"/>
        <v>3.6651982378854626</v>
      </c>
      <c r="H217" t="str">
        <f t="shared" si="7"/>
        <v/>
      </c>
    </row>
    <row r="218" spans="1:8" x14ac:dyDescent="0.25">
      <c r="A218" s="1">
        <v>43002</v>
      </c>
      <c r="B218" t="s">
        <v>43</v>
      </c>
      <c r="C218" t="s">
        <v>64</v>
      </c>
      <c r="D218">
        <v>4378</v>
      </c>
      <c r="E218">
        <v>187</v>
      </c>
      <c r="F218">
        <v>653</v>
      </c>
      <c r="G218">
        <f t="shared" si="6"/>
        <v>3.4919786096256686</v>
      </c>
      <c r="H218" t="str">
        <f t="shared" si="7"/>
        <v/>
      </c>
    </row>
    <row r="219" spans="1:8" x14ac:dyDescent="0.25">
      <c r="A219" s="1">
        <v>43003</v>
      </c>
      <c r="B219" t="s">
        <v>64</v>
      </c>
      <c r="C219" t="s">
        <v>25</v>
      </c>
      <c r="D219">
        <v>3108</v>
      </c>
      <c r="E219">
        <v>114</v>
      </c>
      <c r="F219">
        <v>174</v>
      </c>
      <c r="G219">
        <f t="shared" si="6"/>
        <v>1.5263157894736843</v>
      </c>
      <c r="H219" t="str">
        <f t="shared" si="7"/>
        <v/>
      </c>
    </row>
    <row r="220" spans="1:8" x14ac:dyDescent="0.25">
      <c r="A220" s="1">
        <v>43004</v>
      </c>
      <c r="B220" t="s">
        <v>25</v>
      </c>
      <c r="C220" t="s">
        <v>52</v>
      </c>
      <c r="D220">
        <v>2133</v>
      </c>
      <c r="E220">
        <v>166</v>
      </c>
      <c r="F220">
        <v>513</v>
      </c>
      <c r="G220">
        <f t="shared" si="6"/>
        <v>3.0903614457831323</v>
      </c>
      <c r="H220" t="str">
        <f t="shared" si="7"/>
        <v/>
      </c>
    </row>
    <row r="221" spans="1:8" x14ac:dyDescent="0.25">
      <c r="A221" s="1">
        <v>43005</v>
      </c>
      <c r="B221" t="s">
        <v>52</v>
      </c>
      <c r="C221" t="s">
        <v>48</v>
      </c>
      <c r="D221">
        <v>1125</v>
      </c>
      <c r="E221">
        <v>98</v>
      </c>
      <c r="F221">
        <v>194</v>
      </c>
      <c r="G221">
        <f t="shared" si="6"/>
        <v>1.9795918367346939</v>
      </c>
      <c r="H221" t="str">
        <f t="shared" si="7"/>
        <v/>
      </c>
    </row>
    <row r="222" spans="1:8" x14ac:dyDescent="0.25">
      <c r="A222" s="1">
        <v>43006</v>
      </c>
      <c r="B222" t="s">
        <v>48</v>
      </c>
      <c r="C222" t="s">
        <v>25</v>
      </c>
      <c r="D222">
        <v>4375</v>
      </c>
      <c r="E222">
        <v>140</v>
      </c>
      <c r="F222">
        <v>134</v>
      </c>
      <c r="G222">
        <f t="shared" si="6"/>
        <v>0.95714285714285718</v>
      </c>
      <c r="H222" t="str">
        <f t="shared" si="7"/>
        <v/>
      </c>
    </row>
    <row r="223" spans="1:8" x14ac:dyDescent="0.25">
      <c r="A223" s="1">
        <v>43008</v>
      </c>
      <c r="B223" t="s">
        <v>41</v>
      </c>
      <c r="C223" t="s">
        <v>12</v>
      </c>
      <c r="D223">
        <v>5455</v>
      </c>
      <c r="E223">
        <v>124</v>
      </c>
      <c r="F223">
        <v>231</v>
      </c>
      <c r="G223">
        <f t="shared" si="6"/>
        <v>1.8629032258064515</v>
      </c>
      <c r="H223" t="str">
        <f t="shared" si="7"/>
        <v/>
      </c>
    </row>
    <row r="224" spans="1:8" x14ac:dyDescent="0.25">
      <c r="A224" s="1">
        <v>43009</v>
      </c>
      <c r="B224" t="s">
        <v>29</v>
      </c>
      <c r="C224" t="s">
        <v>28</v>
      </c>
      <c r="D224">
        <v>4649</v>
      </c>
      <c r="E224">
        <v>125</v>
      </c>
      <c r="F224">
        <v>356</v>
      </c>
      <c r="G224">
        <f t="shared" si="6"/>
        <v>2.8479999999999999</v>
      </c>
      <c r="H224" t="str">
        <f t="shared" si="7"/>
        <v/>
      </c>
    </row>
    <row r="225" spans="1:8" x14ac:dyDescent="0.25">
      <c r="A225" s="1">
        <v>43010</v>
      </c>
      <c r="B225" t="s">
        <v>28</v>
      </c>
      <c r="C225" t="s">
        <v>60</v>
      </c>
      <c r="D225">
        <v>4016</v>
      </c>
      <c r="E225">
        <v>115</v>
      </c>
      <c r="F225">
        <v>145</v>
      </c>
      <c r="G225">
        <f t="shared" si="6"/>
        <v>1.2608695652173914</v>
      </c>
      <c r="H225" t="str">
        <f t="shared" si="7"/>
        <v/>
      </c>
    </row>
    <row r="226" spans="1:8" x14ac:dyDescent="0.25">
      <c r="A226" s="1">
        <v>43011</v>
      </c>
      <c r="B226" t="s">
        <v>60</v>
      </c>
      <c r="C226" t="s">
        <v>32</v>
      </c>
      <c r="D226">
        <v>1211</v>
      </c>
      <c r="E226">
        <v>139</v>
      </c>
      <c r="F226">
        <v>218</v>
      </c>
      <c r="G226">
        <f t="shared" si="6"/>
        <v>1.5683453237410072</v>
      </c>
      <c r="H226" t="str">
        <f t="shared" si="7"/>
        <v/>
      </c>
    </row>
    <row r="227" spans="1:8" x14ac:dyDescent="0.25">
      <c r="A227" s="1">
        <v>43012</v>
      </c>
      <c r="B227" t="s">
        <v>32</v>
      </c>
      <c r="C227" t="s">
        <v>42</v>
      </c>
      <c r="D227">
        <v>4633</v>
      </c>
      <c r="E227">
        <v>120</v>
      </c>
      <c r="F227">
        <v>280</v>
      </c>
      <c r="G227">
        <f t="shared" si="6"/>
        <v>2.3333333333333335</v>
      </c>
      <c r="H227" t="str">
        <f t="shared" si="7"/>
        <v/>
      </c>
    </row>
    <row r="228" spans="1:8" x14ac:dyDescent="0.25">
      <c r="A228" s="1">
        <v>43013</v>
      </c>
      <c r="B228" t="s">
        <v>42</v>
      </c>
      <c r="C228" t="s">
        <v>37</v>
      </c>
      <c r="D228">
        <v>2488</v>
      </c>
      <c r="E228">
        <v>144</v>
      </c>
      <c r="F228">
        <v>252</v>
      </c>
      <c r="G228">
        <f t="shared" si="6"/>
        <v>1.75</v>
      </c>
      <c r="H228" t="str">
        <f t="shared" si="7"/>
        <v/>
      </c>
    </row>
    <row r="229" spans="1:8" x14ac:dyDescent="0.25">
      <c r="A229" s="1">
        <v>43014</v>
      </c>
      <c r="B229" t="s">
        <v>37</v>
      </c>
      <c r="C229" t="s">
        <v>35</v>
      </c>
      <c r="D229">
        <v>5798</v>
      </c>
      <c r="E229">
        <v>142</v>
      </c>
      <c r="F229">
        <v>501</v>
      </c>
      <c r="G229">
        <f t="shared" si="6"/>
        <v>3.528169014084507</v>
      </c>
      <c r="H229" t="str">
        <f t="shared" si="7"/>
        <v/>
      </c>
    </row>
    <row r="230" spans="1:8" x14ac:dyDescent="0.25">
      <c r="A230" s="1">
        <v>43015</v>
      </c>
      <c r="B230" t="s">
        <v>42</v>
      </c>
      <c r="C230" t="s">
        <v>62</v>
      </c>
      <c r="D230">
        <v>2918</v>
      </c>
      <c r="E230">
        <v>181</v>
      </c>
      <c r="F230">
        <v>289</v>
      </c>
      <c r="G230">
        <f t="shared" si="6"/>
        <v>1.5966850828729282</v>
      </c>
      <c r="H230" t="str">
        <f t="shared" si="7"/>
        <v/>
      </c>
    </row>
    <row r="231" spans="1:8" x14ac:dyDescent="0.25">
      <c r="A231" s="1">
        <v>43016</v>
      </c>
      <c r="B231" t="s">
        <v>62</v>
      </c>
      <c r="C231" t="s">
        <v>61</v>
      </c>
      <c r="D231">
        <v>1886</v>
      </c>
      <c r="E231">
        <v>110</v>
      </c>
      <c r="F231">
        <v>254</v>
      </c>
      <c r="G231">
        <f t="shared" si="6"/>
        <v>2.3090909090909091</v>
      </c>
      <c r="H231" t="str">
        <f t="shared" si="7"/>
        <v/>
      </c>
    </row>
    <row r="232" spans="1:8" x14ac:dyDescent="0.25">
      <c r="A232" s="1">
        <v>43017</v>
      </c>
      <c r="B232" t="s">
        <v>70</v>
      </c>
      <c r="C232" t="s">
        <v>30</v>
      </c>
      <c r="D232">
        <v>4431</v>
      </c>
      <c r="E232">
        <v>128</v>
      </c>
      <c r="F232">
        <v>213</v>
      </c>
      <c r="G232">
        <f t="shared" si="6"/>
        <v>1.6640625</v>
      </c>
      <c r="H232" t="str">
        <f t="shared" si="7"/>
        <v/>
      </c>
    </row>
    <row r="233" spans="1:8" x14ac:dyDescent="0.25">
      <c r="A233" s="1">
        <v>43018</v>
      </c>
      <c r="B233" t="s">
        <v>30</v>
      </c>
      <c r="C233" t="s">
        <v>40</v>
      </c>
      <c r="D233">
        <v>1956</v>
      </c>
      <c r="E233">
        <v>176</v>
      </c>
      <c r="F233">
        <v>248</v>
      </c>
      <c r="G233">
        <f t="shared" si="6"/>
        <v>1.4090909090909092</v>
      </c>
      <c r="H233" t="str">
        <f t="shared" si="7"/>
        <v/>
      </c>
    </row>
    <row r="234" spans="1:8" x14ac:dyDescent="0.25">
      <c r="A234" s="1">
        <v>43019</v>
      </c>
      <c r="B234" t="s">
        <v>15</v>
      </c>
      <c r="C234" t="s">
        <v>26</v>
      </c>
      <c r="D234">
        <v>4059</v>
      </c>
      <c r="E234">
        <v>162</v>
      </c>
      <c r="F234">
        <v>550</v>
      </c>
      <c r="G234">
        <f t="shared" si="6"/>
        <v>3.3950617283950617</v>
      </c>
      <c r="H234" t="str">
        <f t="shared" si="7"/>
        <v/>
      </c>
    </row>
    <row r="235" spans="1:8" x14ac:dyDescent="0.25">
      <c r="A235" s="1">
        <v>43020</v>
      </c>
      <c r="B235" t="s">
        <v>26</v>
      </c>
      <c r="C235" t="s">
        <v>23</v>
      </c>
      <c r="D235">
        <v>2157</v>
      </c>
      <c r="E235">
        <v>115</v>
      </c>
      <c r="F235">
        <v>182</v>
      </c>
      <c r="G235">
        <f t="shared" si="6"/>
        <v>1.5826086956521739</v>
      </c>
      <c r="H235" t="str">
        <f t="shared" si="7"/>
        <v/>
      </c>
    </row>
    <row r="236" spans="1:8" x14ac:dyDescent="0.25">
      <c r="A236" s="1">
        <v>43021</v>
      </c>
      <c r="B236" t="s">
        <v>23</v>
      </c>
      <c r="C236" t="s">
        <v>24</v>
      </c>
      <c r="D236">
        <v>3353</v>
      </c>
      <c r="E236">
        <v>117</v>
      </c>
      <c r="F236">
        <v>312</v>
      </c>
      <c r="G236">
        <f t="shared" si="6"/>
        <v>2.6666666666666665</v>
      </c>
      <c r="H236" t="str">
        <f t="shared" si="7"/>
        <v/>
      </c>
    </row>
    <row r="237" spans="1:8" x14ac:dyDescent="0.25">
      <c r="A237" s="1">
        <v>43022</v>
      </c>
      <c r="B237" t="s">
        <v>24</v>
      </c>
      <c r="C237" t="s">
        <v>21</v>
      </c>
      <c r="D237">
        <v>4677</v>
      </c>
      <c r="E237">
        <v>219</v>
      </c>
      <c r="F237">
        <v>255</v>
      </c>
      <c r="G237">
        <f t="shared" si="6"/>
        <v>1.1643835616438356</v>
      </c>
      <c r="H237" t="str">
        <f t="shared" si="7"/>
        <v/>
      </c>
    </row>
    <row r="238" spans="1:8" x14ac:dyDescent="0.25">
      <c r="A238" s="1">
        <v>43023</v>
      </c>
      <c r="B238" t="s">
        <v>21</v>
      </c>
      <c r="C238" t="s">
        <v>25</v>
      </c>
      <c r="D238">
        <v>2059</v>
      </c>
      <c r="E238">
        <v>164</v>
      </c>
      <c r="F238">
        <v>630</v>
      </c>
      <c r="G238">
        <f t="shared" si="6"/>
        <v>3.8414634146341462</v>
      </c>
      <c r="H238" t="str">
        <f t="shared" si="7"/>
        <v/>
      </c>
    </row>
    <row r="239" spans="1:8" x14ac:dyDescent="0.25">
      <c r="A239" s="1">
        <v>43025</v>
      </c>
      <c r="B239" t="s">
        <v>8</v>
      </c>
      <c r="C239" t="s">
        <v>29</v>
      </c>
      <c r="D239">
        <v>5537</v>
      </c>
      <c r="E239">
        <v>141</v>
      </c>
      <c r="F239">
        <v>240</v>
      </c>
      <c r="G239">
        <f t="shared" si="6"/>
        <v>1.7021276595744681</v>
      </c>
      <c r="H239" t="str">
        <f t="shared" si="7"/>
        <v/>
      </c>
    </row>
    <row r="240" spans="1:8" x14ac:dyDescent="0.25">
      <c r="A240" s="1">
        <v>43026</v>
      </c>
      <c r="B240" t="s">
        <v>29</v>
      </c>
      <c r="C240" t="s">
        <v>59</v>
      </c>
      <c r="D240">
        <v>2987</v>
      </c>
      <c r="E240">
        <v>149</v>
      </c>
      <c r="F240">
        <v>464</v>
      </c>
      <c r="G240">
        <f t="shared" si="6"/>
        <v>3.1140939597315436</v>
      </c>
      <c r="H240" t="str">
        <f t="shared" si="7"/>
        <v/>
      </c>
    </row>
    <row r="241" spans="1:8" x14ac:dyDescent="0.25">
      <c r="A241" s="1">
        <v>43028</v>
      </c>
      <c r="B241" t="s">
        <v>69</v>
      </c>
      <c r="C241" t="s">
        <v>67</v>
      </c>
      <c r="D241">
        <v>5570</v>
      </c>
      <c r="E241">
        <v>166</v>
      </c>
      <c r="F241">
        <v>577</v>
      </c>
      <c r="G241">
        <f t="shared" si="6"/>
        <v>3.4759036144578315</v>
      </c>
      <c r="H241" t="str">
        <f t="shared" si="7"/>
        <v/>
      </c>
    </row>
    <row r="242" spans="1:8" x14ac:dyDescent="0.25">
      <c r="A242" s="1">
        <v>43029</v>
      </c>
      <c r="B242" t="s">
        <v>67</v>
      </c>
      <c r="C242" t="s">
        <v>66</v>
      </c>
      <c r="D242">
        <v>3948</v>
      </c>
      <c r="E242">
        <v>137</v>
      </c>
      <c r="F242">
        <v>469</v>
      </c>
      <c r="G242">
        <f t="shared" si="6"/>
        <v>3.4233576642335768</v>
      </c>
      <c r="H242" t="str">
        <f t="shared" si="7"/>
        <v/>
      </c>
    </row>
    <row r="243" spans="1:8" x14ac:dyDescent="0.25">
      <c r="A243" s="1">
        <v>43030</v>
      </c>
      <c r="B243" t="s">
        <v>56</v>
      </c>
      <c r="C243" t="s">
        <v>59</v>
      </c>
      <c r="D243">
        <v>4201</v>
      </c>
      <c r="E243">
        <v>380</v>
      </c>
      <c r="F243">
        <v>528</v>
      </c>
      <c r="G243">
        <f t="shared" si="6"/>
        <v>1.3894736842105264</v>
      </c>
      <c r="H243" t="str">
        <f t="shared" si="7"/>
        <v/>
      </c>
    </row>
    <row r="244" spans="1:8" x14ac:dyDescent="0.25">
      <c r="A244" s="1">
        <v>43031</v>
      </c>
      <c r="B244" t="s">
        <v>59</v>
      </c>
      <c r="C244" t="s">
        <v>12</v>
      </c>
      <c r="D244">
        <v>3592</v>
      </c>
      <c r="E244">
        <v>109</v>
      </c>
      <c r="F244">
        <v>134</v>
      </c>
      <c r="G244">
        <f t="shared" si="6"/>
        <v>1.2293577981651376</v>
      </c>
      <c r="H244" t="str">
        <f t="shared" si="7"/>
        <v/>
      </c>
    </row>
    <row r="245" spans="1:8" x14ac:dyDescent="0.25">
      <c r="A245" s="1">
        <v>43032</v>
      </c>
      <c r="B245" t="s">
        <v>12</v>
      </c>
      <c r="C245" t="s">
        <v>41</v>
      </c>
      <c r="D245">
        <v>4543</v>
      </c>
      <c r="E245">
        <v>135</v>
      </c>
      <c r="F245">
        <v>345</v>
      </c>
      <c r="G245">
        <f t="shared" si="6"/>
        <v>2.5555555555555554</v>
      </c>
      <c r="H245" t="str">
        <f t="shared" si="7"/>
        <v/>
      </c>
    </row>
    <row r="246" spans="1:8" x14ac:dyDescent="0.25">
      <c r="A246" s="1">
        <v>43034</v>
      </c>
      <c r="B246" t="s">
        <v>12</v>
      </c>
      <c r="C246" t="s">
        <v>9</v>
      </c>
      <c r="D246">
        <v>1813</v>
      </c>
      <c r="E246">
        <v>86</v>
      </c>
      <c r="F246">
        <v>163</v>
      </c>
      <c r="G246">
        <f t="shared" si="6"/>
        <v>1.8953488372093024</v>
      </c>
      <c r="H246" t="str">
        <f t="shared" si="7"/>
        <v/>
      </c>
    </row>
    <row r="247" spans="1:8" x14ac:dyDescent="0.25">
      <c r="A247" s="1">
        <v>43035</v>
      </c>
      <c r="B247" t="s">
        <v>38</v>
      </c>
      <c r="C247" t="s">
        <v>49</v>
      </c>
      <c r="D247">
        <v>4567</v>
      </c>
      <c r="E247">
        <v>31</v>
      </c>
      <c r="F247">
        <v>54</v>
      </c>
      <c r="G247">
        <f t="shared" si="6"/>
        <v>1.7419354838709677</v>
      </c>
      <c r="H247" t="str">
        <f t="shared" si="7"/>
        <v/>
      </c>
    </row>
    <row r="248" spans="1:8" x14ac:dyDescent="0.25">
      <c r="A248" s="1">
        <v>43036</v>
      </c>
      <c r="B248" t="s">
        <v>49</v>
      </c>
      <c r="C248" t="s">
        <v>37</v>
      </c>
      <c r="D248">
        <v>1830</v>
      </c>
      <c r="E248">
        <v>152</v>
      </c>
      <c r="F248">
        <v>301</v>
      </c>
      <c r="G248">
        <f t="shared" si="6"/>
        <v>1.9802631578947369</v>
      </c>
      <c r="H248" t="str">
        <f t="shared" si="7"/>
        <v/>
      </c>
    </row>
    <row r="249" spans="1:8" x14ac:dyDescent="0.25">
      <c r="A249" s="1">
        <v>43037</v>
      </c>
      <c r="B249" t="s">
        <v>37</v>
      </c>
      <c r="C249" t="s">
        <v>57</v>
      </c>
      <c r="D249">
        <v>3678</v>
      </c>
      <c r="E249">
        <v>104</v>
      </c>
      <c r="F249">
        <v>275</v>
      </c>
      <c r="G249">
        <f t="shared" si="6"/>
        <v>2.6442307692307692</v>
      </c>
      <c r="H249" t="str">
        <f t="shared" si="7"/>
        <v/>
      </c>
    </row>
    <row r="250" spans="1:8" x14ac:dyDescent="0.25">
      <c r="A250" s="1">
        <v>43038</v>
      </c>
      <c r="B250" t="s">
        <v>17</v>
      </c>
      <c r="C250" t="s">
        <v>38</v>
      </c>
      <c r="D250">
        <v>1782</v>
      </c>
      <c r="E250">
        <v>171</v>
      </c>
      <c r="F250">
        <v>193</v>
      </c>
      <c r="G250">
        <f t="shared" si="6"/>
        <v>1.128654970760234</v>
      </c>
      <c r="H250" t="str">
        <f t="shared" si="7"/>
        <v/>
      </c>
    </row>
    <row r="251" spans="1:8" x14ac:dyDescent="0.25">
      <c r="A251" s="1">
        <v>43040</v>
      </c>
      <c r="B251" t="s">
        <v>12</v>
      </c>
      <c r="C251" t="s">
        <v>6</v>
      </c>
      <c r="D251">
        <v>2966</v>
      </c>
      <c r="E251">
        <v>125</v>
      </c>
      <c r="F251">
        <v>170</v>
      </c>
      <c r="G251">
        <f t="shared" si="6"/>
        <v>1.36</v>
      </c>
      <c r="H251" t="str">
        <f t="shared" si="7"/>
        <v/>
      </c>
    </row>
    <row r="252" spans="1:8" x14ac:dyDescent="0.25">
      <c r="A252" s="1">
        <v>43042</v>
      </c>
      <c r="B252" t="s">
        <v>32</v>
      </c>
      <c r="C252" t="s">
        <v>47</v>
      </c>
      <c r="D252">
        <v>4746</v>
      </c>
      <c r="E252">
        <v>131</v>
      </c>
      <c r="F252">
        <v>245</v>
      </c>
      <c r="G252">
        <f t="shared" si="6"/>
        <v>1.8702290076335877</v>
      </c>
      <c r="H252" t="str">
        <f t="shared" si="7"/>
        <v/>
      </c>
    </row>
    <row r="253" spans="1:8" x14ac:dyDescent="0.25">
      <c r="A253" s="1">
        <v>43044</v>
      </c>
      <c r="B253" t="s">
        <v>37</v>
      </c>
      <c r="C253" t="s">
        <v>18</v>
      </c>
      <c r="D253">
        <v>3161</v>
      </c>
      <c r="E253">
        <v>101</v>
      </c>
      <c r="F253">
        <v>115</v>
      </c>
      <c r="G253">
        <f t="shared" si="6"/>
        <v>1.1386138613861385</v>
      </c>
      <c r="H253" t="str">
        <f t="shared" si="7"/>
        <v/>
      </c>
    </row>
    <row r="254" spans="1:8" x14ac:dyDescent="0.25">
      <c r="A254" s="1">
        <v>43045</v>
      </c>
      <c r="B254" t="s">
        <v>60</v>
      </c>
      <c r="C254" t="s">
        <v>71</v>
      </c>
      <c r="D254">
        <v>3600</v>
      </c>
      <c r="E254">
        <v>211</v>
      </c>
      <c r="F254">
        <v>670</v>
      </c>
      <c r="G254">
        <f t="shared" si="6"/>
        <v>3.175355450236967</v>
      </c>
      <c r="H254" t="str">
        <f t="shared" si="7"/>
        <v/>
      </c>
    </row>
    <row r="255" spans="1:8" x14ac:dyDescent="0.25">
      <c r="A255" s="1">
        <v>43046</v>
      </c>
      <c r="B255" t="s">
        <v>71</v>
      </c>
      <c r="C255" t="s">
        <v>10</v>
      </c>
      <c r="D255">
        <v>4093</v>
      </c>
      <c r="E255">
        <v>119</v>
      </c>
      <c r="F255">
        <v>254</v>
      </c>
      <c r="G255">
        <f t="shared" si="6"/>
        <v>2.134453781512605</v>
      </c>
      <c r="H255" t="str">
        <f t="shared" si="7"/>
        <v/>
      </c>
    </row>
    <row r="256" spans="1:8" x14ac:dyDescent="0.25">
      <c r="A256" s="1">
        <v>43047</v>
      </c>
      <c r="B256" t="s">
        <v>10</v>
      </c>
      <c r="C256" t="s">
        <v>9</v>
      </c>
      <c r="D256">
        <v>1981</v>
      </c>
      <c r="E256">
        <v>159</v>
      </c>
      <c r="F256">
        <v>192</v>
      </c>
      <c r="G256">
        <f t="shared" si="6"/>
        <v>1.2075471698113207</v>
      </c>
      <c r="H256" t="str">
        <f t="shared" si="7"/>
        <v/>
      </c>
    </row>
    <row r="257" spans="1:8" x14ac:dyDescent="0.25">
      <c r="A257" s="1">
        <v>43048</v>
      </c>
      <c r="B257" t="s">
        <v>9</v>
      </c>
      <c r="C257" t="s">
        <v>6</v>
      </c>
      <c r="D257">
        <v>3154</v>
      </c>
      <c r="E257">
        <v>127</v>
      </c>
      <c r="F257">
        <v>390</v>
      </c>
      <c r="G257">
        <f t="shared" si="6"/>
        <v>3.0708661417322833</v>
      </c>
      <c r="H257" t="str">
        <f t="shared" si="7"/>
        <v/>
      </c>
    </row>
    <row r="258" spans="1:8" x14ac:dyDescent="0.25">
      <c r="A258" s="1">
        <v>43051</v>
      </c>
      <c r="B258" t="s">
        <v>8</v>
      </c>
      <c r="C258" t="s">
        <v>67</v>
      </c>
      <c r="D258">
        <v>4876</v>
      </c>
      <c r="E258">
        <v>280</v>
      </c>
      <c r="F258">
        <v>688</v>
      </c>
      <c r="G258">
        <f t="shared" si="6"/>
        <v>2.4571428571428573</v>
      </c>
      <c r="H258" t="str">
        <f t="shared" si="7"/>
        <v/>
      </c>
    </row>
    <row r="259" spans="1:8" x14ac:dyDescent="0.25">
      <c r="A259" s="1">
        <v>43052</v>
      </c>
      <c r="B259" t="s">
        <v>67</v>
      </c>
      <c r="C259" t="s">
        <v>66</v>
      </c>
      <c r="D259">
        <v>5153</v>
      </c>
      <c r="E259">
        <v>141</v>
      </c>
      <c r="F259">
        <v>547</v>
      </c>
      <c r="G259">
        <f t="shared" ref="G259:G301" si="8">F259/E259</f>
        <v>3.8794326241134751</v>
      </c>
      <c r="H259" t="str">
        <f t="shared" ref="H259:H301" si="9">IF(G259=$K$2,"xxxxxxxxxxxxxxxxxxxxx","")</f>
        <v/>
      </c>
    </row>
    <row r="260" spans="1:8" x14ac:dyDescent="0.25">
      <c r="A260" s="1">
        <v>43053</v>
      </c>
      <c r="B260" t="s">
        <v>66</v>
      </c>
      <c r="C260" t="s">
        <v>45</v>
      </c>
      <c r="D260">
        <v>1720</v>
      </c>
      <c r="E260">
        <v>122</v>
      </c>
      <c r="F260">
        <v>363</v>
      </c>
      <c r="G260">
        <f t="shared" si="8"/>
        <v>2.9754098360655736</v>
      </c>
      <c r="H260" t="str">
        <f t="shared" si="9"/>
        <v/>
      </c>
    </row>
    <row r="261" spans="1:8" x14ac:dyDescent="0.25">
      <c r="A261" s="1">
        <v>43054</v>
      </c>
      <c r="B261" t="s">
        <v>45</v>
      </c>
      <c r="C261" t="s">
        <v>44</v>
      </c>
      <c r="D261">
        <v>5392</v>
      </c>
      <c r="E261">
        <v>161</v>
      </c>
      <c r="F261">
        <v>240</v>
      </c>
      <c r="G261">
        <f t="shared" si="8"/>
        <v>1.4906832298136645</v>
      </c>
      <c r="H261" t="str">
        <f t="shared" si="9"/>
        <v/>
      </c>
    </row>
    <row r="262" spans="1:8" x14ac:dyDescent="0.25">
      <c r="A262" s="1">
        <v>43055</v>
      </c>
      <c r="B262" t="s">
        <v>70</v>
      </c>
      <c r="C262" t="s">
        <v>23</v>
      </c>
      <c r="D262">
        <v>1698</v>
      </c>
      <c r="E262">
        <v>224</v>
      </c>
      <c r="F262">
        <v>579</v>
      </c>
      <c r="G262">
        <f t="shared" si="8"/>
        <v>2.5848214285714284</v>
      </c>
      <c r="H262" t="str">
        <f t="shared" si="9"/>
        <v/>
      </c>
    </row>
    <row r="263" spans="1:8" x14ac:dyDescent="0.25">
      <c r="A263" s="1">
        <v>43056</v>
      </c>
      <c r="B263" t="s">
        <v>23</v>
      </c>
      <c r="C263" t="s">
        <v>21</v>
      </c>
      <c r="D263">
        <v>3411</v>
      </c>
      <c r="E263">
        <v>166</v>
      </c>
      <c r="F263">
        <v>574</v>
      </c>
      <c r="G263">
        <f t="shared" si="8"/>
        <v>3.4578313253012047</v>
      </c>
      <c r="H263" t="str">
        <f t="shared" si="9"/>
        <v/>
      </c>
    </row>
    <row r="264" spans="1:8" x14ac:dyDescent="0.25">
      <c r="A264" s="1">
        <v>43057</v>
      </c>
      <c r="B264" t="s">
        <v>21</v>
      </c>
      <c r="C264" t="s">
        <v>14</v>
      </c>
      <c r="D264">
        <v>5558</v>
      </c>
      <c r="E264">
        <v>107</v>
      </c>
      <c r="F264">
        <v>202</v>
      </c>
      <c r="G264">
        <f t="shared" si="8"/>
        <v>1.8878504672897196</v>
      </c>
      <c r="H264" t="str">
        <f t="shared" si="9"/>
        <v/>
      </c>
    </row>
    <row r="265" spans="1:8" x14ac:dyDescent="0.25">
      <c r="A265" s="1">
        <v>43058</v>
      </c>
      <c r="B265" t="s">
        <v>14</v>
      </c>
      <c r="C265" t="s">
        <v>40</v>
      </c>
      <c r="D265">
        <v>2592</v>
      </c>
      <c r="E265">
        <v>136</v>
      </c>
      <c r="F265">
        <v>325</v>
      </c>
      <c r="G265">
        <f t="shared" si="8"/>
        <v>2.3897058823529411</v>
      </c>
      <c r="H265" t="str">
        <f t="shared" si="9"/>
        <v/>
      </c>
    </row>
    <row r="266" spans="1:8" x14ac:dyDescent="0.25">
      <c r="A266" s="1">
        <v>43059</v>
      </c>
      <c r="B266" t="s">
        <v>40</v>
      </c>
      <c r="C266" t="s">
        <v>30</v>
      </c>
      <c r="D266">
        <v>5214</v>
      </c>
      <c r="E266">
        <v>178</v>
      </c>
      <c r="F266">
        <v>634</v>
      </c>
      <c r="G266">
        <f t="shared" si="8"/>
        <v>3.5617977528089888</v>
      </c>
      <c r="H266" t="str">
        <f t="shared" si="9"/>
        <v/>
      </c>
    </row>
    <row r="267" spans="1:8" x14ac:dyDescent="0.25">
      <c r="A267" s="1">
        <v>43060</v>
      </c>
      <c r="B267" t="s">
        <v>30</v>
      </c>
      <c r="C267" t="s">
        <v>40</v>
      </c>
      <c r="D267">
        <v>5491</v>
      </c>
      <c r="E267">
        <v>162</v>
      </c>
      <c r="F267">
        <v>408</v>
      </c>
      <c r="G267">
        <f t="shared" si="8"/>
        <v>2.5185185185185186</v>
      </c>
      <c r="H267" t="str">
        <f t="shared" si="9"/>
        <v/>
      </c>
    </row>
    <row r="268" spans="1:8" x14ac:dyDescent="0.25">
      <c r="A268" s="1">
        <v>43061</v>
      </c>
      <c r="B268" t="s">
        <v>16</v>
      </c>
      <c r="C268" t="s">
        <v>35</v>
      </c>
      <c r="D268">
        <v>4594</v>
      </c>
      <c r="E268">
        <v>443</v>
      </c>
      <c r="F268">
        <v>1098</v>
      </c>
      <c r="G268">
        <f t="shared" si="8"/>
        <v>2.4785553047404063</v>
      </c>
      <c r="H268" t="str">
        <f t="shared" si="9"/>
        <v/>
      </c>
    </row>
    <row r="269" spans="1:8" x14ac:dyDescent="0.25">
      <c r="A269" s="1">
        <v>43062</v>
      </c>
      <c r="B269" t="s">
        <v>35</v>
      </c>
      <c r="C269" t="s">
        <v>37</v>
      </c>
      <c r="D269">
        <v>1047</v>
      </c>
      <c r="E269">
        <v>147</v>
      </c>
      <c r="F269">
        <v>432</v>
      </c>
      <c r="G269">
        <f t="shared" si="8"/>
        <v>2.9387755102040818</v>
      </c>
      <c r="H269" t="str">
        <f t="shared" si="9"/>
        <v/>
      </c>
    </row>
    <row r="270" spans="1:8" x14ac:dyDescent="0.25">
      <c r="A270" s="1">
        <v>43063</v>
      </c>
      <c r="B270" t="s">
        <v>15</v>
      </c>
      <c r="C270" t="s">
        <v>59</v>
      </c>
      <c r="D270">
        <v>5517</v>
      </c>
      <c r="E270">
        <v>494</v>
      </c>
      <c r="F270">
        <v>1185</v>
      </c>
      <c r="G270">
        <f t="shared" si="8"/>
        <v>2.3987854251012144</v>
      </c>
      <c r="H270" t="str">
        <f t="shared" si="9"/>
        <v/>
      </c>
    </row>
    <row r="271" spans="1:8" x14ac:dyDescent="0.25">
      <c r="A271" s="1">
        <v>43064</v>
      </c>
      <c r="B271" t="s">
        <v>59</v>
      </c>
      <c r="C271" t="s">
        <v>12</v>
      </c>
      <c r="D271">
        <v>4155</v>
      </c>
      <c r="E271">
        <v>93</v>
      </c>
      <c r="F271">
        <v>181</v>
      </c>
      <c r="G271">
        <f t="shared" si="8"/>
        <v>1.946236559139785</v>
      </c>
      <c r="H271" t="str">
        <f t="shared" si="9"/>
        <v/>
      </c>
    </row>
    <row r="272" spans="1:8" x14ac:dyDescent="0.25">
      <c r="A272" s="1">
        <v>43067</v>
      </c>
      <c r="B272" t="s">
        <v>61</v>
      </c>
      <c r="C272" t="s">
        <v>48</v>
      </c>
      <c r="D272">
        <v>2798</v>
      </c>
      <c r="E272">
        <v>109</v>
      </c>
      <c r="F272">
        <v>366</v>
      </c>
      <c r="G272">
        <f t="shared" si="8"/>
        <v>3.3577981651376145</v>
      </c>
      <c r="H272" t="str">
        <f t="shared" si="9"/>
        <v/>
      </c>
    </row>
    <row r="273" spans="1:8" x14ac:dyDescent="0.25">
      <c r="A273" s="1">
        <v>43068</v>
      </c>
      <c r="B273" t="s">
        <v>48</v>
      </c>
      <c r="C273" t="s">
        <v>61</v>
      </c>
      <c r="D273">
        <v>4217</v>
      </c>
      <c r="E273">
        <v>112</v>
      </c>
      <c r="F273">
        <v>263</v>
      </c>
      <c r="G273">
        <f t="shared" si="8"/>
        <v>2.3482142857142856</v>
      </c>
      <c r="H273" t="str">
        <f t="shared" si="9"/>
        <v/>
      </c>
    </row>
    <row r="274" spans="1:8" x14ac:dyDescent="0.25">
      <c r="A274" s="1">
        <v>43069</v>
      </c>
      <c r="B274" t="s">
        <v>61</v>
      </c>
      <c r="C274" t="s">
        <v>48</v>
      </c>
      <c r="D274">
        <v>4327</v>
      </c>
      <c r="E274">
        <v>109</v>
      </c>
      <c r="F274">
        <v>196</v>
      </c>
      <c r="G274">
        <f t="shared" si="8"/>
        <v>1.798165137614679</v>
      </c>
      <c r="H274" t="str">
        <f t="shared" si="9"/>
        <v/>
      </c>
    </row>
    <row r="275" spans="1:8" x14ac:dyDescent="0.25">
      <c r="A275" s="1">
        <v>43070</v>
      </c>
      <c r="B275" t="s">
        <v>32</v>
      </c>
      <c r="C275" t="s">
        <v>38</v>
      </c>
      <c r="D275">
        <v>2555</v>
      </c>
      <c r="E275">
        <v>124</v>
      </c>
      <c r="F275">
        <v>150</v>
      </c>
      <c r="G275">
        <f t="shared" si="8"/>
        <v>1.2096774193548387</v>
      </c>
      <c r="H275" t="str">
        <f t="shared" si="9"/>
        <v/>
      </c>
    </row>
    <row r="276" spans="1:8" x14ac:dyDescent="0.25">
      <c r="A276" s="1">
        <v>43071</v>
      </c>
      <c r="B276" t="s">
        <v>38</v>
      </c>
      <c r="C276" t="s">
        <v>57</v>
      </c>
      <c r="D276">
        <v>5150</v>
      </c>
      <c r="E276">
        <v>104</v>
      </c>
      <c r="F276">
        <v>435</v>
      </c>
      <c r="G276">
        <f t="shared" si="8"/>
        <v>4.1826923076923075</v>
      </c>
      <c r="H276" t="str">
        <f t="shared" si="9"/>
        <v/>
      </c>
    </row>
    <row r="277" spans="1:8" x14ac:dyDescent="0.25">
      <c r="A277" s="1">
        <v>43072</v>
      </c>
      <c r="B277" t="s">
        <v>56</v>
      </c>
      <c r="C277" t="s">
        <v>47</v>
      </c>
      <c r="D277">
        <v>5697</v>
      </c>
      <c r="E277">
        <v>257</v>
      </c>
      <c r="F277">
        <v>717</v>
      </c>
      <c r="G277">
        <f t="shared" si="8"/>
        <v>2.7898832684824901</v>
      </c>
      <c r="H277" t="str">
        <f t="shared" si="9"/>
        <v/>
      </c>
    </row>
    <row r="278" spans="1:8" x14ac:dyDescent="0.25">
      <c r="A278" s="1">
        <v>43073</v>
      </c>
      <c r="B278" t="s">
        <v>47</v>
      </c>
      <c r="C278" t="s">
        <v>46</v>
      </c>
      <c r="D278">
        <v>3192</v>
      </c>
      <c r="E278">
        <v>113</v>
      </c>
      <c r="F278">
        <v>310</v>
      </c>
      <c r="G278">
        <f t="shared" si="8"/>
        <v>2.7433628318584069</v>
      </c>
      <c r="H278" t="str">
        <f t="shared" si="9"/>
        <v/>
      </c>
    </row>
    <row r="279" spans="1:8" x14ac:dyDescent="0.25">
      <c r="A279" s="1">
        <v>43075</v>
      </c>
      <c r="B279" t="s">
        <v>38</v>
      </c>
      <c r="C279" t="s">
        <v>59</v>
      </c>
      <c r="D279">
        <v>2781</v>
      </c>
      <c r="E279">
        <v>409</v>
      </c>
      <c r="F279">
        <v>1436</v>
      </c>
      <c r="G279">
        <f t="shared" si="8"/>
        <v>3.511002444987775</v>
      </c>
      <c r="H279" t="str">
        <f t="shared" si="9"/>
        <v/>
      </c>
    </row>
    <row r="280" spans="1:8" x14ac:dyDescent="0.25">
      <c r="A280" s="1">
        <v>43076</v>
      </c>
      <c r="B280" t="s">
        <v>59</v>
      </c>
      <c r="C280" t="s">
        <v>8</v>
      </c>
      <c r="D280">
        <v>1093</v>
      </c>
      <c r="E280">
        <v>110</v>
      </c>
      <c r="F280">
        <v>400</v>
      </c>
      <c r="G280">
        <f t="shared" si="8"/>
        <v>3.6363636363636362</v>
      </c>
      <c r="H280" t="str">
        <f t="shared" si="9"/>
        <v/>
      </c>
    </row>
    <row r="281" spans="1:8" x14ac:dyDescent="0.25">
      <c r="A281" s="1">
        <v>43077</v>
      </c>
      <c r="B281" t="s">
        <v>8</v>
      </c>
      <c r="C281" t="s">
        <v>20</v>
      </c>
      <c r="D281">
        <v>2291</v>
      </c>
      <c r="E281">
        <v>132</v>
      </c>
      <c r="F281">
        <v>163</v>
      </c>
      <c r="G281">
        <f t="shared" si="8"/>
        <v>1.2348484848484849</v>
      </c>
      <c r="H281" t="str">
        <f t="shared" si="9"/>
        <v/>
      </c>
    </row>
    <row r="282" spans="1:8" x14ac:dyDescent="0.25">
      <c r="A282" s="1">
        <v>43078</v>
      </c>
      <c r="B282" t="s">
        <v>15</v>
      </c>
      <c r="C282" t="s">
        <v>23</v>
      </c>
      <c r="D282">
        <v>2962</v>
      </c>
      <c r="E282">
        <v>170</v>
      </c>
      <c r="F282">
        <v>273</v>
      </c>
      <c r="G282">
        <f t="shared" si="8"/>
        <v>1.6058823529411765</v>
      </c>
      <c r="H282" t="str">
        <f t="shared" si="9"/>
        <v/>
      </c>
    </row>
    <row r="283" spans="1:8" x14ac:dyDescent="0.25">
      <c r="A283" s="1">
        <v>43079</v>
      </c>
      <c r="B283" t="s">
        <v>7</v>
      </c>
      <c r="C283" t="s">
        <v>8</v>
      </c>
      <c r="D283">
        <v>2939</v>
      </c>
      <c r="E283">
        <v>110</v>
      </c>
      <c r="F283">
        <v>279</v>
      </c>
      <c r="G283">
        <f t="shared" si="8"/>
        <v>2.5363636363636362</v>
      </c>
      <c r="H283" t="str">
        <f t="shared" si="9"/>
        <v/>
      </c>
    </row>
    <row r="284" spans="1:8" x14ac:dyDescent="0.25">
      <c r="A284" s="1">
        <v>43080</v>
      </c>
      <c r="B284" t="s">
        <v>8</v>
      </c>
      <c r="C284" t="s">
        <v>20</v>
      </c>
      <c r="D284">
        <v>4981</v>
      </c>
      <c r="E284">
        <v>138</v>
      </c>
      <c r="F284">
        <v>455</v>
      </c>
      <c r="G284">
        <f t="shared" si="8"/>
        <v>3.2971014492753623</v>
      </c>
      <c r="H284" t="str">
        <f t="shared" si="9"/>
        <v/>
      </c>
    </row>
    <row r="285" spans="1:8" x14ac:dyDescent="0.25">
      <c r="A285" s="1">
        <v>43081</v>
      </c>
      <c r="B285" t="s">
        <v>20</v>
      </c>
      <c r="C285" t="s">
        <v>60</v>
      </c>
      <c r="D285">
        <v>3436</v>
      </c>
      <c r="E285">
        <v>114</v>
      </c>
      <c r="F285">
        <v>370</v>
      </c>
      <c r="G285">
        <f t="shared" si="8"/>
        <v>3.2456140350877192</v>
      </c>
      <c r="H285" t="str">
        <f t="shared" si="9"/>
        <v/>
      </c>
    </row>
    <row r="286" spans="1:8" x14ac:dyDescent="0.25">
      <c r="A286" s="1">
        <v>43082</v>
      </c>
      <c r="B286" t="s">
        <v>60</v>
      </c>
      <c r="C286" t="s">
        <v>47</v>
      </c>
      <c r="D286">
        <v>2342</v>
      </c>
      <c r="E286">
        <v>141</v>
      </c>
      <c r="F286">
        <v>319</v>
      </c>
      <c r="G286">
        <f t="shared" si="8"/>
        <v>2.2624113475177303</v>
      </c>
      <c r="H286" t="str">
        <f t="shared" si="9"/>
        <v/>
      </c>
    </row>
    <row r="287" spans="1:8" x14ac:dyDescent="0.25">
      <c r="A287" s="1">
        <v>43083</v>
      </c>
      <c r="B287" t="s">
        <v>47</v>
      </c>
      <c r="C287" t="s">
        <v>54</v>
      </c>
      <c r="D287">
        <v>1981</v>
      </c>
      <c r="E287">
        <v>126</v>
      </c>
      <c r="F287">
        <v>396</v>
      </c>
      <c r="G287">
        <f t="shared" si="8"/>
        <v>3.1428571428571428</v>
      </c>
      <c r="H287" t="str">
        <f t="shared" si="9"/>
        <v/>
      </c>
    </row>
    <row r="288" spans="1:8" x14ac:dyDescent="0.25">
      <c r="A288" s="1">
        <v>43084</v>
      </c>
      <c r="B288" t="s">
        <v>54</v>
      </c>
      <c r="C288" t="s">
        <v>49</v>
      </c>
      <c r="D288">
        <v>5238</v>
      </c>
      <c r="E288">
        <v>131</v>
      </c>
      <c r="F288">
        <v>158</v>
      </c>
      <c r="G288">
        <f t="shared" si="8"/>
        <v>1.2061068702290076</v>
      </c>
      <c r="H288" t="str">
        <f t="shared" si="9"/>
        <v/>
      </c>
    </row>
    <row r="289" spans="1:8" x14ac:dyDescent="0.25">
      <c r="A289" s="1">
        <v>43085</v>
      </c>
      <c r="B289" t="s">
        <v>49</v>
      </c>
      <c r="C289" t="s">
        <v>37</v>
      </c>
      <c r="D289">
        <v>2823</v>
      </c>
      <c r="E289">
        <v>156</v>
      </c>
      <c r="F289">
        <v>280</v>
      </c>
      <c r="G289">
        <f t="shared" si="8"/>
        <v>1.7948717948717949</v>
      </c>
      <c r="H289" t="str">
        <f t="shared" si="9"/>
        <v/>
      </c>
    </row>
    <row r="290" spans="1:8" x14ac:dyDescent="0.25">
      <c r="A290" s="1">
        <v>43086</v>
      </c>
      <c r="B290" t="s">
        <v>37</v>
      </c>
      <c r="C290" t="s">
        <v>38</v>
      </c>
      <c r="D290">
        <v>1173</v>
      </c>
      <c r="E290">
        <v>139</v>
      </c>
      <c r="F290">
        <v>475</v>
      </c>
      <c r="G290">
        <f t="shared" si="8"/>
        <v>3.4172661870503598</v>
      </c>
      <c r="H290" t="str">
        <f t="shared" si="9"/>
        <v/>
      </c>
    </row>
    <row r="291" spans="1:8" x14ac:dyDescent="0.25">
      <c r="A291" s="1">
        <v>43087</v>
      </c>
      <c r="B291" t="s">
        <v>38</v>
      </c>
      <c r="C291" t="s">
        <v>39</v>
      </c>
      <c r="D291">
        <v>1465</v>
      </c>
      <c r="E291">
        <v>121</v>
      </c>
      <c r="F291">
        <v>193</v>
      </c>
      <c r="G291">
        <f t="shared" si="8"/>
        <v>1.5950413223140496</v>
      </c>
      <c r="H291" t="str">
        <f t="shared" si="9"/>
        <v/>
      </c>
    </row>
    <row r="292" spans="1:8" x14ac:dyDescent="0.25">
      <c r="A292" s="1">
        <v>43088</v>
      </c>
      <c r="B292" t="s">
        <v>39</v>
      </c>
      <c r="C292" t="s">
        <v>18</v>
      </c>
      <c r="D292">
        <v>1572</v>
      </c>
      <c r="E292">
        <v>159</v>
      </c>
      <c r="F292">
        <v>476</v>
      </c>
      <c r="G292">
        <f t="shared" si="8"/>
        <v>2.9937106918238992</v>
      </c>
      <c r="H292" t="str">
        <f t="shared" si="9"/>
        <v/>
      </c>
    </row>
    <row r="293" spans="1:8" x14ac:dyDescent="0.25">
      <c r="A293" s="1">
        <v>43089</v>
      </c>
      <c r="B293" t="s">
        <v>18</v>
      </c>
      <c r="C293" t="s">
        <v>39</v>
      </c>
      <c r="D293">
        <v>4084</v>
      </c>
      <c r="E293">
        <v>160</v>
      </c>
      <c r="F293">
        <v>338</v>
      </c>
      <c r="G293">
        <f t="shared" si="8"/>
        <v>2.1124999999999998</v>
      </c>
      <c r="H293" t="str">
        <f t="shared" si="9"/>
        <v/>
      </c>
    </row>
    <row r="294" spans="1:8" x14ac:dyDescent="0.25">
      <c r="A294" s="1">
        <v>43090</v>
      </c>
      <c r="B294" t="s">
        <v>15</v>
      </c>
      <c r="C294" t="s">
        <v>23</v>
      </c>
      <c r="D294">
        <v>4635</v>
      </c>
      <c r="E294">
        <v>163</v>
      </c>
      <c r="F294">
        <v>359</v>
      </c>
      <c r="G294">
        <f t="shared" si="8"/>
        <v>2.2024539877300615</v>
      </c>
      <c r="H294" t="str">
        <f t="shared" si="9"/>
        <v/>
      </c>
    </row>
    <row r="295" spans="1:8" x14ac:dyDescent="0.25">
      <c r="A295" s="1">
        <v>43092</v>
      </c>
      <c r="B295" t="s">
        <v>30</v>
      </c>
      <c r="C295" t="s">
        <v>72</v>
      </c>
      <c r="D295">
        <v>3705</v>
      </c>
      <c r="E295">
        <v>182</v>
      </c>
      <c r="F295">
        <v>760</v>
      </c>
      <c r="G295">
        <f t="shared" si="8"/>
        <v>4.1758241758241761</v>
      </c>
      <c r="H295" t="str">
        <f t="shared" si="9"/>
        <v/>
      </c>
    </row>
    <row r="296" spans="1:8" x14ac:dyDescent="0.25">
      <c r="A296" s="1">
        <v>43094</v>
      </c>
      <c r="B296" t="s">
        <v>6</v>
      </c>
      <c r="C296" t="s">
        <v>38</v>
      </c>
      <c r="D296">
        <v>5624</v>
      </c>
      <c r="E296">
        <v>541</v>
      </c>
      <c r="F296">
        <v>1198</v>
      </c>
      <c r="G296">
        <f t="shared" si="8"/>
        <v>2.2144177449168208</v>
      </c>
      <c r="H296" t="str">
        <f t="shared" si="9"/>
        <v/>
      </c>
    </row>
    <row r="297" spans="1:8" x14ac:dyDescent="0.25">
      <c r="A297" s="1">
        <v>43095</v>
      </c>
      <c r="B297" t="s">
        <v>38</v>
      </c>
      <c r="C297" t="s">
        <v>37</v>
      </c>
      <c r="D297">
        <v>4157</v>
      </c>
      <c r="E297">
        <v>151</v>
      </c>
      <c r="F297">
        <v>168</v>
      </c>
      <c r="G297">
        <f t="shared" si="8"/>
        <v>1.1125827814569536</v>
      </c>
      <c r="H297" t="str">
        <f t="shared" si="9"/>
        <v/>
      </c>
    </row>
    <row r="298" spans="1:8" x14ac:dyDescent="0.25">
      <c r="A298" s="1">
        <v>43096</v>
      </c>
      <c r="B298" t="s">
        <v>37</v>
      </c>
      <c r="C298" t="s">
        <v>43</v>
      </c>
      <c r="D298">
        <v>3021</v>
      </c>
      <c r="E298">
        <v>137</v>
      </c>
      <c r="F298">
        <v>323</v>
      </c>
      <c r="G298">
        <f t="shared" si="8"/>
        <v>2.3576642335766422</v>
      </c>
      <c r="H298" t="str">
        <f t="shared" si="9"/>
        <v/>
      </c>
    </row>
    <row r="299" spans="1:8" x14ac:dyDescent="0.25">
      <c r="A299" s="1">
        <v>43097</v>
      </c>
      <c r="B299" t="s">
        <v>43</v>
      </c>
      <c r="C299" t="s">
        <v>52</v>
      </c>
      <c r="D299">
        <v>3573</v>
      </c>
      <c r="E299">
        <v>149</v>
      </c>
      <c r="F299">
        <v>341</v>
      </c>
      <c r="G299">
        <f t="shared" si="8"/>
        <v>2.2885906040268456</v>
      </c>
      <c r="H299" t="str">
        <f t="shared" si="9"/>
        <v/>
      </c>
    </row>
    <row r="300" spans="1:8" x14ac:dyDescent="0.25">
      <c r="A300" s="1">
        <v>43098</v>
      </c>
      <c r="B300" t="s">
        <v>52</v>
      </c>
      <c r="C300" t="s">
        <v>15</v>
      </c>
      <c r="D300">
        <v>4748</v>
      </c>
      <c r="E300">
        <v>152</v>
      </c>
      <c r="F300">
        <v>491</v>
      </c>
      <c r="G300">
        <f t="shared" si="8"/>
        <v>3.2302631578947367</v>
      </c>
      <c r="H300" t="str">
        <f t="shared" si="9"/>
        <v/>
      </c>
    </row>
    <row r="301" spans="1:8" x14ac:dyDescent="0.25">
      <c r="A301" s="1">
        <v>43100</v>
      </c>
      <c r="B301" t="s">
        <v>12</v>
      </c>
      <c r="C301" t="s">
        <v>6</v>
      </c>
      <c r="D301">
        <v>2293</v>
      </c>
      <c r="E301">
        <v>126</v>
      </c>
      <c r="F301">
        <v>219</v>
      </c>
      <c r="G301">
        <f t="shared" si="8"/>
        <v>1.7380952380952381</v>
      </c>
      <c r="H301" t="str">
        <f t="shared" si="9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6F8B3-05FD-4EB2-B3BE-22A7A44C27A8}">
  <dimension ref="A1:J301"/>
  <sheetViews>
    <sheetView workbookViewId="0">
      <selection activeCell="J2" sqref="J2"/>
    </sheetView>
  </sheetViews>
  <sheetFormatPr defaultRowHeight="15" x14ac:dyDescent="0.25"/>
  <cols>
    <col min="1" max="1" width="10.140625" bestFit="1" customWidth="1"/>
    <col min="2" max="3" width="20" bestFit="1" customWidth="1"/>
    <col min="4" max="4" width="5.85546875" bestFit="1" customWidth="1"/>
    <col min="5" max="5" width="9.7109375" bestFit="1" customWidth="1"/>
    <col min="6" max="6" width="5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0" x14ac:dyDescent="0.25">
      <c r="A2" s="1">
        <v>42737</v>
      </c>
      <c r="B2" t="s">
        <v>6</v>
      </c>
      <c r="C2" t="s">
        <v>7</v>
      </c>
      <c r="D2">
        <v>3527</v>
      </c>
      <c r="E2">
        <v>167</v>
      </c>
      <c r="F2">
        <v>206</v>
      </c>
      <c r="G2">
        <f>IF(E2&gt;400,F2,0)</f>
        <v>0</v>
      </c>
      <c r="J2">
        <f>SUM(G2:G301)</f>
        <v>21108</v>
      </c>
    </row>
    <row r="3" spans="1:10" x14ac:dyDescent="0.25">
      <c r="A3" s="1">
        <v>42738</v>
      </c>
      <c r="B3" t="s">
        <v>7</v>
      </c>
      <c r="C3" t="s">
        <v>8</v>
      </c>
      <c r="D3">
        <v>3666</v>
      </c>
      <c r="E3">
        <v>112</v>
      </c>
      <c r="F3">
        <v>280</v>
      </c>
      <c r="G3">
        <f t="shared" ref="G3:G66" si="0">IF(E3&gt;400,F3,0)</f>
        <v>0</v>
      </c>
    </row>
    <row r="4" spans="1:10" x14ac:dyDescent="0.25">
      <c r="A4" s="1">
        <v>42739</v>
      </c>
      <c r="B4" t="s">
        <v>8</v>
      </c>
      <c r="C4" t="s">
        <v>9</v>
      </c>
      <c r="D4">
        <v>4888</v>
      </c>
      <c r="E4">
        <v>167</v>
      </c>
      <c r="F4">
        <v>624</v>
      </c>
      <c r="G4">
        <f t="shared" si="0"/>
        <v>0</v>
      </c>
    </row>
    <row r="5" spans="1:10" x14ac:dyDescent="0.25">
      <c r="A5" s="1">
        <v>42740</v>
      </c>
      <c r="B5" t="s">
        <v>9</v>
      </c>
      <c r="C5" t="s">
        <v>10</v>
      </c>
      <c r="D5">
        <v>1099</v>
      </c>
      <c r="E5">
        <v>167</v>
      </c>
      <c r="F5">
        <v>390</v>
      </c>
      <c r="G5">
        <f t="shared" si="0"/>
        <v>0</v>
      </c>
    </row>
    <row r="6" spans="1:10" x14ac:dyDescent="0.25">
      <c r="A6" s="1">
        <v>42742</v>
      </c>
      <c r="B6" t="s">
        <v>11</v>
      </c>
      <c r="C6" t="s">
        <v>12</v>
      </c>
      <c r="D6">
        <v>4881</v>
      </c>
      <c r="E6">
        <v>118</v>
      </c>
      <c r="F6">
        <v>219</v>
      </c>
      <c r="G6">
        <f t="shared" si="0"/>
        <v>0</v>
      </c>
    </row>
    <row r="7" spans="1:10" x14ac:dyDescent="0.25">
      <c r="A7" s="1">
        <v>42743</v>
      </c>
      <c r="B7" t="s">
        <v>12</v>
      </c>
      <c r="C7" t="s">
        <v>11</v>
      </c>
      <c r="D7">
        <v>5851</v>
      </c>
      <c r="E7">
        <v>113</v>
      </c>
      <c r="F7">
        <v>160</v>
      </c>
      <c r="G7">
        <f t="shared" si="0"/>
        <v>0</v>
      </c>
    </row>
    <row r="8" spans="1:10" x14ac:dyDescent="0.25">
      <c r="A8" s="1">
        <v>42744</v>
      </c>
      <c r="B8" t="s">
        <v>11</v>
      </c>
      <c r="C8" t="s">
        <v>13</v>
      </c>
      <c r="D8">
        <v>5963</v>
      </c>
      <c r="E8">
        <v>141</v>
      </c>
      <c r="F8">
        <v>168</v>
      </c>
      <c r="G8">
        <f t="shared" si="0"/>
        <v>0</v>
      </c>
    </row>
    <row r="9" spans="1:10" x14ac:dyDescent="0.25">
      <c r="A9" s="1">
        <v>42745</v>
      </c>
      <c r="B9" t="s">
        <v>13</v>
      </c>
      <c r="C9" t="s">
        <v>9</v>
      </c>
      <c r="D9">
        <v>1364</v>
      </c>
      <c r="E9">
        <v>179</v>
      </c>
      <c r="F9">
        <v>533</v>
      </c>
      <c r="G9">
        <f t="shared" si="0"/>
        <v>0</v>
      </c>
    </row>
    <row r="10" spans="1:10" x14ac:dyDescent="0.25">
      <c r="A10" s="1">
        <v>42746</v>
      </c>
      <c r="B10" t="s">
        <v>9</v>
      </c>
      <c r="C10" t="s">
        <v>10</v>
      </c>
      <c r="D10">
        <v>1245</v>
      </c>
      <c r="E10">
        <v>166</v>
      </c>
      <c r="F10">
        <v>209</v>
      </c>
      <c r="G10">
        <f t="shared" si="0"/>
        <v>0</v>
      </c>
    </row>
    <row r="11" spans="1:10" x14ac:dyDescent="0.25">
      <c r="A11" s="1">
        <v>42747</v>
      </c>
      <c r="B11" t="s">
        <v>14</v>
      </c>
      <c r="C11" t="s">
        <v>15</v>
      </c>
      <c r="D11">
        <v>3771</v>
      </c>
      <c r="E11">
        <v>196</v>
      </c>
      <c r="F11">
        <v>696</v>
      </c>
      <c r="G11">
        <f t="shared" si="0"/>
        <v>0</v>
      </c>
    </row>
    <row r="12" spans="1:10" x14ac:dyDescent="0.25">
      <c r="A12" s="1">
        <v>42749</v>
      </c>
      <c r="B12" t="s">
        <v>16</v>
      </c>
      <c r="C12" t="s">
        <v>17</v>
      </c>
      <c r="D12">
        <v>4522</v>
      </c>
      <c r="E12">
        <v>300</v>
      </c>
      <c r="F12">
        <v>1113</v>
      </c>
      <c r="G12">
        <f t="shared" si="0"/>
        <v>0</v>
      </c>
    </row>
    <row r="13" spans="1:10" x14ac:dyDescent="0.25">
      <c r="A13" s="1">
        <v>42750</v>
      </c>
      <c r="B13" t="s">
        <v>17</v>
      </c>
      <c r="C13" t="s">
        <v>18</v>
      </c>
      <c r="D13">
        <v>4588</v>
      </c>
      <c r="E13">
        <v>148</v>
      </c>
      <c r="F13">
        <v>494</v>
      </c>
      <c r="G13">
        <f t="shared" si="0"/>
        <v>0</v>
      </c>
    </row>
    <row r="14" spans="1:10" x14ac:dyDescent="0.25">
      <c r="A14" s="1">
        <v>42751</v>
      </c>
      <c r="B14" t="s">
        <v>19</v>
      </c>
      <c r="C14" t="s">
        <v>20</v>
      </c>
      <c r="D14">
        <v>1952</v>
      </c>
      <c r="E14">
        <v>267</v>
      </c>
      <c r="F14">
        <v>602</v>
      </c>
      <c r="G14">
        <f t="shared" si="0"/>
        <v>0</v>
      </c>
    </row>
    <row r="15" spans="1:10" x14ac:dyDescent="0.25">
      <c r="A15" s="1">
        <v>42752</v>
      </c>
      <c r="B15" t="s">
        <v>20</v>
      </c>
      <c r="C15" t="s">
        <v>7</v>
      </c>
      <c r="D15">
        <v>3318</v>
      </c>
      <c r="E15">
        <v>110</v>
      </c>
      <c r="F15">
        <v>422</v>
      </c>
      <c r="G15">
        <f t="shared" si="0"/>
        <v>0</v>
      </c>
    </row>
    <row r="16" spans="1:10" x14ac:dyDescent="0.25">
      <c r="A16" s="1">
        <v>42755</v>
      </c>
      <c r="B16" t="s">
        <v>13</v>
      </c>
      <c r="C16" t="s">
        <v>9</v>
      </c>
      <c r="D16">
        <v>3106</v>
      </c>
      <c r="E16">
        <v>173</v>
      </c>
      <c r="F16">
        <v>312</v>
      </c>
      <c r="G16">
        <f t="shared" si="0"/>
        <v>0</v>
      </c>
    </row>
    <row r="17" spans="1:7" x14ac:dyDescent="0.25">
      <c r="A17" s="1">
        <v>42756</v>
      </c>
      <c r="B17" t="s">
        <v>9</v>
      </c>
      <c r="C17" t="s">
        <v>6</v>
      </c>
      <c r="D17">
        <v>5593</v>
      </c>
      <c r="E17">
        <v>127</v>
      </c>
      <c r="F17">
        <v>421</v>
      </c>
      <c r="G17">
        <f t="shared" si="0"/>
        <v>0</v>
      </c>
    </row>
    <row r="18" spans="1:7" x14ac:dyDescent="0.25">
      <c r="A18" s="1">
        <v>42757</v>
      </c>
      <c r="B18" t="s">
        <v>6</v>
      </c>
      <c r="C18" t="s">
        <v>12</v>
      </c>
      <c r="D18">
        <v>5983</v>
      </c>
      <c r="E18">
        <v>118</v>
      </c>
      <c r="F18">
        <v>416</v>
      </c>
      <c r="G18">
        <f t="shared" si="0"/>
        <v>0</v>
      </c>
    </row>
    <row r="19" spans="1:7" x14ac:dyDescent="0.25">
      <c r="A19" s="1">
        <v>42758</v>
      </c>
      <c r="B19" t="s">
        <v>12</v>
      </c>
      <c r="C19" t="s">
        <v>6</v>
      </c>
      <c r="D19">
        <v>5496</v>
      </c>
      <c r="E19">
        <v>115</v>
      </c>
      <c r="F19">
        <v>291</v>
      </c>
      <c r="G19">
        <f t="shared" si="0"/>
        <v>0</v>
      </c>
    </row>
    <row r="20" spans="1:7" x14ac:dyDescent="0.25">
      <c r="A20" s="1">
        <v>42759</v>
      </c>
      <c r="B20" t="s">
        <v>6</v>
      </c>
      <c r="C20" t="s">
        <v>11</v>
      </c>
      <c r="D20">
        <v>4572</v>
      </c>
      <c r="E20">
        <v>164</v>
      </c>
      <c r="F20">
        <v>550</v>
      </c>
      <c r="G20">
        <f t="shared" si="0"/>
        <v>0</v>
      </c>
    </row>
    <row r="21" spans="1:7" x14ac:dyDescent="0.25">
      <c r="A21" s="1">
        <v>42760</v>
      </c>
      <c r="B21" t="s">
        <v>11</v>
      </c>
      <c r="C21" t="s">
        <v>12</v>
      </c>
      <c r="D21">
        <v>4529</v>
      </c>
      <c r="E21">
        <v>121</v>
      </c>
      <c r="F21">
        <v>373</v>
      </c>
      <c r="G21">
        <f t="shared" si="0"/>
        <v>0</v>
      </c>
    </row>
    <row r="22" spans="1:7" x14ac:dyDescent="0.25">
      <c r="A22" s="1">
        <v>42761</v>
      </c>
      <c r="B22" t="s">
        <v>12</v>
      </c>
      <c r="C22" t="s">
        <v>6</v>
      </c>
      <c r="D22">
        <v>4981</v>
      </c>
      <c r="E22">
        <v>123</v>
      </c>
      <c r="F22">
        <v>218</v>
      </c>
      <c r="G22">
        <f t="shared" si="0"/>
        <v>0</v>
      </c>
    </row>
    <row r="23" spans="1:7" x14ac:dyDescent="0.25">
      <c r="A23" s="1">
        <v>42762</v>
      </c>
      <c r="B23" t="s">
        <v>6</v>
      </c>
      <c r="C23" t="s">
        <v>7</v>
      </c>
      <c r="D23">
        <v>3808</v>
      </c>
      <c r="E23">
        <v>163</v>
      </c>
      <c r="F23">
        <v>655</v>
      </c>
      <c r="G23">
        <f t="shared" si="0"/>
        <v>0</v>
      </c>
    </row>
    <row r="24" spans="1:7" x14ac:dyDescent="0.25">
      <c r="A24" s="1">
        <v>42763</v>
      </c>
      <c r="B24" t="s">
        <v>7</v>
      </c>
      <c r="C24" t="s">
        <v>21</v>
      </c>
      <c r="D24">
        <v>1359</v>
      </c>
      <c r="E24">
        <v>130</v>
      </c>
      <c r="F24">
        <v>346</v>
      </c>
      <c r="G24">
        <f t="shared" si="0"/>
        <v>0</v>
      </c>
    </row>
    <row r="25" spans="1:7" x14ac:dyDescent="0.25">
      <c r="A25" s="1">
        <v>42764</v>
      </c>
      <c r="B25" t="s">
        <v>22</v>
      </c>
      <c r="C25" t="s">
        <v>23</v>
      </c>
      <c r="D25">
        <v>2320</v>
      </c>
      <c r="E25">
        <v>24</v>
      </c>
      <c r="F25">
        <v>68</v>
      </c>
      <c r="G25">
        <f t="shared" si="0"/>
        <v>0</v>
      </c>
    </row>
    <row r="26" spans="1:7" x14ac:dyDescent="0.25">
      <c r="A26" s="1">
        <v>42765</v>
      </c>
      <c r="B26" t="s">
        <v>23</v>
      </c>
      <c r="C26" t="s">
        <v>24</v>
      </c>
      <c r="D26">
        <v>2607</v>
      </c>
      <c r="E26">
        <v>115</v>
      </c>
      <c r="F26">
        <v>264</v>
      </c>
      <c r="G26">
        <f t="shared" si="0"/>
        <v>0</v>
      </c>
    </row>
    <row r="27" spans="1:7" x14ac:dyDescent="0.25">
      <c r="A27" s="1">
        <v>42766</v>
      </c>
      <c r="B27" t="s">
        <v>24</v>
      </c>
      <c r="C27" t="s">
        <v>23</v>
      </c>
      <c r="D27">
        <v>3657</v>
      </c>
      <c r="E27">
        <v>100</v>
      </c>
      <c r="F27">
        <v>424</v>
      </c>
      <c r="G27">
        <f t="shared" si="0"/>
        <v>0</v>
      </c>
    </row>
    <row r="28" spans="1:7" x14ac:dyDescent="0.25">
      <c r="A28" s="1">
        <v>42767</v>
      </c>
      <c r="B28" t="s">
        <v>23</v>
      </c>
      <c r="C28" t="s">
        <v>25</v>
      </c>
      <c r="D28">
        <v>5671</v>
      </c>
      <c r="E28">
        <v>118</v>
      </c>
      <c r="F28">
        <v>390</v>
      </c>
      <c r="G28">
        <f t="shared" si="0"/>
        <v>0</v>
      </c>
    </row>
    <row r="29" spans="1:7" x14ac:dyDescent="0.25">
      <c r="A29" s="1">
        <v>42768</v>
      </c>
      <c r="B29" t="s">
        <v>25</v>
      </c>
      <c r="C29" t="s">
        <v>22</v>
      </c>
      <c r="D29">
        <v>4871</v>
      </c>
      <c r="E29">
        <v>126</v>
      </c>
      <c r="F29">
        <v>185</v>
      </c>
      <c r="G29">
        <f t="shared" si="0"/>
        <v>0</v>
      </c>
    </row>
    <row r="30" spans="1:7" x14ac:dyDescent="0.25">
      <c r="A30" s="1">
        <v>42769</v>
      </c>
      <c r="B30" t="s">
        <v>22</v>
      </c>
      <c r="C30" t="s">
        <v>26</v>
      </c>
      <c r="D30">
        <v>1686</v>
      </c>
      <c r="E30">
        <v>102</v>
      </c>
      <c r="F30">
        <v>167</v>
      </c>
      <c r="G30">
        <f t="shared" si="0"/>
        <v>0</v>
      </c>
    </row>
    <row r="31" spans="1:7" x14ac:dyDescent="0.25">
      <c r="A31" s="1">
        <v>42770</v>
      </c>
      <c r="B31" t="s">
        <v>26</v>
      </c>
      <c r="C31" t="s">
        <v>21</v>
      </c>
      <c r="D31">
        <v>5628</v>
      </c>
      <c r="E31">
        <v>123</v>
      </c>
      <c r="F31">
        <v>450</v>
      </c>
      <c r="G31">
        <f t="shared" si="0"/>
        <v>0</v>
      </c>
    </row>
    <row r="32" spans="1:7" x14ac:dyDescent="0.25">
      <c r="A32" s="1">
        <v>42771</v>
      </c>
      <c r="B32" t="s">
        <v>21</v>
      </c>
      <c r="C32" t="s">
        <v>14</v>
      </c>
      <c r="D32">
        <v>3295</v>
      </c>
      <c r="E32">
        <v>103</v>
      </c>
      <c r="F32">
        <v>346</v>
      </c>
      <c r="G32">
        <f t="shared" si="0"/>
        <v>0</v>
      </c>
    </row>
    <row r="33" spans="1:7" x14ac:dyDescent="0.25">
      <c r="A33" s="1">
        <v>42772</v>
      </c>
      <c r="B33" t="s">
        <v>27</v>
      </c>
      <c r="C33" t="s">
        <v>28</v>
      </c>
      <c r="D33">
        <v>5291</v>
      </c>
      <c r="E33">
        <v>273</v>
      </c>
      <c r="F33">
        <v>520</v>
      </c>
      <c r="G33">
        <f t="shared" si="0"/>
        <v>0</v>
      </c>
    </row>
    <row r="34" spans="1:7" x14ac:dyDescent="0.25">
      <c r="A34" s="1">
        <v>42773</v>
      </c>
      <c r="B34" t="s">
        <v>28</v>
      </c>
      <c r="C34" t="s">
        <v>29</v>
      </c>
      <c r="D34">
        <v>5838</v>
      </c>
      <c r="E34">
        <v>128</v>
      </c>
      <c r="F34">
        <v>518</v>
      </c>
      <c r="G34">
        <f t="shared" si="0"/>
        <v>0</v>
      </c>
    </row>
    <row r="35" spans="1:7" x14ac:dyDescent="0.25">
      <c r="A35" s="1">
        <v>42774</v>
      </c>
      <c r="B35" t="s">
        <v>29</v>
      </c>
      <c r="C35" t="s">
        <v>20</v>
      </c>
      <c r="D35">
        <v>3319</v>
      </c>
      <c r="E35">
        <v>154</v>
      </c>
      <c r="F35">
        <v>314</v>
      </c>
      <c r="G35">
        <f t="shared" si="0"/>
        <v>0</v>
      </c>
    </row>
    <row r="36" spans="1:7" x14ac:dyDescent="0.25">
      <c r="A36" s="1">
        <v>42775</v>
      </c>
      <c r="B36" t="s">
        <v>30</v>
      </c>
      <c r="C36" t="s">
        <v>7</v>
      </c>
      <c r="D36">
        <v>2152</v>
      </c>
      <c r="E36">
        <v>190</v>
      </c>
      <c r="F36">
        <v>406</v>
      </c>
      <c r="G36">
        <f t="shared" si="0"/>
        <v>0</v>
      </c>
    </row>
    <row r="37" spans="1:7" x14ac:dyDescent="0.25">
      <c r="A37" s="1">
        <v>42776</v>
      </c>
      <c r="B37" t="s">
        <v>7</v>
      </c>
      <c r="C37" t="s">
        <v>21</v>
      </c>
      <c r="D37">
        <v>3810</v>
      </c>
      <c r="E37">
        <v>135</v>
      </c>
      <c r="F37">
        <v>221</v>
      </c>
      <c r="G37">
        <f t="shared" si="0"/>
        <v>0</v>
      </c>
    </row>
    <row r="38" spans="1:7" x14ac:dyDescent="0.25">
      <c r="A38" s="1">
        <v>42777</v>
      </c>
      <c r="B38" t="s">
        <v>21</v>
      </c>
      <c r="C38" t="s">
        <v>31</v>
      </c>
      <c r="D38">
        <v>5713</v>
      </c>
      <c r="E38">
        <v>128</v>
      </c>
      <c r="F38">
        <v>376</v>
      </c>
      <c r="G38">
        <f t="shared" si="0"/>
        <v>0</v>
      </c>
    </row>
    <row r="39" spans="1:7" x14ac:dyDescent="0.25">
      <c r="A39" s="1">
        <v>42778</v>
      </c>
      <c r="B39" t="s">
        <v>31</v>
      </c>
      <c r="C39" t="s">
        <v>21</v>
      </c>
      <c r="D39">
        <v>4163</v>
      </c>
      <c r="E39">
        <v>128</v>
      </c>
      <c r="F39">
        <v>257</v>
      </c>
      <c r="G39">
        <f t="shared" si="0"/>
        <v>0</v>
      </c>
    </row>
    <row r="40" spans="1:7" x14ac:dyDescent="0.25">
      <c r="A40" s="1">
        <v>42779</v>
      </c>
      <c r="B40" t="s">
        <v>21</v>
      </c>
      <c r="C40" t="s">
        <v>32</v>
      </c>
      <c r="D40">
        <v>3216</v>
      </c>
      <c r="E40">
        <v>162</v>
      </c>
      <c r="F40">
        <v>278</v>
      </c>
      <c r="G40">
        <f t="shared" si="0"/>
        <v>0</v>
      </c>
    </row>
    <row r="41" spans="1:7" x14ac:dyDescent="0.25">
      <c r="A41" s="1">
        <v>42780</v>
      </c>
      <c r="B41" t="s">
        <v>11</v>
      </c>
      <c r="C41" t="s">
        <v>33</v>
      </c>
      <c r="D41">
        <v>5060</v>
      </c>
      <c r="E41">
        <v>550</v>
      </c>
      <c r="F41">
        <v>1622</v>
      </c>
      <c r="G41">
        <f t="shared" si="0"/>
        <v>1622</v>
      </c>
    </row>
    <row r="42" spans="1:7" x14ac:dyDescent="0.25">
      <c r="A42" s="1">
        <v>42782</v>
      </c>
      <c r="B42" t="s">
        <v>31</v>
      </c>
      <c r="C42" t="s">
        <v>24</v>
      </c>
      <c r="D42">
        <v>2446</v>
      </c>
      <c r="E42">
        <v>161</v>
      </c>
      <c r="F42">
        <v>379</v>
      </c>
      <c r="G42">
        <f t="shared" si="0"/>
        <v>0</v>
      </c>
    </row>
    <row r="43" spans="1:7" x14ac:dyDescent="0.25">
      <c r="A43" s="1">
        <v>42783</v>
      </c>
      <c r="B43" t="s">
        <v>24</v>
      </c>
      <c r="C43" t="s">
        <v>23</v>
      </c>
      <c r="D43">
        <v>3305</v>
      </c>
      <c r="E43">
        <v>106</v>
      </c>
      <c r="F43">
        <v>116</v>
      </c>
      <c r="G43">
        <f t="shared" si="0"/>
        <v>0</v>
      </c>
    </row>
    <row r="44" spans="1:7" x14ac:dyDescent="0.25">
      <c r="A44" s="1">
        <v>42785</v>
      </c>
      <c r="B44" t="s">
        <v>21</v>
      </c>
      <c r="C44" t="s">
        <v>7</v>
      </c>
      <c r="D44">
        <v>1743</v>
      </c>
      <c r="E44">
        <v>145</v>
      </c>
      <c r="F44">
        <v>376</v>
      </c>
      <c r="G44">
        <f t="shared" si="0"/>
        <v>0</v>
      </c>
    </row>
    <row r="45" spans="1:7" x14ac:dyDescent="0.25">
      <c r="A45" s="1">
        <v>42788</v>
      </c>
      <c r="B45" t="s">
        <v>17</v>
      </c>
      <c r="C45" t="s">
        <v>34</v>
      </c>
      <c r="D45">
        <v>4053</v>
      </c>
      <c r="E45">
        <v>146</v>
      </c>
      <c r="F45">
        <v>441</v>
      </c>
      <c r="G45">
        <f t="shared" si="0"/>
        <v>0</v>
      </c>
    </row>
    <row r="46" spans="1:7" x14ac:dyDescent="0.25">
      <c r="A46" s="1">
        <v>42789</v>
      </c>
      <c r="B46" t="s">
        <v>18</v>
      </c>
      <c r="C46" t="s">
        <v>29</v>
      </c>
      <c r="D46">
        <v>4905</v>
      </c>
      <c r="E46">
        <v>157</v>
      </c>
      <c r="F46">
        <v>392</v>
      </c>
      <c r="G46">
        <f t="shared" si="0"/>
        <v>0</v>
      </c>
    </row>
    <row r="47" spans="1:7" x14ac:dyDescent="0.25">
      <c r="A47" s="1">
        <v>42791</v>
      </c>
      <c r="B47" t="s">
        <v>8</v>
      </c>
      <c r="C47" t="s">
        <v>7</v>
      </c>
      <c r="D47">
        <v>1624</v>
      </c>
      <c r="E47">
        <v>111</v>
      </c>
      <c r="F47">
        <v>221</v>
      </c>
      <c r="G47">
        <f t="shared" si="0"/>
        <v>0</v>
      </c>
    </row>
    <row r="48" spans="1:7" x14ac:dyDescent="0.25">
      <c r="A48" s="1">
        <v>42793</v>
      </c>
      <c r="B48" t="s">
        <v>35</v>
      </c>
      <c r="C48" t="s">
        <v>27</v>
      </c>
      <c r="D48">
        <v>5326</v>
      </c>
      <c r="E48">
        <v>171</v>
      </c>
      <c r="F48">
        <v>263</v>
      </c>
      <c r="G48">
        <f t="shared" si="0"/>
        <v>0</v>
      </c>
    </row>
    <row r="49" spans="1:7" x14ac:dyDescent="0.25">
      <c r="A49" s="1">
        <v>42794</v>
      </c>
      <c r="B49" t="s">
        <v>36</v>
      </c>
      <c r="C49" t="s">
        <v>12</v>
      </c>
      <c r="D49">
        <v>4398</v>
      </c>
      <c r="E49">
        <v>225</v>
      </c>
      <c r="F49">
        <v>400</v>
      </c>
      <c r="G49">
        <f t="shared" si="0"/>
        <v>0</v>
      </c>
    </row>
    <row r="50" spans="1:7" x14ac:dyDescent="0.25">
      <c r="A50" s="1">
        <v>42795</v>
      </c>
      <c r="B50" t="s">
        <v>35</v>
      </c>
      <c r="C50" t="s">
        <v>37</v>
      </c>
      <c r="D50">
        <v>4494</v>
      </c>
      <c r="E50">
        <v>143</v>
      </c>
      <c r="F50">
        <v>252</v>
      </c>
      <c r="G50">
        <f t="shared" si="0"/>
        <v>0</v>
      </c>
    </row>
    <row r="51" spans="1:7" x14ac:dyDescent="0.25">
      <c r="A51" s="1">
        <v>42796</v>
      </c>
      <c r="B51" t="s">
        <v>37</v>
      </c>
      <c r="C51" t="s">
        <v>38</v>
      </c>
      <c r="D51">
        <v>2136</v>
      </c>
      <c r="E51">
        <v>139</v>
      </c>
      <c r="F51">
        <v>522</v>
      </c>
      <c r="G51">
        <f t="shared" si="0"/>
        <v>0</v>
      </c>
    </row>
    <row r="52" spans="1:7" x14ac:dyDescent="0.25">
      <c r="A52" s="1">
        <v>42797</v>
      </c>
      <c r="B52" t="s">
        <v>38</v>
      </c>
      <c r="C52" t="s">
        <v>39</v>
      </c>
      <c r="D52">
        <v>4481</v>
      </c>
      <c r="E52">
        <v>121</v>
      </c>
      <c r="F52">
        <v>446</v>
      </c>
      <c r="G52">
        <f t="shared" si="0"/>
        <v>0</v>
      </c>
    </row>
    <row r="53" spans="1:7" x14ac:dyDescent="0.25">
      <c r="A53" s="1">
        <v>42798</v>
      </c>
      <c r="B53" t="s">
        <v>29</v>
      </c>
      <c r="C53" t="s">
        <v>14</v>
      </c>
      <c r="D53">
        <v>1749</v>
      </c>
      <c r="E53">
        <v>232</v>
      </c>
      <c r="F53">
        <v>928</v>
      </c>
      <c r="G53">
        <f t="shared" si="0"/>
        <v>0</v>
      </c>
    </row>
    <row r="54" spans="1:7" x14ac:dyDescent="0.25">
      <c r="A54" s="1">
        <v>42802</v>
      </c>
      <c r="B54" t="s">
        <v>29</v>
      </c>
      <c r="C54" t="s">
        <v>20</v>
      </c>
      <c r="D54">
        <v>1203</v>
      </c>
      <c r="E54">
        <v>146</v>
      </c>
      <c r="F54">
        <v>330</v>
      </c>
      <c r="G54">
        <f t="shared" si="0"/>
        <v>0</v>
      </c>
    </row>
    <row r="55" spans="1:7" x14ac:dyDescent="0.25">
      <c r="A55" s="1">
        <v>42803</v>
      </c>
      <c r="B55" t="s">
        <v>20</v>
      </c>
      <c r="C55" t="s">
        <v>40</v>
      </c>
      <c r="D55">
        <v>4505</v>
      </c>
      <c r="E55">
        <v>118</v>
      </c>
      <c r="F55">
        <v>374</v>
      </c>
      <c r="G55">
        <f t="shared" si="0"/>
        <v>0</v>
      </c>
    </row>
    <row r="56" spans="1:7" x14ac:dyDescent="0.25">
      <c r="A56" s="1">
        <v>42804</v>
      </c>
      <c r="B56" t="s">
        <v>40</v>
      </c>
      <c r="C56" t="s">
        <v>41</v>
      </c>
      <c r="D56">
        <v>1454</v>
      </c>
      <c r="E56">
        <v>95</v>
      </c>
      <c r="F56">
        <v>197</v>
      </c>
      <c r="G56">
        <f t="shared" si="0"/>
        <v>0</v>
      </c>
    </row>
    <row r="57" spans="1:7" x14ac:dyDescent="0.25">
      <c r="A57" s="1">
        <v>42805</v>
      </c>
      <c r="B57" t="s">
        <v>41</v>
      </c>
      <c r="C57" t="s">
        <v>16</v>
      </c>
      <c r="D57">
        <v>2835</v>
      </c>
      <c r="E57">
        <v>136</v>
      </c>
      <c r="F57">
        <v>418</v>
      </c>
      <c r="G57">
        <f t="shared" si="0"/>
        <v>0</v>
      </c>
    </row>
    <row r="58" spans="1:7" x14ac:dyDescent="0.25">
      <c r="A58" s="1">
        <v>42806</v>
      </c>
      <c r="B58" t="s">
        <v>16</v>
      </c>
      <c r="C58" t="s">
        <v>42</v>
      </c>
      <c r="D58">
        <v>2338</v>
      </c>
      <c r="E58">
        <v>123</v>
      </c>
      <c r="F58">
        <v>215</v>
      </c>
      <c r="G58">
        <f t="shared" si="0"/>
        <v>0</v>
      </c>
    </row>
    <row r="59" spans="1:7" x14ac:dyDescent="0.25">
      <c r="A59" s="1">
        <v>42807</v>
      </c>
      <c r="B59" t="s">
        <v>26</v>
      </c>
      <c r="C59" t="s">
        <v>43</v>
      </c>
      <c r="D59">
        <v>4154</v>
      </c>
      <c r="E59">
        <v>277</v>
      </c>
      <c r="F59">
        <v>924</v>
      </c>
      <c r="G59">
        <f t="shared" si="0"/>
        <v>0</v>
      </c>
    </row>
    <row r="60" spans="1:7" x14ac:dyDescent="0.25">
      <c r="A60" s="1">
        <v>42810</v>
      </c>
      <c r="B60" t="s">
        <v>15</v>
      </c>
      <c r="C60" t="s">
        <v>25</v>
      </c>
      <c r="D60">
        <v>1767</v>
      </c>
      <c r="E60">
        <v>91</v>
      </c>
      <c r="F60">
        <v>247</v>
      </c>
      <c r="G60">
        <f t="shared" si="0"/>
        <v>0</v>
      </c>
    </row>
    <row r="61" spans="1:7" x14ac:dyDescent="0.25">
      <c r="A61" s="1">
        <v>42812</v>
      </c>
      <c r="B61" t="s">
        <v>44</v>
      </c>
      <c r="C61" t="s">
        <v>45</v>
      </c>
      <c r="D61">
        <v>2929</v>
      </c>
      <c r="E61">
        <v>152</v>
      </c>
      <c r="F61">
        <v>278</v>
      </c>
      <c r="G61">
        <f t="shared" si="0"/>
        <v>0</v>
      </c>
    </row>
    <row r="62" spans="1:7" x14ac:dyDescent="0.25">
      <c r="A62" s="1">
        <v>42813</v>
      </c>
      <c r="B62" t="s">
        <v>45</v>
      </c>
      <c r="C62" t="s">
        <v>46</v>
      </c>
      <c r="D62">
        <v>2151</v>
      </c>
      <c r="E62">
        <v>177</v>
      </c>
      <c r="F62">
        <v>365</v>
      </c>
      <c r="G62">
        <f t="shared" si="0"/>
        <v>0</v>
      </c>
    </row>
    <row r="63" spans="1:7" x14ac:dyDescent="0.25">
      <c r="A63" s="1">
        <v>42814</v>
      </c>
      <c r="B63" t="s">
        <v>46</v>
      </c>
      <c r="C63" t="s">
        <v>47</v>
      </c>
      <c r="D63">
        <v>2431</v>
      </c>
      <c r="E63">
        <v>96</v>
      </c>
      <c r="F63">
        <v>409</v>
      </c>
      <c r="G63">
        <f t="shared" si="0"/>
        <v>0</v>
      </c>
    </row>
    <row r="64" spans="1:7" x14ac:dyDescent="0.25">
      <c r="A64" s="1">
        <v>42815</v>
      </c>
      <c r="B64" t="s">
        <v>34</v>
      </c>
      <c r="C64" t="s">
        <v>46</v>
      </c>
      <c r="D64">
        <v>1168</v>
      </c>
      <c r="E64">
        <v>143</v>
      </c>
      <c r="F64">
        <v>501</v>
      </c>
      <c r="G64">
        <f t="shared" si="0"/>
        <v>0</v>
      </c>
    </row>
    <row r="65" spans="1:7" x14ac:dyDescent="0.25">
      <c r="A65" s="1">
        <v>42816</v>
      </c>
      <c r="B65" t="s">
        <v>46</v>
      </c>
      <c r="C65" t="s">
        <v>19</v>
      </c>
      <c r="D65">
        <v>4251</v>
      </c>
      <c r="E65">
        <v>122</v>
      </c>
      <c r="F65">
        <v>227</v>
      </c>
      <c r="G65">
        <f t="shared" si="0"/>
        <v>0</v>
      </c>
    </row>
    <row r="66" spans="1:7" x14ac:dyDescent="0.25">
      <c r="A66" s="1">
        <v>42817</v>
      </c>
      <c r="B66" t="s">
        <v>19</v>
      </c>
      <c r="C66" t="s">
        <v>16</v>
      </c>
      <c r="D66">
        <v>4347</v>
      </c>
      <c r="E66">
        <v>117</v>
      </c>
      <c r="F66">
        <v>158</v>
      </c>
      <c r="G66">
        <f t="shared" si="0"/>
        <v>0</v>
      </c>
    </row>
    <row r="67" spans="1:7" x14ac:dyDescent="0.25">
      <c r="A67" s="1">
        <v>42818</v>
      </c>
      <c r="B67" t="s">
        <v>16</v>
      </c>
      <c r="C67" t="s">
        <v>41</v>
      </c>
      <c r="D67">
        <v>5287</v>
      </c>
      <c r="E67">
        <v>127</v>
      </c>
      <c r="F67">
        <v>495</v>
      </c>
      <c r="G67">
        <f t="shared" ref="G67:G130" si="1">IF(E67&gt;400,F67,0)</f>
        <v>0</v>
      </c>
    </row>
    <row r="68" spans="1:7" x14ac:dyDescent="0.25">
      <c r="A68" s="1">
        <v>42820</v>
      </c>
      <c r="B68" t="s">
        <v>17</v>
      </c>
      <c r="C68" t="s">
        <v>18</v>
      </c>
      <c r="D68">
        <v>5177</v>
      </c>
      <c r="E68">
        <v>147</v>
      </c>
      <c r="F68">
        <v>443</v>
      </c>
      <c r="G68">
        <f t="shared" si="1"/>
        <v>0</v>
      </c>
    </row>
    <row r="69" spans="1:7" x14ac:dyDescent="0.25">
      <c r="A69" s="1">
        <v>42821</v>
      </c>
      <c r="B69" t="s">
        <v>15</v>
      </c>
      <c r="C69" t="s">
        <v>26</v>
      </c>
      <c r="D69">
        <v>3858</v>
      </c>
      <c r="E69">
        <v>155</v>
      </c>
      <c r="F69">
        <v>261</v>
      </c>
      <c r="G69">
        <f t="shared" si="1"/>
        <v>0</v>
      </c>
    </row>
    <row r="70" spans="1:7" x14ac:dyDescent="0.25">
      <c r="A70" s="1">
        <v>42822</v>
      </c>
      <c r="B70" t="s">
        <v>26</v>
      </c>
      <c r="C70" t="s">
        <v>48</v>
      </c>
      <c r="D70">
        <v>4637</v>
      </c>
      <c r="E70">
        <v>116</v>
      </c>
      <c r="F70">
        <v>242</v>
      </c>
      <c r="G70">
        <f t="shared" si="1"/>
        <v>0</v>
      </c>
    </row>
    <row r="71" spans="1:7" x14ac:dyDescent="0.25">
      <c r="A71" s="1">
        <v>42823</v>
      </c>
      <c r="B71" t="s">
        <v>48</v>
      </c>
      <c r="C71" t="s">
        <v>14</v>
      </c>
      <c r="D71">
        <v>5212</v>
      </c>
      <c r="E71">
        <v>123</v>
      </c>
      <c r="F71">
        <v>517</v>
      </c>
      <c r="G71">
        <f t="shared" si="1"/>
        <v>0</v>
      </c>
    </row>
    <row r="72" spans="1:7" x14ac:dyDescent="0.25">
      <c r="A72" s="1">
        <v>42824</v>
      </c>
      <c r="B72" t="s">
        <v>14</v>
      </c>
      <c r="C72" t="s">
        <v>40</v>
      </c>
      <c r="D72">
        <v>1099</v>
      </c>
      <c r="E72">
        <v>128</v>
      </c>
      <c r="F72">
        <v>205</v>
      </c>
      <c r="G72">
        <f t="shared" si="1"/>
        <v>0</v>
      </c>
    </row>
    <row r="73" spans="1:7" x14ac:dyDescent="0.25">
      <c r="A73" s="1">
        <v>42825</v>
      </c>
      <c r="B73" t="s">
        <v>40</v>
      </c>
      <c r="C73" t="s">
        <v>41</v>
      </c>
      <c r="D73">
        <v>4422</v>
      </c>
      <c r="E73">
        <v>105</v>
      </c>
      <c r="F73">
        <v>145</v>
      </c>
      <c r="G73">
        <f t="shared" si="1"/>
        <v>0</v>
      </c>
    </row>
    <row r="74" spans="1:7" x14ac:dyDescent="0.25">
      <c r="A74" s="1">
        <v>42827</v>
      </c>
      <c r="B74" t="s">
        <v>33</v>
      </c>
      <c r="C74" t="s">
        <v>38</v>
      </c>
      <c r="D74">
        <v>2742</v>
      </c>
      <c r="E74">
        <v>109</v>
      </c>
      <c r="F74">
        <v>117</v>
      </c>
      <c r="G74">
        <f t="shared" si="1"/>
        <v>0</v>
      </c>
    </row>
    <row r="75" spans="1:7" x14ac:dyDescent="0.25">
      <c r="A75" s="1">
        <v>42828</v>
      </c>
      <c r="B75" t="s">
        <v>38</v>
      </c>
      <c r="C75" t="s">
        <v>33</v>
      </c>
      <c r="D75">
        <v>2100</v>
      </c>
      <c r="E75">
        <v>115</v>
      </c>
      <c r="F75">
        <v>172</v>
      </c>
      <c r="G75">
        <f t="shared" si="1"/>
        <v>0</v>
      </c>
    </row>
    <row r="76" spans="1:7" x14ac:dyDescent="0.25">
      <c r="A76" s="1">
        <v>42829</v>
      </c>
      <c r="B76" t="s">
        <v>33</v>
      </c>
      <c r="C76" t="s">
        <v>38</v>
      </c>
      <c r="D76">
        <v>5626</v>
      </c>
      <c r="E76">
        <v>123</v>
      </c>
      <c r="F76">
        <v>377</v>
      </c>
      <c r="G76">
        <f t="shared" si="1"/>
        <v>0</v>
      </c>
    </row>
    <row r="77" spans="1:7" x14ac:dyDescent="0.25">
      <c r="A77" s="1">
        <v>42830</v>
      </c>
      <c r="B77" t="s">
        <v>38</v>
      </c>
      <c r="C77" t="s">
        <v>33</v>
      </c>
      <c r="D77">
        <v>1629</v>
      </c>
      <c r="E77">
        <v>109</v>
      </c>
      <c r="F77">
        <v>258</v>
      </c>
      <c r="G77">
        <f t="shared" si="1"/>
        <v>0</v>
      </c>
    </row>
    <row r="78" spans="1:7" x14ac:dyDescent="0.25">
      <c r="A78" s="1">
        <v>42831</v>
      </c>
      <c r="B78" t="s">
        <v>33</v>
      </c>
      <c r="C78" t="s">
        <v>49</v>
      </c>
      <c r="D78">
        <v>4787</v>
      </c>
      <c r="E78">
        <v>155</v>
      </c>
      <c r="F78">
        <v>354</v>
      </c>
      <c r="G78">
        <f t="shared" si="1"/>
        <v>0</v>
      </c>
    </row>
    <row r="79" spans="1:7" x14ac:dyDescent="0.25">
      <c r="A79" s="1">
        <v>42832</v>
      </c>
      <c r="B79" t="s">
        <v>50</v>
      </c>
      <c r="C79" t="s">
        <v>45</v>
      </c>
      <c r="D79">
        <v>4678</v>
      </c>
      <c r="E79">
        <v>182</v>
      </c>
      <c r="F79">
        <v>254</v>
      </c>
      <c r="G79">
        <f t="shared" si="1"/>
        <v>0</v>
      </c>
    </row>
    <row r="80" spans="1:7" x14ac:dyDescent="0.25">
      <c r="A80" s="1">
        <v>42833</v>
      </c>
      <c r="B80" t="s">
        <v>45</v>
      </c>
      <c r="C80" t="s">
        <v>44</v>
      </c>
      <c r="D80">
        <v>5869</v>
      </c>
      <c r="E80">
        <v>152</v>
      </c>
      <c r="F80">
        <v>599</v>
      </c>
      <c r="G80">
        <f t="shared" si="1"/>
        <v>0</v>
      </c>
    </row>
    <row r="81" spans="1:7" x14ac:dyDescent="0.25">
      <c r="A81" s="1">
        <v>42834</v>
      </c>
      <c r="B81" t="s">
        <v>51</v>
      </c>
      <c r="C81" t="s">
        <v>44</v>
      </c>
      <c r="D81">
        <v>2678</v>
      </c>
      <c r="E81">
        <v>178</v>
      </c>
      <c r="F81">
        <v>481</v>
      </c>
      <c r="G81">
        <f t="shared" si="1"/>
        <v>0</v>
      </c>
    </row>
    <row r="82" spans="1:7" x14ac:dyDescent="0.25">
      <c r="A82" s="1">
        <v>42835</v>
      </c>
      <c r="B82" t="s">
        <v>20</v>
      </c>
      <c r="C82" t="s">
        <v>43</v>
      </c>
      <c r="D82">
        <v>3193</v>
      </c>
      <c r="E82">
        <v>241</v>
      </c>
      <c r="F82">
        <v>507</v>
      </c>
      <c r="G82">
        <f t="shared" si="1"/>
        <v>0</v>
      </c>
    </row>
    <row r="83" spans="1:7" x14ac:dyDescent="0.25">
      <c r="A83" s="1">
        <v>42836</v>
      </c>
      <c r="B83" t="s">
        <v>27</v>
      </c>
      <c r="C83" t="s">
        <v>25</v>
      </c>
      <c r="D83">
        <v>1011</v>
      </c>
      <c r="E83">
        <v>211</v>
      </c>
      <c r="F83">
        <v>536</v>
      </c>
      <c r="G83">
        <f t="shared" si="1"/>
        <v>0</v>
      </c>
    </row>
    <row r="84" spans="1:7" x14ac:dyDescent="0.25">
      <c r="A84" s="1">
        <v>42837</v>
      </c>
      <c r="B84" t="s">
        <v>25</v>
      </c>
      <c r="C84" t="s">
        <v>23</v>
      </c>
      <c r="D84">
        <v>3398</v>
      </c>
      <c r="E84">
        <v>122</v>
      </c>
      <c r="F84">
        <v>163</v>
      </c>
      <c r="G84">
        <f t="shared" si="1"/>
        <v>0</v>
      </c>
    </row>
    <row r="85" spans="1:7" x14ac:dyDescent="0.25">
      <c r="A85" s="1">
        <v>42839</v>
      </c>
      <c r="B85" t="s">
        <v>52</v>
      </c>
      <c r="C85" t="s">
        <v>53</v>
      </c>
      <c r="D85">
        <v>5416</v>
      </c>
      <c r="E85">
        <v>156</v>
      </c>
      <c r="F85">
        <v>349</v>
      </c>
      <c r="G85">
        <f t="shared" si="1"/>
        <v>0</v>
      </c>
    </row>
    <row r="86" spans="1:7" x14ac:dyDescent="0.25">
      <c r="A86" s="1">
        <v>42840</v>
      </c>
      <c r="B86" t="s">
        <v>9</v>
      </c>
      <c r="C86" t="s">
        <v>54</v>
      </c>
      <c r="D86">
        <v>3914</v>
      </c>
      <c r="E86">
        <v>417</v>
      </c>
      <c r="F86">
        <v>888</v>
      </c>
      <c r="G86">
        <f t="shared" si="1"/>
        <v>888</v>
      </c>
    </row>
    <row r="87" spans="1:7" x14ac:dyDescent="0.25">
      <c r="A87" s="1">
        <v>42841</v>
      </c>
      <c r="B87" t="s">
        <v>54</v>
      </c>
      <c r="C87" t="s">
        <v>47</v>
      </c>
      <c r="D87">
        <v>5805</v>
      </c>
      <c r="E87">
        <v>145</v>
      </c>
      <c r="F87">
        <v>301</v>
      </c>
      <c r="G87">
        <f t="shared" si="1"/>
        <v>0</v>
      </c>
    </row>
    <row r="88" spans="1:7" x14ac:dyDescent="0.25">
      <c r="A88" s="1">
        <v>42842</v>
      </c>
      <c r="B88" t="s">
        <v>47</v>
      </c>
      <c r="C88" t="s">
        <v>54</v>
      </c>
      <c r="D88">
        <v>4033</v>
      </c>
      <c r="E88">
        <v>136</v>
      </c>
      <c r="F88">
        <v>297</v>
      </c>
      <c r="G88">
        <f t="shared" si="1"/>
        <v>0</v>
      </c>
    </row>
    <row r="89" spans="1:7" x14ac:dyDescent="0.25">
      <c r="A89" s="1">
        <v>42844</v>
      </c>
      <c r="B89" t="s">
        <v>44</v>
      </c>
      <c r="C89" t="s">
        <v>55</v>
      </c>
      <c r="D89">
        <v>1021</v>
      </c>
      <c r="E89">
        <v>184</v>
      </c>
      <c r="F89">
        <v>660</v>
      </c>
      <c r="G89">
        <f t="shared" si="1"/>
        <v>0</v>
      </c>
    </row>
    <row r="90" spans="1:7" x14ac:dyDescent="0.25">
      <c r="A90" s="1">
        <v>42846</v>
      </c>
      <c r="B90" t="s">
        <v>56</v>
      </c>
      <c r="C90" t="s">
        <v>45</v>
      </c>
      <c r="D90">
        <v>5162</v>
      </c>
      <c r="E90">
        <v>17</v>
      </c>
      <c r="F90">
        <v>28</v>
      </c>
      <c r="G90">
        <f t="shared" si="1"/>
        <v>0</v>
      </c>
    </row>
    <row r="91" spans="1:7" x14ac:dyDescent="0.25">
      <c r="A91" s="1">
        <v>42847</v>
      </c>
      <c r="B91" t="s">
        <v>45</v>
      </c>
      <c r="C91" t="s">
        <v>44</v>
      </c>
      <c r="D91">
        <v>2050</v>
      </c>
      <c r="E91">
        <v>162</v>
      </c>
      <c r="F91">
        <v>569</v>
      </c>
      <c r="G91">
        <f t="shared" si="1"/>
        <v>0</v>
      </c>
    </row>
    <row r="92" spans="1:7" x14ac:dyDescent="0.25">
      <c r="A92" s="1">
        <v>42849</v>
      </c>
      <c r="B92" t="s">
        <v>43</v>
      </c>
      <c r="C92" t="s">
        <v>37</v>
      </c>
      <c r="D92">
        <v>5312</v>
      </c>
      <c r="E92">
        <v>153</v>
      </c>
      <c r="F92">
        <v>356</v>
      </c>
      <c r="G92">
        <f t="shared" si="1"/>
        <v>0</v>
      </c>
    </row>
    <row r="93" spans="1:7" x14ac:dyDescent="0.25">
      <c r="A93" s="1">
        <v>42851</v>
      </c>
      <c r="B93" t="s">
        <v>23</v>
      </c>
      <c r="C93" t="s">
        <v>42</v>
      </c>
      <c r="D93">
        <v>2443</v>
      </c>
      <c r="E93">
        <v>392</v>
      </c>
      <c r="F93">
        <v>1392</v>
      </c>
      <c r="G93">
        <f t="shared" si="1"/>
        <v>0</v>
      </c>
    </row>
    <row r="94" spans="1:7" x14ac:dyDescent="0.25">
      <c r="A94" s="1">
        <v>42853</v>
      </c>
      <c r="B94" t="s">
        <v>56</v>
      </c>
      <c r="C94" t="s">
        <v>50</v>
      </c>
      <c r="D94">
        <v>1161</v>
      </c>
      <c r="E94">
        <v>174</v>
      </c>
      <c r="F94">
        <v>323</v>
      </c>
      <c r="G94">
        <f t="shared" si="1"/>
        <v>0</v>
      </c>
    </row>
    <row r="95" spans="1:7" x14ac:dyDescent="0.25">
      <c r="A95" s="1">
        <v>42854</v>
      </c>
      <c r="B95" t="s">
        <v>50</v>
      </c>
      <c r="C95" t="s">
        <v>17</v>
      </c>
      <c r="D95">
        <v>3435</v>
      </c>
      <c r="E95">
        <v>146</v>
      </c>
      <c r="F95">
        <v>530</v>
      </c>
      <c r="G95">
        <f t="shared" si="1"/>
        <v>0</v>
      </c>
    </row>
    <row r="96" spans="1:7" x14ac:dyDescent="0.25">
      <c r="A96" s="1">
        <v>42855</v>
      </c>
      <c r="B96" t="s">
        <v>57</v>
      </c>
      <c r="C96" t="s">
        <v>32</v>
      </c>
      <c r="D96">
        <v>3358</v>
      </c>
      <c r="E96">
        <v>168</v>
      </c>
      <c r="F96">
        <v>569</v>
      </c>
      <c r="G96">
        <f t="shared" si="1"/>
        <v>0</v>
      </c>
    </row>
    <row r="97" spans="1:7" x14ac:dyDescent="0.25">
      <c r="A97" s="1">
        <v>42856</v>
      </c>
      <c r="B97" t="s">
        <v>52</v>
      </c>
      <c r="C97" t="s">
        <v>58</v>
      </c>
      <c r="D97">
        <v>2719</v>
      </c>
      <c r="E97">
        <v>152</v>
      </c>
      <c r="F97">
        <v>240</v>
      </c>
      <c r="G97">
        <f t="shared" si="1"/>
        <v>0</v>
      </c>
    </row>
    <row r="98" spans="1:7" x14ac:dyDescent="0.25">
      <c r="A98" s="1">
        <v>42857</v>
      </c>
      <c r="B98" t="s">
        <v>58</v>
      </c>
      <c r="C98" t="s">
        <v>23</v>
      </c>
      <c r="D98">
        <v>1793</v>
      </c>
      <c r="E98">
        <v>197</v>
      </c>
      <c r="F98">
        <v>754</v>
      </c>
      <c r="G98">
        <f t="shared" si="1"/>
        <v>0</v>
      </c>
    </row>
    <row r="99" spans="1:7" x14ac:dyDescent="0.25">
      <c r="A99" s="1">
        <v>42860</v>
      </c>
      <c r="B99" t="s">
        <v>19</v>
      </c>
      <c r="C99" t="s">
        <v>29</v>
      </c>
      <c r="D99">
        <v>1858</v>
      </c>
      <c r="E99">
        <v>104</v>
      </c>
      <c r="F99">
        <v>171</v>
      </c>
      <c r="G99">
        <f t="shared" si="1"/>
        <v>0</v>
      </c>
    </row>
    <row r="100" spans="1:7" x14ac:dyDescent="0.25">
      <c r="A100" s="1">
        <v>42861</v>
      </c>
      <c r="B100" t="s">
        <v>29</v>
      </c>
      <c r="C100" t="s">
        <v>19</v>
      </c>
      <c r="D100">
        <v>4651</v>
      </c>
      <c r="E100">
        <v>111</v>
      </c>
      <c r="F100">
        <v>190</v>
      </c>
      <c r="G100">
        <f t="shared" si="1"/>
        <v>0</v>
      </c>
    </row>
    <row r="101" spans="1:7" x14ac:dyDescent="0.25">
      <c r="A101" s="1">
        <v>42862</v>
      </c>
      <c r="B101" t="s">
        <v>19</v>
      </c>
      <c r="C101" t="s">
        <v>29</v>
      </c>
      <c r="D101">
        <v>2929</v>
      </c>
      <c r="E101">
        <v>111</v>
      </c>
      <c r="F101">
        <v>395</v>
      </c>
      <c r="G101">
        <f t="shared" si="1"/>
        <v>0</v>
      </c>
    </row>
    <row r="102" spans="1:7" x14ac:dyDescent="0.25">
      <c r="A102" s="1">
        <v>42863</v>
      </c>
      <c r="B102" t="s">
        <v>29</v>
      </c>
      <c r="C102" t="s">
        <v>28</v>
      </c>
      <c r="D102">
        <v>2608</v>
      </c>
      <c r="E102">
        <v>123</v>
      </c>
      <c r="F102">
        <v>223</v>
      </c>
      <c r="G102">
        <f t="shared" si="1"/>
        <v>0</v>
      </c>
    </row>
    <row r="103" spans="1:7" x14ac:dyDescent="0.25">
      <c r="A103" s="1">
        <v>42864</v>
      </c>
      <c r="B103" t="s">
        <v>28</v>
      </c>
      <c r="C103" t="s">
        <v>14</v>
      </c>
      <c r="D103">
        <v>3094</v>
      </c>
      <c r="E103">
        <v>107</v>
      </c>
      <c r="F103">
        <v>143</v>
      </c>
      <c r="G103">
        <f t="shared" si="1"/>
        <v>0</v>
      </c>
    </row>
    <row r="104" spans="1:7" x14ac:dyDescent="0.25">
      <c r="A104" s="1">
        <v>42867</v>
      </c>
      <c r="B104" t="s">
        <v>19</v>
      </c>
      <c r="C104" t="s">
        <v>59</v>
      </c>
      <c r="D104">
        <v>5288</v>
      </c>
      <c r="E104">
        <v>107</v>
      </c>
      <c r="F104">
        <v>312</v>
      </c>
      <c r="G104">
        <f t="shared" si="1"/>
        <v>0</v>
      </c>
    </row>
    <row r="105" spans="1:7" x14ac:dyDescent="0.25">
      <c r="A105" s="1">
        <v>42868</v>
      </c>
      <c r="B105" t="s">
        <v>43</v>
      </c>
      <c r="C105" t="s">
        <v>28</v>
      </c>
      <c r="D105">
        <v>4888</v>
      </c>
      <c r="E105">
        <v>182</v>
      </c>
      <c r="F105">
        <v>248</v>
      </c>
      <c r="G105">
        <f t="shared" si="1"/>
        <v>0</v>
      </c>
    </row>
    <row r="106" spans="1:7" x14ac:dyDescent="0.25">
      <c r="A106" s="1">
        <v>42869</v>
      </c>
      <c r="B106" t="s">
        <v>28</v>
      </c>
      <c r="C106" t="s">
        <v>60</v>
      </c>
      <c r="D106">
        <v>5475</v>
      </c>
      <c r="E106">
        <v>129</v>
      </c>
      <c r="F106">
        <v>200</v>
      </c>
      <c r="G106">
        <f t="shared" si="1"/>
        <v>0</v>
      </c>
    </row>
    <row r="107" spans="1:7" x14ac:dyDescent="0.25">
      <c r="A107" s="1">
        <v>42870</v>
      </c>
      <c r="B107" t="s">
        <v>60</v>
      </c>
      <c r="C107" t="s">
        <v>47</v>
      </c>
      <c r="D107">
        <v>4863</v>
      </c>
      <c r="E107">
        <v>141</v>
      </c>
      <c r="F107">
        <v>444</v>
      </c>
      <c r="G107">
        <f t="shared" si="1"/>
        <v>0</v>
      </c>
    </row>
    <row r="108" spans="1:7" x14ac:dyDescent="0.25">
      <c r="A108" s="1">
        <v>42872</v>
      </c>
      <c r="B108" t="s">
        <v>29</v>
      </c>
      <c r="C108" t="s">
        <v>56</v>
      </c>
      <c r="D108">
        <v>5933</v>
      </c>
      <c r="E108">
        <v>335</v>
      </c>
      <c r="F108">
        <v>479</v>
      </c>
      <c r="G108">
        <f t="shared" si="1"/>
        <v>0</v>
      </c>
    </row>
    <row r="109" spans="1:7" x14ac:dyDescent="0.25">
      <c r="A109" s="1">
        <v>42873</v>
      </c>
      <c r="B109" t="s">
        <v>59</v>
      </c>
      <c r="C109" t="s">
        <v>61</v>
      </c>
      <c r="D109">
        <v>1730</v>
      </c>
      <c r="E109">
        <v>410</v>
      </c>
      <c r="F109">
        <v>1087</v>
      </c>
      <c r="G109">
        <f t="shared" si="1"/>
        <v>1087</v>
      </c>
    </row>
    <row r="110" spans="1:7" x14ac:dyDescent="0.25">
      <c r="A110" s="1">
        <v>42874</v>
      </c>
      <c r="B110" t="s">
        <v>61</v>
      </c>
      <c r="C110" t="s">
        <v>15</v>
      </c>
      <c r="D110">
        <v>3178</v>
      </c>
      <c r="E110">
        <v>171</v>
      </c>
      <c r="F110">
        <v>646</v>
      </c>
      <c r="G110">
        <f t="shared" si="1"/>
        <v>0</v>
      </c>
    </row>
    <row r="111" spans="1:7" x14ac:dyDescent="0.25">
      <c r="A111" s="1">
        <v>42877</v>
      </c>
      <c r="B111" t="s">
        <v>29</v>
      </c>
      <c r="C111" t="s">
        <v>41</v>
      </c>
      <c r="D111">
        <v>3983</v>
      </c>
      <c r="E111">
        <v>153</v>
      </c>
      <c r="F111">
        <v>175</v>
      </c>
      <c r="G111">
        <f t="shared" si="1"/>
        <v>0</v>
      </c>
    </row>
    <row r="112" spans="1:7" x14ac:dyDescent="0.25">
      <c r="A112" s="1">
        <v>42878</v>
      </c>
      <c r="B112" t="s">
        <v>36</v>
      </c>
      <c r="C112" t="s">
        <v>13</v>
      </c>
      <c r="D112">
        <v>3007</v>
      </c>
      <c r="E112">
        <v>391</v>
      </c>
      <c r="F112">
        <v>1406</v>
      </c>
      <c r="G112">
        <f t="shared" si="1"/>
        <v>0</v>
      </c>
    </row>
    <row r="113" spans="1:7" x14ac:dyDescent="0.25">
      <c r="A113" s="1">
        <v>42879</v>
      </c>
      <c r="B113" t="s">
        <v>59</v>
      </c>
      <c r="C113" t="s">
        <v>18</v>
      </c>
      <c r="D113">
        <v>5832</v>
      </c>
      <c r="E113">
        <v>300</v>
      </c>
      <c r="F113">
        <v>453</v>
      </c>
      <c r="G113">
        <f t="shared" si="1"/>
        <v>0</v>
      </c>
    </row>
    <row r="114" spans="1:7" x14ac:dyDescent="0.25">
      <c r="A114" s="1">
        <v>42881</v>
      </c>
      <c r="B114" t="s">
        <v>35</v>
      </c>
      <c r="C114" t="s">
        <v>37</v>
      </c>
      <c r="D114">
        <v>3012</v>
      </c>
      <c r="E114">
        <v>148</v>
      </c>
      <c r="F114">
        <v>185</v>
      </c>
      <c r="G114">
        <f t="shared" si="1"/>
        <v>0</v>
      </c>
    </row>
    <row r="115" spans="1:7" x14ac:dyDescent="0.25">
      <c r="A115" s="1">
        <v>42882</v>
      </c>
      <c r="B115" t="s">
        <v>37</v>
      </c>
      <c r="C115" t="s">
        <v>57</v>
      </c>
      <c r="D115">
        <v>4508</v>
      </c>
      <c r="E115">
        <v>104</v>
      </c>
      <c r="F115">
        <v>399</v>
      </c>
      <c r="G115">
        <f t="shared" si="1"/>
        <v>0</v>
      </c>
    </row>
    <row r="116" spans="1:7" x14ac:dyDescent="0.25">
      <c r="A116" s="1">
        <v>42883</v>
      </c>
      <c r="B116" t="s">
        <v>9</v>
      </c>
      <c r="C116" t="s">
        <v>58</v>
      </c>
      <c r="D116">
        <v>1777</v>
      </c>
      <c r="E116">
        <v>552</v>
      </c>
      <c r="F116">
        <v>1964</v>
      </c>
      <c r="G116">
        <f t="shared" si="1"/>
        <v>1964</v>
      </c>
    </row>
    <row r="117" spans="1:7" x14ac:dyDescent="0.25">
      <c r="A117" s="1">
        <v>42884</v>
      </c>
      <c r="B117" t="s">
        <v>58</v>
      </c>
      <c r="C117" t="s">
        <v>61</v>
      </c>
      <c r="D117">
        <v>4788</v>
      </c>
      <c r="E117">
        <v>203</v>
      </c>
      <c r="F117">
        <v>347</v>
      </c>
      <c r="G117">
        <f t="shared" si="1"/>
        <v>0</v>
      </c>
    </row>
    <row r="118" spans="1:7" x14ac:dyDescent="0.25">
      <c r="A118" s="1">
        <v>42885</v>
      </c>
      <c r="B118" t="s">
        <v>61</v>
      </c>
      <c r="C118" t="s">
        <v>62</v>
      </c>
      <c r="D118">
        <v>3035</v>
      </c>
      <c r="E118">
        <v>103</v>
      </c>
      <c r="F118">
        <v>376</v>
      </c>
      <c r="G118">
        <f t="shared" si="1"/>
        <v>0</v>
      </c>
    </row>
    <row r="119" spans="1:7" x14ac:dyDescent="0.25">
      <c r="A119" s="1">
        <v>42886</v>
      </c>
      <c r="B119" t="s">
        <v>62</v>
      </c>
      <c r="C119" t="s">
        <v>63</v>
      </c>
      <c r="D119">
        <v>3380</v>
      </c>
      <c r="E119">
        <v>155</v>
      </c>
      <c r="F119">
        <v>542</v>
      </c>
      <c r="G119">
        <f t="shared" si="1"/>
        <v>0</v>
      </c>
    </row>
    <row r="120" spans="1:7" x14ac:dyDescent="0.25">
      <c r="A120" s="1">
        <v>42887</v>
      </c>
      <c r="B120" t="s">
        <v>63</v>
      </c>
      <c r="C120" t="s">
        <v>64</v>
      </c>
      <c r="D120">
        <v>5014</v>
      </c>
      <c r="E120">
        <v>154</v>
      </c>
      <c r="F120">
        <v>577</v>
      </c>
      <c r="G120">
        <f t="shared" si="1"/>
        <v>0</v>
      </c>
    </row>
    <row r="121" spans="1:7" x14ac:dyDescent="0.25">
      <c r="A121" s="1">
        <v>42888</v>
      </c>
      <c r="B121" t="s">
        <v>64</v>
      </c>
      <c r="C121" t="s">
        <v>58</v>
      </c>
      <c r="D121">
        <v>1852</v>
      </c>
      <c r="E121">
        <v>110</v>
      </c>
      <c r="F121">
        <v>407</v>
      </c>
      <c r="G121">
        <f t="shared" si="1"/>
        <v>0</v>
      </c>
    </row>
    <row r="122" spans="1:7" x14ac:dyDescent="0.25">
      <c r="A122" s="1">
        <v>42890</v>
      </c>
      <c r="B122" t="s">
        <v>65</v>
      </c>
      <c r="C122" t="s">
        <v>11</v>
      </c>
      <c r="D122">
        <v>5493</v>
      </c>
      <c r="E122">
        <v>145</v>
      </c>
      <c r="F122">
        <v>168</v>
      </c>
      <c r="G122">
        <f t="shared" si="1"/>
        <v>0</v>
      </c>
    </row>
    <row r="123" spans="1:7" x14ac:dyDescent="0.25">
      <c r="A123" s="1">
        <v>42892</v>
      </c>
      <c r="B123" t="s">
        <v>51</v>
      </c>
      <c r="C123" t="s">
        <v>44</v>
      </c>
      <c r="D123">
        <v>5560</v>
      </c>
      <c r="E123">
        <v>187</v>
      </c>
      <c r="F123">
        <v>288</v>
      </c>
      <c r="G123">
        <f t="shared" si="1"/>
        <v>0</v>
      </c>
    </row>
    <row r="124" spans="1:7" x14ac:dyDescent="0.25">
      <c r="A124" s="1">
        <v>42893</v>
      </c>
      <c r="B124" t="s">
        <v>66</v>
      </c>
      <c r="C124" t="s">
        <v>67</v>
      </c>
      <c r="D124">
        <v>2571</v>
      </c>
      <c r="E124">
        <v>145</v>
      </c>
      <c r="F124">
        <v>567</v>
      </c>
      <c r="G124">
        <f t="shared" si="1"/>
        <v>0</v>
      </c>
    </row>
    <row r="125" spans="1:7" x14ac:dyDescent="0.25">
      <c r="A125" s="1">
        <v>42894</v>
      </c>
      <c r="B125" t="s">
        <v>67</v>
      </c>
      <c r="C125" t="s">
        <v>19</v>
      </c>
      <c r="D125">
        <v>3348</v>
      </c>
      <c r="E125">
        <v>111</v>
      </c>
      <c r="F125">
        <v>135</v>
      </c>
      <c r="G125">
        <f t="shared" si="1"/>
        <v>0</v>
      </c>
    </row>
    <row r="126" spans="1:7" x14ac:dyDescent="0.25">
      <c r="A126" s="1">
        <v>42895</v>
      </c>
      <c r="B126" t="s">
        <v>19</v>
      </c>
      <c r="C126" t="s">
        <v>46</v>
      </c>
      <c r="D126">
        <v>2906</v>
      </c>
      <c r="E126">
        <v>119</v>
      </c>
      <c r="F126">
        <v>398</v>
      </c>
      <c r="G126">
        <f t="shared" si="1"/>
        <v>0</v>
      </c>
    </row>
    <row r="127" spans="1:7" x14ac:dyDescent="0.25">
      <c r="A127" s="1">
        <v>42896</v>
      </c>
      <c r="B127" t="s">
        <v>46</v>
      </c>
      <c r="C127" t="s">
        <v>54</v>
      </c>
      <c r="D127">
        <v>5660</v>
      </c>
      <c r="E127">
        <v>137</v>
      </c>
      <c r="F127">
        <v>490</v>
      </c>
      <c r="G127">
        <f t="shared" si="1"/>
        <v>0</v>
      </c>
    </row>
    <row r="128" spans="1:7" x14ac:dyDescent="0.25">
      <c r="A128" s="1">
        <v>42897</v>
      </c>
      <c r="B128" t="s">
        <v>19</v>
      </c>
      <c r="C128" t="s">
        <v>29</v>
      </c>
      <c r="D128">
        <v>2575</v>
      </c>
      <c r="E128">
        <v>113</v>
      </c>
      <c r="F128">
        <v>277</v>
      </c>
      <c r="G128">
        <f t="shared" si="1"/>
        <v>0</v>
      </c>
    </row>
    <row r="129" spans="1:7" x14ac:dyDescent="0.25">
      <c r="A129" s="1">
        <v>42898</v>
      </c>
      <c r="B129" t="s">
        <v>55</v>
      </c>
      <c r="C129" t="s">
        <v>46</v>
      </c>
      <c r="D129">
        <v>1676</v>
      </c>
      <c r="E129">
        <v>217</v>
      </c>
      <c r="F129">
        <v>499</v>
      </c>
      <c r="G129">
        <f t="shared" si="1"/>
        <v>0</v>
      </c>
    </row>
    <row r="130" spans="1:7" x14ac:dyDescent="0.25">
      <c r="A130" s="1">
        <v>42899</v>
      </c>
      <c r="B130" t="s">
        <v>46</v>
      </c>
      <c r="C130" t="s">
        <v>47</v>
      </c>
      <c r="D130">
        <v>1536</v>
      </c>
      <c r="E130">
        <v>96</v>
      </c>
      <c r="F130">
        <v>154</v>
      </c>
      <c r="G130">
        <f t="shared" si="1"/>
        <v>0</v>
      </c>
    </row>
    <row r="131" spans="1:7" x14ac:dyDescent="0.25">
      <c r="A131" s="1">
        <v>42900</v>
      </c>
      <c r="B131" t="s">
        <v>47</v>
      </c>
      <c r="C131" t="s">
        <v>42</v>
      </c>
      <c r="D131">
        <v>1996</v>
      </c>
      <c r="E131">
        <v>158</v>
      </c>
      <c r="F131">
        <v>653</v>
      </c>
      <c r="G131">
        <f t="shared" ref="G131:G194" si="2">IF(E131&gt;400,F131,0)</f>
        <v>0</v>
      </c>
    </row>
    <row r="132" spans="1:7" x14ac:dyDescent="0.25">
      <c r="A132" s="1">
        <v>42902</v>
      </c>
      <c r="B132" t="s">
        <v>68</v>
      </c>
      <c r="C132" t="s">
        <v>69</v>
      </c>
      <c r="D132">
        <v>4769</v>
      </c>
      <c r="E132">
        <v>160</v>
      </c>
      <c r="F132">
        <v>522</v>
      </c>
      <c r="G132">
        <f t="shared" si="2"/>
        <v>0</v>
      </c>
    </row>
    <row r="133" spans="1:7" x14ac:dyDescent="0.25">
      <c r="A133" s="1">
        <v>42903</v>
      </c>
      <c r="B133" t="s">
        <v>69</v>
      </c>
      <c r="C133" t="s">
        <v>59</v>
      </c>
      <c r="D133">
        <v>4542</v>
      </c>
      <c r="E133">
        <v>205</v>
      </c>
      <c r="F133">
        <v>524</v>
      </c>
      <c r="G133">
        <f t="shared" si="2"/>
        <v>0</v>
      </c>
    </row>
    <row r="134" spans="1:7" x14ac:dyDescent="0.25">
      <c r="A134" s="1">
        <v>42904</v>
      </c>
      <c r="B134" t="s">
        <v>59</v>
      </c>
      <c r="C134" t="s">
        <v>60</v>
      </c>
      <c r="D134">
        <v>2286</v>
      </c>
      <c r="E134">
        <v>140</v>
      </c>
      <c r="F134">
        <v>136</v>
      </c>
      <c r="G134">
        <f t="shared" si="2"/>
        <v>0</v>
      </c>
    </row>
    <row r="135" spans="1:7" x14ac:dyDescent="0.25">
      <c r="A135" s="1">
        <v>42905</v>
      </c>
      <c r="B135" t="s">
        <v>60</v>
      </c>
      <c r="C135" t="s">
        <v>41</v>
      </c>
      <c r="D135">
        <v>1504</v>
      </c>
      <c r="E135">
        <v>95</v>
      </c>
      <c r="F135">
        <v>382</v>
      </c>
      <c r="G135">
        <f t="shared" si="2"/>
        <v>0</v>
      </c>
    </row>
    <row r="136" spans="1:7" x14ac:dyDescent="0.25">
      <c r="A136" s="1">
        <v>42906</v>
      </c>
      <c r="B136" t="s">
        <v>34</v>
      </c>
      <c r="C136" t="s">
        <v>39</v>
      </c>
      <c r="D136">
        <v>3990</v>
      </c>
      <c r="E136">
        <v>195</v>
      </c>
      <c r="F136">
        <v>468</v>
      </c>
      <c r="G136">
        <f t="shared" si="2"/>
        <v>0</v>
      </c>
    </row>
    <row r="137" spans="1:7" x14ac:dyDescent="0.25">
      <c r="A137" s="1">
        <v>42907</v>
      </c>
      <c r="B137" t="s">
        <v>47</v>
      </c>
      <c r="C137" t="s">
        <v>17</v>
      </c>
      <c r="D137">
        <v>4569</v>
      </c>
      <c r="E137">
        <v>123</v>
      </c>
      <c r="F137">
        <v>295</v>
      </c>
      <c r="G137">
        <f t="shared" si="2"/>
        <v>0</v>
      </c>
    </row>
    <row r="138" spans="1:7" x14ac:dyDescent="0.25">
      <c r="A138" s="1">
        <v>42908</v>
      </c>
      <c r="B138" t="s">
        <v>17</v>
      </c>
      <c r="C138" t="s">
        <v>18</v>
      </c>
      <c r="D138">
        <v>3469</v>
      </c>
      <c r="E138">
        <v>151</v>
      </c>
      <c r="F138">
        <v>558</v>
      </c>
      <c r="G138">
        <f t="shared" si="2"/>
        <v>0</v>
      </c>
    </row>
    <row r="139" spans="1:7" x14ac:dyDescent="0.25">
      <c r="A139" s="1">
        <v>42909</v>
      </c>
      <c r="B139" t="s">
        <v>18</v>
      </c>
      <c r="C139" t="s">
        <v>39</v>
      </c>
      <c r="D139">
        <v>2498</v>
      </c>
      <c r="E139">
        <v>163</v>
      </c>
      <c r="F139">
        <v>610</v>
      </c>
      <c r="G139">
        <f t="shared" si="2"/>
        <v>0</v>
      </c>
    </row>
    <row r="140" spans="1:7" x14ac:dyDescent="0.25">
      <c r="A140" s="1">
        <v>42910</v>
      </c>
      <c r="B140" t="s">
        <v>39</v>
      </c>
      <c r="C140" t="s">
        <v>17</v>
      </c>
      <c r="D140">
        <v>4118</v>
      </c>
      <c r="E140">
        <v>144</v>
      </c>
      <c r="F140">
        <v>256</v>
      </c>
      <c r="G140">
        <f t="shared" si="2"/>
        <v>0</v>
      </c>
    </row>
    <row r="141" spans="1:7" x14ac:dyDescent="0.25">
      <c r="A141" s="1">
        <v>42911</v>
      </c>
      <c r="B141" t="s">
        <v>30</v>
      </c>
      <c r="C141" t="s">
        <v>70</v>
      </c>
      <c r="D141">
        <v>5847</v>
      </c>
      <c r="E141">
        <v>137</v>
      </c>
      <c r="F141">
        <v>270</v>
      </c>
      <c r="G141">
        <f t="shared" si="2"/>
        <v>0</v>
      </c>
    </row>
    <row r="142" spans="1:7" x14ac:dyDescent="0.25">
      <c r="A142" s="1">
        <v>42912</v>
      </c>
      <c r="B142" t="s">
        <v>70</v>
      </c>
      <c r="C142" t="s">
        <v>30</v>
      </c>
      <c r="D142">
        <v>2032</v>
      </c>
      <c r="E142">
        <v>129</v>
      </c>
      <c r="F142">
        <v>245</v>
      </c>
      <c r="G142">
        <f t="shared" si="2"/>
        <v>0</v>
      </c>
    </row>
    <row r="143" spans="1:7" x14ac:dyDescent="0.25">
      <c r="A143" s="1">
        <v>42913</v>
      </c>
      <c r="B143" t="s">
        <v>30</v>
      </c>
      <c r="C143" t="s">
        <v>31</v>
      </c>
      <c r="D143">
        <v>2735</v>
      </c>
      <c r="E143">
        <v>213</v>
      </c>
      <c r="F143">
        <v>213</v>
      </c>
      <c r="G143">
        <f t="shared" si="2"/>
        <v>0</v>
      </c>
    </row>
    <row r="144" spans="1:7" x14ac:dyDescent="0.25">
      <c r="A144" s="1">
        <v>42914</v>
      </c>
      <c r="B144" t="s">
        <v>31</v>
      </c>
      <c r="C144" t="s">
        <v>22</v>
      </c>
      <c r="D144">
        <v>5467</v>
      </c>
      <c r="E144">
        <v>168</v>
      </c>
      <c r="F144">
        <v>336</v>
      </c>
      <c r="G144">
        <f t="shared" si="2"/>
        <v>0</v>
      </c>
    </row>
    <row r="145" spans="1:7" x14ac:dyDescent="0.25">
      <c r="A145" s="1">
        <v>42915</v>
      </c>
      <c r="B145" t="s">
        <v>22</v>
      </c>
      <c r="C145" t="s">
        <v>21</v>
      </c>
      <c r="D145">
        <v>3691</v>
      </c>
      <c r="E145">
        <v>170</v>
      </c>
      <c r="F145">
        <v>525</v>
      </c>
      <c r="G145">
        <f t="shared" si="2"/>
        <v>0</v>
      </c>
    </row>
    <row r="146" spans="1:7" x14ac:dyDescent="0.25">
      <c r="A146" s="1">
        <v>42916</v>
      </c>
      <c r="B146" t="s">
        <v>15</v>
      </c>
      <c r="C146" t="s">
        <v>52</v>
      </c>
      <c r="D146">
        <v>3681</v>
      </c>
      <c r="E146">
        <v>145</v>
      </c>
      <c r="F146">
        <v>546</v>
      </c>
      <c r="G146">
        <f t="shared" si="2"/>
        <v>0</v>
      </c>
    </row>
    <row r="147" spans="1:7" x14ac:dyDescent="0.25">
      <c r="A147" s="1">
        <v>42917</v>
      </c>
      <c r="B147" t="s">
        <v>62</v>
      </c>
      <c r="C147" t="s">
        <v>20</v>
      </c>
      <c r="D147">
        <v>2256</v>
      </c>
      <c r="E147">
        <v>146</v>
      </c>
      <c r="F147">
        <v>315</v>
      </c>
      <c r="G147">
        <f t="shared" si="2"/>
        <v>0</v>
      </c>
    </row>
    <row r="148" spans="1:7" x14ac:dyDescent="0.25">
      <c r="A148" s="1">
        <v>42918</v>
      </c>
      <c r="B148" t="s">
        <v>20</v>
      </c>
      <c r="C148" t="s">
        <v>8</v>
      </c>
      <c r="D148">
        <v>4602</v>
      </c>
      <c r="E148">
        <v>120</v>
      </c>
      <c r="F148">
        <v>288</v>
      </c>
      <c r="G148">
        <f t="shared" si="2"/>
        <v>0</v>
      </c>
    </row>
    <row r="149" spans="1:7" x14ac:dyDescent="0.25">
      <c r="A149" s="1">
        <v>42919</v>
      </c>
      <c r="B149" t="s">
        <v>8</v>
      </c>
      <c r="C149" t="s">
        <v>20</v>
      </c>
      <c r="D149">
        <v>4354</v>
      </c>
      <c r="E149">
        <v>135</v>
      </c>
      <c r="F149">
        <v>215</v>
      </c>
      <c r="G149">
        <f t="shared" si="2"/>
        <v>0</v>
      </c>
    </row>
    <row r="150" spans="1:7" x14ac:dyDescent="0.25">
      <c r="A150" s="1">
        <v>42920</v>
      </c>
      <c r="B150" t="s">
        <v>20</v>
      </c>
      <c r="C150" t="s">
        <v>60</v>
      </c>
      <c r="D150">
        <v>4260</v>
      </c>
      <c r="E150">
        <v>118</v>
      </c>
      <c r="F150">
        <v>222</v>
      </c>
      <c r="G150">
        <f t="shared" si="2"/>
        <v>0</v>
      </c>
    </row>
    <row r="151" spans="1:7" x14ac:dyDescent="0.25">
      <c r="A151" s="1">
        <v>42921</v>
      </c>
      <c r="B151" t="s">
        <v>40</v>
      </c>
      <c r="C151" t="s">
        <v>41</v>
      </c>
      <c r="D151">
        <v>2800</v>
      </c>
      <c r="E151">
        <v>98</v>
      </c>
      <c r="F151">
        <v>108</v>
      </c>
      <c r="G151">
        <f t="shared" si="2"/>
        <v>0</v>
      </c>
    </row>
    <row r="152" spans="1:7" x14ac:dyDescent="0.25">
      <c r="A152" s="1">
        <v>42922</v>
      </c>
      <c r="B152" t="s">
        <v>41</v>
      </c>
      <c r="C152" t="s">
        <v>28</v>
      </c>
      <c r="D152">
        <v>2637</v>
      </c>
      <c r="E152">
        <v>138</v>
      </c>
      <c r="F152">
        <v>179</v>
      </c>
      <c r="G152">
        <f t="shared" si="2"/>
        <v>0</v>
      </c>
    </row>
    <row r="153" spans="1:7" x14ac:dyDescent="0.25">
      <c r="A153" s="1">
        <v>42923</v>
      </c>
      <c r="B153" t="s">
        <v>28</v>
      </c>
      <c r="C153" t="s">
        <v>14</v>
      </c>
      <c r="D153">
        <v>5651</v>
      </c>
      <c r="E153">
        <v>116</v>
      </c>
      <c r="F153">
        <v>141</v>
      </c>
      <c r="G153">
        <f t="shared" si="2"/>
        <v>0</v>
      </c>
    </row>
    <row r="154" spans="1:7" x14ac:dyDescent="0.25">
      <c r="A154" s="1">
        <v>42924</v>
      </c>
      <c r="B154" t="s">
        <v>14</v>
      </c>
      <c r="C154" t="s">
        <v>48</v>
      </c>
      <c r="D154">
        <v>2511</v>
      </c>
      <c r="E154">
        <v>120</v>
      </c>
      <c r="F154">
        <v>438</v>
      </c>
      <c r="G154">
        <f t="shared" si="2"/>
        <v>0</v>
      </c>
    </row>
    <row r="155" spans="1:7" x14ac:dyDescent="0.25">
      <c r="A155" s="1">
        <v>42926</v>
      </c>
      <c r="B155" t="s">
        <v>56</v>
      </c>
      <c r="C155" t="s">
        <v>30</v>
      </c>
      <c r="D155">
        <v>2448</v>
      </c>
      <c r="E155">
        <v>744</v>
      </c>
      <c r="F155">
        <v>2887</v>
      </c>
      <c r="G155">
        <f t="shared" si="2"/>
        <v>2887</v>
      </c>
    </row>
    <row r="156" spans="1:7" x14ac:dyDescent="0.25">
      <c r="A156" s="1">
        <v>42927</v>
      </c>
      <c r="B156" t="s">
        <v>10</v>
      </c>
      <c r="C156" t="s">
        <v>71</v>
      </c>
      <c r="D156">
        <v>3414</v>
      </c>
      <c r="E156">
        <v>114</v>
      </c>
      <c r="F156">
        <v>301</v>
      </c>
      <c r="G156">
        <f t="shared" si="2"/>
        <v>0</v>
      </c>
    </row>
    <row r="157" spans="1:7" x14ac:dyDescent="0.25">
      <c r="A157" s="1">
        <v>42928</v>
      </c>
      <c r="B157" t="s">
        <v>70</v>
      </c>
      <c r="C157" t="s">
        <v>36</v>
      </c>
      <c r="D157">
        <v>4039</v>
      </c>
      <c r="E157">
        <v>204</v>
      </c>
      <c r="F157">
        <v>614</v>
      </c>
      <c r="G157">
        <f t="shared" si="2"/>
        <v>0</v>
      </c>
    </row>
    <row r="158" spans="1:7" x14ac:dyDescent="0.25">
      <c r="A158" s="1">
        <v>42929</v>
      </c>
      <c r="B158" t="s">
        <v>36</v>
      </c>
      <c r="C158" t="s">
        <v>70</v>
      </c>
      <c r="D158">
        <v>5862</v>
      </c>
      <c r="E158">
        <v>202</v>
      </c>
      <c r="F158">
        <v>518</v>
      </c>
      <c r="G158">
        <f t="shared" si="2"/>
        <v>0</v>
      </c>
    </row>
    <row r="159" spans="1:7" x14ac:dyDescent="0.25">
      <c r="A159" s="1">
        <v>42931</v>
      </c>
      <c r="B159" t="s">
        <v>44</v>
      </c>
      <c r="C159" t="s">
        <v>56</v>
      </c>
      <c r="D159">
        <v>3077</v>
      </c>
      <c r="E159">
        <v>148</v>
      </c>
      <c r="F159">
        <v>454</v>
      </c>
      <c r="G159">
        <f t="shared" si="2"/>
        <v>0</v>
      </c>
    </row>
    <row r="160" spans="1:7" x14ac:dyDescent="0.25">
      <c r="A160" s="1">
        <v>42932</v>
      </c>
      <c r="B160" t="s">
        <v>55</v>
      </c>
      <c r="C160" t="s">
        <v>26</v>
      </c>
      <c r="D160">
        <v>5569</v>
      </c>
      <c r="E160">
        <v>604</v>
      </c>
      <c r="F160">
        <v>1446</v>
      </c>
      <c r="G160">
        <f t="shared" si="2"/>
        <v>1446</v>
      </c>
    </row>
    <row r="161" spans="1:7" x14ac:dyDescent="0.25">
      <c r="A161" s="1">
        <v>42933</v>
      </c>
      <c r="B161" t="s">
        <v>26</v>
      </c>
      <c r="C161" t="s">
        <v>48</v>
      </c>
      <c r="D161">
        <v>4513</v>
      </c>
      <c r="E161">
        <v>114</v>
      </c>
      <c r="F161">
        <v>125</v>
      </c>
      <c r="G161">
        <f t="shared" si="2"/>
        <v>0</v>
      </c>
    </row>
    <row r="162" spans="1:7" x14ac:dyDescent="0.25">
      <c r="A162" s="1">
        <v>42935</v>
      </c>
      <c r="B162" t="s">
        <v>18</v>
      </c>
      <c r="C162" t="s">
        <v>16</v>
      </c>
      <c r="D162">
        <v>2771</v>
      </c>
      <c r="E162">
        <v>239</v>
      </c>
      <c r="F162">
        <v>396</v>
      </c>
      <c r="G162">
        <f t="shared" si="2"/>
        <v>0</v>
      </c>
    </row>
    <row r="163" spans="1:7" x14ac:dyDescent="0.25">
      <c r="A163" s="1">
        <v>42936</v>
      </c>
      <c r="B163" t="s">
        <v>50</v>
      </c>
      <c r="C163" t="s">
        <v>42</v>
      </c>
      <c r="D163">
        <v>1079</v>
      </c>
      <c r="E163">
        <v>438</v>
      </c>
      <c r="F163">
        <v>899</v>
      </c>
      <c r="G163">
        <f t="shared" si="2"/>
        <v>899</v>
      </c>
    </row>
    <row r="164" spans="1:7" x14ac:dyDescent="0.25">
      <c r="A164" s="1">
        <v>42937</v>
      </c>
      <c r="B164" t="s">
        <v>42</v>
      </c>
      <c r="C164" t="s">
        <v>32</v>
      </c>
      <c r="D164">
        <v>3126</v>
      </c>
      <c r="E164">
        <v>124</v>
      </c>
      <c r="F164">
        <v>317</v>
      </c>
      <c r="G164">
        <f t="shared" si="2"/>
        <v>0</v>
      </c>
    </row>
    <row r="165" spans="1:7" x14ac:dyDescent="0.25">
      <c r="A165" s="1">
        <v>42938</v>
      </c>
      <c r="B165" t="s">
        <v>32</v>
      </c>
      <c r="C165" t="s">
        <v>60</v>
      </c>
      <c r="D165">
        <v>3650</v>
      </c>
      <c r="E165">
        <v>137</v>
      </c>
      <c r="F165">
        <v>308</v>
      </c>
      <c r="G165">
        <f t="shared" si="2"/>
        <v>0</v>
      </c>
    </row>
    <row r="166" spans="1:7" x14ac:dyDescent="0.25">
      <c r="A166" s="1">
        <v>42939</v>
      </c>
      <c r="B166" t="s">
        <v>55</v>
      </c>
      <c r="C166" t="s">
        <v>68</v>
      </c>
      <c r="D166">
        <v>5721</v>
      </c>
      <c r="E166">
        <v>122</v>
      </c>
      <c r="F166">
        <v>280</v>
      </c>
      <c r="G166">
        <f t="shared" si="2"/>
        <v>0</v>
      </c>
    </row>
    <row r="167" spans="1:7" x14ac:dyDescent="0.25">
      <c r="A167" s="1">
        <v>42940</v>
      </c>
      <c r="B167" t="s">
        <v>68</v>
      </c>
      <c r="C167" t="s">
        <v>19</v>
      </c>
      <c r="D167">
        <v>5759</v>
      </c>
      <c r="E167">
        <v>175</v>
      </c>
      <c r="F167">
        <v>297</v>
      </c>
      <c r="G167">
        <f t="shared" si="2"/>
        <v>0</v>
      </c>
    </row>
    <row r="168" spans="1:7" x14ac:dyDescent="0.25">
      <c r="A168" s="1">
        <v>42941</v>
      </c>
      <c r="B168" t="s">
        <v>19</v>
      </c>
      <c r="C168" t="s">
        <v>59</v>
      </c>
      <c r="D168">
        <v>2871</v>
      </c>
      <c r="E168">
        <v>113</v>
      </c>
      <c r="F168">
        <v>110</v>
      </c>
      <c r="G168">
        <f t="shared" si="2"/>
        <v>0</v>
      </c>
    </row>
    <row r="169" spans="1:7" x14ac:dyDescent="0.25">
      <c r="A169" s="1">
        <v>42944</v>
      </c>
      <c r="B169" t="s">
        <v>8</v>
      </c>
      <c r="C169" t="s">
        <v>9</v>
      </c>
      <c r="D169">
        <v>3571</v>
      </c>
      <c r="E169">
        <v>162</v>
      </c>
      <c r="F169">
        <v>292</v>
      </c>
      <c r="G169">
        <f t="shared" si="2"/>
        <v>0</v>
      </c>
    </row>
    <row r="170" spans="1:7" x14ac:dyDescent="0.25">
      <c r="A170" s="1">
        <v>42945</v>
      </c>
      <c r="B170" t="s">
        <v>9</v>
      </c>
      <c r="C170" t="s">
        <v>59</v>
      </c>
      <c r="D170">
        <v>3061</v>
      </c>
      <c r="E170">
        <v>107</v>
      </c>
      <c r="F170">
        <v>258</v>
      </c>
      <c r="G170">
        <f t="shared" si="2"/>
        <v>0</v>
      </c>
    </row>
    <row r="171" spans="1:7" x14ac:dyDescent="0.25">
      <c r="A171" s="1">
        <v>42946</v>
      </c>
      <c r="B171" t="s">
        <v>59</v>
      </c>
      <c r="C171" t="s">
        <v>65</v>
      </c>
      <c r="D171">
        <v>5336</v>
      </c>
      <c r="E171">
        <v>107</v>
      </c>
      <c r="F171">
        <v>171</v>
      </c>
      <c r="G171">
        <f t="shared" si="2"/>
        <v>0</v>
      </c>
    </row>
    <row r="172" spans="1:7" x14ac:dyDescent="0.25">
      <c r="A172" s="1">
        <v>42947</v>
      </c>
      <c r="B172" t="s">
        <v>29</v>
      </c>
      <c r="C172" t="s">
        <v>27</v>
      </c>
      <c r="D172">
        <v>5658</v>
      </c>
      <c r="E172">
        <v>249</v>
      </c>
      <c r="F172">
        <v>967</v>
      </c>
      <c r="G172">
        <f t="shared" si="2"/>
        <v>0</v>
      </c>
    </row>
    <row r="173" spans="1:7" x14ac:dyDescent="0.25">
      <c r="A173" s="1">
        <v>42948</v>
      </c>
      <c r="B173" t="s">
        <v>27</v>
      </c>
      <c r="C173" t="s">
        <v>25</v>
      </c>
      <c r="D173">
        <v>2697</v>
      </c>
      <c r="E173">
        <v>209</v>
      </c>
      <c r="F173">
        <v>699</v>
      </c>
      <c r="G173">
        <f t="shared" si="2"/>
        <v>0</v>
      </c>
    </row>
    <row r="174" spans="1:7" x14ac:dyDescent="0.25">
      <c r="A174" s="1">
        <v>42949</v>
      </c>
      <c r="B174" t="s">
        <v>25</v>
      </c>
      <c r="C174" t="s">
        <v>48</v>
      </c>
      <c r="D174">
        <v>5368</v>
      </c>
      <c r="E174">
        <v>122</v>
      </c>
      <c r="F174">
        <v>491</v>
      </c>
      <c r="G174">
        <f t="shared" si="2"/>
        <v>0</v>
      </c>
    </row>
    <row r="175" spans="1:7" x14ac:dyDescent="0.25">
      <c r="A175" s="1">
        <v>42950</v>
      </c>
      <c r="B175" t="s">
        <v>48</v>
      </c>
      <c r="C175" t="s">
        <v>14</v>
      </c>
      <c r="D175">
        <v>2706</v>
      </c>
      <c r="E175">
        <v>137</v>
      </c>
      <c r="F175">
        <v>292</v>
      </c>
      <c r="G175">
        <f t="shared" si="2"/>
        <v>0</v>
      </c>
    </row>
    <row r="176" spans="1:7" x14ac:dyDescent="0.25">
      <c r="A176" s="1">
        <v>42953</v>
      </c>
      <c r="B176" t="s">
        <v>67</v>
      </c>
      <c r="C176" t="s">
        <v>48</v>
      </c>
      <c r="D176">
        <v>3456</v>
      </c>
      <c r="E176">
        <v>542</v>
      </c>
      <c r="F176">
        <v>1891</v>
      </c>
      <c r="G176">
        <f t="shared" si="2"/>
        <v>1891</v>
      </c>
    </row>
    <row r="177" spans="1:7" x14ac:dyDescent="0.25">
      <c r="A177" s="1">
        <v>42954</v>
      </c>
      <c r="B177" t="s">
        <v>48</v>
      </c>
      <c r="C177" t="s">
        <v>14</v>
      </c>
      <c r="D177">
        <v>1914</v>
      </c>
      <c r="E177">
        <v>138</v>
      </c>
      <c r="F177">
        <v>405</v>
      </c>
      <c r="G177">
        <f t="shared" si="2"/>
        <v>0</v>
      </c>
    </row>
    <row r="178" spans="1:7" x14ac:dyDescent="0.25">
      <c r="A178" s="1">
        <v>42955</v>
      </c>
      <c r="B178" t="s">
        <v>14</v>
      </c>
      <c r="C178" t="s">
        <v>21</v>
      </c>
      <c r="D178">
        <v>1134</v>
      </c>
      <c r="E178">
        <v>95</v>
      </c>
      <c r="F178">
        <v>115</v>
      </c>
      <c r="G178">
        <f t="shared" si="2"/>
        <v>0</v>
      </c>
    </row>
    <row r="179" spans="1:7" x14ac:dyDescent="0.25">
      <c r="A179" s="1">
        <v>42956</v>
      </c>
      <c r="B179" t="s">
        <v>21</v>
      </c>
      <c r="C179" t="s">
        <v>25</v>
      </c>
      <c r="D179">
        <v>2935</v>
      </c>
      <c r="E179">
        <v>160</v>
      </c>
      <c r="F179">
        <v>275</v>
      </c>
      <c r="G179">
        <f t="shared" si="2"/>
        <v>0</v>
      </c>
    </row>
    <row r="180" spans="1:7" x14ac:dyDescent="0.25">
      <c r="A180" s="1">
        <v>42957</v>
      </c>
      <c r="B180" t="s">
        <v>25</v>
      </c>
      <c r="C180" t="s">
        <v>15</v>
      </c>
      <c r="D180">
        <v>4379</v>
      </c>
      <c r="E180">
        <v>93</v>
      </c>
      <c r="F180">
        <v>147</v>
      </c>
      <c r="G180">
        <f t="shared" si="2"/>
        <v>0</v>
      </c>
    </row>
    <row r="181" spans="1:7" x14ac:dyDescent="0.25">
      <c r="A181" s="1">
        <v>42959</v>
      </c>
      <c r="B181" t="s">
        <v>37</v>
      </c>
      <c r="C181" t="s">
        <v>35</v>
      </c>
      <c r="D181">
        <v>1328</v>
      </c>
      <c r="E181">
        <v>148</v>
      </c>
      <c r="F181">
        <v>516</v>
      </c>
      <c r="G181">
        <f t="shared" si="2"/>
        <v>0</v>
      </c>
    </row>
    <row r="182" spans="1:7" x14ac:dyDescent="0.25">
      <c r="A182" s="1">
        <v>42960</v>
      </c>
      <c r="B182" t="s">
        <v>70</v>
      </c>
      <c r="C182" t="s">
        <v>30</v>
      </c>
      <c r="D182">
        <v>4133</v>
      </c>
      <c r="E182">
        <v>130</v>
      </c>
      <c r="F182">
        <v>398</v>
      </c>
      <c r="G182">
        <f t="shared" si="2"/>
        <v>0</v>
      </c>
    </row>
    <row r="183" spans="1:7" x14ac:dyDescent="0.25">
      <c r="A183" s="1">
        <v>42962</v>
      </c>
      <c r="B183" t="s">
        <v>47</v>
      </c>
      <c r="C183" t="s">
        <v>20</v>
      </c>
      <c r="D183">
        <v>5370</v>
      </c>
      <c r="E183">
        <v>266</v>
      </c>
      <c r="F183">
        <v>699</v>
      </c>
      <c r="G183">
        <f t="shared" si="2"/>
        <v>0</v>
      </c>
    </row>
    <row r="184" spans="1:7" x14ac:dyDescent="0.25">
      <c r="A184" s="1">
        <v>42963</v>
      </c>
      <c r="B184" t="s">
        <v>20</v>
      </c>
      <c r="C184" t="s">
        <v>8</v>
      </c>
      <c r="D184">
        <v>4663</v>
      </c>
      <c r="E184">
        <v>122</v>
      </c>
      <c r="F184">
        <v>256</v>
      </c>
      <c r="G184">
        <f t="shared" si="2"/>
        <v>0</v>
      </c>
    </row>
    <row r="185" spans="1:7" x14ac:dyDescent="0.25">
      <c r="A185" s="1">
        <v>42964</v>
      </c>
      <c r="B185" t="s">
        <v>8</v>
      </c>
      <c r="C185" t="s">
        <v>40</v>
      </c>
      <c r="D185">
        <v>5151</v>
      </c>
      <c r="E185">
        <v>151</v>
      </c>
      <c r="F185">
        <v>195</v>
      </c>
      <c r="G185">
        <f t="shared" si="2"/>
        <v>0</v>
      </c>
    </row>
    <row r="186" spans="1:7" x14ac:dyDescent="0.25">
      <c r="A186" s="1">
        <v>42965</v>
      </c>
      <c r="B186" t="s">
        <v>40</v>
      </c>
      <c r="C186" t="s">
        <v>20</v>
      </c>
      <c r="D186">
        <v>3035</v>
      </c>
      <c r="E186">
        <v>118</v>
      </c>
      <c r="F186">
        <v>207</v>
      </c>
      <c r="G186">
        <f t="shared" si="2"/>
        <v>0</v>
      </c>
    </row>
    <row r="187" spans="1:7" x14ac:dyDescent="0.25">
      <c r="A187" s="1">
        <v>42967</v>
      </c>
      <c r="B187" t="s">
        <v>72</v>
      </c>
      <c r="C187" t="s">
        <v>11</v>
      </c>
      <c r="D187">
        <v>1090</v>
      </c>
      <c r="E187">
        <v>200</v>
      </c>
      <c r="F187">
        <v>585</v>
      </c>
      <c r="G187">
        <f t="shared" si="2"/>
        <v>0</v>
      </c>
    </row>
    <row r="188" spans="1:7" x14ac:dyDescent="0.25">
      <c r="A188" s="1">
        <v>42968</v>
      </c>
      <c r="B188" t="s">
        <v>11</v>
      </c>
      <c r="C188" t="s">
        <v>13</v>
      </c>
      <c r="D188">
        <v>5746</v>
      </c>
      <c r="E188">
        <v>145</v>
      </c>
      <c r="F188">
        <v>214</v>
      </c>
      <c r="G188">
        <f t="shared" si="2"/>
        <v>0</v>
      </c>
    </row>
    <row r="189" spans="1:7" x14ac:dyDescent="0.25">
      <c r="A189" s="1">
        <v>42970</v>
      </c>
      <c r="B189" t="s">
        <v>46</v>
      </c>
      <c r="C189" t="s">
        <v>56</v>
      </c>
      <c r="D189">
        <v>3200</v>
      </c>
      <c r="E189">
        <v>138</v>
      </c>
      <c r="F189">
        <v>417</v>
      </c>
      <c r="G189">
        <f t="shared" si="2"/>
        <v>0</v>
      </c>
    </row>
    <row r="190" spans="1:7" x14ac:dyDescent="0.25">
      <c r="A190" s="1">
        <v>42971</v>
      </c>
      <c r="B190" t="s">
        <v>56</v>
      </c>
      <c r="C190" t="s">
        <v>50</v>
      </c>
      <c r="D190">
        <v>3586</v>
      </c>
      <c r="E190">
        <v>155</v>
      </c>
      <c r="F190">
        <v>290</v>
      </c>
      <c r="G190">
        <f t="shared" si="2"/>
        <v>0</v>
      </c>
    </row>
    <row r="191" spans="1:7" x14ac:dyDescent="0.25">
      <c r="A191" s="1">
        <v>42972</v>
      </c>
      <c r="B191" t="s">
        <v>50</v>
      </c>
      <c r="C191" t="s">
        <v>17</v>
      </c>
      <c r="D191">
        <v>3460</v>
      </c>
      <c r="E191">
        <v>145</v>
      </c>
      <c r="F191">
        <v>162</v>
      </c>
      <c r="G191">
        <f t="shared" si="2"/>
        <v>0</v>
      </c>
    </row>
    <row r="192" spans="1:7" x14ac:dyDescent="0.25">
      <c r="A192" s="1">
        <v>42973</v>
      </c>
      <c r="B192" t="s">
        <v>68</v>
      </c>
      <c r="C192" t="s">
        <v>19</v>
      </c>
      <c r="D192">
        <v>1347</v>
      </c>
      <c r="E192">
        <v>173</v>
      </c>
      <c r="F192">
        <v>576</v>
      </c>
      <c r="G192">
        <f t="shared" si="2"/>
        <v>0</v>
      </c>
    </row>
    <row r="193" spans="1:7" x14ac:dyDescent="0.25">
      <c r="A193" s="1">
        <v>42974</v>
      </c>
      <c r="B193" t="s">
        <v>19</v>
      </c>
      <c r="C193" t="s">
        <v>60</v>
      </c>
      <c r="D193">
        <v>2421</v>
      </c>
      <c r="E193">
        <v>148</v>
      </c>
      <c r="F193">
        <v>552</v>
      </c>
      <c r="G193">
        <f t="shared" si="2"/>
        <v>0</v>
      </c>
    </row>
    <row r="194" spans="1:7" x14ac:dyDescent="0.25">
      <c r="A194" s="1">
        <v>42975</v>
      </c>
      <c r="B194" t="s">
        <v>60</v>
      </c>
      <c r="C194" t="s">
        <v>47</v>
      </c>
      <c r="D194">
        <v>2939</v>
      </c>
      <c r="E194">
        <v>125</v>
      </c>
      <c r="F194">
        <v>307</v>
      </c>
      <c r="G194">
        <f t="shared" si="2"/>
        <v>0</v>
      </c>
    </row>
    <row r="195" spans="1:7" x14ac:dyDescent="0.25">
      <c r="A195" s="1">
        <v>42976</v>
      </c>
      <c r="B195" t="s">
        <v>47</v>
      </c>
      <c r="C195" t="s">
        <v>17</v>
      </c>
      <c r="D195">
        <v>4921</v>
      </c>
      <c r="E195">
        <v>124</v>
      </c>
      <c r="F195">
        <v>472</v>
      </c>
      <c r="G195">
        <f t="shared" ref="G195:G258" si="3">IF(E195&gt;400,F195,0)</f>
        <v>0</v>
      </c>
    </row>
    <row r="196" spans="1:7" x14ac:dyDescent="0.25">
      <c r="A196" s="1">
        <v>42977</v>
      </c>
      <c r="B196" t="s">
        <v>17</v>
      </c>
      <c r="C196" t="s">
        <v>38</v>
      </c>
      <c r="D196">
        <v>3580</v>
      </c>
      <c r="E196">
        <v>173</v>
      </c>
      <c r="F196">
        <v>382</v>
      </c>
      <c r="G196">
        <f t="shared" si="3"/>
        <v>0</v>
      </c>
    </row>
    <row r="197" spans="1:7" x14ac:dyDescent="0.25">
      <c r="A197" s="1">
        <v>42978</v>
      </c>
      <c r="B197" t="s">
        <v>38</v>
      </c>
      <c r="C197" t="s">
        <v>73</v>
      </c>
      <c r="D197">
        <v>5215</v>
      </c>
      <c r="E197">
        <v>158</v>
      </c>
      <c r="F197">
        <v>375</v>
      </c>
      <c r="G197">
        <f t="shared" si="3"/>
        <v>0</v>
      </c>
    </row>
    <row r="198" spans="1:7" x14ac:dyDescent="0.25">
      <c r="A198" s="1">
        <v>42979</v>
      </c>
      <c r="B198" t="s">
        <v>73</v>
      </c>
      <c r="C198" t="s">
        <v>51</v>
      </c>
      <c r="D198">
        <v>1369</v>
      </c>
      <c r="E198">
        <v>170</v>
      </c>
      <c r="F198">
        <v>276</v>
      </c>
      <c r="G198">
        <f t="shared" si="3"/>
        <v>0</v>
      </c>
    </row>
    <row r="199" spans="1:7" x14ac:dyDescent="0.25">
      <c r="A199" s="1">
        <v>42980</v>
      </c>
      <c r="B199" t="s">
        <v>51</v>
      </c>
      <c r="C199" t="s">
        <v>67</v>
      </c>
      <c r="D199">
        <v>1655</v>
      </c>
      <c r="E199">
        <v>180</v>
      </c>
      <c r="F199">
        <v>332</v>
      </c>
      <c r="G199">
        <f t="shared" si="3"/>
        <v>0</v>
      </c>
    </row>
    <row r="200" spans="1:7" x14ac:dyDescent="0.25">
      <c r="A200" s="1">
        <v>42981</v>
      </c>
      <c r="B200" t="s">
        <v>48</v>
      </c>
      <c r="C200" t="s">
        <v>61</v>
      </c>
      <c r="D200">
        <v>2192</v>
      </c>
      <c r="E200">
        <v>114</v>
      </c>
      <c r="F200">
        <v>137</v>
      </c>
      <c r="G200">
        <f t="shared" si="3"/>
        <v>0</v>
      </c>
    </row>
    <row r="201" spans="1:7" x14ac:dyDescent="0.25">
      <c r="A201" s="1">
        <v>42982</v>
      </c>
      <c r="B201" t="s">
        <v>12</v>
      </c>
      <c r="C201" t="s">
        <v>59</v>
      </c>
      <c r="D201">
        <v>5919</v>
      </c>
      <c r="E201">
        <v>103</v>
      </c>
      <c r="F201">
        <v>279</v>
      </c>
      <c r="G201">
        <f t="shared" si="3"/>
        <v>0</v>
      </c>
    </row>
    <row r="202" spans="1:7" x14ac:dyDescent="0.25">
      <c r="A202" s="1">
        <v>42983</v>
      </c>
      <c r="B202" t="s">
        <v>67</v>
      </c>
      <c r="C202" t="s">
        <v>17</v>
      </c>
      <c r="D202">
        <v>5986</v>
      </c>
      <c r="E202">
        <v>222</v>
      </c>
      <c r="F202">
        <v>501</v>
      </c>
      <c r="G202">
        <f t="shared" si="3"/>
        <v>0</v>
      </c>
    </row>
    <row r="203" spans="1:7" x14ac:dyDescent="0.25">
      <c r="A203" s="1">
        <v>42984</v>
      </c>
      <c r="B203" t="s">
        <v>17</v>
      </c>
      <c r="C203" t="s">
        <v>39</v>
      </c>
      <c r="D203">
        <v>2750</v>
      </c>
      <c r="E203">
        <v>144</v>
      </c>
      <c r="F203">
        <v>422</v>
      </c>
      <c r="G203">
        <f t="shared" si="3"/>
        <v>0</v>
      </c>
    </row>
    <row r="204" spans="1:7" x14ac:dyDescent="0.25">
      <c r="A204" s="1">
        <v>42985</v>
      </c>
      <c r="B204" t="s">
        <v>39</v>
      </c>
      <c r="C204" t="s">
        <v>50</v>
      </c>
      <c r="D204">
        <v>1381</v>
      </c>
      <c r="E204">
        <v>192</v>
      </c>
      <c r="F204">
        <v>556</v>
      </c>
      <c r="G204">
        <f t="shared" si="3"/>
        <v>0</v>
      </c>
    </row>
    <row r="205" spans="1:7" x14ac:dyDescent="0.25">
      <c r="A205" s="1">
        <v>42986</v>
      </c>
      <c r="B205" t="s">
        <v>60</v>
      </c>
      <c r="C205" t="s">
        <v>59</v>
      </c>
      <c r="D205">
        <v>2219</v>
      </c>
      <c r="E205">
        <v>136</v>
      </c>
      <c r="F205">
        <v>162</v>
      </c>
      <c r="G205">
        <f t="shared" si="3"/>
        <v>0</v>
      </c>
    </row>
    <row r="206" spans="1:7" x14ac:dyDescent="0.25">
      <c r="A206" s="1">
        <v>42987</v>
      </c>
      <c r="B206" t="s">
        <v>59</v>
      </c>
      <c r="C206" t="s">
        <v>65</v>
      </c>
      <c r="D206">
        <v>5041</v>
      </c>
      <c r="E206">
        <v>101</v>
      </c>
      <c r="F206">
        <v>319</v>
      </c>
      <c r="G206">
        <f t="shared" si="3"/>
        <v>0</v>
      </c>
    </row>
    <row r="207" spans="1:7" x14ac:dyDescent="0.25">
      <c r="A207" s="1">
        <v>42989</v>
      </c>
      <c r="B207" t="s">
        <v>31</v>
      </c>
      <c r="C207" t="s">
        <v>23</v>
      </c>
      <c r="D207">
        <v>4432</v>
      </c>
      <c r="E207">
        <v>159</v>
      </c>
      <c r="F207">
        <v>585</v>
      </c>
      <c r="G207">
        <f t="shared" si="3"/>
        <v>0</v>
      </c>
    </row>
    <row r="208" spans="1:7" x14ac:dyDescent="0.25">
      <c r="A208" s="1">
        <v>42990</v>
      </c>
      <c r="B208" t="s">
        <v>6</v>
      </c>
      <c r="C208" t="s">
        <v>12</v>
      </c>
      <c r="D208">
        <v>2761</v>
      </c>
      <c r="E208">
        <v>129</v>
      </c>
      <c r="F208">
        <v>288</v>
      </c>
      <c r="G208">
        <f t="shared" si="3"/>
        <v>0</v>
      </c>
    </row>
    <row r="209" spans="1:7" x14ac:dyDescent="0.25">
      <c r="A209" s="1">
        <v>42991</v>
      </c>
      <c r="B209" t="s">
        <v>12</v>
      </c>
      <c r="C209" t="s">
        <v>7</v>
      </c>
      <c r="D209">
        <v>2935</v>
      </c>
      <c r="E209">
        <v>162</v>
      </c>
      <c r="F209">
        <v>572</v>
      </c>
      <c r="G209">
        <f t="shared" si="3"/>
        <v>0</v>
      </c>
    </row>
    <row r="210" spans="1:7" x14ac:dyDescent="0.25">
      <c r="A210" s="1">
        <v>42992</v>
      </c>
      <c r="B210" t="s">
        <v>36</v>
      </c>
      <c r="C210" t="s">
        <v>40</v>
      </c>
      <c r="D210">
        <v>3565</v>
      </c>
      <c r="E210">
        <v>176</v>
      </c>
      <c r="F210">
        <v>224</v>
      </c>
      <c r="G210">
        <f t="shared" si="3"/>
        <v>0</v>
      </c>
    </row>
    <row r="211" spans="1:7" x14ac:dyDescent="0.25">
      <c r="A211" s="1">
        <v>42993</v>
      </c>
      <c r="B211" t="s">
        <v>8</v>
      </c>
      <c r="C211" t="s">
        <v>38</v>
      </c>
      <c r="D211">
        <v>3096</v>
      </c>
      <c r="E211">
        <v>353</v>
      </c>
      <c r="F211">
        <v>993</v>
      </c>
      <c r="G211">
        <f t="shared" si="3"/>
        <v>0</v>
      </c>
    </row>
    <row r="212" spans="1:7" x14ac:dyDescent="0.25">
      <c r="A212" s="1">
        <v>42995</v>
      </c>
      <c r="B212" t="s">
        <v>50</v>
      </c>
      <c r="C212" t="s">
        <v>11</v>
      </c>
      <c r="D212">
        <v>3325</v>
      </c>
      <c r="E212">
        <v>517</v>
      </c>
      <c r="F212">
        <v>1107</v>
      </c>
      <c r="G212">
        <f t="shared" si="3"/>
        <v>1107</v>
      </c>
    </row>
    <row r="213" spans="1:7" x14ac:dyDescent="0.25">
      <c r="A213" s="1">
        <v>42997</v>
      </c>
      <c r="B213" t="s">
        <v>15</v>
      </c>
      <c r="C213" t="s">
        <v>59</v>
      </c>
      <c r="D213">
        <v>2563</v>
      </c>
      <c r="E213">
        <v>480</v>
      </c>
      <c r="F213">
        <v>1849</v>
      </c>
      <c r="G213">
        <f t="shared" si="3"/>
        <v>1849</v>
      </c>
    </row>
    <row r="214" spans="1:7" x14ac:dyDescent="0.25">
      <c r="A214" s="1">
        <v>42998</v>
      </c>
      <c r="B214" t="s">
        <v>59</v>
      </c>
      <c r="C214" t="s">
        <v>19</v>
      </c>
      <c r="D214">
        <v>2914</v>
      </c>
      <c r="E214">
        <v>104</v>
      </c>
      <c r="F214">
        <v>275</v>
      </c>
      <c r="G214">
        <f t="shared" si="3"/>
        <v>0</v>
      </c>
    </row>
    <row r="215" spans="1:7" x14ac:dyDescent="0.25">
      <c r="A215" s="1">
        <v>42999</v>
      </c>
      <c r="B215" t="s">
        <v>19</v>
      </c>
      <c r="C215" t="s">
        <v>29</v>
      </c>
      <c r="D215">
        <v>2832</v>
      </c>
      <c r="E215">
        <v>106</v>
      </c>
      <c r="F215">
        <v>396</v>
      </c>
      <c r="G215">
        <f t="shared" si="3"/>
        <v>0</v>
      </c>
    </row>
    <row r="216" spans="1:7" x14ac:dyDescent="0.25">
      <c r="A216" s="1">
        <v>43000</v>
      </c>
      <c r="B216" t="s">
        <v>59</v>
      </c>
      <c r="C216" t="s">
        <v>43</v>
      </c>
      <c r="D216">
        <v>5257</v>
      </c>
      <c r="E216">
        <v>407</v>
      </c>
      <c r="F216">
        <v>551</v>
      </c>
      <c r="G216">
        <f t="shared" si="3"/>
        <v>551</v>
      </c>
    </row>
    <row r="217" spans="1:7" x14ac:dyDescent="0.25">
      <c r="A217" s="1">
        <v>43001</v>
      </c>
      <c r="B217" t="s">
        <v>57</v>
      </c>
      <c r="C217" t="s">
        <v>43</v>
      </c>
      <c r="D217">
        <v>5983</v>
      </c>
      <c r="E217">
        <v>227</v>
      </c>
      <c r="F217">
        <v>832</v>
      </c>
      <c r="G217">
        <f t="shared" si="3"/>
        <v>0</v>
      </c>
    </row>
    <row r="218" spans="1:7" x14ac:dyDescent="0.25">
      <c r="A218" s="1">
        <v>43002</v>
      </c>
      <c r="B218" t="s">
        <v>43</v>
      </c>
      <c r="C218" t="s">
        <v>64</v>
      </c>
      <c r="D218">
        <v>4378</v>
      </c>
      <c r="E218">
        <v>187</v>
      </c>
      <c r="F218">
        <v>653</v>
      </c>
      <c r="G218">
        <f t="shared" si="3"/>
        <v>0</v>
      </c>
    </row>
    <row r="219" spans="1:7" x14ac:dyDescent="0.25">
      <c r="A219" s="1">
        <v>43003</v>
      </c>
      <c r="B219" t="s">
        <v>64</v>
      </c>
      <c r="C219" t="s">
        <v>25</v>
      </c>
      <c r="D219">
        <v>3108</v>
      </c>
      <c r="E219">
        <v>114</v>
      </c>
      <c r="F219">
        <v>174</v>
      </c>
      <c r="G219">
        <f t="shared" si="3"/>
        <v>0</v>
      </c>
    </row>
    <row r="220" spans="1:7" x14ac:dyDescent="0.25">
      <c r="A220" s="1">
        <v>43004</v>
      </c>
      <c r="B220" t="s">
        <v>25</v>
      </c>
      <c r="C220" t="s">
        <v>52</v>
      </c>
      <c r="D220">
        <v>2133</v>
      </c>
      <c r="E220">
        <v>166</v>
      </c>
      <c r="F220">
        <v>513</v>
      </c>
      <c r="G220">
        <f t="shared" si="3"/>
        <v>0</v>
      </c>
    </row>
    <row r="221" spans="1:7" x14ac:dyDescent="0.25">
      <c r="A221" s="1">
        <v>43005</v>
      </c>
      <c r="B221" t="s">
        <v>52</v>
      </c>
      <c r="C221" t="s">
        <v>48</v>
      </c>
      <c r="D221">
        <v>1125</v>
      </c>
      <c r="E221">
        <v>98</v>
      </c>
      <c r="F221">
        <v>194</v>
      </c>
      <c r="G221">
        <f t="shared" si="3"/>
        <v>0</v>
      </c>
    </row>
    <row r="222" spans="1:7" x14ac:dyDescent="0.25">
      <c r="A222" s="1">
        <v>43006</v>
      </c>
      <c r="B222" t="s">
        <v>48</v>
      </c>
      <c r="C222" t="s">
        <v>25</v>
      </c>
      <c r="D222">
        <v>4375</v>
      </c>
      <c r="E222">
        <v>140</v>
      </c>
      <c r="F222">
        <v>134</v>
      </c>
      <c r="G222">
        <f t="shared" si="3"/>
        <v>0</v>
      </c>
    </row>
    <row r="223" spans="1:7" x14ac:dyDescent="0.25">
      <c r="A223" s="1">
        <v>43008</v>
      </c>
      <c r="B223" t="s">
        <v>41</v>
      </c>
      <c r="C223" t="s">
        <v>12</v>
      </c>
      <c r="D223">
        <v>5455</v>
      </c>
      <c r="E223">
        <v>124</v>
      </c>
      <c r="F223">
        <v>231</v>
      </c>
      <c r="G223">
        <f t="shared" si="3"/>
        <v>0</v>
      </c>
    </row>
    <row r="224" spans="1:7" x14ac:dyDescent="0.25">
      <c r="A224" s="1">
        <v>43009</v>
      </c>
      <c r="B224" t="s">
        <v>29</v>
      </c>
      <c r="C224" t="s">
        <v>28</v>
      </c>
      <c r="D224">
        <v>4649</v>
      </c>
      <c r="E224">
        <v>125</v>
      </c>
      <c r="F224">
        <v>356</v>
      </c>
      <c r="G224">
        <f t="shared" si="3"/>
        <v>0</v>
      </c>
    </row>
    <row r="225" spans="1:7" x14ac:dyDescent="0.25">
      <c r="A225" s="1">
        <v>43010</v>
      </c>
      <c r="B225" t="s">
        <v>28</v>
      </c>
      <c r="C225" t="s">
        <v>60</v>
      </c>
      <c r="D225">
        <v>4016</v>
      </c>
      <c r="E225">
        <v>115</v>
      </c>
      <c r="F225">
        <v>145</v>
      </c>
      <c r="G225">
        <f t="shared" si="3"/>
        <v>0</v>
      </c>
    </row>
    <row r="226" spans="1:7" x14ac:dyDescent="0.25">
      <c r="A226" s="1">
        <v>43011</v>
      </c>
      <c r="B226" t="s">
        <v>60</v>
      </c>
      <c r="C226" t="s">
        <v>32</v>
      </c>
      <c r="D226">
        <v>1211</v>
      </c>
      <c r="E226">
        <v>139</v>
      </c>
      <c r="F226">
        <v>218</v>
      </c>
      <c r="G226">
        <f t="shared" si="3"/>
        <v>0</v>
      </c>
    </row>
    <row r="227" spans="1:7" x14ac:dyDescent="0.25">
      <c r="A227" s="1">
        <v>43012</v>
      </c>
      <c r="B227" t="s">
        <v>32</v>
      </c>
      <c r="C227" t="s">
        <v>42</v>
      </c>
      <c r="D227">
        <v>4633</v>
      </c>
      <c r="E227">
        <v>120</v>
      </c>
      <c r="F227">
        <v>280</v>
      </c>
      <c r="G227">
        <f t="shared" si="3"/>
        <v>0</v>
      </c>
    </row>
    <row r="228" spans="1:7" x14ac:dyDescent="0.25">
      <c r="A228" s="1">
        <v>43013</v>
      </c>
      <c r="B228" t="s">
        <v>42</v>
      </c>
      <c r="C228" t="s">
        <v>37</v>
      </c>
      <c r="D228">
        <v>2488</v>
      </c>
      <c r="E228">
        <v>144</v>
      </c>
      <c r="F228">
        <v>252</v>
      </c>
      <c r="G228">
        <f t="shared" si="3"/>
        <v>0</v>
      </c>
    </row>
    <row r="229" spans="1:7" x14ac:dyDescent="0.25">
      <c r="A229" s="1">
        <v>43014</v>
      </c>
      <c r="B229" t="s">
        <v>37</v>
      </c>
      <c r="C229" t="s">
        <v>35</v>
      </c>
      <c r="D229">
        <v>5798</v>
      </c>
      <c r="E229">
        <v>142</v>
      </c>
      <c r="F229">
        <v>501</v>
      </c>
      <c r="G229">
        <f t="shared" si="3"/>
        <v>0</v>
      </c>
    </row>
    <row r="230" spans="1:7" x14ac:dyDescent="0.25">
      <c r="A230" s="1">
        <v>43015</v>
      </c>
      <c r="B230" t="s">
        <v>42</v>
      </c>
      <c r="C230" t="s">
        <v>62</v>
      </c>
      <c r="D230">
        <v>2918</v>
      </c>
      <c r="E230">
        <v>181</v>
      </c>
      <c r="F230">
        <v>289</v>
      </c>
      <c r="G230">
        <f t="shared" si="3"/>
        <v>0</v>
      </c>
    </row>
    <row r="231" spans="1:7" x14ac:dyDescent="0.25">
      <c r="A231" s="1">
        <v>43016</v>
      </c>
      <c r="B231" t="s">
        <v>62</v>
      </c>
      <c r="C231" t="s">
        <v>61</v>
      </c>
      <c r="D231">
        <v>1886</v>
      </c>
      <c r="E231">
        <v>110</v>
      </c>
      <c r="F231">
        <v>254</v>
      </c>
      <c r="G231">
        <f t="shared" si="3"/>
        <v>0</v>
      </c>
    </row>
    <row r="232" spans="1:7" x14ac:dyDescent="0.25">
      <c r="A232" s="1">
        <v>43017</v>
      </c>
      <c r="B232" t="s">
        <v>70</v>
      </c>
      <c r="C232" t="s">
        <v>30</v>
      </c>
      <c r="D232">
        <v>4431</v>
      </c>
      <c r="E232">
        <v>128</v>
      </c>
      <c r="F232">
        <v>213</v>
      </c>
      <c r="G232">
        <f t="shared" si="3"/>
        <v>0</v>
      </c>
    </row>
    <row r="233" spans="1:7" x14ac:dyDescent="0.25">
      <c r="A233" s="1">
        <v>43018</v>
      </c>
      <c r="B233" t="s">
        <v>30</v>
      </c>
      <c r="C233" t="s">
        <v>40</v>
      </c>
      <c r="D233">
        <v>1956</v>
      </c>
      <c r="E233">
        <v>176</v>
      </c>
      <c r="F233">
        <v>248</v>
      </c>
      <c r="G233">
        <f t="shared" si="3"/>
        <v>0</v>
      </c>
    </row>
    <row r="234" spans="1:7" x14ac:dyDescent="0.25">
      <c r="A234" s="1">
        <v>43019</v>
      </c>
      <c r="B234" t="s">
        <v>15</v>
      </c>
      <c r="C234" t="s">
        <v>26</v>
      </c>
      <c r="D234">
        <v>4059</v>
      </c>
      <c r="E234">
        <v>162</v>
      </c>
      <c r="F234">
        <v>550</v>
      </c>
      <c r="G234">
        <f t="shared" si="3"/>
        <v>0</v>
      </c>
    </row>
    <row r="235" spans="1:7" x14ac:dyDescent="0.25">
      <c r="A235" s="1">
        <v>43020</v>
      </c>
      <c r="B235" t="s">
        <v>26</v>
      </c>
      <c r="C235" t="s">
        <v>23</v>
      </c>
      <c r="D235">
        <v>2157</v>
      </c>
      <c r="E235">
        <v>115</v>
      </c>
      <c r="F235">
        <v>182</v>
      </c>
      <c r="G235">
        <f t="shared" si="3"/>
        <v>0</v>
      </c>
    </row>
    <row r="236" spans="1:7" x14ac:dyDescent="0.25">
      <c r="A236" s="1">
        <v>43021</v>
      </c>
      <c r="B236" t="s">
        <v>23</v>
      </c>
      <c r="C236" t="s">
        <v>24</v>
      </c>
      <c r="D236">
        <v>3353</v>
      </c>
      <c r="E236">
        <v>117</v>
      </c>
      <c r="F236">
        <v>312</v>
      </c>
      <c r="G236">
        <f t="shared" si="3"/>
        <v>0</v>
      </c>
    </row>
    <row r="237" spans="1:7" x14ac:dyDescent="0.25">
      <c r="A237" s="1">
        <v>43022</v>
      </c>
      <c r="B237" t="s">
        <v>24</v>
      </c>
      <c r="C237" t="s">
        <v>21</v>
      </c>
      <c r="D237">
        <v>4677</v>
      </c>
      <c r="E237">
        <v>219</v>
      </c>
      <c r="F237">
        <v>255</v>
      </c>
      <c r="G237">
        <f t="shared" si="3"/>
        <v>0</v>
      </c>
    </row>
    <row r="238" spans="1:7" x14ac:dyDescent="0.25">
      <c r="A238" s="1">
        <v>43023</v>
      </c>
      <c r="B238" t="s">
        <v>21</v>
      </c>
      <c r="C238" t="s">
        <v>25</v>
      </c>
      <c r="D238">
        <v>2059</v>
      </c>
      <c r="E238">
        <v>164</v>
      </c>
      <c r="F238">
        <v>630</v>
      </c>
      <c r="G238">
        <f t="shared" si="3"/>
        <v>0</v>
      </c>
    </row>
    <row r="239" spans="1:7" x14ac:dyDescent="0.25">
      <c r="A239" s="1">
        <v>43025</v>
      </c>
      <c r="B239" t="s">
        <v>8</v>
      </c>
      <c r="C239" t="s">
        <v>29</v>
      </c>
      <c r="D239">
        <v>5537</v>
      </c>
      <c r="E239">
        <v>141</v>
      </c>
      <c r="F239">
        <v>240</v>
      </c>
      <c r="G239">
        <f t="shared" si="3"/>
        <v>0</v>
      </c>
    </row>
    <row r="240" spans="1:7" x14ac:dyDescent="0.25">
      <c r="A240" s="1">
        <v>43026</v>
      </c>
      <c r="B240" t="s">
        <v>29</v>
      </c>
      <c r="C240" t="s">
        <v>59</v>
      </c>
      <c r="D240">
        <v>2987</v>
      </c>
      <c r="E240">
        <v>149</v>
      </c>
      <c r="F240">
        <v>464</v>
      </c>
      <c r="G240">
        <f t="shared" si="3"/>
        <v>0</v>
      </c>
    </row>
    <row r="241" spans="1:7" x14ac:dyDescent="0.25">
      <c r="A241" s="1">
        <v>43028</v>
      </c>
      <c r="B241" t="s">
        <v>69</v>
      </c>
      <c r="C241" t="s">
        <v>67</v>
      </c>
      <c r="D241">
        <v>5570</v>
      </c>
      <c r="E241">
        <v>166</v>
      </c>
      <c r="F241">
        <v>577</v>
      </c>
      <c r="G241">
        <f t="shared" si="3"/>
        <v>0</v>
      </c>
    </row>
    <row r="242" spans="1:7" x14ac:dyDescent="0.25">
      <c r="A242" s="1">
        <v>43029</v>
      </c>
      <c r="B242" t="s">
        <v>67</v>
      </c>
      <c r="C242" t="s">
        <v>66</v>
      </c>
      <c r="D242">
        <v>3948</v>
      </c>
      <c r="E242">
        <v>137</v>
      </c>
      <c r="F242">
        <v>469</v>
      </c>
      <c r="G242">
        <f t="shared" si="3"/>
        <v>0</v>
      </c>
    </row>
    <row r="243" spans="1:7" x14ac:dyDescent="0.25">
      <c r="A243" s="1">
        <v>43030</v>
      </c>
      <c r="B243" t="s">
        <v>56</v>
      </c>
      <c r="C243" t="s">
        <v>59</v>
      </c>
      <c r="D243">
        <v>4201</v>
      </c>
      <c r="E243">
        <v>380</v>
      </c>
      <c r="F243">
        <v>528</v>
      </c>
      <c r="G243">
        <f t="shared" si="3"/>
        <v>0</v>
      </c>
    </row>
    <row r="244" spans="1:7" x14ac:dyDescent="0.25">
      <c r="A244" s="1">
        <v>43031</v>
      </c>
      <c r="B244" t="s">
        <v>59</v>
      </c>
      <c r="C244" t="s">
        <v>12</v>
      </c>
      <c r="D244">
        <v>3592</v>
      </c>
      <c r="E244">
        <v>109</v>
      </c>
      <c r="F244">
        <v>134</v>
      </c>
      <c r="G244">
        <f t="shared" si="3"/>
        <v>0</v>
      </c>
    </row>
    <row r="245" spans="1:7" x14ac:dyDescent="0.25">
      <c r="A245" s="1">
        <v>43032</v>
      </c>
      <c r="B245" t="s">
        <v>12</v>
      </c>
      <c r="C245" t="s">
        <v>41</v>
      </c>
      <c r="D245">
        <v>4543</v>
      </c>
      <c r="E245">
        <v>135</v>
      </c>
      <c r="F245">
        <v>345</v>
      </c>
      <c r="G245">
        <f t="shared" si="3"/>
        <v>0</v>
      </c>
    </row>
    <row r="246" spans="1:7" x14ac:dyDescent="0.25">
      <c r="A246" s="1">
        <v>43034</v>
      </c>
      <c r="B246" t="s">
        <v>12</v>
      </c>
      <c r="C246" t="s">
        <v>9</v>
      </c>
      <c r="D246">
        <v>1813</v>
      </c>
      <c r="E246">
        <v>86</v>
      </c>
      <c r="F246">
        <v>163</v>
      </c>
      <c r="G246">
        <f t="shared" si="3"/>
        <v>0</v>
      </c>
    </row>
    <row r="247" spans="1:7" x14ac:dyDescent="0.25">
      <c r="A247" s="1">
        <v>43035</v>
      </c>
      <c r="B247" t="s">
        <v>38</v>
      </c>
      <c r="C247" t="s">
        <v>49</v>
      </c>
      <c r="D247">
        <v>4567</v>
      </c>
      <c r="E247">
        <v>31</v>
      </c>
      <c r="F247">
        <v>54</v>
      </c>
      <c r="G247">
        <f t="shared" si="3"/>
        <v>0</v>
      </c>
    </row>
    <row r="248" spans="1:7" x14ac:dyDescent="0.25">
      <c r="A248" s="1">
        <v>43036</v>
      </c>
      <c r="B248" t="s">
        <v>49</v>
      </c>
      <c r="C248" t="s">
        <v>37</v>
      </c>
      <c r="D248">
        <v>1830</v>
      </c>
      <c r="E248">
        <v>152</v>
      </c>
      <c r="F248">
        <v>301</v>
      </c>
      <c r="G248">
        <f t="shared" si="3"/>
        <v>0</v>
      </c>
    </row>
    <row r="249" spans="1:7" x14ac:dyDescent="0.25">
      <c r="A249" s="1">
        <v>43037</v>
      </c>
      <c r="B249" t="s">
        <v>37</v>
      </c>
      <c r="C249" t="s">
        <v>57</v>
      </c>
      <c r="D249">
        <v>3678</v>
      </c>
      <c r="E249">
        <v>104</v>
      </c>
      <c r="F249">
        <v>275</v>
      </c>
      <c r="G249">
        <f t="shared" si="3"/>
        <v>0</v>
      </c>
    </row>
    <row r="250" spans="1:7" x14ac:dyDescent="0.25">
      <c r="A250" s="1">
        <v>43038</v>
      </c>
      <c r="B250" t="s">
        <v>17</v>
      </c>
      <c r="C250" t="s">
        <v>38</v>
      </c>
      <c r="D250">
        <v>1782</v>
      </c>
      <c r="E250">
        <v>171</v>
      </c>
      <c r="F250">
        <v>193</v>
      </c>
      <c r="G250">
        <f t="shared" si="3"/>
        <v>0</v>
      </c>
    </row>
    <row r="251" spans="1:7" x14ac:dyDescent="0.25">
      <c r="A251" s="1">
        <v>43040</v>
      </c>
      <c r="B251" t="s">
        <v>12</v>
      </c>
      <c r="C251" t="s">
        <v>6</v>
      </c>
      <c r="D251">
        <v>2966</v>
      </c>
      <c r="E251">
        <v>125</v>
      </c>
      <c r="F251">
        <v>170</v>
      </c>
      <c r="G251">
        <f t="shared" si="3"/>
        <v>0</v>
      </c>
    </row>
    <row r="252" spans="1:7" x14ac:dyDescent="0.25">
      <c r="A252" s="1">
        <v>43042</v>
      </c>
      <c r="B252" t="s">
        <v>32</v>
      </c>
      <c r="C252" t="s">
        <v>47</v>
      </c>
      <c r="D252">
        <v>4746</v>
      </c>
      <c r="E252">
        <v>131</v>
      </c>
      <c r="F252">
        <v>245</v>
      </c>
      <c r="G252">
        <f t="shared" si="3"/>
        <v>0</v>
      </c>
    </row>
    <row r="253" spans="1:7" x14ac:dyDescent="0.25">
      <c r="A253" s="1">
        <v>43044</v>
      </c>
      <c r="B253" t="s">
        <v>37</v>
      </c>
      <c r="C253" t="s">
        <v>18</v>
      </c>
      <c r="D253">
        <v>3161</v>
      </c>
      <c r="E253">
        <v>101</v>
      </c>
      <c r="F253">
        <v>115</v>
      </c>
      <c r="G253">
        <f t="shared" si="3"/>
        <v>0</v>
      </c>
    </row>
    <row r="254" spans="1:7" x14ac:dyDescent="0.25">
      <c r="A254" s="1">
        <v>43045</v>
      </c>
      <c r="B254" t="s">
        <v>60</v>
      </c>
      <c r="C254" t="s">
        <v>71</v>
      </c>
      <c r="D254">
        <v>3600</v>
      </c>
      <c r="E254">
        <v>211</v>
      </c>
      <c r="F254">
        <v>670</v>
      </c>
      <c r="G254">
        <f t="shared" si="3"/>
        <v>0</v>
      </c>
    </row>
    <row r="255" spans="1:7" x14ac:dyDescent="0.25">
      <c r="A255" s="1">
        <v>43046</v>
      </c>
      <c r="B255" t="s">
        <v>71</v>
      </c>
      <c r="C255" t="s">
        <v>10</v>
      </c>
      <c r="D255">
        <v>4093</v>
      </c>
      <c r="E255">
        <v>119</v>
      </c>
      <c r="F255">
        <v>254</v>
      </c>
      <c r="G255">
        <f t="shared" si="3"/>
        <v>0</v>
      </c>
    </row>
    <row r="256" spans="1:7" x14ac:dyDescent="0.25">
      <c r="A256" s="1">
        <v>43047</v>
      </c>
      <c r="B256" t="s">
        <v>10</v>
      </c>
      <c r="C256" t="s">
        <v>9</v>
      </c>
      <c r="D256">
        <v>1981</v>
      </c>
      <c r="E256">
        <v>159</v>
      </c>
      <c r="F256">
        <v>192</v>
      </c>
      <c r="G256">
        <f t="shared" si="3"/>
        <v>0</v>
      </c>
    </row>
    <row r="257" spans="1:7" x14ac:dyDescent="0.25">
      <c r="A257" s="1">
        <v>43048</v>
      </c>
      <c r="B257" t="s">
        <v>9</v>
      </c>
      <c r="C257" t="s">
        <v>6</v>
      </c>
      <c r="D257">
        <v>3154</v>
      </c>
      <c r="E257">
        <v>127</v>
      </c>
      <c r="F257">
        <v>390</v>
      </c>
      <c r="G257">
        <f t="shared" si="3"/>
        <v>0</v>
      </c>
    </row>
    <row r="258" spans="1:7" x14ac:dyDescent="0.25">
      <c r="A258" s="1">
        <v>43051</v>
      </c>
      <c r="B258" t="s">
        <v>8</v>
      </c>
      <c r="C258" t="s">
        <v>67</v>
      </c>
      <c r="D258">
        <v>4876</v>
      </c>
      <c r="E258">
        <v>280</v>
      </c>
      <c r="F258">
        <v>688</v>
      </c>
      <c r="G258">
        <f t="shared" si="3"/>
        <v>0</v>
      </c>
    </row>
    <row r="259" spans="1:7" x14ac:dyDescent="0.25">
      <c r="A259" s="1">
        <v>43052</v>
      </c>
      <c r="B259" t="s">
        <v>67</v>
      </c>
      <c r="C259" t="s">
        <v>66</v>
      </c>
      <c r="D259">
        <v>5153</v>
      </c>
      <c r="E259">
        <v>141</v>
      </c>
      <c r="F259">
        <v>547</v>
      </c>
      <c r="G259">
        <f t="shared" ref="G259:G301" si="4">IF(E259&gt;400,F259,0)</f>
        <v>0</v>
      </c>
    </row>
    <row r="260" spans="1:7" x14ac:dyDescent="0.25">
      <c r="A260" s="1">
        <v>43053</v>
      </c>
      <c r="B260" t="s">
        <v>66</v>
      </c>
      <c r="C260" t="s">
        <v>45</v>
      </c>
      <c r="D260">
        <v>1720</v>
      </c>
      <c r="E260">
        <v>122</v>
      </c>
      <c r="F260">
        <v>363</v>
      </c>
      <c r="G260">
        <f t="shared" si="4"/>
        <v>0</v>
      </c>
    </row>
    <row r="261" spans="1:7" x14ac:dyDescent="0.25">
      <c r="A261" s="1">
        <v>43054</v>
      </c>
      <c r="B261" t="s">
        <v>45</v>
      </c>
      <c r="C261" t="s">
        <v>44</v>
      </c>
      <c r="D261">
        <v>5392</v>
      </c>
      <c r="E261">
        <v>161</v>
      </c>
      <c r="F261">
        <v>240</v>
      </c>
      <c r="G261">
        <f t="shared" si="4"/>
        <v>0</v>
      </c>
    </row>
    <row r="262" spans="1:7" x14ac:dyDescent="0.25">
      <c r="A262" s="1">
        <v>43055</v>
      </c>
      <c r="B262" t="s">
        <v>70</v>
      </c>
      <c r="C262" t="s">
        <v>23</v>
      </c>
      <c r="D262">
        <v>1698</v>
      </c>
      <c r="E262">
        <v>224</v>
      </c>
      <c r="F262">
        <v>579</v>
      </c>
      <c r="G262">
        <f t="shared" si="4"/>
        <v>0</v>
      </c>
    </row>
    <row r="263" spans="1:7" x14ac:dyDescent="0.25">
      <c r="A263" s="1">
        <v>43056</v>
      </c>
      <c r="B263" t="s">
        <v>23</v>
      </c>
      <c r="C263" t="s">
        <v>21</v>
      </c>
      <c r="D263">
        <v>3411</v>
      </c>
      <c r="E263">
        <v>166</v>
      </c>
      <c r="F263">
        <v>574</v>
      </c>
      <c r="G263">
        <f t="shared" si="4"/>
        <v>0</v>
      </c>
    </row>
    <row r="264" spans="1:7" x14ac:dyDescent="0.25">
      <c r="A264" s="1">
        <v>43057</v>
      </c>
      <c r="B264" t="s">
        <v>21</v>
      </c>
      <c r="C264" t="s">
        <v>14</v>
      </c>
      <c r="D264">
        <v>5558</v>
      </c>
      <c r="E264">
        <v>107</v>
      </c>
      <c r="F264">
        <v>202</v>
      </c>
      <c r="G264">
        <f t="shared" si="4"/>
        <v>0</v>
      </c>
    </row>
    <row r="265" spans="1:7" x14ac:dyDescent="0.25">
      <c r="A265" s="1">
        <v>43058</v>
      </c>
      <c r="B265" t="s">
        <v>14</v>
      </c>
      <c r="C265" t="s">
        <v>40</v>
      </c>
      <c r="D265">
        <v>2592</v>
      </c>
      <c r="E265">
        <v>136</v>
      </c>
      <c r="F265">
        <v>325</v>
      </c>
      <c r="G265">
        <f t="shared" si="4"/>
        <v>0</v>
      </c>
    </row>
    <row r="266" spans="1:7" x14ac:dyDescent="0.25">
      <c r="A266" s="1">
        <v>43059</v>
      </c>
      <c r="B266" t="s">
        <v>40</v>
      </c>
      <c r="C266" t="s">
        <v>30</v>
      </c>
      <c r="D266">
        <v>5214</v>
      </c>
      <c r="E266">
        <v>178</v>
      </c>
      <c r="F266">
        <v>634</v>
      </c>
      <c r="G266">
        <f t="shared" si="4"/>
        <v>0</v>
      </c>
    </row>
    <row r="267" spans="1:7" x14ac:dyDescent="0.25">
      <c r="A267" s="1">
        <v>43060</v>
      </c>
      <c r="B267" t="s">
        <v>30</v>
      </c>
      <c r="C267" t="s">
        <v>40</v>
      </c>
      <c r="D267">
        <v>5491</v>
      </c>
      <c r="E267">
        <v>162</v>
      </c>
      <c r="F267">
        <v>408</v>
      </c>
      <c r="G267">
        <f t="shared" si="4"/>
        <v>0</v>
      </c>
    </row>
    <row r="268" spans="1:7" x14ac:dyDescent="0.25">
      <c r="A268" s="1">
        <v>43061</v>
      </c>
      <c r="B268" t="s">
        <v>16</v>
      </c>
      <c r="C268" t="s">
        <v>35</v>
      </c>
      <c r="D268">
        <v>4594</v>
      </c>
      <c r="E268">
        <v>443</v>
      </c>
      <c r="F268">
        <v>1098</v>
      </c>
      <c r="G268">
        <f t="shared" si="4"/>
        <v>1098</v>
      </c>
    </row>
    <row r="269" spans="1:7" x14ac:dyDescent="0.25">
      <c r="A269" s="1">
        <v>43062</v>
      </c>
      <c r="B269" t="s">
        <v>35</v>
      </c>
      <c r="C269" t="s">
        <v>37</v>
      </c>
      <c r="D269">
        <v>1047</v>
      </c>
      <c r="E269">
        <v>147</v>
      </c>
      <c r="F269">
        <v>432</v>
      </c>
      <c r="G269">
        <f t="shared" si="4"/>
        <v>0</v>
      </c>
    </row>
    <row r="270" spans="1:7" x14ac:dyDescent="0.25">
      <c r="A270" s="1">
        <v>43063</v>
      </c>
      <c r="B270" t="s">
        <v>15</v>
      </c>
      <c r="C270" t="s">
        <v>59</v>
      </c>
      <c r="D270">
        <v>5517</v>
      </c>
      <c r="E270">
        <v>494</v>
      </c>
      <c r="F270">
        <v>1185</v>
      </c>
      <c r="G270">
        <f t="shared" si="4"/>
        <v>1185</v>
      </c>
    </row>
    <row r="271" spans="1:7" x14ac:dyDescent="0.25">
      <c r="A271" s="1">
        <v>43064</v>
      </c>
      <c r="B271" t="s">
        <v>59</v>
      </c>
      <c r="C271" t="s">
        <v>12</v>
      </c>
      <c r="D271">
        <v>4155</v>
      </c>
      <c r="E271">
        <v>93</v>
      </c>
      <c r="F271">
        <v>181</v>
      </c>
      <c r="G271">
        <f t="shared" si="4"/>
        <v>0</v>
      </c>
    </row>
    <row r="272" spans="1:7" x14ac:dyDescent="0.25">
      <c r="A272" s="1">
        <v>43067</v>
      </c>
      <c r="B272" t="s">
        <v>61</v>
      </c>
      <c r="C272" t="s">
        <v>48</v>
      </c>
      <c r="D272">
        <v>2798</v>
      </c>
      <c r="E272">
        <v>109</v>
      </c>
      <c r="F272">
        <v>366</v>
      </c>
      <c r="G272">
        <f t="shared" si="4"/>
        <v>0</v>
      </c>
    </row>
    <row r="273" spans="1:7" x14ac:dyDescent="0.25">
      <c r="A273" s="1">
        <v>43068</v>
      </c>
      <c r="B273" t="s">
        <v>48</v>
      </c>
      <c r="C273" t="s">
        <v>61</v>
      </c>
      <c r="D273">
        <v>4217</v>
      </c>
      <c r="E273">
        <v>112</v>
      </c>
      <c r="F273">
        <v>263</v>
      </c>
      <c r="G273">
        <f t="shared" si="4"/>
        <v>0</v>
      </c>
    </row>
    <row r="274" spans="1:7" x14ac:dyDescent="0.25">
      <c r="A274" s="1">
        <v>43069</v>
      </c>
      <c r="B274" t="s">
        <v>61</v>
      </c>
      <c r="C274" t="s">
        <v>48</v>
      </c>
      <c r="D274">
        <v>4327</v>
      </c>
      <c r="E274">
        <v>109</v>
      </c>
      <c r="F274">
        <v>196</v>
      </c>
      <c r="G274">
        <f t="shared" si="4"/>
        <v>0</v>
      </c>
    </row>
    <row r="275" spans="1:7" x14ac:dyDescent="0.25">
      <c r="A275" s="1">
        <v>43070</v>
      </c>
      <c r="B275" t="s">
        <v>32</v>
      </c>
      <c r="C275" t="s">
        <v>38</v>
      </c>
      <c r="D275">
        <v>2555</v>
      </c>
      <c r="E275">
        <v>124</v>
      </c>
      <c r="F275">
        <v>150</v>
      </c>
      <c r="G275">
        <f t="shared" si="4"/>
        <v>0</v>
      </c>
    </row>
    <row r="276" spans="1:7" x14ac:dyDescent="0.25">
      <c r="A276" s="1">
        <v>43071</v>
      </c>
      <c r="B276" t="s">
        <v>38</v>
      </c>
      <c r="C276" t="s">
        <v>57</v>
      </c>
      <c r="D276">
        <v>5150</v>
      </c>
      <c r="E276">
        <v>104</v>
      </c>
      <c r="F276">
        <v>435</v>
      </c>
      <c r="G276">
        <f t="shared" si="4"/>
        <v>0</v>
      </c>
    </row>
    <row r="277" spans="1:7" x14ac:dyDescent="0.25">
      <c r="A277" s="1">
        <v>43072</v>
      </c>
      <c r="B277" t="s">
        <v>56</v>
      </c>
      <c r="C277" t="s">
        <v>47</v>
      </c>
      <c r="D277">
        <v>5697</v>
      </c>
      <c r="E277">
        <v>257</v>
      </c>
      <c r="F277">
        <v>717</v>
      </c>
      <c r="G277">
        <f t="shared" si="4"/>
        <v>0</v>
      </c>
    </row>
    <row r="278" spans="1:7" x14ac:dyDescent="0.25">
      <c r="A278" s="1">
        <v>43073</v>
      </c>
      <c r="B278" t="s">
        <v>47</v>
      </c>
      <c r="C278" t="s">
        <v>46</v>
      </c>
      <c r="D278">
        <v>3192</v>
      </c>
      <c r="E278">
        <v>113</v>
      </c>
      <c r="F278">
        <v>310</v>
      </c>
      <c r="G278">
        <f t="shared" si="4"/>
        <v>0</v>
      </c>
    </row>
    <row r="279" spans="1:7" x14ac:dyDescent="0.25">
      <c r="A279" s="1">
        <v>43075</v>
      </c>
      <c r="B279" t="s">
        <v>38</v>
      </c>
      <c r="C279" t="s">
        <v>59</v>
      </c>
      <c r="D279">
        <v>2781</v>
      </c>
      <c r="E279">
        <v>409</v>
      </c>
      <c r="F279">
        <v>1436</v>
      </c>
      <c r="G279">
        <f t="shared" si="4"/>
        <v>1436</v>
      </c>
    </row>
    <row r="280" spans="1:7" x14ac:dyDescent="0.25">
      <c r="A280" s="1">
        <v>43076</v>
      </c>
      <c r="B280" t="s">
        <v>59</v>
      </c>
      <c r="C280" t="s">
        <v>8</v>
      </c>
      <c r="D280">
        <v>1093</v>
      </c>
      <c r="E280">
        <v>110</v>
      </c>
      <c r="F280">
        <v>400</v>
      </c>
      <c r="G280">
        <f t="shared" si="4"/>
        <v>0</v>
      </c>
    </row>
    <row r="281" spans="1:7" x14ac:dyDescent="0.25">
      <c r="A281" s="1">
        <v>43077</v>
      </c>
      <c r="B281" t="s">
        <v>8</v>
      </c>
      <c r="C281" t="s">
        <v>20</v>
      </c>
      <c r="D281">
        <v>2291</v>
      </c>
      <c r="E281">
        <v>132</v>
      </c>
      <c r="F281">
        <v>163</v>
      </c>
      <c r="G281">
        <f t="shared" si="4"/>
        <v>0</v>
      </c>
    </row>
    <row r="282" spans="1:7" x14ac:dyDescent="0.25">
      <c r="A282" s="1">
        <v>43078</v>
      </c>
      <c r="B282" t="s">
        <v>15</v>
      </c>
      <c r="C282" t="s">
        <v>23</v>
      </c>
      <c r="D282">
        <v>2962</v>
      </c>
      <c r="E282">
        <v>170</v>
      </c>
      <c r="F282">
        <v>273</v>
      </c>
      <c r="G282">
        <f t="shared" si="4"/>
        <v>0</v>
      </c>
    </row>
    <row r="283" spans="1:7" x14ac:dyDescent="0.25">
      <c r="A283" s="1">
        <v>43079</v>
      </c>
      <c r="B283" t="s">
        <v>7</v>
      </c>
      <c r="C283" t="s">
        <v>8</v>
      </c>
      <c r="D283">
        <v>2939</v>
      </c>
      <c r="E283">
        <v>110</v>
      </c>
      <c r="F283">
        <v>279</v>
      </c>
      <c r="G283">
        <f t="shared" si="4"/>
        <v>0</v>
      </c>
    </row>
    <row r="284" spans="1:7" x14ac:dyDescent="0.25">
      <c r="A284" s="1">
        <v>43080</v>
      </c>
      <c r="B284" t="s">
        <v>8</v>
      </c>
      <c r="C284" t="s">
        <v>20</v>
      </c>
      <c r="D284">
        <v>4981</v>
      </c>
      <c r="E284">
        <v>138</v>
      </c>
      <c r="F284">
        <v>455</v>
      </c>
      <c r="G284">
        <f t="shared" si="4"/>
        <v>0</v>
      </c>
    </row>
    <row r="285" spans="1:7" x14ac:dyDescent="0.25">
      <c r="A285" s="1">
        <v>43081</v>
      </c>
      <c r="B285" t="s">
        <v>20</v>
      </c>
      <c r="C285" t="s">
        <v>60</v>
      </c>
      <c r="D285">
        <v>3436</v>
      </c>
      <c r="E285">
        <v>114</v>
      </c>
      <c r="F285">
        <v>370</v>
      </c>
      <c r="G285">
        <f t="shared" si="4"/>
        <v>0</v>
      </c>
    </row>
    <row r="286" spans="1:7" x14ac:dyDescent="0.25">
      <c r="A286" s="1">
        <v>43082</v>
      </c>
      <c r="B286" t="s">
        <v>60</v>
      </c>
      <c r="C286" t="s">
        <v>47</v>
      </c>
      <c r="D286">
        <v>2342</v>
      </c>
      <c r="E286">
        <v>141</v>
      </c>
      <c r="F286">
        <v>319</v>
      </c>
      <c r="G286">
        <f t="shared" si="4"/>
        <v>0</v>
      </c>
    </row>
    <row r="287" spans="1:7" x14ac:dyDescent="0.25">
      <c r="A287" s="1">
        <v>43083</v>
      </c>
      <c r="B287" t="s">
        <v>47</v>
      </c>
      <c r="C287" t="s">
        <v>54</v>
      </c>
      <c r="D287">
        <v>1981</v>
      </c>
      <c r="E287">
        <v>126</v>
      </c>
      <c r="F287">
        <v>396</v>
      </c>
      <c r="G287">
        <f t="shared" si="4"/>
        <v>0</v>
      </c>
    </row>
    <row r="288" spans="1:7" x14ac:dyDescent="0.25">
      <c r="A288" s="1">
        <v>43084</v>
      </c>
      <c r="B288" t="s">
        <v>54</v>
      </c>
      <c r="C288" t="s">
        <v>49</v>
      </c>
      <c r="D288">
        <v>5238</v>
      </c>
      <c r="E288">
        <v>131</v>
      </c>
      <c r="F288">
        <v>158</v>
      </c>
      <c r="G288">
        <f t="shared" si="4"/>
        <v>0</v>
      </c>
    </row>
    <row r="289" spans="1:7" x14ac:dyDescent="0.25">
      <c r="A289" s="1">
        <v>43085</v>
      </c>
      <c r="B289" t="s">
        <v>49</v>
      </c>
      <c r="C289" t="s">
        <v>37</v>
      </c>
      <c r="D289">
        <v>2823</v>
      </c>
      <c r="E289">
        <v>156</v>
      </c>
      <c r="F289">
        <v>280</v>
      </c>
      <c r="G289">
        <f t="shared" si="4"/>
        <v>0</v>
      </c>
    </row>
    <row r="290" spans="1:7" x14ac:dyDescent="0.25">
      <c r="A290" s="1">
        <v>43086</v>
      </c>
      <c r="B290" t="s">
        <v>37</v>
      </c>
      <c r="C290" t="s">
        <v>38</v>
      </c>
      <c r="D290">
        <v>1173</v>
      </c>
      <c r="E290">
        <v>139</v>
      </c>
      <c r="F290">
        <v>475</v>
      </c>
      <c r="G290">
        <f t="shared" si="4"/>
        <v>0</v>
      </c>
    </row>
    <row r="291" spans="1:7" x14ac:dyDescent="0.25">
      <c r="A291" s="1">
        <v>43087</v>
      </c>
      <c r="B291" t="s">
        <v>38</v>
      </c>
      <c r="C291" t="s">
        <v>39</v>
      </c>
      <c r="D291">
        <v>1465</v>
      </c>
      <c r="E291">
        <v>121</v>
      </c>
      <c r="F291">
        <v>193</v>
      </c>
      <c r="G291">
        <f t="shared" si="4"/>
        <v>0</v>
      </c>
    </row>
    <row r="292" spans="1:7" x14ac:dyDescent="0.25">
      <c r="A292" s="1">
        <v>43088</v>
      </c>
      <c r="B292" t="s">
        <v>39</v>
      </c>
      <c r="C292" t="s">
        <v>18</v>
      </c>
      <c r="D292">
        <v>1572</v>
      </c>
      <c r="E292">
        <v>159</v>
      </c>
      <c r="F292">
        <v>476</v>
      </c>
      <c r="G292">
        <f t="shared" si="4"/>
        <v>0</v>
      </c>
    </row>
    <row r="293" spans="1:7" x14ac:dyDescent="0.25">
      <c r="A293" s="1">
        <v>43089</v>
      </c>
      <c r="B293" t="s">
        <v>18</v>
      </c>
      <c r="C293" t="s">
        <v>39</v>
      </c>
      <c r="D293">
        <v>4084</v>
      </c>
      <c r="E293">
        <v>160</v>
      </c>
      <c r="F293">
        <v>338</v>
      </c>
      <c r="G293">
        <f t="shared" si="4"/>
        <v>0</v>
      </c>
    </row>
    <row r="294" spans="1:7" x14ac:dyDescent="0.25">
      <c r="A294" s="1">
        <v>43090</v>
      </c>
      <c r="B294" t="s">
        <v>15</v>
      </c>
      <c r="C294" t="s">
        <v>23</v>
      </c>
      <c r="D294">
        <v>4635</v>
      </c>
      <c r="E294">
        <v>163</v>
      </c>
      <c r="F294">
        <v>359</v>
      </c>
      <c r="G294">
        <f t="shared" si="4"/>
        <v>0</v>
      </c>
    </row>
    <row r="295" spans="1:7" x14ac:dyDescent="0.25">
      <c r="A295" s="1">
        <v>43092</v>
      </c>
      <c r="B295" t="s">
        <v>30</v>
      </c>
      <c r="C295" t="s">
        <v>72</v>
      </c>
      <c r="D295">
        <v>3705</v>
      </c>
      <c r="E295">
        <v>182</v>
      </c>
      <c r="F295">
        <v>760</v>
      </c>
      <c r="G295">
        <f t="shared" si="4"/>
        <v>0</v>
      </c>
    </row>
    <row r="296" spans="1:7" x14ac:dyDescent="0.25">
      <c r="A296" s="1">
        <v>43094</v>
      </c>
      <c r="B296" t="s">
        <v>6</v>
      </c>
      <c r="C296" t="s">
        <v>38</v>
      </c>
      <c r="D296">
        <v>5624</v>
      </c>
      <c r="E296">
        <v>541</v>
      </c>
      <c r="F296">
        <v>1198</v>
      </c>
      <c r="G296">
        <f t="shared" si="4"/>
        <v>1198</v>
      </c>
    </row>
    <row r="297" spans="1:7" x14ac:dyDescent="0.25">
      <c r="A297" s="1">
        <v>43095</v>
      </c>
      <c r="B297" t="s">
        <v>38</v>
      </c>
      <c r="C297" t="s">
        <v>37</v>
      </c>
      <c r="D297">
        <v>4157</v>
      </c>
      <c r="E297">
        <v>151</v>
      </c>
      <c r="F297">
        <v>168</v>
      </c>
      <c r="G297">
        <f t="shared" si="4"/>
        <v>0</v>
      </c>
    </row>
    <row r="298" spans="1:7" x14ac:dyDescent="0.25">
      <c r="A298" s="1">
        <v>43096</v>
      </c>
      <c r="B298" t="s">
        <v>37</v>
      </c>
      <c r="C298" t="s">
        <v>43</v>
      </c>
      <c r="D298">
        <v>3021</v>
      </c>
      <c r="E298">
        <v>137</v>
      </c>
      <c r="F298">
        <v>323</v>
      </c>
      <c r="G298">
        <f t="shared" si="4"/>
        <v>0</v>
      </c>
    </row>
    <row r="299" spans="1:7" x14ac:dyDescent="0.25">
      <c r="A299" s="1">
        <v>43097</v>
      </c>
      <c r="B299" t="s">
        <v>43</v>
      </c>
      <c r="C299" t="s">
        <v>52</v>
      </c>
      <c r="D299">
        <v>3573</v>
      </c>
      <c r="E299">
        <v>149</v>
      </c>
      <c r="F299">
        <v>341</v>
      </c>
      <c r="G299">
        <f t="shared" si="4"/>
        <v>0</v>
      </c>
    </row>
    <row r="300" spans="1:7" x14ac:dyDescent="0.25">
      <c r="A300" s="1">
        <v>43098</v>
      </c>
      <c r="B300" t="s">
        <v>52</v>
      </c>
      <c r="C300" t="s">
        <v>15</v>
      </c>
      <c r="D300">
        <v>4748</v>
      </c>
      <c r="E300">
        <v>152</v>
      </c>
      <c r="F300">
        <v>491</v>
      </c>
      <c r="G300">
        <f t="shared" si="4"/>
        <v>0</v>
      </c>
    </row>
    <row r="301" spans="1:7" x14ac:dyDescent="0.25">
      <c r="A301" s="1">
        <v>43100</v>
      </c>
      <c r="B301" t="s">
        <v>12</v>
      </c>
      <c r="C301" t="s">
        <v>6</v>
      </c>
      <c r="D301">
        <v>2293</v>
      </c>
      <c r="E301">
        <v>126</v>
      </c>
      <c r="F301">
        <v>219</v>
      </c>
      <c r="G301">
        <f t="shared" si="4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30161-4AB3-4A57-934A-07703AE28F52}">
  <dimension ref="A1:BZ301"/>
  <sheetViews>
    <sheetView workbookViewId="0">
      <selection activeCell="F1" sqref="F1:H1"/>
    </sheetView>
  </sheetViews>
  <sheetFormatPr defaultRowHeight="15" x14ac:dyDescent="0.25"/>
  <cols>
    <col min="1" max="2" width="20" bestFit="1" customWidth="1"/>
    <col min="3" max="3" width="5.85546875" bestFit="1" customWidth="1"/>
    <col min="6" max="6" width="20" bestFit="1" customWidth="1"/>
    <col min="7" max="7" width="17.7109375" bestFit="1" customWidth="1"/>
    <col min="8" max="8" width="8" bestFit="1" customWidth="1"/>
    <col min="9" max="9" width="13.7109375" bestFit="1" customWidth="1"/>
    <col min="10" max="10" width="9" bestFit="1" customWidth="1"/>
    <col min="11" max="11" width="12.42578125" bestFit="1" customWidth="1"/>
    <col min="12" max="12" width="9.85546875" bestFit="1" customWidth="1"/>
    <col min="13" max="13" width="8.7109375" bestFit="1" customWidth="1"/>
    <col min="14" max="14" width="6.7109375" bestFit="1" customWidth="1"/>
    <col min="15" max="15" width="7.42578125" bestFit="1" customWidth="1"/>
    <col min="16" max="16" width="10.7109375" bestFit="1" customWidth="1"/>
    <col min="17" max="17" width="7.7109375" bestFit="1" customWidth="1"/>
    <col min="18" max="18" width="12.5703125" bestFit="1" customWidth="1"/>
    <col min="19" max="19" width="6.28515625" bestFit="1" customWidth="1"/>
    <col min="20" max="20" width="7.5703125" bestFit="1" customWidth="1"/>
    <col min="21" max="21" width="20.28515625" bestFit="1" customWidth="1"/>
    <col min="22" max="22" width="6.42578125" bestFit="1" customWidth="1"/>
    <col min="23" max="23" width="9.85546875" bestFit="1" customWidth="1"/>
    <col min="24" max="24" width="9.5703125" bestFit="1" customWidth="1"/>
    <col min="25" max="25" width="12" bestFit="1" customWidth="1"/>
    <col min="26" max="26" width="6" bestFit="1" customWidth="1"/>
    <col min="27" max="27" width="9.140625" bestFit="1" customWidth="1"/>
    <col min="28" max="28" width="6.42578125" bestFit="1" customWidth="1"/>
    <col min="29" max="29" width="11.7109375" bestFit="1" customWidth="1"/>
    <col min="30" max="30" width="6.140625" bestFit="1" customWidth="1"/>
    <col min="31" max="31" width="8.5703125" bestFit="1" customWidth="1"/>
    <col min="32" max="32" width="8.28515625" bestFit="1" customWidth="1"/>
    <col min="33" max="33" width="7.5703125" bestFit="1" customWidth="1"/>
    <col min="34" max="34" width="7.140625" bestFit="1" customWidth="1"/>
    <col min="35" max="35" width="14" bestFit="1" customWidth="1"/>
    <col min="36" max="36" width="18.42578125" bestFit="1" customWidth="1"/>
    <col min="37" max="37" width="7.5703125" bestFit="1" customWidth="1"/>
    <col min="38" max="38" width="7" bestFit="1" customWidth="1"/>
    <col min="39" max="39" width="6" bestFit="1" customWidth="1"/>
    <col min="40" max="40" width="6.5703125" bestFit="1" customWidth="1"/>
    <col min="41" max="41" width="6.42578125" bestFit="1" customWidth="1"/>
    <col min="42" max="42" width="8.140625" bestFit="1" customWidth="1"/>
    <col min="43" max="43" width="10.28515625" bestFit="1" customWidth="1"/>
    <col min="44" max="44" width="7.5703125" bestFit="1" customWidth="1"/>
    <col min="45" max="45" width="7.85546875" bestFit="1" customWidth="1"/>
    <col min="46" max="46" width="6.42578125" bestFit="1" customWidth="1"/>
    <col min="47" max="47" width="9.5703125" bestFit="1" customWidth="1"/>
    <col min="48" max="48" width="6" bestFit="1" customWidth="1"/>
    <col min="49" max="49" width="19.85546875" bestFit="1" customWidth="1"/>
    <col min="50" max="50" width="6" bestFit="1" customWidth="1"/>
    <col min="51" max="51" width="7.42578125" bestFit="1" customWidth="1"/>
    <col min="52" max="52" width="9" bestFit="1" customWidth="1"/>
    <col min="53" max="53" width="7.140625" bestFit="1" customWidth="1"/>
    <col min="54" max="54" width="8.5703125" bestFit="1" customWidth="1"/>
    <col min="55" max="56" width="7.42578125" bestFit="1" customWidth="1"/>
    <col min="57" max="57" width="12.42578125" bestFit="1" customWidth="1"/>
    <col min="58" max="58" width="6.7109375" bestFit="1" customWidth="1"/>
    <col min="59" max="59" width="7.85546875" bestFit="1" customWidth="1"/>
    <col min="60" max="60" width="8.28515625" bestFit="1" customWidth="1"/>
    <col min="61" max="61" width="11.5703125" bestFit="1" customWidth="1"/>
    <col min="62" max="62" width="8.28515625" bestFit="1" customWidth="1"/>
    <col min="63" max="63" width="10.85546875" bestFit="1" customWidth="1"/>
    <col min="64" max="64" width="7.5703125" bestFit="1" customWidth="1"/>
    <col min="65" max="65" width="8.7109375" bestFit="1" customWidth="1"/>
    <col min="66" max="66" width="6.140625" bestFit="1" customWidth="1"/>
    <col min="67" max="67" width="10.28515625" bestFit="1" customWidth="1"/>
    <col min="68" max="68" width="10" bestFit="1" customWidth="1"/>
    <col min="69" max="69" width="10.85546875" bestFit="1" customWidth="1"/>
    <col min="70" max="70" width="8.85546875" bestFit="1" customWidth="1"/>
    <col min="71" max="71" width="9.5703125" bestFit="1" customWidth="1"/>
    <col min="72" max="72" width="7.5703125" bestFit="1" customWidth="1"/>
    <col min="73" max="73" width="9.42578125" bestFit="1" customWidth="1"/>
    <col min="74" max="74" width="12.28515625" bestFit="1" customWidth="1"/>
    <col min="75" max="75" width="14.28515625" bestFit="1" customWidth="1"/>
    <col min="76" max="77" width="5" bestFit="1" customWidth="1"/>
    <col min="78" max="78" width="6" bestFit="1" customWidth="1"/>
    <col min="79" max="297" width="5" bestFit="1" customWidth="1"/>
    <col min="298" max="298" width="14.28515625" bestFit="1" customWidth="1"/>
  </cols>
  <sheetData>
    <row r="1" spans="1:78" x14ac:dyDescent="0.25">
      <c r="A1" t="s">
        <v>1</v>
      </c>
      <c r="B1" t="s">
        <v>2</v>
      </c>
      <c r="C1" t="s">
        <v>3</v>
      </c>
      <c r="F1" s="3" t="s">
        <v>12</v>
      </c>
      <c r="G1" t="s">
        <v>6</v>
      </c>
      <c r="H1">
        <v>15736</v>
      </c>
    </row>
    <row r="2" spans="1:78" x14ac:dyDescent="0.25">
      <c r="A2" t="s">
        <v>6</v>
      </c>
      <c r="B2" t="s">
        <v>7</v>
      </c>
      <c r="C2">
        <v>3527</v>
      </c>
    </row>
    <row r="3" spans="1:78" x14ac:dyDescent="0.25">
      <c r="A3" t="s">
        <v>7</v>
      </c>
      <c r="B3" t="s">
        <v>8</v>
      </c>
      <c r="C3">
        <v>3666</v>
      </c>
      <c r="F3" s="2" t="s">
        <v>77</v>
      </c>
      <c r="G3" s="2" t="s">
        <v>78</v>
      </c>
    </row>
    <row r="4" spans="1:78" x14ac:dyDescent="0.25">
      <c r="A4" t="s">
        <v>8</v>
      </c>
      <c r="B4" t="s">
        <v>9</v>
      </c>
      <c r="C4">
        <v>4888</v>
      </c>
      <c r="F4" s="2" t="s">
        <v>75</v>
      </c>
      <c r="G4" t="s">
        <v>50</v>
      </c>
      <c r="H4" t="s">
        <v>72</v>
      </c>
      <c r="I4" t="s">
        <v>55</v>
      </c>
      <c r="J4" t="s">
        <v>71</v>
      </c>
      <c r="K4" t="s">
        <v>38</v>
      </c>
      <c r="L4" t="s">
        <v>40</v>
      </c>
      <c r="M4" t="s">
        <v>57</v>
      </c>
      <c r="N4" t="s">
        <v>68</v>
      </c>
      <c r="O4" t="s">
        <v>33</v>
      </c>
      <c r="P4" t="s">
        <v>12</v>
      </c>
      <c r="Q4" t="s">
        <v>49</v>
      </c>
      <c r="R4" t="s">
        <v>32</v>
      </c>
      <c r="S4" t="s">
        <v>36</v>
      </c>
      <c r="T4" t="s">
        <v>30</v>
      </c>
      <c r="U4" t="s">
        <v>26</v>
      </c>
      <c r="V4" t="s">
        <v>15</v>
      </c>
      <c r="W4" t="s">
        <v>66</v>
      </c>
      <c r="X4" t="s">
        <v>27</v>
      </c>
      <c r="Y4" t="s">
        <v>63</v>
      </c>
      <c r="Z4" t="s">
        <v>28</v>
      </c>
      <c r="AA4" t="s">
        <v>18</v>
      </c>
      <c r="AB4" t="s">
        <v>47</v>
      </c>
      <c r="AC4" t="s">
        <v>22</v>
      </c>
      <c r="AD4" t="s">
        <v>20</v>
      </c>
      <c r="AE4" t="s">
        <v>25</v>
      </c>
      <c r="AF4" t="s">
        <v>31</v>
      </c>
      <c r="AG4" t="s">
        <v>54</v>
      </c>
      <c r="AH4" t="s">
        <v>34</v>
      </c>
      <c r="AI4" t="s">
        <v>35</v>
      </c>
      <c r="AJ4" t="s">
        <v>13</v>
      </c>
      <c r="AK4" t="s">
        <v>61</v>
      </c>
      <c r="AL4" t="s">
        <v>62</v>
      </c>
      <c r="AM4" t="s">
        <v>60</v>
      </c>
      <c r="AN4" t="s">
        <v>11</v>
      </c>
      <c r="AO4" t="s">
        <v>67</v>
      </c>
      <c r="AP4" t="s">
        <v>45</v>
      </c>
      <c r="AQ4" t="s">
        <v>73</v>
      </c>
      <c r="AR4" t="s">
        <v>6</v>
      </c>
      <c r="AS4" t="s">
        <v>64</v>
      </c>
      <c r="AT4" t="s">
        <v>37</v>
      </c>
      <c r="AU4" t="s">
        <v>9</v>
      </c>
      <c r="AV4" t="s">
        <v>21</v>
      </c>
      <c r="AW4" t="s">
        <v>29</v>
      </c>
      <c r="AX4" t="s">
        <v>8</v>
      </c>
      <c r="AY4" t="s">
        <v>14</v>
      </c>
      <c r="AZ4" t="s">
        <v>56</v>
      </c>
      <c r="BA4" t="s">
        <v>19</v>
      </c>
      <c r="BB4" t="s">
        <v>51</v>
      </c>
      <c r="BC4" t="s">
        <v>65</v>
      </c>
      <c r="BD4" t="s">
        <v>42</v>
      </c>
      <c r="BE4" t="s">
        <v>16</v>
      </c>
      <c r="BF4" t="s">
        <v>70</v>
      </c>
      <c r="BG4" t="s">
        <v>10</v>
      </c>
      <c r="BH4" t="s">
        <v>58</v>
      </c>
      <c r="BI4" t="s">
        <v>24</v>
      </c>
      <c r="BJ4" t="s">
        <v>23</v>
      </c>
      <c r="BK4" t="s">
        <v>46</v>
      </c>
      <c r="BL4" t="s">
        <v>17</v>
      </c>
      <c r="BM4" t="s">
        <v>69</v>
      </c>
      <c r="BN4" t="s">
        <v>7</v>
      </c>
      <c r="BO4" t="s">
        <v>43</v>
      </c>
      <c r="BP4" t="s">
        <v>59</v>
      </c>
      <c r="BQ4" t="s">
        <v>41</v>
      </c>
      <c r="BR4" t="s">
        <v>53</v>
      </c>
      <c r="BS4" t="s">
        <v>39</v>
      </c>
      <c r="BT4" t="s">
        <v>44</v>
      </c>
      <c r="BU4" t="s">
        <v>52</v>
      </c>
      <c r="BV4" t="s">
        <v>48</v>
      </c>
      <c r="BW4" t="s">
        <v>76</v>
      </c>
    </row>
    <row r="5" spans="1:78" x14ac:dyDescent="0.25">
      <c r="A5" t="s">
        <v>9</v>
      </c>
      <c r="B5" t="s">
        <v>10</v>
      </c>
      <c r="C5">
        <v>1099</v>
      </c>
      <c r="F5" s="3" t="s">
        <v>50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>
        <v>3325</v>
      </c>
      <c r="AO5" s="4"/>
      <c r="AP5" s="4">
        <v>4678</v>
      </c>
      <c r="AQ5" s="4"/>
      <c r="AR5" s="6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>
        <v>1079</v>
      </c>
      <c r="BE5" s="4"/>
      <c r="BF5" s="4"/>
      <c r="BG5" s="4"/>
      <c r="BH5" s="4"/>
      <c r="BI5" s="4"/>
      <c r="BJ5" s="4"/>
      <c r="BK5" s="4"/>
      <c r="BL5" s="4">
        <v>6895</v>
      </c>
      <c r="BM5" s="4"/>
      <c r="BN5" s="4"/>
      <c r="BO5" s="4"/>
      <c r="BP5" s="4"/>
      <c r="BQ5" s="4"/>
      <c r="BR5" s="4"/>
      <c r="BS5" s="4"/>
      <c r="BT5" s="4"/>
      <c r="BU5" s="4"/>
      <c r="BV5" s="4"/>
      <c r="BW5" s="4">
        <v>15977</v>
      </c>
    </row>
    <row r="6" spans="1:78" x14ac:dyDescent="0.25">
      <c r="A6" t="s">
        <v>11</v>
      </c>
      <c r="B6" t="s">
        <v>12</v>
      </c>
      <c r="C6">
        <v>4881</v>
      </c>
      <c r="F6" s="3" t="s">
        <v>72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>
        <v>1090</v>
      </c>
      <c r="AO6" s="4"/>
      <c r="AP6" s="4"/>
      <c r="AQ6" s="4"/>
      <c r="AR6" s="6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>
        <v>1090</v>
      </c>
      <c r="BZ6">
        <f>MAX(G5:BV71)</f>
        <v>15736</v>
      </c>
    </row>
    <row r="7" spans="1:78" x14ac:dyDescent="0.25">
      <c r="A7" t="s">
        <v>12</v>
      </c>
      <c r="B7" t="s">
        <v>11</v>
      </c>
      <c r="C7">
        <v>5851</v>
      </c>
      <c r="F7" s="3" t="s">
        <v>55</v>
      </c>
      <c r="G7" s="4"/>
      <c r="H7" s="4"/>
      <c r="I7" s="4"/>
      <c r="J7" s="4"/>
      <c r="K7" s="4"/>
      <c r="L7" s="4"/>
      <c r="M7" s="4"/>
      <c r="N7" s="4">
        <v>5721</v>
      </c>
      <c r="O7" s="4"/>
      <c r="P7" s="4"/>
      <c r="Q7" s="4"/>
      <c r="R7" s="4"/>
      <c r="S7" s="4"/>
      <c r="T7" s="4"/>
      <c r="U7" s="4">
        <v>5569</v>
      </c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6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>
        <v>1676</v>
      </c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>
        <v>12966</v>
      </c>
    </row>
    <row r="8" spans="1:78" x14ac:dyDescent="0.25">
      <c r="A8" t="s">
        <v>11</v>
      </c>
      <c r="B8" t="s">
        <v>13</v>
      </c>
      <c r="C8">
        <v>5963</v>
      </c>
      <c r="F8" s="3" t="s">
        <v>71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6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>
        <v>4093</v>
      </c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>
        <v>4093</v>
      </c>
    </row>
    <row r="9" spans="1:78" x14ac:dyDescent="0.25">
      <c r="A9" t="s">
        <v>13</v>
      </c>
      <c r="B9" t="s">
        <v>9</v>
      </c>
      <c r="C9">
        <v>1364</v>
      </c>
      <c r="F9" s="3" t="s">
        <v>38</v>
      </c>
      <c r="G9" s="4"/>
      <c r="H9" s="4"/>
      <c r="I9" s="4"/>
      <c r="J9" s="4"/>
      <c r="K9" s="4"/>
      <c r="L9" s="4"/>
      <c r="M9" s="4">
        <v>5150</v>
      </c>
      <c r="N9" s="4"/>
      <c r="O9" s="4">
        <v>3729</v>
      </c>
      <c r="P9" s="4"/>
      <c r="Q9" s="4">
        <v>4567</v>
      </c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>
        <v>5215</v>
      </c>
      <c r="AR9" s="6"/>
      <c r="AS9" s="4"/>
      <c r="AT9" s="4">
        <v>4157</v>
      </c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>
        <v>2781</v>
      </c>
      <c r="BQ9" s="4"/>
      <c r="BR9" s="4"/>
      <c r="BS9" s="4">
        <v>5946</v>
      </c>
      <c r="BT9" s="4"/>
      <c r="BU9" s="4"/>
      <c r="BV9" s="4"/>
      <c r="BW9" s="4">
        <v>31545</v>
      </c>
    </row>
    <row r="10" spans="1:78" x14ac:dyDescent="0.25">
      <c r="A10" t="s">
        <v>9</v>
      </c>
      <c r="B10" t="s">
        <v>10</v>
      </c>
      <c r="C10">
        <v>1245</v>
      </c>
      <c r="F10" s="3" t="s">
        <v>40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>
        <v>5214</v>
      </c>
      <c r="U10" s="4"/>
      <c r="V10" s="4"/>
      <c r="W10" s="4"/>
      <c r="X10" s="4"/>
      <c r="Y10" s="4"/>
      <c r="Z10" s="4"/>
      <c r="AA10" s="4"/>
      <c r="AB10" s="4"/>
      <c r="AC10" s="4"/>
      <c r="AD10" s="4">
        <v>3035</v>
      </c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6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>
        <v>8676</v>
      </c>
      <c r="BR10" s="4"/>
      <c r="BS10" s="4"/>
      <c r="BT10" s="4"/>
      <c r="BU10" s="4"/>
      <c r="BV10" s="4"/>
      <c r="BW10" s="4">
        <v>16925</v>
      </c>
    </row>
    <row r="11" spans="1:78" x14ac:dyDescent="0.25">
      <c r="A11" t="s">
        <v>14</v>
      </c>
      <c r="B11" t="s">
        <v>15</v>
      </c>
      <c r="C11">
        <v>3771</v>
      </c>
      <c r="F11" s="3" t="s">
        <v>57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>
        <v>3358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6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>
        <v>5983</v>
      </c>
      <c r="BP11" s="4"/>
      <c r="BQ11" s="4"/>
      <c r="BR11" s="4"/>
      <c r="BS11" s="4"/>
      <c r="BT11" s="4"/>
      <c r="BU11" s="4"/>
      <c r="BV11" s="4"/>
      <c r="BW11" s="4">
        <v>9341</v>
      </c>
    </row>
    <row r="12" spans="1:78" x14ac:dyDescent="0.25">
      <c r="A12" t="s">
        <v>16</v>
      </c>
      <c r="B12" t="s">
        <v>17</v>
      </c>
      <c r="C12">
        <v>4522</v>
      </c>
      <c r="F12" s="3" t="s">
        <v>68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6"/>
      <c r="AS12" s="4"/>
      <c r="AT12" s="4"/>
      <c r="AU12" s="4"/>
      <c r="AV12" s="4"/>
      <c r="AW12" s="4"/>
      <c r="AX12" s="4"/>
      <c r="AY12" s="4"/>
      <c r="AZ12" s="4"/>
      <c r="BA12" s="4">
        <v>7106</v>
      </c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>
        <v>4769</v>
      </c>
      <c r="BN12" s="4"/>
      <c r="BO12" s="4"/>
      <c r="BP12" s="4"/>
      <c r="BQ12" s="4"/>
      <c r="BR12" s="4"/>
      <c r="BS12" s="4"/>
      <c r="BT12" s="4"/>
      <c r="BU12" s="4"/>
      <c r="BV12" s="4"/>
      <c r="BW12" s="4">
        <v>11875</v>
      </c>
    </row>
    <row r="13" spans="1:78" x14ac:dyDescent="0.25">
      <c r="A13" t="s">
        <v>17</v>
      </c>
      <c r="B13" t="s">
        <v>18</v>
      </c>
      <c r="C13">
        <v>4588</v>
      </c>
      <c r="F13" s="3" t="s">
        <v>33</v>
      </c>
      <c r="G13" s="4"/>
      <c r="H13" s="4"/>
      <c r="I13" s="4"/>
      <c r="J13" s="4"/>
      <c r="K13" s="4">
        <v>8368</v>
      </c>
      <c r="L13" s="4"/>
      <c r="M13" s="4"/>
      <c r="N13" s="4"/>
      <c r="O13" s="4"/>
      <c r="P13" s="4"/>
      <c r="Q13" s="4">
        <v>4787</v>
      </c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6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>
        <v>13155</v>
      </c>
    </row>
    <row r="14" spans="1:78" x14ac:dyDescent="0.25">
      <c r="A14" t="s">
        <v>19</v>
      </c>
      <c r="B14" t="s">
        <v>20</v>
      </c>
      <c r="C14">
        <v>1952</v>
      </c>
      <c r="F14" s="3" t="s">
        <v>12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>
        <v>5851</v>
      </c>
      <c r="AO14" s="6"/>
      <c r="AP14" s="6"/>
      <c r="AQ14" s="6"/>
      <c r="AR14" s="5">
        <v>15736</v>
      </c>
      <c r="AS14" s="4"/>
      <c r="AT14" s="4"/>
      <c r="AU14" s="4">
        <v>1813</v>
      </c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>
        <v>2935</v>
      </c>
      <c r="BO14" s="4"/>
      <c r="BP14" s="4">
        <v>5919</v>
      </c>
      <c r="BQ14" s="4">
        <v>4543</v>
      </c>
      <c r="BR14" s="4"/>
      <c r="BS14" s="4"/>
      <c r="BT14" s="4"/>
      <c r="BU14" s="4"/>
      <c r="BV14" s="4"/>
      <c r="BW14" s="4">
        <v>36797</v>
      </c>
    </row>
    <row r="15" spans="1:78" x14ac:dyDescent="0.25">
      <c r="A15" t="s">
        <v>20</v>
      </c>
      <c r="B15" t="s">
        <v>7</v>
      </c>
      <c r="C15">
        <v>3318</v>
      </c>
      <c r="F15" s="3" t="s">
        <v>49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>
        <v>4653</v>
      </c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>
        <v>4653</v>
      </c>
    </row>
    <row r="16" spans="1:78" x14ac:dyDescent="0.25">
      <c r="A16" t="s">
        <v>13</v>
      </c>
      <c r="B16" t="s">
        <v>9</v>
      </c>
      <c r="C16">
        <v>3106</v>
      </c>
      <c r="F16" s="3" t="s">
        <v>32</v>
      </c>
      <c r="G16" s="4"/>
      <c r="H16" s="4"/>
      <c r="I16" s="4"/>
      <c r="J16" s="4"/>
      <c r="K16" s="4">
        <v>2555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>
        <v>4746</v>
      </c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>
        <v>3650</v>
      </c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>
        <v>4633</v>
      </c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>
        <v>15584</v>
      </c>
    </row>
    <row r="17" spans="1:75" x14ac:dyDescent="0.25">
      <c r="A17" t="s">
        <v>9</v>
      </c>
      <c r="B17" t="s">
        <v>6</v>
      </c>
      <c r="C17">
        <v>5593</v>
      </c>
      <c r="F17" s="3" t="s">
        <v>36</v>
      </c>
      <c r="G17" s="4"/>
      <c r="H17" s="4"/>
      <c r="I17" s="4"/>
      <c r="J17" s="4"/>
      <c r="K17" s="4"/>
      <c r="L17" s="4">
        <v>3565</v>
      </c>
      <c r="M17" s="4"/>
      <c r="N17" s="4"/>
      <c r="O17" s="4"/>
      <c r="P17" s="4">
        <v>4398</v>
      </c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>
        <v>3007</v>
      </c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>
        <v>5862</v>
      </c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>
        <v>16832</v>
      </c>
    </row>
    <row r="18" spans="1:75" x14ac:dyDescent="0.25">
      <c r="A18" t="s">
        <v>6</v>
      </c>
      <c r="B18" t="s">
        <v>12</v>
      </c>
      <c r="C18">
        <v>5983</v>
      </c>
      <c r="F18" s="3" t="s">
        <v>30</v>
      </c>
      <c r="G18" s="4"/>
      <c r="H18" s="4">
        <v>3705</v>
      </c>
      <c r="I18" s="4"/>
      <c r="J18" s="4"/>
      <c r="K18" s="4"/>
      <c r="L18" s="4">
        <v>7447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>
        <v>2735</v>
      </c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>
        <v>5847</v>
      </c>
      <c r="BG18" s="4"/>
      <c r="BH18" s="4"/>
      <c r="BI18" s="4"/>
      <c r="BJ18" s="4"/>
      <c r="BK18" s="4"/>
      <c r="BL18" s="4"/>
      <c r="BM18" s="4"/>
      <c r="BN18" s="4">
        <v>2152</v>
      </c>
      <c r="BO18" s="4"/>
      <c r="BP18" s="4"/>
      <c r="BQ18" s="4"/>
      <c r="BR18" s="4"/>
      <c r="BS18" s="4"/>
      <c r="BT18" s="4"/>
      <c r="BU18" s="4"/>
      <c r="BV18" s="4"/>
      <c r="BW18" s="4">
        <v>21886</v>
      </c>
    </row>
    <row r="19" spans="1:75" x14ac:dyDescent="0.25">
      <c r="A19" t="s">
        <v>12</v>
      </c>
      <c r="B19" t="s">
        <v>6</v>
      </c>
      <c r="C19">
        <v>5496</v>
      </c>
      <c r="F19" s="3" t="s">
        <v>26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>
        <v>5628</v>
      </c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>
        <v>2157</v>
      </c>
      <c r="BK19" s="4"/>
      <c r="BL19" s="4"/>
      <c r="BM19" s="4"/>
      <c r="BN19" s="4"/>
      <c r="BO19" s="4">
        <v>4154</v>
      </c>
      <c r="BP19" s="4"/>
      <c r="BQ19" s="4"/>
      <c r="BR19" s="4"/>
      <c r="BS19" s="4"/>
      <c r="BT19" s="4"/>
      <c r="BU19" s="4"/>
      <c r="BV19" s="4">
        <v>9150</v>
      </c>
      <c r="BW19" s="4">
        <v>21089</v>
      </c>
    </row>
    <row r="20" spans="1:75" x14ac:dyDescent="0.25">
      <c r="A20" t="s">
        <v>6</v>
      </c>
      <c r="B20" t="s">
        <v>11</v>
      </c>
      <c r="C20">
        <v>4572</v>
      </c>
      <c r="F20" s="3" t="s">
        <v>15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>
        <v>7917</v>
      </c>
      <c r="V20" s="4"/>
      <c r="W20" s="4"/>
      <c r="X20" s="4"/>
      <c r="Y20" s="4"/>
      <c r="Z20" s="4"/>
      <c r="AA20" s="4"/>
      <c r="AB20" s="4"/>
      <c r="AC20" s="4"/>
      <c r="AD20" s="4"/>
      <c r="AE20" s="4">
        <v>1767</v>
      </c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>
        <v>7597</v>
      </c>
      <c r="BK20" s="4"/>
      <c r="BL20" s="4"/>
      <c r="BM20" s="4"/>
      <c r="BN20" s="4"/>
      <c r="BO20" s="4"/>
      <c r="BP20" s="4">
        <v>8080</v>
      </c>
      <c r="BQ20" s="4"/>
      <c r="BR20" s="4"/>
      <c r="BS20" s="4"/>
      <c r="BT20" s="4"/>
      <c r="BU20" s="4">
        <v>3681</v>
      </c>
      <c r="BV20" s="4"/>
      <c r="BW20" s="4">
        <v>29042</v>
      </c>
    </row>
    <row r="21" spans="1:75" x14ac:dyDescent="0.25">
      <c r="A21" t="s">
        <v>11</v>
      </c>
      <c r="B21" t="s">
        <v>12</v>
      </c>
      <c r="C21">
        <v>4529</v>
      </c>
      <c r="F21" s="3" t="s">
        <v>66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>
        <v>2571</v>
      </c>
      <c r="AP21" s="4">
        <v>1720</v>
      </c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>
        <v>4291</v>
      </c>
    </row>
    <row r="22" spans="1:75" x14ac:dyDescent="0.25">
      <c r="A22" t="s">
        <v>12</v>
      </c>
      <c r="B22" t="s">
        <v>6</v>
      </c>
      <c r="C22">
        <v>4981</v>
      </c>
      <c r="F22" s="3" t="s">
        <v>27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>
        <v>5291</v>
      </c>
      <c r="AA22" s="4"/>
      <c r="AB22" s="4"/>
      <c r="AC22" s="4"/>
      <c r="AD22" s="4"/>
      <c r="AE22" s="4">
        <v>3708</v>
      </c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>
        <v>8999</v>
      </c>
    </row>
    <row r="23" spans="1:75" x14ac:dyDescent="0.25">
      <c r="A23" t="s">
        <v>6</v>
      </c>
      <c r="B23" t="s">
        <v>7</v>
      </c>
      <c r="C23">
        <v>3808</v>
      </c>
      <c r="F23" s="3" t="s">
        <v>63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>
        <v>5014</v>
      </c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>
        <v>5014</v>
      </c>
    </row>
    <row r="24" spans="1:75" x14ac:dyDescent="0.25">
      <c r="A24" t="s">
        <v>7</v>
      </c>
      <c r="B24" t="s">
        <v>21</v>
      </c>
      <c r="C24">
        <v>1359</v>
      </c>
      <c r="F24" s="3" t="s">
        <v>28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>
        <v>9491</v>
      </c>
      <c r="AN24" s="4"/>
      <c r="AO24" s="4"/>
      <c r="AP24" s="4"/>
      <c r="AQ24" s="4"/>
      <c r="AR24" s="4"/>
      <c r="AS24" s="4"/>
      <c r="AT24" s="4"/>
      <c r="AU24" s="4"/>
      <c r="AV24" s="4"/>
      <c r="AW24" s="4">
        <v>5838</v>
      </c>
      <c r="AX24" s="4"/>
      <c r="AY24" s="4">
        <v>8745</v>
      </c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>
        <v>24074</v>
      </c>
    </row>
    <row r="25" spans="1:75" x14ac:dyDescent="0.25">
      <c r="A25" t="s">
        <v>22</v>
      </c>
      <c r="B25" t="s">
        <v>23</v>
      </c>
      <c r="C25">
        <v>2320</v>
      </c>
      <c r="F25" s="3" t="s">
        <v>18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>
        <v>4905</v>
      </c>
      <c r="AX25" s="4"/>
      <c r="AY25" s="4"/>
      <c r="AZ25" s="4"/>
      <c r="BA25" s="4"/>
      <c r="BB25" s="4"/>
      <c r="BC25" s="4"/>
      <c r="BD25" s="4"/>
      <c r="BE25" s="4">
        <v>2771</v>
      </c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>
        <v>6582</v>
      </c>
      <c r="BT25" s="4"/>
      <c r="BU25" s="4"/>
      <c r="BV25" s="4"/>
      <c r="BW25" s="4">
        <v>14258</v>
      </c>
    </row>
    <row r="26" spans="1:75" x14ac:dyDescent="0.25">
      <c r="A26" t="s">
        <v>23</v>
      </c>
      <c r="B26" t="s">
        <v>24</v>
      </c>
      <c r="C26">
        <v>2607</v>
      </c>
      <c r="F26" s="3" t="s">
        <v>47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>
        <v>5370</v>
      </c>
      <c r="AE26" s="4"/>
      <c r="AF26" s="4"/>
      <c r="AG26" s="4">
        <v>6014</v>
      </c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>
        <v>1996</v>
      </c>
      <c r="BE26" s="4"/>
      <c r="BF26" s="4"/>
      <c r="BG26" s="4"/>
      <c r="BH26" s="4"/>
      <c r="BI26" s="4"/>
      <c r="BJ26" s="4"/>
      <c r="BK26" s="4">
        <v>3192</v>
      </c>
      <c r="BL26" s="4">
        <v>9490</v>
      </c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>
        <v>26062</v>
      </c>
    </row>
    <row r="27" spans="1:75" x14ac:dyDescent="0.25">
      <c r="A27" t="s">
        <v>24</v>
      </c>
      <c r="B27" t="s">
        <v>23</v>
      </c>
      <c r="C27">
        <v>3657</v>
      </c>
      <c r="F27" s="3" t="s">
        <v>22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>
        <v>1686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>
        <v>3691</v>
      </c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>
        <v>2320</v>
      </c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>
        <v>7697</v>
      </c>
    </row>
    <row r="28" spans="1:75" x14ac:dyDescent="0.25">
      <c r="A28" t="s">
        <v>23</v>
      </c>
      <c r="B28" t="s">
        <v>25</v>
      </c>
      <c r="C28">
        <v>5671</v>
      </c>
      <c r="F28" s="3" t="s">
        <v>20</v>
      </c>
      <c r="G28" s="4"/>
      <c r="H28" s="4"/>
      <c r="I28" s="4"/>
      <c r="J28" s="4"/>
      <c r="K28" s="4"/>
      <c r="L28" s="4">
        <v>4505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>
        <v>7696</v>
      </c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>
        <v>9265</v>
      </c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>
        <v>3318</v>
      </c>
      <c r="BO28" s="4">
        <v>3193</v>
      </c>
      <c r="BP28" s="4"/>
      <c r="BQ28" s="4"/>
      <c r="BR28" s="4"/>
      <c r="BS28" s="4"/>
      <c r="BT28" s="4"/>
      <c r="BU28" s="4"/>
      <c r="BV28" s="4"/>
      <c r="BW28" s="4">
        <v>27977</v>
      </c>
    </row>
    <row r="29" spans="1:75" x14ac:dyDescent="0.25">
      <c r="A29" t="s">
        <v>25</v>
      </c>
      <c r="B29" t="s">
        <v>22</v>
      </c>
      <c r="C29">
        <v>4871</v>
      </c>
      <c r="F29" s="3" t="s">
        <v>25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>
        <v>4379</v>
      </c>
      <c r="W29" s="4"/>
      <c r="X29" s="4"/>
      <c r="Y29" s="4"/>
      <c r="Z29" s="4"/>
      <c r="AA29" s="4"/>
      <c r="AB29" s="4"/>
      <c r="AC29" s="4">
        <v>4871</v>
      </c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>
        <v>3398</v>
      </c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>
        <v>2133</v>
      </c>
      <c r="BV29" s="4">
        <v>5368</v>
      </c>
      <c r="BW29" s="4">
        <v>20149</v>
      </c>
    </row>
    <row r="30" spans="1:75" x14ac:dyDescent="0.25">
      <c r="A30" t="s">
        <v>22</v>
      </c>
      <c r="B30" t="s">
        <v>26</v>
      </c>
      <c r="C30">
        <v>1686</v>
      </c>
      <c r="F30" s="3" t="s">
        <v>31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>
        <v>5467</v>
      </c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>
        <v>4163</v>
      </c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>
        <v>2446</v>
      </c>
      <c r="BJ30" s="4">
        <v>4432</v>
      </c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>
        <v>16508</v>
      </c>
    </row>
    <row r="31" spans="1:75" x14ac:dyDescent="0.25">
      <c r="A31" t="s">
        <v>26</v>
      </c>
      <c r="B31" t="s">
        <v>21</v>
      </c>
      <c r="C31">
        <v>5628</v>
      </c>
      <c r="F31" s="3" t="s">
        <v>54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>
        <v>5238</v>
      </c>
      <c r="R31" s="4"/>
      <c r="S31" s="4"/>
      <c r="T31" s="4"/>
      <c r="U31" s="4"/>
      <c r="V31" s="4"/>
      <c r="W31" s="4"/>
      <c r="X31" s="4"/>
      <c r="Y31" s="4"/>
      <c r="Z31" s="4"/>
      <c r="AA31" s="4"/>
      <c r="AB31" s="4">
        <v>5805</v>
      </c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>
        <v>11043</v>
      </c>
    </row>
    <row r="32" spans="1:75" x14ac:dyDescent="0.25">
      <c r="A32" t="s">
        <v>21</v>
      </c>
      <c r="B32" t="s">
        <v>14</v>
      </c>
      <c r="C32">
        <v>3295</v>
      </c>
      <c r="F32" s="3" t="s">
        <v>34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>
        <v>1168</v>
      </c>
      <c r="BL32" s="4"/>
      <c r="BM32" s="4"/>
      <c r="BN32" s="4"/>
      <c r="BO32" s="4"/>
      <c r="BP32" s="4"/>
      <c r="BQ32" s="4"/>
      <c r="BR32" s="4"/>
      <c r="BS32" s="4">
        <v>3990</v>
      </c>
      <c r="BT32" s="4"/>
      <c r="BU32" s="4"/>
      <c r="BV32" s="4"/>
      <c r="BW32" s="4">
        <v>5158</v>
      </c>
    </row>
    <row r="33" spans="1:75" x14ac:dyDescent="0.25">
      <c r="A33" t="s">
        <v>27</v>
      </c>
      <c r="B33" t="s">
        <v>28</v>
      </c>
      <c r="C33">
        <v>5291</v>
      </c>
      <c r="F33" s="3" t="s">
        <v>35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>
        <v>5326</v>
      </c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>
        <v>8553</v>
      </c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>
        <v>13879</v>
      </c>
    </row>
    <row r="34" spans="1:75" x14ac:dyDescent="0.25">
      <c r="A34" t="s">
        <v>28</v>
      </c>
      <c r="B34" t="s">
        <v>29</v>
      </c>
      <c r="C34">
        <v>5838</v>
      </c>
      <c r="F34" s="3" t="s">
        <v>13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>
        <v>4470</v>
      </c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>
        <v>4470</v>
      </c>
    </row>
    <row r="35" spans="1:75" x14ac:dyDescent="0.25">
      <c r="A35" t="s">
        <v>29</v>
      </c>
      <c r="B35" t="s">
        <v>20</v>
      </c>
      <c r="C35">
        <v>3319</v>
      </c>
      <c r="F35" s="3" t="s">
        <v>61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>
        <v>3178</v>
      </c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>
        <v>3035</v>
      </c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>
        <v>7125</v>
      </c>
      <c r="BW35" s="4">
        <v>13338</v>
      </c>
    </row>
    <row r="36" spans="1:75" x14ac:dyDescent="0.25">
      <c r="A36" t="s">
        <v>30</v>
      </c>
      <c r="B36" t="s">
        <v>7</v>
      </c>
      <c r="C36">
        <v>2152</v>
      </c>
      <c r="F36" s="3" t="s">
        <v>62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>
        <v>3380</v>
      </c>
      <c r="Z36" s="4"/>
      <c r="AA36" s="4"/>
      <c r="AB36" s="4"/>
      <c r="AC36" s="4"/>
      <c r="AD36" s="4">
        <v>2256</v>
      </c>
      <c r="AE36" s="4"/>
      <c r="AF36" s="4"/>
      <c r="AG36" s="4"/>
      <c r="AH36" s="4"/>
      <c r="AI36" s="4"/>
      <c r="AJ36" s="4"/>
      <c r="AK36" s="4">
        <v>1886</v>
      </c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>
        <v>7522</v>
      </c>
    </row>
    <row r="37" spans="1:75" x14ac:dyDescent="0.25">
      <c r="A37" t="s">
        <v>7</v>
      </c>
      <c r="B37" t="s">
        <v>21</v>
      </c>
      <c r="C37">
        <v>3810</v>
      </c>
      <c r="F37" s="3" t="s">
        <v>60</v>
      </c>
      <c r="G37" s="4"/>
      <c r="H37" s="4"/>
      <c r="I37" s="4"/>
      <c r="J37" s="4">
        <v>3600</v>
      </c>
      <c r="K37" s="4"/>
      <c r="L37" s="4"/>
      <c r="M37" s="4"/>
      <c r="N37" s="4"/>
      <c r="O37" s="4"/>
      <c r="P37" s="4"/>
      <c r="Q37" s="4"/>
      <c r="R37" s="4">
        <v>1211</v>
      </c>
      <c r="S37" s="4"/>
      <c r="T37" s="4"/>
      <c r="U37" s="4"/>
      <c r="V37" s="4"/>
      <c r="W37" s="4"/>
      <c r="X37" s="4"/>
      <c r="Y37" s="4"/>
      <c r="Z37" s="4"/>
      <c r="AA37" s="4"/>
      <c r="AB37" s="4">
        <v>10144</v>
      </c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>
        <v>2219</v>
      </c>
      <c r="BQ37" s="4">
        <v>1504</v>
      </c>
      <c r="BR37" s="4"/>
      <c r="BS37" s="4"/>
      <c r="BT37" s="4"/>
      <c r="BU37" s="4"/>
      <c r="BV37" s="4"/>
      <c r="BW37" s="4">
        <v>18678</v>
      </c>
    </row>
    <row r="38" spans="1:75" x14ac:dyDescent="0.25">
      <c r="A38" t="s">
        <v>21</v>
      </c>
      <c r="B38" t="s">
        <v>31</v>
      </c>
      <c r="C38">
        <v>5713</v>
      </c>
      <c r="F38" s="3" t="s">
        <v>11</v>
      </c>
      <c r="G38" s="4"/>
      <c r="H38" s="4"/>
      <c r="I38" s="4"/>
      <c r="J38" s="4"/>
      <c r="K38" s="4"/>
      <c r="L38" s="4"/>
      <c r="M38" s="4"/>
      <c r="N38" s="4"/>
      <c r="O38" s="4">
        <v>5060</v>
      </c>
      <c r="P38" s="4">
        <v>9410</v>
      </c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>
        <v>11709</v>
      </c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>
        <v>26179</v>
      </c>
    </row>
    <row r="39" spans="1:75" x14ac:dyDescent="0.25">
      <c r="A39" t="s">
        <v>31</v>
      </c>
      <c r="B39" t="s">
        <v>21</v>
      </c>
      <c r="C39">
        <v>4163</v>
      </c>
      <c r="F39" s="3" t="s">
        <v>67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>
        <v>9101</v>
      </c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>
        <v>3348</v>
      </c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>
        <v>5986</v>
      </c>
      <c r="BM39" s="4"/>
      <c r="BN39" s="4"/>
      <c r="BO39" s="4"/>
      <c r="BP39" s="4"/>
      <c r="BQ39" s="4"/>
      <c r="BR39" s="4"/>
      <c r="BS39" s="4"/>
      <c r="BT39" s="4"/>
      <c r="BU39" s="4"/>
      <c r="BV39" s="4">
        <v>3456</v>
      </c>
      <c r="BW39" s="4">
        <v>21891</v>
      </c>
    </row>
    <row r="40" spans="1:75" x14ac:dyDescent="0.25">
      <c r="A40" t="s">
        <v>21</v>
      </c>
      <c r="B40" t="s">
        <v>32</v>
      </c>
      <c r="C40">
        <v>3216</v>
      </c>
      <c r="F40" s="3" t="s">
        <v>45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>
        <v>2151</v>
      </c>
      <c r="BL40" s="4"/>
      <c r="BM40" s="4"/>
      <c r="BN40" s="4"/>
      <c r="BO40" s="4"/>
      <c r="BP40" s="4"/>
      <c r="BQ40" s="4"/>
      <c r="BR40" s="4"/>
      <c r="BS40" s="4"/>
      <c r="BT40" s="4">
        <v>13311</v>
      </c>
      <c r="BU40" s="4"/>
      <c r="BV40" s="4"/>
      <c r="BW40" s="4">
        <v>15462</v>
      </c>
    </row>
    <row r="41" spans="1:75" x14ac:dyDescent="0.25">
      <c r="A41" t="s">
        <v>11</v>
      </c>
      <c r="B41" t="s">
        <v>33</v>
      </c>
      <c r="C41">
        <v>5060</v>
      </c>
      <c r="F41" s="3" t="s">
        <v>73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>
        <v>1369</v>
      </c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>
        <v>1369</v>
      </c>
    </row>
    <row r="42" spans="1:75" x14ac:dyDescent="0.25">
      <c r="A42" t="s">
        <v>31</v>
      </c>
      <c r="B42" t="s">
        <v>24</v>
      </c>
      <c r="C42">
        <v>2446</v>
      </c>
      <c r="F42" s="3" t="s">
        <v>6</v>
      </c>
      <c r="G42" s="4"/>
      <c r="H42" s="4"/>
      <c r="I42" s="4"/>
      <c r="J42" s="4"/>
      <c r="K42" s="4">
        <v>5624</v>
      </c>
      <c r="L42" s="4"/>
      <c r="M42" s="4"/>
      <c r="N42" s="4"/>
      <c r="O42" s="4"/>
      <c r="P42" s="4">
        <v>8744</v>
      </c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>
        <v>4572</v>
      </c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>
        <v>7335</v>
      </c>
      <c r="BO42" s="4"/>
      <c r="BP42" s="4"/>
      <c r="BQ42" s="4"/>
      <c r="BR42" s="4"/>
      <c r="BS42" s="4"/>
      <c r="BT42" s="4"/>
      <c r="BU42" s="4"/>
      <c r="BV42" s="4"/>
      <c r="BW42" s="4">
        <v>26275</v>
      </c>
    </row>
    <row r="43" spans="1:75" x14ac:dyDescent="0.25">
      <c r="A43" t="s">
        <v>24</v>
      </c>
      <c r="B43" t="s">
        <v>23</v>
      </c>
      <c r="C43">
        <v>3305</v>
      </c>
      <c r="F43" s="3" t="s">
        <v>64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>
        <v>3108</v>
      </c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>
        <v>1852</v>
      </c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>
        <v>4960</v>
      </c>
    </row>
    <row r="44" spans="1:75" x14ac:dyDescent="0.25">
      <c r="A44" t="s">
        <v>21</v>
      </c>
      <c r="B44" t="s">
        <v>7</v>
      </c>
      <c r="C44">
        <v>1743</v>
      </c>
      <c r="F44" s="3" t="s">
        <v>37</v>
      </c>
      <c r="G44" s="4"/>
      <c r="H44" s="4"/>
      <c r="I44" s="4"/>
      <c r="J44" s="4"/>
      <c r="K44" s="4">
        <v>3309</v>
      </c>
      <c r="L44" s="4"/>
      <c r="M44" s="4">
        <v>8186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>
        <v>3161</v>
      </c>
      <c r="AB44" s="4"/>
      <c r="AC44" s="4"/>
      <c r="AD44" s="4"/>
      <c r="AE44" s="4"/>
      <c r="AF44" s="4"/>
      <c r="AG44" s="4"/>
      <c r="AH44" s="4"/>
      <c r="AI44" s="4">
        <v>7126</v>
      </c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>
        <v>3021</v>
      </c>
      <c r="BP44" s="4"/>
      <c r="BQ44" s="4"/>
      <c r="BR44" s="4"/>
      <c r="BS44" s="4"/>
      <c r="BT44" s="4"/>
      <c r="BU44" s="4"/>
      <c r="BV44" s="4"/>
      <c r="BW44" s="4">
        <v>24803</v>
      </c>
    </row>
    <row r="45" spans="1:75" x14ac:dyDescent="0.25">
      <c r="A45" t="s">
        <v>17</v>
      </c>
      <c r="B45" t="s">
        <v>34</v>
      </c>
      <c r="C45">
        <v>4053</v>
      </c>
      <c r="F45" s="3" t="s">
        <v>9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>
        <v>3914</v>
      </c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>
        <v>8747</v>
      </c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>
        <v>2344</v>
      </c>
      <c r="BH45" s="4">
        <v>1777</v>
      </c>
      <c r="BI45" s="4"/>
      <c r="BJ45" s="4"/>
      <c r="BK45" s="4"/>
      <c r="BL45" s="4"/>
      <c r="BM45" s="4"/>
      <c r="BN45" s="4"/>
      <c r="BO45" s="4"/>
      <c r="BP45" s="4">
        <v>3061</v>
      </c>
      <c r="BQ45" s="4"/>
      <c r="BR45" s="4"/>
      <c r="BS45" s="4"/>
      <c r="BT45" s="4"/>
      <c r="BU45" s="4"/>
      <c r="BV45" s="4"/>
      <c r="BW45" s="4">
        <v>19843</v>
      </c>
    </row>
    <row r="46" spans="1:75" x14ac:dyDescent="0.25">
      <c r="A46" t="s">
        <v>18</v>
      </c>
      <c r="B46" t="s">
        <v>29</v>
      </c>
      <c r="C46">
        <v>4905</v>
      </c>
      <c r="F46" s="3" t="s">
        <v>21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>
        <v>3216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>
        <v>4994</v>
      </c>
      <c r="AF46" s="4">
        <v>5713</v>
      </c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>
        <v>8853</v>
      </c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>
        <v>1743</v>
      </c>
      <c r="BO46" s="4"/>
      <c r="BP46" s="4"/>
      <c r="BQ46" s="4"/>
      <c r="BR46" s="4"/>
      <c r="BS46" s="4"/>
      <c r="BT46" s="4"/>
      <c r="BU46" s="4"/>
      <c r="BV46" s="4"/>
      <c r="BW46" s="4">
        <v>24519</v>
      </c>
    </row>
    <row r="47" spans="1:75" x14ac:dyDescent="0.25">
      <c r="A47" t="s">
        <v>8</v>
      </c>
      <c r="B47" t="s">
        <v>7</v>
      </c>
      <c r="C47">
        <v>1624</v>
      </c>
      <c r="F47" s="3" t="s">
        <v>29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>
        <v>5658</v>
      </c>
      <c r="Y47" s="4"/>
      <c r="Z47" s="4">
        <v>7257</v>
      </c>
      <c r="AA47" s="4"/>
      <c r="AB47" s="4"/>
      <c r="AC47" s="4"/>
      <c r="AD47" s="4">
        <v>4522</v>
      </c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>
        <v>1749</v>
      </c>
      <c r="AZ47" s="4">
        <v>5933</v>
      </c>
      <c r="BA47" s="4">
        <v>4651</v>
      </c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>
        <v>2987</v>
      </c>
      <c r="BQ47" s="4">
        <v>3983</v>
      </c>
      <c r="BR47" s="4"/>
      <c r="BS47" s="4"/>
      <c r="BT47" s="4"/>
      <c r="BU47" s="4"/>
      <c r="BV47" s="4"/>
      <c r="BW47" s="4">
        <v>36740</v>
      </c>
    </row>
    <row r="48" spans="1:75" x14ac:dyDescent="0.25">
      <c r="A48" t="s">
        <v>35</v>
      </c>
      <c r="B48" t="s">
        <v>27</v>
      </c>
      <c r="C48">
        <v>5326</v>
      </c>
      <c r="F48" s="3" t="s">
        <v>8</v>
      </c>
      <c r="G48" s="4"/>
      <c r="H48" s="4"/>
      <c r="I48" s="4"/>
      <c r="J48" s="4"/>
      <c r="K48" s="4">
        <v>3096</v>
      </c>
      <c r="L48" s="4">
        <v>5151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>
        <v>11626</v>
      </c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>
        <v>4876</v>
      </c>
      <c r="AP48" s="4"/>
      <c r="AQ48" s="4"/>
      <c r="AR48" s="4"/>
      <c r="AS48" s="4"/>
      <c r="AT48" s="4"/>
      <c r="AU48" s="4">
        <v>8459</v>
      </c>
      <c r="AV48" s="4"/>
      <c r="AW48" s="4">
        <v>5537</v>
      </c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>
        <v>1624</v>
      </c>
      <c r="BO48" s="4"/>
      <c r="BP48" s="4"/>
      <c r="BQ48" s="4"/>
      <c r="BR48" s="4"/>
      <c r="BS48" s="4"/>
      <c r="BT48" s="4"/>
      <c r="BU48" s="4"/>
      <c r="BV48" s="4"/>
      <c r="BW48" s="4">
        <v>40369</v>
      </c>
    </row>
    <row r="49" spans="1:75" x14ac:dyDescent="0.25">
      <c r="A49" t="s">
        <v>36</v>
      </c>
      <c r="B49" t="s">
        <v>12</v>
      </c>
      <c r="C49">
        <v>4398</v>
      </c>
      <c r="F49" s="3" t="s">
        <v>14</v>
      </c>
      <c r="G49" s="4"/>
      <c r="H49" s="4"/>
      <c r="I49" s="4"/>
      <c r="J49" s="4"/>
      <c r="K49" s="4"/>
      <c r="L49" s="4">
        <v>3691</v>
      </c>
      <c r="M49" s="4"/>
      <c r="N49" s="4"/>
      <c r="O49" s="4"/>
      <c r="P49" s="4"/>
      <c r="Q49" s="4"/>
      <c r="R49" s="4"/>
      <c r="S49" s="4"/>
      <c r="T49" s="4"/>
      <c r="U49" s="4"/>
      <c r="V49" s="4">
        <v>3771</v>
      </c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>
        <v>1134</v>
      </c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>
        <v>2511</v>
      </c>
      <c r="BW49" s="4">
        <v>11107</v>
      </c>
    </row>
    <row r="50" spans="1:75" x14ac:dyDescent="0.25">
      <c r="A50" t="s">
        <v>35</v>
      </c>
      <c r="B50" t="s">
        <v>37</v>
      </c>
      <c r="C50">
        <v>4494</v>
      </c>
      <c r="F50" s="3" t="s">
        <v>56</v>
      </c>
      <c r="G50" s="4">
        <v>4747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>
        <v>2448</v>
      </c>
      <c r="U50" s="4"/>
      <c r="V50" s="4"/>
      <c r="W50" s="4"/>
      <c r="X50" s="4"/>
      <c r="Y50" s="4"/>
      <c r="Z50" s="4"/>
      <c r="AA50" s="4"/>
      <c r="AB50" s="4">
        <v>5697</v>
      </c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>
        <v>5162</v>
      </c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>
        <v>4201</v>
      </c>
      <c r="BQ50" s="4"/>
      <c r="BR50" s="4"/>
      <c r="BS50" s="4"/>
      <c r="BT50" s="4"/>
      <c r="BU50" s="4"/>
      <c r="BV50" s="4"/>
      <c r="BW50" s="4">
        <v>22255</v>
      </c>
    </row>
    <row r="51" spans="1:75" x14ac:dyDescent="0.25">
      <c r="A51" t="s">
        <v>37</v>
      </c>
      <c r="B51" t="s">
        <v>38</v>
      </c>
      <c r="C51">
        <v>2136</v>
      </c>
      <c r="F51" s="3" t="s">
        <v>19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>
        <v>1952</v>
      </c>
      <c r="AE51" s="4"/>
      <c r="AF51" s="4"/>
      <c r="AG51" s="4"/>
      <c r="AH51" s="4"/>
      <c r="AI51" s="4"/>
      <c r="AJ51" s="4"/>
      <c r="AK51" s="4"/>
      <c r="AL51" s="4"/>
      <c r="AM51" s="4">
        <v>2421</v>
      </c>
      <c r="AN51" s="4"/>
      <c r="AO51" s="4"/>
      <c r="AP51" s="4"/>
      <c r="AQ51" s="4"/>
      <c r="AR51" s="4"/>
      <c r="AS51" s="4"/>
      <c r="AT51" s="4"/>
      <c r="AU51" s="4"/>
      <c r="AV51" s="4"/>
      <c r="AW51" s="4">
        <v>10194</v>
      </c>
      <c r="AX51" s="4"/>
      <c r="AY51" s="4"/>
      <c r="AZ51" s="4"/>
      <c r="BA51" s="4"/>
      <c r="BB51" s="4"/>
      <c r="BC51" s="4"/>
      <c r="BD51" s="4"/>
      <c r="BE51" s="4">
        <v>4347</v>
      </c>
      <c r="BF51" s="4"/>
      <c r="BG51" s="4"/>
      <c r="BH51" s="4"/>
      <c r="BI51" s="4"/>
      <c r="BJ51" s="4"/>
      <c r="BK51" s="4">
        <v>2906</v>
      </c>
      <c r="BL51" s="4"/>
      <c r="BM51" s="4"/>
      <c r="BN51" s="4"/>
      <c r="BO51" s="4"/>
      <c r="BP51" s="4">
        <v>8159</v>
      </c>
      <c r="BQ51" s="4"/>
      <c r="BR51" s="4"/>
      <c r="BS51" s="4"/>
      <c r="BT51" s="4"/>
      <c r="BU51" s="4"/>
      <c r="BV51" s="4"/>
      <c r="BW51" s="4">
        <v>29979</v>
      </c>
    </row>
    <row r="52" spans="1:75" x14ac:dyDescent="0.25">
      <c r="A52" t="s">
        <v>38</v>
      </c>
      <c r="B52" t="s">
        <v>39</v>
      </c>
      <c r="C52">
        <v>4481</v>
      </c>
      <c r="F52" s="3" t="s">
        <v>51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>
        <v>1655</v>
      </c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>
        <v>8238</v>
      </c>
      <c r="BU52" s="4"/>
      <c r="BV52" s="4"/>
      <c r="BW52" s="4">
        <v>9893</v>
      </c>
    </row>
    <row r="53" spans="1:75" x14ac:dyDescent="0.25">
      <c r="A53" t="s">
        <v>29</v>
      </c>
      <c r="B53" t="s">
        <v>14</v>
      </c>
      <c r="C53">
        <v>1749</v>
      </c>
      <c r="F53" s="3" t="s">
        <v>65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>
        <v>5493</v>
      </c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>
        <v>5493</v>
      </c>
    </row>
    <row r="54" spans="1:75" x14ac:dyDescent="0.25">
      <c r="A54" t="s">
        <v>29</v>
      </c>
      <c r="B54" t="s">
        <v>20</v>
      </c>
      <c r="C54">
        <v>1203</v>
      </c>
      <c r="F54" s="3" t="s">
        <v>42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>
        <v>3126</v>
      </c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>
        <v>2918</v>
      </c>
      <c r="AM54" s="4"/>
      <c r="AN54" s="4"/>
      <c r="AO54" s="4"/>
      <c r="AP54" s="4"/>
      <c r="AQ54" s="4"/>
      <c r="AR54" s="4"/>
      <c r="AS54" s="4"/>
      <c r="AT54" s="4">
        <v>2488</v>
      </c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>
        <v>8532</v>
      </c>
    </row>
    <row r="55" spans="1:75" x14ac:dyDescent="0.25">
      <c r="A55" t="s">
        <v>20</v>
      </c>
      <c r="B55" t="s">
        <v>40</v>
      </c>
      <c r="C55">
        <v>4505</v>
      </c>
      <c r="F55" s="3" t="s">
        <v>16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>
        <v>4594</v>
      </c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>
        <v>2338</v>
      </c>
      <c r="BE55" s="4"/>
      <c r="BF55" s="4"/>
      <c r="BG55" s="4"/>
      <c r="BH55" s="4"/>
      <c r="BI55" s="4"/>
      <c r="BJ55" s="4"/>
      <c r="BK55" s="4"/>
      <c r="BL55" s="4">
        <v>4522</v>
      </c>
      <c r="BM55" s="4"/>
      <c r="BN55" s="4"/>
      <c r="BO55" s="4"/>
      <c r="BP55" s="4"/>
      <c r="BQ55" s="4">
        <v>5287</v>
      </c>
      <c r="BR55" s="4"/>
      <c r="BS55" s="4"/>
      <c r="BT55" s="4"/>
      <c r="BU55" s="4"/>
      <c r="BV55" s="4"/>
      <c r="BW55" s="4">
        <v>16741</v>
      </c>
    </row>
    <row r="56" spans="1:75" x14ac:dyDescent="0.25">
      <c r="A56" t="s">
        <v>40</v>
      </c>
      <c r="B56" t="s">
        <v>41</v>
      </c>
      <c r="C56">
        <v>1454</v>
      </c>
      <c r="F56" s="3" t="s">
        <v>70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>
        <v>4039</v>
      </c>
      <c r="T56" s="4">
        <v>10596</v>
      </c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>
        <v>1698</v>
      </c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>
        <v>16333</v>
      </c>
    </row>
    <row r="57" spans="1:75" x14ac:dyDescent="0.25">
      <c r="A57" t="s">
        <v>41</v>
      </c>
      <c r="B57" t="s">
        <v>16</v>
      </c>
      <c r="C57">
        <v>2835</v>
      </c>
      <c r="F57" s="3" t="s">
        <v>10</v>
      </c>
      <c r="G57" s="4"/>
      <c r="H57" s="4"/>
      <c r="I57" s="4"/>
      <c r="J57" s="4">
        <v>3414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>
        <v>1981</v>
      </c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>
        <v>5395</v>
      </c>
    </row>
    <row r="58" spans="1:75" x14ac:dyDescent="0.25">
      <c r="A58" t="s">
        <v>16</v>
      </c>
      <c r="B58" t="s">
        <v>42</v>
      </c>
      <c r="C58">
        <v>2338</v>
      </c>
      <c r="F58" s="3" t="s">
        <v>58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>
        <v>4788</v>
      </c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>
        <v>1793</v>
      </c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>
        <v>6581</v>
      </c>
    </row>
    <row r="59" spans="1:75" x14ac:dyDescent="0.25">
      <c r="A59" t="s">
        <v>26</v>
      </c>
      <c r="B59" t="s">
        <v>43</v>
      </c>
      <c r="C59">
        <v>4154</v>
      </c>
      <c r="F59" s="3" t="s">
        <v>24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>
        <v>4677</v>
      </c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>
        <v>6962</v>
      </c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>
        <v>11639</v>
      </c>
    </row>
    <row r="60" spans="1:75" x14ac:dyDescent="0.25">
      <c r="A60" t="s">
        <v>15</v>
      </c>
      <c r="B60" t="s">
        <v>25</v>
      </c>
      <c r="C60">
        <v>1767</v>
      </c>
      <c r="F60" s="3" t="s">
        <v>23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>
        <v>5671</v>
      </c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>
        <v>3411</v>
      </c>
      <c r="AW60" s="4"/>
      <c r="AX60" s="4"/>
      <c r="AY60" s="4"/>
      <c r="AZ60" s="4"/>
      <c r="BA60" s="4"/>
      <c r="BB60" s="4"/>
      <c r="BC60" s="4"/>
      <c r="BD60" s="4">
        <v>2443</v>
      </c>
      <c r="BE60" s="4"/>
      <c r="BF60" s="4"/>
      <c r="BG60" s="4"/>
      <c r="BH60" s="4"/>
      <c r="BI60" s="4">
        <v>5960</v>
      </c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>
        <v>17485</v>
      </c>
    </row>
    <row r="61" spans="1:75" x14ac:dyDescent="0.25">
      <c r="A61" t="s">
        <v>44</v>
      </c>
      <c r="B61" t="s">
        <v>45</v>
      </c>
      <c r="C61">
        <v>2929</v>
      </c>
      <c r="F61" s="3" t="s">
        <v>46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>
        <v>3967</v>
      </c>
      <c r="AC61" s="4"/>
      <c r="AD61" s="4"/>
      <c r="AE61" s="4"/>
      <c r="AF61" s="4"/>
      <c r="AG61" s="4">
        <v>5660</v>
      </c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>
        <v>3200</v>
      </c>
      <c r="BA61" s="4">
        <v>4251</v>
      </c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>
        <v>17078</v>
      </c>
    </row>
    <row r="62" spans="1:75" x14ac:dyDescent="0.25">
      <c r="A62" t="s">
        <v>45</v>
      </c>
      <c r="B62" t="s">
        <v>46</v>
      </c>
      <c r="C62">
        <v>2151</v>
      </c>
      <c r="F62" s="3" t="s">
        <v>17</v>
      </c>
      <c r="G62" s="4"/>
      <c r="H62" s="4"/>
      <c r="I62" s="4"/>
      <c r="J62" s="4"/>
      <c r="K62" s="4">
        <v>5362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>
        <v>13234</v>
      </c>
      <c r="AB62" s="4"/>
      <c r="AC62" s="4"/>
      <c r="AD62" s="4"/>
      <c r="AE62" s="4"/>
      <c r="AF62" s="4"/>
      <c r="AG62" s="4"/>
      <c r="AH62" s="4">
        <v>4053</v>
      </c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>
        <v>2750</v>
      </c>
      <c r="BT62" s="4"/>
      <c r="BU62" s="4"/>
      <c r="BV62" s="4"/>
      <c r="BW62" s="4">
        <v>25399</v>
      </c>
    </row>
    <row r="63" spans="1:75" x14ac:dyDescent="0.25">
      <c r="A63" t="s">
        <v>46</v>
      </c>
      <c r="B63" t="s">
        <v>47</v>
      </c>
      <c r="C63">
        <v>2431</v>
      </c>
      <c r="F63" s="3" t="s">
        <v>69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>
        <v>5570</v>
      </c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>
        <v>4542</v>
      </c>
      <c r="BQ63" s="4"/>
      <c r="BR63" s="4"/>
      <c r="BS63" s="4"/>
      <c r="BT63" s="4"/>
      <c r="BU63" s="4"/>
      <c r="BV63" s="4"/>
      <c r="BW63" s="4">
        <v>10112</v>
      </c>
    </row>
    <row r="64" spans="1:75" x14ac:dyDescent="0.25">
      <c r="A64" t="s">
        <v>34</v>
      </c>
      <c r="B64" t="s">
        <v>46</v>
      </c>
      <c r="C64">
        <v>1168</v>
      </c>
      <c r="F64" s="3" t="s">
        <v>7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>
        <v>5169</v>
      </c>
      <c r="AW64" s="4"/>
      <c r="AX64" s="4">
        <v>6605</v>
      </c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>
        <v>11774</v>
      </c>
    </row>
    <row r="65" spans="1:75" x14ac:dyDescent="0.25">
      <c r="A65" t="s">
        <v>46</v>
      </c>
      <c r="B65" t="s">
        <v>19</v>
      </c>
      <c r="C65">
        <v>4251</v>
      </c>
      <c r="F65" s="3" t="s">
        <v>43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>
        <v>4888</v>
      </c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>
        <v>4378</v>
      </c>
      <c r="AT65" s="4">
        <v>5312</v>
      </c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>
        <v>3573</v>
      </c>
      <c r="BV65" s="4"/>
      <c r="BW65" s="4">
        <v>18151</v>
      </c>
    </row>
    <row r="66" spans="1:75" x14ac:dyDescent="0.25">
      <c r="A66" t="s">
        <v>19</v>
      </c>
      <c r="B66" t="s">
        <v>16</v>
      </c>
      <c r="C66">
        <v>4347</v>
      </c>
      <c r="F66" s="3" t="s">
        <v>59</v>
      </c>
      <c r="G66" s="4"/>
      <c r="H66" s="4"/>
      <c r="I66" s="4"/>
      <c r="J66" s="4"/>
      <c r="K66" s="4"/>
      <c r="L66" s="4"/>
      <c r="M66" s="4"/>
      <c r="N66" s="4"/>
      <c r="O66" s="4"/>
      <c r="P66" s="4">
        <v>7747</v>
      </c>
      <c r="Q66" s="4"/>
      <c r="R66" s="4"/>
      <c r="S66" s="4"/>
      <c r="T66" s="4"/>
      <c r="U66" s="4"/>
      <c r="V66" s="4"/>
      <c r="W66" s="4"/>
      <c r="X66" s="4"/>
      <c r="Y66" s="4"/>
      <c r="Z66" s="4"/>
      <c r="AA66" s="4">
        <v>5832</v>
      </c>
      <c r="AB66" s="4"/>
      <c r="AC66" s="4"/>
      <c r="AD66" s="4"/>
      <c r="AE66" s="4"/>
      <c r="AF66" s="4"/>
      <c r="AG66" s="4"/>
      <c r="AH66" s="4"/>
      <c r="AI66" s="4"/>
      <c r="AJ66" s="4"/>
      <c r="AK66" s="4">
        <v>1730</v>
      </c>
      <c r="AL66" s="4"/>
      <c r="AM66" s="4">
        <v>2286</v>
      </c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>
        <v>1093</v>
      </c>
      <c r="AY66" s="4"/>
      <c r="AZ66" s="4"/>
      <c r="BA66" s="4">
        <v>2914</v>
      </c>
      <c r="BB66" s="4"/>
      <c r="BC66" s="4">
        <v>10377</v>
      </c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>
        <v>5257</v>
      </c>
      <c r="BP66" s="4"/>
      <c r="BQ66" s="4"/>
      <c r="BR66" s="4"/>
      <c r="BS66" s="4"/>
      <c r="BT66" s="4"/>
      <c r="BU66" s="4"/>
      <c r="BV66" s="4"/>
      <c r="BW66" s="4">
        <v>37236</v>
      </c>
    </row>
    <row r="67" spans="1:75" x14ac:dyDescent="0.25">
      <c r="A67" t="s">
        <v>16</v>
      </c>
      <c r="B67" t="s">
        <v>41</v>
      </c>
      <c r="C67">
        <v>5287</v>
      </c>
      <c r="F67" s="3" t="s">
        <v>41</v>
      </c>
      <c r="G67" s="4"/>
      <c r="H67" s="4"/>
      <c r="I67" s="4"/>
      <c r="J67" s="4"/>
      <c r="K67" s="4"/>
      <c r="L67" s="4"/>
      <c r="M67" s="4"/>
      <c r="N67" s="4"/>
      <c r="O67" s="4"/>
      <c r="P67" s="4">
        <v>5455</v>
      </c>
      <c r="Q67" s="4"/>
      <c r="R67" s="4"/>
      <c r="S67" s="4"/>
      <c r="T67" s="4"/>
      <c r="U67" s="4"/>
      <c r="V67" s="4"/>
      <c r="W67" s="4"/>
      <c r="X67" s="4"/>
      <c r="Y67" s="4"/>
      <c r="Z67" s="4">
        <v>2637</v>
      </c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>
        <v>2835</v>
      </c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>
        <v>10927</v>
      </c>
    </row>
    <row r="68" spans="1:75" x14ac:dyDescent="0.25">
      <c r="A68" t="s">
        <v>17</v>
      </c>
      <c r="B68" t="s">
        <v>18</v>
      </c>
      <c r="C68">
        <v>5177</v>
      </c>
      <c r="F68" s="3" t="s">
        <v>39</v>
      </c>
      <c r="G68" s="4">
        <v>1381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>
        <v>1572</v>
      </c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>
        <v>4118</v>
      </c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>
        <v>7071</v>
      </c>
    </row>
    <row r="69" spans="1:75" x14ac:dyDescent="0.25">
      <c r="A69" t="s">
        <v>15</v>
      </c>
      <c r="B69" t="s">
        <v>26</v>
      </c>
      <c r="C69">
        <v>3858</v>
      </c>
      <c r="F69" s="3" t="s">
        <v>44</v>
      </c>
      <c r="G69" s="4"/>
      <c r="H69" s="4"/>
      <c r="I69" s="4">
        <v>1021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>
        <v>2929</v>
      </c>
      <c r="AQ69" s="4"/>
      <c r="AR69" s="4"/>
      <c r="AS69" s="4"/>
      <c r="AT69" s="4"/>
      <c r="AU69" s="4"/>
      <c r="AV69" s="4"/>
      <c r="AW69" s="4"/>
      <c r="AX69" s="4"/>
      <c r="AY69" s="4"/>
      <c r="AZ69" s="4">
        <v>3077</v>
      </c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>
        <v>7027</v>
      </c>
    </row>
    <row r="70" spans="1:75" x14ac:dyDescent="0.25">
      <c r="A70" t="s">
        <v>26</v>
      </c>
      <c r="B70" t="s">
        <v>48</v>
      </c>
      <c r="C70">
        <v>4637</v>
      </c>
      <c r="F70" s="3" t="s">
        <v>52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>
        <v>4748</v>
      </c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>
        <v>2719</v>
      </c>
      <c r="BI70" s="4"/>
      <c r="BJ70" s="4"/>
      <c r="BK70" s="4"/>
      <c r="BL70" s="4"/>
      <c r="BM70" s="4"/>
      <c r="BN70" s="4"/>
      <c r="BO70" s="4"/>
      <c r="BP70" s="4"/>
      <c r="BQ70" s="4"/>
      <c r="BR70" s="4">
        <v>5416</v>
      </c>
      <c r="BS70" s="4"/>
      <c r="BT70" s="4"/>
      <c r="BU70" s="4"/>
      <c r="BV70" s="4">
        <v>1125</v>
      </c>
      <c r="BW70" s="4">
        <v>14008</v>
      </c>
    </row>
    <row r="71" spans="1:75" x14ac:dyDescent="0.25">
      <c r="A71" t="s">
        <v>48</v>
      </c>
      <c r="B71" t="s">
        <v>14</v>
      </c>
      <c r="C71">
        <v>5212</v>
      </c>
      <c r="F71" s="3" t="s">
        <v>48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>
        <v>4375</v>
      </c>
      <c r="AF71" s="4"/>
      <c r="AG71" s="4"/>
      <c r="AH71" s="4"/>
      <c r="AI71" s="4"/>
      <c r="AJ71" s="4"/>
      <c r="AK71" s="4">
        <v>6409</v>
      </c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>
        <v>9832</v>
      </c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>
        <v>20616</v>
      </c>
    </row>
    <row r="72" spans="1:75" x14ac:dyDescent="0.25">
      <c r="A72" t="s">
        <v>14</v>
      </c>
      <c r="B72" t="s">
        <v>40</v>
      </c>
      <c r="C72">
        <v>1099</v>
      </c>
      <c r="F72" s="3" t="s">
        <v>76</v>
      </c>
      <c r="G72" s="4">
        <v>6128</v>
      </c>
      <c r="H72" s="4">
        <v>3705</v>
      </c>
      <c r="I72" s="4">
        <v>1021</v>
      </c>
      <c r="J72" s="4">
        <v>7014</v>
      </c>
      <c r="K72" s="4">
        <v>28314</v>
      </c>
      <c r="L72" s="4">
        <v>24359</v>
      </c>
      <c r="M72" s="4">
        <v>13336</v>
      </c>
      <c r="N72" s="4">
        <v>5721</v>
      </c>
      <c r="O72" s="4">
        <v>8789</v>
      </c>
      <c r="P72" s="4">
        <v>35754</v>
      </c>
      <c r="Q72" s="4">
        <v>14592</v>
      </c>
      <c r="R72" s="4">
        <v>10911</v>
      </c>
      <c r="S72" s="4">
        <v>4039</v>
      </c>
      <c r="T72" s="4">
        <v>18258</v>
      </c>
      <c r="U72" s="4">
        <v>15172</v>
      </c>
      <c r="V72" s="4">
        <v>16076</v>
      </c>
      <c r="W72" s="4">
        <v>9101</v>
      </c>
      <c r="X72" s="4">
        <v>10984</v>
      </c>
      <c r="Y72" s="4">
        <v>3380</v>
      </c>
      <c r="Z72" s="4">
        <v>20073</v>
      </c>
      <c r="AA72" s="4">
        <v>23799</v>
      </c>
      <c r="AB72" s="4">
        <v>30359</v>
      </c>
      <c r="AC72" s="4">
        <v>10338</v>
      </c>
      <c r="AD72" s="4">
        <v>28761</v>
      </c>
      <c r="AE72" s="4">
        <v>23623</v>
      </c>
      <c r="AF72" s="4">
        <v>8448</v>
      </c>
      <c r="AG72" s="4">
        <v>15588</v>
      </c>
      <c r="AH72" s="4">
        <v>4053</v>
      </c>
      <c r="AI72" s="4">
        <v>11720</v>
      </c>
      <c r="AJ72" s="4">
        <v>14716</v>
      </c>
      <c r="AK72" s="4">
        <v>14813</v>
      </c>
      <c r="AL72" s="4">
        <v>5953</v>
      </c>
      <c r="AM72" s="4">
        <v>25544</v>
      </c>
      <c r="AN72" s="4">
        <v>20331</v>
      </c>
      <c r="AO72" s="4">
        <v>14672</v>
      </c>
      <c r="AP72" s="4">
        <v>14489</v>
      </c>
      <c r="AQ72" s="4">
        <v>5215</v>
      </c>
      <c r="AR72" s="4">
        <v>24483</v>
      </c>
      <c r="AS72" s="4">
        <v>9392</v>
      </c>
      <c r="AT72" s="4">
        <v>25163</v>
      </c>
      <c r="AU72" s="4">
        <v>16723</v>
      </c>
      <c r="AV72" s="4">
        <v>27873</v>
      </c>
      <c r="AW72" s="4">
        <v>26474</v>
      </c>
      <c r="AX72" s="4">
        <v>16963</v>
      </c>
      <c r="AY72" s="4">
        <v>29179</v>
      </c>
      <c r="AZ72" s="4">
        <v>12210</v>
      </c>
      <c r="BA72" s="4">
        <v>22270</v>
      </c>
      <c r="BB72" s="4">
        <v>1369</v>
      </c>
      <c r="BC72" s="4">
        <v>10377</v>
      </c>
      <c r="BD72" s="4">
        <v>12489</v>
      </c>
      <c r="BE72" s="4">
        <v>9953</v>
      </c>
      <c r="BF72" s="4">
        <v>11709</v>
      </c>
      <c r="BG72" s="4">
        <v>6437</v>
      </c>
      <c r="BH72" s="4">
        <v>6348</v>
      </c>
      <c r="BI72" s="4">
        <v>8406</v>
      </c>
      <c r="BJ72" s="4">
        <v>30357</v>
      </c>
      <c r="BK72" s="4">
        <v>11093</v>
      </c>
      <c r="BL72" s="4">
        <v>31011</v>
      </c>
      <c r="BM72" s="4">
        <v>4769</v>
      </c>
      <c r="BN72" s="4">
        <v>19107</v>
      </c>
      <c r="BO72" s="4">
        <v>21608</v>
      </c>
      <c r="BP72" s="4">
        <v>41949</v>
      </c>
      <c r="BQ72" s="4">
        <v>23993</v>
      </c>
      <c r="BR72" s="4">
        <v>5416</v>
      </c>
      <c r="BS72" s="4">
        <v>19268</v>
      </c>
      <c r="BT72" s="4">
        <v>21549</v>
      </c>
      <c r="BU72" s="4">
        <v>9387</v>
      </c>
      <c r="BV72" s="4">
        <v>28735</v>
      </c>
      <c r="BW72" s="4">
        <v>1075209</v>
      </c>
    </row>
    <row r="73" spans="1:75" x14ac:dyDescent="0.25">
      <c r="A73" t="s">
        <v>40</v>
      </c>
      <c r="B73" t="s">
        <v>41</v>
      </c>
      <c r="C73">
        <v>4422</v>
      </c>
    </row>
    <row r="74" spans="1:75" x14ac:dyDescent="0.25">
      <c r="A74" t="s">
        <v>33</v>
      </c>
      <c r="B74" t="s">
        <v>38</v>
      </c>
      <c r="C74">
        <v>2742</v>
      </c>
    </row>
    <row r="75" spans="1:75" x14ac:dyDescent="0.25">
      <c r="A75" t="s">
        <v>38</v>
      </c>
      <c r="B75" t="s">
        <v>33</v>
      </c>
      <c r="C75">
        <v>2100</v>
      </c>
    </row>
    <row r="76" spans="1:75" x14ac:dyDescent="0.25">
      <c r="A76" t="s">
        <v>33</v>
      </c>
      <c r="B76" t="s">
        <v>38</v>
      </c>
      <c r="C76">
        <v>5626</v>
      </c>
    </row>
    <row r="77" spans="1:75" x14ac:dyDescent="0.25">
      <c r="A77" t="s">
        <v>38</v>
      </c>
      <c r="B77" t="s">
        <v>33</v>
      </c>
      <c r="C77">
        <v>1629</v>
      </c>
    </row>
    <row r="78" spans="1:75" x14ac:dyDescent="0.25">
      <c r="A78" t="s">
        <v>33</v>
      </c>
      <c r="B78" t="s">
        <v>49</v>
      </c>
      <c r="C78">
        <v>4787</v>
      </c>
    </row>
    <row r="79" spans="1:75" x14ac:dyDescent="0.25">
      <c r="A79" t="s">
        <v>50</v>
      </c>
      <c r="B79" t="s">
        <v>45</v>
      </c>
      <c r="C79">
        <v>4678</v>
      </c>
    </row>
    <row r="80" spans="1:75" x14ac:dyDescent="0.25">
      <c r="A80" t="s">
        <v>45</v>
      </c>
      <c r="B80" t="s">
        <v>44</v>
      </c>
      <c r="C80">
        <v>5869</v>
      </c>
    </row>
    <row r="81" spans="1:3" x14ac:dyDescent="0.25">
      <c r="A81" t="s">
        <v>51</v>
      </c>
      <c r="B81" t="s">
        <v>44</v>
      </c>
      <c r="C81">
        <v>2678</v>
      </c>
    </row>
    <row r="82" spans="1:3" x14ac:dyDescent="0.25">
      <c r="A82" t="s">
        <v>20</v>
      </c>
      <c r="B82" t="s">
        <v>43</v>
      </c>
      <c r="C82">
        <v>3193</v>
      </c>
    </row>
    <row r="83" spans="1:3" x14ac:dyDescent="0.25">
      <c r="A83" t="s">
        <v>27</v>
      </c>
      <c r="B83" t="s">
        <v>25</v>
      </c>
      <c r="C83">
        <v>1011</v>
      </c>
    </row>
    <row r="84" spans="1:3" x14ac:dyDescent="0.25">
      <c r="A84" t="s">
        <v>25</v>
      </c>
      <c r="B84" t="s">
        <v>23</v>
      </c>
      <c r="C84">
        <v>3398</v>
      </c>
    </row>
    <row r="85" spans="1:3" x14ac:dyDescent="0.25">
      <c r="A85" t="s">
        <v>52</v>
      </c>
      <c r="B85" t="s">
        <v>53</v>
      </c>
      <c r="C85">
        <v>5416</v>
      </c>
    </row>
    <row r="86" spans="1:3" x14ac:dyDescent="0.25">
      <c r="A86" t="s">
        <v>9</v>
      </c>
      <c r="B86" t="s">
        <v>54</v>
      </c>
      <c r="C86">
        <v>3914</v>
      </c>
    </row>
    <row r="87" spans="1:3" x14ac:dyDescent="0.25">
      <c r="A87" t="s">
        <v>54</v>
      </c>
      <c r="B87" t="s">
        <v>47</v>
      </c>
      <c r="C87">
        <v>5805</v>
      </c>
    </row>
    <row r="88" spans="1:3" x14ac:dyDescent="0.25">
      <c r="A88" t="s">
        <v>47</v>
      </c>
      <c r="B88" t="s">
        <v>54</v>
      </c>
      <c r="C88">
        <v>4033</v>
      </c>
    </row>
    <row r="89" spans="1:3" x14ac:dyDescent="0.25">
      <c r="A89" t="s">
        <v>44</v>
      </c>
      <c r="B89" t="s">
        <v>55</v>
      </c>
      <c r="C89">
        <v>1021</v>
      </c>
    </row>
    <row r="90" spans="1:3" x14ac:dyDescent="0.25">
      <c r="A90" t="s">
        <v>56</v>
      </c>
      <c r="B90" t="s">
        <v>45</v>
      </c>
      <c r="C90">
        <v>5162</v>
      </c>
    </row>
    <row r="91" spans="1:3" x14ac:dyDescent="0.25">
      <c r="A91" t="s">
        <v>45</v>
      </c>
      <c r="B91" t="s">
        <v>44</v>
      </c>
      <c r="C91">
        <v>2050</v>
      </c>
    </row>
    <row r="92" spans="1:3" x14ac:dyDescent="0.25">
      <c r="A92" t="s">
        <v>43</v>
      </c>
      <c r="B92" t="s">
        <v>37</v>
      </c>
      <c r="C92">
        <v>5312</v>
      </c>
    </row>
    <row r="93" spans="1:3" x14ac:dyDescent="0.25">
      <c r="A93" t="s">
        <v>23</v>
      </c>
      <c r="B93" t="s">
        <v>42</v>
      </c>
      <c r="C93">
        <v>2443</v>
      </c>
    </row>
    <row r="94" spans="1:3" x14ac:dyDescent="0.25">
      <c r="A94" t="s">
        <v>56</v>
      </c>
      <c r="B94" t="s">
        <v>50</v>
      </c>
      <c r="C94">
        <v>1161</v>
      </c>
    </row>
    <row r="95" spans="1:3" x14ac:dyDescent="0.25">
      <c r="A95" t="s">
        <v>50</v>
      </c>
      <c r="B95" t="s">
        <v>17</v>
      </c>
      <c r="C95">
        <v>3435</v>
      </c>
    </row>
    <row r="96" spans="1:3" x14ac:dyDescent="0.25">
      <c r="A96" t="s">
        <v>57</v>
      </c>
      <c r="B96" t="s">
        <v>32</v>
      </c>
      <c r="C96">
        <v>3358</v>
      </c>
    </row>
    <row r="97" spans="1:3" x14ac:dyDescent="0.25">
      <c r="A97" t="s">
        <v>52</v>
      </c>
      <c r="B97" t="s">
        <v>58</v>
      </c>
      <c r="C97">
        <v>2719</v>
      </c>
    </row>
    <row r="98" spans="1:3" x14ac:dyDescent="0.25">
      <c r="A98" t="s">
        <v>58</v>
      </c>
      <c r="B98" t="s">
        <v>23</v>
      </c>
      <c r="C98">
        <v>1793</v>
      </c>
    </row>
    <row r="99" spans="1:3" x14ac:dyDescent="0.25">
      <c r="A99" t="s">
        <v>19</v>
      </c>
      <c r="B99" t="s">
        <v>29</v>
      </c>
      <c r="C99">
        <v>1858</v>
      </c>
    </row>
    <row r="100" spans="1:3" x14ac:dyDescent="0.25">
      <c r="A100" t="s">
        <v>29</v>
      </c>
      <c r="B100" t="s">
        <v>19</v>
      </c>
      <c r="C100">
        <v>4651</v>
      </c>
    </row>
    <row r="101" spans="1:3" x14ac:dyDescent="0.25">
      <c r="A101" t="s">
        <v>19</v>
      </c>
      <c r="B101" t="s">
        <v>29</v>
      </c>
      <c r="C101">
        <v>2929</v>
      </c>
    </row>
    <row r="102" spans="1:3" x14ac:dyDescent="0.25">
      <c r="A102" t="s">
        <v>29</v>
      </c>
      <c r="B102" t="s">
        <v>28</v>
      </c>
      <c r="C102">
        <v>2608</v>
      </c>
    </row>
    <row r="103" spans="1:3" x14ac:dyDescent="0.25">
      <c r="A103" t="s">
        <v>28</v>
      </c>
      <c r="B103" t="s">
        <v>14</v>
      </c>
      <c r="C103">
        <v>3094</v>
      </c>
    </row>
    <row r="104" spans="1:3" x14ac:dyDescent="0.25">
      <c r="A104" t="s">
        <v>19</v>
      </c>
      <c r="B104" t="s">
        <v>59</v>
      </c>
      <c r="C104">
        <v>5288</v>
      </c>
    </row>
    <row r="105" spans="1:3" x14ac:dyDescent="0.25">
      <c r="A105" t="s">
        <v>43</v>
      </c>
      <c r="B105" t="s">
        <v>28</v>
      </c>
      <c r="C105">
        <v>4888</v>
      </c>
    </row>
    <row r="106" spans="1:3" x14ac:dyDescent="0.25">
      <c r="A106" t="s">
        <v>28</v>
      </c>
      <c r="B106" t="s">
        <v>60</v>
      </c>
      <c r="C106">
        <v>5475</v>
      </c>
    </row>
    <row r="107" spans="1:3" x14ac:dyDescent="0.25">
      <c r="A107" t="s">
        <v>60</v>
      </c>
      <c r="B107" t="s">
        <v>47</v>
      </c>
      <c r="C107">
        <v>4863</v>
      </c>
    </row>
    <row r="108" spans="1:3" x14ac:dyDescent="0.25">
      <c r="A108" t="s">
        <v>29</v>
      </c>
      <c r="B108" t="s">
        <v>56</v>
      </c>
      <c r="C108">
        <v>5933</v>
      </c>
    </row>
    <row r="109" spans="1:3" x14ac:dyDescent="0.25">
      <c r="A109" t="s">
        <v>59</v>
      </c>
      <c r="B109" t="s">
        <v>61</v>
      </c>
      <c r="C109">
        <v>1730</v>
      </c>
    </row>
    <row r="110" spans="1:3" x14ac:dyDescent="0.25">
      <c r="A110" t="s">
        <v>61</v>
      </c>
      <c r="B110" t="s">
        <v>15</v>
      </c>
      <c r="C110">
        <v>3178</v>
      </c>
    </row>
    <row r="111" spans="1:3" x14ac:dyDescent="0.25">
      <c r="A111" t="s">
        <v>29</v>
      </c>
      <c r="B111" t="s">
        <v>41</v>
      </c>
      <c r="C111">
        <v>3983</v>
      </c>
    </row>
    <row r="112" spans="1:3" x14ac:dyDescent="0.25">
      <c r="A112" t="s">
        <v>36</v>
      </c>
      <c r="B112" t="s">
        <v>13</v>
      </c>
      <c r="C112">
        <v>3007</v>
      </c>
    </row>
    <row r="113" spans="1:3" x14ac:dyDescent="0.25">
      <c r="A113" t="s">
        <v>59</v>
      </c>
      <c r="B113" t="s">
        <v>18</v>
      </c>
      <c r="C113">
        <v>5832</v>
      </c>
    </row>
    <row r="114" spans="1:3" x14ac:dyDescent="0.25">
      <c r="A114" t="s">
        <v>35</v>
      </c>
      <c r="B114" t="s">
        <v>37</v>
      </c>
      <c r="C114">
        <v>3012</v>
      </c>
    </row>
    <row r="115" spans="1:3" x14ac:dyDescent="0.25">
      <c r="A115" t="s">
        <v>37</v>
      </c>
      <c r="B115" t="s">
        <v>57</v>
      </c>
      <c r="C115">
        <v>4508</v>
      </c>
    </row>
    <row r="116" spans="1:3" x14ac:dyDescent="0.25">
      <c r="A116" t="s">
        <v>9</v>
      </c>
      <c r="B116" t="s">
        <v>58</v>
      </c>
      <c r="C116">
        <v>1777</v>
      </c>
    </row>
    <row r="117" spans="1:3" x14ac:dyDescent="0.25">
      <c r="A117" t="s">
        <v>58</v>
      </c>
      <c r="B117" t="s">
        <v>61</v>
      </c>
      <c r="C117">
        <v>4788</v>
      </c>
    </row>
    <row r="118" spans="1:3" x14ac:dyDescent="0.25">
      <c r="A118" t="s">
        <v>61</v>
      </c>
      <c r="B118" t="s">
        <v>62</v>
      </c>
      <c r="C118">
        <v>3035</v>
      </c>
    </row>
    <row r="119" spans="1:3" x14ac:dyDescent="0.25">
      <c r="A119" t="s">
        <v>62</v>
      </c>
      <c r="B119" t="s">
        <v>63</v>
      </c>
      <c r="C119">
        <v>3380</v>
      </c>
    </row>
    <row r="120" spans="1:3" x14ac:dyDescent="0.25">
      <c r="A120" t="s">
        <v>63</v>
      </c>
      <c r="B120" t="s">
        <v>64</v>
      </c>
      <c r="C120">
        <v>5014</v>
      </c>
    </row>
    <row r="121" spans="1:3" x14ac:dyDescent="0.25">
      <c r="A121" t="s">
        <v>64</v>
      </c>
      <c r="B121" t="s">
        <v>58</v>
      </c>
      <c r="C121">
        <v>1852</v>
      </c>
    </row>
    <row r="122" spans="1:3" x14ac:dyDescent="0.25">
      <c r="A122" t="s">
        <v>65</v>
      </c>
      <c r="B122" t="s">
        <v>11</v>
      </c>
      <c r="C122">
        <v>5493</v>
      </c>
    </row>
    <row r="123" spans="1:3" x14ac:dyDescent="0.25">
      <c r="A123" t="s">
        <v>51</v>
      </c>
      <c r="B123" t="s">
        <v>44</v>
      </c>
      <c r="C123">
        <v>5560</v>
      </c>
    </row>
    <row r="124" spans="1:3" x14ac:dyDescent="0.25">
      <c r="A124" t="s">
        <v>66</v>
      </c>
      <c r="B124" t="s">
        <v>67</v>
      </c>
      <c r="C124">
        <v>2571</v>
      </c>
    </row>
    <row r="125" spans="1:3" x14ac:dyDescent="0.25">
      <c r="A125" t="s">
        <v>67</v>
      </c>
      <c r="B125" t="s">
        <v>19</v>
      </c>
      <c r="C125">
        <v>3348</v>
      </c>
    </row>
    <row r="126" spans="1:3" x14ac:dyDescent="0.25">
      <c r="A126" t="s">
        <v>19</v>
      </c>
      <c r="B126" t="s">
        <v>46</v>
      </c>
      <c r="C126">
        <v>2906</v>
      </c>
    </row>
    <row r="127" spans="1:3" x14ac:dyDescent="0.25">
      <c r="A127" t="s">
        <v>46</v>
      </c>
      <c r="B127" t="s">
        <v>54</v>
      </c>
      <c r="C127">
        <v>5660</v>
      </c>
    </row>
    <row r="128" spans="1:3" x14ac:dyDescent="0.25">
      <c r="A128" t="s">
        <v>19</v>
      </c>
      <c r="B128" t="s">
        <v>29</v>
      </c>
      <c r="C128">
        <v>2575</v>
      </c>
    </row>
    <row r="129" spans="1:3" x14ac:dyDescent="0.25">
      <c r="A129" t="s">
        <v>55</v>
      </c>
      <c r="B129" t="s">
        <v>46</v>
      </c>
      <c r="C129">
        <v>1676</v>
      </c>
    </row>
    <row r="130" spans="1:3" x14ac:dyDescent="0.25">
      <c r="A130" t="s">
        <v>46</v>
      </c>
      <c r="B130" t="s">
        <v>47</v>
      </c>
      <c r="C130">
        <v>1536</v>
      </c>
    </row>
    <row r="131" spans="1:3" x14ac:dyDescent="0.25">
      <c r="A131" t="s">
        <v>47</v>
      </c>
      <c r="B131" t="s">
        <v>42</v>
      </c>
      <c r="C131">
        <v>1996</v>
      </c>
    </row>
    <row r="132" spans="1:3" x14ac:dyDescent="0.25">
      <c r="A132" t="s">
        <v>68</v>
      </c>
      <c r="B132" t="s">
        <v>69</v>
      </c>
      <c r="C132">
        <v>4769</v>
      </c>
    </row>
    <row r="133" spans="1:3" x14ac:dyDescent="0.25">
      <c r="A133" t="s">
        <v>69</v>
      </c>
      <c r="B133" t="s">
        <v>59</v>
      </c>
      <c r="C133">
        <v>4542</v>
      </c>
    </row>
    <row r="134" spans="1:3" x14ac:dyDescent="0.25">
      <c r="A134" t="s">
        <v>59</v>
      </c>
      <c r="B134" t="s">
        <v>60</v>
      </c>
      <c r="C134">
        <v>2286</v>
      </c>
    </row>
    <row r="135" spans="1:3" x14ac:dyDescent="0.25">
      <c r="A135" t="s">
        <v>60</v>
      </c>
      <c r="B135" t="s">
        <v>41</v>
      </c>
      <c r="C135">
        <v>1504</v>
      </c>
    </row>
    <row r="136" spans="1:3" x14ac:dyDescent="0.25">
      <c r="A136" t="s">
        <v>34</v>
      </c>
      <c r="B136" t="s">
        <v>39</v>
      </c>
      <c r="C136">
        <v>3990</v>
      </c>
    </row>
    <row r="137" spans="1:3" x14ac:dyDescent="0.25">
      <c r="A137" t="s">
        <v>47</v>
      </c>
      <c r="B137" t="s">
        <v>17</v>
      </c>
      <c r="C137">
        <v>4569</v>
      </c>
    </row>
    <row r="138" spans="1:3" x14ac:dyDescent="0.25">
      <c r="A138" t="s">
        <v>17</v>
      </c>
      <c r="B138" t="s">
        <v>18</v>
      </c>
      <c r="C138">
        <v>3469</v>
      </c>
    </row>
    <row r="139" spans="1:3" x14ac:dyDescent="0.25">
      <c r="A139" t="s">
        <v>18</v>
      </c>
      <c r="B139" t="s">
        <v>39</v>
      </c>
      <c r="C139">
        <v>2498</v>
      </c>
    </row>
    <row r="140" spans="1:3" x14ac:dyDescent="0.25">
      <c r="A140" t="s">
        <v>39</v>
      </c>
      <c r="B140" t="s">
        <v>17</v>
      </c>
      <c r="C140">
        <v>4118</v>
      </c>
    </row>
    <row r="141" spans="1:3" x14ac:dyDescent="0.25">
      <c r="A141" t="s">
        <v>30</v>
      </c>
      <c r="B141" t="s">
        <v>70</v>
      </c>
      <c r="C141">
        <v>5847</v>
      </c>
    </row>
    <row r="142" spans="1:3" x14ac:dyDescent="0.25">
      <c r="A142" t="s">
        <v>70</v>
      </c>
      <c r="B142" t="s">
        <v>30</v>
      </c>
      <c r="C142">
        <v>2032</v>
      </c>
    </row>
    <row r="143" spans="1:3" x14ac:dyDescent="0.25">
      <c r="A143" t="s">
        <v>30</v>
      </c>
      <c r="B143" t="s">
        <v>31</v>
      </c>
      <c r="C143">
        <v>2735</v>
      </c>
    </row>
    <row r="144" spans="1:3" x14ac:dyDescent="0.25">
      <c r="A144" t="s">
        <v>31</v>
      </c>
      <c r="B144" t="s">
        <v>22</v>
      </c>
      <c r="C144">
        <v>5467</v>
      </c>
    </row>
    <row r="145" spans="1:3" x14ac:dyDescent="0.25">
      <c r="A145" t="s">
        <v>22</v>
      </c>
      <c r="B145" t="s">
        <v>21</v>
      </c>
      <c r="C145">
        <v>3691</v>
      </c>
    </row>
    <row r="146" spans="1:3" x14ac:dyDescent="0.25">
      <c r="A146" t="s">
        <v>15</v>
      </c>
      <c r="B146" t="s">
        <v>52</v>
      </c>
      <c r="C146">
        <v>3681</v>
      </c>
    </row>
    <row r="147" spans="1:3" x14ac:dyDescent="0.25">
      <c r="A147" t="s">
        <v>62</v>
      </c>
      <c r="B147" t="s">
        <v>20</v>
      </c>
      <c r="C147">
        <v>2256</v>
      </c>
    </row>
    <row r="148" spans="1:3" x14ac:dyDescent="0.25">
      <c r="A148" t="s">
        <v>20</v>
      </c>
      <c r="B148" t="s">
        <v>8</v>
      </c>
      <c r="C148">
        <v>4602</v>
      </c>
    </row>
    <row r="149" spans="1:3" x14ac:dyDescent="0.25">
      <c r="A149" t="s">
        <v>8</v>
      </c>
      <c r="B149" t="s">
        <v>20</v>
      </c>
      <c r="C149">
        <v>4354</v>
      </c>
    </row>
    <row r="150" spans="1:3" x14ac:dyDescent="0.25">
      <c r="A150" t="s">
        <v>20</v>
      </c>
      <c r="B150" t="s">
        <v>60</v>
      </c>
      <c r="C150">
        <v>4260</v>
      </c>
    </row>
    <row r="151" spans="1:3" x14ac:dyDescent="0.25">
      <c r="A151" t="s">
        <v>40</v>
      </c>
      <c r="B151" t="s">
        <v>41</v>
      </c>
      <c r="C151">
        <v>2800</v>
      </c>
    </row>
    <row r="152" spans="1:3" x14ac:dyDescent="0.25">
      <c r="A152" t="s">
        <v>41</v>
      </c>
      <c r="B152" t="s">
        <v>28</v>
      </c>
      <c r="C152">
        <v>2637</v>
      </c>
    </row>
    <row r="153" spans="1:3" x14ac:dyDescent="0.25">
      <c r="A153" t="s">
        <v>28</v>
      </c>
      <c r="B153" t="s">
        <v>14</v>
      </c>
      <c r="C153">
        <v>5651</v>
      </c>
    </row>
    <row r="154" spans="1:3" x14ac:dyDescent="0.25">
      <c r="A154" t="s">
        <v>14</v>
      </c>
      <c r="B154" t="s">
        <v>48</v>
      </c>
      <c r="C154">
        <v>2511</v>
      </c>
    </row>
    <row r="155" spans="1:3" x14ac:dyDescent="0.25">
      <c r="A155" t="s">
        <v>56</v>
      </c>
      <c r="B155" t="s">
        <v>30</v>
      </c>
      <c r="C155">
        <v>2448</v>
      </c>
    </row>
    <row r="156" spans="1:3" x14ac:dyDescent="0.25">
      <c r="A156" t="s">
        <v>10</v>
      </c>
      <c r="B156" t="s">
        <v>71</v>
      </c>
      <c r="C156">
        <v>3414</v>
      </c>
    </row>
    <row r="157" spans="1:3" x14ac:dyDescent="0.25">
      <c r="A157" t="s">
        <v>70</v>
      </c>
      <c r="B157" t="s">
        <v>36</v>
      </c>
      <c r="C157">
        <v>4039</v>
      </c>
    </row>
    <row r="158" spans="1:3" x14ac:dyDescent="0.25">
      <c r="A158" t="s">
        <v>36</v>
      </c>
      <c r="B158" t="s">
        <v>70</v>
      </c>
      <c r="C158">
        <v>5862</v>
      </c>
    </row>
    <row r="159" spans="1:3" x14ac:dyDescent="0.25">
      <c r="A159" t="s">
        <v>44</v>
      </c>
      <c r="B159" t="s">
        <v>56</v>
      </c>
      <c r="C159">
        <v>3077</v>
      </c>
    </row>
    <row r="160" spans="1:3" x14ac:dyDescent="0.25">
      <c r="A160" t="s">
        <v>55</v>
      </c>
      <c r="B160" t="s">
        <v>26</v>
      </c>
      <c r="C160">
        <v>5569</v>
      </c>
    </row>
    <row r="161" spans="1:3" x14ac:dyDescent="0.25">
      <c r="A161" t="s">
        <v>26</v>
      </c>
      <c r="B161" t="s">
        <v>48</v>
      </c>
      <c r="C161">
        <v>4513</v>
      </c>
    </row>
    <row r="162" spans="1:3" x14ac:dyDescent="0.25">
      <c r="A162" t="s">
        <v>18</v>
      </c>
      <c r="B162" t="s">
        <v>16</v>
      </c>
      <c r="C162">
        <v>2771</v>
      </c>
    </row>
    <row r="163" spans="1:3" x14ac:dyDescent="0.25">
      <c r="A163" t="s">
        <v>50</v>
      </c>
      <c r="B163" t="s">
        <v>42</v>
      </c>
      <c r="C163">
        <v>1079</v>
      </c>
    </row>
    <row r="164" spans="1:3" x14ac:dyDescent="0.25">
      <c r="A164" t="s">
        <v>42</v>
      </c>
      <c r="B164" t="s">
        <v>32</v>
      </c>
      <c r="C164">
        <v>3126</v>
      </c>
    </row>
    <row r="165" spans="1:3" x14ac:dyDescent="0.25">
      <c r="A165" t="s">
        <v>32</v>
      </c>
      <c r="B165" t="s">
        <v>60</v>
      </c>
      <c r="C165">
        <v>3650</v>
      </c>
    </row>
    <row r="166" spans="1:3" x14ac:dyDescent="0.25">
      <c r="A166" t="s">
        <v>55</v>
      </c>
      <c r="B166" t="s">
        <v>68</v>
      </c>
      <c r="C166">
        <v>5721</v>
      </c>
    </row>
    <row r="167" spans="1:3" x14ac:dyDescent="0.25">
      <c r="A167" t="s">
        <v>68</v>
      </c>
      <c r="B167" t="s">
        <v>19</v>
      </c>
      <c r="C167">
        <v>5759</v>
      </c>
    </row>
    <row r="168" spans="1:3" x14ac:dyDescent="0.25">
      <c r="A168" t="s">
        <v>19</v>
      </c>
      <c r="B168" t="s">
        <v>59</v>
      </c>
      <c r="C168">
        <v>2871</v>
      </c>
    </row>
    <row r="169" spans="1:3" x14ac:dyDescent="0.25">
      <c r="A169" t="s">
        <v>8</v>
      </c>
      <c r="B169" t="s">
        <v>9</v>
      </c>
      <c r="C169">
        <v>3571</v>
      </c>
    </row>
    <row r="170" spans="1:3" x14ac:dyDescent="0.25">
      <c r="A170" t="s">
        <v>9</v>
      </c>
      <c r="B170" t="s">
        <v>59</v>
      </c>
      <c r="C170">
        <v>3061</v>
      </c>
    </row>
    <row r="171" spans="1:3" x14ac:dyDescent="0.25">
      <c r="A171" t="s">
        <v>59</v>
      </c>
      <c r="B171" t="s">
        <v>65</v>
      </c>
      <c r="C171">
        <v>5336</v>
      </c>
    </row>
    <row r="172" spans="1:3" x14ac:dyDescent="0.25">
      <c r="A172" t="s">
        <v>29</v>
      </c>
      <c r="B172" t="s">
        <v>27</v>
      </c>
      <c r="C172">
        <v>5658</v>
      </c>
    </row>
    <row r="173" spans="1:3" x14ac:dyDescent="0.25">
      <c r="A173" t="s">
        <v>27</v>
      </c>
      <c r="B173" t="s">
        <v>25</v>
      </c>
      <c r="C173">
        <v>2697</v>
      </c>
    </row>
    <row r="174" spans="1:3" x14ac:dyDescent="0.25">
      <c r="A174" t="s">
        <v>25</v>
      </c>
      <c r="B174" t="s">
        <v>48</v>
      </c>
      <c r="C174">
        <v>5368</v>
      </c>
    </row>
    <row r="175" spans="1:3" x14ac:dyDescent="0.25">
      <c r="A175" t="s">
        <v>48</v>
      </c>
      <c r="B175" t="s">
        <v>14</v>
      </c>
      <c r="C175">
        <v>2706</v>
      </c>
    </row>
    <row r="176" spans="1:3" x14ac:dyDescent="0.25">
      <c r="A176" t="s">
        <v>67</v>
      </c>
      <c r="B176" t="s">
        <v>48</v>
      </c>
      <c r="C176">
        <v>3456</v>
      </c>
    </row>
    <row r="177" spans="1:3" x14ac:dyDescent="0.25">
      <c r="A177" t="s">
        <v>48</v>
      </c>
      <c r="B177" t="s">
        <v>14</v>
      </c>
      <c r="C177">
        <v>1914</v>
      </c>
    </row>
    <row r="178" spans="1:3" x14ac:dyDescent="0.25">
      <c r="A178" t="s">
        <v>14</v>
      </c>
      <c r="B178" t="s">
        <v>21</v>
      </c>
      <c r="C178">
        <v>1134</v>
      </c>
    </row>
    <row r="179" spans="1:3" x14ac:dyDescent="0.25">
      <c r="A179" t="s">
        <v>21</v>
      </c>
      <c r="B179" t="s">
        <v>25</v>
      </c>
      <c r="C179">
        <v>2935</v>
      </c>
    </row>
    <row r="180" spans="1:3" x14ac:dyDescent="0.25">
      <c r="A180" t="s">
        <v>25</v>
      </c>
      <c r="B180" t="s">
        <v>15</v>
      </c>
      <c r="C180">
        <v>4379</v>
      </c>
    </row>
    <row r="181" spans="1:3" x14ac:dyDescent="0.25">
      <c r="A181" t="s">
        <v>37</v>
      </c>
      <c r="B181" t="s">
        <v>35</v>
      </c>
      <c r="C181">
        <v>1328</v>
      </c>
    </row>
    <row r="182" spans="1:3" x14ac:dyDescent="0.25">
      <c r="A182" t="s">
        <v>70</v>
      </c>
      <c r="B182" t="s">
        <v>30</v>
      </c>
      <c r="C182">
        <v>4133</v>
      </c>
    </row>
    <row r="183" spans="1:3" x14ac:dyDescent="0.25">
      <c r="A183" t="s">
        <v>47</v>
      </c>
      <c r="B183" t="s">
        <v>20</v>
      </c>
      <c r="C183">
        <v>5370</v>
      </c>
    </row>
    <row r="184" spans="1:3" x14ac:dyDescent="0.25">
      <c r="A184" t="s">
        <v>20</v>
      </c>
      <c r="B184" t="s">
        <v>8</v>
      </c>
      <c r="C184">
        <v>4663</v>
      </c>
    </row>
    <row r="185" spans="1:3" x14ac:dyDescent="0.25">
      <c r="A185" t="s">
        <v>8</v>
      </c>
      <c r="B185" t="s">
        <v>40</v>
      </c>
      <c r="C185">
        <v>5151</v>
      </c>
    </row>
    <row r="186" spans="1:3" x14ac:dyDescent="0.25">
      <c r="A186" t="s">
        <v>40</v>
      </c>
      <c r="B186" t="s">
        <v>20</v>
      </c>
      <c r="C186">
        <v>3035</v>
      </c>
    </row>
    <row r="187" spans="1:3" x14ac:dyDescent="0.25">
      <c r="A187" t="s">
        <v>72</v>
      </c>
      <c r="B187" t="s">
        <v>11</v>
      </c>
      <c r="C187">
        <v>1090</v>
      </c>
    </row>
    <row r="188" spans="1:3" x14ac:dyDescent="0.25">
      <c r="A188" t="s">
        <v>11</v>
      </c>
      <c r="B188" t="s">
        <v>13</v>
      </c>
      <c r="C188">
        <v>5746</v>
      </c>
    </row>
    <row r="189" spans="1:3" x14ac:dyDescent="0.25">
      <c r="A189" t="s">
        <v>46</v>
      </c>
      <c r="B189" t="s">
        <v>56</v>
      </c>
      <c r="C189">
        <v>3200</v>
      </c>
    </row>
    <row r="190" spans="1:3" x14ac:dyDescent="0.25">
      <c r="A190" t="s">
        <v>56</v>
      </c>
      <c r="B190" t="s">
        <v>50</v>
      </c>
      <c r="C190">
        <v>3586</v>
      </c>
    </row>
    <row r="191" spans="1:3" x14ac:dyDescent="0.25">
      <c r="A191" t="s">
        <v>50</v>
      </c>
      <c r="B191" t="s">
        <v>17</v>
      </c>
      <c r="C191">
        <v>3460</v>
      </c>
    </row>
    <row r="192" spans="1:3" x14ac:dyDescent="0.25">
      <c r="A192" t="s">
        <v>68</v>
      </c>
      <c r="B192" t="s">
        <v>19</v>
      </c>
      <c r="C192">
        <v>1347</v>
      </c>
    </row>
    <row r="193" spans="1:3" x14ac:dyDescent="0.25">
      <c r="A193" t="s">
        <v>19</v>
      </c>
      <c r="B193" t="s">
        <v>60</v>
      </c>
      <c r="C193">
        <v>2421</v>
      </c>
    </row>
    <row r="194" spans="1:3" x14ac:dyDescent="0.25">
      <c r="A194" t="s">
        <v>60</v>
      </c>
      <c r="B194" t="s">
        <v>47</v>
      </c>
      <c r="C194">
        <v>2939</v>
      </c>
    </row>
    <row r="195" spans="1:3" x14ac:dyDescent="0.25">
      <c r="A195" t="s">
        <v>47</v>
      </c>
      <c r="B195" t="s">
        <v>17</v>
      </c>
      <c r="C195">
        <v>4921</v>
      </c>
    </row>
    <row r="196" spans="1:3" x14ac:dyDescent="0.25">
      <c r="A196" t="s">
        <v>17</v>
      </c>
      <c r="B196" t="s">
        <v>38</v>
      </c>
      <c r="C196">
        <v>3580</v>
      </c>
    </row>
    <row r="197" spans="1:3" x14ac:dyDescent="0.25">
      <c r="A197" t="s">
        <v>38</v>
      </c>
      <c r="B197" t="s">
        <v>73</v>
      </c>
      <c r="C197">
        <v>5215</v>
      </c>
    </row>
    <row r="198" spans="1:3" x14ac:dyDescent="0.25">
      <c r="A198" t="s">
        <v>73</v>
      </c>
      <c r="B198" t="s">
        <v>51</v>
      </c>
      <c r="C198">
        <v>1369</v>
      </c>
    </row>
    <row r="199" spans="1:3" x14ac:dyDescent="0.25">
      <c r="A199" t="s">
        <v>51</v>
      </c>
      <c r="B199" t="s">
        <v>67</v>
      </c>
      <c r="C199">
        <v>1655</v>
      </c>
    </row>
    <row r="200" spans="1:3" x14ac:dyDescent="0.25">
      <c r="A200" t="s">
        <v>48</v>
      </c>
      <c r="B200" t="s">
        <v>61</v>
      </c>
      <c r="C200">
        <v>2192</v>
      </c>
    </row>
    <row r="201" spans="1:3" x14ac:dyDescent="0.25">
      <c r="A201" t="s">
        <v>12</v>
      </c>
      <c r="B201" t="s">
        <v>59</v>
      </c>
      <c r="C201">
        <v>5919</v>
      </c>
    </row>
    <row r="202" spans="1:3" x14ac:dyDescent="0.25">
      <c r="A202" t="s">
        <v>67</v>
      </c>
      <c r="B202" t="s">
        <v>17</v>
      </c>
      <c r="C202">
        <v>5986</v>
      </c>
    </row>
    <row r="203" spans="1:3" x14ac:dyDescent="0.25">
      <c r="A203" t="s">
        <v>17</v>
      </c>
      <c r="B203" t="s">
        <v>39</v>
      </c>
      <c r="C203">
        <v>2750</v>
      </c>
    </row>
    <row r="204" spans="1:3" x14ac:dyDescent="0.25">
      <c r="A204" t="s">
        <v>39</v>
      </c>
      <c r="B204" t="s">
        <v>50</v>
      </c>
      <c r="C204">
        <v>1381</v>
      </c>
    </row>
    <row r="205" spans="1:3" x14ac:dyDescent="0.25">
      <c r="A205" t="s">
        <v>60</v>
      </c>
      <c r="B205" t="s">
        <v>59</v>
      </c>
      <c r="C205">
        <v>2219</v>
      </c>
    </row>
    <row r="206" spans="1:3" x14ac:dyDescent="0.25">
      <c r="A206" t="s">
        <v>59</v>
      </c>
      <c r="B206" t="s">
        <v>65</v>
      </c>
      <c r="C206">
        <v>5041</v>
      </c>
    </row>
    <row r="207" spans="1:3" x14ac:dyDescent="0.25">
      <c r="A207" t="s">
        <v>31</v>
      </c>
      <c r="B207" t="s">
        <v>23</v>
      </c>
      <c r="C207">
        <v>4432</v>
      </c>
    </row>
    <row r="208" spans="1:3" x14ac:dyDescent="0.25">
      <c r="A208" t="s">
        <v>6</v>
      </c>
      <c r="B208" t="s">
        <v>12</v>
      </c>
      <c r="C208">
        <v>2761</v>
      </c>
    </row>
    <row r="209" spans="1:3" x14ac:dyDescent="0.25">
      <c r="A209" t="s">
        <v>12</v>
      </c>
      <c r="B209" t="s">
        <v>7</v>
      </c>
      <c r="C209">
        <v>2935</v>
      </c>
    </row>
    <row r="210" spans="1:3" x14ac:dyDescent="0.25">
      <c r="A210" t="s">
        <v>36</v>
      </c>
      <c r="B210" t="s">
        <v>40</v>
      </c>
      <c r="C210">
        <v>3565</v>
      </c>
    </row>
    <row r="211" spans="1:3" x14ac:dyDescent="0.25">
      <c r="A211" t="s">
        <v>8</v>
      </c>
      <c r="B211" t="s">
        <v>38</v>
      </c>
      <c r="C211">
        <v>3096</v>
      </c>
    </row>
    <row r="212" spans="1:3" x14ac:dyDescent="0.25">
      <c r="A212" t="s">
        <v>50</v>
      </c>
      <c r="B212" t="s">
        <v>11</v>
      </c>
      <c r="C212">
        <v>3325</v>
      </c>
    </row>
    <row r="213" spans="1:3" x14ac:dyDescent="0.25">
      <c r="A213" t="s">
        <v>15</v>
      </c>
      <c r="B213" t="s">
        <v>59</v>
      </c>
      <c r="C213">
        <v>2563</v>
      </c>
    </row>
    <row r="214" spans="1:3" x14ac:dyDescent="0.25">
      <c r="A214" t="s">
        <v>59</v>
      </c>
      <c r="B214" t="s">
        <v>19</v>
      </c>
      <c r="C214">
        <v>2914</v>
      </c>
    </row>
    <row r="215" spans="1:3" x14ac:dyDescent="0.25">
      <c r="A215" t="s">
        <v>19</v>
      </c>
      <c r="B215" t="s">
        <v>29</v>
      </c>
      <c r="C215">
        <v>2832</v>
      </c>
    </row>
    <row r="216" spans="1:3" x14ac:dyDescent="0.25">
      <c r="A216" t="s">
        <v>59</v>
      </c>
      <c r="B216" t="s">
        <v>43</v>
      </c>
      <c r="C216">
        <v>5257</v>
      </c>
    </row>
    <row r="217" spans="1:3" x14ac:dyDescent="0.25">
      <c r="A217" t="s">
        <v>57</v>
      </c>
      <c r="B217" t="s">
        <v>43</v>
      </c>
      <c r="C217">
        <v>5983</v>
      </c>
    </row>
    <row r="218" spans="1:3" x14ac:dyDescent="0.25">
      <c r="A218" t="s">
        <v>43</v>
      </c>
      <c r="B218" t="s">
        <v>64</v>
      </c>
      <c r="C218">
        <v>4378</v>
      </c>
    </row>
    <row r="219" spans="1:3" x14ac:dyDescent="0.25">
      <c r="A219" t="s">
        <v>64</v>
      </c>
      <c r="B219" t="s">
        <v>25</v>
      </c>
      <c r="C219">
        <v>3108</v>
      </c>
    </row>
    <row r="220" spans="1:3" x14ac:dyDescent="0.25">
      <c r="A220" t="s">
        <v>25</v>
      </c>
      <c r="B220" t="s">
        <v>52</v>
      </c>
      <c r="C220">
        <v>2133</v>
      </c>
    </row>
    <row r="221" spans="1:3" x14ac:dyDescent="0.25">
      <c r="A221" t="s">
        <v>52</v>
      </c>
      <c r="B221" t="s">
        <v>48</v>
      </c>
      <c r="C221">
        <v>1125</v>
      </c>
    </row>
    <row r="222" spans="1:3" x14ac:dyDescent="0.25">
      <c r="A222" t="s">
        <v>48</v>
      </c>
      <c r="B222" t="s">
        <v>25</v>
      </c>
      <c r="C222">
        <v>4375</v>
      </c>
    </row>
    <row r="223" spans="1:3" x14ac:dyDescent="0.25">
      <c r="A223" t="s">
        <v>41</v>
      </c>
      <c r="B223" t="s">
        <v>12</v>
      </c>
      <c r="C223">
        <v>5455</v>
      </c>
    </row>
    <row r="224" spans="1:3" x14ac:dyDescent="0.25">
      <c r="A224" t="s">
        <v>29</v>
      </c>
      <c r="B224" t="s">
        <v>28</v>
      </c>
      <c r="C224">
        <v>4649</v>
      </c>
    </row>
    <row r="225" spans="1:3" x14ac:dyDescent="0.25">
      <c r="A225" t="s">
        <v>28</v>
      </c>
      <c r="B225" t="s">
        <v>60</v>
      </c>
      <c r="C225">
        <v>4016</v>
      </c>
    </row>
    <row r="226" spans="1:3" x14ac:dyDescent="0.25">
      <c r="A226" t="s">
        <v>60</v>
      </c>
      <c r="B226" t="s">
        <v>32</v>
      </c>
      <c r="C226">
        <v>1211</v>
      </c>
    </row>
    <row r="227" spans="1:3" x14ac:dyDescent="0.25">
      <c r="A227" t="s">
        <v>32</v>
      </c>
      <c r="B227" t="s">
        <v>42</v>
      </c>
      <c r="C227">
        <v>4633</v>
      </c>
    </row>
    <row r="228" spans="1:3" x14ac:dyDescent="0.25">
      <c r="A228" t="s">
        <v>42</v>
      </c>
      <c r="B228" t="s">
        <v>37</v>
      </c>
      <c r="C228">
        <v>2488</v>
      </c>
    </row>
    <row r="229" spans="1:3" x14ac:dyDescent="0.25">
      <c r="A229" t="s">
        <v>37</v>
      </c>
      <c r="B229" t="s">
        <v>35</v>
      </c>
      <c r="C229">
        <v>5798</v>
      </c>
    </row>
    <row r="230" spans="1:3" x14ac:dyDescent="0.25">
      <c r="A230" t="s">
        <v>42</v>
      </c>
      <c r="B230" t="s">
        <v>62</v>
      </c>
      <c r="C230">
        <v>2918</v>
      </c>
    </row>
    <row r="231" spans="1:3" x14ac:dyDescent="0.25">
      <c r="A231" t="s">
        <v>62</v>
      </c>
      <c r="B231" t="s">
        <v>61</v>
      </c>
      <c r="C231">
        <v>1886</v>
      </c>
    </row>
    <row r="232" spans="1:3" x14ac:dyDescent="0.25">
      <c r="A232" t="s">
        <v>70</v>
      </c>
      <c r="B232" t="s">
        <v>30</v>
      </c>
      <c r="C232">
        <v>4431</v>
      </c>
    </row>
    <row r="233" spans="1:3" x14ac:dyDescent="0.25">
      <c r="A233" t="s">
        <v>30</v>
      </c>
      <c r="B233" t="s">
        <v>40</v>
      </c>
      <c r="C233">
        <v>1956</v>
      </c>
    </row>
    <row r="234" spans="1:3" x14ac:dyDescent="0.25">
      <c r="A234" t="s">
        <v>15</v>
      </c>
      <c r="B234" t="s">
        <v>26</v>
      </c>
      <c r="C234">
        <v>4059</v>
      </c>
    </row>
    <row r="235" spans="1:3" x14ac:dyDescent="0.25">
      <c r="A235" t="s">
        <v>26</v>
      </c>
      <c r="B235" t="s">
        <v>23</v>
      </c>
      <c r="C235">
        <v>2157</v>
      </c>
    </row>
    <row r="236" spans="1:3" x14ac:dyDescent="0.25">
      <c r="A236" t="s">
        <v>23</v>
      </c>
      <c r="B236" t="s">
        <v>24</v>
      </c>
      <c r="C236">
        <v>3353</v>
      </c>
    </row>
    <row r="237" spans="1:3" x14ac:dyDescent="0.25">
      <c r="A237" t="s">
        <v>24</v>
      </c>
      <c r="B237" t="s">
        <v>21</v>
      </c>
      <c r="C237">
        <v>4677</v>
      </c>
    </row>
    <row r="238" spans="1:3" x14ac:dyDescent="0.25">
      <c r="A238" t="s">
        <v>21</v>
      </c>
      <c r="B238" t="s">
        <v>25</v>
      </c>
      <c r="C238">
        <v>2059</v>
      </c>
    </row>
    <row r="239" spans="1:3" x14ac:dyDescent="0.25">
      <c r="A239" t="s">
        <v>8</v>
      </c>
      <c r="B239" t="s">
        <v>29</v>
      </c>
      <c r="C239">
        <v>5537</v>
      </c>
    </row>
    <row r="240" spans="1:3" x14ac:dyDescent="0.25">
      <c r="A240" t="s">
        <v>29</v>
      </c>
      <c r="B240" t="s">
        <v>59</v>
      </c>
      <c r="C240">
        <v>2987</v>
      </c>
    </row>
    <row r="241" spans="1:3" x14ac:dyDescent="0.25">
      <c r="A241" t="s">
        <v>69</v>
      </c>
      <c r="B241" t="s">
        <v>67</v>
      </c>
      <c r="C241">
        <v>5570</v>
      </c>
    </row>
    <row r="242" spans="1:3" x14ac:dyDescent="0.25">
      <c r="A242" t="s">
        <v>67</v>
      </c>
      <c r="B242" t="s">
        <v>66</v>
      </c>
      <c r="C242">
        <v>3948</v>
      </c>
    </row>
    <row r="243" spans="1:3" x14ac:dyDescent="0.25">
      <c r="A243" t="s">
        <v>56</v>
      </c>
      <c r="B243" t="s">
        <v>59</v>
      </c>
      <c r="C243">
        <v>4201</v>
      </c>
    </row>
    <row r="244" spans="1:3" x14ac:dyDescent="0.25">
      <c r="A244" t="s">
        <v>59</v>
      </c>
      <c r="B244" t="s">
        <v>12</v>
      </c>
      <c r="C244">
        <v>3592</v>
      </c>
    </row>
    <row r="245" spans="1:3" x14ac:dyDescent="0.25">
      <c r="A245" t="s">
        <v>12</v>
      </c>
      <c r="B245" t="s">
        <v>41</v>
      </c>
      <c r="C245">
        <v>4543</v>
      </c>
    </row>
    <row r="246" spans="1:3" x14ac:dyDescent="0.25">
      <c r="A246" t="s">
        <v>12</v>
      </c>
      <c r="B246" t="s">
        <v>9</v>
      </c>
      <c r="C246">
        <v>1813</v>
      </c>
    </row>
    <row r="247" spans="1:3" x14ac:dyDescent="0.25">
      <c r="A247" t="s">
        <v>38</v>
      </c>
      <c r="B247" t="s">
        <v>49</v>
      </c>
      <c r="C247">
        <v>4567</v>
      </c>
    </row>
    <row r="248" spans="1:3" x14ac:dyDescent="0.25">
      <c r="A248" t="s">
        <v>49</v>
      </c>
      <c r="B248" t="s">
        <v>37</v>
      </c>
      <c r="C248">
        <v>1830</v>
      </c>
    </row>
    <row r="249" spans="1:3" x14ac:dyDescent="0.25">
      <c r="A249" t="s">
        <v>37</v>
      </c>
      <c r="B249" t="s">
        <v>57</v>
      </c>
      <c r="C249">
        <v>3678</v>
      </c>
    </row>
    <row r="250" spans="1:3" x14ac:dyDescent="0.25">
      <c r="A250" t="s">
        <v>17</v>
      </c>
      <c r="B250" t="s">
        <v>38</v>
      </c>
      <c r="C250">
        <v>1782</v>
      </c>
    </row>
    <row r="251" spans="1:3" x14ac:dyDescent="0.25">
      <c r="A251" t="s">
        <v>12</v>
      </c>
      <c r="B251" t="s">
        <v>6</v>
      </c>
      <c r="C251">
        <v>2966</v>
      </c>
    </row>
    <row r="252" spans="1:3" x14ac:dyDescent="0.25">
      <c r="A252" t="s">
        <v>32</v>
      </c>
      <c r="B252" t="s">
        <v>47</v>
      </c>
      <c r="C252">
        <v>4746</v>
      </c>
    </row>
    <row r="253" spans="1:3" x14ac:dyDescent="0.25">
      <c r="A253" t="s">
        <v>37</v>
      </c>
      <c r="B253" t="s">
        <v>18</v>
      </c>
      <c r="C253">
        <v>3161</v>
      </c>
    </row>
    <row r="254" spans="1:3" x14ac:dyDescent="0.25">
      <c r="A254" t="s">
        <v>60</v>
      </c>
      <c r="B254" t="s">
        <v>71</v>
      </c>
      <c r="C254">
        <v>3600</v>
      </c>
    </row>
    <row r="255" spans="1:3" x14ac:dyDescent="0.25">
      <c r="A255" t="s">
        <v>71</v>
      </c>
      <c r="B255" t="s">
        <v>10</v>
      </c>
      <c r="C255">
        <v>4093</v>
      </c>
    </row>
    <row r="256" spans="1:3" x14ac:dyDescent="0.25">
      <c r="A256" t="s">
        <v>10</v>
      </c>
      <c r="B256" t="s">
        <v>9</v>
      </c>
      <c r="C256">
        <v>1981</v>
      </c>
    </row>
    <row r="257" spans="1:3" x14ac:dyDescent="0.25">
      <c r="A257" t="s">
        <v>9</v>
      </c>
      <c r="B257" t="s">
        <v>6</v>
      </c>
      <c r="C257">
        <v>3154</v>
      </c>
    </row>
    <row r="258" spans="1:3" x14ac:dyDescent="0.25">
      <c r="A258" t="s">
        <v>8</v>
      </c>
      <c r="B258" t="s">
        <v>67</v>
      </c>
      <c r="C258">
        <v>4876</v>
      </c>
    </row>
    <row r="259" spans="1:3" x14ac:dyDescent="0.25">
      <c r="A259" t="s">
        <v>67</v>
      </c>
      <c r="B259" t="s">
        <v>66</v>
      </c>
      <c r="C259">
        <v>5153</v>
      </c>
    </row>
    <row r="260" spans="1:3" x14ac:dyDescent="0.25">
      <c r="A260" t="s">
        <v>66</v>
      </c>
      <c r="B260" t="s">
        <v>45</v>
      </c>
      <c r="C260">
        <v>1720</v>
      </c>
    </row>
    <row r="261" spans="1:3" x14ac:dyDescent="0.25">
      <c r="A261" t="s">
        <v>45</v>
      </c>
      <c r="B261" t="s">
        <v>44</v>
      </c>
      <c r="C261">
        <v>5392</v>
      </c>
    </row>
    <row r="262" spans="1:3" x14ac:dyDescent="0.25">
      <c r="A262" t="s">
        <v>70</v>
      </c>
      <c r="B262" t="s">
        <v>23</v>
      </c>
      <c r="C262">
        <v>1698</v>
      </c>
    </row>
    <row r="263" spans="1:3" x14ac:dyDescent="0.25">
      <c r="A263" t="s">
        <v>23</v>
      </c>
      <c r="B263" t="s">
        <v>21</v>
      </c>
      <c r="C263">
        <v>3411</v>
      </c>
    </row>
    <row r="264" spans="1:3" x14ac:dyDescent="0.25">
      <c r="A264" t="s">
        <v>21</v>
      </c>
      <c r="B264" t="s">
        <v>14</v>
      </c>
      <c r="C264">
        <v>5558</v>
      </c>
    </row>
    <row r="265" spans="1:3" x14ac:dyDescent="0.25">
      <c r="A265" t="s">
        <v>14</v>
      </c>
      <c r="B265" t="s">
        <v>40</v>
      </c>
      <c r="C265">
        <v>2592</v>
      </c>
    </row>
    <row r="266" spans="1:3" x14ac:dyDescent="0.25">
      <c r="A266" t="s">
        <v>40</v>
      </c>
      <c r="B266" t="s">
        <v>30</v>
      </c>
      <c r="C266">
        <v>5214</v>
      </c>
    </row>
    <row r="267" spans="1:3" x14ac:dyDescent="0.25">
      <c r="A267" t="s">
        <v>30</v>
      </c>
      <c r="B267" t="s">
        <v>40</v>
      </c>
      <c r="C267">
        <v>5491</v>
      </c>
    </row>
    <row r="268" spans="1:3" x14ac:dyDescent="0.25">
      <c r="A268" t="s">
        <v>16</v>
      </c>
      <c r="B268" t="s">
        <v>35</v>
      </c>
      <c r="C268">
        <v>4594</v>
      </c>
    </row>
    <row r="269" spans="1:3" x14ac:dyDescent="0.25">
      <c r="A269" t="s">
        <v>35</v>
      </c>
      <c r="B269" t="s">
        <v>37</v>
      </c>
      <c r="C269">
        <v>1047</v>
      </c>
    </row>
    <row r="270" spans="1:3" x14ac:dyDescent="0.25">
      <c r="A270" t="s">
        <v>15</v>
      </c>
      <c r="B270" t="s">
        <v>59</v>
      </c>
      <c r="C270">
        <v>5517</v>
      </c>
    </row>
    <row r="271" spans="1:3" x14ac:dyDescent="0.25">
      <c r="A271" t="s">
        <v>59</v>
      </c>
      <c r="B271" t="s">
        <v>12</v>
      </c>
      <c r="C271">
        <v>4155</v>
      </c>
    </row>
    <row r="272" spans="1:3" x14ac:dyDescent="0.25">
      <c r="A272" t="s">
        <v>61</v>
      </c>
      <c r="B272" t="s">
        <v>48</v>
      </c>
      <c r="C272">
        <v>2798</v>
      </c>
    </row>
    <row r="273" spans="1:3" x14ac:dyDescent="0.25">
      <c r="A273" t="s">
        <v>48</v>
      </c>
      <c r="B273" t="s">
        <v>61</v>
      </c>
      <c r="C273">
        <v>4217</v>
      </c>
    </row>
    <row r="274" spans="1:3" x14ac:dyDescent="0.25">
      <c r="A274" t="s">
        <v>61</v>
      </c>
      <c r="B274" t="s">
        <v>48</v>
      </c>
      <c r="C274">
        <v>4327</v>
      </c>
    </row>
    <row r="275" spans="1:3" x14ac:dyDescent="0.25">
      <c r="A275" t="s">
        <v>32</v>
      </c>
      <c r="B275" t="s">
        <v>38</v>
      </c>
      <c r="C275">
        <v>2555</v>
      </c>
    </row>
    <row r="276" spans="1:3" x14ac:dyDescent="0.25">
      <c r="A276" t="s">
        <v>38</v>
      </c>
      <c r="B276" t="s">
        <v>57</v>
      </c>
      <c r="C276">
        <v>5150</v>
      </c>
    </row>
    <row r="277" spans="1:3" x14ac:dyDescent="0.25">
      <c r="A277" t="s">
        <v>56</v>
      </c>
      <c r="B277" t="s">
        <v>47</v>
      </c>
      <c r="C277">
        <v>5697</v>
      </c>
    </row>
    <row r="278" spans="1:3" x14ac:dyDescent="0.25">
      <c r="A278" t="s">
        <v>47</v>
      </c>
      <c r="B278" t="s">
        <v>46</v>
      </c>
      <c r="C278">
        <v>3192</v>
      </c>
    </row>
    <row r="279" spans="1:3" x14ac:dyDescent="0.25">
      <c r="A279" t="s">
        <v>38</v>
      </c>
      <c r="B279" t="s">
        <v>59</v>
      </c>
      <c r="C279">
        <v>2781</v>
      </c>
    </row>
    <row r="280" spans="1:3" x14ac:dyDescent="0.25">
      <c r="A280" t="s">
        <v>59</v>
      </c>
      <c r="B280" t="s">
        <v>8</v>
      </c>
      <c r="C280">
        <v>1093</v>
      </c>
    </row>
    <row r="281" spans="1:3" x14ac:dyDescent="0.25">
      <c r="A281" t="s">
        <v>8</v>
      </c>
      <c r="B281" t="s">
        <v>20</v>
      </c>
      <c r="C281">
        <v>2291</v>
      </c>
    </row>
    <row r="282" spans="1:3" x14ac:dyDescent="0.25">
      <c r="A282" t="s">
        <v>15</v>
      </c>
      <c r="B282" t="s">
        <v>23</v>
      </c>
      <c r="C282">
        <v>2962</v>
      </c>
    </row>
    <row r="283" spans="1:3" x14ac:dyDescent="0.25">
      <c r="A283" t="s">
        <v>7</v>
      </c>
      <c r="B283" t="s">
        <v>8</v>
      </c>
      <c r="C283">
        <v>2939</v>
      </c>
    </row>
    <row r="284" spans="1:3" x14ac:dyDescent="0.25">
      <c r="A284" t="s">
        <v>8</v>
      </c>
      <c r="B284" t="s">
        <v>20</v>
      </c>
      <c r="C284">
        <v>4981</v>
      </c>
    </row>
    <row r="285" spans="1:3" x14ac:dyDescent="0.25">
      <c r="A285" t="s">
        <v>20</v>
      </c>
      <c r="B285" t="s">
        <v>60</v>
      </c>
      <c r="C285">
        <v>3436</v>
      </c>
    </row>
    <row r="286" spans="1:3" x14ac:dyDescent="0.25">
      <c r="A286" t="s">
        <v>60</v>
      </c>
      <c r="B286" t="s">
        <v>47</v>
      </c>
      <c r="C286">
        <v>2342</v>
      </c>
    </row>
    <row r="287" spans="1:3" x14ac:dyDescent="0.25">
      <c r="A287" t="s">
        <v>47</v>
      </c>
      <c r="B287" t="s">
        <v>54</v>
      </c>
      <c r="C287">
        <v>1981</v>
      </c>
    </row>
    <row r="288" spans="1:3" x14ac:dyDescent="0.25">
      <c r="A288" t="s">
        <v>54</v>
      </c>
      <c r="B288" t="s">
        <v>49</v>
      </c>
      <c r="C288">
        <v>5238</v>
      </c>
    </row>
    <row r="289" spans="1:3" x14ac:dyDescent="0.25">
      <c r="A289" t="s">
        <v>49</v>
      </c>
      <c r="B289" t="s">
        <v>37</v>
      </c>
      <c r="C289">
        <v>2823</v>
      </c>
    </row>
    <row r="290" spans="1:3" x14ac:dyDescent="0.25">
      <c r="A290" t="s">
        <v>37</v>
      </c>
      <c r="B290" t="s">
        <v>38</v>
      </c>
      <c r="C290">
        <v>1173</v>
      </c>
    </row>
    <row r="291" spans="1:3" x14ac:dyDescent="0.25">
      <c r="A291" t="s">
        <v>38</v>
      </c>
      <c r="B291" t="s">
        <v>39</v>
      </c>
      <c r="C291">
        <v>1465</v>
      </c>
    </row>
    <row r="292" spans="1:3" x14ac:dyDescent="0.25">
      <c r="A292" t="s">
        <v>39</v>
      </c>
      <c r="B292" t="s">
        <v>18</v>
      </c>
      <c r="C292">
        <v>1572</v>
      </c>
    </row>
    <row r="293" spans="1:3" x14ac:dyDescent="0.25">
      <c r="A293" t="s">
        <v>18</v>
      </c>
      <c r="B293" t="s">
        <v>39</v>
      </c>
      <c r="C293">
        <v>4084</v>
      </c>
    </row>
    <row r="294" spans="1:3" x14ac:dyDescent="0.25">
      <c r="A294" t="s">
        <v>15</v>
      </c>
      <c r="B294" t="s">
        <v>23</v>
      </c>
      <c r="C294">
        <v>4635</v>
      </c>
    </row>
    <row r="295" spans="1:3" x14ac:dyDescent="0.25">
      <c r="A295" t="s">
        <v>30</v>
      </c>
      <c r="B295" t="s">
        <v>72</v>
      </c>
      <c r="C295">
        <v>3705</v>
      </c>
    </row>
    <row r="296" spans="1:3" x14ac:dyDescent="0.25">
      <c r="A296" t="s">
        <v>6</v>
      </c>
      <c r="B296" t="s">
        <v>38</v>
      </c>
      <c r="C296">
        <v>5624</v>
      </c>
    </row>
    <row r="297" spans="1:3" x14ac:dyDescent="0.25">
      <c r="A297" t="s">
        <v>38</v>
      </c>
      <c r="B297" t="s">
        <v>37</v>
      </c>
      <c r="C297">
        <v>4157</v>
      </c>
    </row>
    <row r="298" spans="1:3" x14ac:dyDescent="0.25">
      <c r="A298" t="s">
        <v>37</v>
      </c>
      <c r="B298" t="s">
        <v>43</v>
      </c>
      <c r="C298">
        <v>3021</v>
      </c>
    </row>
    <row r="299" spans="1:3" x14ac:dyDescent="0.25">
      <c r="A299" t="s">
        <v>43</v>
      </c>
      <c r="B299" t="s">
        <v>52</v>
      </c>
      <c r="C299">
        <v>3573</v>
      </c>
    </row>
    <row r="300" spans="1:3" x14ac:dyDescent="0.25">
      <c r="A300" t="s">
        <v>52</v>
      </c>
      <c r="B300" t="s">
        <v>15</v>
      </c>
      <c r="C300">
        <v>4748</v>
      </c>
    </row>
    <row r="301" spans="1:3" x14ac:dyDescent="0.25">
      <c r="A301" t="s">
        <v>12</v>
      </c>
      <c r="B301" t="s">
        <v>6</v>
      </c>
      <c r="C301">
        <v>2293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F6C26-BDA5-4576-8B9E-109F73C0DC2B}">
  <dimension ref="A1:M301"/>
  <sheetViews>
    <sheetView topLeftCell="A15" workbookViewId="0">
      <selection activeCell="E25" sqref="E25"/>
    </sheetView>
  </sheetViews>
  <sheetFormatPr defaultRowHeight="15" x14ac:dyDescent="0.25"/>
  <cols>
    <col min="1" max="1" width="10.140625" bestFit="1" customWidth="1"/>
    <col min="2" max="3" width="20" bestFit="1" customWidth="1"/>
    <col min="9" max="9" width="17.7109375" bestFit="1" customWidth="1"/>
    <col min="10" max="10" width="16" bestFit="1" customWidth="1"/>
    <col min="12" max="12" width="20" bestFit="1" customWidth="1"/>
    <col min="13" max="13" width="10.140625" bestFit="1" customWidth="1"/>
  </cols>
  <sheetData>
    <row r="1" spans="1:13" x14ac:dyDescent="0.25">
      <c r="A1" t="s">
        <v>0</v>
      </c>
      <c r="B1" t="s">
        <v>1</v>
      </c>
      <c r="C1" t="s">
        <v>2</v>
      </c>
    </row>
    <row r="2" spans="1:13" x14ac:dyDescent="0.25">
      <c r="A2" s="1">
        <v>42737</v>
      </c>
      <c r="B2" t="s">
        <v>6</v>
      </c>
      <c r="C2" t="s">
        <v>7</v>
      </c>
    </row>
    <row r="3" spans="1:13" x14ac:dyDescent="0.25">
      <c r="A3" s="1">
        <v>42738</v>
      </c>
      <c r="B3" t="s">
        <v>7</v>
      </c>
      <c r="C3" t="s">
        <v>8</v>
      </c>
    </row>
    <row r="4" spans="1:13" x14ac:dyDescent="0.25">
      <c r="A4" s="1">
        <v>42739</v>
      </c>
      <c r="B4" t="s">
        <v>8</v>
      </c>
      <c r="C4" t="s">
        <v>9</v>
      </c>
    </row>
    <row r="5" spans="1:13" x14ac:dyDescent="0.25">
      <c r="A5" s="1">
        <v>42740</v>
      </c>
      <c r="B5" t="s">
        <v>9</v>
      </c>
      <c r="C5" t="s">
        <v>10</v>
      </c>
    </row>
    <row r="6" spans="1:13" x14ac:dyDescent="0.25">
      <c r="A6" s="1">
        <v>42742</v>
      </c>
      <c r="B6" t="s">
        <v>11</v>
      </c>
      <c r="C6" t="s">
        <v>12</v>
      </c>
    </row>
    <row r="7" spans="1:13" x14ac:dyDescent="0.25">
      <c r="A7" s="1">
        <v>42743</v>
      </c>
      <c r="B7" t="s">
        <v>12</v>
      </c>
      <c r="C7" t="s">
        <v>11</v>
      </c>
      <c r="I7" s="2" t="s">
        <v>75</v>
      </c>
      <c r="J7" t="s">
        <v>79</v>
      </c>
      <c r="L7" t="s">
        <v>80</v>
      </c>
      <c r="M7" t="s">
        <v>81</v>
      </c>
    </row>
    <row r="8" spans="1:13" x14ac:dyDescent="0.25">
      <c r="A8" s="1">
        <v>42744</v>
      </c>
      <c r="B8" t="s">
        <v>11</v>
      </c>
      <c r="C8" t="s">
        <v>13</v>
      </c>
      <c r="I8" s="3" t="s">
        <v>38</v>
      </c>
      <c r="J8" s="4">
        <v>9</v>
      </c>
      <c r="L8" s="3" t="s">
        <v>59</v>
      </c>
      <c r="M8" s="4">
        <v>11</v>
      </c>
    </row>
    <row r="9" spans="1:13" x14ac:dyDescent="0.25">
      <c r="A9" s="1">
        <v>42745</v>
      </c>
      <c r="B9" t="s">
        <v>13</v>
      </c>
      <c r="C9" t="s">
        <v>9</v>
      </c>
      <c r="I9" s="3" t="s">
        <v>12</v>
      </c>
      <c r="J9" s="4">
        <v>8</v>
      </c>
      <c r="L9" s="3" t="s">
        <v>23</v>
      </c>
      <c r="M9" s="4">
        <v>10</v>
      </c>
    </row>
    <row r="10" spans="1:13" x14ac:dyDescent="0.25">
      <c r="A10" s="1">
        <v>42746</v>
      </c>
      <c r="B10" t="s">
        <v>9</v>
      </c>
      <c r="C10" t="s">
        <v>10</v>
      </c>
      <c r="I10" s="3" t="s">
        <v>47</v>
      </c>
      <c r="J10" s="4">
        <v>8</v>
      </c>
      <c r="L10" s="3" t="s">
        <v>38</v>
      </c>
      <c r="M10" s="4">
        <v>9</v>
      </c>
    </row>
    <row r="11" spans="1:13" x14ac:dyDescent="0.25">
      <c r="A11" s="1">
        <v>42747</v>
      </c>
      <c r="B11" t="s">
        <v>14</v>
      </c>
      <c r="C11" t="s">
        <v>15</v>
      </c>
      <c r="I11" s="3" t="s">
        <v>20</v>
      </c>
      <c r="J11" s="4">
        <v>9</v>
      </c>
      <c r="L11" s="3" t="s">
        <v>20</v>
      </c>
      <c r="M11" s="4">
        <v>9</v>
      </c>
    </row>
    <row r="12" spans="1:13" x14ac:dyDescent="0.25">
      <c r="A12" s="1">
        <v>42749</v>
      </c>
      <c r="B12" t="s">
        <v>16</v>
      </c>
      <c r="C12" t="s">
        <v>17</v>
      </c>
      <c r="I12" s="3" t="s">
        <v>25</v>
      </c>
      <c r="J12" s="4">
        <v>8</v>
      </c>
      <c r="L12" s="3" t="s">
        <v>12</v>
      </c>
      <c r="M12" s="4">
        <v>8</v>
      </c>
    </row>
    <row r="13" spans="1:13" x14ac:dyDescent="0.25">
      <c r="A13" s="1">
        <v>42750</v>
      </c>
      <c r="B13" t="s">
        <v>17</v>
      </c>
      <c r="C13" t="s">
        <v>18</v>
      </c>
      <c r="I13" s="3" t="s">
        <v>37</v>
      </c>
      <c r="J13" s="4">
        <v>8</v>
      </c>
      <c r="L13" s="3" t="s">
        <v>47</v>
      </c>
      <c r="M13" s="4">
        <v>8</v>
      </c>
    </row>
    <row r="14" spans="1:13" x14ac:dyDescent="0.25">
      <c r="A14" s="1">
        <v>42751</v>
      </c>
      <c r="B14" t="s">
        <v>19</v>
      </c>
      <c r="C14" t="s">
        <v>20</v>
      </c>
      <c r="I14" s="3" t="s">
        <v>21</v>
      </c>
      <c r="J14" s="4">
        <v>8</v>
      </c>
      <c r="L14" s="3" t="s">
        <v>25</v>
      </c>
      <c r="M14" s="4">
        <v>8</v>
      </c>
    </row>
    <row r="15" spans="1:13" x14ac:dyDescent="0.25">
      <c r="A15" s="1">
        <v>42752</v>
      </c>
      <c r="B15" t="s">
        <v>20</v>
      </c>
      <c r="C15" t="s">
        <v>7</v>
      </c>
      <c r="I15" s="3" t="s">
        <v>14</v>
      </c>
      <c r="J15" s="4">
        <v>8</v>
      </c>
      <c r="L15" s="3" t="s">
        <v>37</v>
      </c>
      <c r="M15" s="4">
        <v>8</v>
      </c>
    </row>
    <row r="16" spans="1:13" x14ac:dyDescent="0.25">
      <c r="A16" s="1">
        <v>42755</v>
      </c>
      <c r="B16" t="s">
        <v>13</v>
      </c>
      <c r="C16" t="s">
        <v>9</v>
      </c>
      <c r="I16" s="3" t="s">
        <v>23</v>
      </c>
      <c r="J16" s="4">
        <v>10</v>
      </c>
      <c r="L16" s="3" t="s">
        <v>21</v>
      </c>
      <c r="M16" s="4">
        <v>8</v>
      </c>
    </row>
    <row r="17" spans="1:13" x14ac:dyDescent="0.25">
      <c r="A17" s="1">
        <v>42756</v>
      </c>
      <c r="B17" t="s">
        <v>9</v>
      </c>
      <c r="C17" t="s">
        <v>6</v>
      </c>
      <c r="I17" s="3" t="s">
        <v>59</v>
      </c>
      <c r="J17" s="4">
        <v>11</v>
      </c>
      <c r="L17" s="3" t="s">
        <v>14</v>
      </c>
      <c r="M17" s="4">
        <v>8</v>
      </c>
    </row>
    <row r="18" spans="1:13" x14ac:dyDescent="0.25">
      <c r="A18" s="1">
        <v>42757</v>
      </c>
      <c r="B18" t="s">
        <v>6</v>
      </c>
      <c r="C18" t="s">
        <v>12</v>
      </c>
      <c r="I18" s="3" t="s">
        <v>48</v>
      </c>
      <c r="J18" s="4">
        <v>8</v>
      </c>
      <c r="L18" s="3" t="s">
        <v>48</v>
      </c>
      <c r="M18" s="4">
        <v>8</v>
      </c>
    </row>
    <row r="19" spans="1:13" x14ac:dyDescent="0.25">
      <c r="A19" s="1">
        <v>42758</v>
      </c>
      <c r="B19" t="s">
        <v>12</v>
      </c>
      <c r="C19" t="s">
        <v>6</v>
      </c>
      <c r="I19" s="3" t="s">
        <v>76</v>
      </c>
      <c r="J19" s="4">
        <v>95</v>
      </c>
    </row>
    <row r="20" spans="1:13" x14ac:dyDescent="0.25">
      <c r="A20" s="1">
        <v>42759</v>
      </c>
      <c r="B20" t="s">
        <v>6</v>
      </c>
      <c r="C20" t="s">
        <v>11</v>
      </c>
    </row>
    <row r="21" spans="1:13" x14ac:dyDescent="0.25">
      <c r="A21" s="1">
        <v>42760</v>
      </c>
      <c r="B21" t="s">
        <v>11</v>
      </c>
      <c r="C21" t="s">
        <v>12</v>
      </c>
    </row>
    <row r="22" spans="1:13" x14ac:dyDescent="0.25">
      <c r="A22" s="1">
        <v>42761</v>
      </c>
      <c r="B22" t="s">
        <v>12</v>
      </c>
      <c r="C22" t="s">
        <v>6</v>
      </c>
    </row>
    <row r="23" spans="1:13" x14ac:dyDescent="0.25">
      <c r="A23" s="1">
        <v>42762</v>
      </c>
      <c r="B23" t="s">
        <v>6</v>
      </c>
      <c r="C23" t="s">
        <v>7</v>
      </c>
    </row>
    <row r="24" spans="1:13" x14ac:dyDescent="0.25">
      <c r="A24" s="1">
        <v>42763</v>
      </c>
      <c r="B24" t="s">
        <v>7</v>
      </c>
      <c r="C24" t="s">
        <v>21</v>
      </c>
    </row>
    <row r="25" spans="1:13" x14ac:dyDescent="0.25">
      <c r="A25" s="1">
        <v>42764</v>
      </c>
      <c r="B25" t="s">
        <v>22</v>
      </c>
      <c r="C25" t="s">
        <v>23</v>
      </c>
    </row>
    <row r="26" spans="1:13" x14ac:dyDescent="0.25">
      <c r="A26" s="1">
        <v>42765</v>
      </c>
      <c r="B26" t="s">
        <v>23</v>
      </c>
      <c r="C26" t="s">
        <v>24</v>
      </c>
    </row>
    <row r="27" spans="1:13" x14ac:dyDescent="0.25">
      <c r="A27" s="1">
        <v>42766</v>
      </c>
      <c r="B27" t="s">
        <v>24</v>
      </c>
      <c r="C27" t="s">
        <v>23</v>
      </c>
    </row>
    <row r="28" spans="1:13" x14ac:dyDescent="0.25">
      <c r="A28" s="1">
        <v>42767</v>
      </c>
      <c r="B28" t="s">
        <v>23</v>
      </c>
      <c r="C28" t="s">
        <v>25</v>
      </c>
    </row>
    <row r="29" spans="1:13" x14ac:dyDescent="0.25">
      <c r="A29" s="1">
        <v>42768</v>
      </c>
      <c r="B29" t="s">
        <v>25</v>
      </c>
      <c r="C29" t="s">
        <v>22</v>
      </c>
    </row>
    <row r="30" spans="1:13" x14ac:dyDescent="0.25">
      <c r="A30" s="1">
        <v>42769</v>
      </c>
      <c r="B30" t="s">
        <v>22</v>
      </c>
      <c r="C30" t="s">
        <v>26</v>
      </c>
    </row>
    <row r="31" spans="1:13" x14ac:dyDescent="0.25">
      <c r="A31" s="1">
        <v>42770</v>
      </c>
      <c r="B31" t="s">
        <v>26</v>
      </c>
      <c r="C31" t="s">
        <v>21</v>
      </c>
    </row>
    <row r="32" spans="1:13" x14ac:dyDescent="0.25">
      <c r="A32" s="1">
        <v>42771</v>
      </c>
      <c r="B32" t="s">
        <v>21</v>
      </c>
      <c r="C32" t="s">
        <v>14</v>
      </c>
    </row>
    <row r="33" spans="1:3" x14ac:dyDescent="0.25">
      <c r="A33" s="1">
        <v>42772</v>
      </c>
      <c r="B33" t="s">
        <v>27</v>
      </c>
      <c r="C33" t="s">
        <v>28</v>
      </c>
    </row>
    <row r="34" spans="1:3" x14ac:dyDescent="0.25">
      <c r="A34" s="1">
        <v>42773</v>
      </c>
      <c r="B34" t="s">
        <v>28</v>
      </c>
      <c r="C34" t="s">
        <v>29</v>
      </c>
    </row>
    <row r="35" spans="1:3" x14ac:dyDescent="0.25">
      <c r="A35" s="1">
        <v>42774</v>
      </c>
      <c r="B35" t="s">
        <v>29</v>
      </c>
      <c r="C35" t="s">
        <v>20</v>
      </c>
    </row>
    <row r="36" spans="1:3" x14ac:dyDescent="0.25">
      <c r="A36" s="1">
        <v>42775</v>
      </c>
      <c r="B36" t="s">
        <v>30</v>
      </c>
      <c r="C36" t="s">
        <v>7</v>
      </c>
    </row>
    <row r="37" spans="1:3" x14ac:dyDescent="0.25">
      <c r="A37" s="1">
        <v>42776</v>
      </c>
      <c r="B37" t="s">
        <v>7</v>
      </c>
      <c r="C37" t="s">
        <v>21</v>
      </c>
    </row>
    <row r="38" spans="1:3" x14ac:dyDescent="0.25">
      <c r="A38" s="1">
        <v>42777</v>
      </c>
      <c r="B38" t="s">
        <v>21</v>
      </c>
      <c r="C38" t="s">
        <v>31</v>
      </c>
    </row>
    <row r="39" spans="1:3" x14ac:dyDescent="0.25">
      <c r="A39" s="1">
        <v>42778</v>
      </c>
      <c r="B39" t="s">
        <v>31</v>
      </c>
      <c r="C39" t="s">
        <v>21</v>
      </c>
    </row>
    <row r="40" spans="1:3" x14ac:dyDescent="0.25">
      <c r="A40" s="1">
        <v>42779</v>
      </c>
      <c r="B40" t="s">
        <v>21</v>
      </c>
      <c r="C40" t="s">
        <v>32</v>
      </c>
    </row>
    <row r="41" spans="1:3" x14ac:dyDescent="0.25">
      <c r="A41" s="1">
        <v>42780</v>
      </c>
      <c r="B41" t="s">
        <v>11</v>
      </c>
      <c r="C41" t="s">
        <v>33</v>
      </c>
    </row>
    <row r="42" spans="1:3" x14ac:dyDescent="0.25">
      <c r="A42" s="1">
        <v>42782</v>
      </c>
      <c r="B42" t="s">
        <v>31</v>
      </c>
      <c r="C42" t="s">
        <v>24</v>
      </c>
    </row>
    <row r="43" spans="1:3" x14ac:dyDescent="0.25">
      <c r="A43" s="1">
        <v>42783</v>
      </c>
      <c r="B43" t="s">
        <v>24</v>
      </c>
      <c r="C43" t="s">
        <v>23</v>
      </c>
    </row>
    <row r="44" spans="1:3" x14ac:dyDescent="0.25">
      <c r="A44" s="1">
        <v>42785</v>
      </c>
      <c r="B44" t="s">
        <v>21</v>
      </c>
      <c r="C44" t="s">
        <v>7</v>
      </c>
    </row>
    <row r="45" spans="1:3" x14ac:dyDescent="0.25">
      <c r="A45" s="1">
        <v>42788</v>
      </c>
      <c r="B45" t="s">
        <v>17</v>
      </c>
      <c r="C45" t="s">
        <v>34</v>
      </c>
    </row>
    <row r="46" spans="1:3" x14ac:dyDescent="0.25">
      <c r="A46" s="1">
        <v>42789</v>
      </c>
      <c r="B46" t="s">
        <v>18</v>
      </c>
      <c r="C46" t="s">
        <v>29</v>
      </c>
    </row>
    <row r="47" spans="1:3" x14ac:dyDescent="0.25">
      <c r="A47" s="1">
        <v>42791</v>
      </c>
      <c r="B47" t="s">
        <v>8</v>
      </c>
      <c r="C47" t="s">
        <v>7</v>
      </c>
    </row>
    <row r="48" spans="1:3" x14ac:dyDescent="0.25">
      <c r="A48" s="1">
        <v>42793</v>
      </c>
      <c r="B48" t="s">
        <v>35</v>
      </c>
      <c r="C48" t="s">
        <v>27</v>
      </c>
    </row>
    <row r="49" spans="1:3" x14ac:dyDescent="0.25">
      <c r="A49" s="1">
        <v>42794</v>
      </c>
      <c r="B49" t="s">
        <v>36</v>
      </c>
      <c r="C49" t="s">
        <v>12</v>
      </c>
    </row>
    <row r="50" spans="1:3" x14ac:dyDescent="0.25">
      <c r="A50" s="1">
        <v>42795</v>
      </c>
      <c r="B50" t="s">
        <v>35</v>
      </c>
      <c r="C50" t="s">
        <v>37</v>
      </c>
    </row>
    <row r="51" spans="1:3" x14ac:dyDescent="0.25">
      <c r="A51" s="1">
        <v>42796</v>
      </c>
      <c r="B51" t="s">
        <v>37</v>
      </c>
      <c r="C51" t="s">
        <v>38</v>
      </c>
    </row>
    <row r="52" spans="1:3" x14ac:dyDescent="0.25">
      <c r="A52" s="1">
        <v>42797</v>
      </c>
      <c r="B52" t="s">
        <v>38</v>
      </c>
      <c r="C52" t="s">
        <v>39</v>
      </c>
    </row>
    <row r="53" spans="1:3" x14ac:dyDescent="0.25">
      <c r="A53" s="1">
        <v>42798</v>
      </c>
      <c r="B53" t="s">
        <v>29</v>
      </c>
      <c r="C53" t="s">
        <v>14</v>
      </c>
    </row>
    <row r="54" spans="1:3" x14ac:dyDescent="0.25">
      <c r="A54" s="1">
        <v>42802</v>
      </c>
      <c r="B54" t="s">
        <v>29</v>
      </c>
      <c r="C54" t="s">
        <v>20</v>
      </c>
    </row>
    <row r="55" spans="1:3" x14ac:dyDescent="0.25">
      <c r="A55" s="1">
        <v>42803</v>
      </c>
      <c r="B55" t="s">
        <v>20</v>
      </c>
      <c r="C55" t="s">
        <v>40</v>
      </c>
    </row>
    <row r="56" spans="1:3" x14ac:dyDescent="0.25">
      <c r="A56" s="1">
        <v>42804</v>
      </c>
      <c r="B56" t="s">
        <v>40</v>
      </c>
      <c r="C56" t="s">
        <v>41</v>
      </c>
    </row>
    <row r="57" spans="1:3" x14ac:dyDescent="0.25">
      <c r="A57" s="1">
        <v>42805</v>
      </c>
      <c r="B57" t="s">
        <v>41</v>
      </c>
      <c r="C57" t="s">
        <v>16</v>
      </c>
    </row>
    <row r="58" spans="1:3" x14ac:dyDescent="0.25">
      <c r="A58" s="1">
        <v>42806</v>
      </c>
      <c r="B58" t="s">
        <v>16</v>
      </c>
      <c r="C58" t="s">
        <v>42</v>
      </c>
    </row>
    <row r="59" spans="1:3" x14ac:dyDescent="0.25">
      <c r="A59" s="1">
        <v>42807</v>
      </c>
      <c r="B59" t="s">
        <v>26</v>
      </c>
      <c r="C59" t="s">
        <v>43</v>
      </c>
    </row>
    <row r="60" spans="1:3" x14ac:dyDescent="0.25">
      <c r="A60" s="1">
        <v>42810</v>
      </c>
      <c r="B60" t="s">
        <v>15</v>
      </c>
      <c r="C60" t="s">
        <v>25</v>
      </c>
    </row>
    <row r="61" spans="1:3" x14ac:dyDescent="0.25">
      <c r="A61" s="1">
        <v>42812</v>
      </c>
      <c r="B61" t="s">
        <v>44</v>
      </c>
      <c r="C61" t="s">
        <v>45</v>
      </c>
    </row>
    <row r="62" spans="1:3" x14ac:dyDescent="0.25">
      <c r="A62" s="1">
        <v>42813</v>
      </c>
      <c r="B62" t="s">
        <v>45</v>
      </c>
      <c r="C62" t="s">
        <v>46</v>
      </c>
    </row>
    <row r="63" spans="1:3" x14ac:dyDescent="0.25">
      <c r="A63" s="1">
        <v>42814</v>
      </c>
      <c r="B63" t="s">
        <v>46</v>
      </c>
      <c r="C63" t="s">
        <v>47</v>
      </c>
    </row>
    <row r="64" spans="1:3" x14ac:dyDescent="0.25">
      <c r="A64" s="1">
        <v>42815</v>
      </c>
      <c r="B64" t="s">
        <v>34</v>
      </c>
      <c r="C64" t="s">
        <v>46</v>
      </c>
    </row>
    <row r="65" spans="1:3" x14ac:dyDescent="0.25">
      <c r="A65" s="1">
        <v>42816</v>
      </c>
      <c r="B65" t="s">
        <v>46</v>
      </c>
      <c r="C65" t="s">
        <v>19</v>
      </c>
    </row>
    <row r="66" spans="1:3" x14ac:dyDescent="0.25">
      <c r="A66" s="1">
        <v>42817</v>
      </c>
      <c r="B66" t="s">
        <v>19</v>
      </c>
      <c r="C66" t="s">
        <v>16</v>
      </c>
    </row>
    <row r="67" spans="1:3" x14ac:dyDescent="0.25">
      <c r="A67" s="1">
        <v>42818</v>
      </c>
      <c r="B67" t="s">
        <v>16</v>
      </c>
      <c r="C67" t="s">
        <v>41</v>
      </c>
    </row>
    <row r="68" spans="1:3" x14ac:dyDescent="0.25">
      <c r="A68" s="1">
        <v>42820</v>
      </c>
      <c r="B68" t="s">
        <v>17</v>
      </c>
      <c r="C68" t="s">
        <v>18</v>
      </c>
    </row>
    <row r="69" spans="1:3" x14ac:dyDescent="0.25">
      <c r="A69" s="1">
        <v>42821</v>
      </c>
      <c r="B69" t="s">
        <v>15</v>
      </c>
      <c r="C69" t="s">
        <v>26</v>
      </c>
    </row>
    <row r="70" spans="1:3" x14ac:dyDescent="0.25">
      <c r="A70" s="1">
        <v>42822</v>
      </c>
      <c r="B70" t="s">
        <v>26</v>
      </c>
      <c r="C70" t="s">
        <v>48</v>
      </c>
    </row>
    <row r="71" spans="1:3" x14ac:dyDescent="0.25">
      <c r="A71" s="1">
        <v>42823</v>
      </c>
      <c r="B71" t="s">
        <v>48</v>
      </c>
      <c r="C71" t="s">
        <v>14</v>
      </c>
    </row>
    <row r="72" spans="1:3" x14ac:dyDescent="0.25">
      <c r="A72" s="1">
        <v>42824</v>
      </c>
      <c r="B72" t="s">
        <v>14</v>
      </c>
      <c r="C72" t="s">
        <v>40</v>
      </c>
    </row>
    <row r="73" spans="1:3" x14ac:dyDescent="0.25">
      <c r="A73" s="1">
        <v>42825</v>
      </c>
      <c r="B73" t="s">
        <v>40</v>
      </c>
      <c r="C73" t="s">
        <v>41</v>
      </c>
    </row>
    <row r="74" spans="1:3" x14ac:dyDescent="0.25">
      <c r="A74" s="1">
        <v>42827</v>
      </c>
      <c r="B74" t="s">
        <v>33</v>
      </c>
      <c r="C74" t="s">
        <v>38</v>
      </c>
    </row>
    <row r="75" spans="1:3" x14ac:dyDescent="0.25">
      <c r="A75" s="1">
        <v>42828</v>
      </c>
      <c r="B75" t="s">
        <v>38</v>
      </c>
      <c r="C75" t="s">
        <v>33</v>
      </c>
    </row>
    <row r="76" spans="1:3" x14ac:dyDescent="0.25">
      <c r="A76" s="1">
        <v>42829</v>
      </c>
      <c r="B76" t="s">
        <v>33</v>
      </c>
      <c r="C76" t="s">
        <v>38</v>
      </c>
    </row>
    <row r="77" spans="1:3" x14ac:dyDescent="0.25">
      <c r="A77" s="1">
        <v>42830</v>
      </c>
      <c r="B77" t="s">
        <v>38</v>
      </c>
      <c r="C77" t="s">
        <v>33</v>
      </c>
    </row>
    <row r="78" spans="1:3" x14ac:dyDescent="0.25">
      <c r="A78" s="1">
        <v>42831</v>
      </c>
      <c r="B78" t="s">
        <v>33</v>
      </c>
      <c r="C78" t="s">
        <v>49</v>
      </c>
    </row>
    <row r="79" spans="1:3" x14ac:dyDescent="0.25">
      <c r="A79" s="1">
        <v>42832</v>
      </c>
      <c r="B79" t="s">
        <v>50</v>
      </c>
      <c r="C79" t="s">
        <v>45</v>
      </c>
    </row>
    <row r="80" spans="1:3" x14ac:dyDescent="0.25">
      <c r="A80" s="1">
        <v>42833</v>
      </c>
      <c r="B80" t="s">
        <v>45</v>
      </c>
      <c r="C80" t="s">
        <v>44</v>
      </c>
    </row>
    <row r="81" spans="1:3" x14ac:dyDescent="0.25">
      <c r="A81" s="1">
        <v>42834</v>
      </c>
      <c r="B81" t="s">
        <v>51</v>
      </c>
      <c r="C81" t="s">
        <v>44</v>
      </c>
    </row>
    <row r="82" spans="1:3" x14ac:dyDescent="0.25">
      <c r="A82" s="1">
        <v>42835</v>
      </c>
      <c r="B82" t="s">
        <v>20</v>
      </c>
      <c r="C82" t="s">
        <v>43</v>
      </c>
    </row>
    <row r="83" spans="1:3" x14ac:dyDescent="0.25">
      <c r="A83" s="1">
        <v>42836</v>
      </c>
      <c r="B83" t="s">
        <v>27</v>
      </c>
      <c r="C83" t="s">
        <v>25</v>
      </c>
    </row>
    <row r="84" spans="1:3" x14ac:dyDescent="0.25">
      <c r="A84" s="1">
        <v>42837</v>
      </c>
      <c r="B84" t="s">
        <v>25</v>
      </c>
      <c r="C84" t="s">
        <v>23</v>
      </c>
    </row>
    <row r="85" spans="1:3" x14ac:dyDescent="0.25">
      <c r="A85" s="1">
        <v>42839</v>
      </c>
      <c r="B85" t="s">
        <v>52</v>
      </c>
      <c r="C85" t="s">
        <v>53</v>
      </c>
    </row>
    <row r="86" spans="1:3" x14ac:dyDescent="0.25">
      <c r="A86" s="1">
        <v>42840</v>
      </c>
      <c r="B86" t="s">
        <v>9</v>
      </c>
      <c r="C86" t="s">
        <v>54</v>
      </c>
    </row>
    <row r="87" spans="1:3" x14ac:dyDescent="0.25">
      <c r="A87" s="1">
        <v>42841</v>
      </c>
      <c r="B87" t="s">
        <v>54</v>
      </c>
      <c r="C87" t="s">
        <v>47</v>
      </c>
    </row>
    <row r="88" spans="1:3" x14ac:dyDescent="0.25">
      <c r="A88" s="1">
        <v>42842</v>
      </c>
      <c r="B88" t="s">
        <v>47</v>
      </c>
      <c r="C88" t="s">
        <v>54</v>
      </c>
    </row>
    <row r="89" spans="1:3" x14ac:dyDescent="0.25">
      <c r="A89" s="1">
        <v>42844</v>
      </c>
      <c r="B89" t="s">
        <v>44</v>
      </c>
      <c r="C89" t="s">
        <v>55</v>
      </c>
    </row>
    <row r="90" spans="1:3" x14ac:dyDescent="0.25">
      <c r="A90" s="1">
        <v>42846</v>
      </c>
      <c r="B90" t="s">
        <v>56</v>
      </c>
      <c r="C90" t="s">
        <v>45</v>
      </c>
    </row>
    <row r="91" spans="1:3" x14ac:dyDescent="0.25">
      <c r="A91" s="1">
        <v>42847</v>
      </c>
      <c r="B91" t="s">
        <v>45</v>
      </c>
      <c r="C91" t="s">
        <v>44</v>
      </c>
    </row>
    <row r="92" spans="1:3" x14ac:dyDescent="0.25">
      <c r="A92" s="1">
        <v>42849</v>
      </c>
      <c r="B92" t="s">
        <v>43</v>
      </c>
      <c r="C92" t="s">
        <v>37</v>
      </c>
    </row>
    <row r="93" spans="1:3" x14ac:dyDescent="0.25">
      <c r="A93" s="1">
        <v>42851</v>
      </c>
      <c r="B93" t="s">
        <v>23</v>
      </c>
      <c r="C93" t="s">
        <v>42</v>
      </c>
    </row>
    <row r="94" spans="1:3" x14ac:dyDescent="0.25">
      <c r="A94" s="1">
        <v>42853</v>
      </c>
      <c r="B94" t="s">
        <v>56</v>
      </c>
      <c r="C94" t="s">
        <v>50</v>
      </c>
    </row>
    <row r="95" spans="1:3" x14ac:dyDescent="0.25">
      <c r="A95" s="1">
        <v>42854</v>
      </c>
      <c r="B95" t="s">
        <v>50</v>
      </c>
      <c r="C95" t="s">
        <v>17</v>
      </c>
    </row>
    <row r="96" spans="1:3" x14ac:dyDescent="0.25">
      <c r="A96" s="1">
        <v>42855</v>
      </c>
      <c r="B96" t="s">
        <v>57</v>
      </c>
      <c r="C96" t="s">
        <v>32</v>
      </c>
    </row>
    <row r="97" spans="1:3" x14ac:dyDescent="0.25">
      <c r="A97" s="1">
        <v>42856</v>
      </c>
      <c r="B97" t="s">
        <v>52</v>
      </c>
      <c r="C97" t="s">
        <v>58</v>
      </c>
    </row>
    <row r="98" spans="1:3" x14ac:dyDescent="0.25">
      <c r="A98" s="1">
        <v>42857</v>
      </c>
      <c r="B98" t="s">
        <v>58</v>
      </c>
      <c r="C98" t="s">
        <v>23</v>
      </c>
    </row>
    <row r="99" spans="1:3" x14ac:dyDescent="0.25">
      <c r="A99" s="1">
        <v>42860</v>
      </c>
      <c r="B99" t="s">
        <v>19</v>
      </c>
      <c r="C99" t="s">
        <v>29</v>
      </c>
    </row>
    <row r="100" spans="1:3" x14ac:dyDescent="0.25">
      <c r="A100" s="1">
        <v>42861</v>
      </c>
      <c r="B100" t="s">
        <v>29</v>
      </c>
      <c r="C100" t="s">
        <v>19</v>
      </c>
    </row>
    <row r="101" spans="1:3" x14ac:dyDescent="0.25">
      <c r="A101" s="1">
        <v>42862</v>
      </c>
      <c r="B101" t="s">
        <v>19</v>
      </c>
      <c r="C101" t="s">
        <v>29</v>
      </c>
    </row>
    <row r="102" spans="1:3" x14ac:dyDescent="0.25">
      <c r="A102" s="1">
        <v>42863</v>
      </c>
      <c r="B102" t="s">
        <v>29</v>
      </c>
      <c r="C102" t="s">
        <v>28</v>
      </c>
    </row>
    <row r="103" spans="1:3" x14ac:dyDescent="0.25">
      <c r="A103" s="1">
        <v>42864</v>
      </c>
      <c r="B103" t="s">
        <v>28</v>
      </c>
      <c r="C103" t="s">
        <v>14</v>
      </c>
    </row>
    <row r="104" spans="1:3" x14ac:dyDescent="0.25">
      <c r="A104" s="1">
        <v>42867</v>
      </c>
      <c r="B104" t="s">
        <v>19</v>
      </c>
      <c r="C104" t="s">
        <v>59</v>
      </c>
    </row>
    <row r="105" spans="1:3" x14ac:dyDescent="0.25">
      <c r="A105" s="1">
        <v>42868</v>
      </c>
      <c r="B105" t="s">
        <v>43</v>
      </c>
      <c r="C105" t="s">
        <v>28</v>
      </c>
    </row>
    <row r="106" spans="1:3" x14ac:dyDescent="0.25">
      <c r="A106" s="1">
        <v>42869</v>
      </c>
      <c r="B106" t="s">
        <v>28</v>
      </c>
      <c r="C106" t="s">
        <v>60</v>
      </c>
    </row>
    <row r="107" spans="1:3" x14ac:dyDescent="0.25">
      <c r="A107" s="1">
        <v>42870</v>
      </c>
      <c r="B107" t="s">
        <v>60</v>
      </c>
      <c r="C107" t="s">
        <v>47</v>
      </c>
    </row>
    <row r="108" spans="1:3" x14ac:dyDescent="0.25">
      <c r="A108" s="1">
        <v>42872</v>
      </c>
      <c r="B108" t="s">
        <v>29</v>
      </c>
      <c r="C108" t="s">
        <v>56</v>
      </c>
    </row>
    <row r="109" spans="1:3" x14ac:dyDescent="0.25">
      <c r="A109" s="1">
        <v>42873</v>
      </c>
      <c r="B109" t="s">
        <v>59</v>
      </c>
      <c r="C109" t="s">
        <v>61</v>
      </c>
    </row>
    <row r="110" spans="1:3" x14ac:dyDescent="0.25">
      <c r="A110" s="1">
        <v>42874</v>
      </c>
      <c r="B110" t="s">
        <v>61</v>
      </c>
      <c r="C110" t="s">
        <v>15</v>
      </c>
    </row>
    <row r="111" spans="1:3" x14ac:dyDescent="0.25">
      <c r="A111" s="1">
        <v>42877</v>
      </c>
      <c r="B111" t="s">
        <v>29</v>
      </c>
      <c r="C111" t="s">
        <v>41</v>
      </c>
    </row>
    <row r="112" spans="1:3" x14ac:dyDescent="0.25">
      <c r="A112" s="1">
        <v>42878</v>
      </c>
      <c r="B112" t="s">
        <v>36</v>
      </c>
      <c r="C112" t="s">
        <v>13</v>
      </c>
    </row>
    <row r="113" spans="1:3" x14ac:dyDescent="0.25">
      <c r="A113" s="1">
        <v>42879</v>
      </c>
      <c r="B113" t="s">
        <v>59</v>
      </c>
      <c r="C113" t="s">
        <v>18</v>
      </c>
    </row>
    <row r="114" spans="1:3" x14ac:dyDescent="0.25">
      <c r="A114" s="1">
        <v>42881</v>
      </c>
      <c r="B114" t="s">
        <v>35</v>
      </c>
      <c r="C114" t="s">
        <v>37</v>
      </c>
    </row>
    <row r="115" spans="1:3" x14ac:dyDescent="0.25">
      <c r="A115" s="1">
        <v>42882</v>
      </c>
      <c r="B115" t="s">
        <v>37</v>
      </c>
      <c r="C115" t="s">
        <v>57</v>
      </c>
    </row>
    <row r="116" spans="1:3" x14ac:dyDescent="0.25">
      <c r="A116" s="1">
        <v>42883</v>
      </c>
      <c r="B116" t="s">
        <v>9</v>
      </c>
      <c r="C116" t="s">
        <v>58</v>
      </c>
    </row>
    <row r="117" spans="1:3" x14ac:dyDescent="0.25">
      <c r="A117" s="1">
        <v>42884</v>
      </c>
      <c r="B117" t="s">
        <v>58</v>
      </c>
      <c r="C117" t="s">
        <v>61</v>
      </c>
    </row>
    <row r="118" spans="1:3" x14ac:dyDescent="0.25">
      <c r="A118" s="1">
        <v>42885</v>
      </c>
      <c r="B118" t="s">
        <v>61</v>
      </c>
      <c r="C118" t="s">
        <v>62</v>
      </c>
    </row>
    <row r="119" spans="1:3" x14ac:dyDescent="0.25">
      <c r="A119" s="1">
        <v>42886</v>
      </c>
      <c r="B119" t="s">
        <v>62</v>
      </c>
      <c r="C119" t="s">
        <v>63</v>
      </c>
    </row>
    <row r="120" spans="1:3" x14ac:dyDescent="0.25">
      <c r="A120" s="1">
        <v>42887</v>
      </c>
      <c r="B120" t="s">
        <v>63</v>
      </c>
      <c r="C120" t="s">
        <v>64</v>
      </c>
    </row>
    <row r="121" spans="1:3" x14ac:dyDescent="0.25">
      <c r="A121" s="1">
        <v>42888</v>
      </c>
      <c r="B121" t="s">
        <v>64</v>
      </c>
      <c r="C121" t="s">
        <v>58</v>
      </c>
    </row>
    <row r="122" spans="1:3" x14ac:dyDescent="0.25">
      <c r="A122" s="1">
        <v>42890</v>
      </c>
      <c r="B122" t="s">
        <v>65</v>
      </c>
      <c r="C122" t="s">
        <v>11</v>
      </c>
    </row>
    <row r="123" spans="1:3" x14ac:dyDescent="0.25">
      <c r="A123" s="1">
        <v>42892</v>
      </c>
      <c r="B123" t="s">
        <v>51</v>
      </c>
      <c r="C123" t="s">
        <v>44</v>
      </c>
    </row>
    <row r="124" spans="1:3" x14ac:dyDescent="0.25">
      <c r="A124" s="1">
        <v>42893</v>
      </c>
      <c r="B124" t="s">
        <v>66</v>
      </c>
      <c r="C124" t="s">
        <v>67</v>
      </c>
    </row>
    <row r="125" spans="1:3" x14ac:dyDescent="0.25">
      <c r="A125" s="1">
        <v>42894</v>
      </c>
      <c r="B125" t="s">
        <v>67</v>
      </c>
      <c r="C125" t="s">
        <v>19</v>
      </c>
    </row>
    <row r="126" spans="1:3" x14ac:dyDescent="0.25">
      <c r="A126" s="1">
        <v>42895</v>
      </c>
      <c r="B126" t="s">
        <v>19</v>
      </c>
      <c r="C126" t="s">
        <v>46</v>
      </c>
    </row>
    <row r="127" spans="1:3" x14ac:dyDescent="0.25">
      <c r="A127" s="1">
        <v>42896</v>
      </c>
      <c r="B127" t="s">
        <v>46</v>
      </c>
      <c r="C127" t="s">
        <v>54</v>
      </c>
    </row>
    <row r="128" spans="1:3" x14ac:dyDescent="0.25">
      <c r="A128" s="1">
        <v>42897</v>
      </c>
      <c r="B128" t="s">
        <v>19</v>
      </c>
      <c r="C128" t="s">
        <v>29</v>
      </c>
    </row>
    <row r="129" spans="1:3" x14ac:dyDescent="0.25">
      <c r="A129" s="1">
        <v>42898</v>
      </c>
      <c r="B129" t="s">
        <v>55</v>
      </c>
      <c r="C129" t="s">
        <v>46</v>
      </c>
    </row>
    <row r="130" spans="1:3" x14ac:dyDescent="0.25">
      <c r="A130" s="1">
        <v>42899</v>
      </c>
      <c r="B130" t="s">
        <v>46</v>
      </c>
      <c r="C130" t="s">
        <v>47</v>
      </c>
    </row>
    <row r="131" spans="1:3" x14ac:dyDescent="0.25">
      <c r="A131" s="1">
        <v>42900</v>
      </c>
      <c r="B131" t="s">
        <v>47</v>
      </c>
      <c r="C131" t="s">
        <v>42</v>
      </c>
    </row>
    <row r="132" spans="1:3" x14ac:dyDescent="0.25">
      <c r="A132" s="1">
        <v>42902</v>
      </c>
      <c r="B132" t="s">
        <v>68</v>
      </c>
      <c r="C132" t="s">
        <v>69</v>
      </c>
    </row>
    <row r="133" spans="1:3" x14ac:dyDescent="0.25">
      <c r="A133" s="1">
        <v>42903</v>
      </c>
      <c r="B133" t="s">
        <v>69</v>
      </c>
      <c r="C133" t="s">
        <v>59</v>
      </c>
    </row>
    <row r="134" spans="1:3" x14ac:dyDescent="0.25">
      <c r="A134" s="1">
        <v>42904</v>
      </c>
      <c r="B134" t="s">
        <v>59</v>
      </c>
      <c r="C134" t="s">
        <v>60</v>
      </c>
    </row>
    <row r="135" spans="1:3" x14ac:dyDescent="0.25">
      <c r="A135" s="1">
        <v>42905</v>
      </c>
      <c r="B135" t="s">
        <v>60</v>
      </c>
      <c r="C135" t="s">
        <v>41</v>
      </c>
    </row>
    <row r="136" spans="1:3" x14ac:dyDescent="0.25">
      <c r="A136" s="1">
        <v>42906</v>
      </c>
      <c r="B136" t="s">
        <v>34</v>
      </c>
      <c r="C136" t="s">
        <v>39</v>
      </c>
    </row>
    <row r="137" spans="1:3" x14ac:dyDescent="0.25">
      <c r="A137" s="1">
        <v>42907</v>
      </c>
      <c r="B137" t="s">
        <v>47</v>
      </c>
      <c r="C137" t="s">
        <v>17</v>
      </c>
    </row>
    <row r="138" spans="1:3" x14ac:dyDescent="0.25">
      <c r="A138" s="1">
        <v>42908</v>
      </c>
      <c r="B138" t="s">
        <v>17</v>
      </c>
      <c r="C138" t="s">
        <v>18</v>
      </c>
    </row>
    <row r="139" spans="1:3" x14ac:dyDescent="0.25">
      <c r="A139" s="1">
        <v>42909</v>
      </c>
      <c r="B139" t="s">
        <v>18</v>
      </c>
      <c r="C139" t="s">
        <v>39</v>
      </c>
    </row>
    <row r="140" spans="1:3" x14ac:dyDescent="0.25">
      <c r="A140" s="1">
        <v>42910</v>
      </c>
      <c r="B140" t="s">
        <v>39</v>
      </c>
      <c r="C140" t="s">
        <v>17</v>
      </c>
    </row>
    <row r="141" spans="1:3" x14ac:dyDescent="0.25">
      <c r="A141" s="1">
        <v>42911</v>
      </c>
      <c r="B141" t="s">
        <v>30</v>
      </c>
      <c r="C141" t="s">
        <v>70</v>
      </c>
    </row>
    <row r="142" spans="1:3" x14ac:dyDescent="0.25">
      <c r="A142" s="1">
        <v>42912</v>
      </c>
      <c r="B142" t="s">
        <v>70</v>
      </c>
      <c r="C142" t="s">
        <v>30</v>
      </c>
    </row>
    <row r="143" spans="1:3" x14ac:dyDescent="0.25">
      <c r="A143" s="1">
        <v>42913</v>
      </c>
      <c r="B143" t="s">
        <v>30</v>
      </c>
      <c r="C143" t="s">
        <v>31</v>
      </c>
    </row>
    <row r="144" spans="1:3" x14ac:dyDescent="0.25">
      <c r="A144" s="1">
        <v>42914</v>
      </c>
      <c r="B144" t="s">
        <v>31</v>
      </c>
      <c r="C144" t="s">
        <v>22</v>
      </c>
    </row>
    <row r="145" spans="1:3" x14ac:dyDescent="0.25">
      <c r="A145" s="1">
        <v>42915</v>
      </c>
      <c r="B145" t="s">
        <v>22</v>
      </c>
      <c r="C145" t="s">
        <v>21</v>
      </c>
    </row>
    <row r="146" spans="1:3" x14ac:dyDescent="0.25">
      <c r="A146" s="1">
        <v>42916</v>
      </c>
      <c r="B146" t="s">
        <v>15</v>
      </c>
      <c r="C146" t="s">
        <v>52</v>
      </c>
    </row>
    <row r="147" spans="1:3" x14ac:dyDescent="0.25">
      <c r="A147" s="1">
        <v>42917</v>
      </c>
      <c r="B147" t="s">
        <v>62</v>
      </c>
      <c r="C147" t="s">
        <v>20</v>
      </c>
    </row>
    <row r="148" spans="1:3" x14ac:dyDescent="0.25">
      <c r="A148" s="1">
        <v>42918</v>
      </c>
      <c r="B148" t="s">
        <v>20</v>
      </c>
      <c r="C148" t="s">
        <v>8</v>
      </c>
    </row>
    <row r="149" spans="1:3" x14ac:dyDescent="0.25">
      <c r="A149" s="1">
        <v>42919</v>
      </c>
      <c r="B149" t="s">
        <v>8</v>
      </c>
      <c r="C149" t="s">
        <v>20</v>
      </c>
    </row>
    <row r="150" spans="1:3" x14ac:dyDescent="0.25">
      <c r="A150" s="1">
        <v>42920</v>
      </c>
      <c r="B150" t="s">
        <v>20</v>
      </c>
      <c r="C150" t="s">
        <v>60</v>
      </c>
    </row>
    <row r="151" spans="1:3" x14ac:dyDescent="0.25">
      <c r="A151" s="1">
        <v>42921</v>
      </c>
      <c r="B151" t="s">
        <v>40</v>
      </c>
      <c r="C151" t="s">
        <v>41</v>
      </c>
    </row>
    <row r="152" spans="1:3" x14ac:dyDescent="0.25">
      <c r="A152" s="1">
        <v>42922</v>
      </c>
      <c r="B152" t="s">
        <v>41</v>
      </c>
      <c r="C152" t="s">
        <v>28</v>
      </c>
    </row>
    <row r="153" spans="1:3" x14ac:dyDescent="0.25">
      <c r="A153" s="1">
        <v>42923</v>
      </c>
      <c r="B153" t="s">
        <v>28</v>
      </c>
      <c r="C153" t="s">
        <v>14</v>
      </c>
    </row>
    <row r="154" spans="1:3" x14ac:dyDescent="0.25">
      <c r="A154" s="1">
        <v>42924</v>
      </c>
      <c r="B154" t="s">
        <v>14</v>
      </c>
      <c r="C154" t="s">
        <v>48</v>
      </c>
    </row>
    <row r="155" spans="1:3" x14ac:dyDescent="0.25">
      <c r="A155" s="1">
        <v>42926</v>
      </c>
      <c r="B155" t="s">
        <v>56</v>
      </c>
      <c r="C155" t="s">
        <v>30</v>
      </c>
    </row>
    <row r="156" spans="1:3" x14ac:dyDescent="0.25">
      <c r="A156" s="1">
        <v>42927</v>
      </c>
      <c r="B156" t="s">
        <v>10</v>
      </c>
      <c r="C156" t="s">
        <v>71</v>
      </c>
    </row>
    <row r="157" spans="1:3" x14ac:dyDescent="0.25">
      <c r="A157" s="1">
        <v>42928</v>
      </c>
      <c r="B157" t="s">
        <v>70</v>
      </c>
      <c r="C157" t="s">
        <v>36</v>
      </c>
    </row>
    <row r="158" spans="1:3" x14ac:dyDescent="0.25">
      <c r="A158" s="1">
        <v>42929</v>
      </c>
      <c r="B158" t="s">
        <v>36</v>
      </c>
      <c r="C158" t="s">
        <v>70</v>
      </c>
    </row>
    <row r="159" spans="1:3" x14ac:dyDescent="0.25">
      <c r="A159" s="1">
        <v>42931</v>
      </c>
      <c r="B159" t="s">
        <v>44</v>
      </c>
      <c r="C159" t="s">
        <v>56</v>
      </c>
    </row>
    <row r="160" spans="1:3" x14ac:dyDescent="0.25">
      <c r="A160" s="1">
        <v>42932</v>
      </c>
      <c r="B160" t="s">
        <v>55</v>
      </c>
      <c r="C160" t="s">
        <v>26</v>
      </c>
    </row>
    <row r="161" spans="1:3" x14ac:dyDescent="0.25">
      <c r="A161" s="1">
        <v>42933</v>
      </c>
      <c r="B161" t="s">
        <v>26</v>
      </c>
      <c r="C161" t="s">
        <v>48</v>
      </c>
    </row>
    <row r="162" spans="1:3" x14ac:dyDescent="0.25">
      <c r="A162" s="1">
        <v>42935</v>
      </c>
      <c r="B162" t="s">
        <v>18</v>
      </c>
      <c r="C162" t="s">
        <v>16</v>
      </c>
    </row>
    <row r="163" spans="1:3" x14ac:dyDescent="0.25">
      <c r="A163" s="1">
        <v>42936</v>
      </c>
      <c r="B163" t="s">
        <v>50</v>
      </c>
      <c r="C163" t="s">
        <v>42</v>
      </c>
    </row>
    <row r="164" spans="1:3" x14ac:dyDescent="0.25">
      <c r="A164" s="1">
        <v>42937</v>
      </c>
      <c r="B164" t="s">
        <v>42</v>
      </c>
      <c r="C164" t="s">
        <v>32</v>
      </c>
    </row>
    <row r="165" spans="1:3" x14ac:dyDescent="0.25">
      <c r="A165" s="1">
        <v>42938</v>
      </c>
      <c r="B165" t="s">
        <v>32</v>
      </c>
      <c r="C165" t="s">
        <v>60</v>
      </c>
    </row>
    <row r="166" spans="1:3" x14ac:dyDescent="0.25">
      <c r="A166" s="1">
        <v>42939</v>
      </c>
      <c r="B166" t="s">
        <v>55</v>
      </c>
      <c r="C166" t="s">
        <v>68</v>
      </c>
    </row>
    <row r="167" spans="1:3" x14ac:dyDescent="0.25">
      <c r="A167" s="1">
        <v>42940</v>
      </c>
      <c r="B167" t="s">
        <v>68</v>
      </c>
      <c r="C167" t="s">
        <v>19</v>
      </c>
    </row>
    <row r="168" spans="1:3" x14ac:dyDescent="0.25">
      <c r="A168" s="1">
        <v>42941</v>
      </c>
      <c r="B168" t="s">
        <v>19</v>
      </c>
      <c r="C168" t="s">
        <v>59</v>
      </c>
    </row>
    <row r="169" spans="1:3" x14ac:dyDescent="0.25">
      <c r="A169" s="1">
        <v>42944</v>
      </c>
      <c r="B169" t="s">
        <v>8</v>
      </c>
      <c r="C169" t="s">
        <v>9</v>
      </c>
    </row>
    <row r="170" spans="1:3" x14ac:dyDescent="0.25">
      <c r="A170" s="1">
        <v>42945</v>
      </c>
      <c r="B170" t="s">
        <v>9</v>
      </c>
      <c r="C170" t="s">
        <v>59</v>
      </c>
    </row>
    <row r="171" spans="1:3" x14ac:dyDescent="0.25">
      <c r="A171" s="1">
        <v>42946</v>
      </c>
      <c r="B171" t="s">
        <v>59</v>
      </c>
      <c r="C171" t="s">
        <v>65</v>
      </c>
    </row>
    <row r="172" spans="1:3" x14ac:dyDescent="0.25">
      <c r="A172" s="1">
        <v>42947</v>
      </c>
      <c r="B172" t="s">
        <v>29</v>
      </c>
      <c r="C172" t="s">
        <v>27</v>
      </c>
    </row>
    <row r="173" spans="1:3" x14ac:dyDescent="0.25">
      <c r="A173" s="1">
        <v>42948</v>
      </c>
      <c r="B173" t="s">
        <v>27</v>
      </c>
      <c r="C173" t="s">
        <v>25</v>
      </c>
    </row>
    <row r="174" spans="1:3" x14ac:dyDescent="0.25">
      <c r="A174" s="1">
        <v>42949</v>
      </c>
      <c r="B174" t="s">
        <v>25</v>
      </c>
      <c r="C174" t="s">
        <v>48</v>
      </c>
    </row>
    <row r="175" spans="1:3" x14ac:dyDescent="0.25">
      <c r="A175" s="1">
        <v>42950</v>
      </c>
      <c r="B175" t="s">
        <v>48</v>
      </c>
      <c r="C175" t="s">
        <v>14</v>
      </c>
    </row>
    <row r="176" spans="1:3" x14ac:dyDescent="0.25">
      <c r="A176" s="1">
        <v>42953</v>
      </c>
      <c r="B176" t="s">
        <v>67</v>
      </c>
      <c r="C176" t="s">
        <v>48</v>
      </c>
    </row>
    <row r="177" spans="1:3" x14ac:dyDescent="0.25">
      <c r="A177" s="1">
        <v>42954</v>
      </c>
      <c r="B177" t="s">
        <v>48</v>
      </c>
      <c r="C177" t="s">
        <v>14</v>
      </c>
    </row>
    <row r="178" spans="1:3" x14ac:dyDescent="0.25">
      <c r="A178" s="1">
        <v>42955</v>
      </c>
      <c r="B178" t="s">
        <v>14</v>
      </c>
      <c r="C178" t="s">
        <v>21</v>
      </c>
    </row>
    <row r="179" spans="1:3" x14ac:dyDescent="0.25">
      <c r="A179" s="1">
        <v>42956</v>
      </c>
      <c r="B179" t="s">
        <v>21</v>
      </c>
      <c r="C179" t="s">
        <v>25</v>
      </c>
    </row>
    <row r="180" spans="1:3" x14ac:dyDescent="0.25">
      <c r="A180" s="1">
        <v>42957</v>
      </c>
      <c r="B180" t="s">
        <v>25</v>
      </c>
      <c r="C180" t="s">
        <v>15</v>
      </c>
    </row>
    <row r="181" spans="1:3" x14ac:dyDescent="0.25">
      <c r="A181" s="1">
        <v>42959</v>
      </c>
      <c r="B181" t="s">
        <v>37</v>
      </c>
      <c r="C181" t="s">
        <v>35</v>
      </c>
    </row>
    <row r="182" spans="1:3" x14ac:dyDescent="0.25">
      <c r="A182" s="1">
        <v>42960</v>
      </c>
      <c r="B182" t="s">
        <v>70</v>
      </c>
      <c r="C182" t="s">
        <v>30</v>
      </c>
    </row>
    <row r="183" spans="1:3" x14ac:dyDescent="0.25">
      <c r="A183" s="1">
        <v>42962</v>
      </c>
      <c r="B183" t="s">
        <v>47</v>
      </c>
      <c r="C183" t="s">
        <v>20</v>
      </c>
    </row>
    <row r="184" spans="1:3" x14ac:dyDescent="0.25">
      <c r="A184" s="1">
        <v>42963</v>
      </c>
      <c r="B184" t="s">
        <v>20</v>
      </c>
      <c r="C184" t="s">
        <v>8</v>
      </c>
    </row>
    <row r="185" spans="1:3" x14ac:dyDescent="0.25">
      <c r="A185" s="1">
        <v>42964</v>
      </c>
      <c r="B185" t="s">
        <v>8</v>
      </c>
      <c r="C185" t="s">
        <v>40</v>
      </c>
    </row>
    <row r="186" spans="1:3" x14ac:dyDescent="0.25">
      <c r="A186" s="1">
        <v>42965</v>
      </c>
      <c r="B186" t="s">
        <v>40</v>
      </c>
      <c r="C186" t="s">
        <v>20</v>
      </c>
    </row>
    <row r="187" spans="1:3" x14ac:dyDescent="0.25">
      <c r="A187" s="1">
        <v>42967</v>
      </c>
      <c r="B187" t="s">
        <v>72</v>
      </c>
      <c r="C187" t="s">
        <v>11</v>
      </c>
    </row>
    <row r="188" spans="1:3" x14ac:dyDescent="0.25">
      <c r="A188" s="1">
        <v>42968</v>
      </c>
      <c r="B188" t="s">
        <v>11</v>
      </c>
      <c r="C188" t="s">
        <v>13</v>
      </c>
    </row>
    <row r="189" spans="1:3" x14ac:dyDescent="0.25">
      <c r="A189" s="1">
        <v>42970</v>
      </c>
      <c r="B189" t="s">
        <v>46</v>
      </c>
      <c r="C189" t="s">
        <v>56</v>
      </c>
    </row>
    <row r="190" spans="1:3" x14ac:dyDescent="0.25">
      <c r="A190" s="1">
        <v>42971</v>
      </c>
      <c r="B190" t="s">
        <v>56</v>
      </c>
      <c r="C190" t="s">
        <v>50</v>
      </c>
    </row>
    <row r="191" spans="1:3" x14ac:dyDescent="0.25">
      <c r="A191" s="1">
        <v>42972</v>
      </c>
      <c r="B191" t="s">
        <v>50</v>
      </c>
      <c r="C191" t="s">
        <v>17</v>
      </c>
    </row>
    <row r="192" spans="1:3" x14ac:dyDescent="0.25">
      <c r="A192" s="1">
        <v>42973</v>
      </c>
      <c r="B192" t="s">
        <v>68</v>
      </c>
      <c r="C192" t="s">
        <v>19</v>
      </c>
    </row>
    <row r="193" spans="1:3" x14ac:dyDescent="0.25">
      <c r="A193" s="1">
        <v>42974</v>
      </c>
      <c r="B193" t="s">
        <v>19</v>
      </c>
      <c r="C193" t="s">
        <v>60</v>
      </c>
    </row>
    <row r="194" spans="1:3" x14ac:dyDescent="0.25">
      <c r="A194" s="1">
        <v>42975</v>
      </c>
      <c r="B194" t="s">
        <v>60</v>
      </c>
      <c r="C194" t="s">
        <v>47</v>
      </c>
    </row>
    <row r="195" spans="1:3" x14ac:dyDescent="0.25">
      <c r="A195" s="1">
        <v>42976</v>
      </c>
      <c r="B195" t="s">
        <v>47</v>
      </c>
      <c r="C195" t="s">
        <v>17</v>
      </c>
    </row>
    <row r="196" spans="1:3" x14ac:dyDescent="0.25">
      <c r="A196" s="1">
        <v>42977</v>
      </c>
      <c r="B196" t="s">
        <v>17</v>
      </c>
      <c r="C196" t="s">
        <v>38</v>
      </c>
    </row>
    <row r="197" spans="1:3" x14ac:dyDescent="0.25">
      <c r="A197" s="1">
        <v>42978</v>
      </c>
      <c r="B197" t="s">
        <v>38</v>
      </c>
      <c r="C197" t="s">
        <v>73</v>
      </c>
    </row>
    <row r="198" spans="1:3" x14ac:dyDescent="0.25">
      <c r="A198" s="1">
        <v>42979</v>
      </c>
      <c r="B198" t="s">
        <v>73</v>
      </c>
      <c r="C198" t="s">
        <v>51</v>
      </c>
    </row>
    <row r="199" spans="1:3" x14ac:dyDescent="0.25">
      <c r="A199" s="1">
        <v>42980</v>
      </c>
      <c r="B199" t="s">
        <v>51</v>
      </c>
      <c r="C199" t="s">
        <v>67</v>
      </c>
    </row>
    <row r="200" spans="1:3" x14ac:dyDescent="0.25">
      <c r="A200" s="1">
        <v>42981</v>
      </c>
      <c r="B200" t="s">
        <v>48</v>
      </c>
      <c r="C200" t="s">
        <v>61</v>
      </c>
    </row>
    <row r="201" spans="1:3" x14ac:dyDescent="0.25">
      <c r="A201" s="1">
        <v>42982</v>
      </c>
      <c r="B201" t="s">
        <v>12</v>
      </c>
      <c r="C201" t="s">
        <v>59</v>
      </c>
    </row>
    <row r="202" spans="1:3" x14ac:dyDescent="0.25">
      <c r="A202" s="1">
        <v>42983</v>
      </c>
      <c r="B202" t="s">
        <v>67</v>
      </c>
      <c r="C202" t="s">
        <v>17</v>
      </c>
    </row>
    <row r="203" spans="1:3" x14ac:dyDescent="0.25">
      <c r="A203" s="1">
        <v>42984</v>
      </c>
      <c r="B203" t="s">
        <v>17</v>
      </c>
      <c r="C203" t="s">
        <v>39</v>
      </c>
    </row>
    <row r="204" spans="1:3" x14ac:dyDescent="0.25">
      <c r="A204" s="1">
        <v>42985</v>
      </c>
      <c r="B204" t="s">
        <v>39</v>
      </c>
      <c r="C204" t="s">
        <v>50</v>
      </c>
    </row>
    <row r="205" spans="1:3" x14ac:dyDescent="0.25">
      <c r="A205" s="1">
        <v>42986</v>
      </c>
      <c r="B205" t="s">
        <v>60</v>
      </c>
      <c r="C205" t="s">
        <v>59</v>
      </c>
    </row>
    <row r="206" spans="1:3" x14ac:dyDescent="0.25">
      <c r="A206" s="1">
        <v>42987</v>
      </c>
      <c r="B206" t="s">
        <v>59</v>
      </c>
      <c r="C206" t="s">
        <v>65</v>
      </c>
    </row>
    <row r="207" spans="1:3" x14ac:dyDescent="0.25">
      <c r="A207" s="1">
        <v>42989</v>
      </c>
      <c r="B207" t="s">
        <v>31</v>
      </c>
      <c r="C207" t="s">
        <v>23</v>
      </c>
    </row>
    <row r="208" spans="1:3" x14ac:dyDescent="0.25">
      <c r="A208" s="1">
        <v>42990</v>
      </c>
      <c r="B208" t="s">
        <v>6</v>
      </c>
      <c r="C208" t="s">
        <v>12</v>
      </c>
    </row>
    <row r="209" spans="1:3" x14ac:dyDescent="0.25">
      <c r="A209" s="1">
        <v>42991</v>
      </c>
      <c r="B209" t="s">
        <v>12</v>
      </c>
      <c r="C209" t="s">
        <v>7</v>
      </c>
    </row>
    <row r="210" spans="1:3" x14ac:dyDescent="0.25">
      <c r="A210" s="1">
        <v>42992</v>
      </c>
      <c r="B210" t="s">
        <v>36</v>
      </c>
      <c r="C210" t="s">
        <v>40</v>
      </c>
    </row>
    <row r="211" spans="1:3" x14ac:dyDescent="0.25">
      <c r="A211" s="1">
        <v>42993</v>
      </c>
      <c r="B211" t="s">
        <v>8</v>
      </c>
      <c r="C211" t="s">
        <v>38</v>
      </c>
    </row>
    <row r="212" spans="1:3" x14ac:dyDescent="0.25">
      <c r="A212" s="1">
        <v>42995</v>
      </c>
      <c r="B212" t="s">
        <v>50</v>
      </c>
      <c r="C212" t="s">
        <v>11</v>
      </c>
    </row>
    <row r="213" spans="1:3" x14ac:dyDescent="0.25">
      <c r="A213" s="1">
        <v>42997</v>
      </c>
      <c r="B213" t="s">
        <v>15</v>
      </c>
      <c r="C213" t="s">
        <v>59</v>
      </c>
    </row>
    <row r="214" spans="1:3" x14ac:dyDescent="0.25">
      <c r="A214" s="1">
        <v>42998</v>
      </c>
      <c r="B214" t="s">
        <v>59</v>
      </c>
      <c r="C214" t="s">
        <v>19</v>
      </c>
    </row>
    <row r="215" spans="1:3" x14ac:dyDescent="0.25">
      <c r="A215" s="1">
        <v>42999</v>
      </c>
      <c r="B215" t="s">
        <v>19</v>
      </c>
      <c r="C215" t="s">
        <v>29</v>
      </c>
    </row>
    <row r="216" spans="1:3" x14ac:dyDescent="0.25">
      <c r="A216" s="1">
        <v>43000</v>
      </c>
      <c r="B216" t="s">
        <v>59</v>
      </c>
      <c r="C216" t="s">
        <v>43</v>
      </c>
    </row>
    <row r="217" spans="1:3" x14ac:dyDescent="0.25">
      <c r="A217" s="1">
        <v>43001</v>
      </c>
      <c r="B217" t="s">
        <v>57</v>
      </c>
      <c r="C217" t="s">
        <v>43</v>
      </c>
    </row>
    <row r="218" spans="1:3" x14ac:dyDescent="0.25">
      <c r="A218" s="1">
        <v>43002</v>
      </c>
      <c r="B218" t="s">
        <v>43</v>
      </c>
      <c r="C218" t="s">
        <v>64</v>
      </c>
    </row>
    <row r="219" spans="1:3" x14ac:dyDescent="0.25">
      <c r="A219" s="1">
        <v>43003</v>
      </c>
      <c r="B219" t="s">
        <v>64</v>
      </c>
      <c r="C219" t="s">
        <v>25</v>
      </c>
    </row>
    <row r="220" spans="1:3" x14ac:dyDescent="0.25">
      <c r="A220" s="1">
        <v>43004</v>
      </c>
      <c r="B220" t="s">
        <v>25</v>
      </c>
      <c r="C220" t="s">
        <v>52</v>
      </c>
    </row>
    <row r="221" spans="1:3" x14ac:dyDescent="0.25">
      <c r="A221" s="1">
        <v>43005</v>
      </c>
      <c r="B221" t="s">
        <v>52</v>
      </c>
      <c r="C221" t="s">
        <v>48</v>
      </c>
    </row>
    <row r="222" spans="1:3" x14ac:dyDescent="0.25">
      <c r="A222" s="1">
        <v>43006</v>
      </c>
      <c r="B222" t="s">
        <v>48</v>
      </c>
      <c r="C222" t="s">
        <v>25</v>
      </c>
    </row>
    <row r="223" spans="1:3" x14ac:dyDescent="0.25">
      <c r="A223" s="1">
        <v>43008</v>
      </c>
      <c r="B223" t="s">
        <v>41</v>
      </c>
      <c r="C223" t="s">
        <v>12</v>
      </c>
    </row>
    <row r="224" spans="1:3" x14ac:dyDescent="0.25">
      <c r="A224" s="1">
        <v>43009</v>
      </c>
      <c r="B224" t="s">
        <v>29</v>
      </c>
      <c r="C224" t="s">
        <v>28</v>
      </c>
    </row>
    <row r="225" spans="1:3" x14ac:dyDescent="0.25">
      <c r="A225" s="1">
        <v>43010</v>
      </c>
      <c r="B225" t="s">
        <v>28</v>
      </c>
      <c r="C225" t="s">
        <v>60</v>
      </c>
    </row>
    <row r="226" spans="1:3" x14ac:dyDescent="0.25">
      <c r="A226" s="1">
        <v>43011</v>
      </c>
      <c r="B226" t="s">
        <v>60</v>
      </c>
      <c r="C226" t="s">
        <v>32</v>
      </c>
    </row>
    <row r="227" spans="1:3" x14ac:dyDescent="0.25">
      <c r="A227" s="1">
        <v>43012</v>
      </c>
      <c r="B227" t="s">
        <v>32</v>
      </c>
      <c r="C227" t="s">
        <v>42</v>
      </c>
    </row>
    <row r="228" spans="1:3" x14ac:dyDescent="0.25">
      <c r="A228" s="1">
        <v>43013</v>
      </c>
      <c r="B228" t="s">
        <v>42</v>
      </c>
      <c r="C228" t="s">
        <v>37</v>
      </c>
    </row>
    <row r="229" spans="1:3" x14ac:dyDescent="0.25">
      <c r="A229" s="1">
        <v>43014</v>
      </c>
      <c r="B229" t="s">
        <v>37</v>
      </c>
      <c r="C229" t="s">
        <v>35</v>
      </c>
    </row>
    <row r="230" spans="1:3" x14ac:dyDescent="0.25">
      <c r="A230" s="1">
        <v>43015</v>
      </c>
      <c r="B230" t="s">
        <v>42</v>
      </c>
      <c r="C230" t="s">
        <v>62</v>
      </c>
    </row>
    <row r="231" spans="1:3" x14ac:dyDescent="0.25">
      <c r="A231" s="1">
        <v>43016</v>
      </c>
      <c r="B231" t="s">
        <v>62</v>
      </c>
      <c r="C231" t="s">
        <v>61</v>
      </c>
    </row>
    <row r="232" spans="1:3" x14ac:dyDescent="0.25">
      <c r="A232" s="1">
        <v>43017</v>
      </c>
      <c r="B232" t="s">
        <v>70</v>
      </c>
      <c r="C232" t="s">
        <v>30</v>
      </c>
    </row>
    <row r="233" spans="1:3" x14ac:dyDescent="0.25">
      <c r="A233" s="1">
        <v>43018</v>
      </c>
      <c r="B233" t="s">
        <v>30</v>
      </c>
      <c r="C233" t="s">
        <v>40</v>
      </c>
    </row>
    <row r="234" spans="1:3" x14ac:dyDescent="0.25">
      <c r="A234" s="1">
        <v>43019</v>
      </c>
      <c r="B234" t="s">
        <v>15</v>
      </c>
      <c r="C234" t="s">
        <v>26</v>
      </c>
    </row>
    <row r="235" spans="1:3" x14ac:dyDescent="0.25">
      <c r="A235" s="1">
        <v>43020</v>
      </c>
      <c r="B235" t="s">
        <v>26</v>
      </c>
      <c r="C235" t="s">
        <v>23</v>
      </c>
    </row>
    <row r="236" spans="1:3" x14ac:dyDescent="0.25">
      <c r="A236" s="1">
        <v>43021</v>
      </c>
      <c r="B236" t="s">
        <v>23</v>
      </c>
      <c r="C236" t="s">
        <v>24</v>
      </c>
    </row>
    <row r="237" spans="1:3" x14ac:dyDescent="0.25">
      <c r="A237" s="1">
        <v>43022</v>
      </c>
      <c r="B237" t="s">
        <v>24</v>
      </c>
      <c r="C237" t="s">
        <v>21</v>
      </c>
    </row>
    <row r="238" spans="1:3" x14ac:dyDescent="0.25">
      <c r="A238" s="1">
        <v>43023</v>
      </c>
      <c r="B238" t="s">
        <v>21</v>
      </c>
      <c r="C238" t="s">
        <v>25</v>
      </c>
    </row>
    <row r="239" spans="1:3" x14ac:dyDescent="0.25">
      <c r="A239" s="1">
        <v>43025</v>
      </c>
      <c r="B239" t="s">
        <v>8</v>
      </c>
      <c r="C239" t="s">
        <v>29</v>
      </c>
    </row>
    <row r="240" spans="1:3" x14ac:dyDescent="0.25">
      <c r="A240" s="1">
        <v>43026</v>
      </c>
      <c r="B240" t="s">
        <v>29</v>
      </c>
      <c r="C240" t="s">
        <v>59</v>
      </c>
    </row>
    <row r="241" spans="1:3" x14ac:dyDescent="0.25">
      <c r="A241" s="1">
        <v>43028</v>
      </c>
      <c r="B241" t="s">
        <v>69</v>
      </c>
      <c r="C241" t="s">
        <v>67</v>
      </c>
    </row>
    <row r="242" spans="1:3" x14ac:dyDescent="0.25">
      <c r="A242" s="1">
        <v>43029</v>
      </c>
      <c r="B242" t="s">
        <v>67</v>
      </c>
      <c r="C242" t="s">
        <v>66</v>
      </c>
    </row>
    <row r="243" spans="1:3" x14ac:dyDescent="0.25">
      <c r="A243" s="1">
        <v>43030</v>
      </c>
      <c r="B243" t="s">
        <v>56</v>
      </c>
      <c r="C243" t="s">
        <v>59</v>
      </c>
    </row>
    <row r="244" spans="1:3" x14ac:dyDescent="0.25">
      <c r="A244" s="1">
        <v>43031</v>
      </c>
      <c r="B244" t="s">
        <v>59</v>
      </c>
      <c r="C244" t="s">
        <v>12</v>
      </c>
    </row>
    <row r="245" spans="1:3" x14ac:dyDescent="0.25">
      <c r="A245" s="1">
        <v>43032</v>
      </c>
      <c r="B245" t="s">
        <v>12</v>
      </c>
      <c r="C245" t="s">
        <v>41</v>
      </c>
    </row>
    <row r="246" spans="1:3" x14ac:dyDescent="0.25">
      <c r="A246" s="1">
        <v>43034</v>
      </c>
      <c r="B246" t="s">
        <v>12</v>
      </c>
      <c r="C246" t="s">
        <v>9</v>
      </c>
    </row>
    <row r="247" spans="1:3" x14ac:dyDescent="0.25">
      <c r="A247" s="1">
        <v>43035</v>
      </c>
      <c r="B247" t="s">
        <v>38</v>
      </c>
      <c r="C247" t="s">
        <v>49</v>
      </c>
    </row>
    <row r="248" spans="1:3" x14ac:dyDescent="0.25">
      <c r="A248" s="1">
        <v>43036</v>
      </c>
      <c r="B248" t="s">
        <v>49</v>
      </c>
      <c r="C248" t="s">
        <v>37</v>
      </c>
    </row>
    <row r="249" spans="1:3" x14ac:dyDescent="0.25">
      <c r="A249" s="1">
        <v>43037</v>
      </c>
      <c r="B249" t="s">
        <v>37</v>
      </c>
      <c r="C249" t="s">
        <v>57</v>
      </c>
    </row>
    <row r="250" spans="1:3" x14ac:dyDescent="0.25">
      <c r="A250" s="1">
        <v>43038</v>
      </c>
      <c r="B250" t="s">
        <v>17</v>
      </c>
      <c r="C250" t="s">
        <v>38</v>
      </c>
    </row>
    <row r="251" spans="1:3" x14ac:dyDescent="0.25">
      <c r="A251" s="1">
        <v>43040</v>
      </c>
      <c r="B251" t="s">
        <v>12</v>
      </c>
      <c r="C251" t="s">
        <v>6</v>
      </c>
    </row>
    <row r="252" spans="1:3" x14ac:dyDescent="0.25">
      <c r="A252" s="1">
        <v>43042</v>
      </c>
      <c r="B252" t="s">
        <v>32</v>
      </c>
      <c r="C252" t="s">
        <v>47</v>
      </c>
    </row>
    <row r="253" spans="1:3" x14ac:dyDescent="0.25">
      <c r="A253" s="1">
        <v>43044</v>
      </c>
      <c r="B253" t="s">
        <v>37</v>
      </c>
      <c r="C253" t="s">
        <v>18</v>
      </c>
    </row>
    <row r="254" spans="1:3" x14ac:dyDescent="0.25">
      <c r="A254" s="1">
        <v>43045</v>
      </c>
      <c r="B254" t="s">
        <v>60</v>
      </c>
      <c r="C254" t="s">
        <v>71</v>
      </c>
    </row>
    <row r="255" spans="1:3" x14ac:dyDescent="0.25">
      <c r="A255" s="1">
        <v>43046</v>
      </c>
      <c r="B255" t="s">
        <v>71</v>
      </c>
      <c r="C255" t="s">
        <v>10</v>
      </c>
    </row>
    <row r="256" spans="1:3" x14ac:dyDescent="0.25">
      <c r="A256" s="1">
        <v>43047</v>
      </c>
      <c r="B256" t="s">
        <v>10</v>
      </c>
      <c r="C256" t="s">
        <v>9</v>
      </c>
    </row>
    <row r="257" spans="1:3" x14ac:dyDescent="0.25">
      <c r="A257" s="1">
        <v>43048</v>
      </c>
      <c r="B257" t="s">
        <v>9</v>
      </c>
      <c r="C257" t="s">
        <v>6</v>
      </c>
    </row>
    <row r="258" spans="1:3" x14ac:dyDescent="0.25">
      <c r="A258" s="1">
        <v>43051</v>
      </c>
      <c r="B258" t="s">
        <v>8</v>
      </c>
      <c r="C258" t="s">
        <v>67</v>
      </c>
    </row>
    <row r="259" spans="1:3" x14ac:dyDescent="0.25">
      <c r="A259" s="1">
        <v>43052</v>
      </c>
      <c r="B259" t="s">
        <v>67</v>
      </c>
      <c r="C259" t="s">
        <v>66</v>
      </c>
    </row>
    <row r="260" spans="1:3" x14ac:dyDescent="0.25">
      <c r="A260" s="1">
        <v>43053</v>
      </c>
      <c r="B260" t="s">
        <v>66</v>
      </c>
      <c r="C260" t="s">
        <v>45</v>
      </c>
    </row>
    <row r="261" spans="1:3" x14ac:dyDescent="0.25">
      <c r="A261" s="1">
        <v>43054</v>
      </c>
      <c r="B261" t="s">
        <v>45</v>
      </c>
      <c r="C261" t="s">
        <v>44</v>
      </c>
    </row>
    <row r="262" spans="1:3" x14ac:dyDescent="0.25">
      <c r="A262" s="1">
        <v>43055</v>
      </c>
      <c r="B262" t="s">
        <v>70</v>
      </c>
      <c r="C262" t="s">
        <v>23</v>
      </c>
    </row>
    <row r="263" spans="1:3" x14ac:dyDescent="0.25">
      <c r="A263" s="1">
        <v>43056</v>
      </c>
      <c r="B263" t="s">
        <v>23</v>
      </c>
      <c r="C263" t="s">
        <v>21</v>
      </c>
    </row>
    <row r="264" spans="1:3" x14ac:dyDescent="0.25">
      <c r="A264" s="1">
        <v>43057</v>
      </c>
      <c r="B264" t="s">
        <v>21</v>
      </c>
      <c r="C264" t="s">
        <v>14</v>
      </c>
    </row>
    <row r="265" spans="1:3" x14ac:dyDescent="0.25">
      <c r="A265" s="1">
        <v>43058</v>
      </c>
      <c r="B265" t="s">
        <v>14</v>
      </c>
      <c r="C265" t="s">
        <v>40</v>
      </c>
    </row>
    <row r="266" spans="1:3" x14ac:dyDescent="0.25">
      <c r="A266" s="1">
        <v>43059</v>
      </c>
      <c r="B266" t="s">
        <v>40</v>
      </c>
      <c r="C266" t="s">
        <v>30</v>
      </c>
    </row>
    <row r="267" spans="1:3" x14ac:dyDescent="0.25">
      <c r="A267" s="1">
        <v>43060</v>
      </c>
      <c r="B267" t="s">
        <v>30</v>
      </c>
      <c r="C267" t="s">
        <v>40</v>
      </c>
    </row>
    <row r="268" spans="1:3" x14ac:dyDescent="0.25">
      <c r="A268" s="1">
        <v>43061</v>
      </c>
      <c r="B268" t="s">
        <v>16</v>
      </c>
      <c r="C268" t="s">
        <v>35</v>
      </c>
    </row>
    <row r="269" spans="1:3" x14ac:dyDescent="0.25">
      <c r="A269" s="1">
        <v>43062</v>
      </c>
      <c r="B269" t="s">
        <v>35</v>
      </c>
      <c r="C269" t="s">
        <v>37</v>
      </c>
    </row>
    <row r="270" spans="1:3" x14ac:dyDescent="0.25">
      <c r="A270" s="1">
        <v>43063</v>
      </c>
      <c r="B270" t="s">
        <v>15</v>
      </c>
      <c r="C270" t="s">
        <v>59</v>
      </c>
    </row>
    <row r="271" spans="1:3" x14ac:dyDescent="0.25">
      <c r="A271" s="1">
        <v>43064</v>
      </c>
      <c r="B271" t="s">
        <v>59</v>
      </c>
      <c r="C271" t="s">
        <v>12</v>
      </c>
    </row>
    <row r="272" spans="1:3" x14ac:dyDescent="0.25">
      <c r="A272" s="1">
        <v>43067</v>
      </c>
      <c r="B272" t="s">
        <v>61</v>
      </c>
      <c r="C272" t="s">
        <v>48</v>
      </c>
    </row>
    <row r="273" spans="1:3" x14ac:dyDescent="0.25">
      <c r="A273" s="1">
        <v>43068</v>
      </c>
      <c r="B273" t="s">
        <v>48</v>
      </c>
      <c r="C273" t="s">
        <v>61</v>
      </c>
    </row>
    <row r="274" spans="1:3" x14ac:dyDescent="0.25">
      <c r="A274" s="1">
        <v>43069</v>
      </c>
      <c r="B274" t="s">
        <v>61</v>
      </c>
      <c r="C274" t="s">
        <v>48</v>
      </c>
    </row>
    <row r="275" spans="1:3" x14ac:dyDescent="0.25">
      <c r="A275" s="1">
        <v>43070</v>
      </c>
      <c r="B275" t="s">
        <v>32</v>
      </c>
      <c r="C275" t="s">
        <v>38</v>
      </c>
    </row>
    <row r="276" spans="1:3" x14ac:dyDescent="0.25">
      <c r="A276" s="1">
        <v>43071</v>
      </c>
      <c r="B276" t="s">
        <v>38</v>
      </c>
      <c r="C276" t="s">
        <v>57</v>
      </c>
    </row>
    <row r="277" spans="1:3" x14ac:dyDescent="0.25">
      <c r="A277" s="1">
        <v>43072</v>
      </c>
      <c r="B277" t="s">
        <v>56</v>
      </c>
      <c r="C277" t="s">
        <v>47</v>
      </c>
    </row>
    <row r="278" spans="1:3" x14ac:dyDescent="0.25">
      <c r="A278" s="1">
        <v>43073</v>
      </c>
      <c r="B278" t="s">
        <v>47</v>
      </c>
      <c r="C278" t="s">
        <v>46</v>
      </c>
    </row>
    <row r="279" spans="1:3" x14ac:dyDescent="0.25">
      <c r="A279" s="1">
        <v>43075</v>
      </c>
      <c r="B279" t="s">
        <v>38</v>
      </c>
      <c r="C279" t="s">
        <v>59</v>
      </c>
    </row>
    <row r="280" spans="1:3" x14ac:dyDescent="0.25">
      <c r="A280" s="1">
        <v>43076</v>
      </c>
      <c r="B280" t="s">
        <v>59</v>
      </c>
      <c r="C280" t="s">
        <v>8</v>
      </c>
    </row>
    <row r="281" spans="1:3" x14ac:dyDescent="0.25">
      <c r="A281" s="1">
        <v>43077</v>
      </c>
      <c r="B281" t="s">
        <v>8</v>
      </c>
      <c r="C281" t="s">
        <v>20</v>
      </c>
    </row>
    <row r="282" spans="1:3" x14ac:dyDescent="0.25">
      <c r="A282" s="1">
        <v>43078</v>
      </c>
      <c r="B282" t="s">
        <v>15</v>
      </c>
      <c r="C282" t="s">
        <v>23</v>
      </c>
    </row>
    <row r="283" spans="1:3" x14ac:dyDescent="0.25">
      <c r="A283" s="1">
        <v>43079</v>
      </c>
      <c r="B283" t="s">
        <v>7</v>
      </c>
      <c r="C283" t="s">
        <v>8</v>
      </c>
    </row>
    <row r="284" spans="1:3" x14ac:dyDescent="0.25">
      <c r="A284" s="1">
        <v>43080</v>
      </c>
      <c r="B284" t="s">
        <v>8</v>
      </c>
      <c r="C284" t="s">
        <v>20</v>
      </c>
    </row>
    <row r="285" spans="1:3" x14ac:dyDescent="0.25">
      <c r="A285" s="1">
        <v>43081</v>
      </c>
      <c r="B285" t="s">
        <v>20</v>
      </c>
      <c r="C285" t="s">
        <v>60</v>
      </c>
    </row>
    <row r="286" spans="1:3" x14ac:dyDescent="0.25">
      <c r="A286" s="1">
        <v>43082</v>
      </c>
      <c r="B286" t="s">
        <v>60</v>
      </c>
      <c r="C286" t="s">
        <v>47</v>
      </c>
    </row>
    <row r="287" spans="1:3" x14ac:dyDescent="0.25">
      <c r="A287" s="1">
        <v>43083</v>
      </c>
      <c r="B287" t="s">
        <v>47</v>
      </c>
      <c r="C287" t="s">
        <v>54</v>
      </c>
    </row>
    <row r="288" spans="1:3" x14ac:dyDescent="0.25">
      <c r="A288" s="1">
        <v>43084</v>
      </c>
      <c r="B288" t="s">
        <v>54</v>
      </c>
      <c r="C288" t="s">
        <v>49</v>
      </c>
    </row>
    <row r="289" spans="1:3" x14ac:dyDescent="0.25">
      <c r="A289" s="1">
        <v>43085</v>
      </c>
      <c r="B289" t="s">
        <v>49</v>
      </c>
      <c r="C289" t="s">
        <v>37</v>
      </c>
    </row>
    <row r="290" spans="1:3" x14ac:dyDescent="0.25">
      <c r="A290" s="1">
        <v>43086</v>
      </c>
      <c r="B290" t="s">
        <v>37</v>
      </c>
      <c r="C290" t="s">
        <v>38</v>
      </c>
    </row>
    <row r="291" spans="1:3" x14ac:dyDescent="0.25">
      <c r="A291" s="1">
        <v>43087</v>
      </c>
      <c r="B291" t="s">
        <v>38</v>
      </c>
      <c r="C291" t="s">
        <v>39</v>
      </c>
    </row>
    <row r="292" spans="1:3" x14ac:dyDescent="0.25">
      <c r="A292" s="1">
        <v>43088</v>
      </c>
      <c r="B292" t="s">
        <v>39</v>
      </c>
      <c r="C292" t="s">
        <v>18</v>
      </c>
    </row>
    <row r="293" spans="1:3" x14ac:dyDescent="0.25">
      <c r="A293" s="1">
        <v>43089</v>
      </c>
      <c r="B293" t="s">
        <v>18</v>
      </c>
      <c r="C293" t="s">
        <v>39</v>
      </c>
    </row>
    <row r="294" spans="1:3" x14ac:dyDescent="0.25">
      <c r="A294" s="1">
        <v>43090</v>
      </c>
      <c r="B294" t="s">
        <v>15</v>
      </c>
      <c r="C294" t="s">
        <v>23</v>
      </c>
    </row>
    <row r="295" spans="1:3" x14ac:dyDescent="0.25">
      <c r="A295" s="1">
        <v>43092</v>
      </c>
      <c r="B295" t="s">
        <v>30</v>
      </c>
      <c r="C295" t="s">
        <v>72</v>
      </c>
    </row>
    <row r="296" spans="1:3" x14ac:dyDescent="0.25">
      <c r="A296" s="1">
        <v>43094</v>
      </c>
      <c r="B296" t="s">
        <v>6</v>
      </c>
      <c r="C296" t="s">
        <v>38</v>
      </c>
    </row>
    <row r="297" spans="1:3" x14ac:dyDescent="0.25">
      <c r="A297" s="1">
        <v>43095</v>
      </c>
      <c r="B297" t="s">
        <v>38</v>
      </c>
      <c r="C297" t="s">
        <v>37</v>
      </c>
    </row>
    <row r="298" spans="1:3" x14ac:dyDescent="0.25">
      <c r="A298" s="1">
        <v>43096</v>
      </c>
      <c r="B298" t="s">
        <v>37</v>
      </c>
      <c r="C298" t="s">
        <v>43</v>
      </c>
    </row>
    <row r="299" spans="1:3" x14ac:dyDescent="0.25">
      <c r="A299" s="1">
        <v>43097</v>
      </c>
      <c r="B299" t="s">
        <v>43</v>
      </c>
      <c r="C299" t="s">
        <v>52</v>
      </c>
    </row>
    <row r="300" spans="1:3" x14ac:dyDescent="0.25">
      <c r="A300" s="1">
        <v>43098</v>
      </c>
      <c r="B300" t="s">
        <v>52</v>
      </c>
      <c r="C300" t="s">
        <v>15</v>
      </c>
    </row>
    <row r="301" spans="1:3" x14ac:dyDescent="0.25">
      <c r="A301" s="1">
        <v>43100</v>
      </c>
      <c r="B301" t="s">
        <v>12</v>
      </c>
      <c r="C301" t="s">
        <v>6</v>
      </c>
    </row>
  </sheetData>
  <sortState xmlns:xlrd2="http://schemas.microsoft.com/office/spreadsheetml/2017/richdata2" ref="L8:M18">
    <sortCondition descending="1" ref="M8:M18"/>
  </sortState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46870-2272-4B4B-97F6-A0C33AA52388}">
  <dimension ref="A1:L301"/>
  <sheetViews>
    <sheetView tabSelected="1" topLeftCell="A268" workbookViewId="0">
      <selection activeCell="I285" sqref="I285"/>
    </sheetView>
  </sheetViews>
  <sheetFormatPr defaultRowHeight="15" x14ac:dyDescent="0.25"/>
  <cols>
    <col min="1" max="1" width="10.140625" bestFit="1" customWidth="1"/>
    <col min="2" max="3" width="20" bestFit="1" customWidth="1"/>
    <col min="4" max="4" width="5.85546875" bestFit="1" customWidth="1"/>
    <col min="5" max="5" width="9.7109375" bestFit="1" customWidth="1"/>
    <col min="6" max="6" width="5.42578125" bestFit="1" customWidth="1"/>
    <col min="9" max="10" width="10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2" x14ac:dyDescent="0.25">
      <c r="A2" s="1">
        <v>42737</v>
      </c>
      <c r="B2" t="s">
        <v>6</v>
      </c>
      <c r="C2" t="s">
        <v>7</v>
      </c>
      <c r="D2">
        <v>3527</v>
      </c>
      <c r="E2">
        <v>167</v>
      </c>
      <c r="F2">
        <v>206</v>
      </c>
      <c r="G2">
        <f>IF(AND(B2=C1,C2=B3),G1+1,0)</f>
        <v>0</v>
      </c>
      <c r="H2" t="str">
        <f>IF(G2=$L$2,"xxxxxxxxxxxxxxxxx","")</f>
        <v/>
      </c>
      <c r="L2">
        <f>MAX(G2:G301)</f>
        <v>9</v>
      </c>
    </row>
    <row r="3" spans="1:12" x14ac:dyDescent="0.25">
      <c r="A3" s="1">
        <v>42738</v>
      </c>
      <c r="B3" t="s">
        <v>7</v>
      </c>
      <c r="C3" t="s">
        <v>8</v>
      </c>
      <c r="D3">
        <v>3666</v>
      </c>
      <c r="E3">
        <v>112</v>
      </c>
      <c r="F3">
        <v>280</v>
      </c>
      <c r="G3">
        <f>IF(AND(B3=C2,C3=B4,A2+1=A3),G2+1,0)</f>
        <v>1</v>
      </c>
      <c r="H3" t="str">
        <f t="shared" ref="H3:H66" si="0">IF(G3=$L$2,"xxxxxxxxxxxxxxxxx","")</f>
        <v/>
      </c>
    </row>
    <row r="4" spans="1:12" x14ac:dyDescent="0.25">
      <c r="A4" s="1">
        <v>42739</v>
      </c>
      <c r="B4" t="s">
        <v>8</v>
      </c>
      <c r="C4" t="s">
        <v>9</v>
      </c>
      <c r="D4">
        <v>4888</v>
      </c>
      <c r="E4">
        <v>167</v>
      </c>
      <c r="F4">
        <v>624</v>
      </c>
      <c r="G4">
        <f t="shared" ref="G4:G67" si="1">IF(AND(B4=C3,C4=B5,A3+1=A4),G3+1,0)</f>
        <v>2</v>
      </c>
      <c r="H4" t="str">
        <f t="shared" si="0"/>
        <v/>
      </c>
    </row>
    <row r="5" spans="1:12" x14ac:dyDescent="0.25">
      <c r="A5" s="1">
        <v>42740</v>
      </c>
      <c r="B5" t="s">
        <v>9</v>
      </c>
      <c r="C5" t="s">
        <v>10</v>
      </c>
      <c r="D5">
        <v>1099</v>
      </c>
      <c r="E5">
        <v>167</v>
      </c>
      <c r="F5">
        <v>390</v>
      </c>
      <c r="G5">
        <f t="shared" si="1"/>
        <v>0</v>
      </c>
      <c r="H5" t="str">
        <f t="shared" si="0"/>
        <v/>
      </c>
    </row>
    <row r="6" spans="1:12" x14ac:dyDescent="0.25">
      <c r="A6" s="1">
        <v>42742</v>
      </c>
      <c r="B6" t="s">
        <v>11</v>
      </c>
      <c r="C6" t="s">
        <v>12</v>
      </c>
      <c r="D6">
        <v>4881</v>
      </c>
      <c r="E6">
        <v>118</v>
      </c>
      <c r="F6">
        <v>219</v>
      </c>
      <c r="G6">
        <f t="shared" si="1"/>
        <v>0</v>
      </c>
      <c r="H6" t="str">
        <f t="shared" si="0"/>
        <v/>
      </c>
    </row>
    <row r="7" spans="1:12" x14ac:dyDescent="0.25">
      <c r="A7" s="1">
        <v>42743</v>
      </c>
      <c r="B7" t="s">
        <v>12</v>
      </c>
      <c r="C7" t="s">
        <v>11</v>
      </c>
      <c r="D7">
        <v>5851</v>
      </c>
      <c r="E7">
        <v>113</v>
      </c>
      <c r="F7">
        <v>160</v>
      </c>
      <c r="G7">
        <f t="shared" si="1"/>
        <v>1</v>
      </c>
      <c r="H7" t="str">
        <f t="shared" si="0"/>
        <v/>
      </c>
    </row>
    <row r="8" spans="1:12" x14ac:dyDescent="0.25">
      <c r="A8" s="1">
        <v>42744</v>
      </c>
      <c r="B8" t="s">
        <v>11</v>
      </c>
      <c r="C8" t="s">
        <v>13</v>
      </c>
      <c r="D8">
        <v>5963</v>
      </c>
      <c r="E8">
        <v>141</v>
      </c>
      <c r="F8">
        <v>168</v>
      </c>
      <c r="G8">
        <f t="shared" si="1"/>
        <v>2</v>
      </c>
      <c r="H8" t="str">
        <f t="shared" si="0"/>
        <v/>
      </c>
    </row>
    <row r="9" spans="1:12" x14ac:dyDescent="0.25">
      <c r="A9" s="1">
        <v>42745</v>
      </c>
      <c r="B9" t="s">
        <v>13</v>
      </c>
      <c r="C9" t="s">
        <v>9</v>
      </c>
      <c r="D9">
        <v>1364</v>
      </c>
      <c r="E9">
        <v>179</v>
      </c>
      <c r="F9">
        <v>533</v>
      </c>
      <c r="G9">
        <f t="shared" si="1"/>
        <v>3</v>
      </c>
      <c r="H9" t="str">
        <f t="shared" si="0"/>
        <v/>
      </c>
    </row>
    <row r="10" spans="1:12" x14ac:dyDescent="0.25">
      <c r="A10" s="1">
        <v>42746</v>
      </c>
      <c r="B10" t="s">
        <v>9</v>
      </c>
      <c r="C10" t="s">
        <v>10</v>
      </c>
      <c r="D10">
        <v>1245</v>
      </c>
      <c r="E10">
        <v>166</v>
      </c>
      <c r="F10">
        <v>209</v>
      </c>
      <c r="G10">
        <f t="shared" si="1"/>
        <v>0</v>
      </c>
      <c r="H10" t="str">
        <f t="shared" si="0"/>
        <v/>
      </c>
    </row>
    <row r="11" spans="1:12" x14ac:dyDescent="0.25">
      <c r="A11" s="1">
        <v>42747</v>
      </c>
      <c r="B11" t="s">
        <v>14</v>
      </c>
      <c r="C11" t="s">
        <v>15</v>
      </c>
      <c r="D11">
        <v>3771</v>
      </c>
      <c r="E11">
        <v>196</v>
      </c>
      <c r="F11">
        <v>696</v>
      </c>
      <c r="G11">
        <f t="shared" si="1"/>
        <v>0</v>
      </c>
      <c r="H11" t="str">
        <f t="shared" si="0"/>
        <v/>
      </c>
    </row>
    <row r="12" spans="1:12" x14ac:dyDescent="0.25">
      <c r="A12" s="1">
        <v>42749</v>
      </c>
      <c r="B12" t="s">
        <v>16</v>
      </c>
      <c r="C12" t="s">
        <v>17</v>
      </c>
      <c r="D12">
        <v>4522</v>
      </c>
      <c r="E12">
        <v>300</v>
      </c>
      <c r="F12">
        <v>1113</v>
      </c>
      <c r="G12">
        <f t="shared" si="1"/>
        <v>0</v>
      </c>
      <c r="H12" t="str">
        <f t="shared" si="0"/>
        <v/>
      </c>
    </row>
    <row r="13" spans="1:12" x14ac:dyDescent="0.25">
      <c r="A13" s="1">
        <v>42750</v>
      </c>
      <c r="B13" t="s">
        <v>17</v>
      </c>
      <c r="C13" t="s">
        <v>18</v>
      </c>
      <c r="D13">
        <v>4588</v>
      </c>
      <c r="E13">
        <v>148</v>
      </c>
      <c r="F13">
        <v>494</v>
      </c>
      <c r="G13">
        <f t="shared" si="1"/>
        <v>0</v>
      </c>
      <c r="H13" t="str">
        <f t="shared" si="0"/>
        <v/>
      </c>
    </row>
    <row r="14" spans="1:12" x14ac:dyDescent="0.25">
      <c r="A14" s="1">
        <v>42751</v>
      </c>
      <c r="B14" t="s">
        <v>19</v>
      </c>
      <c r="C14" t="s">
        <v>20</v>
      </c>
      <c r="D14">
        <v>1952</v>
      </c>
      <c r="E14">
        <v>267</v>
      </c>
      <c r="F14">
        <v>602</v>
      </c>
      <c r="G14">
        <f t="shared" si="1"/>
        <v>0</v>
      </c>
      <c r="H14" t="str">
        <f t="shared" si="0"/>
        <v/>
      </c>
    </row>
    <row r="15" spans="1:12" x14ac:dyDescent="0.25">
      <c r="A15" s="1">
        <v>42752</v>
      </c>
      <c r="B15" t="s">
        <v>20</v>
      </c>
      <c r="C15" t="s">
        <v>7</v>
      </c>
      <c r="D15">
        <v>3318</v>
      </c>
      <c r="E15">
        <v>110</v>
      </c>
      <c r="F15">
        <v>422</v>
      </c>
      <c r="G15">
        <f t="shared" si="1"/>
        <v>0</v>
      </c>
      <c r="H15" t="str">
        <f t="shared" si="0"/>
        <v/>
      </c>
    </row>
    <row r="16" spans="1:12" x14ac:dyDescent="0.25">
      <c r="A16" s="1">
        <v>42755</v>
      </c>
      <c r="B16" t="s">
        <v>13</v>
      </c>
      <c r="C16" t="s">
        <v>9</v>
      </c>
      <c r="D16">
        <v>3106</v>
      </c>
      <c r="E16">
        <v>173</v>
      </c>
      <c r="F16">
        <v>312</v>
      </c>
      <c r="G16">
        <f t="shared" si="1"/>
        <v>0</v>
      </c>
      <c r="H16" t="str">
        <f t="shared" si="0"/>
        <v/>
      </c>
    </row>
    <row r="17" spans="1:8" x14ac:dyDescent="0.25">
      <c r="A17" s="1">
        <v>42756</v>
      </c>
      <c r="B17" t="s">
        <v>9</v>
      </c>
      <c r="C17" t="s">
        <v>6</v>
      </c>
      <c r="D17">
        <v>5593</v>
      </c>
      <c r="E17">
        <v>127</v>
      </c>
      <c r="F17">
        <v>421</v>
      </c>
      <c r="G17">
        <f t="shared" si="1"/>
        <v>1</v>
      </c>
      <c r="H17" t="str">
        <f t="shared" si="0"/>
        <v/>
      </c>
    </row>
    <row r="18" spans="1:8" x14ac:dyDescent="0.25">
      <c r="A18" s="1">
        <v>42757</v>
      </c>
      <c r="B18" t="s">
        <v>6</v>
      </c>
      <c r="C18" t="s">
        <v>12</v>
      </c>
      <c r="D18">
        <v>5983</v>
      </c>
      <c r="E18">
        <v>118</v>
      </c>
      <c r="F18">
        <v>416</v>
      </c>
      <c r="G18">
        <f t="shared" si="1"/>
        <v>2</v>
      </c>
      <c r="H18" t="str">
        <f t="shared" si="0"/>
        <v/>
      </c>
    </row>
    <row r="19" spans="1:8" x14ac:dyDescent="0.25">
      <c r="A19" s="1">
        <v>42758</v>
      </c>
      <c r="B19" t="s">
        <v>12</v>
      </c>
      <c r="C19" t="s">
        <v>6</v>
      </c>
      <c r="D19">
        <v>5496</v>
      </c>
      <c r="E19">
        <v>115</v>
      </c>
      <c r="F19">
        <v>291</v>
      </c>
      <c r="G19">
        <f t="shared" si="1"/>
        <v>3</v>
      </c>
      <c r="H19" t="str">
        <f t="shared" si="0"/>
        <v/>
      </c>
    </row>
    <row r="20" spans="1:8" x14ac:dyDescent="0.25">
      <c r="A20" s="1">
        <v>42759</v>
      </c>
      <c r="B20" t="s">
        <v>6</v>
      </c>
      <c r="C20" t="s">
        <v>11</v>
      </c>
      <c r="D20">
        <v>4572</v>
      </c>
      <c r="E20">
        <v>164</v>
      </c>
      <c r="F20">
        <v>550</v>
      </c>
      <c r="G20">
        <f t="shared" si="1"/>
        <v>4</v>
      </c>
      <c r="H20" t="str">
        <f t="shared" si="0"/>
        <v/>
      </c>
    </row>
    <row r="21" spans="1:8" x14ac:dyDescent="0.25">
      <c r="A21" s="1">
        <v>42760</v>
      </c>
      <c r="B21" t="s">
        <v>11</v>
      </c>
      <c r="C21" t="s">
        <v>12</v>
      </c>
      <c r="D21">
        <v>4529</v>
      </c>
      <c r="E21">
        <v>121</v>
      </c>
      <c r="F21">
        <v>373</v>
      </c>
      <c r="G21">
        <f t="shared" si="1"/>
        <v>5</v>
      </c>
      <c r="H21" t="str">
        <f t="shared" si="0"/>
        <v/>
      </c>
    </row>
    <row r="22" spans="1:8" x14ac:dyDescent="0.25">
      <c r="A22" s="1">
        <v>42761</v>
      </c>
      <c r="B22" t="s">
        <v>12</v>
      </c>
      <c r="C22" t="s">
        <v>6</v>
      </c>
      <c r="D22">
        <v>4981</v>
      </c>
      <c r="E22">
        <v>123</v>
      </c>
      <c r="F22">
        <v>218</v>
      </c>
      <c r="G22">
        <f t="shared" si="1"/>
        <v>6</v>
      </c>
      <c r="H22" t="str">
        <f t="shared" si="0"/>
        <v/>
      </c>
    </row>
    <row r="23" spans="1:8" x14ac:dyDescent="0.25">
      <c r="A23" s="1">
        <v>42762</v>
      </c>
      <c r="B23" t="s">
        <v>6</v>
      </c>
      <c r="C23" t="s">
        <v>7</v>
      </c>
      <c r="D23">
        <v>3808</v>
      </c>
      <c r="E23">
        <v>163</v>
      </c>
      <c r="F23">
        <v>655</v>
      </c>
      <c r="G23">
        <f t="shared" si="1"/>
        <v>7</v>
      </c>
      <c r="H23" t="str">
        <f t="shared" si="0"/>
        <v/>
      </c>
    </row>
    <row r="24" spans="1:8" x14ac:dyDescent="0.25">
      <c r="A24" s="1">
        <v>42763</v>
      </c>
      <c r="B24" t="s">
        <v>7</v>
      </c>
      <c r="C24" t="s">
        <v>21</v>
      </c>
      <c r="D24">
        <v>1359</v>
      </c>
      <c r="E24">
        <v>130</v>
      </c>
      <c r="F24">
        <v>346</v>
      </c>
      <c r="G24">
        <f t="shared" si="1"/>
        <v>0</v>
      </c>
      <c r="H24" t="str">
        <f t="shared" si="0"/>
        <v/>
      </c>
    </row>
    <row r="25" spans="1:8" x14ac:dyDescent="0.25">
      <c r="A25" s="1">
        <v>42764</v>
      </c>
      <c r="B25" t="s">
        <v>22</v>
      </c>
      <c r="C25" t="s">
        <v>23</v>
      </c>
      <c r="D25">
        <v>2320</v>
      </c>
      <c r="E25">
        <v>24</v>
      </c>
      <c r="F25">
        <v>68</v>
      </c>
      <c r="G25">
        <f t="shared" si="1"/>
        <v>0</v>
      </c>
      <c r="H25" t="str">
        <f t="shared" si="0"/>
        <v/>
      </c>
    </row>
    <row r="26" spans="1:8" x14ac:dyDescent="0.25">
      <c r="A26" s="1">
        <v>42765</v>
      </c>
      <c r="B26" t="s">
        <v>23</v>
      </c>
      <c r="C26" t="s">
        <v>24</v>
      </c>
      <c r="D26">
        <v>2607</v>
      </c>
      <c r="E26">
        <v>115</v>
      </c>
      <c r="F26">
        <v>264</v>
      </c>
      <c r="G26">
        <f t="shared" si="1"/>
        <v>1</v>
      </c>
      <c r="H26" t="str">
        <f t="shared" si="0"/>
        <v/>
      </c>
    </row>
    <row r="27" spans="1:8" x14ac:dyDescent="0.25">
      <c r="A27" s="1">
        <v>42766</v>
      </c>
      <c r="B27" t="s">
        <v>24</v>
      </c>
      <c r="C27" t="s">
        <v>23</v>
      </c>
      <c r="D27">
        <v>3657</v>
      </c>
      <c r="E27">
        <v>100</v>
      </c>
      <c r="F27">
        <v>424</v>
      </c>
      <c r="G27">
        <f t="shared" si="1"/>
        <v>2</v>
      </c>
      <c r="H27" t="str">
        <f t="shared" si="0"/>
        <v/>
      </c>
    </row>
    <row r="28" spans="1:8" x14ac:dyDescent="0.25">
      <c r="A28" s="1">
        <v>42767</v>
      </c>
      <c r="B28" t="s">
        <v>23</v>
      </c>
      <c r="C28" t="s">
        <v>25</v>
      </c>
      <c r="D28">
        <v>5671</v>
      </c>
      <c r="E28">
        <v>118</v>
      </c>
      <c r="F28">
        <v>390</v>
      </c>
      <c r="G28">
        <f t="shared" si="1"/>
        <v>3</v>
      </c>
      <c r="H28" t="str">
        <f t="shared" si="0"/>
        <v/>
      </c>
    </row>
    <row r="29" spans="1:8" x14ac:dyDescent="0.25">
      <c r="A29" s="1">
        <v>42768</v>
      </c>
      <c r="B29" t="s">
        <v>25</v>
      </c>
      <c r="C29" t="s">
        <v>22</v>
      </c>
      <c r="D29">
        <v>4871</v>
      </c>
      <c r="E29">
        <v>126</v>
      </c>
      <c r="F29">
        <v>185</v>
      </c>
      <c r="G29">
        <f t="shared" si="1"/>
        <v>4</v>
      </c>
      <c r="H29" t="str">
        <f t="shared" si="0"/>
        <v/>
      </c>
    </row>
    <row r="30" spans="1:8" x14ac:dyDescent="0.25">
      <c r="A30" s="1">
        <v>42769</v>
      </c>
      <c r="B30" t="s">
        <v>22</v>
      </c>
      <c r="C30" t="s">
        <v>26</v>
      </c>
      <c r="D30">
        <v>1686</v>
      </c>
      <c r="E30">
        <v>102</v>
      </c>
      <c r="F30">
        <v>167</v>
      </c>
      <c r="G30">
        <f t="shared" si="1"/>
        <v>5</v>
      </c>
      <c r="H30" t="str">
        <f t="shared" si="0"/>
        <v/>
      </c>
    </row>
    <row r="31" spans="1:8" x14ac:dyDescent="0.25">
      <c r="A31" s="1">
        <v>42770</v>
      </c>
      <c r="B31" t="s">
        <v>26</v>
      </c>
      <c r="C31" t="s">
        <v>21</v>
      </c>
      <c r="D31">
        <v>5628</v>
      </c>
      <c r="E31">
        <v>123</v>
      </c>
      <c r="F31">
        <v>450</v>
      </c>
      <c r="G31">
        <f t="shared" si="1"/>
        <v>6</v>
      </c>
      <c r="H31" t="str">
        <f t="shared" si="0"/>
        <v/>
      </c>
    </row>
    <row r="32" spans="1:8" x14ac:dyDescent="0.25">
      <c r="A32" s="1">
        <v>42771</v>
      </c>
      <c r="B32" t="s">
        <v>21</v>
      </c>
      <c r="C32" t="s">
        <v>14</v>
      </c>
      <c r="D32">
        <v>3295</v>
      </c>
      <c r="E32">
        <v>103</v>
      </c>
      <c r="F32">
        <v>346</v>
      </c>
      <c r="G32">
        <f t="shared" si="1"/>
        <v>0</v>
      </c>
      <c r="H32" t="str">
        <f t="shared" si="0"/>
        <v/>
      </c>
    </row>
    <row r="33" spans="1:8" x14ac:dyDescent="0.25">
      <c r="A33" s="1">
        <v>42772</v>
      </c>
      <c r="B33" t="s">
        <v>27</v>
      </c>
      <c r="C33" t="s">
        <v>28</v>
      </c>
      <c r="D33">
        <v>5291</v>
      </c>
      <c r="E33">
        <v>273</v>
      </c>
      <c r="F33">
        <v>520</v>
      </c>
      <c r="G33">
        <f t="shared" si="1"/>
        <v>0</v>
      </c>
      <c r="H33" t="str">
        <f t="shared" si="0"/>
        <v/>
      </c>
    </row>
    <row r="34" spans="1:8" x14ac:dyDescent="0.25">
      <c r="A34" s="1">
        <v>42773</v>
      </c>
      <c r="B34" t="s">
        <v>28</v>
      </c>
      <c r="C34" t="s">
        <v>29</v>
      </c>
      <c r="D34">
        <v>5838</v>
      </c>
      <c r="E34">
        <v>128</v>
      </c>
      <c r="F34">
        <v>518</v>
      </c>
      <c r="G34">
        <f t="shared" si="1"/>
        <v>1</v>
      </c>
      <c r="H34" t="str">
        <f t="shared" si="0"/>
        <v/>
      </c>
    </row>
    <row r="35" spans="1:8" x14ac:dyDescent="0.25">
      <c r="A35" s="1">
        <v>42774</v>
      </c>
      <c r="B35" t="s">
        <v>29</v>
      </c>
      <c r="C35" t="s">
        <v>20</v>
      </c>
      <c r="D35">
        <v>3319</v>
      </c>
      <c r="E35">
        <v>154</v>
      </c>
      <c r="F35">
        <v>314</v>
      </c>
      <c r="G35">
        <f t="shared" si="1"/>
        <v>0</v>
      </c>
      <c r="H35" t="str">
        <f t="shared" si="0"/>
        <v/>
      </c>
    </row>
    <row r="36" spans="1:8" x14ac:dyDescent="0.25">
      <c r="A36" s="1">
        <v>42775</v>
      </c>
      <c r="B36" t="s">
        <v>30</v>
      </c>
      <c r="C36" t="s">
        <v>7</v>
      </c>
      <c r="D36">
        <v>2152</v>
      </c>
      <c r="E36">
        <v>190</v>
      </c>
      <c r="F36">
        <v>406</v>
      </c>
      <c r="G36">
        <f t="shared" si="1"/>
        <v>0</v>
      </c>
      <c r="H36" t="str">
        <f t="shared" si="0"/>
        <v/>
      </c>
    </row>
    <row r="37" spans="1:8" x14ac:dyDescent="0.25">
      <c r="A37" s="1">
        <v>42776</v>
      </c>
      <c r="B37" t="s">
        <v>7</v>
      </c>
      <c r="C37" t="s">
        <v>21</v>
      </c>
      <c r="D37">
        <v>3810</v>
      </c>
      <c r="E37">
        <v>135</v>
      </c>
      <c r="F37">
        <v>221</v>
      </c>
      <c r="G37">
        <f t="shared" si="1"/>
        <v>1</v>
      </c>
      <c r="H37" t="str">
        <f t="shared" si="0"/>
        <v/>
      </c>
    </row>
    <row r="38" spans="1:8" x14ac:dyDescent="0.25">
      <c r="A38" s="1">
        <v>42777</v>
      </c>
      <c r="B38" t="s">
        <v>21</v>
      </c>
      <c r="C38" t="s">
        <v>31</v>
      </c>
      <c r="D38">
        <v>5713</v>
      </c>
      <c r="E38">
        <v>128</v>
      </c>
      <c r="F38">
        <v>376</v>
      </c>
      <c r="G38">
        <f t="shared" si="1"/>
        <v>2</v>
      </c>
      <c r="H38" t="str">
        <f t="shared" si="0"/>
        <v/>
      </c>
    </row>
    <row r="39" spans="1:8" x14ac:dyDescent="0.25">
      <c r="A39" s="1">
        <v>42778</v>
      </c>
      <c r="B39" t="s">
        <v>31</v>
      </c>
      <c r="C39" t="s">
        <v>21</v>
      </c>
      <c r="D39">
        <v>4163</v>
      </c>
      <c r="E39">
        <v>128</v>
      </c>
      <c r="F39">
        <v>257</v>
      </c>
      <c r="G39">
        <f t="shared" si="1"/>
        <v>3</v>
      </c>
      <c r="H39" t="str">
        <f t="shared" si="0"/>
        <v/>
      </c>
    </row>
    <row r="40" spans="1:8" x14ac:dyDescent="0.25">
      <c r="A40" s="1">
        <v>42779</v>
      </c>
      <c r="B40" t="s">
        <v>21</v>
      </c>
      <c r="C40" t="s">
        <v>32</v>
      </c>
      <c r="D40">
        <v>3216</v>
      </c>
      <c r="E40">
        <v>162</v>
      </c>
      <c r="F40">
        <v>278</v>
      </c>
      <c r="G40">
        <f t="shared" si="1"/>
        <v>0</v>
      </c>
      <c r="H40" t="str">
        <f t="shared" si="0"/>
        <v/>
      </c>
    </row>
    <row r="41" spans="1:8" x14ac:dyDescent="0.25">
      <c r="A41" s="1">
        <v>42780</v>
      </c>
      <c r="B41" t="s">
        <v>11</v>
      </c>
      <c r="C41" t="s">
        <v>33</v>
      </c>
      <c r="D41">
        <v>5060</v>
      </c>
      <c r="E41">
        <v>550</v>
      </c>
      <c r="F41">
        <v>1622</v>
      </c>
      <c r="G41">
        <f t="shared" si="1"/>
        <v>0</v>
      </c>
      <c r="H41" t="str">
        <f t="shared" si="0"/>
        <v/>
      </c>
    </row>
    <row r="42" spans="1:8" x14ac:dyDescent="0.25">
      <c r="A42" s="1">
        <v>42782</v>
      </c>
      <c r="B42" t="s">
        <v>31</v>
      </c>
      <c r="C42" t="s">
        <v>24</v>
      </c>
      <c r="D42">
        <v>2446</v>
      </c>
      <c r="E42">
        <v>161</v>
      </c>
      <c r="F42">
        <v>379</v>
      </c>
      <c r="G42">
        <f t="shared" si="1"/>
        <v>0</v>
      </c>
      <c r="H42" t="str">
        <f t="shared" si="0"/>
        <v/>
      </c>
    </row>
    <row r="43" spans="1:8" x14ac:dyDescent="0.25">
      <c r="A43" s="1">
        <v>42783</v>
      </c>
      <c r="B43" t="s">
        <v>24</v>
      </c>
      <c r="C43" t="s">
        <v>23</v>
      </c>
      <c r="D43">
        <v>3305</v>
      </c>
      <c r="E43">
        <v>106</v>
      </c>
      <c r="F43">
        <v>116</v>
      </c>
      <c r="G43">
        <f t="shared" si="1"/>
        <v>0</v>
      </c>
      <c r="H43" t="str">
        <f t="shared" si="0"/>
        <v/>
      </c>
    </row>
    <row r="44" spans="1:8" x14ac:dyDescent="0.25">
      <c r="A44" s="1">
        <v>42785</v>
      </c>
      <c r="B44" t="s">
        <v>21</v>
      </c>
      <c r="C44" t="s">
        <v>7</v>
      </c>
      <c r="D44">
        <v>1743</v>
      </c>
      <c r="E44">
        <v>145</v>
      </c>
      <c r="F44">
        <v>376</v>
      </c>
      <c r="G44">
        <f t="shared" si="1"/>
        <v>0</v>
      </c>
      <c r="H44" t="str">
        <f t="shared" si="0"/>
        <v/>
      </c>
    </row>
    <row r="45" spans="1:8" x14ac:dyDescent="0.25">
      <c r="A45" s="1">
        <v>42788</v>
      </c>
      <c r="B45" t="s">
        <v>17</v>
      </c>
      <c r="C45" t="s">
        <v>34</v>
      </c>
      <c r="D45">
        <v>4053</v>
      </c>
      <c r="E45">
        <v>146</v>
      </c>
      <c r="F45">
        <v>441</v>
      </c>
      <c r="G45">
        <f t="shared" si="1"/>
        <v>0</v>
      </c>
      <c r="H45" t="str">
        <f t="shared" si="0"/>
        <v/>
      </c>
    </row>
    <row r="46" spans="1:8" x14ac:dyDescent="0.25">
      <c r="A46" s="1">
        <v>42789</v>
      </c>
      <c r="B46" t="s">
        <v>18</v>
      </c>
      <c r="C46" t="s">
        <v>29</v>
      </c>
      <c r="D46">
        <v>4905</v>
      </c>
      <c r="E46">
        <v>157</v>
      </c>
      <c r="F46">
        <v>392</v>
      </c>
      <c r="G46">
        <f t="shared" si="1"/>
        <v>0</v>
      </c>
      <c r="H46" t="str">
        <f t="shared" si="0"/>
        <v/>
      </c>
    </row>
    <row r="47" spans="1:8" x14ac:dyDescent="0.25">
      <c r="A47" s="1">
        <v>42791</v>
      </c>
      <c r="B47" t="s">
        <v>8</v>
      </c>
      <c r="C47" t="s">
        <v>7</v>
      </c>
      <c r="D47">
        <v>1624</v>
      </c>
      <c r="E47">
        <v>111</v>
      </c>
      <c r="F47">
        <v>221</v>
      </c>
      <c r="G47">
        <f t="shared" si="1"/>
        <v>0</v>
      </c>
      <c r="H47" t="str">
        <f t="shared" si="0"/>
        <v/>
      </c>
    </row>
    <row r="48" spans="1:8" x14ac:dyDescent="0.25">
      <c r="A48" s="1">
        <v>42793</v>
      </c>
      <c r="B48" t="s">
        <v>35</v>
      </c>
      <c r="C48" t="s">
        <v>27</v>
      </c>
      <c r="D48">
        <v>5326</v>
      </c>
      <c r="E48">
        <v>171</v>
      </c>
      <c r="F48">
        <v>263</v>
      </c>
      <c r="G48">
        <f t="shared" si="1"/>
        <v>0</v>
      </c>
      <c r="H48" t="str">
        <f t="shared" si="0"/>
        <v/>
      </c>
    </row>
    <row r="49" spans="1:8" x14ac:dyDescent="0.25">
      <c r="A49" s="1">
        <v>42794</v>
      </c>
      <c r="B49" t="s">
        <v>36</v>
      </c>
      <c r="C49" t="s">
        <v>12</v>
      </c>
      <c r="D49">
        <v>4398</v>
      </c>
      <c r="E49">
        <v>225</v>
      </c>
      <c r="F49">
        <v>400</v>
      </c>
      <c r="G49">
        <f t="shared" si="1"/>
        <v>0</v>
      </c>
      <c r="H49" t="str">
        <f t="shared" si="0"/>
        <v/>
      </c>
    </row>
    <row r="50" spans="1:8" x14ac:dyDescent="0.25">
      <c r="A50" s="1">
        <v>42795</v>
      </c>
      <c r="B50" t="s">
        <v>35</v>
      </c>
      <c r="C50" t="s">
        <v>37</v>
      </c>
      <c r="D50">
        <v>4494</v>
      </c>
      <c r="E50">
        <v>143</v>
      </c>
      <c r="F50">
        <v>252</v>
      </c>
      <c r="G50">
        <f t="shared" si="1"/>
        <v>0</v>
      </c>
      <c r="H50" t="str">
        <f t="shared" si="0"/>
        <v/>
      </c>
    </row>
    <row r="51" spans="1:8" x14ac:dyDescent="0.25">
      <c r="A51" s="1">
        <v>42796</v>
      </c>
      <c r="B51" t="s">
        <v>37</v>
      </c>
      <c r="C51" t="s">
        <v>38</v>
      </c>
      <c r="D51">
        <v>2136</v>
      </c>
      <c r="E51">
        <v>139</v>
      </c>
      <c r="F51">
        <v>522</v>
      </c>
      <c r="G51">
        <f t="shared" si="1"/>
        <v>1</v>
      </c>
      <c r="H51" t="str">
        <f t="shared" si="0"/>
        <v/>
      </c>
    </row>
    <row r="52" spans="1:8" x14ac:dyDescent="0.25">
      <c r="A52" s="1">
        <v>42797</v>
      </c>
      <c r="B52" t="s">
        <v>38</v>
      </c>
      <c r="C52" t="s">
        <v>39</v>
      </c>
      <c r="D52">
        <v>4481</v>
      </c>
      <c r="E52">
        <v>121</v>
      </c>
      <c r="F52">
        <v>446</v>
      </c>
      <c r="G52">
        <f t="shared" si="1"/>
        <v>0</v>
      </c>
      <c r="H52" t="str">
        <f t="shared" si="0"/>
        <v/>
      </c>
    </row>
    <row r="53" spans="1:8" x14ac:dyDescent="0.25">
      <c r="A53" s="1">
        <v>42798</v>
      </c>
      <c r="B53" t="s">
        <v>29</v>
      </c>
      <c r="C53" t="s">
        <v>14</v>
      </c>
      <c r="D53">
        <v>1749</v>
      </c>
      <c r="E53">
        <v>232</v>
      </c>
      <c r="F53">
        <v>928</v>
      </c>
      <c r="G53">
        <f t="shared" si="1"/>
        <v>0</v>
      </c>
      <c r="H53" t="str">
        <f t="shared" si="0"/>
        <v/>
      </c>
    </row>
    <row r="54" spans="1:8" x14ac:dyDescent="0.25">
      <c r="A54" s="1">
        <v>42802</v>
      </c>
      <c r="B54" t="s">
        <v>29</v>
      </c>
      <c r="C54" t="s">
        <v>20</v>
      </c>
      <c r="D54">
        <v>1203</v>
      </c>
      <c r="E54">
        <v>146</v>
      </c>
      <c r="F54">
        <v>330</v>
      </c>
      <c r="G54">
        <f t="shared" si="1"/>
        <v>0</v>
      </c>
      <c r="H54" t="str">
        <f t="shared" si="0"/>
        <v/>
      </c>
    </row>
    <row r="55" spans="1:8" x14ac:dyDescent="0.25">
      <c r="A55" s="1">
        <v>42803</v>
      </c>
      <c r="B55" t="s">
        <v>20</v>
      </c>
      <c r="C55" t="s">
        <v>40</v>
      </c>
      <c r="D55">
        <v>4505</v>
      </c>
      <c r="E55">
        <v>118</v>
      </c>
      <c r="F55">
        <v>374</v>
      </c>
      <c r="G55">
        <f t="shared" si="1"/>
        <v>1</v>
      </c>
      <c r="H55" t="str">
        <f t="shared" si="0"/>
        <v/>
      </c>
    </row>
    <row r="56" spans="1:8" x14ac:dyDescent="0.25">
      <c r="A56" s="1">
        <v>42804</v>
      </c>
      <c r="B56" t="s">
        <v>40</v>
      </c>
      <c r="C56" t="s">
        <v>41</v>
      </c>
      <c r="D56">
        <v>1454</v>
      </c>
      <c r="E56">
        <v>95</v>
      </c>
      <c r="F56">
        <v>197</v>
      </c>
      <c r="G56">
        <f t="shared" si="1"/>
        <v>2</v>
      </c>
      <c r="H56" t="str">
        <f t="shared" si="0"/>
        <v/>
      </c>
    </row>
    <row r="57" spans="1:8" x14ac:dyDescent="0.25">
      <c r="A57" s="1">
        <v>42805</v>
      </c>
      <c r="B57" t="s">
        <v>41</v>
      </c>
      <c r="C57" t="s">
        <v>16</v>
      </c>
      <c r="D57">
        <v>2835</v>
      </c>
      <c r="E57">
        <v>136</v>
      </c>
      <c r="F57">
        <v>418</v>
      </c>
      <c r="G57">
        <f t="shared" si="1"/>
        <v>3</v>
      </c>
      <c r="H57" t="str">
        <f t="shared" si="0"/>
        <v/>
      </c>
    </row>
    <row r="58" spans="1:8" x14ac:dyDescent="0.25">
      <c r="A58" s="1">
        <v>42806</v>
      </c>
      <c r="B58" t="s">
        <v>16</v>
      </c>
      <c r="C58" t="s">
        <v>42</v>
      </c>
      <c r="D58">
        <v>2338</v>
      </c>
      <c r="E58">
        <v>123</v>
      </c>
      <c r="F58">
        <v>215</v>
      </c>
      <c r="G58">
        <f t="shared" si="1"/>
        <v>0</v>
      </c>
      <c r="H58" t="str">
        <f t="shared" si="0"/>
        <v/>
      </c>
    </row>
    <row r="59" spans="1:8" x14ac:dyDescent="0.25">
      <c r="A59" s="1">
        <v>42807</v>
      </c>
      <c r="B59" t="s">
        <v>26</v>
      </c>
      <c r="C59" t="s">
        <v>43</v>
      </c>
      <c r="D59">
        <v>4154</v>
      </c>
      <c r="E59">
        <v>277</v>
      </c>
      <c r="F59">
        <v>924</v>
      </c>
      <c r="G59">
        <f t="shared" si="1"/>
        <v>0</v>
      </c>
      <c r="H59" t="str">
        <f t="shared" si="0"/>
        <v/>
      </c>
    </row>
    <row r="60" spans="1:8" x14ac:dyDescent="0.25">
      <c r="A60" s="1">
        <v>42810</v>
      </c>
      <c r="B60" t="s">
        <v>15</v>
      </c>
      <c r="C60" t="s">
        <v>25</v>
      </c>
      <c r="D60">
        <v>1767</v>
      </c>
      <c r="E60">
        <v>91</v>
      </c>
      <c r="F60">
        <v>247</v>
      </c>
      <c r="G60">
        <f t="shared" si="1"/>
        <v>0</v>
      </c>
      <c r="H60" t="str">
        <f t="shared" si="0"/>
        <v/>
      </c>
    </row>
    <row r="61" spans="1:8" x14ac:dyDescent="0.25">
      <c r="A61" s="1">
        <v>42812</v>
      </c>
      <c r="B61" t="s">
        <v>44</v>
      </c>
      <c r="C61" t="s">
        <v>45</v>
      </c>
      <c r="D61">
        <v>2929</v>
      </c>
      <c r="E61">
        <v>152</v>
      </c>
      <c r="F61">
        <v>278</v>
      </c>
      <c r="G61">
        <f t="shared" si="1"/>
        <v>0</v>
      </c>
      <c r="H61" t="str">
        <f t="shared" si="0"/>
        <v/>
      </c>
    </row>
    <row r="62" spans="1:8" x14ac:dyDescent="0.25">
      <c r="A62" s="1">
        <v>42813</v>
      </c>
      <c r="B62" t="s">
        <v>45</v>
      </c>
      <c r="C62" t="s">
        <v>46</v>
      </c>
      <c r="D62">
        <v>2151</v>
      </c>
      <c r="E62">
        <v>177</v>
      </c>
      <c r="F62">
        <v>365</v>
      </c>
      <c r="G62">
        <f t="shared" si="1"/>
        <v>1</v>
      </c>
      <c r="H62" t="str">
        <f t="shared" si="0"/>
        <v/>
      </c>
    </row>
    <row r="63" spans="1:8" x14ac:dyDescent="0.25">
      <c r="A63" s="1">
        <v>42814</v>
      </c>
      <c r="B63" t="s">
        <v>46</v>
      </c>
      <c r="C63" t="s">
        <v>47</v>
      </c>
      <c r="D63">
        <v>2431</v>
      </c>
      <c r="E63">
        <v>96</v>
      </c>
      <c r="F63">
        <v>409</v>
      </c>
      <c r="G63">
        <f t="shared" si="1"/>
        <v>0</v>
      </c>
      <c r="H63" t="str">
        <f t="shared" si="0"/>
        <v/>
      </c>
    </row>
    <row r="64" spans="1:8" x14ac:dyDescent="0.25">
      <c r="A64" s="1">
        <v>42815</v>
      </c>
      <c r="B64" t="s">
        <v>34</v>
      </c>
      <c r="C64" t="s">
        <v>46</v>
      </c>
      <c r="D64">
        <v>1168</v>
      </c>
      <c r="E64">
        <v>143</v>
      </c>
      <c r="F64">
        <v>501</v>
      </c>
      <c r="G64">
        <f t="shared" si="1"/>
        <v>0</v>
      </c>
      <c r="H64" t="str">
        <f t="shared" si="0"/>
        <v/>
      </c>
    </row>
    <row r="65" spans="1:8" x14ac:dyDescent="0.25">
      <c r="A65" s="1">
        <v>42816</v>
      </c>
      <c r="B65" t="s">
        <v>46</v>
      </c>
      <c r="C65" t="s">
        <v>19</v>
      </c>
      <c r="D65">
        <v>4251</v>
      </c>
      <c r="E65">
        <v>122</v>
      </c>
      <c r="F65">
        <v>227</v>
      </c>
      <c r="G65">
        <f t="shared" si="1"/>
        <v>1</v>
      </c>
      <c r="H65" t="str">
        <f t="shared" si="0"/>
        <v/>
      </c>
    </row>
    <row r="66" spans="1:8" x14ac:dyDescent="0.25">
      <c r="A66" s="1">
        <v>42817</v>
      </c>
      <c r="B66" t="s">
        <v>19</v>
      </c>
      <c r="C66" t="s">
        <v>16</v>
      </c>
      <c r="D66">
        <v>4347</v>
      </c>
      <c r="E66">
        <v>117</v>
      </c>
      <c r="F66">
        <v>158</v>
      </c>
      <c r="G66">
        <f t="shared" si="1"/>
        <v>2</v>
      </c>
      <c r="H66" t="str">
        <f t="shared" si="0"/>
        <v/>
      </c>
    </row>
    <row r="67" spans="1:8" x14ac:dyDescent="0.25">
      <c r="A67" s="1">
        <v>42818</v>
      </c>
      <c r="B67" t="s">
        <v>16</v>
      </c>
      <c r="C67" t="s">
        <v>41</v>
      </c>
      <c r="D67">
        <v>5287</v>
      </c>
      <c r="E67">
        <v>127</v>
      </c>
      <c r="F67">
        <v>495</v>
      </c>
      <c r="G67">
        <f t="shared" si="1"/>
        <v>0</v>
      </c>
      <c r="H67" t="str">
        <f t="shared" ref="H67:H130" si="2">IF(G67=$L$2,"xxxxxxxxxxxxxxxxx","")</f>
        <v/>
      </c>
    </row>
    <row r="68" spans="1:8" x14ac:dyDescent="0.25">
      <c r="A68" s="1">
        <v>42820</v>
      </c>
      <c r="B68" t="s">
        <v>17</v>
      </c>
      <c r="C68" t="s">
        <v>18</v>
      </c>
      <c r="D68">
        <v>5177</v>
      </c>
      <c r="E68">
        <v>147</v>
      </c>
      <c r="F68">
        <v>443</v>
      </c>
      <c r="G68">
        <f t="shared" ref="G68:G131" si="3">IF(AND(B68=C67,C68=B69,A67+1=A68),G67+1,0)</f>
        <v>0</v>
      </c>
      <c r="H68" t="str">
        <f t="shared" si="2"/>
        <v/>
      </c>
    </row>
    <row r="69" spans="1:8" x14ac:dyDescent="0.25">
      <c r="A69" s="1">
        <v>42821</v>
      </c>
      <c r="B69" t="s">
        <v>15</v>
      </c>
      <c r="C69" t="s">
        <v>26</v>
      </c>
      <c r="D69">
        <v>3858</v>
      </c>
      <c r="E69">
        <v>155</v>
      </c>
      <c r="F69">
        <v>261</v>
      </c>
      <c r="G69">
        <f t="shared" si="3"/>
        <v>0</v>
      </c>
      <c r="H69" t="str">
        <f t="shared" si="2"/>
        <v/>
      </c>
    </row>
    <row r="70" spans="1:8" x14ac:dyDescent="0.25">
      <c r="A70" s="1">
        <v>42822</v>
      </c>
      <c r="B70" t="s">
        <v>26</v>
      </c>
      <c r="C70" t="s">
        <v>48</v>
      </c>
      <c r="D70">
        <v>4637</v>
      </c>
      <c r="E70">
        <v>116</v>
      </c>
      <c r="F70">
        <v>242</v>
      </c>
      <c r="G70">
        <f t="shared" si="3"/>
        <v>1</v>
      </c>
      <c r="H70" t="str">
        <f t="shared" si="2"/>
        <v/>
      </c>
    </row>
    <row r="71" spans="1:8" x14ac:dyDescent="0.25">
      <c r="A71" s="1">
        <v>42823</v>
      </c>
      <c r="B71" t="s">
        <v>48</v>
      </c>
      <c r="C71" t="s">
        <v>14</v>
      </c>
      <c r="D71">
        <v>5212</v>
      </c>
      <c r="E71">
        <v>123</v>
      </c>
      <c r="F71">
        <v>517</v>
      </c>
      <c r="G71">
        <f t="shared" si="3"/>
        <v>2</v>
      </c>
      <c r="H71" t="str">
        <f t="shared" si="2"/>
        <v/>
      </c>
    </row>
    <row r="72" spans="1:8" x14ac:dyDescent="0.25">
      <c r="A72" s="1">
        <v>42824</v>
      </c>
      <c r="B72" t="s">
        <v>14</v>
      </c>
      <c r="C72" t="s">
        <v>40</v>
      </c>
      <c r="D72">
        <v>1099</v>
      </c>
      <c r="E72">
        <v>128</v>
      </c>
      <c r="F72">
        <v>205</v>
      </c>
      <c r="G72">
        <f t="shared" si="3"/>
        <v>3</v>
      </c>
      <c r="H72" t="str">
        <f t="shared" si="2"/>
        <v/>
      </c>
    </row>
    <row r="73" spans="1:8" x14ac:dyDescent="0.25">
      <c r="A73" s="1">
        <v>42825</v>
      </c>
      <c r="B73" t="s">
        <v>40</v>
      </c>
      <c r="C73" t="s">
        <v>41</v>
      </c>
      <c r="D73">
        <v>4422</v>
      </c>
      <c r="E73">
        <v>105</v>
      </c>
      <c r="F73">
        <v>145</v>
      </c>
      <c r="G73">
        <f t="shared" si="3"/>
        <v>0</v>
      </c>
      <c r="H73" t="str">
        <f t="shared" si="2"/>
        <v/>
      </c>
    </row>
    <row r="74" spans="1:8" x14ac:dyDescent="0.25">
      <c r="A74" s="1">
        <v>42827</v>
      </c>
      <c r="B74" t="s">
        <v>33</v>
      </c>
      <c r="C74" t="s">
        <v>38</v>
      </c>
      <c r="D74">
        <v>2742</v>
      </c>
      <c r="E74">
        <v>109</v>
      </c>
      <c r="F74">
        <v>117</v>
      </c>
      <c r="G74">
        <f t="shared" si="3"/>
        <v>0</v>
      </c>
      <c r="H74" t="str">
        <f t="shared" si="2"/>
        <v/>
      </c>
    </row>
    <row r="75" spans="1:8" x14ac:dyDescent="0.25">
      <c r="A75" s="1">
        <v>42828</v>
      </c>
      <c r="B75" t="s">
        <v>38</v>
      </c>
      <c r="C75" t="s">
        <v>33</v>
      </c>
      <c r="D75">
        <v>2100</v>
      </c>
      <c r="E75">
        <v>115</v>
      </c>
      <c r="F75">
        <v>172</v>
      </c>
      <c r="G75">
        <f t="shared" si="3"/>
        <v>1</v>
      </c>
      <c r="H75" t="str">
        <f t="shared" si="2"/>
        <v/>
      </c>
    </row>
    <row r="76" spans="1:8" x14ac:dyDescent="0.25">
      <c r="A76" s="1">
        <v>42829</v>
      </c>
      <c r="B76" t="s">
        <v>33</v>
      </c>
      <c r="C76" t="s">
        <v>38</v>
      </c>
      <c r="D76">
        <v>5626</v>
      </c>
      <c r="E76">
        <v>123</v>
      </c>
      <c r="F76">
        <v>377</v>
      </c>
      <c r="G76">
        <f t="shared" si="3"/>
        <v>2</v>
      </c>
      <c r="H76" t="str">
        <f t="shared" si="2"/>
        <v/>
      </c>
    </row>
    <row r="77" spans="1:8" x14ac:dyDescent="0.25">
      <c r="A77" s="1">
        <v>42830</v>
      </c>
      <c r="B77" t="s">
        <v>38</v>
      </c>
      <c r="C77" t="s">
        <v>33</v>
      </c>
      <c r="D77">
        <v>1629</v>
      </c>
      <c r="E77">
        <v>109</v>
      </c>
      <c r="F77">
        <v>258</v>
      </c>
      <c r="G77">
        <f t="shared" si="3"/>
        <v>3</v>
      </c>
      <c r="H77" t="str">
        <f t="shared" si="2"/>
        <v/>
      </c>
    </row>
    <row r="78" spans="1:8" x14ac:dyDescent="0.25">
      <c r="A78" s="1">
        <v>42831</v>
      </c>
      <c r="B78" t="s">
        <v>33</v>
      </c>
      <c r="C78" t="s">
        <v>49</v>
      </c>
      <c r="D78">
        <v>4787</v>
      </c>
      <c r="E78">
        <v>155</v>
      </c>
      <c r="F78">
        <v>354</v>
      </c>
      <c r="G78">
        <f t="shared" si="3"/>
        <v>0</v>
      </c>
      <c r="H78" t="str">
        <f t="shared" si="2"/>
        <v/>
      </c>
    </row>
    <row r="79" spans="1:8" x14ac:dyDescent="0.25">
      <c r="A79" s="1">
        <v>42832</v>
      </c>
      <c r="B79" t="s">
        <v>50</v>
      </c>
      <c r="C79" t="s">
        <v>45</v>
      </c>
      <c r="D79">
        <v>4678</v>
      </c>
      <c r="E79">
        <v>182</v>
      </c>
      <c r="F79">
        <v>254</v>
      </c>
      <c r="G79">
        <f t="shared" si="3"/>
        <v>0</v>
      </c>
      <c r="H79" t="str">
        <f t="shared" si="2"/>
        <v/>
      </c>
    </row>
    <row r="80" spans="1:8" x14ac:dyDescent="0.25">
      <c r="A80" s="1">
        <v>42833</v>
      </c>
      <c r="B80" t="s">
        <v>45</v>
      </c>
      <c r="C80" t="s">
        <v>44</v>
      </c>
      <c r="D80">
        <v>5869</v>
      </c>
      <c r="E80">
        <v>152</v>
      </c>
      <c r="F80">
        <v>599</v>
      </c>
      <c r="G80">
        <f t="shared" si="3"/>
        <v>0</v>
      </c>
      <c r="H80" t="str">
        <f t="shared" si="2"/>
        <v/>
      </c>
    </row>
    <row r="81" spans="1:8" x14ac:dyDescent="0.25">
      <c r="A81" s="1">
        <v>42834</v>
      </c>
      <c r="B81" t="s">
        <v>51</v>
      </c>
      <c r="C81" t="s">
        <v>44</v>
      </c>
      <c r="D81">
        <v>2678</v>
      </c>
      <c r="E81">
        <v>178</v>
      </c>
      <c r="F81">
        <v>481</v>
      </c>
      <c r="G81">
        <f t="shared" si="3"/>
        <v>0</v>
      </c>
      <c r="H81" t="str">
        <f t="shared" si="2"/>
        <v/>
      </c>
    </row>
    <row r="82" spans="1:8" x14ac:dyDescent="0.25">
      <c r="A82" s="1">
        <v>42835</v>
      </c>
      <c r="B82" t="s">
        <v>20</v>
      </c>
      <c r="C82" t="s">
        <v>43</v>
      </c>
      <c r="D82">
        <v>3193</v>
      </c>
      <c r="E82">
        <v>241</v>
      </c>
      <c r="F82">
        <v>507</v>
      </c>
      <c r="G82">
        <f t="shared" si="3"/>
        <v>0</v>
      </c>
      <c r="H82" t="str">
        <f t="shared" si="2"/>
        <v/>
      </c>
    </row>
    <row r="83" spans="1:8" x14ac:dyDescent="0.25">
      <c r="A83" s="1">
        <v>42836</v>
      </c>
      <c r="B83" t="s">
        <v>27</v>
      </c>
      <c r="C83" t="s">
        <v>25</v>
      </c>
      <c r="D83">
        <v>1011</v>
      </c>
      <c r="E83">
        <v>211</v>
      </c>
      <c r="F83">
        <v>536</v>
      </c>
      <c r="G83">
        <f t="shared" si="3"/>
        <v>0</v>
      </c>
      <c r="H83" t="str">
        <f t="shared" si="2"/>
        <v/>
      </c>
    </row>
    <row r="84" spans="1:8" x14ac:dyDescent="0.25">
      <c r="A84" s="1">
        <v>42837</v>
      </c>
      <c r="B84" t="s">
        <v>25</v>
      </c>
      <c r="C84" t="s">
        <v>23</v>
      </c>
      <c r="D84">
        <v>3398</v>
      </c>
      <c r="E84">
        <v>122</v>
      </c>
      <c r="F84">
        <v>163</v>
      </c>
      <c r="G84">
        <f t="shared" si="3"/>
        <v>0</v>
      </c>
      <c r="H84" t="str">
        <f t="shared" si="2"/>
        <v/>
      </c>
    </row>
    <row r="85" spans="1:8" x14ac:dyDescent="0.25">
      <c r="A85" s="1">
        <v>42839</v>
      </c>
      <c r="B85" t="s">
        <v>52</v>
      </c>
      <c r="C85" t="s">
        <v>53</v>
      </c>
      <c r="D85">
        <v>5416</v>
      </c>
      <c r="E85">
        <v>156</v>
      </c>
      <c r="F85">
        <v>349</v>
      </c>
      <c r="G85">
        <f t="shared" si="3"/>
        <v>0</v>
      </c>
      <c r="H85" t="str">
        <f t="shared" si="2"/>
        <v/>
      </c>
    </row>
    <row r="86" spans="1:8" x14ac:dyDescent="0.25">
      <c r="A86" s="1">
        <v>42840</v>
      </c>
      <c r="B86" t="s">
        <v>9</v>
      </c>
      <c r="C86" t="s">
        <v>54</v>
      </c>
      <c r="D86">
        <v>3914</v>
      </c>
      <c r="E86">
        <v>417</v>
      </c>
      <c r="F86">
        <v>888</v>
      </c>
      <c r="G86">
        <f t="shared" si="3"/>
        <v>0</v>
      </c>
      <c r="H86" t="str">
        <f t="shared" si="2"/>
        <v/>
      </c>
    </row>
    <row r="87" spans="1:8" x14ac:dyDescent="0.25">
      <c r="A87" s="1">
        <v>42841</v>
      </c>
      <c r="B87" t="s">
        <v>54</v>
      </c>
      <c r="C87" t="s">
        <v>47</v>
      </c>
      <c r="D87">
        <v>5805</v>
      </c>
      <c r="E87">
        <v>145</v>
      </c>
      <c r="F87">
        <v>301</v>
      </c>
      <c r="G87">
        <f t="shared" si="3"/>
        <v>1</v>
      </c>
      <c r="H87" t="str">
        <f t="shared" si="2"/>
        <v/>
      </c>
    </row>
    <row r="88" spans="1:8" x14ac:dyDescent="0.25">
      <c r="A88" s="1">
        <v>42842</v>
      </c>
      <c r="B88" t="s">
        <v>47</v>
      </c>
      <c r="C88" t="s">
        <v>54</v>
      </c>
      <c r="D88">
        <v>4033</v>
      </c>
      <c r="E88">
        <v>136</v>
      </c>
      <c r="F88">
        <v>297</v>
      </c>
      <c r="G88">
        <f t="shared" si="3"/>
        <v>0</v>
      </c>
      <c r="H88" t="str">
        <f t="shared" si="2"/>
        <v/>
      </c>
    </row>
    <row r="89" spans="1:8" x14ac:dyDescent="0.25">
      <c r="A89" s="1">
        <v>42844</v>
      </c>
      <c r="B89" t="s">
        <v>44</v>
      </c>
      <c r="C89" t="s">
        <v>55</v>
      </c>
      <c r="D89">
        <v>1021</v>
      </c>
      <c r="E89">
        <v>184</v>
      </c>
      <c r="F89">
        <v>660</v>
      </c>
      <c r="G89">
        <f t="shared" si="3"/>
        <v>0</v>
      </c>
      <c r="H89" t="str">
        <f t="shared" si="2"/>
        <v/>
      </c>
    </row>
    <row r="90" spans="1:8" x14ac:dyDescent="0.25">
      <c r="A90" s="1">
        <v>42846</v>
      </c>
      <c r="B90" t="s">
        <v>56</v>
      </c>
      <c r="C90" t="s">
        <v>45</v>
      </c>
      <c r="D90">
        <v>5162</v>
      </c>
      <c r="E90">
        <v>17</v>
      </c>
      <c r="F90">
        <v>28</v>
      </c>
      <c r="G90">
        <f t="shared" si="3"/>
        <v>0</v>
      </c>
      <c r="H90" t="str">
        <f t="shared" si="2"/>
        <v/>
      </c>
    </row>
    <row r="91" spans="1:8" x14ac:dyDescent="0.25">
      <c r="A91" s="1">
        <v>42847</v>
      </c>
      <c r="B91" t="s">
        <v>45</v>
      </c>
      <c r="C91" t="s">
        <v>44</v>
      </c>
      <c r="D91">
        <v>2050</v>
      </c>
      <c r="E91">
        <v>162</v>
      </c>
      <c r="F91">
        <v>569</v>
      </c>
      <c r="G91">
        <f t="shared" si="3"/>
        <v>0</v>
      </c>
      <c r="H91" t="str">
        <f t="shared" si="2"/>
        <v/>
      </c>
    </row>
    <row r="92" spans="1:8" x14ac:dyDescent="0.25">
      <c r="A92" s="1">
        <v>42849</v>
      </c>
      <c r="B92" t="s">
        <v>43</v>
      </c>
      <c r="C92" t="s">
        <v>37</v>
      </c>
      <c r="D92">
        <v>5312</v>
      </c>
      <c r="E92">
        <v>153</v>
      </c>
      <c r="F92">
        <v>356</v>
      </c>
      <c r="G92">
        <f t="shared" si="3"/>
        <v>0</v>
      </c>
      <c r="H92" t="str">
        <f t="shared" si="2"/>
        <v/>
      </c>
    </row>
    <row r="93" spans="1:8" x14ac:dyDescent="0.25">
      <c r="A93" s="1">
        <v>42851</v>
      </c>
      <c r="B93" t="s">
        <v>23</v>
      </c>
      <c r="C93" t="s">
        <v>42</v>
      </c>
      <c r="D93">
        <v>2443</v>
      </c>
      <c r="E93">
        <v>392</v>
      </c>
      <c r="F93">
        <v>1392</v>
      </c>
      <c r="G93">
        <f t="shared" si="3"/>
        <v>0</v>
      </c>
      <c r="H93" t="str">
        <f t="shared" si="2"/>
        <v/>
      </c>
    </row>
    <row r="94" spans="1:8" x14ac:dyDescent="0.25">
      <c r="A94" s="1">
        <v>42853</v>
      </c>
      <c r="B94" t="s">
        <v>56</v>
      </c>
      <c r="C94" t="s">
        <v>50</v>
      </c>
      <c r="D94">
        <v>1161</v>
      </c>
      <c r="E94">
        <v>174</v>
      </c>
      <c r="F94">
        <v>323</v>
      </c>
      <c r="G94">
        <f t="shared" si="3"/>
        <v>0</v>
      </c>
      <c r="H94" t="str">
        <f t="shared" si="2"/>
        <v/>
      </c>
    </row>
    <row r="95" spans="1:8" x14ac:dyDescent="0.25">
      <c r="A95" s="1">
        <v>42854</v>
      </c>
      <c r="B95" t="s">
        <v>50</v>
      </c>
      <c r="C95" t="s">
        <v>17</v>
      </c>
      <c r="D95">
        <v>3435</v>
      </c>
      <c r="E95">
        <v>146</v>
      </c>
      <c r="F95">
        <v>530</v>
      </c>
      <c r="G95">
        <f t="shared" si="3"/>
        <v>0</v>
      </c>
      <c r="H95" t="str">
        <f t="shared" si="2"/>
        <v/>
      </c>
    </row>
    <row r="96" spans="1:8" x14ac:dyDescent="0.25">
      <c r="A96" s="1">
        <v>42855</v>
      </c>
      <c r="B96" t="s">
        <v>57</v>
      </c>
      <c r="C96" t="s">
        <v>32</v>
      </c>
      <c r="D96">
        <v>3358</v>
      </c>
      <c r="E96">
        <v>168</v>
      </c>
      <c r="F96">
        <v>569</v>
      </c>
      <c r="G96">
        <f t="shared" si="3"/>
        <v>0</v>
      </c>
      <c r="H96" t="str">
        <f t="shared" si="2"/>
        <v/>
      </c>
    </row>
    <row r="97" spans="1:8" x14ac:dyDescent="0.25">
      <c r="A97" s="1">
        <v>42856</v>
      </c>
      <c r="B97" t="s">
        <v>52</v>
      </c>
      <c r="C97" t="s">
        <v>58</v>
      </c>
      <c r="D97">
        <v>2719</v>
      </c>
      <c r="E97">
        <v>152</v>
      </c>
      <c r="F97">
        <v>240</v>
      </c>
      <c r="G97">
        <f t="shared" si="3"/>
        <v>0</v>
      </c>
      <c r="H97" t="str">
        <f t="shared" si="2"/>
        <v/>
      </c>
    </row>
    <row r="98" spans="1:8" x14ac:dyDescent="0.25">
      <c r="A98" s="1">
        <v>42857</v>
      </c>
      <c r="B98" t="s">
        <v>58</v>
      </c>
      <c r="C98" t="s">
        <v>23</v>
      </c>
      <c r="D98">
        <v>1793</v>
      </c>
      <c r="E98">
        <v>197</v>
      </c>
      <c r="F98">
        <v>754</v>
      </c>
      <c r="G98">
        <f t="shared" si="3"/>
        <v>0</v>
      </c>
      <c r="H98" t="str">
        <f t="shared" si="2"/>
        <v/>
      </c>
    </row>
    <row r="99" spans="1:8" x14ac:dyDescent="0.25">
      <c r="A99" s="1">
        <v>42860</v>
      </c>
      <c r="B99" t="s">
        <v>19</v>
      </c>
      <c r="C99" t="s">
        <v>29</v>
      </c>
      <c r="D99">
        <v>1858</v>
      </c>
      <c r="E99">
        <v>104</v>
      </c>
      <c r="F99">
        <v>171</v>
      </c>
      <c r="G99">
        <f t="shared" si="3"/>
        <v>0</v>
      </c>
      <c r="H99" t="str">
        <f t="shared" si="2"/>
        <v/>
      </c>
    </row>
    <row r="100" spans="1:8" x14ac:dyDescent="0.25">
      <c r="A100" s="1">
        <v>42861</v>
      </c>
      <c r="B100" t="s">
        <v>29</v>
      </c>
      <c r="C100" t="s">
        <v>19</v>
      </c>
      <c r="D100">
        <v>4651</v>
      </c>
      <c r="E100">
        <v>111</v>
      </c>
      <c r="F100">
        <v>190</v>
      </c>
      <c r="G100">
        <f t="shared" si="3"/>
        <v>1</v>
      </c>
      <c r="H100" t="str">
        <f t="shared" si="2"/>
        <v/>
      </c>
    </row>
    <row r="101" spans="1:8" x14ac:dyDescent="0.25">
      <c r="A101" s="1">
        <v>42862</v>
      </c>
      <c r="B101" t="s">
        <v>19</v>
      </c>
      <c r="C101" t="s">
        <v>29</v>
      </c>
      <c r="D101">
        <v>2929</v>
      </c>
      <c r="E101">
        <v>111</v>
      </c>
      <c r="F101">
        <v>395</v>
      </c>
      <c r="G101">
        <f t="shared" si="3"/>
        <v>2</v>
      </c>
      <c r="H101" t="str">
        <f t="shared" si="2"/>
        <v/>
      </c>
    </row>
    <row r="102" spans="1:8" x14ac:dyDescent="0.25">
      <c r="A102" s="1">
        <v>42863</v>
      </c>
      <c r="B102" t="s">
        <v>29</v>
      </c>
      <c r="C102" t="s">
        <v>28</v>
      </c>
      <c r="D102">
        <v>2608</v>
      </c>
      <c r="E102">
        <v>123</v>
      </c>
      <c r="F102">
        <v>223</v>
      </c>
      <c r="G102">
        <f t="shared" si="3"/>
        <v>3</v>
      </c>
      <c r="H102" t="str">
        <f t="shared" si="2"/>
        <v/>
      </c>
    </row>
    <row r="103" spans="1:8" x14ac:dyDescent="0.25">
      <c r="A103" s="1">
        <v>42864</v>
      </c>
      <c r="B103" t="s">
        <v>28</v>
      </c>
      <c r="C103" t="s">
        <v>14</v>
      </c>
      <c r="D103">
        <v>3094</v>
      </c>
      <c r="E103">
        <v>107</v>
      </c>
      <c r="F103">
        <v>143</v>
      </c>
      <c r="G103">
        <f t="shared" si="3"/>
        <v>0</v>
      </c>
      <c r="H103" t="str">
        <f t="shared" si="2"/>
        <v/>
      </c>
    </row>
    <row r="104" spans="1:8" x14ac:dyDescent="0.25">
      <c r="A104" s="1">
        <v>42867</v>
      </c>
      <c r="B104" t="s">
        <v>19</v>
      </c>
      <c r="C104" t="s">
        <v>59</v>
      </c>
      <c r="D104">
        <v>5288</v>
      </c>
      <c r="E104">
        <v>107</v>
      </c>
      <c r="F104">
        <v>312</v>
      </c>
      <c r="G104">
        <f t="shared" si="3"/>
        <v>0</v>
      </c>
      <c r="H104" t="str">
        <f t="shared" si="2"/>
        <v/>
      </c>
    </row>
    <row r="105" spans="1:8" x14ac:dyDescent="0.25">
      <c r="A105" s="1">
        <v>42868</v>
      </c>
      <c r="B105" t="s">
        <v>43</v>
      </c>
      <c r="C105" t="s">
        <v>28</v>
      </c>
      <c r="D105">
        <v>4888</v>
      </c>
      <c r="E105">
        <v>182</v>
      </c>
      <c r="F105">
        <v>248</v>
      </c>
      <c r="G105">
        <f t="shared" si="3"/>
        <v>0</v>
      </c>
      <c r="H105" t="str">
        <f t="shared" si="2"/>
        <v/>
      </c>
    </row>
    <row r="106" spans="1:8" x14ac:dyDescent="0.25">
      <c r="A106" s="1">
        <v>42869</v>
      </c>
      <c r="B106" t="s">
        <v>28</v>
      </c>
      <c r="C106" t="s">
        <v>60</v>
      </c>
      <c r="D106">
        <v>5475</v>
      </c>
      <c r="E106">
        <v>129</v>
      </c>
      <c r="F106">
        <v>200</v>
      </c>
      <c r="G106">
        <f t="shared" si="3"/>
        <v>1</v>
      </c>
      <c r="H106" t="str">
        <f t="shared" si="2"/>
        <v/>
      </c>
    </row>
    <row r="107" spans="1:8" x14ac:dyDescent="0.25">
      <c r="A107" s="1">
        <v>42870</v>
      </c>
      <c r="B107" t="s">
        <v>60</v>
      </c>
      <c r="C107" t="s">
        <v>47</v>
      </c>
      <c r="D107">
        <v>4863</v>
      </c>
      <c r="E107">
        <v>141</v>
      </c>
      <c r="F107">
        <v>444</v>
      </c>
      <c r="G107">
        <f t="shared" si="3"/>
        <v>0</v>
      </c>
      <c r="H107" t="str">
        <f t="shared" si="2"/>
        <v/>
      </c>
    </row>
    <row r="108" spans="1:8" x14ac:dyDescent="0.25">
      <c r="A108" s="1">
        <v>42872</v>
      </c>
      <c r="B108" t="s">
        <v>29</v>
      </c>
      <c r="C108" t="s">
        <v>56</v>
      </c>
      <c r="D108">
        <v>5933</v>
      </c>
      <c r="E108">
        <v>335</v>
      </c>
      <c r="F108">
        <v>479</v>
      </c>
      <c r="G108">
        <f t="shared" si="3"/>
        <v>0</v>
      </c>
      <c r="H108" t="str">
        <f t="shared" si="2"/>
        <v/>
      </c>
    </row>
    <row r="109" spans="1:8" x14ac:dyDescent="0.25">
      <c r="A109" s="1">
        <v>42873</v>
      </c>
      <c r="B109" t="s">
        <v>59</v>
      </c>
      <c r="C109" t="s">
        <v>61</v>
      </c>
      <c r="D109">
        <v>1730</v>
      </c>
      <c r="E109">
        <v>410</v>
      </c>
      <c r="F109">
        <v>1087</v>
      </c>
      <c r="G109">
        <f t="shared" si="3"/>
        <v>0</v>
      </c>
      <c r="H109" t="str">
        <f t="shared" si="2"/>
        <v/>
      </c>
    </row>
    <row r="110" spans="1:8" x14ac:dyDescent="0.25">
      <c r="A110" s="1">
        <v>42874</v>
      </c>
      <c r="B110" t="s">
        <v>61</v>
      </c>
      <c r="C110" t="s">
        <v>15</v>
      </c>
      <c r="D110">
        <v>3178</v>
      </c>
      <c r="E110">
        <v>171</v>
      </c>
      <c r="F110">
        <v>646</v>
      </c>
      <c r="G110">
        <f t="shared" si="3"/>
        <v>0</v>
      </c>
      <c r="H110" t="str">
        <f t="shared" si="2"/>
        <v/>
      </c>
    </row>
    <row r="111" spans="1:8" x14ac:dyDescent="0.25">
      <c r="A111" s="1">
        <v>42877</v>
      </c>
      <c r="B111" t="s">
        <v>29</v>
      </c>
      <c r="C111" t="s">
        <v>41</v>
      </c>
      <c r="D111">
        <v>3983</v>
      </c>
      <c r="E111">
        <v>153</v>
      </c>
      <c r="F111">
        <v>175</v>
      </c>
      <c r="G111">
        <f t="shared" si="3"/>
        <v>0</v>
      </c>
      <c r="H111" t="str">
        <f t="shared" si="2"/>
        <v/>
      </c>
    </row>
    <row r="112" spans="1:8" x14ac:dyDescent="0.25">
      <c r="A112" s="1">
        <v>42878</v>
      </c>
      <c r="B112" t="s">
        <v>36</v>
      </c>
      <c r="C112" t="s">
        <v>13</v>
      </c>
      <c r="D112">
        <v>3007</v>
      </c>
      <c r="E112">
        <v>391</v>
      </c>
      <c r="F112">
        <v>1406</v>
      </c>
      <c r="G112">
        <f t="shared" si="3"/>
        <v>0</v>
      </c>
      <c r="H112" t="str">
        <f t="shared" si="2"/>
        <v/>
      </c>
    </row>
    <row r="113" spans="1:8" x14ac:dyDescent="0.25">
      <c r="A113" s="1">
        <v>42879</v>
      </c>
      <c r="B113" t="s">
        <v>59</v>
      </c>
      <c r="C113" t="s">
        <v>18</v>
      </c>
      <c r="D113">
        <v>5832</v>
      </c>
      <c r="E113">
        <v>300</v>
      </c>
      <c r="F113">
        <v>453</v>
      </c>
      <c r="G113">
        <f t="shared" si="3"/>
        <v>0</v>
      </c>
      <c r="H113" t="str">
        <f t="shared" si="2"/>
        <v/>
      </c>
    </row>
    <row r="114" spans="1:8" x14ac:dyDescent="0.25">
      <c r="A114" s="1">
        <v>42881</v>
      </c>
      <c r="B114" t="s">
        <v>35</v>
      </c>
      <c r="C114" t="s">
        <v>37</v>
      </c>
      <c r="D114">
        <v>3012</v>
      </c>
      <c r="E114">
        <v>148</v>
      </c>
      <c r="F114">
        <v>185</v>
      </c>
      <c r="G114">
        <f t="shared" si="3"/>
        <v>0</v>
      </c>
      <c r="H114" t="str">
        <f t="shared" si="2"/>
        <v/>
      </c>
    </row>
    <row r="115" spans="1:8" x14ac:dyDescent="0.25">
      <c r="A115" s="1">
        <v>42882</v>
      </c>
      <c r="B115" t="s">
        <v>37</v>
      </c>
      <c r="C115" t="s">
        <v>57</v>
      </c>
      <c r="D115">
        <v>4508</v>
      </c>
      <c r="E115">
        <v>104</v>
      </c>
      <c r="F115">
        <v>399</v>
      </c>
      <c r="G115">
        <f t="shared" si="3"/>
        <v>0</v>
      </c>
      <c r="H115" t="str">
        <f t="shared" si="2"/>
        <v/>
      </c>
    </row>
    <row r="116" spans="1:8" x14ac:dyDescent="0.25">
      <c r="A116" s="1">
        <v>42883</v>
      </c>
      <c r="B116" t="s">
        <v>9</v>
      </c>
      <c r="C116" t="s">
        <v>58</v>
      </c>
      <c r="D116">
        <v>1777</v>
      </c>
      <c r="E116">
        <v>552</v>
      </c>
      <c r="F116">
        <v>1964</v>
      </c>
      <c r="G116">
        <f t="shared" si="3"/>
        <v>0</v>
      </c>
      <c r="H116" t="str">
        <f t="shared" si="2"/>
        <v/>
      </c>
    </row>
    <row r="117" spans="1:8" x14ac:dyDescent="0.25">
      <c r="A117" s="1">
        <v>42884</v>
      </c>
      <c r="B117" t="s">
        <v>58</v>
      </c>
      <c r="C117" t="s">
        <v>61</v>
      </c>
      <c r="D117">
        <v>4788</v>
      </c>
      <c r="E117">
        <v>203</v>
      </c>
      <c r="F117">
        <v>347</v>
      </c>
      <c r="G117">
        <f t="shared" si="3"/>
        <v>1</v>
      </c>
      <c r="H117" t="str">
        <f t="shared" si="2"/>
        <v/>
      </c>
    </row>
    <row r="118" spans="1:8" x14ac:dyDescent="0.25">
      <c r="A118" s="1">
        <v>42885</v>
      </c>
      <c r="B118" t="s">
        <v>61</v>
      </c>
      <c r="C118" t="s">
        <v>62</v>
      </c>
      <c r="D118">
        <v>3035</v>
      </c>
      <c r="E118">
        <v>103</v>
      </c>
      <c r="F118">
        <v>376</v>
      </c>
      <c r="G118">
        <f t="shared" si="3"/>
        <v>2</v>
      </c>
      <c r="H118" t="str">
        <f t="shared" si="2"/>
        <v/>
      </c>
    </row>
    <row r="119" spans="1:8" x14ac:dyDescent="0.25">
      <c r="A119" s="1">
        <v>42886</v>
      </c>
      <c r="B119" t="s">
        <v>62</v>
      </c>
      <c r="C119" t="s">
        <v>63</v>
      </c>
      <c r="D119">
        <v>3380</v>
      </c>
      <c r="E119">
        <v>155</v>
      </c>
      <c r="F119">
        <v>542</v>
      </c>
      <c r="G119">
        <f t="shared" si="3"/>
        <v>3</v>
      </c>
      <c r="H119" t="str">
        <f t="shared" si="2"/>
        <v/>
      </c>
    </row>
    <row r="120" spans="1:8" x14ac:dyDescent="0.25">
      <c r="A120" s="1">
        <v>42887</v>
      </c>
      <c r="B120" t="s">
        <v>63</v>
      </c>
      <c r="C120" t="s">
        <v>64</v>
      </c>
      <c r="D120">
        <v>5014</v>
      </c>
      <c r="E120">
        <v>154</v>
      </c>
      <c r="F120">
        <v>577</v>
      </c>
      <c r="G120">
        <f t="shared" si="3"/>
        <v>4</v>
      </c>
      <c r="H120" t="str">
        <f t="shared" si="2"/>
        <v/>
      </c>
    </row>
    <row r="121" spans="1:8" x14ac:dyDescent="0.25">
      <c r="A121" s="1">
        <v>42888</v>
      </c>
      <c r="B121" t="s">
        <v>64</v>
      </c>
      <c r="C121" t="s">
        <v>58</v>
      </c>
      <c r="D121">
        <v>1852</v>
      </c>
      <c r="E121">
        <v>110</v>
      </c>
      <c r="F121">
        <v>407</v>
      </c>
      <c r="G121">
        <f t="shared" si="3"/>
        <v>0</v>
      </c>
      <c r="H121" t="str">
        <f t="shared" si="2"/>
        <v/>
      </c>
    </row>
    <row r="122" spans="1:8" x14ac:dyDescent="0.25">
      <c r="A122" s="1">
        <v>42890</v>
      </c>
      <c r="B122" t="s">
        <v>65</v>
      </c>
      <c r="C122" t="s">
        <v>11</v>
      </c>
      <c r="D122">
        <v>5493</v>
      </c>
      <c r="E122">
        <v>145</v>
      </c>
      <c r="F122">
        <v>168</v>
      </c>
      <c r="G122">
        <f t="shared" si="3"/>
        <v>0</v>
      </c>
      <c r="H122" t="str">
        <f t="shared" si="2"/>
        <v/>
      </c>
    </row>
    <row r="123" spans="1:8" x14ac:dyDescent="0.25">
      <c r="A123" s="1">
        <v>42892</v>
      </c>
      <c r="B123" t="s">
        <v>51</v>
      </c>
      <c r="C123" t="s">
        <v>44</v>
      </c>
      <c r="D123">
        <v>5560</v>
      </c>
      <c r="E123">
        <v>187</v>
      </c>
      <c r="F123">
        <v>288</v>
      </c>
      <c r="G123">
        <f t="shared" si="3"/>
        <v>0</v>
      </c>
      <c r="H123" t="str">
        <f t="shared" si="2"/>
        <v/>
      </c>
    </row>
    <row r="124" spans="1:8" x14ac:dyDescent="0.25">
      <c r="A124" s="1">
        <v>42893</v>
      </c>
      <c r="B124" t="s">
        <v>66</v>
      </c>
      <c r="C124" t="s">
        <v>67</v>
      </c>
      <c r="D124">
        <v>2571</v>
      </c>
      <c r="E124">
        <v>145</v>
      </c>
      <c r="F124">
        <v>567</v>
      </c>
      <c r="G124">
        <f t="shared" si="3"/>
        <v>0</v>
      </c>
      <c r="H124" t="str">
        <f t="shared" si="2"/>
        <v/>
      </c>
    </row>
    <row r="125" spans="1:8" x14ac:dyDescent="0.25">
      <c r="A125" s="1">
        <v>42894</v>
      </c>
      <c r="B125" t="s">
        <v>67</v>
      </c>
      <c r="C125" t="s">
        <v>19</v>
      </c>
      <c r="D125">
        <v>3348</v>
      </c>
      <c r="E125">
        <v>111</v>
      </c>
      <c r="F125">
        <v>135</v>
      </c>
      <c r="G125">
        <f t="shared" si="3"/>
        <v>1</v>
      </c>
      <c r="H125" t="str">
        <f t="shared" si="2"/>
        <v/>
      </c>
    </row>
    <row r="126" spans="1:8" x14ac:dyDescent="0.25">
      <c r="A126" s="1">
        <v>42895</v>
      </c>
      <c r="B126" t="s">
        <v>19</v>
      </c>
      <c r="C126" t="s">
        <v>46</v>
      </c>
      <c r="D126">
        <v>2906</v>
      </c>
      <c r="E126">
        <v>119</v>
      </c>
      <c r="F126">
        <v>398</v>
      </c>
      <c r="G126">
        <f t="shared" si="3"/>
        <v>2</v>
      </c>
      <c r="H126" t="str">
        <f t="shared" si="2"/>
        <v/>
      </c>
    </row>
    <row r="127" spans="1:8" x14ac:dyDescent="0.25">
      <c r="A127" s="1">
        <v>42896</v>
      </c>
      <c r="B127" t="s">
        <v>46</v>
      </c>
      <c r="C127" t="s">
        <v>54</v>
      </c>
      <c r="D127">
        <v>5660</v>
      </c>
      <c r="E127">
        <v>137</v>
      </c>
      <c r="F127">
        <v>490</v>
      </c>
      <c r="G127">
        <f t="shared" si="3"/>
        <v>0</v>
      </c>
      <c r="H127" t="str">
        <f t="shared" si="2"/>
        <v/>
      </c>
    </row>
    <row r="128" spans="1:8" x14ac:dyDescent="0.25">
      <c r="A128" s="1">
        <v>42897</v>
      </c>
      <c r="B128" t="s">
        <v>19</v>
      </c>
      <c r="C128" t="s">
        <v>29</v>
      </c>
      <c r="D128">
        <v>2575</v>
      </c>
      <c r="E128">
        <v>113</v>
      </c>
      <c r="F128">
        <v>277</v>
      </c>
      <c r="G128">
        <f t="shared" si="3"/>
        <v>0</v>
      </c>
      <c r="H128" t="str">
        <f t="shared" si="2"/>
        <v/>
      </c>
    </row>
    <row r="129" spans="1:8" x14ac:dyDescent="0.25">
      <c r="A129" s="1">
        <v>42898</v>
      </c>
      <c r="B129" t="s">
        <v>55</v>
      </c>
      <c r="C129" t="s">
        <v>46</v>
      </c>
      <c r="D129">
        <v>1676</v>
      </c>
      <c r="E129">
        <v>217</v>
      </c>
      <c r="F129">
        <v>499</v>
      </c>
      <c r="G129">
        <f t="shared" si="3"/>
        <v>0</v>
      </c>
      <c r="H129" t="str">
        <f t="shared" si="2"/>
        <v/>
      </c>
    </row>
    <row r="130" spans="1:8" x14ac:dyDescent="0.25">
      <c r="A130" s="1">
        <v>42899</v>
      </c>
      <c r="B130" t="s">
        <v>46</v>
      </c>
      <c r="C130" t="s">
        <v>47</v>
      </c>
      <c r="D130">
        <v>1536</v>
      </c>
      <c r="E130">
        <v>96</v>
      </c>
      <c r="F130">
        <v>154</v>
      </c>
      <c r="G130">
        <f t="shared" si="3"/>
        <v>1</v>
      </c>
      <c r="H130" t="str">
        <f t="shared" si="2"/>
        <v/>
      </c>
    </row>
    <row r="131" spans="1:8" x14ac:dyDescent="0.25">
      <c r="A131" s="1">
        <v>42900</v>
      </c>
      <c r="B131" t="s">
        <v>47</v>
      </c>
      <c r="C131" t="s">
        <v>42</v>
      </c>
      <c r="D131">
        <v>1996</v>
      </c>
      <c r="E131">
        <v>158</v>
      </c>
      <c r="F131">
        <v>653</v>
      </c>
      <c r="G131">
        <f t="shared" si="3"/>
        <v>0</v>
      </c>
      <c r="H131" t="str">
        <f t="shared" ref="H131:H194" si="4">IF(G131=$L$2,"xxxxxxxxxxxxxxxxx","")</f>
        <v/>
      </c>
    </row>
    <row r="132" spans="1:8" x14ac:dyDescent="0.25">
      <c r="A132" s="1">
        <v>42902</v>
      </c>
      <c r="B132" t="s">
        <v>68</v>
      </c>
      <c r="C132" t="s">
        <v>69</v>
      </c>
      <c r="D132">
        <v>4769</v>
      </c>
      <c r="E132">
        <v>160</v>
      </c>
      <c r="F132">
        <v>522</v>
      </c>
      <c r="G132">
        <f t="shared" ref="G132:G195" si="5">IF(AND(B132=C131,C132=B133,A131+1=A132),G131+1,0)</f>
        <v>0</v>
      </c>
      <c r="H132" t="str">
        <f t="shared" si="4"/>
        <v/>
      </c>
    </row>
    <row r="133" spans="1:8" x14ac:dyDescent="0.25">
      <c r="A133" s="1">
        <v>42903</v>
      </c>
      <c r="B133" t="s">
        <v>69</v>
      </c>
      <c r="C133" t="s">
        <v>59</v>
      </c>
      <c r="D133">
        <v>4542</v>
      </c>
      <c r="E133">
        <v>205</v>
      </c>
      <c r="F133">
        <v>524</v>
      </c>
      <c r="G133">
        <f t="shared" si="5"/>
        <v>1</v>
      </c>
      <c r="H133" t="str">
        <f t="shared" si="4"/>
        <v/>
      </c>
    </row>
    <row r="134" spans="1:8" x14ac:dyDescent="0.25">
      <c r="A134" s="1">
        <v>42904</v>
      </c>
      <c r="B134" t="s">
        <v>59</v>
      </c>
      <c r="C134" t="s">
        <v>60</v>
      </c>
      <c r="D134">
        <v>2286</v>
      </c>
      <c r="E134">
        <v>140</v>
      </c>
      <c r="F134">
        <v>136</v>
      </c>
      <c r="G134">
        <f t="shared" si="5"/>
        <v>2</v>
      </c>
      <c r="H134" t="str">
        <f t="shared" si="4"/>
        <v/>
      </c>
    </row>
    <row r="135" spans="1:8" x14ac:dyDescent="0.25">
      <c r="A135" s="1">
        <v>42905</v>
      </c>
      <c r="B135" t="s">
        <v>60</v>
      </c>
      <c r="C135" t="s">
        <v>41</v>
      </c>
      <c r="D135">
        <v>1504</v>
      </c>
      <c r="E135">
        <v>95</v>
      </c>
      <c r="F135">
        <v>382</v>
      </c>
      <c r="G135">
        <f t="shared" si="5"/>
        <v>0</v>
      </c>
      <c r="H135" t="str">
        <f t="shared" si="4"/>
        <v/>
      </c>
    </row>
    <row r="136" spans="1:8" x14ac:dyDescent="0.25">
      <c r="A136" s="1">
        <v>42906</v>
      </c>
      <c r="B136" t="s">
        <v>34</v>
      </c>
      <c r="C136" t="s">
        <v>39</v>
      </c>
      <c r="D136">
        <v>3990</v>
      </c>
      <c r="E136">
        <v>195</v>
      </c>
      <c r="F136">
        <v>468</v>
      </c>
      <c r="G136">
        <f t="shared" si="5"/>
        <v>0</v>
      </c>
      <c r="H136" t="str">
        <f t="shared" si="4"/>
        <v/>
      </c>
    </row>
    <row r="137" spans="1:8" x14ac:dyDescent="0.25">
      <c r="A137" s="1">
        <v>42907</v>
      </c>
      <c r="B137" t="s">
        <v>47</v>
      </c>
      <c r="C137" t="s">
        <v>17</v>
      </c>
      <c r="D137">
        <v>4569</v>
      </c>
      <c r="E137">
        <v>123</v>
      </c>
      <c r="F137">
        <v>295</v>
      </c>
      <c r="G137">
        <f t="shared" si="5"/>
        <v>0</v>
      </c>
      <c r="H137" t="str">
        <f t="shared" si="4"/>
        <v/>
      </c>
    </row>
    <row r="138" spans="1:8" x14ac:dyDescent="0.25">
      <c r="A138" s="1">
        <v>42908</v>
      </c>
      <c r="B138" t="s">
        <v>17</v>
      </c>
      <c r="C138" t="s">
        <v>18</v>
      </c>
      <c r="D138">
        <v>3469</v>
      </c>
      <c r="E138">
        <v>151</v>
      </c>
      <c r="F138">
        <v>558</v>
      </c>
      <c r="G138">
        <f t="shared" si="5"/>
        <v>1</v>
      </c>
      <c r="H138" t="str">
        <f t="shared" si="4"/>
        <v/>
      </c>
    </row>
    <row r="139" spans="1:8" x14ac:dyDescent="0.25">
      <c r="A139" s="1">
        <v>42909</v>
      </c>
      <c r="B139" t="s">
        <v>18</v>
      </c>
      <c r="C139" t="s">
        <v>39</v>
      </c>
      <c r="D139">
        <v>2498</v>
      </c>
      <c r="E139">
        <v>163</v>
      </c>
      <c r="F139">
        <v>610</v>
      </c>
      <c r="G139">
        <f t="shared" si="5"/>
        <v>2</v>
      </c>
      <c r="H139" t="str">
        <f t="shared" si="4"/>
        <v/>
      </c>
    </row>
    <row r="140" spans="1:8" x14ac:dyDescent="0.25">
      <c r="A140" s="1">
        <v>42910</v>
      </c>
      <c r="B140" t="s">
        <v>39</v>
      </c>
      <c r="C140" t="s">
        <v>17</v>
      </c>
      <c r="D140">
        <v>4118</v>
      </c>
      <c r="E140">
        <v>144</v>
      </c>
      <c r="F140">
        <v>256</v>
      </c>
      <c r="G140">
        <f t="shared" si="5"/>
        <v>0</v>
      </c>
      <c r="H140" t="str">
        <f t="shared" si="4"/>
        <v/>
      </c>
    </row>
    <row r="141" spans="1:8" x14ac:dyDescent="0.25">
      <c r="A141" s="1">
        <v>42911</v>
      </c>
      <c r="B141" t="s">
        <v>30</v>
      </c>
      <c r="C141" t="s">
        <v>70</v>
      </c>
      <c r="D141">
        <v>5847</v>
      </c>
      <c r="E141">
        <v>137</v>
      </c>
      <c r="F141">
        <v>270</v>
      </c>
      <c r="G141">
        <f t="shared" si="5"/>
        <v>0</v>
      </c>
      <c r="H141" t="str">
        <f t="shared" si="4"/>
        <v/>
      </c>
    </row>
    <row r="142" spans="1:8" x14ac:dyDescent="0.25">
      <c r="A142" s="1">
        <v>42912</v>
      </c>
      <c r="B142" t="s">
        <v>70</v>
      </c>
      <c r="C142" t="s">
        <v>30</v>
      </c>
      <c r="D142">
        <v>2032</v>
      </c>
      <c r="E142">
        <v>129</v>
      </c>
      <c r="F142">
        <v>245</v>
      </c>
      <c r="G142">
        <f t="shared" si="5"/>
        <v>1</v>
      </c>
      <c r="H142" t="str">
        <f t="shared" si="4"/>
        <v/>
      </c>
    </row>
    <row r="143" spans="1:8" x14ac:dyDescent="0.25">
      <c r="A143" s="1">
        <v>42913</v>
      </c>
      <c r="B143" t="s">
        <v>30</v>
      </c>
      <c r="C143" t="s">
        <v>31</v>
      </c>
      <c r="D143">
        <v>2735</v>
      </c>
      <c r="E143">
        <v>213</v>
      </c>
      <c r="F143">
        <v>213</v>
      </c>
      <c r="G143">
        <f t="shared" si="5"/>
        <v>2</v>
      </c>
      <c r="H143" t="str">
        <f t="shared" si="4"/>
        <v/>
      </c>
    </row>
    <row r="144" spans="1:8" x14ac:dyDescent="0.25">
      <c r="A144" s="1">
        <v>42914</v>
      </c>
      <c r="B144" t="s">
        <v>31</v>
      </c>
      <c r="C144" t="s">
        <v>22</v>
      </c>
      <c r="D144">
        <v>5467</v>
      </c>
      <c r="E144">
        <v>168</v>
      </c>
      <c r="F144">
        <v>336</v>
      </c>
      <c r="G144">
        <f t="shared" si="5"/>
        <v>3</v>
      </c>
      <c r="H144" t="str">
        <f t="shared" si="4"/>
        <v/>
      </c>
    </row>
    <row r="145" spans="1:8" x14ac:dyDescent="0.25">
      <c r="A145" s="1">
        <v>42915</v>
      </c>
      <c r="B145" t="s">
        <v>22</v>
      </c>
      <c r="C145" t="s">
        <v>21</v>
      </c>
      <c r="D145">
        <v>3691</v>
      </c>
      <c r="E145">
        <v>170</v>
      </c>
      <c r="F145">
        <v>525</v>
      </c>
      <c r="G145">
        <f t="shared" si="5"/>
        <v>0</v>
      </c>
      <c r="H145" t="str">
        <f t="shared" si="4"/>
        <v/>
      </c>
    </row>
    <row r="146" spans="1:8" x14ac:dyDescent="0.25">
      <c r="A146" s="1">
        <v>42916</v>
      </c>
      <c r="B146" t="s">
        <v>15</v>
      </c>
      <c r="C146" t="s">
        <v>52</v>
      </c>
      <c r="D146">
        <v>3681</v>
      </c>
      <c r="E146">
        <v>145</v>
      </c>
      <c r="F146">
        <v>546</v>
      </c>
      <c r="G146">
        <f t="shared" si="5"/>
        <v>0</v>
      </c>
      <c r="H146" t="str">
        <f t="shared" si="4"/>
        <v/>
      </c>
    </row>
    <row r="147" spans="1:8" x14ac:dyDescent="0.25">
      <c r="A147" s="1">
        <v>42917</v>
      </c>
      <c r="B147" t="s">
        <v>62</v>
      </c>
      <c r="C147" t="s">
        <v>20</v>
      </c>
      <c r="D147">
        <v>2256</v>
      </c>
      <c r="E147">
        <v>146</v>
      </c>
      <c r="F147">
        <v>315</v>
      </c>
      <c r="G147">
        <f t="shared" si="5"/>
        <v>0</v>
      </c>
      <c r="H147" t="str">
        <f t="shared" si="4"/>
        <v/>
      </c>
    </row>
    <row r="148" spans="1:8" x14ac:dyDescent="0.25">
      <c r="A148" s="1">
        <v>42918</v>
      </c>
      <c r="B148" t="s">
        <v>20</v>
      </c>
      <c r="C148" t="s">
        <v>8</v>
      </c>
      <c r="D148">
        <v>4602</v>
      </c>
      <c r="E148">
        <v>120</v>
      </c>
      <c r="F148">
        <v>288</v>
      </c>
      <c r="G148">
        <f t="shared" si="5"/>
        <v>1</v>
      </c>
      <c r="H148" t="str">
        <f t="shared" si="4"/>
        <v/>
      </c>
    </row>
    <row r="149" spans="1:8" x14ac:dyDescent="0.25">
      <c r="A149" s="1">
        <v>42919</v>
      </c>
      <c r="B149" t="s">
        <v>8</v>
      </c>
      <c r="C149" t="s">
        <v>20</v>
      </c>
      <c r="D149">
        <v>4354</v>
      </c>
      <c r="E149">
        <v>135</v>
      </c>
      <c r="F149">
        <v>215</v>
      </c>
      <c r="G149">
        <f t="shared" si="5"/>
        <v>2</v>
      </c>
      <c r="H149" t="str">
        <f t="shared" si="4"/>
        <v/>
      </c>
    </row>
    <row r="150" spans="1:8" x14ac:dyDescent="0.25">
      <c r="A150" s="1">
        <v>42920</v>
      </c>
      <c r="B150" t="s">
        <v>20</v>
      </c>
      <c r="C150" t="s">
        <v>60</v>
      </c>
      <c r="D150">
        <v>4260</v>
      </c>
      <c r="E150">
        <v>118</v>
      </c>
      <c r="F150">
        <v>222</v>
      </c>
      <c r="G150">
        <f t="shared" si="5"/>
        <v>0</v>
      </c>
      <c r="H150" t="str">
        <f t="shared" si="4"/>
        <v/>
      </c>
    </row>
    <row r="151" spans="1:8" x14ac:dyDescent="0.25">
      <c r="A151" s="1">
        <v>42921</v>
      </c>
      <c r="B151" t="s">
        <v>40</v>
      </c>
      <c r="C151" t="s">
        <v>41</v>
      </c>
      <c r="D151">
        <v>2800</v>
      </c>
      <c r="E151">
        <v>98</v>
      </c>
      <c r="F151">
        <v>108</v>
      </c>
      <c r="G151">
        <f t="shared" si="5"/>
        <v>0</v>
      </c>
      <c r="H151" t="str">
        <f t="shared" si="4"/>
        <v/>
      </c>
    </row>
    <row r="152" spans="1:8" x14ac:dyDescent="0.25">
      <c r="A152" s="1">
        <v>42922</v>
      </c>
      <c r="B152" t="s">
        <v>41</v>
      </c>
      <c r="C152" t="s">
        <v>28</v>
      </c>
      <c r="D152">
        <v>2637</v>
      </c>
      <c r="E152">
        <v>138</v>
      </c>
      <c r="F152">
        <v>179</v>
      </c>
      <c r="G152">
        <f t="shared" si="5"/>
        <v>1</v>
      </c>
      <c r="H152" t="str">
        <f t="shared" si="4"/>
        <v/>
      </c>
    </row>
    <row r="153" spans="1:8" x14ac:dyDescent="0.25">
      <c r="A153" s="1">
        <v>42923</v>
      </c>
      <c r="B153" t="s">
        <v>28</v>
      </c>
      <c r="C153" t="s">
        <v>14</v>
      </c>
      <c r="D153">
        <v>5651</v>
      </c>
      <c r="E153">
        <v>116</v>
      </c>
      <c r="F153">
        <v>141</v>
      </c>
      <c r="G153">
        <f t="shared" si="5"/>
        <v>2</v>
      </c>
      <c r="H153" t="str">
        <f t="shared" si="4"/>
        <v/>
      </c>
    </row>
    <row r="154" spans="1:8" x14ac:dyDescent="0.25">
      <c r="A154" s="1">
        <v>42924</v>
      </c>
      <c r="B154" t="s">
        <v>14</v>
      </c>
      <c r="C154" t="s">
        <v>48</v>
      </c>
      <c r="D154">
        <v>2511</v>
      </c>
      <c r="E154">
        <v>120</v>
      </c>
      <c r="F154">
        <v>438</v>
      </c>
      <c r="G154">
        <f t="shared" si="5"/>
        <v>0</v>
      </c>
      <c r="H154" t="str">
        <f t="shared" si="4"/>
        <v/>
      </c>
    </row>
    <row r="155" spans="1:8" x14ac:dyDescent="0.25">
      <c r="A155" s="1">
        <v>42926</v>
      </c>
      <c r="B155" t="s">
        <v>56</v>
      </c>
      <c r="C155" t="s">
        <v>30</v>
      </c>
      <c r="D155">
        <v>2448</v>
      </c>
      <c r="E155">
        <v>744</v>
      </c>
      <c r="F155">
        <v>2887</v>
      </c>
      <c r="G155">
        <f t="shared" si="5"/>
        <v>0</v>
      </c>
      <c r="H155" t="str">
        <f t="shared" si="4"/>
        <v/>
      </c>
    </row>
    <row r="156" spans="1:8" x14ac:dyDescent="0.25">
      <c r="A156" s="1">
        <v>42927</v>
      </c>
      <c r="B156" t="s">
        <v>10</v>
      </c>
      <c r="C156" t="s">
        <v>71</v>
      </c>
      <c r="D156">
        <v>3414</v>
      </c>
      <c r="E156">
        <v>114</v>
      </c>
      <c r="F156">
        <v>301</v>
      </c>
      <c r="G156">
        <f t="shared" si="5"/>
        <v>0</v>
      </c>
      <c r="H156" t="str">
        <f t="shared" si="4"/>
        <v/>
      </c>
    </row>
    <row r="157" spans="1:8" x14ac:dyDescent="0.25">
      <c r="A157" s="1">
        <v>42928</v>
      </c>
      <c r="B157" t="s">
        <v>70</v>
      </c>
      <c r="C157" t="s">
        <v>36</v>
      </c>
      <c r="D157">
        <v>4039</v>
      </c>
      <c r="E157">
        <v>204</v>
      </c>
      <c r="F157">
        <v>614</v>
      </c>
      <c r="G157">
        <f t="shared" si="5"/>
        <v>0</v>
      </c>
      <c r="H157" t="str">
        <f t="shared" si="4"/>
        <v/>
      </c>
    </row>
    <row r="158" spans="1:8" x14ac:dyDescent="0.25">
      <c r="A158" s="1">
        <v>42929</v>
      </c>
      <c r="B158" t="s">
        <v>36</v>
      </c>
      <c r="C158" t="s">
        <v>70</v>
      </c>
      <c r="D158">
        <v>5862</v>
      </c>
      <c r="E158">
        <v>202</v>
      </c>
      <c r="F158">
        <v>518</v>
      </c>
      <c r="G158">
        <f t="shared" si="5"/>
        <v>0</v>
      </c>
      <c r="H158" t="str">
        <f t="shared" si="4"/>
        <v/>
      </c>
    </row>
    <row r="159" spans="1:8" x14ac:dyDescent="0.25">
      <c r="A159" s="1">
        <v>42931</v>
      </c>
      <c r="B159" t="s">
        <v>44</v>
      </c>
      <c r="C159" t="s">
        <v>56</v>
      </c>
      <c r="D159">
        <v>3077</v>
      </c>
      <c r="E159">
        <v>148</v>
      </c>
      <c r="F159">
        <v>454</v>
      </c>
      <c r="G159">
        <f t="shared" si="5"/>
        <v>0</v>
      </c>
      <c r="H159" t="str">
        <f t="shared" si="4"/>
        <v/>
      </c>
    </row>
    <row r="160" spans="1:8" x14ac:dyDescent="0.25">
      <c r="A160" s="1">
        <v>42932</v>
      </c>
      <c r="B160" t="s">
        <v>55</v>
      </c>
      <c r="C160" t="s">
        <v>26</v>
      </c>
      <c r="D160">
        <v>5569</v>
      </c>
      <c r="E160">
        <v>604</v>
      </c>
      <c r="F160">
        <v>1446</v>
      </c>
      <c r="G160">
        <f t="shared" si="5"/>
        <v>0</v>
      </c>
      <c r="H160" t="str">
        <f t="shared" si="4"/>
        <v/>
      </c>
    </row>
    <row r="161" spans="1:8" x14ac:dyDescent="0.25">
      <c r="A161" s="1">
        <v>42933</v>
      </c>
      <c r="B161" t="s">
        <v>26</v>
      </c>
      <c r="C161" t="s">
        <v>48</v>
      </c>
      <c r="D161">
        <v>4513</v>
      </c>
      <c r="E161">
        <v>114</v>
      </c>
      <c r="F161">
        <v>125</v>
      </c>
      <c r="G161">
        <f t="shared" si="5"/>
        <v>0</v>
      </c>
      <c r="H161" t="str">
        <f t="shared" si="4"/>
        <v/>
      </c>
    </row>
    <row r="162" spans="1:8" x14ac:dyDescent="0.25">
      <c r="A162" s="1">
        <v>42935</v>
      </c>
      <c r="B162" t="s">
        <v>18</v>
      </c>
      <c r="C162" t="s">
        <v>16</v>
      </c>
      <c r="D162">
        <v>2771</v>
      </c>
      <c r="E162">
        <v>239</v>
      </c>
      <c r="F162">
        <v>396</v>
      </c>
      <c r="G162">
        <f t="shared" si="5"/>
        <v>0</v>
      </c>
      <c r="H162" t="str">
        <f t="shared" si="4"/>
        <v/>
      </c>
    </row>
    <row r="163" spans="1:8" x14ac:dyDescent="0.25">
      <c r="A163" s="1">
        <v>42936</v>
      </c>
      <c r="B163" t="s">
        <v>50</v>
      </c>
      <c r="C163" t="s">
        <v>42</v>
      </c>
      <c r="D163">
        <v>1079</v>
      </c>
      <c r="E163">
        <v>438</v>
      </c>
      <c r="F163">
        <v>899</v>
      </c>
      <c r="G163">
        <f t="shared" si="5"/>
        <v>0</v>
      </c>
      <c r="H163" t="str">
        <f t="shared" si="4"/>
        <v/>
      </c>
    </row>
    <row r="164" spans="1:8" x14ac:dyDescent="0.25">
      <c r="A164" s="1">
        <v>42937</v>
      </c>
      <c r="B164" t="s">
        <v>42</v>
      </c>
      <c r="C164" t="s">
        <v>32</v>
      </c>
      <c r="D164">
        <v>3126</v>
      </c>
      <c r="E164">
        <v>124</v>
      </c>
      <c r="F164">
        <v>317</v>
      </c>
      <c r="G164">
        <f t="shared" si="5"/>
        <v>1</v>
      </c>
      <c r="H164" t="str">
        <f t="shared" si="4"/>
        <v/>
      </c>
    </row>
    <row r="165" spans="1:8" x14ac:dyDescent="0.25">
      <c r="A165" s="1">
        <v>42938</v>
      </c>
      <c r="B165" t="s">
        <v>32</v>
      </c>
      <c r="C165" t="s">
        <v>60</v>
      </c>
      <c r="D165">
        <v>3650</v>
      </c>
      <c r="E165">
        <v>137</v>
      </c>
      <c r="F165">
        <v>308</v>
      </c>
      <c r="G165">
        <f t="shared" si="5"/>
        <v>0</v>
      </c>
      <c r="H165" t="str">
        <f t="shared" si="4"/>
        <v/>
      </c>
    </row>
    <row r="166" spans="1:8" x14ac:dyDescent="0.25">
      <c r="A166" s="1">
        <v>42939</v>
      </c>
      <c r="B166" t="s">
        <v>55</v>
      </c>
      <c r="C166" t="s">
        <v>68</v>
      </c>
      <c r="D166">
        <v>5721</v>
      </c>
      <c r="E166">
        <v>122</v>
      </c>
      <c r="F166">
        <v>280</v>
      </c>
      <c r="G166">
        <f t="shared" si="5"/>
        <v>0</v>
      </c>
      <c r="H166" t="str">
        <f t="shared" si="4"/>
        <v/>
      </c>
    </row>
    <row r="167" spans="1:8" x14ac:dyDescent="0.25">
      <c r="A167" s="1">
        <v>42940</v>
      </c>
      <c r="B167" t="s">
        <v>68</v>
      </c>
      <c r="C167" t="s">
        <v>19</v>
      </c>
      <c r="D167">
        <v>5759</v>
      </c>
      <c r="E167">
        <v>175</v>
      </c>
      <c r="F167">
        <v>297</v>
      </c>
      <c r="G167">
        <f t="shared" si="5"/>
        <v>1</v>
      </c>
      <c r="H167" t="str">
        <f t="shared" si="4"/>
        <v/>
      </c>
    </row>
    <row r="168" spans="1:8" x14ac:dyDescent="0.25">
      <c r="A168" s="1">
        <v>42941</v>
      </c>
      <c r="B168" t="s">
        <v>19</v>
      </c>
      <c r="C168" t="s">
        <v>59</v>
      </c>
      <c r="D168">
        <v>2871</v>
      </c>
      <c r="E168">
        <v>113</v>
      </c>
      <c r="F168">
        <v>110</v>
      </c>
      <c r="G168">
        <f t="shared" si="5"/>
        <v>0</v>
      </c>
      <c r="H168" t="str">
        <f t="shared" si="4"/>
        <v/>
      </c>
    </row>
    <row r="169" spans="1:8" x14ac:dyDescent="0.25">
      <c r="A169" s="1">
        <v>42944</v>
      </c>
      <c r="B169" t="s">
        <v>8</v>
      </c>
      <c r="C169" t="s">
        <v>9</v>
      </c>
      <c r="D169">
        <v>3571</v>
      </c>
      <c r="E169">
        <v>162</v>
      </c>
      <c r="F169">
        <v>292</v>
      </c>
      <c r="G169">
        <f t="shared" si="5"/>
        <v>0</v>
      </c>
      <c r="H169" t="str">
        <f t="shared" si="4"/>
        <v/>
      </c>
    </row>
    <row r="170" spans="1:8" x14ac:dyDescent="0.25">
      <c r="A170" s="1">
        <v>42945</v>
      </c>
      <c r="B170" t="s">
        <v>9</v>
      </c>
      <c r="C170" t="s">
        <v>59</v>
      </c>
      <c r="D170">
        <v>3061</v>
      </c>
      <c r="E170">
        <v>107</v>
      </c>
      <c r="F170">
        <v>258</v>
      </c>
      <c r="G170">
        <f t="shared" si="5"/>
        <v>1</v>
      </c>
      <c r="H170" t="str">
        <f t="shared" si="4"/>
        <v/>
      </c>
    </row>
    <row r="171" spans="1:8" x14ac:dyDescent="0.25">
      <c r="A171" s="1">
        <v>42946</v>
      </c>
      <c r="B171" t="s">
        <v>59</v>
      </c>
      <c r="C171" t="s">
        <v>65</v>
      </c>
      <c r="D171">
        <v>5336</v>
      </c>
      <c r="E171">
        <v>107</v>
      </c>
      <c r="F171">
        <v>171</v>
      </c>
      <c r="G171">
        <f t="shared" si="5"/>
        <v>0</v>
      </c>
      <c r="H171" t="str">
        <f t="shared" si="4"/>
        <v/>
      </c>
    </row>
    <row r="172" spans="1:8" x14ac:dyDescent="0.25">
      <c r="A172" s="1">
        <v>42947</v>
      </c>
      <c r="B172" t="s">
        <v>29</v>
      </c>
      <c r="C172" t="s">
        <v>27</v>
      </c>
      <c r="D172">
        <v>5658</v>
      </c>
      <c r="E172">
        <v>249</v>
      </c>
      <c r="F172">
        <v>967</v>
      </c>
      <c r="G172">
        <f t="shared" si="5"/>
        <v>0</v>
      </c>
      <c r="H172" t="str">
        <f t="shared" si="4"/>
        <v/>
      </c>
    </row>
    <row r="173" spans="1:8" x14ac:dyDescent="0.25">
      <c r="A173" s="1">
        <v>42948</v>
      </c>
      <c r="B173" t="s">
        <v>27</v>
      </c>
      <c r="C173" t="s">
        <v>25</v>
      </c>
      <c r="D173">
        <v>2697</v>
      </c>
      <c r="E173">
        <v>209</v>
      </c>
      <c r="F173">
        <v>699</v>
      </c>
      <c r="G173">
        <f t="shared" si="5"/>
        <v>1</v>
      </c>
      <c r="H173" t="str">
        <f t="shared" si="4"/>
        <v/>
      </c>
    </row>
    <row r="174" spans="1:8" x14ac:dyDescent="0.25">
      <c r="A174" s="1">
        <v>42949</v>
      </c>
      <c r="B174" t="s">
        <v>25</v>
      </c>
      <c r="C174" t="s">
        <v>48</v>
      </c>
      <c r="D174">
        <v>5368</v>
      </c>
      <c r="E174">
        <v>122</v>
      </c>
      <c r="F174">
        <v>491</v>
      </c>
      <c r="G174">
        <f t="shared" si="5"/>
        <v>2</v>
      </c>
      <c r="H174" t="str">
        <f t="shared" si="4"/>
        <v/>
      </c>
    </row>
    <row r="175" spans="1:8" x14ac:dyDescent="0.25">
      <c r="A175" s="1">
        <v>42950</v>
      </c>
      <c r="B175" t="s">
        <v>48</v>
      </c>
      <c r="C175" t="s">
        <v>14</v>
      </c>
      <c r="D175">
        <v>2706</v>
      </c>
      <c r="E175">
        <v>137</v>
      </c>
      <c r="F175">
        <v>292</v>
      </c>
      <c r="G175">
        <f t="shared" si="5"/>
        <v>0</v>
      </c>
      <c r="H175" t="str">
        <f t="shared" si="4"/>
        <v/>
      </c>
    </row>
    <row r="176" spans="1:8" x14ac:dyDescent="0.25">
      <c r="A176" s="1">
        <v>42953</v>
      </c>
      <c r="B176" t="s">
        <v>67</v>
      </c>
      <c r="C176" t="s">
        <v>48</v>
      </c>
      <c r="D176">
        <v>3456</v>
      </c>
      <c r="E176">
        <v>542</v>
      </c>
      <c r="F176">
        <v>1891</v>
      </c>
      <c r="G176">
        <f t="shared" si="5"/>
        <v>0</v>
      </c>
      <c r="H176" t="str">
        <f t="shared" si="4"/>
        <v/>
      </c>
    </row>
    <row r="177" spans="1:8" x14ac:dyDescent="0.25">
      <c r="A177" s="1">
        <v>42954</v>
      </c>
      <c r="B177" t="s">
        <v>48</v>
      </c>
      <c r="C177" t="s">
        <v>14</v>
      </c>
      <c r="D177">
        <v>1914</v>
      </c>
      <c r="E177">
        <v>138</v>
      </c>
      <c r="F177">
        <v>405</v>
      </c>
      <c r="G177">
        <f t="shared" si="5"/>
        <v>1</v>
      </c>
      <c r="H177" t="str">
        <f t="shared" si="4"/>
        <v/>
      </c>
    </row>
    <row r="178" spans="1:8" x14ac:dyDescent="0.25">
      <c r="A178" s="1">
        <v>42955</v>
      </c>
      <c r="B178" t="s">
        <v>14</v>
      </c>
      <c r="C178" t="s">
        <v>21</v>
      </c>
      <c r="D178">
        <v>1134</v>
      </c>
      <c r="E178">
        <v>95</v>
      </c>
      <c r="F178">
        <v>115</v>
      </c>
      <c r="G178">
        <f t="shared" si="5"/>
        <v>2</v>
      </c>
      <c r="H178" t="str">
        <f t="shared" si="4"/>
        <v/>
      </c>
    </row>
    <row r="179" spans="1:8" x14ac:dyDescent="0.25">
      <c r="A179" s="1">
        <v>42956</v>
      </c>
      <c r="B179" t="s">
        <v>21</v>
      </c>
      <c r="C179" t="s">
        <v>25</v>
      </c>
      <c r="D179">
        <v>2935</v>
      </c>
      <c r="E179">
        <v>160</v>
      </c>
      <c r="F179">
        <v>275</v>
      </c>
      <c r="G179">
        <f t="shared" si="5"/>
        <v>3</v>
      </c>
      <c r="H179" t="str">
        <f t="shared" si="4"/>
        <v/>
      </c>
    </row>
    <row r="180" spans="1:8" x14ac:dyDescent="0.25">
      <c r="A180" s="1">
        <v>42957</v>
      </c>
      <c r="B180" t="s">
        <v>25</v>
      </c>
      <c r="C180" t="s">
        <v>15</v>
      </c>
      <c r="D180">
        <v>4379</v>
      </c>
      <c r="E180">
        <v>93</v>
      </c>
      <c r="F180">
        <v>147</v>
      </c>
      <c r="G180">
        <f t="shared" si="5"/>
        <v>0</v>
      </c>
      <c r="H180" t="str">
        <f t="shared" si="4"/>
        <v/>
      </c>
    </row>
    <row r="181" spans="1:8" x14ac:dyDescent="0.25">
      <c r="A181" s="1">
        <v>42959</v>
      </c>
      <c r="B181" t="s">
        <v>37</v>
      </c>
      <c r="C181" t="s">
        <v>35</v>
      </c>
      <c r="D181">
        <v>1328</v>
      </c>
      <c r="E181">
        <v>148</v>
      </c>
      <c r="F181">
        <v>516</v>
      </c>
      <c r="G181">
        <f t="shared" si="5"/>
        <v>0</v>
      </c>
      <c r="H181" t="str">
        <f t="shared" si="4"/>
        <v/>
      </c>
    </row>
    <row r="182" spans="1:8" x14ac:dyDescent="0.25">
      <c r="A182" s="1">
        <v>42960</v>
      </c>
      <c r="B182" t="s">
        <v>70</v>
      </c>
      <c r="C182" t="s">
        <v>30</v>
      </c>
      <c r="D182">
        <v>4133</v>
      </c>
      <c r="E182">
        <v>130</v>
      </c>
      <c r="F182">
        <v>398</v>
      </c>
      <c r="G182">
        <f t="shared" si="5"/>
        <v>0</v>
      </c>
      <c r="H182" t="str">
        <f t="shared" si="4"/>
        <v/>
      </c>
    </row>
    <row r="183" spans="1:8" x14ac:dyDescent="0.25">
      <c r="A183" s="1">
        <v>42962</v>
      </c>
      <c r="B183" t="s">
        <v>47</v>
      </c>
      <c r="C183" t="s">
        <v>20</v>
      </c>
      <c r="D183">
        <v>5370</v>
      </c>
      <c r="E183">
        <v>266</v>
      </c>
      <c r="F183">
        <v>699</v>
      </c>
      <c r="G183">
        <f t="shared" si="5"/>
        <v>0</v>
      </c>
      <c r="H183" t="str">
        <f t="shared" si="4"/>
        <v/>
      </c>
    </row>
    <row r="184" spans="1:8" x14ac:dyDescent="0.25">
      <c r="A184" s="1">
        <v>42963</v>
      </c>
      <c r="B184" t="s">
        <v>20</v>
      </c>
      <c r="C184" t="s">
        <v>8</v>
      </c>
      <c r="D184">
        <v>4663</v>
      </c>
      <c r="E184">
        <v>122</v>
      </c>
      <c r="F184">
        <v>256</v>
      </c>
      <c r="G184">
        <f t="shared" si="5"/>
        <v>1</v>
      </c>
      <c r="H184" t="str">
        <f t="shared" si="4"/>
        <v/>
      </c>
    </row>
    <row r="185" spans="1:8" x14ac:dyDescent="0.25">
      <c r="A185" s="1">
        <v>42964</v>
      </c>
      <c r="B185" t="s">
        <v>8</v>
      </c>
      <c r="C185" t="s">
        <v>40</v>
      </c>
      <c r="D185">
        <v>5151</v>
      </c>
      <c r="E185">
        <v>151</v>
      </c>
      <c r="F185">
        <v>195</v>
      </c>
      <c r="G185">
        <f t="shared" si="5"/>
        <v>2</v>
      </c>
      <c r="H185" t="str">
        <f t="shared" si="4"/>
        <v/>
      </c>
    </row>
    <row r="186" spans="1:8" x14ac:dyDescent="0.25">
      <c r="A186" s="1">
        <v>42965</v>
      </c>
      <c r="B186" t="s">
        <v>40</v>
      </c>
      <c r="C186" t="s">
        <v>20</v>
      </c>
      <c r="D186">
        <v>3035</v>
      </c>
      <c r="E186">
        <v>118</v>
      </c>
      <c r="F186">
        <v>207</v>
      </c>
      <c r="G186">
        <f t="shared" si="5"/>
        <v>0</v>
      </c>
      <c r="H186" t="str">
        <f t="shared" si="4"/>
        <v/>
      </c>
    </row>
    <row r="187" spans="1:8" x14ac:dyDescent="0.25">
      <c r="A187" s="1">
        <v>42967</v>
      </c>
      <c r="B187" t="s">
        <v>72</v>
      </c>
      <c r="C187" t="s">
        <v>11</v>
      </c>
      <c r="D187">
        <v>1090</v>
      </c>
      <c r="E187">
        <v>200</v>
      </c>
      <c r="F187">
        <v>585</v>
      </c>
      <c r="G187">
        <f t="shared" si="5"/>
        <v>0</v>
      </c>
      <c r="H187" t="str">
        <f t="shared" si="4"/>
        <v/>
      </c>
    </row>
    <row r="188" spans="1:8" x14ac:dyDescent="0.25">
      <c r="A188" s="1">
        <v>42968</v>
      </c>
      <c r="B188" t="s">
        <v>11</v>
      </c>
      <c r="C188" t="s">
        <v>13</v>
      </c>
      <c r="D188">
        <v>5746</v>
      </c>
      <c r="E188">
        <v>145</v>
      </c>
      <c r="F188">
        <v>214</v>
      </c>
      <c r="G188">
        <f t="shared" si="5"/>
        <v>0</v>
      </c>
      <c r="H188" t="str">
        <f t="shared" si="4"/>
        <v/>
      </c>
    </row>
    <row r="189" spans="1:8" x14ac:dyDescent="0.25">
      <c r="A189" s="1">
        <v>42970</v>
      </c>
      <c r="B189" t="s">
        <v>46</v>
      </c>
      <c r="C189" t="s">
        <v>56</v>
      </c>
      <c r="D189">
        <v>3200</v>
      </c>
      <c r="E189">
        <v>138</v>
      </c>
      <c r="F189">
        <v>417</v>
      </c>
      <c r="G189">
        <f t="shared" si="5"/>
        <v>0</v>
      </c>
      <c r="H189" t="str">
        <f t="shared" si="4"/>
        <v/>
      </c>
    </row>
    <row r="190" spans="1:8" x14ac:dyDescent="0.25">
      <c r="A190" s="1">
        <v>42971</v>
      </c>
      <c r="B190" t="s">
        <v>56</v>
      </c>
      <c r="C190" t="s">
        <v>50</v>
      </c>
      <c r="D190">
        <v>3586</v>
      </c>
      <c r="E190">
        <v>155</v>
      </c>
      <c r="F190">
        <v>290</v>
      </c>
      <c r="G190">
        <f t="shared" si="5"/>
        <v>1</v>
      </c>
      <c r="H190" t="str">
        <f t="shared" si="4"/>
        <v/>
      </c>
    </row>
    <row r="191" spans="1:8" x14ac:dyDescent="0.25">
      <c r="A191" s="1">
        <v>42972</v>
      </c>
      <c r="B191" t="s">
        <v>50</v>
      </c>
      <c r="C191" t="s">
        <v>17</v>
      </c>
      <c r="D191">
        <v>3460</v>
      </c>
      <c r="E191">
        <v>145</v>
      </c>
      <c r="F191">
        <v>162</v>
      </c>
      <c r="G191">
        <f t="shared" si="5"/>
        <v>0</v>
      </c>
      <c r="H191" t="str">
        <f t="shared" si="4"/>
        <v/>
      </c>
    </row>
    <row r="192" spans="1:8" x14ac:dyDescent="0.25">
      <c r="A192" s="1">
        <v>42973</v>
      </c>
      <c r="B192" t="s">
        <v>68</v>
      </c>
      <c r="C192" t="s">
        <v>19</v>
      </c>
      <c r="D192">
        <v>1347</v>
      </c>
      <c r="E192">
        <v>173</v>
      </c>
      <c r="F192">
        <v>576</v>
      </c>
      <c r="G192">
        <f t="shared" si="5"/>
        <v>0</v>
      </c>
      <c r="H192" t="str">
        <f t="shared" si="4"/>
        <v/>
      </c>
    </row>
    <row r="193" spans="1:8" x14ac:dyDescent="0.25">
      <c r="A193" s="1">
        <v>42974</v>
      </c>
      <c r="B193" t="s">
        <v>19</v>
      </c>
      <c r="C193" t="s">
        <v>60</v>
      </c>
      <c r="D193">
        <v>2421</v>
      </c>
      <c r="E193">
        <v>148</v>
      </c>
      <c r="F193">
        <v>552</v>
      </c>
      <c r="G193">
        <f t="shared" si="5"/>
        <v>1</v>
      </c>
      <c r="H193" t="str">
        <f t="shared" si="4"/>
        <v/>
      </c>
    </row>
    <row r="194" spans="1:8" x14ac:dyDescent="0.25">
      <c r="A194" s="1">
        <v>42975</v>
      </c>
      <c r="B194" t="s">
        <v>60</v>
      </c>
      <c r="C194" t="s">
        <v>47</v>
      </c>
      <c r="D194">
        <v>2939</v>
      </c>
      <c r="E194">
        <v>125</v>
      </c>
      <c r="F194">
        <v>307</v>
      </c>
      <c r="G194">
        <f t="shared" si="5"/>
        <v>2</v>
      </c>
      <c r="H194" t="str">
        <f t="shared" si="4"/>
        <v/>
      </c>
    </row>
    <row r="195" spans="1:8" x14ac:dyDescent="0.25">
      <c r="A195" s="1">
        <v>42976</v>
      </c>
      <c r="B195" t="s">
        <v>47</v>
      </c>
      <c r="C195" t="s">
        <v>17</v>
      </c>
      <c r="D195">
        <v>4921</v>
      </c>
      <c r="E195">
        <v>124</v>
      </c>
      <c r="F195">
        <v>472</v>
      </c>
      <c r="G195">
        <f t="shared" si="5"/>
        <v>3</v>
      </c>
      <c r="H195" t="str">
        <f t="shared" ref="H195:H258" si="6">IF(G195=$L$2,"xxxxxxxxxxxxxxxxx","")</f>
        <v/>
      </c>
    </row>
    <row r="196" spans="1:8" x14ac:dyDescent="0.25">
      <c r="A196" s="1">
        <v>42977</v>
      </c>
      <c r="B196" t="s">
        <v>17</v>
      </c>
      <c r="C196" t="s">
        <v>38</v>
      </c>
      <c r="D196">
        <v>3580</v>
      </c>
      <c r="E196">
        <v>173</v>
      </c>
      <c r="F196">
        <v>382</v>
      </c>
      <c r="G196">
        <f t="shared" ref="G196:G259" si="7">IF(AND(B196=C195,C196=B197,A195+1=A196),G195+1,0)</f>
        <v>4</v>
      </c>
      <c r="H196" t="str">
        <f t="shared" si="6"/>
        <v/>
      </c>
    </row>
    <row r="197" spans="1:8" x14ac:dyDescent="0.25">
      <c r="A197" s="1">
        <v>42978</v>
      </c>
      <c r="B197" t="s">
        <v>38</v>
      </c>
      <c r="C197" t="s">
        <v>73</v>
      </c>
      <c r="D197">
        <v>5215</v>
      </c>
      <c r="E197">
        <v>158</v>
      </c>
      <c r="F197">
        <v>375</v>
      </c>
      <c r="G197">
        <f t="shared" si="7"/>
        <v>5</v>
      </c>
      <c r="H197" t="str">
        <f t="shared" si="6"/>
        <v/>
      </c>
    </row>
    <row r="198" spans="1:8" x14ac:dyDescent="0.25">
      <c r="A198" s="1">
        <v>42979</v>
      </c>
      <c r="B198" t="s">
        <v>73</v>
      </c>
      <c r="C198" t="s">
        <v>51</v>
      </c>
      <c r="D198">
        <v>1369</v>
      </c>
      <c r="E198">
        <v>170</v>
      </c>
      <c r="F198">
        <v>276</v>
      </c>
      <c r="G198">
        <f t="shared" si="7"/>
        <v>6</v>
      </c>
      <c r="H198" t="str">
        <f t="shared" si="6"/>
        <v/>
      </c>
    </row>
    <row r="199" spans="1:8" x14ac:dyDescent="0.25">
      <c r="A199" s="1">
        <v>42980</v>
      </c>
      <c r="B199" t="s">
        <v>51</v>
      </c>
      <c r="C199" t="s">
        <v>67</v>
      </c>
      <c r="D199">
        <v>1655</v>
      </c>
      <c r="E199">
        <v>180</v>
      </c>
      <c r="F199">
        <v>332</v>
      </c>
      <c r="G199">
        <f t="shared" si="7"/>
        <v>0</v>
      </c>
      <c r="H199" t="str">
        <f t="shared" si="6"/>
        <v/>
      </c>
    </row>
    <row r="200" spans="1:8" x14ac:dyDescent="0.25">
      <c r="A200" s="1">
        <v>42981</v>
      </c>
      <c r="B200" t="s">
        <v>48</v>
      </c>
      <c r="C200" t="s">
        <v>61</v>
      </c>
      <c r="D200">
        <v>2192</v>
      </c>
      <c r="E200">
        <v>114</v>
      </c>
      <c r="F200">
        <v>137</v>
      </c>
      <c r="G200">
        <f t="shared" si="7"/>
        <v>0</v>
      </c>
      <c r="H200" t="str">
        <f t="shared" si="6"/>
        <v/>
      </c>
    </row>
    <row r="201" spans="1:8" x14ac:dyDescent="0.25">
      <c r="A201" s="1">
        <v>42982</v>
      </c>
      <c r="B201" t="s">
        <v>12</v>
      </c>
      <c r="C201" t="s">
        <v>59</v>
      </c>
      <c r="D201">
        <v>5919</v>
      </c>
      <c r="E201">
        <v>103</v>
      </c>
      <c r="F201">
        <v>279</v>
      </c>
      <c r="G201">
        <f t="shared" si="7"/>
        <v>0</v>
      </c>
      <c r="H201" t="str">
        <f t="shared" si="6"/>
        <v/>
      </c>
    </row>
    <row r="202" spans="1:8" x14ac:dyDescent="0.25">
      <c r="A202" s="1">
        <v>42983</v>
      </c>
      <c r="B202" t="s">
        <v>67</v>
      </c>
      <c r="C202" t="s">
        <v>17</v>
      </c>
      <c r="D202">
        <v>5986</v>
      </c>
      <c r="E202">
        <v>222</v>
      </c>
      <c r="F202">
        <v>501</v>
      </c>
      <c r="G202">
        <f t="shared" si="7"/>
        <v>0</v>
      </c>
      <c r="H202" t="str">
        <f t="shared" si="6"/>
        <v/>
      </c>
    </row>
    <row r="203" spans="1:8" x14ac:dyDescent="0.25">
      <c r="A203" s="1">
        <v>42984</v>
      </c>
      <c r="B203" t="s">
        <v>17</v>
      </c>
      <c r="C203" t="s">
        <v>39</v>
      </c>
      <c r="D203">
        <v>2750</v>
      </c>
      <c r="E203">
        <v>144</v>
      </c>
      <c r="F203">
        <v>422</v>
      </c>
      <c r="G203">
        <f t="shared" si="7"/>
        <v>1</v>
      </c>
      <c r="H203" t="str">
        <f t="shared" si="6"/>
        <v/>
      </c>
    </row>
    <row r="204" spans="1:8" x14ac:dyDescent="0.25">
      <c r="A204" s="1">
        <v>42985</v>
      </c>
      <c r="B204" t="s">
        <v>39</v>
      </c>
      <c r="C204" t="s">
        <v>50</v>
      </c>
      <c r="D204">
        <v>1381</v>
      </c>
      <c r="E204">
        <v>192</v>
      </c>
      <c r="F204">
        <v>556</v>
      </c>
      <c r="G204">
        <f t="shared" si="7"/>
        <v>0</v>
      </c>
      <c r="H204" t="str">
        <f t="shared" si="6"/>
        <v/>
      </c>
    </row>
    <row r="205" spans="1:8" x14ac:dyDescent="0.25">
      <c r="A205" s="1">
        <v>42986</v>
      </c>
      <c r="B205" t="s">
        <v>60</v>
      </c>
      <c r="C205" t="s">
        <v>59</v>
      </c>
      <c r="D205">
        <v>2219</v>
      </c>
      <c r="E205">
        <v>136</v>
      </c>
      <c r="F205">
        <v>162</v>
      </c>
      <c r="G205">
        <f t="shared" si="7"/>
        <v>0</v>
      </c>
      <c r="H205" t="str">
        <f t="shared" si="6"/>
        <v/>
      </c>
    </row>
    <row r="206" spans="1:8" x14ac:dyDescent="0.25">
      <c r="A206" s="1">
        <v>42987</v>
      </c>
      <c r="B206" t="s">
        <v>59</v>
      </c>
      <c r="C206" t="s">
        <v>65</v>
      </c>
      <c r="D206">
        <v>5041</v>
      </c>
      <c r="E206">
        <v>101</v>
      </c>
      <c r="F206">
        <v>319</v>
      </c>
      <c r="G206">
        <f t="shared" si="7"/>
        <v>0</v>
      </c>
      <c r="H206" t="str">
        <f t="shared" si="6"/>
        <v/>
      </c>
    </row>
    <row r="207" spans="1:8" x14ac:dyDescent="0.25">
      <c r="A207" s="1">
        <v>42989</v>
      </c>
      <c r="B207" t="s">
        <v>31</v>
      </c>
      <c r="C207" t="s">
        <v>23</v>
      </c>
      <c r="D207">
        <v>4432</v>
      </c>
      <c r="E207">
        <v>159</v>
      </c>
      <c r="F207">
        <v>585</v>
      </c>
      <c r="G207">
        <f t="shared" si="7"/>
        <v>0</v>
      </c>
      <c r="H207" t="str">
        <f t="shared" si="6"/>
        <v/>
      </c>
    </row>
    <row r="208" spans="1:8" x14ac:dyDescent="0.25">
      <c r="A208" s="1">
        <v>42990</v>
      </c>
      <c r="B208" t="s">
        <v>6</v>
      </c>
      <c r="C208" t="s">
        <v>12</v>
      </c>
      <c r="D208">
        <v>2761</v>
      </c>
      <c r="E208">
        <v>129</v>
      </c>
      <c r="F208">
        <v>288</v>
      </c>
      <c r="G208">
        <f t="shared" si="7"/>
        <v>0</v>
      </c>
      <c r="H208" t="str">
        <f t="shared" si="6"/>
        <v/>
      </c>
    </row>
    <row r="209" spans="1:8" x14ac:dyDescent="0.25">
      <c r="A209" s="1">
        <v>42991</v>
      </c>
      <c r="B209" t="s">
        <v>12</v>
      </c>
      <c r="C209" t="s">
        <v>7</v>
      </c>
      <c r="D209">
        <v>2935</v>
      </c>
      <c r="E209">
        <v>162</v>
      </c>
      <c r="F209">
        <v>572</v>
      </c>
      <c r="G209">
        <f t="shared" si="7"/>
        <v>0</v>
      </c>
      <c r="H209" t="str">
        <f t="shared" si="6"/>
        <v/>
      </c>
    </row>
    <row r="210" spans="1:8" x14ac:dyDescent="0.25">
      <c r="A210" s="1">
        <v>42992</v>
      </c>
      <c r="B210" t="s">
        <v>36</v>
      </c>
      <c r="C210" t="s">
        <v>40</v>
      </c>
      <c r="D210">
        <v>3565</v>
      </c>
      <c r="E210">
        <v>176</v>
      </c>
      <c r="F210">
        <v>224</v>
      </c>
      <c r="G210">
        <f t="shared" si="7"/>
        <v>0</v>
      </c>
      <c r="H210" t="str">
        <f t="shared" si="6"/>
        <v/>
      </c>
    </row>
    <row r="211" spans="1:8" x14ac:dyDescent="0.25">
      <c r="A211" s="1">
        <v>42993</v>
      </c>
      <c r="B211" t="s">
        <v>8</v>
      </c>
      <c r="C211" t="s">
        <v>38</v>
      </c>
      <c r="D211">
        <v>3096</v>
      </c>
      <c r="E211">
        <v>353</v>
      </c>
      <c r="F211">
        <v>993</v>
      </c>
      <c r="G211">
        <f t="shared" si="7"/>
        <v>0</v>
      </c>
      <c r="H211" t="str">
        <f t="shared" si="6"/>
        <v/>
      </c>
    </row>
    <row r="212" spans="1:8" x14ac:dyDescent="0.25">
      <c r="A212" s="1">
        <v>42995</v>
      </c>
      <c r="B212" t="s">
        <v>50</v>
      </c>
      <c r="C212" t="s">
        <v>11</v>
      </c>
      <c r="D212">
        <v>3325</v>
      </c>
      <c r="E212">
        <v>517</v>
      </c>
      <c r="F212">
        <v>1107</v>
      </c>
      <c r="G212">
        <f t="shared" si="7"/>
        <v>0</v>
      </c>
      <c r="H212" t="str">
        <f t="shared" si="6"/>
        <v/>
      </c>
    </row>
    <row r="213" spans="1:8" x14ac:dyDescent="0.25">
      <c r="A213" s="1">
        <v>42997</v>
      </c>
      <c r="B213" t="s">
        <v>15</v>
      </c>
      <c r="C213" t="s">
        <v>59</v>
      </c>
      <c r="D213">
        <v>2563</v>
      </c>
      <c r="E213">
        <v>480</v>
      </c>
      <c r="F213">
        <v>1849</v>
      </c>
      <c r="G213">
        <f t="shared" si="7"/>
        <v>0</v>
      </c>
      <c r="H213" t="str">
        <f t="shared" si="6"/>
        <v/>
      </c>
    </row>
    <row r="214" spans="1:8" x14ac:dyDescent="0.25">
      <c r="A214" s="1">
        <v>42998</v>
      </c>
      <c r="B214" t="s">
        <v>59</v>
      </c>
      <c r="C214" t="s">
        <v>19</v>
      </c>
      <c r="D214">
        <v>2914</v>
      </c>
      <c r="E214">
        <v>104</v>
      </c>
      <c r="F214">
        <v>275</v>
      </c>
      <c r="G214">
        <f t="shared" si="7"/>
        <v>1</v>
      </c>
      <c r="H214" t="str">
        <f t="shared" si="6"/>
        <v/>
      </c>
    </row>
    <row r="215" spans="1:8" x14ac:dyDescent="0.25">
      <c r="A215" s="1">
        <v>42999</v>
      </c>
      <c r="B215" t="s">
        <v>19</v>
      </c>
      <c r="C215" t="s">
        <v>29</v>
      </c>
      <c r="D215">
        <v>2832</v>
      </c>
      <c r="E215">
        <v>106</v>
      </c>
      <c r="F215">
        <v>396</v>
      </c>
      <c r="G215">
        <f t="shared" si="7"/>
        <v>0</v>
      </c>
      <c r="H215" t="str">
        <f t="shared" si="6"/>
        <v/>
      </c>
    </row>
    <row r="216" spans="1:8" x14ac:dyDescent="0.25">
      <c r="A216" s="1">
        <v>43000</v>
      </c>
      <c r="B216" t="s">
        <v>59</v>
      </c>
      <c r="C216" t="s">
        <v>43</v>
      </c>
      <c r="D216">
        <v>5257</v>
      </c>
      <c r="E216">
        <v>407</v>
      </c>
      <c r="F216">
        <v>551</v>
      </c>
      <c r="G216">
        <f t="shared" si="7"/>
        <v>0</v>
      </c>
      <c r="H216" t="str">
        <f t="shared" si="6"/>
        <v/>
      </c>
    </row>
    <row r="217" spans="1:8" x14ac:dyDescent="0.25">
      <c r="A217" s="1">
        <v>43001</v>
      </c>
      <c r="B217" t="s">
        <v>57</v>
      </c>
      <c r="C217" t="s">
        <v>43</v>
      </c>
      <c r="D217">
        <v>5983</v>
      </c>
      <c r="E217">
        <v>227</v>
      </c>
      <c r="F217">
        <v>832</v>
      </c>
      <c r="G217">
        <f t="shared" si="7"/>
        <v>0</v>
      </c>
      <c r="H217" t="str">
        <f t="shared" si="6"/>
        <v/>
      </c>
    </row>
    <row r="218" spans="1:8" x14ac:dyDescent="0.25">
      <c r="A218" s="1">
        <v>43002</v>
      </c>
      <c r="B218" t="s">
        <v>43</v>
      </c>
      <c r="C218" t="s">
        <v>64</v>
      </c>
      <c r="D218">
        <v>4378</v>
      </c>
      <c r="E218">
        <v>187</v>
      </c>
      <c r="F218">
        <v>653</v>
      </c>
      <c r="G218">
        <f t="shared" si="7"/>
        <v>1</v>
      </c>
      <c r="H218" t="str">
        <f t="shared" si="6"/>
        <v/>
      </c>
    </row>
    <row r="219" spans="1:8" x14ac:dyDescent="0.25">
      <c r="A219" s="1">
        <v>43003</v>
      </c>
      <c r="B219" t="s">
        <v>64</v>
      </c>
      <c r="C219" t="s">
        <v>25</v>
      </c>
      <c r="D219">
        <v>3108</v>
      </c>
      <c r="E219">
        <v>114</v>
      </c>
      <c r="F219">
        <v>174</v>
      </c>
      <c r="G219">
        <f t="shared" si="7"/>
        <v>2</v>
      </c>
      <c r="H219" t="str">
        <f t="shared" si="6"/>
        <v/>
      </c>
    </row>
    <row r="220" spans="1:8" x14ac:dyDescent="0.25">
      <c r="A220" s="1">
        <v>43004</v>
      </c>
      <c r="B220" t="s">
        <v>25</v>
      </c>
      <c r="C220" t="s">
        <v>52</v>
      </c>
      <c r="D220">
        <v>2133</v>
      </c>
      <c r="E220">
        <v>166</v>
      </c>
      <c r="F220">
        <v>513</v>
      </c>
      <c r="G220">
        <f t="shared" si="7"/>
        <v>3</v>
      </c>
      <c r="H220" t="str">
        <f t="shared" si="6"/>
        <v/>
      </c>
    </row>
    <row r="221" spans="1:8" x14ac:dyDescent="0.25">
      <c r="A221" s="1">
        <v>43005</v>
      </c>
      <c r="B221" t="s">
        <v>52</v>
      </c>
      <c r="C221" t="s">
        <v>48</v>
      </c>
      <c r="D221">
        <v>1125</v>
      </c>
      <c r="E221">
        <v>98</v>
      </c>
      <c r="F221">
        <v>194</v>
      </c>
      <c r="G221">
        <f t="shared" si="7"/>
        <v>4</v>
      </c>
      <c r="H221" t="str">
        <f t="shared" si="6"/>
        <v/>
      </c>
    </row>
    <row r="222" spans="1:8" x14ac:dyDescent="0.25">
      <c r="A222" s="1">
        <v>43006</v>
      </c>
      <c r="B222" t="s">
        <v>48</v>
      </c>
      <c r="C222" t="s">
        <v>25</v>
      </c>
      <c r="D222">
        <v>4375</v>
      </c>
      <c r="E222">
        <v>140</v>
      </c>
      <c r="F222">
        <v>134</v>
      </c>
      <c r="G222">
        <f t="shared" si="7"/>
        <v>0</v>
      </c>
      <c r="H222" t="str">
        <f t="shared" si="6"/>
        <v/>
      </c>
    </row>
    <row r="223" spans="1:8" x14ac:dyDescent="0.25">
      <c r="A223" s="1">
        <v>43008</v>
      </c>
      <c r="B223" t="s">
        <v>41</v>
      </c>
      <c r="C223" t="s">
        <v>12</v>
      </c>
      <c r="D223">
        <v>5455</v>
      </c>
      <c r="E223">
        <v>124</v>
      </c>
      <c r="F223">
        <v>231</v>
      </c>
      <c r="G223">
        <f t="shared" si="7"/>
        <v>0</v>
      </c>
      <c r="H223" t="str">
        <f t="shared" si="6"/>
        <v/>
      </c>
    </row>
    <row r="224" spans="1:8" x14ac:dyDescent="0.25">
      <c r="A224" s="1">
        <v>43009</v>
      </c>
      <c r="B224" t="s">
        <v>29</v>
      </c>
      <c r="C224" t="s">
        <v>28</v>
      </c>
      <c r="D224">
        <v>4649</v>
      </c>
      <c r="E224">
        <v>125</v>
      </c>
      <c r="F224">
        <v>356</v>
      </c>
      <c r="G224">
        <f t="shared" si="7"/>
        <v>0</v>
      </c>
      <c r="H224" t="str">
        <f t="shared" si="6"/>
        <v/>
      </c>
    </row>
    <row r="225" spans="1:8" x14ac:dyDescent="0.25">
      <c r="A225" s="1">
        <v>43010</v>
      </c>
      <c r="B225" t="s">
        <v>28</v>
      </c>
      <c r="C225" t="s">
        <v>60</v>
      </c>
      <c r="D225">
        <v>4016</v>
      </c>
      <c r="E225">
        <v>115</v>
      </c>
      <c r="F225">
        <v>145</v>
      </c>
      <c r="G225">
        <f t="shared" si="7"/>
        <v>1</v>
      </c>
      <c r="H225" t="str">
        <f t="shared" si="6"/>
        <v/>
      </c>
    </row>
    <row r="226" spans="1:8" x14ac:dyDescent="0.25">
      <c r="A226" s="1">
        <v>43011</v>
      </c>
      <c r="B226" t="s">
        <v>60</v>
      </c>
      <c r="C226" t="s">
        <v>32</v>
      </c>
      <c r="D226">
        <v>1211</v>
      </c>
      <c r="E226">
        <v>139</v>
      </c>
      <c r="F226">
        <v>218</v>
      </c>
      <c r="G226">
        <f t="shared" si="7"/>
        <v>2</v>
      </c>
      <c r="H226" t="str">
        <f t="shared" si="6"/>
        <v/>
      </c>
    </row>
    <row r="227" spans="1:8" x14ac:dyDescent="0.25">
      <c r="A227" s="1">
        <v>43012</v>
      </c>
      <c r="B227" t="s">
        <v>32</v>
      </c>
      <c r="C227" t="s">
        <v>42</v>
      </c>
      <c r="D227">
        <v>4633</v>
      </c>
      <c r="E227">
        <v>120</v>
      </c>
      <c r="F227">
        <v>280</v>
      </c>
      <c r="G227">
        <f t="shared" si="7"/>
        <v>3</v>
      </c>
      <c r="H227" t="str">
        <f t="shared" si="6"/>
        <v/>
      </c>
    </row>
    <row r="228" spans="1:8" x14ac:dyDescent="0.25">
      <c r="A228" s="1">
        <v>43013</v>
      </c>
      <c r="B228" t="s">
        <v>42</v>
      </c>
      <c r="C228" t="s">
        <v>37</v>
      </c>
      <c r="D228">
        <v>2488</v>
      </c>
      <c r="E228">
        <v>144</v>
      </c>
      <c r="F228">
        <v>252</v>
      </c>
      <c r="G228">
        <f t="shared" si="7"/>
        <v>4</v>
      </c>
      <c r="H228" t="str">
        <f t="shared" si="6"/>
        <v/>
      </c>
    </row>
    <row r="229" spans="1:8" x14ac:dyDescent="0.25">
      <c r="A229" s="1">
        <v>43014</v>
      </c>
      <c r="B229" t="s">
        <v>37</v>
      </c>
      <c r="C229" t="s">
        <v>35</v>
      </c>
      <c r="D229">
        <v>5798</v>
      </c>
      <c r="E229">
        <v>142</v>
      </c>
      <c r="F229">
        <v>501</v>
      </c>
      <c r="G229">
        <f t="shared" si="7"/>
        <v>0</v>
      </c>
      <c r="H229" t="str">
        <f t="shared" si="6"/>
        <v/>
      </c>
    </row>
    <row r="230" spans="1:8" x14ac:dyDescent="0.25">
      <c r="A230" s="1">
        <v>43015</v>
      </c>
      <c r="B230" t="s">
        <v>42</v>
      </c>
      <c r="C230" t="s">
        <v>62</v>
      </c>
      <c r="D230">
        <v>2918</v>
      </c>
      <c r="E230">
        <v>181</v>
      </c>
      <c r="F230">
        <v>289</v>
      </c>
      <c r="G230">
        <f t="shared" si="7"/>
        <v>0</v>
      </c>
      <c r="H230" t="str">
        <f t="shared" si="6"/>
        <v/>
      </c>
    </row>
    <row r="231" spans="1:8" x14ac:dyDescent="0.25">
      <c r="A231" s="1">
        <v>43016</v>
      </c>
      <c r="B231" t="s">
        <v>62</v>
      </c>
      <c r="C231" t="s">
        <v>61</v>
      </c>
      <c r="D231">
        <v>1886</v>
      </c>
      <c r="E231">
        <v>110</v>
      </c>
      <c r="F231">
        <v>254</v>
      </c>
      <c r="G231">
        <f t="shared" si="7"/>
        <v>0</v>
      </c>
      <c r="H231" t="str">
        <f t="shared" si="6"/>
        <v/>
      </c>
    </row>
    <row r="232" spans="1:8" x14ac:dyDescent="0.25">
      <c r="A232" s="1">
        <v>43017</v>
      </c>
      <c r="B232" t="s">
        <v>70</v>
      </c>
      <c r="C232" t="s">
        <v>30</v>
      </c>
      <c r="D232">
        <v>4431</v>
      </c>
      <c r="E232">
        <v>128</v>
      </c>
      <c r="F232">
        <v>213</v>
      </c>
      <c r="G232">
        <f t="shared" si="7"/>
        <v>0</v>
      </c>
      <c r="H232" t="str">
        <f t="shared" si="6"/>
        <v/>
      </c>
    </row>
    <row r="233" spans="1:8" x14ac:dyDescent="0.25">
      <c r="A233" s="1">
        <v>43018</v>
      </c>
      <c r="B233" t="s">
        <v>30</v>
      </c>
      <c r="C233" t="s">
        <v>40</v>
      </c>
      <c r="D233">
        <v>1956</v>
      </c>
      <c r="E233">
        <v>176</v>
      </c>
      <c r="F233">
        <v>248</v>
      </c>
      <c r="G233">
        <f t="shared" si="7"/>
        <v>0</v>
      </c>
      <c r="H233" t="str">
        <f t="shared" si="6"/>
        <v/>
      </c>
    </row>
    <row r="234" spans="1:8" x14ac:dyDescent="0.25">
      <c r="A234" s="1">
        <v>43019</v>
      </c>
      <c r="B234" t="s">
        <v>15</v>
      </c>
      <c r="C234" t="s">
        <v>26</v>
      </c>
      <c r="D234">
        <v>4059</v>
      </c>
      <c r="E234">
        <v>162</v>
      </c>
      <c r="F234">
        <v>550</v>
      </c>
      <c r="G234">
        <f t="shared" si="7"/>
        <v>0</v>
      </c>
      <c r="H234" t="str">
        <f t="shared" si="6"/>
        <v/>
      </c>
    </row>
    <row r="235" spans="1:8" x14ac:dyDescent="0.25">
      <c r="A235" s="1">
        <v>43020</v>
      </c>
      <c r="B235" t="s">
        <v>26</v>
      </c>
      <c r="C235" t="s">
        <v>23</v>
      </c>
      <c r="D235">
        <v>2157</v>
      </c>
      <c r="E235">
        <v>115</v>
      </c>
      <c r="F235">
        <v>182</v>
      </c>
      <c r="G235">
        <f t="shared" si="7"/>
        <v>1</v>
      </c>
      <c r="H235" t="str">
        <f t="shared" si="6"/>
        <v/>
      </c>
    </row>
    <row r="236" spans="1:8" x14ac:dyDescent="0.25">
      <c r="A236" s="1">
        <v>43021</v>
      </c>
      <c r="B236" t="s">
        <v>23</v>
      </c>
      <c r="C236" t="s">
        <v>24</v>
      </c>
      <c r="D236">
        <v>3353</v>
      </c>
      <c r="E236">
        <v>117</v>
      </c>
      <c r="F236">
        <v>312</v>
      </c>
      <c r="G236">
        <f t="shared" si="7"/>
        <v>2</v>
      </c>
      <c r="H236" t="str">
        <f t="shared" si="6"/>
        <v/>
      </c>
    </row>
    <row r="237" spans="1:8" x14ac:dyDescent="0.25">
      <c r="A237" s="1">
        <v>43022</v>
      </c>
      <c r="B237" t="s">
        <v>24</v>
      </c>
      <c r="C237" t="s">
        <v>21</v>
      </c>
      <c r="D237">
        <v>4677</v>
      </c>
      <c r="E237">
        <v>219</v>
      </c>
      <c r="F237">
        <v>255</v>
      </c>
      <c r="G237">
        <f t="shared" si="7"/>
        <v>3</v>
      </c>
      <c r="H237" t="str">
        <f t="shared" si="6"/>
        <v/>
      </c>
    </row>
    <row r="238" spans="1:8" x14ac:dyDescent="0.25">
      <c r="A238" s="1">
        <v>43023</v>
      </c>
      <c r="B238" t="s">
        <v>21</v>
      </c>
      <c r="C238" t="s">
        <v>25</v>
      </c>
      <c r="D238">
        <v>2059</v>
      </c>
      <c r="E238">
        <v>164</v>
      </c>
      <c r="F238">
        <v>630</v>
      </c>
      <c r="G238">
        <f t="shared" si="7"/>
        <v>0</v>
      </c>
      <c r="H238" t="str">
        <f t="shared" si="6"/>
        <v/>
      </c>
    </row>
    <row r="239" spans="1:8" x14ac:dyDescent="0.25">
      <c r="A239" s="1">
        <v>43025</v>
      </c>
      <c r="B239" t="s">
        <v>8</v>
      </c>
      <c r="C239" t="s">
        <v>29</v>
      </c>
      <c r="D239">
        <v>5537</v>
      </c>
      <c r="E239">
        <v>141</v>
      </c>
      <c r="F239">
        <v>240</v>
      </c>
      <c r="G239">
        <f t="shared" si="7"/>
        <v>0</v>
      </c>
      <c r="H239" t="str">
        <f t="shared" si="6"/>
        <v/>
      </c>
    </row>
    <row r="240" spans="1:8" x14ac:dyDescent="0.25">
      <c r="A240" s="1">
        <v>43026</v>
      </c>
      <c r="B240" t="s">
        <v>29</v>
      </c>
      <c r="C240" t="s">
        <v>59</v>
      </c>
      <c r="D240">
        <v>2987</v>
      </c>
      <c r="E240">
        <v>149</v>
      </c>
      <c r="F240">
        <v>464</v>
      </c>
      <c r="G240">
        <f t="shared" si="7"/>
        <v>0</v>
      </c>
      <c r="H240" t="str">
        <f t="shared" si="6"/>
        <v/>
      </c>
    </row>
    <row r="241" spans="1:8" x14ac:dyDescent="0.25">
      <c r="A241" s="1">
        <v>43028</v>
      </c>
      <c r="B241" t="s">
        <v>69</v>
      </c>
      <c r="C241" t="s">
        <v>67</v>
      </c>
      <c r="D241">
        <v>5570</v>
      </c>
      <c r="E241">
        <v>166</v>
      </c>
      <c r="F241">
        <v>577</v>
      </c>
      <c r="G241">
        <f t="shared" si="7"/>
        <v>0</v>
      </c>
      <c r="H241" t="str">
        <f t="shared" si="6"/>
        <v/>
      </c>
    </row>
    <row r="242" spans="1:8" x14ac:dyDescent="0.25">
      <c r="A242" s="1">
        <v>43029</v>
      </c>
      <c r="B242" t="s">
        <v>67</v>
      </c>
      <c r="C242" t="s">
        <v>66</v>
      </c>
      <c r="D242">
        <v>3948</v>
      </c>
      <c r="E242">
        <v>137</v>
      </c>
      <c r="F242">
        <v>469</v>
      </c>
      <c r="G242">
        <f t="shared" si="7"/>
        <v>0</v>
      </c>
      <c r="H242" t="str">
        <f t="shared" si="6"/>
        <v/>
      </c>
    </row>
    <row r="243" spans="1:8" x14ac:dyDescent="0.25">
      <c r="A243" s="1">
        <v>43030</v>
      </c>
      <c r="B243" t="s">
        <v>56</v>
      </c>
      <c r="C243" t="s">
        <v>59</v>
      </c>
      <c r="D243">
        <v>4201</v>
      </c>
      <c r="E243">
        <v>380</v>
      </c>
      <c r="F243">
        <v>528</v>
      </c>
      <c r="G243">
        <f t="shared" si="7"/>
        <v>0</v>
      </c>
      <c r="H243" t="str">
        <f t="shared" si="6"/>
        <v/>
      </c>
    </row>
    <row r="244" spans="1:8" x14ac:dyDescent="0.25">
      <c r="A244" s="1">
        <v>43031</v>
      </c>
      <c r="B244" t="s">
        <v>59</v>
      </c>
      <c r="C244" t="s">
        <v>12</v>
      </c>
      <c r="D244">
        <v>3592</v>
      </c>
      <c r="E244">
        <v>109</v>
      </c>
      <c r="F244">
        <v>134</v>
      </c>
      <c r="G244">
        <f t="shared" si="7"/>
        <v>1</v>
      </c>
      <c r="H244" t="str">
        <f t="shared" si="6"/>
        <v/>
      </c>
    </row>
    <row r="245" spans="1:8" x14ac:dyDescent="0.25">
      <c r="A245" s="1">
        <v>43032</v>
      </c>
      <c r="B245" t="s">
        <v>12</v>
      </c>
      <c r="C245" t="s">
        <v>41</v>
      </c>
      <c r="D245">
        <v>4543</v>
      </c>
      <c r="E245">
        <v>135</v>
      </c>
      <c r="F245">
        <v>345</v>
      </c>
      <c r="G245">
        <f t="shared" si="7"/>
        <v>0</v>
      </c>
      <c r="H245" t="str">
        <f t="shared" si="6"/>
        <v/>
      </c>
    </row>
    <row r="246" spans="1:8" x14ac:dyDescent="0.25">
      <c r="A246" s="1">
        <v>43034</v>
      </c>
      <c r="B246" t="s">
        <v>12</v>
      </c>
      <c r="C246" t="s">
        <v>9</v>
      </c>
      <c r="D246">
        <v>1813</v>
      </c>
      <c r="E246">
        <v>86</v>
      </c>
      <c r="F246">
        <v>163</v>
      </c>
      <c r="G246">
        <f t="shared" si="7"/>
        <v>0</v>
      </c>
      <c r="H246" t="str">
        <f t="shared" si="6"/>
        <v/>
      </c>
    </row>
    <row r="247" spans="1:8" x14ac:dyDescent="0.25">
      <c r="A247" s="1">
        <v>43035</v>
      </c>
      <c r="B247" t="s">
        <v>38</v>
      </c>
      <c r="C247" t="s">
        <v>49</v>
      </c>
      <c r="D247">
        <v>4567</v>
      </c>
      <c r="E247">
        <v>31</v>
      </c>
      <c r="F247">
        <v>54</v>
      </c>
      <c r="G247">
        <f t="shared" si="7"/>
        <v>0</v>
      </c>
      <c r="H247" t="str">
        <f t="shared" si="6"/>
        <v/>
      </c>
    </row>
    <row r="248" spans="1:8" x14ac:dyDescent="0.25">
      <c r="A248" s="1">
        <v>43036</v>
      </c>
      <c r="B248" t="s">
        <v>49</v>
      </c>
      <c r="C248" t="s">
        <v>37</v>
      </c>
      <c r="D248">
        <v>1830</v>
      </c>
      <c r="E248">
        <v>152</v>
      </c>
      <c r="F248">
        <v>301</v>
      </c>
      <c r="G248">
        <f t="shared" si="7"/>
        <v>1</v>
      </c>
      <c r="H248" t="str">
        <f t="shared" si="6"/>
        <v/>
      </c>
    </row>
    <row r="249" spans="1:8" x14ac:dyDescent="0.25">
      <c r="A249" s="1">
        <v>43037</v>
      </c>
      <c r="B249" t="s">
        <v>37</v>
      </c>
      <c r="C249" t="s">
        <v>57</v>
      </c>
      <c r="D249">
        <v>3678</v>
      </c>
      <c r="E249">
        <v>104</v>
      </c>
      <c r="F249">
        <v>275</v>
      </c>
      <c r="G249">
        <f t="shared" si="7"/>
        <v>0</v>
      </c>
      <c r="H249" t="str">
        <f t="shared" si="6"/>
        <v/>
      </c>
    </row>
    <row r="250" spans="1:8" x14ac:dyDescent="0.25">
      <c r="A250" s="1">
        <v>43038</v>
      </c>
      <c r="B250" t="s">
        <v>17</v>
      </c>
      <c r="C250" t="s">
        <v>38</v>
      </c>
      <c r="D250">
        <v>1782</v>
      </c>
      <c r="E250">
        <v>171</v>
      </c>
      <c r="F250">
        <v>193</v>
      </c>
      <c r="G250">
        <f t="shared" si="7"/>
        <v>0</v>
      </c>
      <c r="H250" t="str">
        <f t="shared" si="6"/>
        <v/>
      </c>
    </row>
    <row r="251" spans="1:8" x14ac:dyDescent="0.25">
      <c r="A251" s="1">
        <v>43040</v>
      </c>
      <c r="B251" t="s">
        <v>12</v>
      </c>
      <c r="C251" t="s">
        <v>6</v>
      </c>
      <c r="D251">
        <v>2966</v>
      </c>
      <c r="E251">
        <v>125</v>
      </c>
      <c r="F251">
        <v>170</v>
      </c>
      <c r="G251">
        <f t="shared" si="7"/>
        <v>0</v>
      </c>
      <c r="H251" t="str">
        <f t="shared" si="6"/>
        <v/>
      </c>
    </row>
    <row r="252" spans="1:8" x14ac:dyDescent="0.25">
      <c r="A252" s="1">
        <v>43042</v>
      </c>
      <c r="B252" t="s">
        <v>32</v>
      </c>
      <c r="C252" t="s">
        <v>47</v>
      </c>
      <c r="D252">
        <v>4746</v>
      </c>
      <c r="E252">
        <v>131</v>
      </c>
      <c r="F252">
        <v>245</v>
      </c>
      <c r="G252">
        <f t="shared" si="7"/>
        <v>0</v>
      </c>
      <c r="H252" t="str">
        <f t="shared" si="6"/>
        <v/>
      </c>
    </row>
    <row r="253" spans="1:8" x14ac:dyDescent="0.25">
      <c r="A253" s="1">
        <v>43044</v>
      </c>
      <c r="B253" t="s">
        <v>37</v>
      </c>
      <c r="C253" t="s">
        <v>18</v>
      </c>
      <c r="D253">
        <v>3161</v>
      </c>
      <c r="E253">
        <v>101</v>
      </c>
      <c r="F253">
        <v>115</v>
      </c>
      <c r="G253">
        <f t="shared" si="7"/>
        <v>0</v>
      </c>
      <c r="H253" t="str">
        <f t="shared" si="6"/>
        <v/>
      </c>
    </row>
    <row r="254" spans="1:8" x14ac:dyDescent="0.25">
      <c r="A254" s="1">
        <v>43045</v>
      </c>
      <c r="B254" t="s">
        <v>60</v>
      </c>
      <c r="C254" t="s">
        <v>71</v>
      </c>
      <c r="D254">
        <v>3600</v>
      </c>
      <c r="E254">
        <v>211</v>
      </c>
      <c r="F254">
        <v>670</v>
      </c>
      <c r="G254">
        <f t="shared" si="7"/>
        <v>0</v>
      </c>
      <c r="H254" t="str">
        <f t="shared" si="6"/>
        <v/>
      </c>
    </row>
    <row r="255" spans="1:8" x14ac:dyDescent="0.25">
      <c r="A255" s="1">
        <v>43046</v>
      </c>
      <c r="B255" t="s">
        <v>71</v>
      </c>
      <c r="C255" t="s">
        <v>10</v>
      </c>
      <c r="D255">
        <v>4093</v>
      </c>
      <c r="E255">
        <v>119</v>
      </c>
      <c r="F255">
        <v>254</v>
      </c>
      <c r="G255">
        <f t="shared" si="7"/>
        <v>1</v>
      </c>
      <c r="H255" t="str">
        <f t="shared" si="6"/>
        <v/>
      </c>
    </row>
    <row r="256" spans="1:8" x14ac:dyDescent="0.25">
      <c r="A256" s="1">
        <v>43047</v>
      </c>
      <c r="B256" t="s">
        <v>10</v>
      </c>
      <c r="C256" t="s">
        <v>9</v>
      </c>
      <c r="D256">
        <v>1981</v>
      </c>
      <c r="E256">
        <v>159</v>
      </c>
      <c r="F256">
        <v>192</v>
      </c>
      <c r="G256">
        <f t="shared" si="7"/>
        <v>2</v>
      </c>
      <c r="H256" t="str">
        <f t="shared" si="6"/>
        <v/>
      </c>
    </row>
    <row r="257" spans="1:8" x14ac:dyDescent="0.25">
      <c r="A257" s="1">
        <v>43048</v>
      </c>
      <c r="B257" t="s">
        <v>9</v>
      </c>
      <c r="C257" t="s">
        <v>6</v>
      </c>
      <c r="D257">
        <v>3154</v>
      </c>
      <c r="E257">
        <v>127</v>
      </c>
      <c r="F257">
        <v>390</v>
      </c>
      <c r="G257">
        <f t="shared" si="7"/>
        <v>0</v>
      </c>
      <c r="H257" t="str">
        <f t="shared" si="6"/>
        <v/>
      </c>
    </row>
    <row r="258" spans="1:8" x14ac:dyDescent="0.25">
      <c r="A258" s="1">
        <v>43051</v>
      </c>
      <c r="B258" t="s">
        <v>8</v>
      </c>
      <c r="C258" t="s">
        <v>67</v>
      </c>
      <c r="D258">
        <v>4876</v>
      </c>
      <c r="E258">
        <v>280</v>
      </c>
      <c r="F258">
        <v>688</v>
      </c>
      <c r="G258">
        <f t="shared" si="7"/>
        <v>0</v>
      </c>
      <c r="H258" t="str">
        <f t="shared" si="6"/>
        <v/>
      </c>
    </row>
    <row r="259" spans="1:8" x14ac:dyDescent="0.25">
      <c r="A259" s="1">
        <v>43052</v>
      </c>
      <c r="B259" t="s">
        <v>67</v>
      </c>
      <c r="C259" t="s">
        <v>66</v>
      </c>
      <c r="D259">
        <v>5153</v>
      </c>
      <c r="E259">
        <v>141</v>
      </c>
      <c r="F259">
        <v>547</v>
      </c>
      <c r="G259">
        <f t="shared" si="7"/>
        <v>1</v>
      </c>
      <c r="H259" t="str">
        <f t="shared" ref="H259:H301" si="8">IF(G259=$L$2,"xxxxxxxxxxxxxxxxx","")</f>
        <v/>
      </c>
    </row>
    <row r="260" spans="1:8" x14ac:dyDescent="0.25">
      <c r="A260" s="1">
        <v>43053</v>
      </c>
      <c r="B260" t="s">
        <v>66</v>
      </c>
      <c r="C260" t="s">
        <v>45</v>
      </c>
      <c r="D260">
        <v>1720</v>
      </c>
      <c r="E260">
        <v>122</v>
      </c>
      <c r="F260">
        <v>363</v>
      </c>
      <c r="G260">
        <f t="shared" ref="G260:G301" si="9">IF(AND(B260=C259,C260=B261,A259+1=A260),G259+1,0)</f>
        <v>2</v>
      </c>
      <c r="H260" t="str">
        <f t="shared" si="8"/>
        <v/>
      </c>
    </row>
    <row r="261" spans="1:8" x14ac:dyDescent="0.25">
      <c r="A261" s="1">
        <v>43054</v>
      </c>
      <c r="B261" t="s">
        <v>45</v>
      </c>
      <c r="C261" t="s">
        <v>44</v>
      </c>
      <c r="D261">
        <v>5392</v>
      </c>
      <c r="E261">
        <v>161</v>
      </c>
      <c r="F261">
        <v>240</v>
      </c>
      <c r="G261">
        <f t="shared" si="9"/>
        <v>0</v>
      </c>
      <c r="H261" t="str">
        <f t="shared" si="8"/>
        <v/>
      </c>
    </row>
    <row r="262" spans="1:8" x14ac:dyDescent="0.25">
      <c r="A262" s="1">
        <v>43055</v>
      </c>
      <c r="B262" t="s">
        <v>70</v>
      </c>
      <c r="C262" t="s">
        <v>23</v>
      </c>
      <c r="D262">
        <v>1698</v>
      </c>
      <c r="E262">
        <v>224</v>
      </c>
      <c r="F262">
        <v>579</v>
      </c>
      <c r="G262">
        <f t="shared" si="9"/>
        <v>0</v>
      </c>
      <c r="H262" t="str">
        <f t="shared" si="8"/>
        <v/>
      </c>
    </row>
    <row r="263" spans="1:8" x14ac:dyDescent="0.25">
      <c r="A263" s="1">
        <v>43056</v>
      </c>
      <c r="B263" t="s">
        <v>23</v>
      </c>
      <c r="C263" t="s">
        <v>21</v>
      </c>
      <c r="D263">
        <v>3411</v>
      </c>
      <c r="E263">
        <v>166</v>
      </c>
      <c r="F263">
        <v>574</v>
      </c>
      <c r="G263">
        <f t="shared" si="9"/>
        <v>1</v>
      </c>
      <c r="H263" t="str">
        <f t="shared" si="8"/>
        <v/>
      </c>
    </row>
    <row r="264" spans="1:8" x14ac:dyDescent="0.25">
      <c r="A264" s="1">
        <v>43057</v>
      </c>
      <c r="B264" t="s">
        <v>21</v>
      </c>
      <c r="C264" t="s">
        <v>14</v>
      </c>
      <c r="D264">
        <v>5558</v>
      </c>
      <c r="E264">
        <v>107</v>
      </c>
      <c r="F264">
        <v>202</v>
      </c>
      <c r="G264">
        <f t="shared" si="9"/>
        <v>2</v>
      </c>
      <c r="H264" t="str">
        <f t="shared" si="8"/>
        <v/>
      </c>
    </row>
    <row r="265" spans="1:8" x14ac:dyDescent="0.25">
      <c r="A265" s="1">
        <v>43058</v>
      </c>
      <c r="B265" t="s">
        <v>14</v>
      </c>
      <c r="C265" t="s">
        <v>40</v>
      </c>
      <c r="D265">
        <v>2592</v>
      </c>
      <c r="E265">
        <v>136</v>
      </c>
      <c r="F265">
        <v>325</v>
      </c>
      <c r="G265">
        <f t="shared" si="9"/>
        <v>3</v>
      </c>
      <c r="H265" t="str">
        <f t="shared" si="8"/>
        <v/>
      </c>
    </row>
    <row r="266" spans="1:8" x14ac:dyDescent="0.25">
      <c r="A266" s="1">
        <v>43059</v>
      </c>
      <c r="B266" t="s">
        <v>40</v>
      </c>
      <c r="C266" t="s">
        <v>30</v>
      </c>
      <c r="D266">
        <v>5214</v>
      </c>
      <c r="E266">
        <v>178</v>
      </c>
      <c r="F266">
        <v>634</v>
      </c>
      <c r="G266">
        <f t="shared" si="9"/>
        <v>4</v>
      </c>
      <c r="H266" t="str">
        <f t="shared" si="8"/>
        <v/>
      </c>
    </row>
    <row r="267" spans="1:8" x14ac:dyDescent="0.25">
      <c r="A267" s="1">
        <v>43060</v>
      </c>
      <c r="B267" t="s">
        <v>30</v>
      </c>
      <c r="C267" t="s">
        <v>40</v>
      </c>
      <c r="D267">
        <v>5491</v>
      </c>
      <c r="E267">
        <v>162</v>
      </c>
      <c r="F267">
        <v>408</v>
      </c>
      <c r="G267">
        <f t="shared" si="9"/>
        <v>0</v>
      </c>
      <c r="H267" t="str">
        <f t="shared" si="8"/>
        <v/>
      </c>
    </row>
    <row r="268" spans="1:8" x14ac:dyDescent="0.25">
      <c r="A268" s="1">
        <v>43061</v>
      </c>
      <c r="B268" t="s">
        <v>16</v>
      </c>
      <c r="C268" t="s">
        <v>35</v>
      </c>
      <c r="D268">
        <v>4594</v>
      </c>
      <c r="E268">
        <v>443</v>
      </c>
      <c r="F268">
        <v>1098</v>
      </c>
      <c r="G268">
        <f t="shared" si="9"/>
        <v>0</v>
      </c>
      <c r="H268" t="str">
        <f t="shared" si="8"/>
        <v/>
      </c>
    </row>
    <row r="269" spans="1:8" x14ac:dyDescent="0.25">
      <c r="A269" s="1">
        <v>43062</v>
      </c>
      <c r="B269" t="s">
        <v>35</v>
      </c>
      <c r="C269" t="s">
        <v>37</v>
      </c>
      <c r="D269">
        <v>1047</v>
      </c>
      <c r="E269">
        <v>147</v>
      </c>
      <c r="F269">
        <v>432</v>
      </c>
      <c r="G269">
        <f t="shared" si="9"/>
        <v>0</v>
      </c>
      <c r="H269" t="str">
        <f t="shared" si="8"/>
        <v/>
      </c>
    </row>
    <row r="270" spans="1:8" x14ac:dyDescent="0.25">
      <c r="A270" s="1">
        <v>43063</v>
      </c>
      <c r="B270" t="s">
        <v>15</v>
      </c>
      <c r="C270" t="s">
        <v>59</v>
      </c>
      <c r="D270">
        <v>5517</v>
      </c>
      <c r="E270">
        <v>494</v>
      </c>
      <c r="F270">
        <v>1185</v>
      </c>
      <c r="G270">
        <f t="shared" si="9"/>
        <v>0</v>
      </c>
      <c r="H270" t="str">
        <f t="shared" si="8"/>
        <v/>
      </c>
    </row>
    <row r="271" spans="1:8" x14ac:dyDescent="0.25">
      <c r="A271" s="1">
        <v>43064</v>
      </c>
      <c r="B271" t="s">
        <v>59</v>
      </c>
      <c r="C271" t="s">
        <v>12</v>
      </c>
      <c r="D271">
        <v>4155</v>
      </c>
      <c r="E271">
        <v>93</v>
      </c>
      <c r="F271">
        <v>181</v>
      </c>
      <c r="G271">
        <f t="shared" si="9"/>
        <v>0</v>
      </c>
      <c r="H271" t="str">
        <f t="shared" si="8"/>
        <v/>
      </c>
    </row>
    <row r="272" spans="1:8" x14ac:dyDescent="0.25">
      <c r="A272" s="1">
        <v>43067</v>
      </c>
      <c r="B272" t="s">
        <v>61</v>
      </c>
      <c r="C272" t="s">
        <v>48</v>
      </c>
      <c r="D272">
        <v>2798</v>
      </c>
      <c r="E272">
        <v>109</v>
      </c>
      <c r="F272">
        <v>366</v>
      </c>
      <c r="G272">
        <f t="shared" si="9"/>
        <v>0</v>
      </c>
      <c r="H272" t="str">
        <f t="shared" si="8"/>
        <v/>
      </c>
    </row>
    <row r="273" spans="1:10" x14ac:dyDescent="0.25">
      <c r="A273" s="1">
        <v>43068</v>
      </c>
      <c r="B273" t="s">
        <v>48</v>
      </c>
      <c r="C273" t="s">
        <v>61</v>
      </c>
      <c r="D273">
        <v>4217</v>
      </c>
      <c r="E273">
        <v>112</v>
      </c>
      <c r="F273">
        <v>263</v>
      </c>
      <c r="G273">
        <f t="shared" si="9"/>
        <v>1</v>
      </c>
      <c r="H273" t="str">
        <f t="shared" si="8"/>
        <v/>
      </c>
    </row>
    <row r="274" spans="1:10" x14ac:dyDescent="0.25">
      <c r="A274" s="1">
        <v>43069</v>
      </c>
      <c r="B274" t="s">
        <v>61</v>
      </c>
      <c r="C274" t="s">
        <v>48</v>
      </c>
      <c r="D274">
        <v>4327</v>
      </c>
      <c r="E274">
        <v>109</v>
      </c>
      <c r="F274">
        <v>196</v>
      </c>
      <c r="G274">
        <f t="shared" si="9"/>
        <v>0</v>
      </c>
      <c r="H274" t="str">
        <f t="shared" si="8"/>
        <v/>
      </c>
    </row>
    <row r="275" spans="1:10" x14ac:dyDescent="0.25">
      <c r="A275" s="1">
        <v>43070</v>
      </c>
      <c r="B275" t="s">
        <v>32</v>
      </c>
      <c r="C275" t="s">
        <v>38</v>
      </c>
      <c r="D275">
        <v>2555</v>
      </c>
      <c r="E275">
        <v>124</v>
      </c>
      <c r="F275">
        <v>150</v>
      </c>
      <c r="G275">
        <f t="shared" si="9"/>
        <v>0</v>
      </c>
      <c r="H275" t="str">
        <f t="shared" si="8"/>
        <v/>
      </c>
    </row>
    <row r="276" spans="1:10" x14ac:dyDescent="0.25">
      <c r="A276" s="1">
        <v>43071</v>
      </c>
      <c r="B276" t="s">
        <v>38</v>
      </c>
      <c r="C276" t="s">
        <v>57</v>
      </c>
      <c r="D276">
        <v>5150</v>
      </c>
      <c r="E276">
        <v>104</v>
      </c>
      <c r="F276">
        <v>435</v>
      </c>
      <c r="G276">
        <f t="shared" si="9"/>
        <v>0</v>
      </c>
      <c r="H276" t="str">
        <f t="shared" si="8"/>
        <v/>
      </c>
    </row>
    <row r="277" spans="1:10" x14ac:dyDescent="0.25">
      <c r="A277" s="1">
        <v>43072</v>
      </c>
      <c r="B277" t="s">
        <v>56</v>
      </c>
      <c r="C277" t="s">
        <v>47</v>
      </c>
      <c r="D277">
        <v>5697</v>
      </c>
      <c r="E277">
        <v>257</v>
      </c>
      <c r="F277">
        <v>717</v>
      </c>
      <c r="G277">
        <f t="shared" si="9"/>
        <v>0</v>
      </c>
      <c r="H277" t="str">
        <f t="shared" si="8"/>
        <v/>
      </c>
    </row>
    <row r="278" spans="1:10" x14ac:dyDescent="0.25">
      <c r="A278" s="1">
        <v>43073</v>
      </c>
      <c r="B278" t="s">
        <v>47</v>
      </c>
      <c r="C278" t="s">
        <v>46</v>
      </c>
      <c r="D278">
        <v>3192</v>
      </c>
      <c r="E278">
        <v>113</v>
      </c>
      <c r="F278">
        <v>310</v>
      </c>
      <c r="G278">
        <f t="shared" si="9"/>
        <v>0</v>
      </c>
      <c r="H278" t="str">
        <f t="shared" si="8"/>
        <v/>
      </c>
    </row>
    <row r="279" spans="1:10" x14ac:dyDescent="0.25">
      <c r="A279" s="1">
        <v>43075</v>
      </c>
      <c r="B279" t="s">
        <v>38</v>
      </c>
      <c r="C279" t="s">
        <v>59</v>
      </c>
      <c r="D279">
        <v>2781</v>
      </c>
      <c r="E279">
        <v>409</v>
      </c>
      <c r="F279">
        <v>1436</v>
      </c>
      <c r="G279">
        <f t="shared" si="9"/>
        <v>0</v>
      </c>
      <c r="H279" t="str">
        <f t="shared" si="8"/>
        <v/>
      </c>
    </row>
    <row r="280" spans="1:10" x14ac:dyDescent="0.25">
      <c r="A280" s="1">
        <v>43076</v>
      </c>
      <c r="B280" t="s">
        <v>59</v>
      </c>
      <c r="C280" t="s">
        <v>8</v>
      </c>
      <c r="D280">
        <v>1093</v>
      </c>
      <c r="E280">
        <v>110</v>
      </c>
      <c r="F280">
        <v>400</v>
      </c>
      <c r="G280">
        <f t="shared" si="9"/>
        <v>1</v>
      </c>
      <c r="H280" t="str">
        <f t="shared" si="8"/>
        <v/>
      </c>
    </row>
    <row r="281" spans="1:10" x14ac:dyDescent="0.25">
      <c r="A281" s="1">
        <v>43077</v>
      </c>
      <c r="B281" t="s">
        <v>8</v>
      </c>
      <c r="C281" t="s">
        <v>20</v>
      </c>
      <c r="D281">
        <v>2291</v>
      </c>
      <c r="E281">
        <v>132</v>
      </c>
      <c r="F281">
        <v>163</v>
      </c>
      <c r="G281">
        <f t="shared" si="9"/>
        <v>0</v>
      </c>
      <c r="H281" t="str">
        <f t="shared" si="8"/>
        <v/>
      </c>
    </row>
    <row r="282" spans="1:10" x14ac:dyDescent="0.25">
      <c r="A282" s="1">
        <v>43078</v>
      </c>
      <c r="B282" t="s">
        <v>15</v>
      </c>
      <c r="C282" t="s">
        <v>23</v>
      </c>
      <c r="D282">
        <v>2962</v>
      </c>
      <c r="E282">
        <v>170</v>
      </c>
      <c r="F282">
        <v>273</v>
      </c>
      <c r="G282">
        <f t="shared" si="9"/>
        <v>0</v>
      </c>
      <c r="H282" t="str">
        <f t="shared" si="8"/>
        <v/>
      </c>
    </row>
    <row r="283" spans="1:10" x14ac:dyDescent="0.25">
      <c r="A283" s="1">
        <v>43079</v>
      </c>
      <c r="B283" t="s">
        <v>7</v>
      </c>
      <c r="C283" t="s">
        <v>8</v>
      </c>
      <c r="D283">
        <v>2939</v>
      </c>
      <c r="E283">
        <v>110</v>
      </c>
      <c r="F283">
        <v>279</v>
      </c>
      <c r="G283">
        <f t="shared" si="9"/>
        <v>0</v>
      </c>
      <c r="H283" t="str">
        <f t="shared" si="8"/>
        <v/>
      </c>
    </row>
    <row r="284" spans="1:10" x14ac:dyDescent="0.25">
      <c r="A284" s="1">
        <v>43080</v>
      </c>
      <c r="B284" t="s">
        <v>8</v>
      </c>
      <c r="C284" t="s">
        <v>20</v>
      </c>
      <c r="D284">
        <v>4981</v>
      </c>
      <c r="E284">
        <v>138</v>
      </c>
      <c r="F284">
        <v>455</v>
      </c>
      <c r="G284">
        <f t="shared" si="9"/>
        <v>1</v>
      </c>
      <c r="H284" t="str">
        <f t="shared" si="8"/>
        <v/>
      </c>
      <c r="I284" s="1">
        <v>43080</v>
      </c>
      <c r="J284" s="1">
        <v>43088</v>
      </c>
    </row>
    <row r="285" spans="1:10" x14ac:dyDescent="0.25">
      <c r="A285" s="1">
        <v>43081</v>
      </c>
      <c r="B285" t="s">
        <v>20</v>
      </c>
      <c r="C285" t="s">
        <v>60</v>
      </c>
      <c r="D285">
        <v>3436</v>
      </c>
      <c r="E285">
        <v>114</v>
      </c>
      <c r="F285">
        <v>370</v>
      </c>
      <c r="G285">
        <f t="shared" si="9"/>
        <v>2</v>
      </c>
      <c r="H285" t="str">
        <f t="shared" si="8"/>
        <v/>
      </c>
    </row>
    <row r="286" spans="1:10" x14ac:dyDescent="0.25">
      <c r="A286" s="1">
        <v>43082</v>
      </c>
      <c r="B286" t="s">
        <v>60</v>
      </c>
      <c r="C286" t="s">
        <v>47</v>
      </c>
      <c r="D286">
        <v>2342</v>
      </c>
      <c r="E286">
        <v>141</v>
      </c>
      <c r="F286">
        <v>319</v>
      </c>
      <c r="G286">
        <f t="shared" si="9"/>
        <v>3</v>
      </c>
      <c r="H286" t="str">
        <f t="shared" si="8"/>
        <v/>
      </c>
    </row>
    <row r="287" spans="1:10" x14ac:dyDescent="0.25">
      <c r="A287" s="1">
        <v>43083</v>
      </c>
      <c r="B287" t="s">
        <v>47</v>
      </c>
      <c r="C287" t="s">
        <v>54</v>
      </c>
      <c r="D287">
        <v>1981</v>
      </c>
      <c r="E287">
        <v>126</v>
      </c>
      <c r="F287">
        <v>396</v>
      </c>
      <c r="G287">
        <f t="shared" si="9"/>
        <v>4</v>
      </c>
      <c r="H287" t="str">
        <f t="shared" si="8"/>
        <v/>
      </c>
    </row>
    <row r="288" spans="1:10" x14ac:dyDescent="0.25">
      <c r="A288" s="1">
        <v>43084</v>
      </c>
      <c r="B288" t="s">
        <v>54</v>
      </c>
      <c r="C288" t="s">
        <v>49</v>
      </c>
      <c r="D288">
        <v>5238</v>
      </c>
      <c r="E288">
        <v>131</v>
      </c>
      <c r="F288">
        <v>158</v>
      </c>
      <c r="G288">
        <f t="shared" si="9"/>
        <v>5</v>
      </c>
      <c r="H288" t="str">
        <f t="shared" si="8"/>
        <v/>
      </c>
    </row>
    <row r="289" spans="1:8" x14ac:dyDescent="0.25">
      <c r="A289" s="1">
        <v>43085</v>
      </c>
      <c r="B289" t="s">
        <v>49</v>
      </c>
      <c r="C289" t="s">
        <v>37</v>
      </c>
      <c r="D289">
        <v>2823</v>
      </c>
      <c r="E289">
        <v>156</v>
      </c>
      <c r="F289">
        <v>280</v>
      </c>
      <c r="G289">
        <f t="shared" si="9"/>
        <v>6</v>
      </c>
      <c r="H289" t="str">
        <f t="shared" si="8"/>
        <v/>
      </c>
    </row>
    <row r="290" spans="1:8" x14ac:dyDescent="0.25">
      <c r="A290" s="1">
        <v>43086</v>
      </c>
      <c r="B290" t="s">
        <v>37</v>
      </c>
      <c r="C290" t="s">
        <v>38</v>
      </c>
      <c r="D290">
        <v>1173</v>
      </c>
      <c r="E290">
        <v>139</v>
      </c>
      <c r="F290">
        <v>475</v>
      </c>
      <c r="G290">
        <f t="shared" si="9"/>
        <v>7</v>
      </c>
      <c r="H290" t="str">
        <f t="shared" si="8"/>
        <v/>
      </c>
    </row>
    <row r="291" spans="1:8" x14ac:dyDescent="0.25">
      <c r="A291" s="1">
        <v>43087</v>
      </c>
      <c r="B291" t="s">
        <v>38</v>
      </c>
      <c r="C291" t="s">
        <v>39</v>
      </c>
      <c r="D291">
        <v>1465</v>
      </c>
      <c r="E291">
        <v>121</v>
      </c>
      <c r="F291">
        <v>193</v>
      </c>
      <c r="G291">
        <f t="shared" si="9"/>
        <v>8</v>
      </c>
      <c r="H291" t="str">
        <f t="shared" si="8"/>
        <v/>
      </c>
    </row>
    <row r="292" spans="1:8" x14ac:dyDescent="0.25">
      <c r="A292" s="1">
        <v>43088</v>
      </c>
      <c r="B292" t="s">
        <v>39</v>
      </c>
      <c r="C292" t="s">
        <v>18</v>
      </c>
      <c r="D292">
        <v>1572</v>
      </c>
      <c r="E292">
        <v>159</v>
      </c>
      <c r="F292">
        <v>476</v>
      </c>
      <c r="G292">
        <f t="shared" si="9"/>
        <v>9</v>
      </c>
      <c r="H292" t="str">
        <f t="shared" si="8"/>
        <v>xxxxxxxxxxxxxxxxx</v>
      </c>
    </row>
    <row r="293" spans="1:8" x14ac:dyDescent="0.25">
      <c r="A293" s="1">
        <v>43089</v>
      </c>
      <c r="B293" t="s">
        <v>18</v>
      </c>
      <c r="C293" t="s">
        <v>39</v>
      </c>
      <c r="D293">
        <v>4084</v>
      </c>
      <c r="E293">
        <v>160</v>
      </c>
      <c r="F293">
        <v>338</v>
      </c>
      <c r="G293">
        <f t="shared" si="9"/>
        <v>0</v>
      </c>
      <c r="H293" t="str">
        <f t="shared" si="8"/>
        <v/>
      </c>
    </row>
    <row r="294" spans="1:8" x14ac:dyDescent="0.25">
      <c r="A294" s="1">
        <v>43090</v>
      </c>
      <c r="B294" t="s">
        <v>15</v>
      </c>
      <c r="C294" t="s">
        <v>23</v>
      </c>
      <c r="D294">
        <v>4635</v>
      </c>
      <c r="E294">
        <v>163</v>
      </c>
      <c r="F294">
        <v>359</v>
      </c>
      <c r="G294">
        <f t="shared" si="9"/>
        <v>0</v>
      </c>
      <c r="H294" t="str">
        <f t="shared" si="8"/>
        <v/>
      </c>
    </row>
    <row r="295" spans="1:8" x14ac:dyDescent="0.25">
      <c r="A295" s="1">
        <v>43092</v>
      </c>
      <c r="B295" t="s">
        <v>30</v>
      </c>
      <c r="C295" t="s">
        <v>72</v>
      </c>
      <c r="D295">
        <v>3705</v>
      </c>
      <c r="E295">
        <v>182</v>
      </c>
      <c r="F295">
        <v>760</v>
      </c>
      <c r="G295">
        <f t="shared" si="9"/>
        <v>0</v>
      </c>
      <c r="H295" t="str">
        <f t="shared" si="8"/>
        <v/>
      </c>
    </row>
    <row r="296" spans="1:8" x14ac:dyDescent="0.25">
      <c r="A296" s="1">
        <v>43094</v>
      </c>
      <c r="B296" t="s">
        <v>6</v>
      </c>
      <c r="C296" t="s">
        <v>38</v>
      </c>
      <c r="D296">
        <v>5624</v>
      </c>
      <c r="E296">
        <v>541</v>
      </c>
      <c r="F296">
        <v>1198</v>
      </c>
      <c r="G296">
        <f t="shared" si="9"/>
        <v>0</v>
      </c>
      <c r="H296" t="str">
        <f t="shared" si="8"/>
        <v/>
      </c>
    </row>
    <row r="297" spans="1:8" x14ac:dyDescent="0.25">
      <c r="A297" s="1">
        <v>43095</v>
      </c>
      <c r="B297" t="s">
        <v>38</v>
      </c>
      <c r="C297" t="s">
        <v>37</v>
      </c>
      <c r="D297">
        <v>4157</v>
      </c>
      <c r="E297">
        <v>151</v>
      </c>
      <c r="F297">
        <v>168</v>
      </c>
      <c r="G297">
        <f t="shared" si="9"/>
        <v>1</v>
      </c>
      <c r="H297" t="str">
        <f t="shared" si="8"/>
        <v/>
      </c>
    </row>
    <row r="298" spans="1:8" x14ac:dyDescent="0.25">
      <c r="A298" s="1">
        <v>43096</v>
      </c>
      <c r="B298" t="s">
        <v>37</v>
      </c>
      <c r="C298" t="s">
        <v>43</v>
      </c>
      <c r="D298">
        <v>3021</v>
      </c>
      <c r="E298">
        <v>137</v>
      </c>
      <c r="F298">
        <v>323</v>
      </c>
      <c r="G298">
        <f t="shared" si="9"/>
        <v>2</v>
      </c>
      <c r="H298" t="str">
        <f t="shared" si="8"/>
        <v/>
      </c>
    </row>
    <row r="299" spans="1:8" x14ac:dyDescent="0.25">
      <c r="A299" s="1">
        <v>43097</v>
      </c>
      <c r="B299" t="s">
        <v>43</v>
      </c>
      <c r="C299" t="s">
        <v>52</v>
      </c>
      <c r="D299">
        <v>3573</v>
      </c>
      <c r="E299">
        <v>149</v>
      </c>
      <c r="F299">
        <v>341</v>
      </c>
      <c r="G299">
        <f t="shared" si="9"/>
        <v>3</v>
      </c>
      <c r="H299" t="str">
        <f t="shared" si="8"/>
        <v/>
      </c>
    </row>
    <row r="300" spans="1:8" x14ac:dyDescent="0.25">
      <c r="A300" s="1">
        <v>43098</v>
      </c>
      <c r="B300" t="s">
        <v>52</v>
      </c>
      <c r="C300" t="s">
        <v>15</v>
      </c>
      <c r="D300">
        <v>4748</v>
      </c>
      <c r="E300">
        <v>152</v>
      </c>
      <c r="F300">
        <v>491</v>
      </c>
      <c r="G300">
        <f t="shared" si="9"/>
        <v>0</v>
      </c>
      <c r="H300" t="str">
        <f t="shared" si="8"/>
        <v/>
      </c>
    </row>
    <row r="301" spans="1:8" x14ac:dyDescent="0.25">
      <c r="A301" s="1">
        <v>43100</v>
      </c>
      <c r="B301" t="s">
        <v>12</v>
      </c>
      <c r="C301" t="s">
        <v>6</v>
      </c>
      <c r="D301">
        <v>2293</v>
      </c>
      <c r="E301">
        <v>126</v>
      </c>
      <c r="F301">
        <v>219</v>
      </c>
      <c r="G301">
        <f t="shared" si="9"/>
        <v>0</v>
      </c>
      <c r="H301" t="str">
        <f t="shared" si="8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6</vt:i4>
      </vt:variant>
      <vt:variant>
        <vt:lpstr>Nazwane zakresy</vt:lpstr>
      </vt:variant>
      <vt:variant>
        <vt:i4>6</vt:i4>
      </vt:variant>
    </vt:vector>
  </HeadingPairs>
  <TitlesOfParts>
    <vt:vector size="12" baseType="lpstr">
      <vt:lpstr>Dane</vt:lpstr>
      <vt:lpstr>1</vt:lpstr>
      <vt:lpstr>2</vt:lpstr>
      <vt:lpstr>3</vt:lpstr>
      <vt:lpstr>4</vt:lpstr>
      <vt:lpstr>5</vt:lpstr>
      <vt:lpstr>'1'!kursy</vt:lpstr>
      <vt:lpstr>'2'!kursy</vt:lpstr>
      <vt:lpstr>'3'!kursy</vt:lpstr>
      <vt:lpstr>'4'!kursy</vt:lpstr>
      <vt:lpstr>'5'!kursy</vt:lpstr>
      <vt:lpstr>Dane!kursy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Domański</dc:creator>
  <cp:lastModifiedBy>Adam Domański</cp:lastModifiedBy>
  <dcterms:created xsi:type="dcterms:W3CDTF">2015-06-05T18:19:34Z</dcterms:created>
  <dcterms:modified xsi:type="dcterms:W3CDTF">2024-04-22T19:16:28Z</dcterms:modified>
</cp:coreProperties>
</file>