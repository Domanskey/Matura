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infa_2021_marzec\"/>
    </mc:Choice>
  </mc:AlternateContent>
  <xr:revisionPtr revIDLastSave="0" documentId="13_ncr:1_{DFC4D790-EB18-4836-A7C4-B342A38B47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3b" sheetId="6" r:id="rId5"/>
    <sheet name="4" sheetId="7" r:id="rId6"/>
  </sheets>
  <definedNames>
    <definedName name="telefony" localSheetId="1">'1'!$A$1:$D$2149</definedName>
    <definedName name="telefony" localSheetId="2">'2'!$A$1:$E$2149</definedName>
    <definedName name="telefony" localSheetId="3">'3'!$A$1:$G$2149</definedName>
    <definedName name="telefony" localSheetId="5">'4'!$A$1:$E$2149</definedName>
    <definedName name="telefony" localSheetId="0">Dane!$A$1:$D$2149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L102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N95" i="7" s="1"/>
  <c r="N96" i="7" s="1"/>
  <c r="N97" i="7" s="1"/>
  <c r="N98" i="7" s="1"/>
  <c r="N99" i="7" s="1"/>
  <c r="N100" i="7" s="1"/>
  <c r="N101" i="7" s="1"/>
  <c r="N102" i="7" s="1"/>
  <c r="N103" i="7" s="1"/>
  <c r="N104" i="7" s="1"/>
  <c r="N105" i="7" s="1"/>
  <c r="N106" i="7" s="1"/>
  <c r="N107" i="7" s="1"/>
  <c r="N108" i="7" s="1"/>
  <c r="N109" i="7" s="1"/>
  <c r="N110" i="7" s="1"/>
  <c r="N111" i="7" s="1"/>
  <c r="N112" i="7" s="1"/>
  <c r="N113" i="7" s="1"/>
  <c r="N114" i="7" s="1"/>
  <c r="N115" i="7" s="1"/>
  <c r="N116" i="7" s="1"/>
  <c r="N117" i="7" s="1"/>
  <c r="N118" i="7" s="1"/>
  <c r="N119" i="7" s="1"/>
  <c r="N120" i="7" s="1"/>
  <c r="N121" i="7" s="1"/>
  <c r="N122" i="7" s="1"/>
  <c r="N123" i="7" s="1"/>
  <c r="N124" i="7" s="1"/>
  <c r="N125" i="7" s="1"/>
  <c r="N126" i="7" s="1"/>
  <c r="N127" i="7" s="1"/>
  <c r="N128" i="7" s="1"/>
  <c r="N129" i="7" s="1"/>
  <c r="N130" i="7" s="1"/>
  <c r="N131" i="7" s="1"/>
  <c r="N132" i="7" s="1"/>
  <c r="N133" i="7" s="1"/>
  <c r="N134" i="7" s="1"/>
  <c r="N135" i="7" s="1"/>
  <c r="N136" i="7" s="1"/>
  <c r="N137" i="7" s="1"/>
  <c r="N138" i="7" s="1"/>
  <c r="N139" i="7" s="1"/>
  <c r="N140" i="7" s="1"/>
  <c r="N141" i="7" s="1"/>
  <c r="N142" i="7" s="1"/>
  <c r="N143" i="7" s="1"/>
  <c r="N144" i="7" s="1"/>
  <c r="N145" i="7" s="1"/>
  <c r="N146" i="7" s="1"/>
  <c r="N147" i="7" s="1"/>
  <c r="N148" i="7" s="1"/>
  <c r="N149" i="7" s="1"/>
  <c r="N150" i="7" s="1"/>
  <c r="N151" i="7" s="1"/>
  <c r="N152" i="7" s="1"/>
  <c r="N153" i="7" s="1"/>
  <c r="N154" i="7" s="1"/>
  <c r="N155" i="7" s="1"/>
  <c r="N156" i="7" s="1"/>
  <c r="N157" i="7" s="1"/>
  <c r="N158" i="7" s="1"/>
  <c r="N159" i="7" s="1"/>
  <c r="N160" i="7" s="1"/>
  <c r="N161" i="7" s="1"/>
  <c r="N162" i="7" s="1"/>
  <c r="N163" i="7" s="1"/>
  <c r="N164" i="7" s="1"/>
  <c r="N165" i="7" s="1"/>
  <c r="N166" i="7" s="1"/>
  <c r="N167" i="7" s="1"/>
  <c r="N168" i="7" s="1"/>
  <c r="N169" i="7" s="1"/>
  <c r="N170" i="7" s="1"/>
  <c r="N171" i="7" s="1"/>
  <c r="N172" i="7" s="1"/>
  <c r="N173" i="7" s="1"/>
  <c r="N174" i="7" s="1"/>
  <c r="N175" i="7" s="1"/>
  <c r="N176" i="7" s="1"/>
  <c r="N177" i="7" s="1"/>
  <c r="N178" i="7" s="1"/>
  <c r="N179" i="7" s="1"/>
  <c r="N180" i="7" s="1"/>
  <c r="N181" i="7" s="1"/>
  <c r="N182" i="7" s="1"/>
  <c r="N183" i="7" s="1"/>
  <c r="N184" i="7" s="1"/>
  <c r="N185" i="7" s="1"/>
  <c r="N186" i="7" s="1"/>
  <c r="N187" i="7" s="1"/>
  <c r="N188" i="7" s="1"/>
  <c r="N189" i="7" s="1"/>
  <c r="N190" i="7" s="1"/>
  <c r="N191" i="7" s="1"/>
  <c r="N192" i="7" s="1"/>
  <c r="N193" i="7" s="1"/>
  <c r="N194" i="7" s="1"/>
  <c r="N195" i="7" s="1"/>
  <c r="N196" i="7" s="1"/>
  <c r="N197" i="7" s="1"/>
  <c r="N198" i="7" s="1"/>
  <c r="N199" i="7" s="1"/>
  <c r="N200" i="7" s="1"/>
  <c r="N201" i="7" s="1"/>
  <c r="N202" i="7" s="1"/>
  <c r="N203" i="7" s="1"/>
  <c r="N204" i="7" s="1"/>
  <c r="N205" i="7" s="1"/>
  <c r="N206" i="7" s="1"/>
  <c r="N207" i="7" s="1"/>
  <c r="N208" i="7" s="1"/>
  <c r="N209" i="7" s="1"/>
  <c r="N210" i="7" s="1"/>
  <c r="N211" i="7" s="1"/>
  <c r="N212" i="7" s="1"/>
  <c r="N213" i="7" s="1"/>
  <c r="N214" i="7" s="1"/>
  <c r="N215" i="7" s="1"/>
  <c r="N216" i="7" s="1"/>
  <c r="N217" i="7" s="1"/>
  <c r="N218" i="7" s="1"/>
  <c r="N219" i="7" s="1"/>
  <c r="N220" i="7" s="1"/>
  <c r="N221" i="7" s="1"/>
  <c r="N222" i="7" s="1"/>
  <c r="N223" i="7" s="1"/>
  <c r="N224" i="7" s="1"/>
  <c r="N225" i="7" s="1"/>
  <c r="N226" i="7" s="1"/>
  <c r="N227" i="7" s="1"/>
  <c r="N228" i="7" s="1"/>
  <c r="N229" i="7" s="1"/>
  <c r="N230" i="7" s="1"/>
  <c r="N231" i="7" s="1"/>
  <c r="N232" i="7" s="1"/>
  <c r="N233" i="7" s="1"/>
  <c r="N234" i="7" s="1"/>
  <c r="N235" i="7" s="1"/>
  <c r="N236" i="7" s="1"/>
  <c r="N237" i="7" s="1"/>
  <c r="N238" i="7" s="1"/>
  <c r="N239" i="7" s="1"/>
  <c r="N240" i="7" s="1"/>
  <c r="N241" i="7" s="1"/>
  <c r="N242" i="7" s="1"/>
  <c r="N243" i="7" s="1"/>
  <c r="N244" i="7" s="1"/>
  <c r="N245" i="7" s="1"/>
  <c r="N246" i="7" s="1"/>
  <c r="N247" i="7" s="1"/>
  <c r="N248" i="7" s="1"/>
  <c r="N249" i="7" s="1"/>
  <c r="N250" i="7" s="1"/>
  <c r="N251" i="7" s="1"/>
  <c r="N252" i="7" s="1"/>
  <c r="N253" i="7" s="1"/>
  <c r="N254" i="7" s="1"/>
  <c r="N255" i="7" s="1"/>
  <c r="N256" i="7" s="1"/>
  <c r="N257" i="7" s="1"/>
  <c r="N258" i="7" s="1"/>
  <c r="N259" i="7" s="1"/>
  <c r="N260" i="7" s="1"/>
  <c r="N261" i="7" s="1"/>
  <c r="N262" i="7" s="1"/>
  <c r="N263" i="7" s="1"/>
  <c r="N264" i="7" s="1"/>
  <c r="N265" i="7" s="1"/>
  <c r="N266" i="7" s="1"/>
  <c r="N267" i="7" s="1"/>
  <c r="N268" i="7" s="1"/>
  <c r="N269" i="7" s="1"/>
  <c r="N270" i="7" s="1"/>
  <c r="N271" i="7" s="1"/>
  <c r="N272" i="7" s="1"/>
  <c r="N273" i="7" s="1"/>
  <c r="N274" i="7" s="1"/>
  <c r="N275" i="7" s="1"/>
  <c r="N276" i="7" s="1"/>
  <c r="N277" i="7" s="1"/>
  <c r="N278" i="7" s="1"/>
  <c r="N279" i="7" s="1"/>
  <c r="N280" i="7" s="1"/>
  <c r="N281" i="7" s="1"/>
  <c r="N282" i="7" s="1"/>
  <c r="N283" i="7" s="1"/>
  <c r="N284" i="7" s="1"/>
  <c r="N285" i="7" s="1"/>
  <c r="N286" i="7" s="1"/>
  <c r="N287" i="7" s="1"/>
  <c r="N288" i="7" s="1"/>
  <c r="N289" i="7" s="1"/>
  <c r="N290" i="7" s="1"/>
  <c r="N291" i="7" s="1"/>
  <c r="N292" i="7" s="1"/>
  <c r="N293" i="7" s="1"/>
  <c r="N294" i="7" s="1"/>
  <c r="N295" i="7" s="1"/>
  <c r="N296" i="7" s="1"/>
  <c r="N297" i="7" s="1"/>
  <c r="N298" i="7" s="1"/>
  <c r="N299" i="7" s="1"/>
  <c r="N300" i="7" s="1"/>
  <c r="N301" i="7" s="1"/>
  <c r="N302" i="7" s="1"/>
  <c r="N303" i="7" s="1"/>
  <c r="N304" i="7" s="1"/>
  <c r="N305" i="7" s="1"/>
  <c r="N306" i="7" s="1"/>
  <c r="N307" i="7" s="1"/>
  <c r="N308" i="7" s="1"/>
  <c r="N309" i="7" s="1"/>
  <c r="N310" i="7" s="1"/>
  <c r="N311" i="7" s="1"/>
  <c r="N312" i="7" s="1"/>
  <c r="N313" i="7" s="1"/>
  <c r="N314" i="7" s="1"/>
  <c r="N315" i="7" s="1"/>
  <c r="N316" i="7" s="1"/>
  <c r="N317" i="7" s="1"/>
  <c r="N318" i="7" s="1"/>
  <c r="N319" i="7" s="1"/>
  <c r="N320" i="7" s="1"/>
  <c r="N321" i="7" s="1"/>
  <c r="N322" i="7" s="1"/>
  <c r="N323" i="7" s="1"/>
  <c r="N324" i="7" s="1"/>
  <c r="N325" i="7" s="1"/>
  <c r="N326" i="7" s="1"/>
  <c r="N327" i="7" s="1"/>
  <c r="N328" i="7" s="1"/>
  <c r="N329" i="7" s="1"/>
  <c r="N330" i="7" s="1"/>
  <c r="N331" i="7" s="1"/>
  <c r="N332" i="7" s="1"/>
  <c r="N333" i="7" s="1"/>
  <c r="N334" i="7" s="1"/>
  <c r="N335" i="7" s="1"/>
  <c r="N336" i="7" s="1"/>
  <c r="N337" i="7" s="1"/>
  <c r="N338" i="7" s="1"/>
  <c r="N339" i="7" s="1"/>
  <c r="N340" i="7" s="1"/>
  <c r="N341" i="7" s="1"/>
  <c r="N342" i="7" s="1"/>
  <c r="N343" i="7" s="1"/>
  <c r="N344" i="7" s="1"/>
  <c r="N345" i="7" s="1"/>
  <c r="N346" i="7" s="1"/>
  <c r="N347" i="7" s="1"/>
  <c r="N348" i="7" s="1"/>
  <c r="N349" i="7" s="1"/>
  <c r="N350" i="7" s="1"/>
  <c r="N351" i="7" s="1"/>
  <c r="N352" i="7" s="1"/>
  <c r="N353" i="7" s="1"/>
  <c r="N354" i="7" s="1"/>
  <c r="N355" i="7" s="1"/>
  <c r="N356" i="7" s="1"/>
  <c r="N357" i="7" s="1"/>
  <c r="N358" i="7" s="1"/>
  <c r="N359" i="7" s="1"/>
  <c r="N360" i="7" s="1"/>
  <c r="N361" i="7" s="1"/>
  <c r="N362" i="7" s="1"/>
  <c r="N363" i="7" s="1"/>
  <c r="N364" i="7" s="1"/>
  <c r="N365" i="7" s="1"/>
  <c r="N366" i="7" s="1"/>
  <c r="N367" i="7" s="1"/>
  <c r="N368" i="7" s="1"/>
  <c r="N369" i="7" s="1"/>
  <c r="N370" i="7" s="1"/>
  <c r="N371" i="7" s="1"/>
  <c r="N372" i="7" s="1"/>
  <c r="N373" i="7" s="1"/>
  <c r="N374" i="7" s="1"/>
  <c r="N375" i="7" s="1"/>
  <c r="N376" i="7" s="1"/>
  <c r="N377" i="7" s="1"/>
  <c r="N378" i="7" s="1"/>
  <c r="N379" i="7" s="1"/>
  <c r="N380" i="7" s="1"/>
  <c r="N381" i="7" s="1"/>
  <c r="N382" i="7" s="1"/>
  <c r="N383" i="7" s="1"/>
  <c r="N384" i="7" s="1"/>
  <c r="N385" i="7" s="1"/>
  <c r="N386" i="7" s="1"/>
  <c r="N387" i="7" s="1"/>
  <c r="N388" i="7" s="1"/>
  <c r="N389" i="7" s="1"/>
  <c r="N390" i="7" s="1"/>
  <c r="N391" i="7" s="1"/>
  <c r="N392" i="7" s="1"/>
  <c r="N393" i="7" s="1"/>
  <c r="N394" i="7" s="1"/>
  <c r="N395" i="7" s="1"/>
  <c r="N396" i="7" s="1"/>
  <c r="N397" i="7" s="1"/>
  <c r="N398" i="7" s="1"/>
  <c r="N399" i="7" s="1"/>
  <c r="N400" i="7" s="1"/>
  <c r="N401" i="7" s="1"/>
  <c r="N402" i="7" s="1"/>
  <c r="N403" i="7" s="1"/>
  <c r="N404" i="7" s="1"/>
  <c r="N405" i="7" s="1"/>
  <c r="N406" i="7" s="1"/>
  <c r="N407" i="7" s="1"/>
  <c r="N408" i="7" s="1"/>
  <c r="N409" i="7" s="1"/>
  <c r="N410" i="7" s="1"/>
  <c r="N411" i="7" s="1"/>
  <c r="N412" i="7" s="1"/>
  <c r="N413" i="7" s="1"/>
  <c r="N414" i="7" s="1"/>
  <c r="N415" i="7" s="1"/>
  <c r="N416" i="7" s="1"/>
  <c r="N417" i="7" s="1"/>
  <c r="N418" i="7" s="1"/>
  <c r="N419" i="7" s="1"/>
  <c r="N420" i="7" s="1"/>
  <c r="N421" i="7" s="1"/>
  <c r="N422" i="7" s="1"/>
  <c r="N423" i="7" s="1"/>
  <c r="N424" i="7" s="1"/>
  <c r="N425" i="7" s="1"/>
  <c r="N426" i="7" s="1"/>
  <c r="N427" i="7" s="1"/>
  <c r="N428" i="7" s="1"/>
  <c r="N429" i="7" s="1"/>
  <c r="N430" i="7" s="1"/>
  <c r="N431" i="7" s="1"/>
  <c r="N432" i="7" s="1"/>
  <c r="N433" i="7" s="1"/>
  <c r="N434" i="7" s="1"/>
  <c r="N435" i="7" s="1"/>
  <c r="N436" i="7" s="1"/>
  <c r="N437" i="7" s="1"/>
  <c r="N438" i="7" s="1"/>
  <c r="N439" i="7" s="1"/>
  <c r="N440" i="7" s="1"/>
  <c r="N441" i="7" s="1"/>
  <c r="N442" i="7" s="1"/>
  <c r="N443" i="7" s="1"/>
  <c r="N444" i="7" s="1"/>
  <c r="N445" i="7" s="1"/>
  <c r="N446" i="7" s="1"/>
  <c r="N447" i="7" s="1"/>
  <c r="N448" i="7" s="1"/>
  <c r="N449" i="7" s="1"/>
  <c r="N450" i="7" s="1"/>
  <c r="N451" i="7" s="1"/>
  <c r="N452" i="7" s="1"/>
  <c r="N453" i="7" s="1"/>
  <c r="N454" i="7" s="1"/>
  <c r="N455" i="7" s="1"/>
  <c r="N456" i="7" s="1"/>
  <c r="N457" i="7" s="1"/>
  <c r="N458" i="7" s="1"/>
  <c r="N459" i="7" s="1"/>
  <c r="N460" i="7" s="1"/>
  <c r="N461" i="7" s="1"/>
  <c r="N462" i="7" s="1"/>
  <c r="N463" i="7" s="1"/>
  <c r="N464" i="7" s="1"/>
  <c r="N465" i="7" s="1"/>
  <c r="N466" i="7" s="1"/>
  <c r="N467" i="7" s="1"/>
  <c r="N468" i="7" s="1"/>
  <c r="N469" i="7" s="1"/>
  <c r="N470" i="7" s="1"/>
  <c r="N471" i="7" s="1"/>
  <c r="N472" i="7" s="1"/>
  <c r="N473" i="7" s="1"/>
  <c r="N474" i="7" s="1"/>
  <c r="N475" i="7" s="1"/>
  <c r="N476" i="7" s="1"/>
  <c r="N477" i="7" s="1"/>
  <c r="N478" i="7" s="1"/>
  <c r="N479" i="7" s="1"/>
  <c r="N480" i="7" s="1"/>
  <c r="N481" i="7" s="1"/>
  <c r="N482" i="7" s="1"/>
  <c r="N483" i="7" s="1"/>
  <c r="N484" i="7" s="1"/>
  <c r="N485" i="7" s="1"/>
  <c r="N486" i="7" s="1"/>
  <c r="N487" i="7" s="1"/>
  <c r="N488" i="7" s="1"/>
  <c r="N489" i="7" s="1"/>
  <c r="N490" i="7" s="1"/>
  <c r="N491" i="7" s="1"/>
  <c r="N492" i="7" s="1"/>
  <c r="N493" i="7" s="1"/>
  <c r="N494" i="7" s="1"/>
  <c r="N495" i="7" s="1"/>
  <c r="N496" i="7" s="1"/>
  <c r="N497" i="7" s="1"/>
  <c r="N498" i="7" s="1"/>
  <c r="N499" i="7" s="1"/>
  <c r="N500" i="7" s="1"/>
  <c r="N501" i="7" s="1"/>
  <c r="N502" i="7" s="1"/>
  <c r="N503" i="7" s="1"/>
  <c r="N504" i="7" s="1"/>
  <c r="N505" i="7" s="1"/>
  <c r="N506" i="7" s="1"/>
  <c r="N507" i="7" s="1"/>
  <c r="N508" i="7" s="1"/>
  <c r="N509" i="7" s="1"/>
  <c r="N510" i="7" s="1"/>
  <c r="N511" i="7" s="1"/>
  <c r="N512" i="7" s="1"/>
  <c r="N513" i="7" s="1"/>
  <c r="N514" i="7" s="1"/>
  <c r="N515" i="7" s="1"/>
  <c r="N516" i="7" s="1"/>
  <c r="N517" i="7" s="1"/>
  <c r="N518" i="7" s="1"/>
  <c r="N519" i="7" s="1"/>
  <c r="N520" i="7" s="1"/>
  <c r="N521" i="7" s="1"/>
  <c r="N522" i="7" s="1"/>
  <c r="N523" i="7" s="1"/>
  <c r="N524" i="7" s="1"/>
  <c r="N525" i="7" s="1"/>
  <c r="N526" i="7" s="1"/>
  <c r="N527" i="7" s="1"/>
  <c r="N528" i="7" s="1"/>
  <c r="N529" i="7" s="1"/>
  <c r="N530" i="7" s="1"/>
  <c r="N531" i="7" s="1"/>
  <c r="N532" i="7" s="1"/>
  <c r="N533" i="7" s="1"/>
  <c r="N534" i="7" s="1"/>
  <c r="N535" i="7" s="1"/>
  <c r="N536" i="7" s="1"/>
  <c r="N537" i="7" s="1"/>
  <c r="N538" i="7" s="1"/>
  <c r="N539" i="7" s="1"/>
  <c r="N540" i="7" s="1"/>
  <c r="N541" i="7" s="1"/>
  <c r="N542" i="7" s="1"/>
  <c r="N543" i="7" s="1"/>
  <c r="N544" i="7" s="1"/>
  <c r="N545" i="7" s="1"/>
  <c r="N546" i="7" s="1"/>
  <c r="N547" i="7" s="1"/>
  <c r="N548" i="7" s="1"/>
  <c r="N549" i="7" s="1"/>
  <c r="N550" i="7" s="1"/>
  <c r="N551" i="7" s="1"/>
  <c r="N552" i="7" s="1"/>
  <c r="N553" i="7" s="1"/>
  <c r="N554" i="7" s="1"/>
  <c r="N555" i="7" s="1"/>
  <c r="N556" i="7" s="1"/>
  <c r="N557" i="7" s="1"/>
  <c r="N558" i="7" s="1"/>
  <c r="N559" i="7" s="1"/>
  <c r="N560" i="7" s="1"/>
  <c r="N561" i="7" s="1"/>
  <c r="N562" i="7" s="1"/>
  <c r="N563" i="7" s="1"/>
  <c r="N564" i="7" s="1"/>
  <c r="N565" i="7" s="1"/>
  <c r="N566" i="7" s="1"/>
  <c r="N567" i="7" s="1"/>
  <c r="N568" i="7" s="1"/>
  <c r="N569" i="7" s="1"/>
  <c r="N570" i="7" s="1"/>
  <c r="N571" i="7" s="1"/>
  <c r="N572" i="7" s="1"/>
  <c r="N573" i="7" s="1"/>
  <c r="N574" i="7" s="1"/>
  <c r="N575" i="7" s="1"/>
  <c r="N576" i="7" s="1"/>
  <c r="N577" i="7" s="1"/>
  <c r="N578" i="7" s="1"/>
  <c r="N579" i="7" s="1"/>
  <c r="N580" i="7" s="1"/>
  <c r="N581" i="7" s="1"/>
  <c r="N582" i="7" s="1"/>
  <c r="N583" i="7" s="1"/>
  <c r="N584" i="7" s="1"/>
  <c r="N585" i="7" s="1"/>
  <c r="N586" i="7" s="1"/>
  <c r="N587" i="7" s="1"/>
  <c r="N588" i="7" s="1"/>
  <c r="N589" i="7" s="1"/>
  <c r="N590" i="7" s="1"/>
  <c r="N591" i="7" s="1"/>
  <c r="N592" i="7" s="1"/>
  <c r="N593" i="7" s="1"/>
  <c r="N594" i="7" s="1"/>
  <c r="N595" i="7" s="1"/>
  <c r="N596" i="7" s="1"/>
  <c r="N597" i="7" s="1"/>
  <c r="N598" i="7" s="1"/>
  <c r="N599" i="7" s="1"/>
  <c r="N600" i="7" s="1"/>
  <c r="N601" i="7" s="1"/>
  <c r="N602" i="7" s="1"/>
  <c r="N603" i="7" s="1"/>
  <c r="N604" i="7" s="1"/>
  <c r="N605" i="7" s="1"/>
  <c r="N606" i="7" s="1"/>
  <c r="N607" i="7" s="1"/>
  <c r="N608" i="7" s="1"/>
  <c r="N609" i="7" s="1"/>
  <c r="N610" i="7" s="1"/>
  <c r="N611" i="7" s="1"/>
  <c r="N612" i="7" s="1"/>
  <c r="N613" i="7" s="1"/>
  <c r="N614" i="7" s="1"/>
  <c r="N615" i="7" s="1"/>
  <c r="N616" i="7" s="1"/>
  <c r="N617" i="7" s="1"/>
  <c r="N618" i="7" s="1"/>
  <c r="N619" i="7" s="1"/>
  <c r="N620" i="7" s="1"/>
  <c r="N621" i="7" s="1"/>
  <c r="N622" i="7" s="1"/>
  <c r="N623" i="7" s="1"/>
  <c r="N624" i="7" s="1"/>
  <c r="N625" i="7" s="1"/>
  <c r="N626" i="7" s="1"/>
  <c r="N627" i="7" s="1"/>
  <c r="N628" i="7" s="1"/>
  <c r="N629" i="7" s="1"/>
  <c r="N630" i="7" s="1"/>
  <c r="N631" i="7" s="1"/>
  <c r="N632" i="7" s="1"/>
  <c r="N633" i="7" s="1"/>
  <c r="N634" i="7" s="1"/>
  <c r="N635" i="7" s="1"/>
  <c r="N636" i="7" s="1"/>
  <c r="N637" i="7" s="1"/>
  <c r="N638" i="7" s="1"/>
  <c r="N639" i="7" s="1"/>
  <c r="N640" i="7" s="1"/>
  <c r="N641" i="7" s="1"/>
  <c r="N642" i="7" s="1"/>
  <c r="N643" i="7" s="1"/>
  <c r="N644" i="7" s="1"/>
  <c r="N645" i="7" s="1"/>
  <c r="N646" i="7" s="1"/>
  <c r="N647" i="7" s="1"/>
  <c r="N648" i="7" s="1"/>
  <c r="N649" i="7" s="1"/>
  <c r="N650" i="7" s="1"/>
  <c r="N651" i="7" s="1"/>
  <c r="N652" i="7" s="1"/>
  <c r="N653" i="7" s="1"/>
  <c r="N654" i="7" s="1"/>
  <c r="N655" i="7" s="1"/>
  <c r="N656" i="7" s="1"/>
  <c r="N657" i="7" s="1"/>
  <c r="N658" i="7" s="1"/>
  <c r="N659" i="7" s="1"/>
  <c r="N660" i="7" s="1"/>
  <c r="N661" i="7" s="1"/>
  <c r="N662" i="7" s="1"/>
  <c r="N663" i="7" s="1"/>
  <c r="N664" i="7" s="1"/>
  <c r="N665" i="7" s="1"/>
  <c r="N666" i="7" s="1"/>
  <c r="N667" i="7" s="1"/>
  <c r="N668" i="7" s="1"/>
  <c r="N669" i="7" s="1"/>
  <c r="N670" i="7" s="1"/>
  <c r="N671" i="7" s="1"/>
  <c r="N672" i="7" s="1"/>
  <c r="N673" i="7" s="1"/>
  <c r="N674" i="7" s="1"/>
  <c r="N675" i="7" s="1"/>
  <c r="N676" i="7" s="1"/>
  <c r="N677" i="7" s="1"/>
  <c r="N678" i="7" s="1"/>
  <c r="N679" i="7" s="1"/>
  <c r="N680" i="7" s="1"/>
  <c r="N681" i="7" s="1"/>
  <c r="N682" i="7" s="1"/>
  <c r="N683" i="7" s="1"/>
  <c r="N684" i="7" s="1"/>
  <c r="N685" i="7" s="1"/>
  <c r="N686" i="7" s="1"/>
  <c r="N687" i="7" s="1"/>
  <c r="N688" i="7" s="1"/>
  <c r="N689" i="7" s="1"/>
  <c r="N690" i="7" s="1"/>
  <c r="N691" i="7" s="1"/>
  <c r="N692" i="7" s="1"/>
  <c r="N693" i="7" s="1"/>
  <c r="N694" i="7" s="1"/>
  <c r="N695" i="7" s="1"/>
  <c r="N696" i="7" s="1"/>
  <c r="N697" i="7" s="1"/>
  <c r="N698" i="7" s="1"/>
  <c r="N699" i="7" s="1"/>
  <c r="N700" i="7" s="1"/>
  <c r="N701" i="7" s="1"/>
  <c r="N702" i="7" s="1"/>
  <c r="N703" i="7" s="1"/>
  <c r="N704" i="7" s="1"/>
  <c r="N705" i="7" s="1"/>
  <c r="N706" i="7" s="1"/>
  <c r="N707" i="7" s="1"/>
  <c r="N708" i="7" s="1"/>
  <c r="N709" i="7" s="1"/>
  <c r="N710" i="7" s="1"/>
  <c r="N711" i="7" s="1"/>
  <c r="N712" i="7" s="1"/>
  <c r="N713" i="7" s="1"/>
  <c r="N714" i="7" s="1"/>
  <c r="N715" i="7" s="1"/>
  <c r="N716" i="7" s="1"/>
  <c r="N717" i="7" s="1"/>
  <c r="N718" i="7" s="1"/>
  <c r="N719" i="7" s="1"/>
  <c r="N720" i="7" s="1"/>
  <c r="N721" i="7" s="1"/>
  <c r="N722" i="7" s="1"/>
  <c r="N723" i="7" s="1"/>
  <c r="N724" i="7" s="1"/>
  <c r="N725" i="7" s="1"/>
  <c r="N726" i="7" s="1"/>
  <c r="N727" i="7" s="1"/>
  <c r="N728" i="7" s="1"/>
  <c r="N729" i="7" s="1"/>
  <c r="N730" i="7" s="1"/>
  <c r="N731" i="7" s="1"/>
  <c r="N732" i="7" s="1"/>
  <c r="N733" i="7" s="1"/>
  <c r="N734" i="7" s="1"/>
  <c r="N735" i="7" s="1"/>
  <c r="N736" i="7" s="1"/>
  <c r="N737" i="7" s="1"/>
  <c r="N738" i="7" s="1"/>
  <c r="N739" i="7" s="1"/>
  <c r="N740" i="7" s="1"/>
  <c r="N741" i="7" s="1"/>
  <c r="N742" i="7" s="1"/>
  <c r="N743" i="7" s="1"/>
  <c r="N744" i="7" s="1"/>
  <c r="N745" i="7" s="1"/>
  <c r="N746" i="7" s="1"/>
  <c r="N747" i="7" s="1"/>
  <c r="N748" i="7" s="1"/>
  <c r="N749" i="7" s="1"/>
  <c r="N750" i="7" s="1"/>
  <c r="N751" i="7" s="1"/>
  <c r="N752" i="7" s="1"/>
  <c r="N753" i="7" s="1"/>
  <c r="N754" i="7" s="1"/>
  <c r="N755" i="7" s="1"/>
  <c r="N756" i="7" s="1"/>
  <c r="N757" i="7" s="1"/>
  <c r="N758" i="7" s="1"/>
  <c r="N759" i="7" s="1"/>
  <c r="N760" i="7" s="1"/>
  <c r="N761" i="7" s="1"/>
  <c r="N762" i="7" s="1"/>
  <c r="N763" i="7" s="1"/>
  <c r="N764" i="7" s="1"/>
  <c r="N765" i="7" s="1"/>
  <c r="N766" i="7" s="1"/>
  <c r="N767" i="7" s="1"/>
  <c r="N768" i="7" s="1"/>
  <c r="N769" i="7" s="1"/>
  <c r="N770" i="7" s="1"/>
  <c r="N771" i="7" s="1"/>
  <c r="N772" i="7" s="1"/>
  <c r="N773" i="7" s="1"/>
  <c r="N774" i="7" s="1"/>
  <c r="N775" i="7" s="1"/>
  <c r="N776" i="7" s="1"/>
  <c r="N777" i="7" s="1"/>
  <c r="N778" i="7" s="1"/>
  <c r="N779" i="7" s="1"/>
  <c r="N780" i="7" s="1"/>
  <c r="N781" i="7" s="1"/>
  <c r="N782" i="7" s="1"/>
  <c r="N783" i="7" s="1"/>
  <c r="N784" i="7" s="1"/>
  <c r="N785" i="7" s="1"/>
  <c r="N786" i="7" s="1"/>
  <c r="N787" i="7" s="1"/>
  <c r="N788" i="7" s="1"/>
  <c r="N789" i="7" s="1"/>
  <c r="N790" i="7" s="1"/>
  <c r="N791" i="7" s="1"/>
  <c r="N792" i="7" s="1"/>
  <c r="N793" i="7" s="1"/>
  <c r="N794" i="7" s="1"/>
  <c r="N795" i="7" s="1"/>
  <c r="N796" i="7" s="1"/>
  <c r="N797" i="7" s="1"/>
  <c r="N798" i="7" s="1"/>
  <c r="N799" i="7" s="1"/>
  <c r="N800" i="7" s="1"/>
  <c r="N801" i="7" s="1"/>
  <c r="N802" i="7" s="1"/>
  <c r="N803" i="7" s="1"/>
  <c r="N804" i="7" s="1"/>
  <c r="N805" i="7" s="1"/>
  <c r="N806" i="7" s="1"/>
  <c r="N807" i="7" s="1"/>
  <c r="N808" i="7" s="1"/>
  <c r="N809" i="7" s="1"/>
  <c r="N810" i="7" s="1"/>
  <c r="N811" i="7" s="1"/>
  <c r="N812" i="7" s="1"/>
  <c r="N813" i="7" s="1"/>
  <c r="N814" i="7" s="1"/>
  <c r="N815" i="7" s="1"/>
  <c r="N816" i="7" s="1"/>
  <c r="N817" i="7" s="1"/>
  <c r="N818" i="7" s="1"/>
  <c r="N819" i="7" s="1"/>
  <c r="N820" i="7" s="1"/>
  <c r="N821" i="7" s="1"/>
  <c r="N822" i="7" s="1"/>
  <c r="N823" i="7" s="1"/>
  <c r="N824" i="7" s="1"/>
  <c r="N825" i="7" s="1"/>
  <c r="N826" i="7" s="1"/>
  <c r="N827" i="7" s="1"/>
  <c r="N828" i="7" s="1"/>
  <c r="N829" i="7" s="1"/>
  <c r="N830" i="7" s="1"/>
  <c r="N831" i="7" s="1"/>
  <c r="N832" i="7" s="1"/>
  <c r="N833" i="7" s="1"/>
  <c r="N834" i="7" s="1"/>
  <c r="N835" i="7" s="1"/>
  <c r="N836" i="7" s="1"/>
  <c r="N837" i="7" s="1"/>
  <c r="N838" i="7" s="1"/>
  <c r="N839" i="7" s="1"/>
  <c r="N840" i="7" s="1"/>
  <c r="N841" i="7" s="1"/>
  <c r="N842" i="7" s="1"/>
  <c r="N843" i="7" s="1"/>
  <c r="N844" i="7" s="1"/>
  <c r="N845" i="7" s="1"/>
  <c r="N846" i="7" s="1"/>
  <c r="N847" i="7" s="1"/>
  <c r="N848" i="7" s="1"/>
  <c r="N849" i="7" s="1"/>
  <c r="N850" i="7" s="1"/>
  <c r="N851" i="7" s="1"/>
  <c r="N852" i="7" s="1"/>
  <c r="N853" i="7" s="1"/>
  <c r="N854" i="7" s="1"/>
  <c r="N855" i="7" s="1"/>
  <c r="N856" i="7" s="1"/>
  <c r="N857" i="7" s="1"/>
  <c r="N858" i="7" s="1"/>
  <c r="N859" i="7" s="1"/>
  <c r="N860" i="7" s="1"/>
  <c r="N861" i="7" s="1"/>
  <c r="N862" i="7" s="1"/>
  <c r="N863" i="7" s="1"/>
  <c r="N864" i="7" s="1"/>
  <c r="N865" i="7" s="1"/>
  <c r="N866" i="7" s="1"/>
  <c r="N867" i="7" s="1"/>
  <c r="N868" i="7" s="1"/>
  <c r="N869" i="7" s="1"/>
  <c r="N870" i="7" s="1"/>
  <c r="N871" i="7" s="1"/>
  <c r="N872" i="7" s="1"/>
  <c r="N873" i="7" s="1"/>
  <c r="N874" i="7" s="1"/>
  <c r="N875" i="7" s="1"/>
  <c r="N876" i="7" s="1"/>
  <c r="N877" i="7" s="1"/>
  <c r="N878" i="7" s="1"/>
  <c r="N879" i="7" s="1"/>
  <c r="N880" i="7" s="1"/>
  <c r="N881" i="7" s="1"/>
  <c r="N882" i="7" s="1"/>
  <c r="N883" i="7" s="1"/>
  <c r="N884" i="7" s="1"/>
  <c r="N885" i="7" s="1"/>
  <c r="N886" i="7" s="1"/>
  <c r="N887" i="7" s="1"/>
  <c r="N888" i="7" s="1"/>
  <c r="N889" i="7" s="1"/>
  <c r="N890" i="7" s="1"/>
  <c r="N891" i="7" s="1"/>
  <c r="N892" i="7" s="1"/>
  <c r="N893" i="7" s="1"/>
  <c r="N894" i="7" s="1"/>
  <c r="N895" i="7" s="1"/>
  <c r="N896" i="7" s="1"/>
  <c r="N897" i="7" s="1"/>
  <c r="N898" i="7" s="1"/>
  <c r="N899" i="7" s="1"/>
  <c r="N900" i="7" s="1"/>
  <c r="N901" i="7" s="1"/>
  <c r="N902" i="7" s="1"/>
  <c r="N903" i="7" s="1"/>
  <c r="N904" i="7" s="1"/>
  <c r="N905" i="7" s="1"/>
  <c r="N906" i="7" s="1"/>
  <c r="N907" i="7" s="1"/>
  <c r="N908" i="7" s="1"/>
  <c r="N909" i="7" s="1"/>
  <c r="N910" i="7" s="1"/>
  <c r="N911" i="7" s="1"/>
  <c r="N912" i="7" s="1"/>
  <c r="N913" i="7" s="1"/>
  <c r="N914" i="7" s="1"/>
  <c r="N915" i="7" s="1"/>
  <c r="N916" i="7" s="1"/>
  <c r="N917" i="7" s="1"/>
  <c r="N918" i="7" s="1"/>
  <c r="N919" i="7" s="1"/>
  <c r="N920" i="7" s="1"/>
  <c r="N921" i="7" s="1"/>
  <c r="N922" i="7" s="1"/>
  <c r="N923" i="7" s="1"/>
  <c r="N924" i="7" s="1"/>
  <c r="N925" i="7" s="1"/>
  <c r="N926" i="7" s="1"/>
  <c r="N927" i="7" s="1"/>
  <c r="N928" i="7" s="1"/>
  <c r="N929" i="7" s="1"/>
  <c r="N930" i="7" s="1"/>
  <c r="N931" i="7" s="1"/>
  <c r="N932" i="7" s="1"/>
  <c r="N933" i="7" s="1"/>
  <c r="N934" i="7" s="1"/>
  <c r="N935" i="7" s="1"/>
  <c r="N936" i="7" s="1"/>
  <c r="N937" i="7" s="1"/>
  <c r="N938" i="7" s="1"/>
  <c r="N939" i="7" s="1"/>
  <c r="N940" i="7" s="1"/>
  <c r="N941" i="7" s="1"/>
  <c r="N942" i="7" s="1"/>
  <c r="N943" i="7" s="1"/>
  <c r="N944" i="7" s="1"/>
  <c r="N945" i="7" s="1"/>
  <c r="N946" i="7" s="1"/>
  <c r="N947" i="7" s="1"/>
  <c r="N948" i="7" s="1"/>
  <c r="N949" i="7" s="1"/>
  <c r="N950" i="7" s="1"/>
  <c r="N951" i="7" s="1"/>
  <c r="N952" i="7" s="1"/>
  <c r="N953" i="7" s="1"/>
  <c r="N954" i="7" s="1"/>
  <c r="N955" i="7" s="1"/>
  <c r="N956" i="7" s="1"/>
  <c r="N957" i="7" s="1"/>
  <c r="N958" i="7" s="1"/>
  <c r="N959" i="7" s="1"/>
  <c r="N960" i="7" s="1"/>
  <c r="N961" i="7" s="1"/>
  <c r="N962" i="7" s="1"/>
  <c r="N963" i="7" s="1"/>
  <c r="N964" i="7" s="1"/>
  <c r="N965" i="7" s="1"/>
  <c r="N966" i="7" s="1"/>
  <c r="N967" i="7" s="1"/>
  <c r="N968" i="7" s="1"/>
  <c r="N969" i="7" s="1"/>
  <c r="N970" i="7" s="1"/>
  <c r="N971" i="7" s="1"/>
  <c r="N972" i="7" s="1"/>
  <c r="N973" i="7" s="1"/>
  <c r="N974" i="7" s="1"/>
  <c r="N975" i="7" s="1"/>
  <c r="N976" i="7" s="1"/>
  <c r="N977" i="7" s="1"/>
  <c r="N978" i="7" s="1"/>
  <c r="N979" i="7" s="1"/>
  <c r="N980" i="7" s="1"/>
  <c r="N981" i="7" s="1"/>
  <c r="N982" i="7" s="1"/>
  <c r="N983" i="7" s="1"/>
  <c r="N984" i="7" s="1"/>
  <c r="N985" i="7" s="1"/>
  <c r="N986" i="7" s="1"/>
  <c r="N987" i="7" s="1"/>
  <c r="N988" i="7" s="1"/>
  <c r="N989" i="7" s="1"/>
  <c r="N990" i="7" s="1"/>
  <c r="N991" i="7" s="1"/>
  <c r="N992" i="7" s="1"/>
  <c r="N993" i="7" s="1"/>
  <c r="N994" i="7" s="1"/>
  <c r="N995" i="7" s="1"/>
  <c r="N996" i="7" s="1"/>
  <c r="N997" i="7" s="1"/>
  <c r="N998" i="7" s="1"/>
  <c r="N999" i="7" s="1"/>
  <c r="N1000" i="7" s="1"/>
  <c r="N1001" i="7" s="1"/>
  <c r="N1002" i="7" s="1"/>
  <c r="N1003" i="7" s="1"/>
  <c r="N1004" i="7" s="1"/>
  <c r="N1005" i="7" s="1"/>
  <c r="N1006" i="7" s="1"/>
  <c r="N1007" i="7" s="1"/>
  <c r="N1008" i="7" s="1"/>
  <c r="N1009" i="7" s="1"/>
  <c r="N1010" i="7" s="1"/>
  <c r="N1011" i="7" s="1"/>
  <c r="N1012" i="7" s="1"/>
  <c r="N1013" i="7" s="1"/>
  <c r="N1014" i="7" s="1"/>
  <c r="N1015" i="7" s="1"/>
  <c r="N1016" i="7" s="1"/>
  <c r="N1017" i="7" s="1"/>
  <c r="N1018" i="7" s="1"/>
  <c r="N1019" i="7" s="1"/>
  <c r="N1020" i="7" s="1"/>
  <c r="N1021" i="7" s="1"/>
  <c r="N1022" i="7" s="1"/>
  <c r="N1023" i="7" s="1"/>
  <c r="N1024" i="7" s="1"/>
  <c r="N1025" i="7" s="1"/>
  <c r="N1026" i="7" s="1"/>
  <c r="N1027" i="7" s="1"/>
  <c r="N1028" i="7" s="1"/>
  <c r="N1029" i="7" s="1"/>
  <c r="N1030" i="7" s="1"/>
  <c r="N1031" i="7" s="1"/>
  <c r="N1032" i="7" s="1"/>
  <c r="N1033" i="7" s="1"/>
  <c r="N1034" i="7" s="1"/>
  <c r="N1035" i="7" s="1"/>
  <c r="N1036" i="7" s="1"/>
  <c r="N1037" i="7" s="1"/>
  <c r="N1038" i="7" s="1"/>
  <c r="N1039" i="7" s="1"/>
  <c r="N1040" i="7" s="1"/>
  <c r="N1041" i="7" s="1"/>
  <c r="N1042" i="7" s="1"/>
  <c r="N1043" i="7" s="1"/>
  <c r="N1044" i="7" s="1"/>
  <c r="N1045" i="7" s="1"/>
  <c r="N1046" i="7" s="1"/>
  <c r="N1047" i="7" s="1"/>
  <c r="N1048" i="7" s="1"/>
  <c r="N1049" i="7" s="1"/>
  <c r="N1050" i="7" s="1"/>
  <c r="N1051" i="7" s="1"/>
  <c r="N1052" i="7" s="1"/>
  <c r="N1053" i="7" s="1"/>
  <c r="N1054" i="7" s="1"/>
  <c r="N1055" i="7" s="1"/>
  <c r="N1056" i="7" s="1"/>
  <c r="N1057" i="7" s="1"/>
  <c r="N1058" i="7" s="1"/>
  <c r="N1059" i="7" s="1"/>
  <c r="N1060" i="7" s="1"/>
  <c r="N1061" i="7" s="1"/>
  <c r="N1062" i="7" s="1"/>
  <c r="N1063" i="7" s="1"/>
  <c r="N1064" i="7" s="1"/>
  <c r="N1065" i="7" s="1"/>
  <c r="N1066" i="7" s="1"/>
  <c r="N1067" i="7" s="1"/>
  <c r="N1068" i="7" s="1"/>
  <c r="N1069" i="7" s="1"/>
  <c r="N1070" i="7" s="1"/>
  <c r="N1071" i="7" s="1"/>
  <c r="N1072" i="7" s="1"/>
  <c r="N1073" i="7" s="1"/>
  <c r="N1074" i="7" s="1"/>
  <c r="N1075" i="7" s="1"/>
  <c r="N1076" i="7" s="1"/>
  <c r="N1077" i="7" s="1"/>
  <c r="N1078" i="7" s="1"/>
  <c r="N1079" i="7" s="1"/>
  <c r="N1080" i="7" s="1"/>
  <c r="N1081" i="7" s="1"/>
  <c r="N1082" i="7" s="1"/>
  <c r="N1083" i="7" s="1"/>
  <c r="N1084" i="7" s="1"/>
  <c r="N1085" i="7" s="1"/>
  <c r="N1086" i="7" s="1"/>
  <c r="N1087" i="7" s="1"/>
  <c r="N1088" i="7" s="1"/>
  <c r="N1089" i="7" s="1"/>
  <c r="N1090" i="7" s="1"/>
  <c r="N1091" i="7" s="1"/>
  <c r="N1092" i="7" s="1"/>
  <c r="N1093" i="7" s="1"/>
  <c r="N1094" i="7" s="1"/>
  <c r="N1095" i="7" s="1"/>
  <c r="N1096" i="7" s="1"/>
  <c r="N1097" i="7" s="1"/>
  <c r="N1098" i="7" s="1"/>
  <c r="N1099" i="7" s="1"/>
  <c r="N1100" i="7" s="1"/>
  <c r="N1101" i="7" s="1"/>
  <c r="N1102" i="7" s="1"/>
  <c r="N1103" i="7" s="1"/>
  <c r="N1104" i="7" s="1"/>
  <c r="N1105" i="7" s="1"/>
  <c r="N1106" i="7" s="1"/>
  <c r="N1107" i="7" s="1"/>
  <c r="N1108" i="7" s="1"/>
  <c r="N1109" i="7" s="1"/>
  <c r="N1110" i="7" s="1"/>
  <c r="N1111" i="7" s="1"/>
  <c r="N1112" i="7" s="1"/>
  <c r="N1113" i="7" s="1"/>
  <c r="N1114" i="7" s="1"/>
  <c r="N1115" i="7" s="1"/>
  <c r="N1116" i="7" s="1"/>
  <c r="N1117" i="7" s="1"/>
  <c r="N1118" i="7" s="1"/>
  <c r="N1119" i="7" s="1"/>
  <c r="N1120" i="7" s="1"/>
  <c r="N1121" i="7" s="1"/>
  <c r="N1122" i="7" s="1"/>
  <c r="N1123" i="7" s="1"/>
  <c r="N1124" i="7" s="1"/>
  <c r="N1125" i="7" s="1"/>
  <c r="N1126" i="7" s="1"/>
  <c r="N1127" i="7" s="1"/>
  <c r="N1128" i="7" s="1"/>
  <c r="N1129" i="7" s="1"/>
  <c r="N1130" i="7" s="1"/>
  <c r="N1131" i="7" s="1"/>
  <c r="N1132" i="7" s="1"/>
  <c r="N1133" i="7" s="1"/>
  <c r="N1134" i="7" s="1"/>
  <c r="N1135" i="7" s="1"/>
  <c r="N1136" i="7" s="1"/>
  <c r="N1137" i="7" s="1"/>
  <c r="N1138" i="7" s="1"/>
  <c r="N1139" i="7" s="1"/>
  <c r="N1140" i="7" s="1"/>
  <c r="N1141" i="7" s="1"/>
  <c r="N1142" i="7" s="1"/>
  <c r="N1143" i="7" s="1"/>
  <c r="N1144" i="7" s="1"/>
  <c r="N1145" i="7" s="1"/>
  <c r="N1146" i="7" s="1"/>
  <c r="N1147" i="7" s="1"/>
  <c r="N1148" i="7" s="1"/>
  <c r="N1149" i="7" s="1"/>
  <c r="N1150" i="7" s="1"/>
  <c r="N1151" i="7" s="1"/>
  <c r="N1152" i="7" s="1"/>
  <c r="N1153" i="7" s="1"/>
  <c r="N1154" i="7" s="1"/>
  <c r="N1155" i="7" s="1"/>
  <c r="N1156" i="7" s="1"/>
  <c r="N1157" i="7" s="1"/>
  <c r="N1158" i="7" s="1"/>
  <c r="N1159" i="7" s="1"/>
  <c r="N1160" i="7" s="1"/>
  <c r="N1161" i="7" s="1"/>
  <c r="N1162" i="7" s="1"/>
  <c r="N1163" i="7" s="1"/>
  <c r="N1164" i="7" s="1"/>
  <c r="N1165" i="7" s="1"/>
  <c r="N1166" i="7" s="1"/>
  <c r="N1167" i="7" s="1"/>
  <c r="N1168" i="7" s="1"/>
  <c r="N1169" i="7" s="1"/>
  <c r="N1170" i="7" s="1"/>
  <c r="N1171" i="7" s="1"/>
  <c r="N1172" i="7" s="1"/>
  <c r="N1173" i="7" s="1"/>
  <c r="N1174" i="7" s="1"/>
  <c r="N1175" i="7" s="1"/>
  <c r="N1176" i="7" s="1"/>
  <c r="N1177" i="7" s="1"/>
  <c r="N1178" i="7" s="1"/>
  <c r="N1179" i="7" s="1"/>
  <c r="N1180" i="7" s="1"/>
  <c r="N1181" i="7" s="1"/>
  <c r="N1182" i="7" s="1"/>
  <c r="N1183" i="7" s="1"/>
  <c r="N1184" i="7" s="1"/>
  <c r="N1185" i="7" s="1"/>
  <c r="N1186" i="7" s="1"/>
  <c r="N1187" i="7" s="1"/>
  <c r="N1188" i="7" s="1"/>
  <c r="N1189" i="7" s="1"/>
  <c r="N1190" i="7" s="1"/>
  <c r="N1191" i="7" s="1"/>
  <c r="N1192" i="7" s="1"/>
  <c r="N1193" i="7" s="1"/>
  <c r="N1194" i="7" s="1"/>
  <c r="N1195" i="7" s="1"/>
  <c r="N1196" i="7" s="1"/>
  <c r="N1197" i="7" s="1"/>
  <c r="N1198" i="7" s="1"/>
  <c r="N1199" i="7" s="1"/>
  <c r="N1200" i="7" s="1"/>
  <c r="N1201" i="7" s="1"/>
  <c r="N1202" i="7" s="1"/>
  <c r="N1203" i="7" s="1"/>
  <c r="N1204" i="7" s="1"/>
  <c r="N1205" i="7" s="1"/>
  <c r="N1206" i="7" s="1"/>
  <c r="N1207" i="7" s="1"/>
  <c r="N1208" i="7" s="1"/>
  <c r="N1209" i="7" s="1"/>
  <c r="N1210" i="7" s="1"/>
  <c r="N1211" i="7" s="1"/>
  <c r="N1212" i="7" s="1"/>
  <c r="N1213" i="7" s="1"/>
  <c r="N1214" i="7" s="1"/>
  <c r="N1215" i="7" s="1"/>
  <c r="N1216" i="7" s="1"/>
  <c r="N1217" i="7" s="1"/>
  <c r="N1218" i="7" s="1"/>
  <c r="N1219" i="7" s="1"/>
  <c r="N1220" i="7" s="1"/>
  <c r="N1221" i="7" s="1"/>
  <c r="N1222" i="7" s="1"/>
  <c r="N1223" i="7" s="1"/>
  <c r="N1224" i="7" s="1"/>
  <c r="N1225" i="7" s="1"/>
  <c r="N1226" i="7" s="1"/>
  <c r="N1227" i="7" s="1"/>
  <c r="N1228" i="7" s="1"/>
  <c r="N1229" i="7" s="1"/>
  <c r="N1230" i="7" s="1"/>
  <c r="N1231" i="7" s="1"/>
  <c r="N1232" i="7" s="1"/>
  <c r="N1233" i="7" s="1"/>
  <c r="N1234" i="7" s="1"/>
  <c r="N1235" i="7" s="1"/>
  <c r="N1236" i="7" s="1"/>
  <c r="N1237" i="7" s="1"/>
  <c r="N1238" i="7" s="1"/>
  <c r="N1239" i="7" s="1"/>
  <c r="N1240" i="7" s="1"/>
  <c r="N1241" i="7" s="1"/>
  <c r="N1242" i="7" s="1"/>
  <c r="N1243" i="7" s="1"/>
  <c r="N1244" i="7" s="1"/>
  <c r="N1245" i="7" s="1"/>
  <c r="N1246" i="7" s="1"/>
  <c r="N1247" i="7" s="1"/>
  <c r="N1248" i="7" s="1"/>
  <c r="N1249" i="7" s="1"/>
  <c r="N1250" i="7" s="1"/>
  <c r="N1251" i="7" s="1"/>
  <c r="N1252" i="7" s="1"/>
  <c r="N1253" i="7" s="1"/>
  <c r="N1254" i="7" s="1"/>
  <c r="N1255" i="7" s="1"/>
  <c r="N1256" i="7" s="1"/>
  <c r="N1257" i="7" s="1"/>
  <c r="N1258" i="7" s="1"/>
  <c r="N1259" i="7" s="1"/>
  <c r="N1260" i="7" s="1"/>
  <c r="N1261" i="7" s="1"/>
  <c r="N1262" i="7" s="1"/>
  <c r="N1263" i="7" s="1"/>
  <c r="N1264" i="7" s="1"/>
  <c r="N1265" i="7" s="1"/>
  <c r="N1266" i="7" s="1"/>
  <c r="N1267" i="7" s="1"/>
  <c r="N1268" i="7" s="1"/>
  <c r="N1269" i="7" s="1"/>
  <c r="N1270" i="7" s="1"/>
  <c r="N1271" i="7" s="1"/>
  <c r="N1272" i="7" s="1"/>
  <c r="N1273" i="7" s="1"/>
  <c r="N1274" i="7" s="1"/>
  <c r="N1275" i="7" s="1"/>
  <c r="N1276" i="7" s="1"/>
  <c r="N1277" i="7" s="1"/>
  <c r="N1278" i="7" s="1"/>
  <c r="N1279" i="7" s="1"/>
  <c r="N1280" i="7" s="1"/>
  <c r="N1281" i="7" s="1"/>
  <c r="N1282" i="7" s="1"/>
  <c r="N1283" i="7" s="1"/>
  <c r="N1284" i="7" s="1"/>
  <c r="N1285" i="7" s="1"/>
  <c r="N1286" i="7" s="1"/>
  <c r="N1287" i="7" s="1"/>
  <c r="N1288" i="7" s="1"/>
  <c r="N1289" i="7" s="1"/>
  <c r="N1290" i="7" s="1"/>
  <c r="N1291" i="7" s="1"/>
  <c r="N1292" i="7" s="1"/>
  <c r="N1293" i="7" s="1"/>
  <c r="N1294" i="7" s="1"/>
  <c r="N1295" i="7" s="1"/>
  <c r="N1296" i="7" s="1"/>
  <c r="N1297" i="7" s="1"/>
  <c r="N1298" i="7" s="1"/>
  <c r="N1299" i="7" s="1"/>
  <c r="N1300" i="7" s="1"/>
  <c r="N1301" i="7" s="1"/>
  <c r="N1302" i="7" s="1"/>
  <c r="N1303" i="7" s="1"/>
  <c r="N1304" i="7" s="1"/>
  <c r="N1305" i="7" s="1"/>
  <c r="N1306" i="7" s="1"/>
  <c r="N1307" i="7" s="1"/>
  <c r="N1308" i="7" s="1"/>
  <c r="N1309" i="7" s="1"/>
  <c r="N1310" i="7" s="1"/>
  <c r="N1311" i="7" s="1"/>
  <c r="N1312" i="7" s="1"/>
  <c r="N1313" i="7" s="1"/>
  <c r="N1314" i="7" s="1"/>
  <c r="N1315" i="7" s="1"/>
  <c r="N1316" i="7" s="1"/>
  <c r="N1317" i="7" s="1"/>
  <c r="N1318" i="7" s="1"/>
  <c r="N1319" i="7" s="1"/>
  <c r="N1320" i="7" s="1"/>
  <c r="N1321" i="7" s="1"/>
  <c r="N1322" i="7" s="1"/>
  <c r="N1323" i="7" s="1"/>
  <c r="N1324" i="7" s="1"/>
  <c r="N1325" i="7" s="1"/>
  <c r="N1326" i="7" s="1"/>
  <c r="N1327" i="7" s="1"/>
  <c r="N1328" i="7" s="1"/>
  <c r="N1329" i="7" s="1"/>
  <c r="N1330" i="7" s="1"/>
  <c r="N1331" i="7" s="1"/>
  <c r="N1332" i="7" s="1"/>
  <c r="N1333" i="7" s="1"/>
  <c r="N1334" i="7" s="1"/>
  <c r="N1335" i="7" s="1"/>
  <c r="N1336" i="7" s="1"/>
  <c r="N1337" i="7" s="1"/>
  <c r="N1338" i="7" s="1"/>
  <c r="N1339" i="7" s="1"/>
  <c r="N1340" i="7" s="1"/>
  <c r="N1341" i="7" s="1"/>
  <c r="N1342" i="7" s="1"/>
  <c r="N1343" i="7" s="1"/>
  <c r="N1344" i="7" s="1"/>
  <c r="N1345" i="7" s="1"/>
  <c r="N1346" i="7" s="1"/>
  <c r="N1347" i="7" s="1"/>
  <c r="N1348" i="7" s="1"/>
  <c r="N1349" i="7" s="1"/>
  <c r="N1350" i="7" s="1"/>
  <c r="N1351" i="7" s="1"/>
  <c r="N1352" i="7" s="1"/>
  <c r="N1353" i="7" s="1"/>
  <c r="N1354" i="7" s="1"/>
  <c r="N1355" i="7" s="1"/>
  <c r="N1356" i="7" s="1"/>
  <c r="N1357" i="7" s="1"/>
  <c r="N1358" i="7" s="1"/>
  <c r="N1359" i="7" s="1"/>
  <c r="N1360" i="7" s="1"/>
  <c r="N1361" i="7" s="1"/>
  <c r="N1362" i="7" s="1"/>
  <c r="N1363" i="7" s="1"/>
  <c r="N1364" i="7" s="1"/>
  <c r="N1365" i="7" s="1"/>
  <c r="N1366" i="7" s="1"/>
  <c r="N1367" i="7" s="1"/>
  <c r="N1368" i="7" s="1"/>
  <c r="N1369" i="7" s="1"/>
  <c r="N1370" i="7" s="1"/>
  <c r="N1371" i="7" s="1"/>
  <c r="N1372" i="7" s="1"/>
  <c r="N1373" i="7" s="1"/>
  <c r="N1374" i="7" s="1"/>
  <c r="N1375" i="7" s="1"/>
  <c r="N1376" i="7" s="1"/>
  <c r="N1377" i="7" s="1"/>
  <c r="N1378" i="7" s="1"/>
  <c r="N1379" i="7" s="1"/>
  <c r="N1380" i="7" s="1"/>
  <c r="N1381" i="7" s="1"/>
  <c r="N1382" i="7" s="1"/>
  <c r="N1383" i="7" s="1"/>
  <c r="N1384" i="7" s="1"/>
  <c r="N1385" i="7" s="1"/>
  <c r="N1386" i="7" s="1"/>
  <c r="N1387" i="7" s="1"/>
  <c r="N1388" i="7" s="1"/>
  <c r="N1389" i="7" s="1"/>
  <c r="N1390" i="7" s="1"/>
  <c r="N1391" i="7" s="1"/>
  <c r="N1392" i="7" s="1"/>
  <c r="N1393" i="7" s="1"/>
  <c r="N1394" i="7" s="1"/>
  <c r="N1395" i="7" s="1"/>
  <c r="N1396" i="7" s="1"/>
  <c r="N1397" i="7" s="1"/>
  <c r="N1398" i="7" s="1"/>
  <c r="N1399" i="7" s="1"/>
  <c r="N1400" i="7" s="1"/>
  <c r="N1401" i="7" s="1"/>
  <c r="N1402" i="7" s="1"/>
  <c r="N1403" i="7" s="1"/>
  <c r="N1404" i="7" s="1"/>
  <c r="N1405" i="7" s="1"/>
  <c r="N1406" i="7" s="1"/>
  <c r="N1407" i="7" s="1"/>
  <c r="N1408" i="7" s="1"/>
  <c r="N1409" i="7" s="1"/>
  <c r="N1410" i="7" s="1"/>
  <c r="N1411" i="7" s="1"/>
  <c r="N1412" i="7" s="1"/>
  <c r="N1413" i="7" s="1"/>
  <c r="N1414" i="7" s="1"/>
  <c r="N1415" i="7" s="1"/>
  <c r="N1416" i="7" s="1"/>
  <c r="N1417" i="7" s="1"/>
  <c r="N1418" i="7" s="1"/>
  <c r="N1419" i="7" s="1"/>
  <c r="N1420" i="7" s="1"/>
  <c r="N1421" i="7" s="1"/>
  <c r="N1422" i="7" s="1"/>
  <c r="N1423" i="7" s="1"/>
  <c r="N1424" i="7" s="1"/>
  <c r="N1425" i="7" s="1"/>
  <c r="N1426" i="7" s="1"/>
  <c r="N1427" i="7" s="1"/>
  <c r="N1428" i="7" s="1"/>
  <c r="N1429" i="7" s="1"/>
  <c r="N1430" i="7" s="1"/>
  <c r="N1431" i="7" s="1"/>
  <c r="N1432" i="7" s="1"/>
  <c r="N1433" i="7" s="1"/>
  <c r="N1434" i="7" s="1"/>
  <c r="N1435" i="7" s="1"/>
  <c r="N1436" i="7" s="1"/>
  <c r="N1437" i="7" s="1"/>
  <c r="N1438" i="7" s="1"/>
  <c r="N1439" i="7" s="1"/>
  <c r="N1440" i="7" s="1"/>
  <c r="N1441" i="7" s="1"/>
  <c r="N1442" i="7" s="1"/>
  <c r="N1443" i="7" s="1"/>
  <c r="N1444" i="7" s="1"/>
  <c r="N1445" i="7" s="1"/>
  <c r="N1446" i="7" s="1"/>
  <c r="N1447" i="7" s="1"/>
  <c r="N1448" i="7" s="1"/>
  <c r="N1449" i="7" s="1"/>
  <c r="N1450" i="7" s="1"/>
  <c r="N1451" i="7" s="1"/>
  <c r="N1452" i="7" s="1"/>
  <c r="N1453" i="7" s="1"/>
  <c r="N1454" i="7" s="1"/>
  <c r="N1455" i="7" s="1"/>
  <c r="N1456" i="7" s="1"/>
  <c r="N1457" i="7" s="1"/>
  <c r="N1458" i="7" s="1"/>
  <c r="N1459" i="7" s="1"/>
  <c r="N1460" i="7" s="1"/>
  <c r="N1461" i="7" s="1"/>
  <c r="N1462" i="7" s="1"/>
  <c r="N1463" i="7" s="1"/>
  <c r="N1464" i="7" s="1"/>
  <c r="N1465" i="7" s="1"/>
  <c r="N1466" i="7" s="1"/>
  <c r="N1467" i="7" s="1"/>
  <c r="N1468" i="7" s="1"/>
  <c r="N1469" i="7" s="1"/>
  <c r="N1470" i="7" s="1"/>
  <c r="N1471" i="7" s="1"/>
  <c r="N1472" i="7" s="1"/>
  <c r="N1473" i="7" s="1"/>
  <c r="N1474" i="7" s="1"/>
  <c r="N1475" i="7" s="1"/>
  <c r="N1476" i="7" s="1"/>
  <c r="N1477" i="7" s="1"/>
  <c r="N1478" i="7" s="1"/>
  <c r="N1479" i="7" s="1"/>
  <c r="N1480" i="7" s="1"/>
  <c r="N1481" i="7" s="1"/>
  <c r="N1482" i="7" s="1"/>
  <c r="N1483" i="7" s="1"/>
  <c r="N1484" i="7" s="1"/>
  <c r="N1485" i="7" s="1"/>
  <c r="N1486" i="7" s="1"/>
  <c r="N1487" i="7" s="1"/>
  <c r="N1488" i="7" s="1"/>
  <c r="N1489" i="7" s="1"/>
  <c r="N1490" i="7" s="1"/>
  <c r="N1491" i="7" s="1"/>
  <c r="N1492" i="7" s="1"/>
  <c r="N1493" i="7" s="1"/>
  <c r="N1494" i="7" s="1"/>
  <c r="N1495" i="7" s="1"/>
  <c r="N1496" i="7" s="1"/>
  <c r="N1497" i="7" s="1"/>
  <c r="N1498" i="7" s="1"/>
  <c r="N1499" i="7" s="1"/>
  <c r="N1500" i="7" s="1"/>
  <c r="N1501" i="7" s="1"/>
  <c r="N1502" i="7" s="1"/>
  <c r="N1503" i="7" s="1"/>
  <c r="N1504" i="7" s="1"/>
  <c r="N1505" i="7" s="1"/>
  <c r="N1506" i="7" s="1"/>
  <c r="N1507" i="7" s="1"/>
  <c r="N1508" i="7" s="1"/>
  <c r="N1509" i="7" s="1"/>
  <c r="N1510" i="7" s="1"/>
  <c r="N1511" i="7" s="1"/>
  <c r="N1512" i="7" s="1"/>
  <c r="N1513" i="7" s="1"/>
  <c r="N1514" i="7" s="1"/>
  <c r="N1515" i="7" s="1"/>
  <c r="N1516" i="7" s="1"/>
  <c r="N1517" i="7" s="1"/>
  <c r="N1518" i="7" s="1"/>
  <c r="N1519" i="7" s="1"/>
  <c r="N1520" i="7" s="1"/>
  <c r="N1521" i="7" s="1"/>
  <c r="N1522" i="7" s="1"/>
  <c r="N1523" i="7" s="1"/>
  <c r="N1524" i="7" s="1"/>
  <c r="N1525" i="7" s="1"/>
  <c r="N1526" i="7" s="1"/>
  <c r="N1527" i="7" s="1"/>
  <c r="N1528" i="7" s="1"/>
  <c r="N1529" i="7" s="1"/>
  <c r="N1530" i="7" s="1"/>
  <c r="N1531" i="7" s="1"/>
  <c r="N1532" i="7" s="1"/>
  <c r="N1533" i="7" s="1"/>
  <c r="N1534" i="7" s="1"/>
  <c r="N1535" i="7" s="1"/>
  <c r="N1536" i="7" s="1"/>
  <c r="N1537" i="7" s="1"/>
  <c r="N1538" i="7" s="1"/>
  <c r="N1539" i="7" s="1"/>
  <c r="N1540" i="7" s="1"/>
  <c r="N1541" i="7" s="1"/>
  <c r="N1542" i="7" s="1"/>
  <c r="N1543" i="7" s="1"/>
  <c r="N1544" i="7" s="1"/>
  <c r="N1545" i="7" s="1"/>
  <c r="N1546" i="7" s="1"/>
  <c r="N1547" i="7" s="1"/>
  <c r="N1548" i="7" s="1"/>
  <c r="N1549" i="7" s="1"/>
  <c r="N1550" i="7" s="1"/>
  <c r="N1551" i="7" s="1"/>
  <c r="N1552" i="7" s="1"/>
  <c r="N1553" i="7" s="1"/>
  <c r="N1554" i="7" s="1"/>
  <c r="N1555" i="7" s="1"/>
  <c r="N1556" i="7" s="1"/>
  <c r="N1557" i="7" s="1"/>
  <c r="N1558" i="7" s="1"/>
  <c r="N1559" i="7" s="1"/>
  <c r="N1560" i="7" s="1"/>
  <c r="N1561" i="7" s="1"/>
  <c r="N1562" i="7" s="1"/>
  <c r="N1563" i="7" s="1"/>
  <c r="N1564" i="7" s="1"/>
  <c r="N1565" i="7" s="1"/>
  <c r="N1566" i="7" s="1"/>
  <c r="N1567" i="7" s="1"/>
  <c r="N1568" i="7" s="1"/>
  <c r="N1569" i="7" s="1"/>
  <c r="N1570" i="7" s="1"/>
  <c r="N1571" i="7" s="1"/>
  <c r="N1572" i="7" s="1"/>
  <c r="N1573" i="7" s="1"/>
  <c r="N1574" i="7" s="1"/>
  <c r="N1575" i="7" s="1"/>
  <c r="N1576" i="7" s="1"/>
  <c r="N1577" i="7" s="1"/>
  <c r="N1578" i="7" s="1"/>
  <c r="N1579" i="7" s="1"/>
  <c r="N1580" i="7" s="1"/>
  <c r="N1581" i="7" s="1"/>
  <c r="N1582" i="7" s="1"/>
  <c r="N1583" i="7" s="1"/>
  <c r="N1584" i="7" s="1"/>
  <c r="N1585" i="7" s="1"/>
  <c r="N1586" i="7" s="1"/>
  <c r="N1587" i="7" s="1"/>
  <c r="N1588" i="7" s="1"/>
  <c r="N1589" i="7" s="1"/>
  <c r="N1590" i="7" s="1"/>
  <c r="N1591" i="7" s="1"/>
  <c r="N1592" i="7" s="1"/>
  <c r="N1593" i="7" s="1"/>
  <c r="N1594" i="7" s="1"/>
  <c r="N1595" i="7" s="1"/>
  <c r="N1596" i="7" s="1"/>
  <c r="N1597" i="7" s="1"/>
  <c r="N1598" i="7" s="1"/>
  <c r="N1599" i="7" s="1"/>
  <c r="N1600" i="7" s="1"/>
  <c r="N1601" i="7" s="1"/>
  <c r="N1602" i="7" s="1"/>
  <c r="N1603" i="7" s="1"/>
  <c r="N1604" i="7" s="1"/>
  <c r="N1605" i="7" s="1"/>
  <c r="N1606" i="7" s="1"/>
  <c r="N1607" i="7" s="1"/>
  <c r="N1608" i="7" s="1"/>
  <c r="N1609" i="7" s="1"/>
  <c r="N1610" i="7" s="1"/>
  <c r="N1611" i="7" s="1"/>
  <c r="N1612" i="7" s="1"/>
  <c r="N1613" i="7" s="1"/>
  <c r="N1614" i="7" s="1"/>
  <c r="N1615" i="7" s="1"/>
  <c r="N1616" i="7" s="1"/>
  <c r="N1617" i="7" s="1"/>
  <c r="N1618" i="7" s="1"/>
  <c r="N1619" i="7" s="1"/>
  <c r="N1620" i="7" s="1"/>
  <c r="N1621" i="7" s="1"/>
  <c r="N1622" i="7" s="1"/>
  <c r="N1623" i="7" s="1"/>
  <c r="N1624" i="7" s="1"/>
  <c r="N1625" i="7" s="1"/>
  <c r="N1626" i="7" s="1"/>
  <c r="N1627" i="7" s="1"/>
  <c r="N1628" i="7" s="1"/>
  <c r="N1629" i="7" s="1"/>
  <c r="N1630" i="7" s="1"/>
  <c r="N1631" i="7" s="1"/>
  <c r="N1632" i="7" s="1"/>
  <c r="N1633" i="7" s="1"/>
  <c r="N1634" i="7" s="1"/>
  <c r="N1635" i="7" s="1"/>
  <c r="N1636" i="7" s="1"/>
  <c r="N1637" i="7" s="1"/>
  <c r="N1638" i="7" s="1"/>
  <c r="N1639" i="7" s="1"/>
  <c r="N1640" i="7" s="1"/>
  <c r="N1641" i="7" s="1"/>
  <c r="N1642" i="7" s="1"/>
  <c r="N1643" i="7" s="1"/>
  <c r="N1644" i="7" s="1"/>
  <c r="N1645" i="7" s="1"/>
  <c r="N1646" i="7" s="1"/>
  <c r="N1647" i="7" s="1"/>
  <c r="N1648" i="7" s="1"/>
  <c r="N1649" i="7" s="1"/>
  <c r="N1650" i="7" s="1"/>
  <c r="N1651" i="7" s="1"/>
  <c r="N1652" i="7" s="1"/>
  <c r="N1653" i="7" s="1"/>
  <c r="N1654" i="7" s="1"/>
  <c r="N1655" i="7" s="1"/>
  <c r="N1656" i="7" s="1"/>
  <c r="N1657" i="7" s="1"/>
  <c r="N1658" i="7" s="1"/>
  <c r="N1659" i="7" s="1"/>
  <c r="N1660" i="7" s="1"/>
  <c r="N1661" i="7" s="1"/>
  <c r="N1662" i="7" s="1"/>
  <c r="N1663" i="7" s="1"/>
  <c r="N1664" i="7" s="1"/>
  <c r="N1665" i="7" s="1"/>
  <c r="N1666" i="7" s="1"/>
  <c r="N1667" i="7" s="1"/>
  <c r="N1668" i="7" s="1"/>
  <c r="N1669" i="7" s="1"/>
  <c r="N1670" i="7" s="1"/>
  <c r="N1671" i="7" s="1"/>
  <c r="N1672" i="7" s="1"/>
  <c r="N1673" i="7" s="1"/>
  <c r="N1674" i="7" s="1"/>
  <c r="N1675" i="7" s="1"/>
  <c r="N1676" i="7" s="1"/>
  <c r="N1677" i="7" s="1"/>
  <c r="N1678" i="7" s="1"/>
  <c r="N1679" i="7" s="1"/>
  <c r="N1680" i="7" s="1"/>
  <c r="N1681" i="7" s="1"/>
  <c r="N1682" i="7" s="1"/>
  <c r="N1683" i="7" s="1"/>
  <c r="N1684" i="7" s="1"/>
  <c r="N1685" i="7" s="1"/>
  <c r="N1686" i="7" s="1"/>
  <c r="N1687" i="7" s="1"/>
  <c r="N1688" i="7" s="1"/>
  <c r="N1689" i="7" s="1"/>
  <c r="N1690" i="7" s="1"/>
  <c r="N1691" i="7" s="1"/>
  <c r="N1692" i="7" s="1"/>
  <c r="N1693" i="7" s="1"/>
  <c r="N1694" i="7" s="1"/>
  <c r="N1695" i="7" s="1"/>
  <c r="N1696" i="7" s="1"/>
  <c r="N1697" i="7" s="1"/>
  <c r="N1698" i="7" s="1"/>
  <c r="N1699" i="7" s="1"/>
  <c r="N1700" i="7" s="1"/>
  <c r="N1701" i="7" s="1"/>
  <c r="N1702" i="7" s="1"/>
  <c r="N1703" i="7" s="1"/>
  <c r="N1704" i="7" s="1"/>
  <c r="N1705" i="7" s="1"/>
  <c r="N1706" i="7" s="1"/>
  <c r="N1707" i="7" s="1"/>
  <c r="N1708" i="7" s="1"/>
  <c r="N1709" i="7" s="1"/>
  <c r="N1710" i="7" s="1"/>
  <c r="N1711" i="7" s="1"/>
  <c r="N1712" i="7" s="1"/>
  <c r="N1713" i="7" s="1"/>
  <c r="N1714" i="7" s="1"/>
  <c r="N1715" i="7" s="1"/>
  <c r="N1716" i="7" s="1"/>
  <c r="N1717" i="7" s="1"/>
  <c r="N1718" i="7" s="1"/>
  <c r="N1719" i="7" s="1"/>
  <c r="N1720" i="7" s="1"/>
  <c r="N1721" i="7" s="1"/>
  <c r="N1722" i="7" s="1"/>
  <c r="N1723" i="7" s="1"/>
  <c r="N1724" i="7" s="1"/>
  <c r="N1725" i="7" s="1"/>
  <c r="N1726" i="7" s="1"/>
  <c r="N1727" i="7" s="1"/>
  <c r="N1728" i="7" s="1"/>
  <c r="N1729" i="7" s="1"/>
  <c r="N1730" i="7" s="1"/>
  <c r="N1731" i="7" s="1"/>
  <c r="N1732" i="7" s="1"/>
  <c r="N1733" i="7" s="1"/>
  <c r="N1734" i="7" s="1"/>
  <c r="N1735" i="7" s="1"/>
  <c r="N1736" i="7" s="1"/>
  <c r="N1737" i="7" s="1"/>
  <c r="N1738" i="7" s="1"/>
  <c r="N1739" i="7" s="1"/>
  <c r="N1740" i="7" s="1"/>
  <c r="N1741" i="7" s="1"/>
  <c r="N1742" i="7" s="1"/>
  <c r="N1743" i="7" s="1"/>
  <c r="N1744" i="7" s="1"/>
  <c r="N1745" i="7" s="1"/>
  <c r="N1746" i="7" s="1"/>
  <c r="N1747" i="7" s="1"/>
  <c r="N1748" i="7" s="1"/>
  <c r="N1749" i="7" s="1"/>
  <c r="N1750" i="7" s="1"/>
  <c r="N1751" i="7" s="1"/>
  <c r="N1752" i="7" s="1"/>
  <c r="N1753" i="7" s="1"/>
  <c r="N1754" i="7" s="1"/>
  <c r="N1755" i="7" s="1"/>
  <c r="N1756" i="7" s="1"/>
  <c r="N1757" i="7" s="1"/>
  <c r="N1758" i="7" s="1"/>
  <c r="N1759" i="7" s="1"/>
  <c r="N1760" i="7" s="1"/>
  <c r="N1761" i="7" s="1"/>
  <c r="N1762" i="7" s="1"/>
  <c r="N1763" i="7" s="1"/>
  <c r="N1764" i="7" s="1"/>
  <c r="N1765" i="7" s="1"/>
  <c r="N1766" i="7" s="1"/>
  <c r="N1767" i="7" s="1"/>
  <c r="N1768" i="7" s="1"/>
  <c r="N1769" i="7" s="1"/>
  <c r="N1770" i="7" s="1"/>
  <c r="N1771" i="7" s="1"/>
  <c r="N1772" i="7" s="1"/>
  <c r="N1773" i="7" s="1"/>
  <c r="N1774" i="7" s="1"/>
  <c r="N1775" i="7" s="1"/>
  <c r="N1776" i="7" s="1"/>
  <c r="N1777" i="7" s="1"/>
  <c r="N1778" i="7" s="1"/>
  <c r="N1779" i="7" s="1"/>
  <c r="N1780" i="7" s="1"/>
  <c r="N1781" i="7" s="1"/>
  <c r="N1782" i="7" s="1"/>
  <c r="N1783" i="7" s="1"/>
  <c r="N1784" i="7" s="1"/>
  <c r="N1785" i="7" s="1"/>
  <c r="N1786" i="7" s="1"/>
  <c r="N1787" i="7" s="1"/>
  <c r="N1788" i="7" s="1"/>
  <c r="N1789" i="7" s="1"/>
  <c r="N1790" i="7" s="1"/>
  <c r="N1791" i="7" s="1"/>
  <c r="N1792" i="7" s="1"/>
  <c r="N1793" i="7" s="1"/>
  <c r="N1794" i="7" s="1"/>
  <c r="N1795" i="7" s="1"/>
  <c r="N1796" i="7" s="1"/>
  <c r="N1797" i="7" s="1"/>
  <c r="N1798" i="7" s="1"/>
  <c r="N1799" i="7" s="1"/>
  <c r="N1800" i="7" s="1"/>
  <c r="N1801" i="7" s="1"/>
  <c r="N1802" i="7" s="1"/>
  <c r="N1803" i="7" s="1"/>
  <c r="N1804" i="7" s="1"/>
  <c r="N1805" i="7" s="1"/>
  <c r="N1806" i="7" s="1"/>
  <c r="N1807" i="7" s="1"/>
  <c r="N1808" i="7" s="1"/>
  <c r="N1809" i="7" s="1"/>
  <c r="N1810" i="7" s="1"/>
  <c r="N1811" i="7" s="1"/>
  <c r="N1812" i="7" s="1"/>
  <c r="N1813" i="7" s="1"/>
  <c r="N1814" i="7" s="1"/>
  <c r="N1815" i="7" s="1"/>
  <c r="N1816" i="7" s="1"/>
  <c r="N1817" i="7" s="1"/>
  <c r="N1818" i="7" s="1"/>
  <c r="N1819" i="7" s="1"/>
  <c r="N1820" i="7" s="1"/>
  <c r="N1821" i="7" s="1"/>
  <c r="N1822" i="7" s="1"/>
  <c r="N1823" i="7" s="1"/>
  <c r="N1824" i="7" s="1"/>
  <c r="N1825" i="7" s="1"/>
  <c r="N1826" i="7" s="1"/>
  <c r="N1827" i="7" s="1"/>
  <c r="N1828" i="7" s="1"/>
  <c r="N1829" i="7" s="1"/>
  <c r="N1830" i="7" s="1"/>
  <c r="N1831" i="7" s="1"/>
  <c r="N1832" i="7" s="1"/>
  <c r="N1833" i="7" s="1"/>
  <c r="N1834" i="7" s="1"/>
  <c r="N1835" i="7" s="1"/>
  <c r="N1836" i="7" s="1"/>
  <c r="N1837" i="7" s="1"/>
  <c r="N1838" i="7" s="1"/>
  <c r="N1839" i="7" s="1"/>
  <c r="N1840" i="7" s="1"/>
  <c r="N1841" i="7" s="1"/>
  <c r="N1842" i="7" s="1"/>
  <c r="N1843" i="7" s="1"/>
  <c r="N1844" i="7" s="1"/>
  <c r="N1845" i="7" s="1"/>
  <c r="N1846" i="7" s="1"/>
  <c r="N1847" i="7" s="1"/>
  <c r="N1848" i="7" s="1"/>
  <c r="N1849" i="7" s="1"/>
  <c r="N1850" i="7" s="1"/>
  <c r="N1851" i="7" s="1"/>
  <c r="N1852" i="7" s="1"/>
  <c r="N1853" i="7" s="1"/>
  <c r="N1854" i="7" s="1"/>
  <c r="N1855" i="7" s="1"/>
  <c r="N1856" i="7" s="1"/>
  <c r="N1857" i="7" s="1"/>
  <c r="N1858" i="7" s="1"/>
  <c r="N1859" i="7" s="1"/>
  <c r="N1860" i="7" s="1"/>
  <c r="N1861" i="7" s="1"/>
  <c r="N1862" i="7" s="1"/>
  <c r="N1863" i="7" s="1"/>
  <c r="N1864" i="7" s="1"/>
  <c r="N1865" i="7" s="1"/>
  <c r="N1866" i="7" s="1"/>
  <c r="N1867" i="7" s="1"/>
  <c r="N1868" i="7" s="1"/>
  <c r="N1869" i="7" s="1"/>
  <c r="N1870" i="7" s="1"/>
  <c r="N1871" i="7" s="1"/>
  <c r="N1872" i="7" s="1"/>
  <c r="N1873" i="7" s="1"/>
  <c r="N1874" i="7" s="1"/>
  <c r="N1875" i="7" s="1"/>
  <c r="N1876" i="7" s="1"/>
  <c r="N1877" i="7" s="1"/>
  <c r="N1878" i="7" s="1"/>
  <c r="N1879" i="7" s="1"/>
  <c r="N1880" i="7" s="1"/>
  <c r="N1881" i="7" s="1"/>
  <c r="N1882" i="7" s="1"/>
  <c r="N1883" i="7" s="1"/>
  <c r="N1884" i="7" s="1"/>
  <c r="N1885" i="7" s="1"/>
  <c r="N1886" i="7" s="1"/>
  <c r="N1887" i="7" s="1"/>
  <c r="N1888" i="7" s="1"/>
  <c r="N1889" i="7" s="1"/>
  <c r="N1890" i="7" s="1"/>
  <c r="N1891" i="7" s="1"/>
  <c r="N1892" i="7" s="1"/>
  <c r="N1893" i="7" s="1"/>
  <c r="N1894" i="7" s="1"/>
  <c r="N1895" i="7" s="1"/>
  <c r="N1896" i="7" s="1"/>
  <c r="N1897" i="7" s="1"/>
  <c r="N1898" i="7" s="1"/>
  <c r="N1899" i="7" s="1"/>
  <c r="N1900" i="7" s="1"/>
  <c r="N1901" i="7" s="1"/>
  <c r="N1902" i="7" s="1"/>
  <c r="N1903" i="7" s="1"/>
  <c r="N1904" i="7" s="1"/>
  <c r="N1905" i="7" s="1"/>
  <c r="N1906" i="7" s="1"/>
  <c r="N1907" i="7" s="1"/>
  <c r="N1908" i="7" s="1"/>
  <c r="N1909" i="7" s="1"/>
  <c r="N1910" i="7" s="1"/>
  <c r="N1911" i="7" s="1"/>
  <c r="N1912" i="7" s="1"/>
  <c r="N1913" i="7" s="1"/>
  <c r="N1914" i="7" s="1"/>
  <c r="N1915" i="7" s="1"/>
  <c r="N1916" i="7" s="1"/>
  <c r="N1917" i="7" s="1"/>
  <c r="N1918" i="7" s="1"/>
  <c r="N1919" i="7" s="1"/>
  <c r="N1920" i="7" s="1"/>
  <c r="N1921" i="7" s="1"/>
  <c r="N1922" i="7" s="1"/>
  <c r="N1923" i="7" s="1"/>
  <c r="N1924" i="7" s="1"/>
  <c r="N1925" i="7" s="1"/>
  <c r="N1926" i="7" s="1"/>
  <c r="N1927" i="7" s="1"/>
  <c r="N1928" i="7" s="1"/>
  <c r="N1929" i="7" s="1"/>
  <c r="N1930" i="7" s="1"/>
  <c r="N1931" i="7" s="1"/>
  <c r="N1932" i="7" s="1"/>
  <c r="N1933" i="7" s="1"/>
  <c r="N1934" i="7" s="1"/>
  <c r="N1935" i="7" s="1"/>
  <c r="N1936" i="7" s="1"/>
  <c r="N1937" i="7" s="1"/>
  <c r="N1938" i="7" s="1"/>
  <c r="N1939" i="7" s="1"/>
  <c r="N1940" i="7" s="1"/>
  <c r="N1941" i="7" s="1"/>
  <c r="N1942" i="7" s="1"/>
  <c r="N1943" i="7" s="1"/>
  <c r="N1944" i="7" s="1"/>
  <c r="N1945" i="7" s="1"/>
  <c r="N1946" i="7" s="1"/>
  <c r="N1947" i="7" s="1"/>
  <c r="N1948" i="7" s="1"/>
  <c r="N1949" i="7" s="1"/>
  <c r="N1950" i="7" s="1"/>
  <c r="N1951" i="7" s="1"/>
  <c r="N1952" i="7" s="1"/>
  <c r="N1953" i="7" s="1"/>
  <c r="N1954" i="7" s="1"/>
  <c r="N1955" i="7" s="1"/>
  <c r="N1956" i="7" s="1"/>
  <c r="N1957" i="7" s="1"/>
  <c r="N1958" i="7" s="1"/>
  <c r="N1959" i="7" s="1"/>
  <c r="N1960" i="7" s="1"/>
  <c r="N1961" i="7" s="1"/>
  <c r="N1962" i="7" s="1"/>
  <c r="N1963" i="7" s="1"/>
  <c r="N1964" i="7" s="1"/>
  <c r="N1965" i="7" s="1"/>
  <c r="N1966" i="7" s="1"/>
  <c r="N1967" i="7" s="1"/>
  <c r="N1968" i="7" s="1"/>
  <c r="N1969" i="7" s="1"/>
  <c r="N1970" i="7" s="1"/>
  <c r="N1971" i="7" s="1"/>
  <c r="N1972" i="7" s="1"/>
  <c r="N1973" i="7" s="1"/>
  <c r="N1974" i="7" s="1"/>
  <c r="N1975" i="7" s="1"/>
  <c r="N1976" i="7" s="1"/>
  <c r="N1977" i="7" s="1"/>
  <c r="N1978" i="7" s="1"/>
  <c r="N1979" i="7" s="1"/>
  <c r="N1980" i="7" s="1"/>
  <c r="N1981" i="7" s="1"/>
  <c r="N1982" i="7" s="1"/>
  <c r="N1983" i="7" s="1"/>
  <c r="N1984" i="7" s="1"/>
  <c r="N1985" i="7" s="1"/>
  <c r="N1986" i="7" s="1"/>
  <c r="N1987" i="7" s="1"/>
  <c r="N1988" i="7" s="1"/>
  <c r="N1989" i="7" s="1"/>
  <c r="N1990" i="7" s="1"/>
  <c r="N1991" i="7" s="1"/>
  <c r="N1992" i="7" s="1"/>
  <c r="N1993" i="7" s="1"/>
  <c r="N1994" i="7" s="1"/>
  <c r="N1995" i="7" s="1"/>
  <c r="N1996" i="7" s="1"/>
  <c r="N1997" i="7" s="1"/>
  <c r="N1998" i="7" s="1"/>
  <c r="N1999" i="7" s="1"/>
  <c r="N2000" i="7" s="1"/>
  <c r="N2001" i="7" s="1"/>
  <c r="N2002" i="7" s="1"/>
  <c r="N2003" i="7" s="1"/>
  <c r="N2004" i="7" s="1"/>
  <c r="N2005" i="7" s="1"/>
  <c r="N2006" i="7" s="1"/>
  <c r="N2007" i="7" s="1"/>
  <c r="N2008" i="7" s="1"/>
  <c r="N2009" i="7" s="1"/>
  <c r="N2010" i="7" s="1"/>
  <c r="N2011" i="7" s="1"/>
  <c r="N2012" i="7" s="1"/>
  <c r="N2013" i="7" s="1"/>
  <c r="N2014" i="7" s="1"/>
  <c r="N2015" i="7" s="1"/>
  <c r="N2016" i="7" s="1"/>
  <c r="N2017" i="7" s="1"/>
  <c r="N2018" i="7" s="1"/>
  <c r="N2019" i="7" s="1"/>
  <c r="N2020" i="7" s="1"/>
  <c r="N2021" i="7" s="1"/>
  <c r="N2022" i="7" s="1"/>
  <c r="N2023" i="7" s="1"/>
  <c r="N2024" i="7" s="1"/>
  <c r="N2025" i="7" s="1"/>
  <c r="N2026" i="7" s="1"/>
  <c r="N2027" i="7" s="1"/>
  <c r="N2028" i="7" s="1"/>
  <c r="N2029" i="7" s="1"/>
  <c r="N2030" i="7" s="1"/>
  <c r="N2031" i="7" s="1"/>
  <c r="N2032" i="7" s="1"/>
  <c r="N2033" i="7" s="1"/>
  <c r="N2034" i="7" s="1"/>
  <c r="N2035" i="7" s="1"/>
  <c r="N2036" i="7" s="1"/>
  <c r="N2037" i="7" s="1"/>
  <c r="N2038" i="7" s="1"/>
  <c r="N2039" i="7" s="1"/>
  <c r="N2040" i="7" s="1"/>
  <c r="N2041" i="7" s="1"/>
  <c r="N2042" i="7" s="1"/>
  <c r="N2043" i="7" s="1"/>
  <c r="N2044" i="7" s="1"/>
  <c r="N2045" i="7" s="1"/>
  <c r="N2046" i="7" s="1"/>
  <c r="N2047" i="7" s="1"/>
  <c r="N2048" i="7" s="1"/>
  <c r="N2049" i="7" s="1"/>
  <c r="N2050" i="7" s="1"/>
  <c r="N2051" i="7" s="1"/>
  <c r="N2052" i="7" s="1"/>
  <c r="N2053" i="7" s="1"/>
  <c r="N2054" i="7" s="1"/>
  <c r="N2055" i="7" s="1"/>
  <c r="N2056" i="7" s="1"/>
  <c r="N2057" i="7" s="1"/>
  <c r="N2058" i="7" s="1"/>
  <c r="N2059" i="7" s="1"/>
  <c r="N2060" i="7" s="1"/>
  <c r="N2061" i="7" s="1"/>
  <c r="N2062" i="7" s="1"/>
  <c r="N2063" i="7" s="1"/>
  <c r="N2064" i="7" s="1"/>
  <c r="N2065" i="7" s="1"/>
  <c r="N2066" i="7" s="1"/>
  <c r="N2067" i="7" s="1"/>
  <c r="N2068" i="7" s="1"/>
  <c r="N2069" i="7" s="1"/>
  <c r="N2070" i="7" s="1"/>
  <c r="N2071" i="7" s="1"/>
  <c r="N2072" i="7" s="1"/>
  <c r="N2073" i="7" s="1"/>
  <c r="N2074" i="7" s="1"/>
  <c r="N2075" i="7" s="1"/>
  <c r="N2076" i="7" s="1"/>
  <c r="N2077" i="7" s="1"/>
  <c r="N2078" i="7" s="1"/>
  <c r="N2079" i="7" s="1"/>
  <c r="N2080" i="7" s="1"/>
  <c r="N2081" i="7" s="1"/>
  <c r="N2082" i="7" s="1"/>
  <c r="N2083" i="7" s="1"/>
  <c r="N2084" i="7" s="1"/>
  <c r="N2085" i="7" s="1"/>
  <c r="N2086" i="7" s="1"/>
  <c r="N2087" i="7" s="1"/>
  <c r="N2088" i="7" s="1"/>
  <c r="N2089" i="7" s="1"/>
  <c r="N2090" i="7" s="1"/>
  <c r="N2091" i="7" s="1"/>
  <c r="N2092" i="7" s="1"/>
  <c r="N2093" i="7" s="1"/>
  <c r="N2094" i="7" s="1"/>
  <c r="N2095" i="7" s="1"/>
  <c r="N2096" i="7" s="1"/>
  <c r="N2097" i="7" s="1"/>
  <c r="N2098" i="7" s="1"/>
  <c r="N2099" i="7" s="1"/>
  <c r="N2100" i="7" s="1"/>
  <c r="N2101" i="7" s="1"/>
  <c r="N2102" i="7" s="1"/>
  <c r="N2103" i="7" s="1"/>
  <c r="N2104" i="7" s="1"/>
  <c r="N2105" i="7" s="1"/>
  <c r="N2106" i="7" s="1"/>
  <c r="N2107" i="7" s="1"/>
  <c r="N2108" i="7" s="1"/>
  <c r="N2109" i="7" s="1"/>
  <c r="N2110" i="7" s="1"/>
  <c r="N2111" i="7" s="1"/>
  <c r="N2112" i="7" s="1"/>
  <c r="N2113" i="7" s="1"/>
  <c r="N2114" i="7" s="1"/>
  <c r="N2115" i="7" s="1"/>
  <c r="N2116" i="7" s="1"/>
  <c r="N2117" i="7" s="1"/>
  <c r="N2118" i="7" s="1"/>
  <c r="N2119" i="7" s="1"/>
  <c r="N2120" i="7" s="1"/>
  <c r="N2121" i="7" s="1"/>
  <c r="N2122" i="7" s="1"/>
  <c r="N2123" i="7" s="1"/>
  <c r="N2124" i="7" s="1"/>
  <c r="N2125" i="7" s="1"/>
  <c r="N2126" i="7" s="1"/>
  <c r="N2127" i="7" s="1"/>
  <c r="N2128" i="7" s="1"/>
  <c r="N2129" i="7" s="1"/>
  <c r="N2130" i="7" s="1"/>
  <c r="N2131" i="7" s="1"/>
  <c r="N2132" i="7" s="1"/>
  <c r="N2133" i="7" s="1"/>
  <c r="N2134" i="7" s="1"/>
  <c r="N2135" i="7" s="1"/>
  <c r="N2136" i="7" s="1"/>
  <c r="N2137" i="7" s="1"/>
  <c r="N2138" i="7" s="1"/>
  <c r="N2139" i="7" s="1"/>
  <c r="N2140" i="7" s="1"/>
  <c r="N2141" i="7" s="1"/>
  <c r="N2142" i="7" s="1"/>
  <c r="N2143" i="7" s="1"/>
  <c r="N2144" i="7" s="1"/>
  <c r="N2145" i="7" s="1"/>
  <c r="N2146" i="7" s="1"/>
  <c r="N2147" i="7" s="1"/>
  <c r="N2148" i="7" s="1"/>
  <c r="N2149" i="7" s="1"/>
  <c r="T2" i="7"/>
  <c r="M4" i="7"/>
  <c r="M5" i="7" s="1"/>
  <c r="M6" i="7" s="1"/>
  <c r="M7" i="7" s="1"/>
  <c r="M8" i="7" s="1"/>
  <c r="M9" i="7" s="1"/>
  <c r="M10" i="7" s="1"/>
  <c r="M11" i="7" s="1"/>
  <c r="M12" i="7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4" i="7" s="1"/>
  <c r="M105" i="7" s="1"/>
  <c r="M106" i="7" s="1"/>
  <c r="M107" i="7" s="1"/>
  <c r="M108" i="7" s="1"/>
  <c r="M109" i="7" s="1"/>
  <c r="M110" i="7" s="1"/>
  <c r="M111" i="7" s="1"/>
  <c r="M112" i="7" s="1"/>
  <c r="M113" i="7" s="1"/>
  <c r="M114" i="7" s="1"/>
  <c r="M115" i="7" s="1"/>
  <c r="M116" i="7" s="1"/>
  <c r="M117" i="7" s="1"/>
  <c r="M118" i="7" s="1"/>
  <c r="M119" i="7" s="1"/>
  <c r="M120" i="7" s="1"/>
  <c r="M121" i="7" s="1"/>
  <c r="M122" i="7" s="1"/>
  <c r="M123" i="7" s="1"/>
  <c r="M124" i="7" s="1"/>
  <c r="M125" i="7" s="1"/>
  <c r="M126" i="7" s="1"/>
  <c r="M127" i="7" s="1"/>
  <c r="M128" i="7" s="1"/>
  <c r="M129" i="7" s="1"/>
  <c r="M130" i="7" s="1"/>
  <c r="M131" i="7" s="1"/>
  <c r="M132" i="7" s="1"/>
  <c r="M133" i="7" s="1"/>
  <c r="M134" i="7" s="1"/>
  <c r="M135" i="7" s="1"/>
  <c r="M136" i="7" s="1"/>
  <c r="M137" i="7" s="1"/>
  <c r="M138" i="7" s="1"/>
  <c r="M139" i="7" s="1"/>
  <c r="M140" i="7" s="1"/>
  <c r="M141" i="7" s="1"/>
  <c r="M142" i="7" s="1"/>
  <c r="M143" i="7" s="1"/>
  <c r="M144" i="7" s="1"/>
  <c r="M145" i="7" s="1"/>
  <c r="M146" i="7" s="1"/>
  <c r="M147" i="7" s="1"/>
  <c r="M148" i="7" s="1"/>
  <c r="M149" i="7" s="1"/>
  <c r="M150" i="7" s="1"/>
  <c r="M151" i="7" s="1"/>
  <c r="M152" i="7" s="1"/>
  <c r="M153" i="7" s="1"/>
  <c r="M154" i="7" s="1"/>
  <c r="M155" i="7" s="1"/>
  <c r="M156" i="7" s="1"/>
  <c r="M157" i="7" s="1"/>
  <c r="M158" i="7" s="1"/>
  <c r="M159" i="7" s="1"/>
  <c r="M160" i="7" s="1"/>
  <c r="M161" i="7" s="1"/>
  <c r="M162" i="7" s="1"/>
  <c r="M163" i="7" s="1"/>
  <c r="M164" i="7" s="1"/>
  <c r="M165" i="7" s="1"/>
  <c r="M166" i="7" s="1"/>
  <c r="M167" i="7" s="1"/>
  <c r="M168" i="7" s="1"/>
  <c r="M169" i="7" s="1"/>
  <c r="M170" i="7" s="1"/>
  <c r="M171" i="7" s="1"/>
  <c r="M172" i="7" s="1"/>
  <c r="M173" i="7" s="1"/>
  <c r="M174" i="7" s="1"/>
  <c r="M175" i="7" s="1"/>
  <c r="M176" i="7" s="1"/>
  <c r="M177" i="7" s="1"/>
  <c r="M178" i="7" s="1"/>
  <c r="M179" i="7" s="1"/>
  <c r="M180" i="7" s="1"/>
  <c r="M181" i="7" s="1"/>
  <c r="M182" i="7" s="1"/>
  <c r="M183" i="7" s="1"/>
  <c r="M184" i="7" s="1"/>
  <c r="M185" i="7" s="1"/>
  <c r="M186" i="7" s="1"/>
  <c r="M187" i="7" s="1"/>
  <c r="M188" i="7" s="1"/>
  <c r="M189" i="7" s="1"/>
  <c r="M190" i="7" s="1"/>
  <c r="M191" i="7" s="1"/>
  <c r="M192" i="7" s="1"/>
  <c r="M193" i="7" s="1"/>
  <c r="M194" i="7" s="1"/>
  <c r="M195" i="7" s="1"/>
  <c r="M196" i="7" s="1"/>
  <c r="M197" i="7" s="1"/>
  <c r="M198" i="7" s="1"/>
  <c r="M199" i="7" s="1"/>
  <c r="M200" i="7" s="1"/>
  <c r="M201" i="7" s="1"/>
  <c r="M202" i="7" s="1"/>
  <c r="M203" i="7" s="1"/>
  <c r="M204" i="7" s="1"/>
  <c r="M205" i="7" s="1"/>
  <c r="M206" i="7" s="1"/>
  <c r="M207" i="7" s="1"/>
  <c r="M208" i="7" s="1"/>
  <c r="M209" i="7" s="1"/>
  <c r="M210" i="7" s="1"/>
  <c r="M211" i="7" s="1"/>
  <c r="M212" i="7" s="1"/>
  <c r="M213" i="7" s="1"/>
  <c r="M214" i="7" s="1"/>
  <c r="M215" i="7" s="1"/>
  <c r="M216" i="7" s="1"/>
  <c r="M217" i="7" s="1"/>
  <c r="M218" i="7" s="1"/>
  <c r="M219" i="7" s="1"/>
  <c r="M220" i="7" s="1"/>
  <c r="M221" i="7" s="1"/>
  <c r="M222" i="7" s="1"/>
  <c r="M223" i="7" s="1"/>
  <c r="M224" i="7" s="1"/>
  <c r="M225" i="7" s="1"/>
  <c r="M226" i="7" s="1"/>
  <c r="M227" i="7" s="1"/>
  <c r="M228" i="7" s="1"/>
  <c r="M229" i="7" s="1"/>
  <c r="M230" i="7" s="1"/>
  <c r="M231" i="7" s="1"/>
  <c r="M232" i="7" s="1"/>
  <c r="M233" i="7" s="1"/>
  <c r="M234" i="7" s="1"/>
  <c r="M235" i="7" s="1"/>
  <c r="M236" i="7" s="1"/>
  <c r="M237" i="7" s="1"/>
  <c r="M238" i="7" s="1"/>
  <c r="M239" i="7" s="1"/>
  <c r="M240" i="7" s="1"/>
  <c r="M241" i="7" s="1"/>
  <c r="M242" i="7" s="1"/>
  <c r="M243" i="7" s="1"/>
  <c r="M244" i="7" s="1"/>
  <c r="M245" i="7" s="1"/>
  <c r="M246" i="7" s="1"/>
  <c r="M247" i="7" s="1"/>
  <c r="M248" i="7" s="1"/>
  <c r="M249" i="7" s="1"/>
  <c r="M250" i="7" s="1"/>
  <c r="M251" i="7" s="1"/>
  <c r="M252" i="7" s="1"/>
  <c r="M253" i="7" s="1"/>
  <c r="M254" i="7" s="1"/>
  <c r="M255" i="7" s="1"/>
  <c r="M256" i="7" s="1"/>
  <c r="M257" i="7" s="1"/>
  <c r="M258" i="7" s="1"/>
  <c r="M259" i="7" s="1"/>
  <c r="M260" i="7" s="1"/>
  <c r="M261" i="7" s="1"/>
  <c r="M262" i="7" s="1"/>
  <c r="M263" i="7" s="1"/>
  <c r="M264" i="7" s="1"/>
  <c r="M265" i="7" s="1"/>
  <c r="M266" i="7" s="1"/>
  <c r="M267" i="7" s="1"/>
  <c r="M268" i="7" s="1"/>
  <c r="M269" i="7" s="1"/>
  <c r="M270" i="7" s="1"/>
  <c r="M271" i="7" s="1"/>
  <c r="M272" i="7" s="1"/>
  <c r="M273" i="7" s="1"/>
  <c r="M274" i="7" s="1"/>
  <c r="M275" i="7" s="1"/>
  <c r="M276" i="7" s="1"/>
  <c r="M277" i="7" s="1"/>
  <c r="M278" i="7" s="1"/>
  <c r="M279" i="7" s="1"/>
  <c r="M280" i="7" s="1"/>
  <c r="M281" i="7" s="1"/>
  <c r="M282" i="7" s="1"/>
  <c r="M283" i="7" s="1"/>
  <c r="M284" i="7" s="1"/>
  <c r="M285" i="7" s="1"/>
  <c r="M286" i="7" s="1"/>
  <c r="M287" i="7" s="1"/>
  <c r="M288" i="7" s="1"/>
  <c r="M289" i="7" s="1"/>
  <c r="M290" i="7" s="1"/>
  <c r="M291" i="7" s="1"/>
  <c r="M292" i="7" s="1"/>
  <c r="M293" i="7" s="1"/>
  <c r="M294" i="7" s="1"/>
  <c r="M295" i="7" s="1"/>
  <c r="M296" i="7" s="1"/>
  <c r="M297" i="7" s="1"/>
  <c r="M298" i="7" s="1"/>
  <c r="M299" i="7" s="1"/>
  <c r="M300" i="7" s="1"/>
  <c r="M301" i="7" s="1"/>
  <c r="M302" i="7" s="1"/>
  <c r="M303" i="7" s="1"/>
  <c r="M304" i="7" s="1"/>
  <c r="M305" i="7" s="1"/>
  <c r="M306" i="7" s="1"/>
  <c r="M307" i="7" s="1"/>
  <c r="M308" i="7" s="1"/>
  <c r="M309" i="7" s="1"/>
  <c r="M310" i="7" s="1"/>
  <c r="M311" i="7" s="1"/>
  <c r="M312" i="7" s="1"/>
  <c r="M313" i="7" s="1"/>
  <c r="M314" i="7" s="1"/>
  <c r="M315" i="7" s="1"/>
  <c r="M316" i="7" s="1"/>
  <c r="M317" i="7" s="1"/>
  <c r="M318" i="7" s="1"/>
  <c r="M319" i="7" s="1"/>
  <c r="M320" i="7" s="1"/>
  <c r="M321" i="7" s="1"/>
  <c r="M322" i="7" s="1"/>
  <c r="M323" i="7" s="1"/>
  <c r="M324" i="7" s="1"/>
  <c r="M325" i="7" s="1"/>
  <c r="M326" i="7" s="1"/>
  <c r="M327" i="7" s="1"/>
  <c r="M328" i="7" s="1"/>
  <c r="M329" i="7" s="1"/>
  <c r="M330" i="7" s="1"/>
  <c r="M331" i="7" s="1"/>
  <c r="M332" i="7" s="1"/>
  <c r="M333" i="7" s="1"/>
  <c r="M334" i="7" s="1"/>
  <c r="M335" i="7" s="1"/>
  <c r="M336" i="7" s="1"/>
  <c r="M337" i="7" s="1"/>
  <c r="M338" i="7" s="1"/>
  <c r="M339" i="7" s="1"/>
  <c r="M340" i="7" s="1"/>
  <c r="M341" i="7" s="1"/>
  <c r="M342" i="7" s="1"/>
  <c r="M343" i="7" s="1"/>
  <c r="M344" i="7" s="1"/>
  <c r="M345" i="7" s="1"/>
  <c r="M346" i="7" s="1"/>
  <c r="M347" i="7" s="1"/>
  <c r="M348" i="7" s="1"/>
  <c r="M349" i="7" s="1"/>
  <c r="M350" i="7" s="1"/>
  <c r="M351" i="7" s="1"/>
  <c r="M352" i="7" s="1"/>
  <c r="M353" i="7" s="1"/>
  <c r="M354" i="7" s="1"/>
  <c r="M355" i="7" s="1"/>
  <c r="M356" i="7" s="1"/>
  <c r="M357" i="7" s="1"/>
  <c r="M358" i="7" s="1"/>
  <c r="M359" i="7" s="1"/>
  <c r="M360" i="7" s="1"/>
  <c r="M361" i="7" s="1"/>
  <c r="M362" i="7" s="1"/>
  <c r="M363" i="7" s="1"/>
  <c r="M364" i="7" s="1"/>
  <c r="M365" i="7" s="1"/>
  <c r="M366" i="7" s="1"/>
  <c r="M367" i="7" s="1"/>
  <c r="M368" i="7" s="1"/>
  <c r="M369" i="7" s="1"/>
  <c r="M370" i="7" s="1"/>
  <c r="M371" i="7" s="1"/>
  <c r="M372" i="7" s="1"/>
  <c r="M373" i="7" s="1"/>
  <c r="M374" i="7" s="1"/>
  <c r="M375" i="7" s="1"/>
  <c r="M376" i="7" s="1"/>
  <c r="M377" i="7" s="1"/>
  <c r="M378" i="7" s="1"/>
  <c r="M379" i="7" s="1"/>
  <c r="M380" i="7" s="1"/>
  <c r="M381" i="7" s="1"/>
  <c r="M382" i="7" s="1"/>
  <c r="M383" i="7" s="1"/>
  <c r="M384" i="7" s="1"/>
  <c r="M385" i="7" s="1"/>
  <c r="M386" i="7" s="1"/>
  <c r="M387" i="7" s="1"/>
  <c r="M388" i="7" s="1"/>
  <c r="M389" i="7" s="1"/>
  <c r="M390" i="7" s="1"/>
  <c r="M391" i="7" s="1"/>
  <c r="M392" i="7" s="1"/>
  <c r="M393" i="7" s="1"/>
  <c r="M394" i="7" s="1"/>
  <c r="M395" i="7" s="1"/>
  <c r="M396" i="7" s="1"/>
  <c r="M397" i="7" s="1"/>
  <c r="M398" i="7" s="1"/>
  <c r="M399" i="7" s="1"/>
  <c r="M400" i="7" s="1"/>
  <c r="M401" i="7" s="1"/>
  <c r="M402" i="7" s="1"/>
  <c r="M403" i="7" s="1"/>
  <c r="M404" i="7" s="1"/>
  <c r="M405" i="7" s="1"/>
  <c r="M406" i="7" s="1"/>
  <c r="M407" i="7" s="1"/>
  <c r="M408" i="7" s="1"/>
  <c r="M409" i="7" s="1"/>
  <c r="M410" i="7" s="1"/>
  <c r="M411" i="7" s="1"/>
  <c r="M412" i="7" s="1"/>
  <c r="M413" i="7" s="1"/>
  <c r="M414" i="7" s="1"/>
  <c r="M415" i="7" s="1"/>
  <c r="M416" i="7" s="1"/>
  <c r="M417" i="7" s="1"/>
  <c r="M418" i="7" s="1"/>
  <c r="M419" i="7" s="1"/>
  <c r="M420" i="7" s="1"/>
  <c r="M421" i="7" s="1"/>
  <c r="M422" i="7" s="1"/>
  <c r="M423" i="7" s="1"/>
  <c r="M424" i="7" s="1"/>
  <c r="M425" i="7" s="1"/>
  <c r="M426" i="7" s="1"/>
  <c r="M427" i="7" s="1"/>
  <c r="M428" i="7" s="1"/>
  <c r="M429" i="7" s="1"/>
  <c r="M430" i="7" s="1"/>
  <c r="M431" i="7" s="1"/>
  <c r="M432" i="7" s="1"/>
  <c r="M433" i="7" s="1"/>
  <c r="M434" i="7" s="1"/>
  <c r="M435" i="7" s="1"/>
  <c r="M436" i="7" s="1"/>
  <c r="M437" i="7" s="1"/>
  <c r="M438" i="7" s="1"/>
  <c r="M439" i="7" s="1"/>
  <c r="M440" i="7" s="1"/>
  <c r="M441" i="7" s="1"/>
  <c r="M442" i="7" s="1"/>
  <c r="M443" i="7" s="1"/>
  <c r="M444" i="7" s="1"/>
  <c r="M445" i="7" s="1"/>
  <c r="M446" i="7" s="1"/>
  <c r="M447" i="7" s="1"/>
  <c r="M448" i="7" s="1"/>
  <c r="M449" i="7" s="1"/>
  <c r="M450" i="7" s="1"/>
  <c r="M451" i="7" s="1"/>
  <c r="M452" i="7" s="1"/>
  <c r="M453" i="7" s="1"/>
  <c r="M454" i="7" s="1"/>
  <c r="M455" i="7" s="1"/>
  <c r="M456" i="7" s="1"/>
  <c r="M457" i="7" s="1"/>
  <c r="M458" i="7" s="1"/>
  <c r="M459" i="7" s="1"/>
  <c r="M460" i="7" s="1"/>
  <c r="M461" i="7" s="1"/>
  <c r="M462" i="7" s="1"/>
  <c r="M463" i="7" s="1"/>
  <c r="M464" i="7" s="1"/>
  <c r="M465" i="7" s="1"/>
  <c r="M466" i="7" s="1"/>
  <c r="M467" i="7" s="1"/>
  <c r="M468" i="7" s="1"/>
  <c r="M469" i="7" s="1"/>
  <c r="M470" i="7" s="1"/>
  <c r="M471" i="7" s="1"/>
  <c r="M472" i="7" s="1"/>
  <c r="M473" i="7" s="1"/>
  <c r="M474" i="7" s="1"/>
  <c r="M475" i="7" s="1"/>
  <c r="M476" i="7" s="1"/>
  <c r="M477" i="7" s="1"/>
  <c r="M478" i="7" s="1"/>
  <c r="M479" i="7" s="1"/>
  <c r="M480" i="7" s="1"/>
  <c r="M481" i="7" s="1"/>
  <c r="M482" i="7" s="1"/>
  <c r="M483" i="7" s="1"/>
  <c r="M484" i="7" s="1"/>
  <c r="M485" i="7" s="1"/>
  <c r="M486" i="7" s="1"/>
  <c r="M487" i="7" s="1"/>
  <c r="M488" i="7" s="1"/>
  <c r="M489" i="7" s="1"/>
  <c r="M490" i="7" s="1"/>
  <c r="M491" i="7" s="1"/>
  <c r="M492" i="7" s="1"/>
  <c r="M493" i="7" s="1"/>
  <c r="M494" i="7" s="1"/>
  <c r="M495" i="7" s="1"/>
  <c r="M496" i="7" s="1"/>
  <c r="M497" i="7" s="1"/>
  <c r="M498" i="7" s="1"/>
  <c r="M499" i="7" s="1"/>
  <c r="M500" i="7" s="1"/>
  <c r="M501" i="7" s="1"/>
  <c r="M502" i="7" s="1"/>
  <c r="M503" i="7" s="1"/>
  <c r="M504" i="7" s="1"/>
  <c r="M505" i="7" s="1"/>
  <c r="M506" i="7" s="1"/>
  <c r="M507" i="7" s="1"/>
  <c r="M508" i="7" s="1"/>
  <c r="M509" i="7" s="1"/>
  <c r="M510" i="7" s="1"/>
  <c r="M511" i="7" s="1"/>
  <c r="M512" i="7" s="1"/>
  <c r="M513" i="7" s="1"/>
  <c r="M514" i="7" s="1"/>
  <c r="M515" i="7" s="1"/>
  <c r="M516" i="7" s="1"/>
  <c r="M517" i="7" s="1"/>
  <c r="M518" i="7" s="1"/>
  <c r="M519" i="7" s="1"/>
  <c r="M520" i="7" s="1"/>
  <c r="M521" i="7" s="1"/>
  <c r="M522" i="7" s="1"/>
  <c r="M523" i="7" s="1"/>
  <c r="M524" i="7" s="1"/>
  <c r="M525" i="7" s="1"/>
  <c r="M526" i="7" s="1"/>
  <c r="M527" i="7" s="1"/>
  <c r="M528" i="7" s="1"/>
  <c r="M529" i="7" s="1"/>
  <c r="M530" i="7" s="1"/>
  <c r="M531" i="7" s="1"/>
  <c r="M532" i="7" s="1"/>
  <c r="M533" i="7" s="1"/>
  <c r="M534" i="7" s="1"/>
  <c r="M535" i="7" s="1"/>
  <c r="M536" i="7" s="1"/>
  <c r="M537" i="7" s="1"/>
  <c r="M538" i="7" s="1"/>
  <c r="M539" i="7" s="1"/>
  <c r="M540" i="7" s="1"/>
  <c r="M541" i="7" s="1"/>
  <c r="M542" i="7" s="1"/>
  <c r="M543" i="7" s="1"/>
  <c r="M544" i="7" s="1"/>
  <c r="M545" i="7" s="1"/>
  <c r="M546" i="7" s="1"/>
  <c r="M547" i="7" s="1"/>
  <c r="M548" i="7" s="1"/>
  <c r="M549" i="7" s="1"/>
  <c r="M550" i="7" s="1"/>
  <c r="M551" i="7" s="1"/>
  <c r="M552" i="7" s="1"/>
  <c r="M553" i="7" s="1"/>
  <c r="M554" i="7" s="1"/>
  <c r="M555" i="7" s="1"/>
  <c r="M556" i="7" s="1"/>
  <c r="M557" i="7" s="1"/>
  <c r="M558" i="7" s="1"/>
  <c r="M559" i="7" s="1"/>
  <c r="M560" i="7" s="1"/>
  <c r="M561" i="7" s="1"/>
  <c r="M562" i="7" s="1"/>
  <c r="M563" i="7" s="1"/>
  <c r="M564" i="7" s="1"/>
  <c r="M565" i="7" s="1"/>
  <c r="M566" i="7" s="1"/>
  <c r="M567" i="7" s="1"/>
  <c r="M568" i="7" s="1"/>
  <c r="M569" i="7" s="1"/>
  <c r="M570" i="7" s="1"/>
  <c r="M571" i="7" s="1"/>
  <c r="M572" i="7" s="1"/>
  <c r="M573" i="7" s="1"/>
  <c r="M574" i="7" s="1"/>
  <c r="M575" i="7" s="1"/>
  <c r="M576" i="7" s="1"/>
  <c r="M577" i="7" s="1"/>
  <c r="M578" i="7" s="1"/>
  <c r="M579" i="7" s="1"/>
  <c r="M580" i="7" s="1"/>
  <c r="M581" i="7" s="1"/>
  <c r="M582" i="7" s="1"/>
  <c r="M583" i="7" s="1"/>
  <c r="M584" i="7" s="1"/>
  <c r="M585" i="7" s="1"/>
  <c r="M586" i="7" s="1"/>
  <c r="M587" i="7" s="1"/>
  <c r="M588" i="7" s="1"/>
  <c r="M589" i="7" s="1"/>
  <c r="M590" i="7" s="1"/>
  <c r="M591" i="7" s="1"/>
  <c r="M592" i="7" s="1"/>
  <c r="M593" i="7" s="1"/>
  <c r="M594" i="7" s="1"/>
  <c r="M595" i="7" s="1"/>
  <c r="M596" i="7" s="1"/>
  <c r="M597" i="7" s="1"/>
  <c r="M598" i="7" s="1"/>
  <c r="M599" i="7" s="1"/>
  <c r="M600" i="7" s="1"/>
  <c r="M601" i="7" s="1"/>
  <c r="M602" i="7" s="1"/>
  <c r="M603" i="7" s="1"/>
  <c r="M604" i="7" s="1"/>
  <c r="M605" i="7" s="1"/>
  <c r="M606" i="7" s="1"/>
  <c r="M607" i="7" s="1"/>
  <c r="M608" i="7" s="1"/>
  <c r="M609" i="7" s="1"/>
  <c r="M610" i="7" s="1"/>
  <c r="M611" i="7" s="1"/>
  <c r="M612" i="7" s="1"/>
  <c r="M613" i="7" s="1"/>
  <c r="M614" i="7" s="1"/>
  <c r="M615" i="7" s="1"/>
  <c r="M616" i="7" s="1"/>
  <c r="M617" i="7" s="1"/>
  <c r="M618" i="7" s="1"/>
  <c r="M619" i="7" s="1"/>
  <c r="M620" i="7" s="1"/>
  <c r="M621" i="7" s="1"/>
  <c r="M622" i="7" s="1"/>
  <c r="M623" i="7" s="1"/>
  <c r="M624" i="7" s="1"/>
  <c r="M625" i="7" s="1"/>
  <c r="M626" i="7" s="1"/>
  <c r="M627" i="7" s="1"/>
  <c r="M628" i="7" s="1"/>
  <c r="M629" i="7" s="1"/>
  <c r="M630" i="7" s="1"/>
  <c r="M631" i="7" s="1"/>
  <c r="M632" i="7" s="1"/>
  <c r="M633" i="7" s="1"/>
  <c r="M634" i="7" s="1"/>
  <c r="M635" i="7" s="1"/>
  <c r="M636" i="7" s="1"/>
  <c r="M637" i="7" s="1"/>
  <c r="M638" i="7" s="1"/>
  <c r="M639" i="7" s="1"/>
  <c r="M640" i="7" s="1"/>
  <c r="M641" i="7" s="1"/>
  <c r="M642" i="7" s="1"/>
  <c r="M643" i="7" s="1"/>
  <c r="M644" i="7" s="1"/>
  <c r="M645" i="7" s="1"/>
  <c r="M646" i="7" s="1"/>
  <c r="M647" i="7" s="1"/>
  <c r="M648" i="7" s="1"/>
  <c r="M649" i="7" s="1"/>
  <c r="M650" i="7" s="1"/>
  <c r="M651" i="7" s="1"/>
  <c r="M652" i="7" s="1"/>
  <c r="M653" i="7" s="1"/>
  <c r="M654" i="7" s="1"/>
  <c r="M655" i="7" s="1"/>
  <c r="M656" i="7" s="1"/>
  <c r="M657" i="7" s="1"/>
  <c r="M658" i="7" s="1"/>
  <c r="M659" i="7" s="1"/>
  <c r="M660" i="7" s="1"/>
  <c r="M661" i="7" s="1"/>
  <c r="M662" i="7" s="1"/>
  <c r="M663" i="7" s="1"/>
  <c r="M664" i="7" s="1"/>
  <c r="M665" i="7" s="1"/>
  <c r="M666" i="7" s="1"/>
  <c r="M667" i="7" s="1"/>
  <c r="M668" i="7" s="1"/>
  <c r="M669" i="7" s="1"/>
  <c r="M670" i="7" s="1"/>
  <c r="M671" i="7" s="1"/>
  <c r="M672" i="7" s="1"/>
  <c r="M673" i="7" s="1"/>
  <c r="M674" i="7" s="1"/>
  <c r="M675" i="7" s="1"/>
  <c r="M676" i="7" s="1"/>
  <c r="M677" i="7" s="1"/>
  <c r="M678" i="7" s="1"/>
  <c r="M679" i="7" s="1"/>
  <c r="M680" i="7" s="1"/>
  <c r="M681" i="7" s="1"/>
  <c r="M682" i="7" s="1"/>
  <c r="M683" i="7" s="1"/>
  <c r="M684" i="7" s="1"/>
  <c r="M685" i="7" s="1"/>
  <c r="M686" i="7" s="1"/>
  <c r="M687" i="7" s="1"/>
  <c r="M688" i="7" s="1"/>
  <c r="M689" i="7" s="1"/>
  <c r="M690" i="7" s="1"/>
  <c r="M691" i="7" s="1"/>
  <c r="M692" i="7" s="1"/>
  <c r="M693" i="7" s="1"/>
  <c r="M694" i="7" s="1"/>
  <c r="M695" i="7" s="1"/>
  <c r="M696" i="7" s="1"/>
  <c r="M697" i="7" s="1"/>
  <c r="M698" i="7" s="1"/>
  <c r="M699" i="7" s="1"/>
  <c r="M700" i="7" s="1"/>
  <c r="M701" i="7" s="1"/>
  <c r="M702" i="7" s="1"/>
  <c r="M703" i="7" s="1"/>
  <c r="M704" i="7" s="1"/>
  <c r="M705" i="7" s="1"/>
  <c r="M706" i="7" s="1"/>
  <c r="M707" i="7" s="1"/>
  <c r="M708" i="7" s="1"/>
  <c r="M709" i="7" s="1"/>
  <c r="M710" i="7" s="1"/>
  <c r="M711" i="7" s="1"/>
  <c r="M712" i="7" s="1"/>
  <c r="M713" i="7" s="1"/>
  <c r="M714" i="7" s="1"/>
  <c r="M715" i="7" s="1"/>
  <c r="M716" i="7" s="1"/>
  <c r="M717" i="7" s="1"/>
  <c r="M718" i="7" s="1"/>
  <c r="M719" i="7" s="1"/>
  <c r="M720" i="7" s="1"/>
  <c r="M721" i="7" s="1"/>
  <c r="M722" i="7" s="1"/>
  <c r="M723" i="7" s="1"/>
  <c r="M724" i="7" s="1"/>
  <c r="M725" i="7" s="1"/>
  <c r="M726" i="7" s="1"/>
  <c r="M727" i="7" s="1"/>
  <c r="M728" i="7" s="1"/>
  <c r="M729" i="7" s="1"/>
  <c r="M730" i="7" s="1"/>
  <c r="M731" i="7" s="1"/>
  <c r="M732" i="7" s="1"/>
  <c r="M733" i="7" s="1"/>
  <c r="M734" i="7" s="1"/>
  <c r="M735" i="7" s="1"/>
  <c r="M736" i="7" s="1"/>
  <c r="M737" i="7" s="1"/>
  <c r="M738" i="7" s="1"/>
  <c r="M739" i="7" s="1"/>
  <c r="M740" i="7" s="1"/>
  <c r="M741" i="7" s="1"/>
  <c r="M742" i="7" s="1"/>
  <c r="M743" i="7" s="1"/>
  <c r="M744" i="7" s="1"/>
  <c r="M745" i="7" s="1"/>
  <c r="M746" i="7" s="1"/>
  <c r="M747" i="7" s="1"/>
  <c r="M748" i="7" s="1"/>
  <c r="M749" i="7" s="1"/>
  <c r="M750" i="7" s="1"/>
  <c r="M751" i="7" s="1"/>
  <c r="M752" i="7" s="1"/>
  <c r="M753" i="7" s="1"/>
  <c r="M754" i="7" s="1"/>
  <c r="M755" i="7" s="1"/>
  <c r="M756" i="7" s="1"/>
  <c r="M757" i="7" s="1"/>
  <c r="M758" i="7" s="1"/>
  <c r="M759" i="7" s="1"/>
  <c r="M760" i="7" s="1"/>
  <c r="M761" i="7" s="1"/>
  <c r="M762" i="7" s="1"/>
  <c r="M763" i="7" s="1"/>
  <c r="M764" i="7" s="1"/>
  <c r="M765" i="7" s="1"/>
  <c r="M766" i="7" s="1"/>
  <c r="M767" i="7" s="1"/>
  <c r="M768" i="7" s="1"/>
  <c r="M769" i="7" s="1"/>
  <c r="M770" i="7" s="1"/>
  <c r="M771" i="7" s="1"/>
  <c r="M772" i="7" s="1"/>
  <c r="M773" i="7" s="1"/>
  <c r="M774" i="7" s="1"/>
  <c r="M775" i="7" s="1"/>
  <c r="M776" i="7" s="1"/>
  <c r="M777" i="7" s="1"/>
  <c r="M778" i="7" s="1"/>
  <c r="M779" i="7" s="1"/>
  <c r="M780" i="7" s="1"/>
  <c r="M781" i="7" s="1"/>
  <c r="M782" i="7" s="1"/>
  <c r="M783" i="7" s="1"/>
  <c r="M784" i="7" s="1"/>
  <c r="M785" i="7" s="1"/>
  <c r="M786" i="7" s="1"/>
  <c r="M787" i="7" s="1"/>
  <c r="M788" i="7" s="1"/>
  <c r="M789" i="7" s="1"/>
  <c r="M790" i="7" s="1"/>
  <c r="M791" i="7" s="1"/>
  <c r="M792" i="7" s="1"/>
  <c r="M793" i="7" s="1"/>
  <c r="M794" i="7" s="1"/>
  <c r="M795" i="7" s="1"/>
  <c r="M796" i="7" s="1"/>
  <c r="M797" i="7" s="1"/>
  <c r="M798" i="7" s="1"/>
  <c r="M799" i="7" s="1"/>
  <c r="M800" i="7" s="1"/>
  <c r="M801" i="7" s="1"/>
  <c r="M802" i="7" s="1"/>
  <c r="M803" i="7" s="1"/>
  <c r="M804" i="7" s="1"/>
  <c r="M805" i="7" s="1"/>
  <c r="M806" i="7" s="1"/>
  <c r="M807" i="7" s="1"/>
  <c r="M808" i="7" s="1"/>
  <c r="M809" i="7" s="1"/>
  <c r="M810" i="7" s="1"/>
  <c r="M811" i="7" s="1"/>
  <c r="M812" i="7" s="1"/>
  <c r="M813" i="7" s="1"/>
  <c r="M814" i="7" s="1"/>
  <c r="M815" i="7" s="1"/>
  <c r="M816" i="7" s="1"/>
  <c r="M817" i="7" s="1"/>
  <c r="M818" i="7" s="1"/>
  <c r="M819" i="7" s="1"/>
  <c r="M820" i="7" s="1"/>
  <c r="M821" i="7" s="1"/>
  <c r="M822" i="7" s="1"/>
  <c r="M823" i="7" s="1"/>
  <c r="M824" i="7" s="1"/>
  <c r="M825" i="7" s="1"/>
  <c r="M826" i="7" s="1"/>
  <c r="M827" i="7" s="1"/>
  <c r="M828" i="7" s="1"/>
  <c r="M829" i="7" s="1"/>
  <c r="M830" i="7" s="1"/>
  <c r="M831" i="7" s="1"/>
  <c r="M832" i="7" s="1"/>
  <c r="M833" i="7" s="1"/>
  <c r="M834" i="7" s="1"/>
  <c r="M835" i="7" s="1"/>
  <c r="M836" i="7" s="1"/>
  <c r="M837" i="7" s="1"/>
  <c r="M838" i="7" s="1"/>
  <c r="M839" i="7" s="1"/>
  <c r="M840" i="7" s="1"/>
  <c r="M841" i="7" s="1"/>
  <c r="M842" i="7" s="1"/>
  <c r="M843" i="7" s="1"/>
  <c r="M844" i="7" s="1"/>
  <c r="M845" i="7" s="1"/>
  <c r="M846" i="7" s="1"/>
  <c r="M847" i="7" s="1"/>
  <c r="M848" i="7" s="1"/>
  <c r="M849" i="7" s="1"/>
  <c r="M850" i="7" s="1"/>
  <c r="M851" i="7" s="1"/>
  <c r="M852" i="7" s="1"/>
  <c r="M853" i="7" s="1"/>
  <c r="M854" i="7" s="1"/>
  <c r="M855" i="7" s="1"/>
  <c r="M856" i="7" s="1"/>
  <c r="M857" i="7" s="1"/>
  <c r="M858" i="7" s="1"/>
  <c r="M859" i="7" s="1"/>
  <c r="M860" i="7" s="1"/>
  <c r="M861" i="7" s="1"/>
  <c r="M862" i="7" s="1"/>
  <c r="M863" i="7" s="1"/>
  <c r="M864" i="7" s="1"/>
  <c r="M865" i="7" s="1"/>
  <c r="M866" i="7" s="1"/>
  <c r="M867" i="7" s="1"/>
  <c r="M868" i="7" s="1"/>
  <c r="M869" i="7" s="1"/>
  <c r="M870" i="7" s="1"/>
  <c r="M871" i="7" s="1"/>
  <c r="M872" i="7" s="1"/>
  <c r="M873" i="7" s="1"/>
  <c r="M874" i="7" s="1"/>
  <c r="M875" i="7" s="1"/>
  <c r="M876" i="7" s="1"/>
  <c r="M877" i="7" s="1"/>
  <c r="M878" i="7" s="1"/>
  <c r="M879" i="7" s="1"/>
  <c r="M880" i="7" s="1"/>
  <c r="M881" i="7" s="1"/>
  <c r="M882" i="7" s="1"/>
  <c r="M883" i="7" s="1"/>
  <c r="M884" i="7" s="1"/>
  <c r="M885" i="7" s="1"/>
  <c r="M886" i="7" s="1"/>
  <c r="M887" i="7" s="1"/>
  <c r="M888" i="7" s="1"/>
  <c r="M889" i="7" s="1"/>
  <c r="M890" i="7" s="1"/>
  <c r="M891" i="7" s="1"/>
  <c r="M892" i="7" s="1"/>
  <c r="M893" i="7" s="1"/>
  <c r="M894" i="7" s="1"/>
  <c r="M895" i="7" s="1"/>
  <c r="M896" i="7" s="1"/>
  <c r="M897" i="7" s="1"/>
  <c r="M898" i="7" s="1"/>
  <c r="M899" i="7" s="1"/>
  <c r="M900" i="7" s="1"/>
  <c r="M901" i="7" s="1"/>
  <c r="M902" i="7" s="1"/>
  <c r="M903" i="7" s="1"/>
  <c r="M904" i="7" s="1"/>
  <c r="M905" i="7" s="1"/>
  <c r="M906" i="7" s="1"/>
  <c r="M907" i="7" s="1"/>
  <c r="M908" i="7" s="1"/>
  <c r="M909" i="7" s="1"/>
  <c r="M910" i="7" s="1"/>
  <c r="M911" i="7" s="1"/>
  <c r="M912" i="7" s="1"/>
  <c r="M913" i="7" s="1"/>
  <c r="M914" i="7" s="1"/>
  <c r="M915" i="7" s="1"/>
  <c r="M916" i="7" s="1"/>
  <c r="M917" i="7" s="1"/>
  <c r="M918" i="7" s="1"/>
  <c r="M919" i="7" s="1"/>
  <c r="M920" i="7" s="1"/>
  <c r="M921" i="7" s="1"/>
  <c r="M922" i="7" s="1"/>
  <c r="M923" i="7" s="1"/>
  <c r="M924" i="7" s="1"/>
  <c r="M925" i="7" s="1"/>
  <c r="M926" i="7" s="1"/>
  <c r="M927" i="7" s="1"/>
  <c r="M928" i="7" s="1"/>
  <c r="M929" i="7" s="1"/>
  <c r="M930" i="7" s="1"/>
  <c r="M931" i="7" s="1"/>
  <c r="M932" i="7" s="1"/>
  <c r="M933" i="7" s="1"/>
  <c r="M934" i="7" s="1"/>
  <c r="M935" i="7" s="1"/>
  <c r="M936" i="7" s="1"/>
  <c r="M937" i="7" s="1"/>
  <c r="M938" i="7" s="1"/>
  <c r="M939" i="7" s="1"/>
  <c r="M940" i="7" s="1"/>
  <c r="M941" i="7" s="1"/>
  <c r="M942" i="7" s="1"/>
  <c r="M943" i="7" s="1"/>
  <c r="M944" i="7" s="1"/>
  <c r="M945" i="7" s="1"/>
  <c r="M946" i="7" s="1"/>
  <c r="M947" i="7" s="1"/>
  <c r="M948" i="7" s="1"/>
  <c r="M949" i="7" s="1"/>
  <c r="M950" i="7" s="1"/>
  <c r="M951" i="7" s="1"/>
  <c r="M952" i="7" s="1"/>
  <c r="M953" i="7" s="1"/>
  <c r="M954" i="7" s="1"/>
  <c r="M955" i="7" s="1"/>
  <c r="M956" i="7" s="1"/>
  <c r="M957" i="7" s="1"/>
  <c r="M958" i="7" s="1"/>
  <c r="M959" i="7" s="1"/>
  <c r="M960" i="7" s="1"/>
  <c r="M961" i="7" s="1"/>
  <c r="M962" i="7" s="1"/>
  <c r="M963" i="7" s="1"/>
  <c r="M964" i="7" s="1"/>
  <c r="M965" i="7" s="1"/>
  <c r="M966" i="7" s="1"/>
  <c r="M967" i="7" s="1"/>
  <c r="M968" i="7" s="1"/>
  <c r="M969" i="7" s="1"/>
  <c r="M970" i="7" s="1"/>
  <c r="M971" i="7" s="1"/>
  <c r="M972" i="7" s="1"/>
  <c r="M973" i="7" s="1"/>
  <c r="M974" i="7" s="1"/>
  <c r="M975" i="7" s="1"/>
  <c r="M976" i="7" s="1"/>
  <c r="M977" i="7" s="1"/>
  <c r="M978" i="7" s="1"/>
  <c r="M979" i="7" s="1"/>
  <c r="M980" i="7" s="1"/>
  <c r="M981" i="7" s="1"/>
  <c r="M982" i="7" s="1"/>
  <c r="M983" i="7" s="1"/>
  <c r="M984" i="7" s="1"/>
  <c r="M985" i="7" s="1"/>
  <c r="M986" i="7" s="1"/>
  <c r="M987" i="7" s="1"/>
  <c r="M988" i="7" s="1"/>
  <c r="M989" i="7" s="1"/>
  <c r="M990" i="7" s="1"/>
  <c r="M991" i="7" s="1"/>
  <c r="M992" i="7" s="1"/>
  <c r="M993" i="7" s="1"/>
  <c r="M994" i="7" s="1"/>
  <c r="M995" i="7" s="1"/>
  <c r="M996" i="7" s="1"/>
  <c r="M997" i="7" s="1"/>
  <c r="M998" i="7" s="1"/>
  <c r="M999" i="7" s="1"/>
  <c r="M1000" i="7" s="1"/>
  <c r="M1001" i="7" s="1"/>
  <c r="M1002" i="7" s="1"/>
  <c r="M1003" i="7" s="1"/>
  <c r="M1004" i="7" s="1"/>
  <c r="M1005" i="7" s="1"/>
  <c r="M1006" i="7" s="1"/>
  <c r="M1007" i="7" s="1"/>
  <c r="M1008" i="7" s="1"/>
  <c r="M1009" i="7" s="1"/>
  <c r="M1010" i="7" s="1"/>
  <c r="M1011" i="7" s="1"/>
  <c r="M1012" i="7" s="1"/>
  <c r="M1013" i="7" s="1"/>
  <c r="M1014" i="7" s="1"/>
  <c r="M1015" i="7" s="1"/>
  <c r="M1016" i="7" s="1"/>
  <c r="M1017" i="7" s="1"/>
  <c r="M1018" i="7" s="1"/>
  <c r="M1019" i="7" s="1"/>
  <c r="M1020" i="7" s="1"/>
  <c r="M1021" i="7" s="1"/>
  <c r="M1022" i="7" s="1"/>
  <c r="M1023" i="7" s="1"/>
  <c r="M1024" i="7" s="1"/>
  <c r="M1025" i="7" s="1"/>
  <c r="M1026" i="7" s="1"/>
  <c r="M1027" i="7" s="1"/>
  <c r="M1028" i="7" s="1"/>
  <c r="M1029" i="7" s="1"/>
  <c r="M1030" i="7" s="1"/>
  <c r="M1031" i="7" s="1"/>
  <c r="M1032" i="7" s="1"/>
  <c r="M1033" i="7" s="1"/>
  <c r="M1034" i="7" s="1"/>
  <c r="M1035" i="7" s="1"/>
  <c r="M1036" i="7" s="1"/>
  <c r="M1037" i="7" s="1"/>
  <c r="M1038" i="7" s="1"/>
  <c r="M1039" i="7" s="1"/>
  <c r="M1040" i="7" s="1"/>
  <c r="M1041" i="7" s="1"/>
  <c r="M1042" i="7" s="1"/>
  <c r="M1043" i="7" s="1"/>
  <c r="M1044" i="7" s="1"/>
  <c r="M1045" i="7" s="1"/>
  <c r="M1046" i="7" s="1"/>
  <c r="M1047" i="7" s="1"/>
  <c r="M1048" i="7" s="1"/>
  <c r="M1049" i="7" s="1"/>
  <c r="M1050" i="7" s="1"/>
  <c r="M1051" i="7" s="1"/>
  <c r="M1052" i="7" s="1"/>
  <c r="M1053" i="7" s="1"/>
  <c r="M1054" i="7" s="1"/>
  <c r="M1055" i="7" s="1"/>
  <c r="M1056" i="7" s="1"/>
  <c r="M1057" i="7" s="1"/>
  <c r="M1058" i="7" s="1"/>
  <c r="M1059" i="7" s="1"/>
  <c r="M1060" i="7" s="1"/>
  <c r="M1061" i="7" s="1"/>
  <c r="M1062" i="7" s="1"/>
  <c r="M1063" i="7" s="1"/>
  <c r="M1064" i="7" s="1"/>
  <c r="M1065" i="7" s="1"/>
  <c r="M1066" i="7" s="1"/>
  <c r="M1067" i="7" s="1"/>
  <c r="M1068" i="7" s="1"/>
  <c r="M1069" i="7" s="1"/>
  <c r="M1070" i="7" s="1"/>
  <c r="M1071" i="7" s="1"/>
  <c r="M1072" i="7" s="1"/>
  <c r="M1073" i="7" s="1"/>
  <c r="M1074" i="7" s="1"/>
  <c r="M1075" i="7" s="1"/>
  <c r="M1076" i="7" s="1"/>
  <c r="M1077" i="7" s="1"/>
  <c r="M1078" i="7" s="1"/>
  <c r="M1079" i="7" s="1"/>
  <c r="M1080" i="7" s="1"/>
  <c r="M1081" i="7" s="1"/>
  <c r="M1082" i="7" s="1"/>
  <c r="M1083" i="7" s="1"/>
  <c r="M1084" i="7" s="1"/>
  <c r="M1085" i="7" s="1"/>
  <c r="M1086" i="7" s="1"/>
  <c r="M1087" i="7" s="1"/>
  <c r="M1088" i="7" s="1"/>
  <c r="M1089" i="7" s="1"/>
  <c r="M1090" i="7" s="1"/>
  <c r="M1091" i="7" s="1"/>
  <c r="M1092" i="7" s="1"/>
  <c r="M1093" i="7" s="1"/>
  <c r="M1094" i="7" s="1"/>
  <c r="M1095" i="7" s="1"/>
  <c r="M1096" i="7" s="1"/>
  <c r="M1097" i="7" s="1"/>
  <c r="M1098" i="7" s="1"/>
  <c r="M1099" i="7" s="1"/>
  <c r="M1100" i="7" s="1"/>
  <c r="M1101" i="7" s="1"/>
  <c r="M1102" i="7" s="1"/>
  <c r="M1103" i="7" s="1"/>
  <c r="M1104" i="7" s="1"/>
  <c r="M1105" i="7" s="1"/>
  <c r="M1106" i="7" s="1"/>
  <c r="M1107" i="7" s="1"/>
  <c r="M1108" i="7" s="1"/>
  <c r="M1109" i="7" s="1"/>
  <c r="M1110" i="7" s="1"/>
  <c r="M1111" i="7" s="1"/>
  <c r="M1112" i="7" s="1"/>
  <c r="M1113" i="7" s="1"/>
  <c r="M1114" i="7" s="1"/>
  <c r="M1115" i="7" s="1"/>
  <c r="M1116" i="7" s="1"/>
  <c r="M1117" i="7" s="1"/>
  <c r="M1118" i="7" s="1"/>
  <c r="M1119" i="7" s="1"/>
  <c r="M1120" i="7" s="1"/>
  <c r="M1121" i="7" s="1"/>
  <c r="M1122" i="7" s="1"/>
  <c r="M1123" i="7" s="1"/>
  <c r="M1124" i="7" s="1"/>
  <c r="M1125" i="7" s="1"/>
  <c r="M1126" i="7" s="1"/>
  <c r="M1127" i="7" s="1"/>
  <c r="M1128" i="7" s="1"/>
  <c r="M1129" i="7" s="1"/>
  <c r="M1130" i="7" s="1"/>
  <c r="M1131" i="7" s="1"/>
  <c r="M1132" i="7" s="1"/>
  <c r="M1133" i="7" s="1"/>
  <c r="M1134" i="7" s="1"/>
  <c r="M1135" i="7" s="1"/>
  <c r="M1136" i="7" s="1"/>
  <c r="M1137" i="7" s="1"/>
  <c r="M1138" i="7" s="1"/>
  <c r="M1139" i="7" s="1"/>
  <c r="M1140" i="7" s="1"/>
  <c r="M1141" i="7" s="1"/>
  <c r="M1142" i="7" s="1"/>
  <c r="M1143" i="7" s="1"/>
  <c r="M1144" i="7" s="1"/>
  <c r="M1145" i="7" s="1"/>
  <c r="M1146" i="7" s="1"/>
  <c r="M1147" i="7" s="1"/>
  <c r="M1148" i="7" s="1"/>
  <c r="M1149" i="7" s="1"/>
  <c r="M1150" i="7" s="1"/>
  <c r="M1151" i="7" s="1"/>
  <c r="M1152" i="7" s="1"/>
  <c r="M1153" i="7" s="1"/>
  <c r="M1154" i="7" s="1"/>
  <c r="M1155" i="7" s="1"/>
  <c r="M1156" i="7" s="1"/>
  <c r="M1157" i="7" s="1"/>
  <c r="M1158" i="7" s="1"/>
  <c r="M1159" i="7" s="1"/>
  <c r="M1160" i="7" s="1"/>
  <c r="M1161" i="7" s="1"/>
  <c r="M1162" i="7" s="1"/>
  <c r="M1163" i="7" s="1"/>
  <c r="M1164" i="7" s="1"/>
  <c r="M1165" i="7" s="1"/>
  <c r="M1166" i="7" s="1"/>
  <c r="M1167" i="7" s="1"/>
  <c r="M1168" i="7" s="1"/>
  <c r="M1169" i="7" s="1"/>
  <c r="M1170" i="7" s="1"/>
  <c r="M1171" i="7" s="1"/>
  <c r="M1172" i="7" s="1"/>
  <c r="M1173" i="7" s="1"/>
  <c r="M1174" i="7" s="1"/>
  <c r="M1175" i="7" s="1"/>
  <c r="M1176" i="7" s="1"/>
  <c r="M1177" i="7" s="1"/>
  <c r="M1178" i="7" s="1"/>
  <c r="M1179" i="7" s="1"/>
  <c r="M1180" i="7" s="1"/>
  <c r="M1181" i="7" s="1"/>
  <c r="M1182" i="7" s="1"/>
  <c r="M1183" i="7" s="1"/>
  <c r="M1184" i="7" s="1"/>
  <c r="M1185" i="7" s="1"/>
  <c r="M1186" i="7" s="1"/>
  <c r="M1187" i="7" s="1"/>
  <c r="M1188" i="7" s="1"/>
  <c r="M1189" i="7" s="1"/>
  <c r="M1190" i="7" s="1"/>
  <c r="M1191" i="7" s="1"/>
  <c r="M1192" i="7" s="1"/>
  <c r="M1193" i="7" s="1"/>
  <c r="M1194" i="7" s="1"/>
  <c r="M1195" i="7" s="1"/>
  <c r="M1196" i="7" s="1"/>
  <c r="M1197" i="7" s="1"/>
  <c r="M1198" i="7" s="1"/>
  <c r="M1199" i="7" s="1"/>
  <c r="M1200" i="7" s="1"/>
  <c r="M1201" i="7" s="1"/>
  <c r="M1202" i="7" s="1"/>
  <c r="M1203" i="7" s="1"/>
  <c r="M1204" i="7" s="1"/>
  <c r="M1205" i="7" s="1"/>
  <c r="M1206" i="7" s="1"/>
  <c r="M1207" i="7" s="1"/>
  <c r="M1208" i="7" s="1"/>
  <c r="M1209" i="7" s="1"/>
  <c r="M1210" i="7" s="1"/>
  <c r="M1211" i="7" s="1"/>
  <c r="M1212" i="7" s="1"/>
  <c r="M1213" i="7" s="1"/>
  <c r="M1214" i="7" s="1"/>
  <c r="M1215" i="7" s="1"/>
  <c r="M1216" i="7" s="1"/>
  <c r="M1217" i="7" s="1"/>
  <c r="M1218" i="7" s="1"/>
  <c r="M1219" i="7" s="1"/>
  <c r="M1220" i="7" s="1"/>
  <c r="M1221" i="7" s="1"/>
  <c r="M1222" i="7" s="1"/>
  <c r="M1223" i="7" s="1"/>
  <c r="M1224" i="7" s="1"/>
  <c r="M1225" i="7" s="1"/>
  <c r="M1226" i="7" s="1"/>
  <c r="M1227" i="7" s="1"/>
  <c r="M1228" i="7" s="1"/>
  <c r="M1229" i="7" s="1"/>
  <c r="M1230" i="7" s="1"/>
  <c r="M1231" i="7" s="1"/>
  <c r="M1232" i="7" s="1"/>
  <c r="M1233" i="7" s="1"/>
  <c r="M1234" i="7" s="1"/>
  <c r="M1235" i="7" s="1"/>
  <c r="M1236" i="7" s="1"/>
  <c r="M1237" i="7" s="1"/>
  <c r="M1238" i="7" s="1"/>
  <c r="M1239" i="7" s="1"/>
  <c r="M1240" i="7" s="1"/>
  <c r="M1241" i="7" s="1"/>
  <c r="M1242" i="7" s="1"/>
  <c r="M1243" i="7" s="1"/>
  <c r="M1244" i="7" s="1"/>
  <c r="M1245" i="7" s="1"/>
  <c r="M1246" i="7" s="1"/>
  <c r="M1247" i="7" s="1"/>
  <c r="M1248" i="7" s="1"/>
  <c r="M1249" i="7" s="1"/>
  <c r="M1250" i="7" s="1"/>
  <c r="M1251" i="7" s="1"/>
  <c r="M1252" i="7" s="1"/>
  <c r="M1253" i="7" s="1"/>
  <c r="M1254" i="7" s="1"/>
  <c r="M1255" i="7" s="1"/>
  <c r="M1256" i="7" s="1"/>
  <c r="M1257" i="7" s="1"/>
  <c r="M1258" i="7" s="1"/>
  <c r="M1259" i="7" s="1"/>
  <c r="M1260" i="7" s="1"/>
  <c r="M1261" i="7" s="1"/>
  <c r="M1262" i="7" s="1"/>
  <c r="M1263" i="7" s="1"/>
  <c r="M1264" i="7" s="1"/>
  <c r="M1265" i="7" s="1"/>
  <c r="M1266" i="7" s="1"/>
  <c r="M1267" i="7" s="1"/>
  <c r="M1268" i="7" s="1"/>
  <c r="M1269" i="7" s="1"/>
  <c r="M1270" i="7" s="1"/>
  <c r="M1271" i="7" s="1"/>
  <c r="M1272" i="7" s="1"/>
  <c r="M1273" i="7" s="1"/>
  <c r="M1274" i="7" s="1"/>
  <c r="M1275" i="7" s="1"/>
  <c r="M1276" i="7" s="1"/>
  <c r="M1277" i="7" s="1"/>
  <c r="M1278" i="7" s="1"/>
  <c r="M1279" i="7" s="1"/>
  <c r="M1280" i="7" s="1"/>
  <c r="M1281" i="7" s="1"/>
  <c r="M1282" i="7" s="1"/>
  <c r="M1283" i="7" s="1"/>
  <c r="M1284" i="7" s="1"/>
  <c r="M1285" i="7" s="1"/>
  <c r="M1286" i="7" s="1"/>
  <c r="M1287" i="7" s="1"/>
  <c r="M1288" i="7" s="1"/>
  <c r="M1289" i="7" s="1"/>
  <c r="M1290" i="7" s="1"/>
  <c r="M1291" i="7" s="1"/>
  <c r="M1292" i="7" s="1"/>
  <c r="M1293" i="7" s="1"/>
  <c r="M1294" i="7" s="1"/>
  <c r="M1295" i="7" s="1"/>
  <c r="M1296" i="7" s="1"/>
  <c r="M1297" i="7" s="1"/>
  <c r="M1298" i="7" s="1"/>
  <c r="M1299" i="7" s="1"/>
  <c r="M1300" i="7" s="1"/>
  <c r="M1301" i="7" s="1"/>
  <c r="M1302" i="7" s="1"/>
  <c r="M1303" i="7" s="1"/>
  <c r="M1304" i="7" s="1"/>
  <c r="M1305" i="7" s="1"/>
  <c r="M1306" i="7" s="1"/>
  <c r="M1307" i="7" s="1"/>
  <c r="M1308" i="7" s="1"/>
  <c r="M1309" i="7" s="1"/>
  <c r="M1310" i="7" s="1"/>
  <c r="M1311" i="7" s="1"/>
  <c r="M1312" i="7" s="1"/>
  <c r="M1313" i="7" s="1"/>
  <c r="M1314" i="7" s="1"/>
  <c r="M1315" i="7" s="1"/>
  <c r="M1316" i="7" s="1"/>
  <c r="M1317" i="7" s="1"/>
  <c r="M1318" i="7" s="1"/>
  <c r="M1319" i="7" s="1"/>
  <c r="M1320" i="7" s="1"/>
  <c r="M1321" i="7" s="1"/>
  <c r="M1322" i="7" s="1"/>
  <c r="M1323" i="7" s="1"/>
  <c r="M1324" i="7" s="1"/>
  <c r="M1325" i="7" s="1"/>
  <c r="M1326" i="7" s="1"/>
  <c r="M1327" i="7" s="1"/>
  <c r="M1328" i="7" s="1"/>
  <c r="M1329" i="7" s="1"/>
  <c r="M1330" i="7" s="1"/>
  <c r="M1331" i="7" s="1"/>
  <c r="M1332" i="7" s="1"/>
  <c r="M1333" i="7" s="1"/>
  <c r="M1334" i="7" s="1"/>
  <c r="M1335" i="7" s="1"/>
  <c r="M1336" i="7" s="1"/>
  <c r="M1337" i="7" s="1"/>
  <c r="M1338" i="7" s="1"/>
  <c r="M1339" i="7" s="1"/>
  <c r="M1340" i="7" s="1"/>
  <c r="M1341" i="7" s="1"/>
  <c r="M1342" i="7" s="1"/>
  <c r="M1343" i="7" s="1"/>
  <c r="M1344" i="7" s="1"/>
  <c r="M1345" i="7" s="1"/>
  <c r="M1346" i="7" s="1"/>
  <c r="M1347" i="7" s="1"/>
  <c r="M1348" i="7" s="1"/>
  <c r="M1349" i="7" s="1"/>
  <c r="M1350" i="7" s="1"/>
  <c r="M1351" i="7" s="1"/>
  <c r="M1352" i="7" s="1"/>
  <c r="M1353" i="7" s="1"/>
  <c r="M1354" i="7" s="1"/>
  <c r="M1355" i="7" s="1"/>
  <c r="M1356" i="7" s="1"/>
  <c r="M1357" i="7" s="1"/>
  <c r="M1358" i="7" s="1"/>
  <c r="M1359" i="7" s="1"/>
  <c r="M1360" i="7" s="1"/>
  <c r="M1361" i="7" s="1"/>
  <c r="M1362" i="7" s="1"/>
  <c r="M1363" i="7" s="1"/>
  <c r="M1364" i="7" s="1"/>
  <c r="M1365" i="7" s="1"/>
  <c r="M1366" i="7" s="1"/>
  <c r="M1367" i="7" s="1"/>
  <c r="M1368" i="7" s="1"/>
  <c r="M1369" i="7" s="1"/>
  <c r="M1370" i="7" s="1"/>
  <c r="M1371" i="7" s="1"/>
  <c r="M1372" i="7" s="1"/>
  <c r="M1373" i="7" s="1"/>
  <c r="M1374" i="7" s="1"/>
  <c r="M1375" i="7" s="1"/>
  <c r="M1376" i="7" s="1"/>
  <c r="M1377" i="7" s="1"/>
  <c r="M1378" i="7" s="1"/>
  <c r="M1379" i="7" s="1"/>
  <c r="M1380" i="7" s="1"/>
  <c r="M1381" i="7" s="1"/>
  <c r="M1382" i="7" s="1"/>
  <c r="M1383" i="7" s="1"/>
  <c r="M1384" i="7" s="1"/>
  <c r="M1385" i="7" s="1"/>
  <c r="M1386" i="7" s="1"/>
  <c r="M1387" i="7" s="1"/>
  <c r="M1388" i="7" s="1"/>
  <c r="M1389" i="7" s="1"/>
  <c r="M1390" i="7" s="1"/>
  <c r="M1391" i="7" s="1"/>
  <c r="M1392" i="7" s="1"/>
  <c r="M1393" i="7" s="1"/>
  <c r="M1394" i="7" s="1"/>
  <c r="M1395" i="7" s="1"/>
  <c r="M1396" i="7" s="1"/>
  <c r="M1397" i="7" s="1"/>
  <c r="M1398" i="7" s="1"/>
  <c r="M1399" i="7" s="1"/>
  <c r="M1400" i="7" s="1"/>
  <c r="M1401" i="7" s="1"/>
  <c r="M1402" i="7" s="1"/>
  <c r="M1403" i="7" s="1"/>
  <c r="M1404" i="7" s="1"/>
  <c r="M1405" i="7" s="1"/>
  <c r="M1406" i="7" s="1"/>
  <c r="M1407" i="7" s="1"/>
  <c r="M1408" i="7" s="1"/>
  <c r="M1409" i="7" s="1"/>
  <c r="M1410" i="7" s="1"/>
  <c r="M1411" i="7" s="1"/>
  <c r="M1412" i="7" s="1"/>
  <c r="M1413" i="7" s="1"/>
  <c r="M1414" i="7" s="1"/>
  <c r="M1415" i="7" s="1"/>
  <c r="M1416" i="7" s="1"/>
  <c r="M1417" i="7" s="1"/>
  <c r="M1418" i="7" s="1"/>
  <c r="M1419" i="7" s="1"/>
  <c r="M1420" i="7" s="1"/>
  <c r="M1421" i="7" s="1"/>
  <c r="M1422" i="7" s="1"/>
  <c r="M1423" i="7" s="1"/>
  <c r="M1424" i="7" s="1"/>
  <c r="M1425" i="7" s="1"/>
  <c r="M1426" i="7" s="1"/>
  <c r="M1427" i="7" s="1"/>
  <c r="M1428" i="7" s="1"/>
  <c r="M1429" i="7" s="1"/>
  <c r="M1430" i="7" s="1"/>
  <c r="M1431" i="7" s="1"/>
  <c r="M1432" i="7" s="1"/>
  <c r="M1433" i="7" s="1"/>
  <c r="M1434" i="7" s="1"/>
  <c r="M1435" i="7" s="1"/>
  <c r="M1436" i="7" s="1"/>
  <c r="M1437" i="7" s="1"/>
  <c r="M1438" i="7" s="1"/>
  <c r="M1439" i="7" s="1"/>
  <c r="M1440" i="7" s="1"/>
  <c r="M1441" i="7" s="1"/>
  <c r="M1442" i="7" s="1"/>
  <c r="M1443" i="7" s="1"/>
  <c r="M1444" i="7" s="1"/>
  <c r="M1445" i="7" s="1"/>
  <c r="M1446" i="7" s="1"/>
  <c r="M1447" i="7" s="1"/>
  <c r="M1448" i="7" s="1"/>
  <c r="M1449" i="7" s="1"/>
  <c r="M1450" i="7" s="1"/>
  <c r="M1451" i="7" s="1"/>
  <c r="M1452" i="7" s="1"/>
  <c r="M1453" i="7" s="1"/>
  <c r="M1454" i="7" s="1"/>
  <c r="M1455" i="7" s="1"/>
  <c r="M1456" i="7" s="1"/>
  <c r="M1457" i="7" s="1"/>
  <c r="M1458" i="7" s="1"/>
  <c r="M1459" i="7" s="1"/>
  <c r="M1460" i="7" s="1"/>
  <c r="M1461" i="7" s="1"/>
  <c r="M1462" i="7" s="1"/>
  <c r="M1463" i="7" s="1"/>
  <c r="M1464" i="7" s="1"/>
  <c r="M1465" i="7" s="1"/>
  <c r="M1466" i="7" s="1"/>
  <c r="M1467" i="7" s="1"/>
  <c r="M1468" i="7" s="1"/>
  <c r="M1469" i="7" s="1"/>
  <c r="M1470" i="7" s="1"/>
  <c r="M1471" i="7" s="1"/>
  <c r="M1472" i="7" s="1"/>
  <c r="M1473" i="7" s="1"/>
  <c r="M1474" i="7" s="1"/>
  <c r="M1475" i="7" s="1"/>
  <c r="M1476" i="7" s="1"/>
  <c r="M1477" i="7" s="1"/>
  <c r="M1478" i="7" s="1"/>
  <c r="M1479" i="7" s="1"/>
  <c r="M1480" i="7" s="1"/>
  <c r="M1481" i="7" s="1"/>
  <c r="M1482" i="7" s="1"/>
  <c r="M1483" i="7" s="1"/>
  <c r="M1484" i="7" s="1"/>
  <c r="M1485" i="7" s="1"/>
  <c r="M1486" i="7" s="1"/>
  <c r="M1487" i="7" s="1"/>
  <c r="M1488" i="7" s="1"/>
  <c r="M1489" i="7" s="1"/>
  <c r="M1490" i="7" s="1"/>
  <c r="M1491" i="7" s="1"/>
  <c r="M1492" i="7" s="1"/>
  <c r="M1493" i="7" s="1"/>
  <c r="M1494" i="7" s="1"/>
  <c r="M1495" i="7" s="1"/>
  <c r="M1496" i="7" s="1"/>
  <c r="M1497" i="7" s="1"/>
  <c r="M1498" i="7" s="1"/>
  <c r="M1499" i="7" s="1"/>
  <c r="M1500" i="7" s="1"/>
  <c r="M1501" i="7" s="1"/>
  <c r="M1502" i="7" s="1"/>
  <c r="M1503" i="7" s="1"/>
  <c r="M1504" i="7" s="1"/>
  <c r="M1505" i="7" s="1"/>
  <c r="M1506" i="7" s="1"/>
  <c r="M1507" i="7" s="1"/>
  <c r="M1508" i="7" s="1"/>
  <c r="M1509" i="7" s="1"/>
  <c r="M1510" i="7" s="1"/>
  <c r="M1511" i="7" s="1"/>
  <c r="M1512" i="7" s="1"/>
  <c r="M1513" i="7" s="1"/>
  <c r="M1514" i="7" s="1"/>
  <c r="M1515" i="7" s="1"/>
  <c r="M1516" i="7" s="1"/>
  <c r="M1517" i="7" s="1"/>
  <c r="M1518" i="7" s="1"/>
  <c r="M1519" i="7" s="1"/>
  <c r="M1520" i="7" s="1"/>
  <c r="M1521" i="7" s="1"/>
  <c r="M1522" i="7" s="1"/>
  <c r="M1523" i="7" s="1"/>
  <c r="M1524" i="7" s="1"/>
  <c r="M1525" i="7" s="1"/>
  <c r="M1526" i="7" s="1"/>
  <c r="M1527" i="7" s="1"/>
  <c r="M1528" i="7" s="1"/>
  <c r="M1529" i="7" s="1"/>
  <c r="M1530" i="7" s="1"/>
  <c r="M1531" i="7" s="1"/>
  <c r="M1532" i="7" s="1"/>
  <c r="M1533" i="7" s="1"/>
  <c r="M1534" i="7" s="1"/>
  <c r="M1535" i="7" s="1"/>
  <c r="M1536" i="7" s="1"/>
  <c r="M1537" i="7" s="1"/>
  <c r="M1538" i="7" s="1"/>
  <c r="M1539" i="7" s="1"/>
  <c r="M1540" i="7" s="1"/>
  <c r="M1541" i="7" s="1"/>
  <c r="M1542" i="7" s="1"/>
  <c r="M1543" i="7" s="1"/>
  <c r="M1544" i="7" s="1"/>
  <c r="M1545" i="7" s="1"/>
  <c r="M1546" i="7" s="1"/>
  <c r="M1547" i="7" s="1"/>
  <c r="M1548" i="7" s="1"/>
  <c r="M1549" i="7" s="1"/>
  <c r="M1550" i="7" s="1"/>
  <c r="M1551" i="7" s="1"/>
  <c r="M1552" i="7" s="1"/>
  <c r="M1553" i="7" s="1"/>
  <c r="M1554" i="7" s="1"/>
  <c r="M1555" i="7" s="1"/>
  <c r="M1556" i="7" s="1"/>
  <c r="M1557" i="7" s="1"/>
  <c r="M1558" i="7" s="1"/>
  <c r="M1559" i="7" s="1"/>
  <c r="M1560" i="7" s="1"/>
  <c r="M1561" i="7" s="1"/>
  <c r="M1562" i="7" s="1"/>
  <c r="M1563" i="7" s="1"/>
  <c r="M1564" i="7" s="1"/>
  <c r="M1565" i="7" s="1"/>
  <c r="M1566" i="7" s="1"/>
  <c r="M1567" i="7" s="1"/>
  <c r="M1568" i="7" s="1"/>
  <c r="M1569" i="7" s="1"/>
  <c r="M1570" i="7" s="1"/>
  <c r="M1571" i="7" s="1"/>
  <c r="M1572" i="7" s="1"/>
  <c r="M1573" i="7" s="1"/>
  <c r="M1574" i="7" s="1"/>
  <c r="M1575" i="7" s="1"/>
  <c r="M1576" i="7" s="1"/>
  <c r="M1577" i="7" s="1"/>
  <c r="M1578" i="7" s="1"/>
  <c r="M1579" i="7" s="1"/>
  <c r="M1580" i="7" s="1"/>
  <c r="M1581" i="7" s="1"/>
  <c r="M1582" i="7" s="1"/>
  <c r="M1583" i="7" s="1"/>
  <c r="M1584" i="7" s="1"/>
  <c r="M1585" i="7" s="1"/>
  <c r="M1586" i="7" s="1"/>
  <c r="M1587" i="7" s="1"/>
  <c r="M1588" i="7" s="1"/>
  <c r="M1589" i="7" s="1"/>
  <c r="M1590" i="7" s="1"/>
  <c r="M1591" i="7" s="1"/>
  <c r="M1592" i="7" s="1"/>
  <c r="M1593" i="7" s="1"/>
  <c r="M1594" i="7" s="1"/>
  <c r="M1595" i="7" s="1"/>
  <c r="M1596" i="7" s="1"/>
  <c r="M1597" i="7" s="1"/>
  <c r="M1598" i="7" s="1"/>
  <c r="M1599" i="7" s="1"/>
  <c r="M1600" i="7" s="1"/>
  <c r="M1601" i="7" s="1"/>
  <c r="M1602" i="7" s="1"/>
  <c r="M1603" i="7" s="1"/>
  <c r="M1604" i="7" s="1"/>
  <c r="M1605" i="7" s="1"/>
  <c r="M1606" i="7" s="1"/>
  <c r="M1607" i="7" s="1"/>
  <c r="M1608" i="7" s="1"/>
  <c r="M1609" i="7" s="1"/>
  <c r="M1610" i="7" s="1"/>
  <c r="M1611" i="7" s="1"/>
  <c r="M1612" i="7" s="1"/>
  <c r="M1613" i="7" s="1"/>
  <c r="M1614" i="7" s="1"/>
  <c r="M1615" i="7" s="1"/>
  <c r="M1616" i="7" s="1"/>
  <c r="M1617" i="7" s="1"/>
  <c r="M1618" i="7" s="1"/>
  <c r="M1619" i="7" s="1"/>
  <c r="M1620" i="7" s="1"/>
  <c r="M1621" i="7" s="1"/>
  <c r="M1622" i="7" s="1"/>
  <c r="M1623" i="7" s="1"/>
  <c r="M1624" i="7" s="1"/>
  <c r="M1625" i="7" s="1"/>
  <c r="M1626" i="7" s="1"/>
  <c r="M1627" i="7" s="1"/>
  <c r="M1628" i="7" s="1"/>
  <c r="M1629" i="7" s="1"/>
  <c r="M1630" i="7" s="1"/>
  <c r="M1631" i="7" s="1"/>
  <c r="M1632" i="7" s="1"/>
  <c r="M1633" i="7" s="1"/>
  <c r="M1634" i="7" s="1"/>
  <c r="M1635" i="7" s="1"/>
  <c r="M1636" i="7" s="1"/>
  <c r="M1637" i="7" s="1"/>
  <c r="M1638" i="7" s="1"/>
  <c r="M1639" i="7" s="1"/>
  <c r="M1640" i="7" s="1"/>
  <c r="M1641" i="7" s="1"/>
  <c r="M1642" i="7" s="1"/>
  <c r="M1643" i="7" s="1"/>
  <c r="M1644" i="7" s="1"/>
  <c r="M1645" i="7" s="1"/>
  <c r="M1646" i="7" s="1"/>
  <c r="M1647" i="7" s="1"/>
  <c r="M1648" i="7" s="1"/>
  <c r="M1649" i="7" s="1"/>
  <c r="M1650" i="7" s="1"/>
  <c r="M1651" i="7" s="1"/>
  <c r="M1652" i="7" s="1"/>
  <c r="M1653" i="7" s="1"/>
  <c r="M1654" i="7" s="1"/>
  <c r="M1655" i="7" s="1"/>
  <c r="M1656" i="7" s="1"/>
  <c r="M1657" i="7" s="1"/>
  <c r="M1658" i="7" s="1"/>
  <c r="M1659" i="7" s="1"/>
  <c r="M1660" i="7" s="1"/>
  <c r="M1661" i="7" s="1"/>
  <c r="M1662" i="7" s="1"/>
  <c r="M1663" i="7" s="1"/>
  <c r="M1664" i="7" s="1"/>
  <c r="M1665" i="7" s="1"/>
  <c r="M1666" i="7" s="1"/>
  <c r="M1667" i="7" s="1"/>
  <c r="M1668" i="7" s="1"/>
  <c r="M1669" i="7" s="1"/>
  <c r="M1670" i="7" s="1"/>
  <c r="M1671" i="7" s="1"/>
  <c r="M1672" i="7" s="1"/>
  <c r="M1673" i="7" s="1"/>
  <c r="M1674" i="7" s="1"/>
  <c r="M1675" i="7" s="1"/>
  <c r="M1676" i="7" s="1"/>
  <c r="M1677" i="7" s="1"/>
  <c r="M1678" i="7" s="1"/>
  <c r="M1679" i="7" s="1"/>
  <c r="M1680" i="7" s="1"/>
  <c r="M1681" i="7" s="1"/>
  <c r="M1682" i="7" s="1"/>
  <c r="M1683" i="7" s="1"/>
  <c r="M1684" i="7" s="1"/>
  <c r="M1685" i="7" s="1"/>
  <c r="M1686" i="7" s="1"/>
  <c r="M1687" i="7" s="1"/>
  <c r="M1688" i="7" s="1"/>
  <c r="M1689" i="7" s="1"/>
  <c r="M1690" i="7" s="1"/>
  <c r="M1691" i="7" s="1"/>
  <c r="M1692" i="7" s="1"/>
  <c r="M1693" i="7" s="1"/>
  <c r="M1694" i="7" s="1"/>
  <c r="M1695" i="7" s="1"/>
  <c r="M1696" i="7" s="1"/>
  <c r="M1697" i="7" s="1"/>
  <c r="M1698" i="7" s="1"/>
  <c r="M1699" i="7" s="1"/>
  <c r="M1700" i="7" s="1"/>
  <c r="M1701" i="7" s="1"/>
  <c r="M1702" i="7" s="1"/>
  <c r="M1703" i="7" s="1"/>
  <c r="M1704" i="7" s="1"/>
  <c r="M1705" i="7" s="1"/>
  <c r="M1706" i="7" s="1"/>
  <c r="M1707" i="7" s="1"/>
  <c r="M1708" i="7" s="1"/>
  <c r="M1709" i="7" s="1"/>
  <c r="M1710" i="7" s="1"/>
  <c r="M1711" i="7" s="1"/>
  <c r="M1712" i="7" s="1"/>
  <c r="M1713" i="7" s="1"/>
  <c r="M1714" i="7" s="1"/>
  <c r="M1715" i="7" s="1"/>
  <c r="M1716" i="7" s="1"/>
  <c r="M1717" i="7" s="1"/>
  <c r="M1718" i="7" s="1"/>
  <c r="M1719" i="7" s="1"/>
  <c r="M1720" i="7" s="1"/>
  <c r="M1721" i="7" s="1"/>
  <c r="M1722" i="7" s="1"/>
  <c r="M1723" i="7" s="1"/>
  <c r="M1724" i="7" s="1"/>
  <c r="M1725" i="7" s="1"/>
  <c r="M1726" i="7" s="1"/>
  <c r="M1727" i="7" s="1"/>
  <c r="M1728" i="7" s="1"/>
  <c r="M1729" i="7" s="1"/>
  <c r="M1730" i="7" s="1"/>
  <c r="M1731" i="7" s="1"/>
  <c r="M1732" i="7" s="1"/>
  <c r="M1733" i="7" s="1"/>
  <c r="M1734" i="7" s="1"/>
  <c r="M1735" i="7" s="1"/>
  <c r="M1736" i="7" s="1"/>
  <c r="M1737" i="7" s="1"/>
  <c r="M1738" i="7" s="1"/>
  <c r="M1739" i="7" s="1"/>
  <c r="M1740" i="7" s="1"/>
  <c r="M1741" i="7" s="1"/>
  <c r="M1742" i="7" s="1"/>
  <c r="M1743" i="7" s="1"/>
  <c r="M1744" i="7" s="1"/>
  <c r="M1745" i="7" s="1"/>
  <c r="M1746" i="7" s="1"/>
  <c r="M1747" i="7" s="1"/>
  <c r="M1748" i="7" s="1"/>
  <c r="M1749" i="7" s="1"/>
  <c r="M1750" i="7" s="1"/>
  <c r="M1751" i="7" s="1"/>
  <c r="M1752" i="7" s="1"/>
  <c r="M1753" i="7" s="1"/>
  <c r="M1754" i="7" s="1"/>
  <c r="M1755" i="7" s="1"/>
  <c r="M1756" i="7" s="1"/>
  <c r="M1757" i="7" s="1"/>
  <c r="M1758" i="7" s="1"/>
  <c r="M1759" i="7" s="1"/>
  <c r="M1760" i="7" s="1"/>
  <c r="M1761" i="7" s="1"/>
  <c r="M1762" i="7" s="1"/>
  <c r="M1763" i="7" s="1"/>
  <c r="M1764" i="7" s="1"/>
  <c r="M1765" i="7" s="1"/>
  <c r="M1766" i="7" s="1"/>
  <c r="M1767" i="7" s="1"/>
  <c r="M1768" i="7" s="1"/>
  <c r="M1769" i="7" s="1"/>
  <c r="M1770" i="7" s="1"/>
  <c r="M1771" i="7" s="1"/>
  <c r="M1772" i="7" s="1"/>
  <c r="M1773" i="7" s="1"/>
  <c r="M1774" i="7" s="1"/>
  <c r="M1775" i="7" s="1"/>
  <c r="M1776" i="7" s="1"/>
  <c r="M1777" i="7" s="1"/>
  <c r="M1778" i="7" s="1"/>
  <c r="M1779" i="7" s="1"/>
  <c r="M1780" i="7" s="1"/>
  <c r="M1781" i="7" s="1"/>
  <c r="M1782" i="7" s="1"/>
  <c r="M1783" i="7" s="1"/>
  <c r="M1784" i="7" s="1"/>
  <c r="M1785" i="7" s="1"/>
  <c r="M1786" i="7" s="1"/>
  <c r="M1787" i="7" s="1"/>
  <c r="M1788" i="7" s="1"/>
  <c r="M1789" i="7" s="1"/>
  <c r="M1790" i="7" s="1"/>
  <c r="M1791" i="7" s="1"/>
  <c r="M1792" i="7" s="1"/>
  <c r="M1793" i="7" s="1"/>
  <c r="M1794" i="7" s="1"/>
  <c r="M1795" i="7" s="1"/>
  <c r="M1796" i="7" s="1"/>
  <c r="M1797" i="7" s="1"/>
  <c r="M1798" i="7" s="1"/>
  <c r="M1799" i="7" s="1"/>
  <c r="M1800" i="7" s="1"/>
  <c r="M1801" i="7" s="1"/>
  <c r="M1802" i="7" s="1"/>
  <c r="M1803" i="7" s="1"/>
  <c r="M1804" i="7" s="1"/>
  <c r="M1805" i="7" s="1"/>
  <c r="M1806" i="7" s="1"/>
  <c r="M1807" i="7" s="1"/>
  <c r="M1808" i="7" s="1"/>
  <c r="M1809" i="7" s="1"/>
  <c r="M1810" i="7" s="1"/>
  <c r="M1811" i="7" s="1"/>
  <c r="M1812" i="7" s="1"/>
  <c r="M1813" i="7" s="1"/>
  <c r="M1814" i="7" s="1"/>
  <c r="M1815" i="7" s="1"/>
  <c r="M1816" i="7" s="1"/>
  <c r="M1817" i="7" s="1"/>
  <c r="M1818" i="7" s="1"/>
  <c r="M1819" i="7" s="1"/>
  <c r="M1820" i="7" s="1"/>
  <c r="M1821" i="7" s="1"/>
  <c r="M1822" i="7" s="1"/>
  <c r="M1823" i="7" s="1"/>
  <c r="M1824" i="7" s="1"/>
  <c r="M1825" i="7" s="1"/>
  <c r="M1826" i="7" s="1"/>
  <c r="M1827" i="7" s="1"/>
  <c r="M1828" i="7" s="1"/>
  <c r="M1829" i="7" s="1"/>
  <c r="M1830" i="7" s="1"/>
  <c r="M1831" i="7" s="1"/>
  <c r="M1832" i="7" s="1"/>
  <c r="M1833" i="7" s="1"/>
  <c r="M1834" i="7" s="1"/>
  <c r="M1835" i="7" s="1"/>
  <c r="M1836" i="7" s="1"/>
  <c r="M1837" i="7" s="1"/>
  <c r="M1838" i="7" s="1"/>
  <c r="M1839" i="7" s="1"/>
  <c r="M1840" i="7" s="1"/>
  <c r="M1841" i="7" s="1"/>
  <c r="M1842" i="7" s="1"/>
  <c r="M1843" i="7" s="1"/>
  <c r="M1844" i="7" s="1"/>
  <c r="M1845" i="7" s="1"/>
  <c r="M1846" i="7" s="1"/>
  <c r="M1847" i="7" s="1"/>
  <c r="M1848" i="7" s="1"/>
  <c r="M1849" i="7" s="1"/>
  <c r="M1850" i="7" s="1"/>
  <c r="M1851" i="7" s="1"/>
  <c r="M1852" i="7" s="1"/>
  <c r="M1853" i="7" s="1"/>
  <c r="M1854" i="7" s="1"/>
  <c r="M1855" i="7" s="1"/>
  <c r="M1856" i="7" s="1"/>
  <c r="M1857" i="7" s="1"/>
  <c r="M1858" i="7" s="1"/>
  <c r="M1859" i="7" s="1"/>
  <c r="M1860" i="7" s="1"/>
  <c r="M1861" i="7" s="1"/>
  <c r="M1862" i="7" s="1"/>
  <c r="M1863" i="7" s="1"/>
  <c r="M1864" i="7" s="1"/>
  <c r="M1865" i="7" s="1"/>
  <c r="M1866" i="7" s="1"/>
  <c r="M1867" i="7" s="1"/>
  <c r="M1868" i="7" s="1"/>
  <c r="M1869" i="7" s="1"/>
  <c r="M1870" i="7" s="1"/>
  <c r="M1871" i="7" s="1"/>
  <c r="M1872" i="7" s="1"/>
  <c r="M1873" i="7" s="1"/>
  <c r="M1874" i="7" s="1"/>
  <c r="M1875" i="7" s="1"/>
  <c r="M1876" i="7" s="1"/>
  <c r="M1877" i="7" s="1"/>
  <c r="M1878" i="7" s="1"/>
  <c r="M1879" i="7" s="1"/>
  <c r="M1880" i="7" s="1"/>
  <c r="M1881" i="7" s="1"/>
  <c r="M1882" i="7" s="1"/>
  <c r="M1883" i="7" s="1"/>
  <c r="M1884" i="7" s="1"/>
  <c r="M1885" i="7" s="1"/>
  <c r="M1886" i="7" s="1"/>
  <c r="M1887" i="7" s="1"/>
  <c r="M1888" i="7" s="1"/>
  <c r="M1889" i="7" s="1"/>
  <c r="M1890" i="7" s="1"/>
  <c r="M1891" i="7" s="1"/>
  <c r="M1892" i="7" s="1"/>
  <c r="M1893" i="7" s="1"/>
  <c r="M1894" i="7" s="1"/>
  <c r="M1895" i="7" s="1"/>
  <c r="M1896" i="7" s="1"/>
  <c r="M1897" i="7" s="1"/>
  <c r="M1898" i="7" s="1"/>
  <c r="M1899" i="7" s="1"/>
  <c r="M1900" i="7" s="1"/>
  <c r="M1901" i="7" s="1"/>
  <c r="M1902" i="7" s="1"/>
  <c r="M1903" i="7" s="1"/>
  <c r="M1904" i="7" s="1"/>
  <c r="M1905" i="7" s="1"/>
  <c r="M1906" i="7" s="1"/>
  <c r="M1907" i="7" s="1"/>
  <c r="M1908" i="7" s="1"/>
  <c r="M1909" i="7" s="1"/>
  <c r="M1910" i="7" s="1"/>
  <c r="M1911" i="7" s="1"/>
  <c r="M1912" i="7" s="1"/>
  <c r="M1913" i="7" s="1"/>
  <c r="M1914" i="7" s="1"/>
  <c r="M1915" i="7" s="1"/>
  <c r="M1916" i="7" s="1"/>
  <c r="M1917" i="7" s="1"/>
  <c r="M1918" i="7" s="1"/>
  <c r="M1919" i="7" s="1"/>
  <c r="M1920" i="7" s="1"/>
  <c r="M1921" i="7" s="1"/>
  <c r="M1922" i="7" s="1"/>
  <c r="M1923" i="7" s="1"/>
  <c r="M1924" i="7" s="1"/>
  <c r="M1925" i="7" s="1"/>
  <c r="M1926" i="7" s="1"/>
  <c r="M1927" i="7" s="1"/>
  <c r="M1928" i="7" s="1"/>
  <c r="M1929" i="7" s="1"/>
  <c r="M1930" i="7" s="1"/>
  <c r="M1931" i="7" s="1"/>
  <c r="M1932" i="7" s="1"/>
  <c r="M1933" i="7" s="1"/>
  <c r="M1934" i="7" s="1"/>
  <c r="M1935" i="7" s="1"/>
  <c r="M1936" i="7" s="1"/>
  <c r="M1937" i="7" s="1"/>
  <c r="M1938" i="7" s="1"/>
  <c r="M1939" i="7" s="1"/>
  <c r="M1940" i="7" s="1"/>
  <c r="M1941" i="7" s="1"/>
  <c r="M1942" i="7" s="1"/>
  <c r="M1943" i="7" s="1"/>
  <c r="M1944" i="7" s="1"/>
  <c r="M1945" i="7" s="1"/>
  <c r="M1946" i="7" s="1"/>
  <c r="M1947" i="7" s="1"/>
  <c r="M1948" i="7" s="1"/>
  <c r="M1949" i="7" s="1"/>
  <c r="M1950" i="7" s="1"/>
  <c r="M1951" i="7" s="1"/>
  <c r="M1952" i="7" s="1"/>
  <c r="M1953" i="7" s="1"/>
  <c r="M1954" i="7" s="1"/>
  <c r="M1955" i="7" s="1"/>
  <c r="M1956" i="7" s="1"/>
  <c r="M1957" i="7" s="1"/>
  <c r="M1958" i="7" s="1"/>
  <c r="M1959" i="7" s="1"/>
  <c r="M1960" i="7" s="1"/>
  <c r="M1961" i="7" s="1"/>
  <c r="M1962" i="7" s="1"/>
  <c r="M1963" i="7" s="1"/>
  <c r="M1964" i="7" s="1"/>
  <c r="M1965" i="7" s="1"/>
  <c r="M1966" i="7" s="1"/>
  <c r="M1967" i="7" s="1"/>
  <c r="M1968" i="7" s="1"/>
  <c r="M1969" i="7" s="1"/>
  <c r="M1970" i="7" s="1"/>
  <c r="M1971" i="7" s="1"/>
  <c r="M1972" i="7" s="1"/>
  <c r="M1973" i="7" s="1"/>
  <c r="M1974" i="7" s="1"/>
  <c r="M1975" i="7" s="1"/>
  <c r="M1976" i="7" s="1"/>
  <c r="M1977" i="7" s="1"/>
  <c r="M1978" i="7" s="1"/>
  <c r="M1979" i="7" s="1"/>
  <c r="M1980" i="7" s="1"/>
  <c r="M1981" i="7" s="1"/>
  <c r="M1982" i="7" s="1"/>
  <c r="M1983" i="7" s="1"/>
  <c r="M1984" i="7" s="1"/>
  <c r="M1985" i="7" s="1"/>
  <c r="M1986" i="7" s="1"/>
  <c r="M1987" i="7" s="1"/>
  <c r="M1988" i="7" s="1"/>
  <c r="M1989" i="7" s="1"/>
  <c r="M1990" i="7" s="1"/>
  <c r="M1991" i="7" s="1"/>
  <c r="M1992" i="7" s="1"/>
  <c r="M1993" i="7" s="1"/>
  <c r="M1994" i="7" s="1"/>
  <c r="M1995" i="7" s="1"/>
  <c r="M1996" i="7" s="1"/>
  <c r="M1997" i="7" s="1"/>
  <c r="M1998" i="7" s="1"/>
  <c r="M1999" i="7" s="1"/>
  <c r="M2000" i="7" s="1"/>
  <c r="M2001" i="7" s="1"/>
  <c r="M2002" i="7" s="1"/>
  <c r="M2003" i="7" s="1"/>
  <c r="M2004" i="7" s="1"/>
  <c r="M2005" i="7" s="1"/>
  <c r="M2006" i="7" s="1"/>
  <c r="M2007" i="7" s="1"/>
  <c r="M2008" i="7" s="1"/>
  <c r="M2009" i="7" s="1"/>
  <c r="M2010" i="7" s="1"/>
  <c r="M2011" i="7" s="1"/>
  <c r="M2012" i="7" s="1"/>
  <c r="M2013" i="7" s="1"/>
  <c r="M2014" i="7" s="1"/>
  <c r="M2015" i="7" s="1"/>
  <c r="M2016" i="7" s="1"/>
  <c r="M2017" i="7" s="1"/>
  <c r="M2018" i="7" s="1"/>
  <c r="M2019" i="7" s="1"/>
  <c r="M2020" i="7" s="1"/>
  <c r="M2021" i="7" s="1"/>
  <c r="M2022" i="7" s="1"/>
  <c r="M2023" i="7" s="1"/>
  <c r="M2024" i="7" s="1"/>
  <c r="M2025" i="7" s="1"/>
  <c r="M2026" i="7" s="1"/>
  <c r="M2027" i="7" s="1"/>
  <c r="M2028" i="7" s="1"/>
  <c r="M2029" i="7" s="1"/>
  <c r="M2030" i="7" s="1"/>
  <c r="M2031" i="7" s="1"/>
  <c r="M2032" i="7" s="1"/>
  <c r="M2033" i="7" s="1"/>
  <c r="M2034" i="7" s="1"/>
  <c r="M2035" i="7" s="1"/>
  <c r="M2036" i="7" s="1"/>
  <c r="M2037" i="7" s="1"/>
  <c r="M2038" i="7" s="1"/>
  <c r="M2039" i="7" s="1"/>
  <c r="M2040" i="7" s="1"/>
  <c r="M2041" i="7" s="1"/>
  <c r="M2042" i="7" s="1"/>
  <c r="M2043" i="7" s="1"/>
  <c r="M2044" i="7" s="1"/>
  <c r="M2045" i="7" s="1"/>
  <c r="M2046" i="7" s="1"/>
  <c r="M2047" i="7" s="1"/>
  <c r="M2048" i="7" s="1"/>
  <c r="M2049" i="7" s="1"/>
  <c r="M2050" i="7" s="1"/>
  <c r="M2051" i="7" s="1"/>
  <c r="M2052" i="7" s="1"/>
  <c r="M2053" i="7" s="1"/>
  <c r="M2054" i="7" s="1"/>
  <c r="M2055" i="7" s="1"/>
  <c r="M2056" i="7" s="1"/>
  <c r="M2057" i="7" s="1"/>
  <c r="M2058" i="7" s="1"/>
  <c r="M2059" i="7" s="1"/>
  <c r="M2060" i="7" s="1"/>
  <c r="M2061" i="7" s="1"/>
  <c r="M2062" i="7" s="1"/>
  <c r="M2063" i="7" s="1"/>
  <c r="M2064" i="7" s="1"/>
  <c r="M2065" i="7" s="1"/>
  <c r="M2066" i="7" s="1"/>
  <c r="M2067" i="7" s="1"/>
  <c r="M2068" i="7" s="1"/>
  <c r="M2069" i="7" s="1"/>
  <c r="M2070" i="7" s="1"/>
  <c r="M2071" i="7" s="1"/>
  <c r="M2072" i="7" s="1"/>
  <c r="M2073" i="7" s="1"/>
  <c r="M2074" i="7" s="1"/>
  <c r="M2075" i="7" s="1"/>
  <c r="M2076" i="7" s="1"/>
  <c r="M2077" i="7" s="1"/>
  <c r="M2078" i="7" s="1"/>
  <c r="M2079" i="7" s="1"/>
  <c r="M2080" i="7" s="1"/>
  <c r="M2081" i="7" s="1"/>
  <c r="M2082" i="7" s="1"/>
  <c r="M2083" i="7" s="1"/>
  <c r="M2084" i="7" s="1"/>
  <c r="M2085" i="7" s="1"/>
  <c r="M2086" i="7" s="1"/>
  <c r="M2087" i="7" s="1"/>
  <c r="M2088" i="7" s="1"/>
  <c r="M2089" i="7" s="1"/>
  <c r="M2090" i="7" s="1"/>
  <c r="M2091" i="7" s="1"/>
  <c r="M2092" i="7" s="1"/>
  <c r="M2093" i="7" s="1"/>
  <c r="M2094" i="7" s="1"/>
  <c r="M2095" i="7" s="1"/>
  <c r="M2096" i="7" s="1"/>
  <c r="M2097" i="7" s="1"/>
  <c r="M2098" i="7" s="1"/>
  <c r="M2099" i="7" s="1"/>
  <c r="M2100" i="7" s="1"/>
  <c r="M2101" i="7" s="1"/>
  <c r="M2102" i="7" s="1"/>
  <c r="M2103" i="7" s="1"/>
  <c r="M2104" i="7" s="1"/>
  <c r="M2105" i="7" s="1"/>
  <c r="M2106" i="7" s="1"/>
  <c r="M2107" i="7" s="1"/>
  <c r="M2108" i="7" s="1"/>
  <c r="M2109" i="7" s="1"/>
  <c r="M2110" i="7" s="1"/>
  <c r="M2111" i="7" s="1"/>
  <c r="M2112" i="7" s="1"/>
  <c r="M2113" i="7" s="1"/>
  <c r="M2114" i="7" s="1"/>
  <c r="M2115" i="7" s="1"/>
  <c r="M2116" i="7" s="1"/>
  <c r="M2117" i="7" s="1"/>
  <c r="M2118" i="7" s="1"/>
  <c r="M2119" i="7" s="1"/>
  <c r="M2120" i="7" s="1"/>
  <c r="M2121" i="7" s="1"/>
  <c r="M2122" i="7" s="1"/>
  <c r="M2123" i="7" s="1"/>
  <c r="M2124" i="7" s="1"/>
  <c r="M2125" i="7" s="1"/>
  <c r="M2126" i="7" s="1"/>
  <c r="M2127" i="7" s="1"/>
  <c r="M2128" i="7" s="1"/>
  <c r="M2129" i="7" s="1"/>
  <c r="M2130" i="7" s="1"/>
  <c r="M2131" i="7" s="1"/>
  <c r="M2132" i="7" s="1"/>
  <c r="M2133" i="7" s="1"/>
  <c r="M2134" i="7" s="1"/>
  <c r="M2135" i="7" s="1"/>
  <c r="M2136" i="7" s="1"/>
  <c r="M2137" i="7" s="1"/>
  <c r="M2138" i="7" s="1"/>
  <c r="M2139" i="7" s="1"/>
  <c r="M2140" i="7" s="1"/>
  <c r="M2141" i="7" s="1"/>
  <c r="M2142" i="7" s="1"/>
  <c r="M2143" i="7" s="1"/>
  <c r="M2144" i="7" s="1"/>
  <c r="M2145" i="7" s="1"/>
  <c r="M2146" i="7" s="1"/>
  <c r="M2147" i="7" s="1"/>
  <c r="M2148" i="7" s="1"/>
  <c r="M2149" i="7" s="1"/>
  <c r="M2150" i="7" s="1"/>
  <c r="M2151" i="7" s="1"/>
  <c r="M3" i="7"/>
  <c r="L4" i="7"/>
  <c r="L5" i="7" s="1"/>
  <c r="L6" i="7" s="1"/>
  <c r="L7" i="7" s="1"/>
  <c r="L8" i="7" s="1"/>
  <c r="L9" i="7" s="1"/>
  <c r="L10" i="7" s="1"/>
  <c r="L11" i="7" s="1"/>
  <c r="L12" i="7" s="1"/>
  <c r="L13" i="7" s="1"/>
  <c r="L14" i="7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3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I651" i="7" s="1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I944" i="7" s="1"/>
  <c r="F945" i="7"/>
  <c r="F946" i="7"/>
  <c r="F947" i="7"/>
  <c r="F948" i="7"/>
  <c r="F949" i="7"/>
  <c r="F950" i="7"/>
  <c r="F951" i="7"/>
  <c r="F952" i="7"/>
  <c r="G952" i="7" s="1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G986" i="7" s="1"/>
  <c r="F987" i="7"/>
  <c r="F988" i="7"/>
  <c r="F989" i="7"/>
  <c r="I989" i="7" s="1"/>
  <c r="F990" i="7"/>
  <c r="F991" i="7"/>
  <c r="F992" i="7"/>
  <c r="F993" i="7"/>
  <c r="F994" i="7"/>
  <c r="F995" i="7"/>
  <c r="F996" i="7"/>
  <c r="I996" i="7" s="1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I1085" i="7" s="1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H1116" i="7" s="1"/>
  <c r="F1117" i="7"/>
  <c r="F1118" i="7"/>
  <c r="F1119" i="7"/>
  <c r="F1120" i="7"/>
  <c r="H1120" i="7" s="1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G1142" i="7" s="1"/>
  <c r="F1143" i="7"/>
  <c r="F1144" i="7"/>
  <c r="I1144" i="7" s="1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G1188" i="7" s="1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G1202" i="7" s="1"/>
  <c r="F1203" i="7"/>
  <c r="H1203" i="7" s="1"/>
  <c r="F1204" i="7"/>
  <c r="F1205" i="7"/>
  <c r="I1205" i="7" s="1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I1262" i="7" s="1"/>
  <c r="F1263" i="7"/>
  <c r="F1264" i="7"/>
  <c r="F1265" i="7"/>
  <c r="G1265" i="7" s="1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I1320" i="7" s="1"/>
  <c r="F1321" i="7"/>
  <c r="F1322" i="7"/>
  <c r="F1323" i="7"/>
  <c r="F1324" i="7"/>
  <c r="G1324" i="7" s="1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H1368" i="7" s="1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H1382" i="7" s="1"/>
  <c r="F1383" i="7"/>
  <c r="I1383" i="7" s="1"/>
  <c r="F1384" i="7"/>
  <c r="F1385" i="7"/>
  <c r="I1385" i="7" s="1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I1428" i="7" s="1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G1442" i="7" s="1"/>
  <c r="F1443" i="7"/>
  <c r="F1444" i="7"/>
  <c r="G1444" i="7" s="1"/>
  <c r="F1445" i="7"/>
  <c r="F1446" i="7"/>
  <c r="F1447" i="7"/>
  <c r="F1448" i="7"/>
  <c r="F1449" i="7"/>
  <c r="F1450" i="7"/>
  <c r="F1451" i="7"/>
  <c r="F1452" i="7"/>
  <c r="F1453" i="7"/>
  <c r="F1454" i="7"/>
  <c r="I1454" i="7" s="1"/>
  <c r="F1455" i="7"/>
  <c r="I1455" i="7" s="1"/>
  <c r="F1456" i="7"/>
  <c r="F1457" i="7"/>
  <c r="F1458" i="7"/>
  <c r="F1459" i="7"/>
  <c r="F1460" i="7"/>
  <c r="F1461" i="7"/>
  <c r="F1462" i="7"/>
  <c r="F1463" i="7"/>
  <c r="F1464" i="7"/>
  <c r="F1465" i="7"/>
  <c r="F1466" i="7"/>
  <c r="I1466" i="7" s="1"/>
  <c r="F1467" i="7"/>
  <c r="I1467" i="7" s="1"/>
  <c r="F1468" i="7"/>
  <c r="F1469" i="7"/>
  <c r="F1470" i="7"/>
  <c r="F1471" i="7"/>
  <c r="F1472" i="7"/>
  <c r="F1473" i="7"/>
  <c r="F1474" i="7"/>
  <c r="F1475" i="7"/>
  <c r="F1476" i="7"/>
  <c r="F1477" i="7"/>
  <c r="G1477" i="7" s="1"/>
  <c r="F1478" i="7"/>
  <c r="F1479" i="7"/>
  <c r="G1479" i="7" s="1"/>
  <c r="F1480" i="7"/>
  <c r="F1481" i="7"/>
  <c r="F1482" i="7"/>
  <c r="F1483" i="7"/>
  <c r="F1484" i="7"/>
  <c r="F1485" i="7"/>
  <c r="F1486" i="7"/>
  <c r="F1487" i="7"/>
  <c r="F1488" i="7"/>
  <c r="F1489" i="7"/>
  <c r="G1489" i="7" s="1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I1501" i="7" s="1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G1513" i="7" s="1"/>
  <c r="F1514" i="7"/>
  <c r="F1515" i="7"/>
  <c r="F1516" i="7"/>
  <c r="F1517" i="7"/>
  <c r="F1518" i="7"/>
  <c r="F1519" i="7"/>
  <c r="F1520" i="7"/>
  <c r="F1521" i="7"/>
  <c r="F1522" i="7"/>
  <c r="F1523" i="7"/>
  <c r="F1524" i="7"/>
  <c r="I1524" i="7" s="1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G1536" i="7" s="1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G1558" i="7" s="1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I1580" i="7" s="1"/>
  <c r="F1581" i="7"/>
  <c r="F1582" i="7"/>
  <c r="G1582" i="7" s="1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G1614" i="7" s="1"/>
  <c r="F1615" i="7"/>
  <c r="F1616" i="7"/>
  <c r="F1617" i="7"/>
  <c r="F1618" i="7"/>
  <c r="F1619" i="7"/>
  <c r="F1620" i="7"/>
  <c r="F1621" i="7"/>
  <c r="F1622" i="7"/>
  <c r="F1623" i="7"/>
  <c r="F1624" i="7"/>
  <c r="G1624" i="7" s="1"/>
  <c r="F1625" i="7"/>
  <c r="I1625" i="7" s="1"/>
  <c r="F1626" i="7"/>
  <c r="F1627" i="7"/>
  <c r="F1628" i="7"/>
  <c r="F1629" i="7"/>
  <c r="F1630" i="7"/>
  <c r="F1631" i="7"/>
  <c r="F1632" i="7"/>
  <c r="F1633" i="7"/>
  <c r="G1633" i="7" s="1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H1649" i="7" s="1"/>
  <c r="F1650" i="7"/>
  <c r="I1650" i="7" s="1"/>
  <c r="F1651" i="7"/>
  <c r="G1651" i="7" s="1"/>
  <c r="F1652" i="7"/>
  <c r="F1653" i="7"/>
  <c r="F1654" i="7"/>
  <c r="F1655" i="7"/>
  <c r="F1656" i="7"/>
  <c r="F1657" i="7"/>
  <c r="G1657" i="7" s="1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G1669" i="7" s="1"/>
  <c r="F1670" i="7"/>
  <c r="F1671" i="7"/>
  <c r="F1672" i="7"/>
  <c r="F1673" i="7"/>
  <c r="G1673" i="7" s="1"/>
  <c r="F1674" i="7"/>
  <c r="F1675" i="7"/>
  <c r="F1676" i="7"/>
  <c r="I1676" i="7" s="1"/>
  <c r="F1677" i="7"/>
  <c r="G1677" i="7" s="1"/>
  <c r="F1678" i="7"/>
  <c r="F1679" i="7"/>
  <c r="F1680" i="7"/>
  <c r="G1680" i="7" s="1"/>
  <c r="F1681" i="7"/>
  <c r="G1681" i="7" s="1"/>
  <c r="F1682" i="7"/>
  <c r="F1683" i="7"/>
  <c r="F1684" i="7"/>
  <c r="G1684" i="7" s="1"/>
  <c r="F1685" i="7"/>
  <c r="F1686" i="7"/>
  <c r="F1687" i="7"/>
  <c r="F1688" i="7"/>
  <c r="I1688" i="7" s="1"/>
  <c r="F1689" i="7"/>
  <c r="F1690" i="7"/>
  <c r="F1691" i="7"/>
  <c r="I1691" i="7" s="1"/>
  <c r="F1692" i="7"/>
  <c r="I1692" i="7" s="1"/>
  <c r="F1693" i="7"/>
  <c r="F1694" i="7"/>
  <c r="F1695" i="7"/>
  <c r="F1696" i="7"/>
  <c r="I1696" i="7" s="1"/>
  <c r="F1697" i="7"/>
  <c r="F1698" i="7"/>
  <c r="F1699" i="7"/>
  <c r="F1700" i="7"/>
  <c r="F1701" i="7"/>
  <c r="F1702" i="7"/>
  <c r="F1703" i="7"/>
  <c r="G1703" i="7" s="1"/>
  <c r="F1704" i="7"/>
  <c r="F1705" i="7"/>
  <c r="F1706" i="7"/>
  <c r="F1707" i="7"/>
  <c r="I1707" i="7" s="1"/>
  <c r="F1708" i="7"/>
  <c r="F1709" i="7"/>
  <c r="F1710" i="7"/>
  <c r="F1711" i="7"/>
  <c r="G1711" i="7" s="1"/>
  <c r="F1712" i="7"/>
  <c r="F1713" i="7"/>
  <c r="F1714" i="7"/>
  <c r="F1715" i="7"/>
  <c r="G1715" i="7" s="1"/>
  <c r="F1716" i="7"/>
  <c r="F1717" i="7"/>
  <c r="F1718" i="7"/>
  <c r="F1719" i="7"/>
  <c r="G1719" i="7" s="1"/>
  <c r="F1720" i="7"/>
  <c r="F1721" i="7"/>
  <c r="F1722" i="7"/>
  <c r="I1722" i="7" s="1"/>
  <c r="F1723" i="7"/>
  <c r="I1723" i="7" s="1"/>
  <c r="F1724" i="7"/>
  <c r="F1725" i="7"/>
  <c r="F1726" i="7"/>
  <c r="G1726" i="7" s="1"/>
  <c r="F1727" i="7"/>
  <c r="F1728" i="7"/>
  <c r="F1729" i="7"/>
  <c r="F1730" i="7"/>
  <c r="G1730" i="7" s="1"/>
  <c r="F1731" i="7"/>
  <c r="F1732" i="7"/>
  <c r="F1733" i="7"/>
  <c r="F1734" i="7"/>
  <c r="G1734" i="7" s="1"/>
  <c r="F1735" i="7"/>
  <c r="F1736" i="7"/>
  <c r="F1737" i="7"/>
  <c r="G1737" i="7" s="1"/>
  <c r="F1738" i="7"/>
  <c r="G1738" i="7" s="1"/>
  <c r="F1739" i="7"/>
  <c r="F1740" i="7"/>
  <c r="F1741" i="7"/>
  <c r="G1741" i="7" s="1"/>
  <c r="F1742" i="7"/>
  <c r="F1743" i="7"/>
  <c r="F1744" i="7"/>
  <c r="F1745" i="7"/>
  <c r="G1745" i="7" s="1"/>
  <c r="F1746" i="7"/>
  <c r="G1746" i="7" s="1"/>
  <c r="F1747" i="7"/>
  <c r="F1748" i="7"/>
  <c r="F1749" i="7"/>
  <c r="G1749" i="7" s="1"/>
  <c r="F1750" i="7"/>
  <c r="G1750" i="7" s="1"/>
  <c r="F1751" i="7"/>
  <c r="F1752" i="7"/>
  <c r="F1753" i="7"/>
  <c r="G1753" i="7" s="1"/>
  <c r="F1754" i="7"/>
  <c r="F1755" i="7"/>
  <c r="F1756" i="7"/>
  <c r="F1757" i="7"/>
  <c r="G1757" i="7" s="1"/>
  <c r="F1758" i="7"/>
  <c r="F1759" i="7"/>
  <c r="F1760" i="7"/>
  <c r="G1760" i="7" s="1"/>
  <c r="F1761" i="7"/>
  <c r="F1762" i="7"/>
  <c r="F1763" i="7"/>
  <c r="F1764" i="7"/>
  <c r="G1764" i="7" s="1"/>
  <c r="F1765" i="7"/>
  <c r="G1765" i="7" s="1"/>
  <c r="F1766" i="7"/>
  <c r="F1767" i="7"/>
  <c r="F1768" i="7"/>
  <c r="G1768" i="7" s="1"/>
  <c r="F1769" i="7"/>
  <c r="G1769" i="7" s="1"/>
  <c r="F1770" i="7"/>
  <c r="F1771" i="7"/>
  <c r="F1772" i="7"/>
  <c r="G1772" i="7" s="1"/>
  <c r="F1773" i="7"/>
  <c r="F1774" i="7"/>
  <c r="F1775" i="7"/>
  <c r="F1776" i="7"/>
  <c r="G1776" i="7" s="1"/>
  <c r="F1777" i="7"/>
  <c r="F1778" i="7"/>
  <c r="F1779" i="7"/>
  <c r="F1780" i="7"/>
  <c r="G1780" i="7" s="1"/>
  <c r="F1781" i="7"/>
  <c r="F1782" i="7"/>
  <c r="F1783" i="7"/>
  <c r="F1784" i="7"/>
  <c r="I1784" i="7" s="1"/>
  <c r="F1785" i="7"/>
  <c r="F1786" i="7"/>
  <c r="F1787" i="7"/>
  <c r="F1788" i="7"/>
  <c r="I1788" i="7" s="1"/>
  <c r="F1789" i="7"/>
  <c r="F1790" i="7"/>
  <c r="F1791" i="7"/>
  <c r="I1791" i="7" s="1"/>
  <c r="F1792" i="7"/>
  <c r="I1792" i="7" s="1"/>
  <c r="F1793" i="7"/>
  <c r="F1794" i="7"/>
  <c r="F1795" i="7"/>
  <c r="G1795" i="7" s="1"/>
  <c r="F1796" i="7"/>
  <c r="F1797" i="7"/>
  <c r="F1798" i="7"/>
  <c r="F1799" i="7"/>
  <c r="I1799" i="7" s="1"/>
  <c r="F1800" i="7"/>
  <c r="F1801" i="7"/>
  <c r="F1802" i="7"/>
  <c r="F1803" i="7"/>
  <c r="G1803" i="7" s="1"/>
  <c r="F1804" i="7"/>
  <c r="F1805" i="7"/>
  <c r="F1806" i="7"/>
  <c r="F1807" i="7"/>
  <c r="I1807" i="7" s="1"/>
  <c r="F1808" i="7"/>
  <c r="F1809" i="7"/>
  <c r="F1810" i="7"/>
  <c r="G1810" i="7" s="1"/>
  <c r="F1811" i="7"/>
  <c r="F1812" i="7"/>
  <c r="F1813" i="7"/>
  <c r="F1814" i="7"/>
  <c r="I1814" i="7" s="1"/>
  <c r="F1815" i="7"/>
  <c r="F1816" i="7"/>
  <c r="F1817" i="7"/>
  <c r="F1818" i="7"/>
  <c r="I1818" i="7" s="1"/>
  <c r="F1819" i="7"/>
  <c r="F1820" i="7"/>
  <c r="F1821" i="7"/>
  <c r="F1822" i="7"/>
  <c r="I1822" i="7" s="1"/>
  <c r="F1823" i="7"/>
  <c r="F1824" i="7"/>
  <c r="F1825" i="7"/>
  <c r="F1826" i="7"/>
  <c r="I1826" i="7" s="1"/>
  <c r="F1827" i="7"/>
  <c r="F1828" i="7"/>
  <c r="F1829" i="7"/>
  <c r="G1829" i="7" s="1"/>
  <c r="F1830" i="7"/>
  <c r="F1831" i="7"/>
  <c r="F1832" i="7"/>
  <c r="F1833" i="7"/>
  <c r="I1833" i="7" s="1"/>
  <c r="F1834" i="7"/>
  <c r="F1835" i="7"/>
  <c r="F1836" i="7"/>
  <c r="F1837" i="7"/>
  <c r="I1837" i="7" s="1"/>
  <c r="F1838" i="7"/>
  <c r="F1839" i="7"/>
  <c r="F1840" i="7"/>
  <c r="I1840" i="7" s="1"/>
  <c r="F1841" i="7"/>
  <c r="I1841" i="7" s="1"/>
  <c r="F1842" i="7"/>
  <c r="F1843" i="7"/>
  <c r="F1844" i="7"/>
  <c r="I1844" i="7" s="1"/>
  <c r="F1845" i="7"/>
  <c r="F1846" i="7"/>
  <c r="F1847" i="7"/>
  <c r="F1848" i="7"/>
  <c r="I1848" i="7" s="1"/>
  <c r="F1849" i="7"/>
  <c r="F1850" i="7"/>
  <c r="F1851" i="7"/>
  <c r="I1851" i="7" s="1"/>
  <c r="F1852" i="7"/>
  <c r="I1852" i="7" s="1"/>
  <c r="F1853" i="7"/>
  <c r="F1854" i="7"/>
  <c r="F1855" i="7"/>
  <c r="G1855" i="7" s="1"/>
  <c r="F1856" i="7"/>
  <c r="G1856" i="7" s="1"/>
  <c r="F1857" i="7"/>
  <c r="F1858" i="7"/>
  <c r="F1859" i="7"/>
  <c r="I1859" i="7" s="1"/>
  <c r="F1860" i="7"/>
  <c r="F1861" i="7"/>
  <c r="F1862" i="7"/>
  <c r="F1863" i="7"/>
  <c r="G1863" i="7" s="1"/>
  <c r="F1864" i="7"/>
  <c r="F1865" i="7"/>
  <c r="F1866" i="7"/>
  <c r="F1867" i="7"/>
  <c r="I1867" i="7" s="1"/>
  <c r="F1868" i="7"/>
  <c r="F1869" i="7"/>
  <c r="F1870" i="7"/>
  <c r="G1870" i="7" s="1"/>
  <c r="F1871" i="7"/>
  <c r="F1872" i="7"/>
  <c r="F1873" i="7"/>
  <c r="F1874" i="7"/>
  <c r="G1874" i="7" s="1"/>
  <c r="F1875" i="7"/>
  <c r="G1875" i="7" s="1"/>
  <c r="F1876" i="7"/>
  <c r="F1877" i="7"/>
  <c r="F1878" i="7"/>
  <c r="G1878" i="7" s="1"/>
  <c r="F1879" i="7"/>
  <c r="F1880" i="7"/>
  <c r="F1881" i="7"/>
  <c r="F1882" i="7"/>
  <c r="G1882" i="7" s="1"/>
  <c r="F1883" i="7"/>
  <c r="F1884" i="7"/>
  <c r="F1885" i="7"/>
  <c r="F1886" i="7"/>
  <c r="G1886" i="7" s="1"/>
  <c r="F1887" i="7"/>
  <c r="F1888" i="7"/>
  <c r="F1889" i="7"/>
  <c r="G1889" i="7" s="1"/>
  <c r="F1890" i="7"/>
  <c r="G1890" i="7" s="1"/>
  <c r="F1891" i="7"/>
  <c r="F1892" i="7"/>
  <c r="F1893" i="7"/>
  <c r="G1893" i="7" s="1"/>
  <c r="F1894" i="7"/>
  <c r="F1895" i="7"/>
  <c r="F1896" i="7"/>
  <c r="F1897" i="7"/>
  <c r="G1897" i="7" s="1"/>
  <c r="F1898" i="7"/>
  <c r="F1899" i="7"/>
  <c r="F1900" i="7"/>
  <c r="F1901" i="7"/>
  <c r="G1901" i="7" s="1"/>
  <c r="F1902" i="7"/>
  <c r="F1903" i="7"/>
  <c r="F1904" i="7"/>
  <c r="F1905" i="7"/>
  <c r="I1905" i="7" s="1"/>
  <c r="F1906" i="7"/>
  <c r="F1907" i="7"/>
  <c r="F1908" i="7"/>
  <c r="F1909" i="7"/>
  <c r="I1909" i="7" s="1"/>
  <c r="F1910" i="7"/>
  <c r="F1911" i="7"/>
  <c r="F1912" i="7"/>
  <c r="I1912" i="7" s="1"/>
  <c r="F1913" i="7"/>
  <c r="I1913" i="7" s="1"/>
  <c r="F1914" i="7"/>
  <c r="F1915" i="7"/>
  <c r="F1916" i="7"/>
  <c r="I1916" i="7" s="1"/>
  <c r="F1917" i="7"/>
  <c r="I1917" i="7" s="1"/>
  <c r="F1918" i="7"/>
  <c r="F1919" i="7"/>
  <c r="F1920" i="7"/>
  <c r="I1920" i="7" s="1"/>
  <c r="F1921" i="7"/>
  <c r="I1921" i="7" s="1"/>
  <c r="F1922" i="7"/>
  <c r="F1923" i="7"/>
  <c r="F1924" i="7"/>
  <c r="F1925" i="7"/>
  <c r="F1926" i="7"/>
  <c r="F1927" i="7"/>
  <c r="F1928" i="7"/>
  <c r="G1928" i="7" s="1"/>
  <c r="F1929" i="7"/>
  <c r="F1930" i="7"/>
  <c r="F1931" i="7"/>
  <c r="F1932" i="7"/>
  <c r="G1932" i="7" s="1"/>
  <c r="F1933" i="7"/>
  <c r="G1933" i="7" s="1"/>
  <c r="F1934" i="7"/>
  <c r="F1935" i="7"/>
  <c r="F1936" i="7"/>
  <c r="G1936" i="7" s="1"/>
  <c r="F1937" i="7"/>
  <c r="G1937" i="7" s="1"/>
  <c r="F1938" i="7"/>
  <c r="F1939" i="7"/>
  <c r="F1940" i="7"/>
  <c r="G1940" i="7" s="1"/>
  <c r="F1941" i="7"/>
  <c r="F1942" i="7"/>
  <c r="F1943" i="7"/>
  <c r="F1944" i="7"/>
  <c r="G1944" i="7" s="1"/>
  <c r="F1945" i="7"/>
  <c r="F1946" i="7"/>
  <c r="F1947" i="7"/>
  <c r="F1948" i="7"/>
  <c r="G1948" i="7" s="1"/>
  <c r="F1949" i="7"/>
  <c r="F1950" i="7"/>
  <c r="F1951" i="7"/>
  <c r="F1952" i="7"/>
  <c r="I1952" i="7" s="1"/>
  <c r="F1953" i="7"/>
  <c r="F1954" i="7"/>
  <c r="F1955" i="7"/>
  <c r="F1956" i="7"/>
  <c r="G1956" i="7" s="1"/>
  <c r="F1957" i="7"/>
  <c r="F1958" i="7"/>
  <c r="F1959" i="7"/>
  <c r="F1960" i="7"/>
  <c r="G1960" i="7" s="1"/>
  <c r="F1961" i="7"/>
  <c r="F1962" i="7"/>
  <c r="F1963" i="7"/>
  <c r="I1963" i="7" s="1"/>
  <c r="F1964" i="7"/>
  <c r="I1964" i="7" s="1"/>
  <c r="F1965" i="7"/>
  <c r="F1966" i="7"/>
  <c r="F1967" i="7"/>
  <c r="I1967" i="7" s="1"/>
  <c r="F1968" i="7"/>
  <c r="I1968" i="7" s="1"/>
  <c r="F1969" i="7"/>
  <c r="F1970" i="7"/>
  <c r="F1971" i="7"/>
  <c r="F1972" i="7"/>
  <c r="I1972" i="7" s="1"/>
  <c r="F1973" i="7"/>
  <c r="F1974" i="7"/>
  <c r="F1975" i="7"/>
  <c r="F1976" i="7"/>
  <c r="I1976" i="7" s="1"/>
  <c r="F1977" i="7"/>
  <c r="F1978" i="7"/>
  <c r="F1979" i="7"/>
  <c r="F1980" i="7"/>
  <c r="G1980" i="7" s="1"/>
  <c r="F1981" i="7"/>
  <c r="F1982" i="7"/>
  <c r="F1983" i="7"/>
  <c r="G1983" i="7" s="1"/>
  <c r="F1984" i="7"/>
  <c r="G1984" i="7" s="1"/>
  <c r="F1985" i="7"/>
  <c r="F1986" i="7"/>
  <c r="F1987" i="7"/>
  <c r="G1987" i="7" s="1"/>
  <c r="F1988" i="7"/>
  <c r="F1989" i="7"/>
  <c r="F1990" i="7"/>
  <c r="F1991" i="7"/>
  <c r="F1992" i="7"/>
  <c r="F1993" i="7"/>
  <c r="F1994" i="7"/>
  <c r="G1994" i="7" s="1"/>
  <c r="F1995" i="7"/>
  <c r="G1995" i="7" s="1"/>
  <c r="F1996" i="7"/>
  <c r="F1997" i="7"/>
  <c r="F1998" i="7"/>
  <c r="I1998" i="7" s="1"/>
  <c r="F1999" i="7"/>
  <c r="F2000" i="7"/>
  <c r="F2001" i="7"/>
  <c r="F2002" i="7"/>
  <c r="I2002" i="7" s="1"/>
  <c r="F2003" i="7"/>
  <c r="F2004" i="7"/>
  <c r="F2005" i="7"/>
  <c r="G2005" i="7" s="1"/>
  <c r="F2006" i="7"/>
  <c r="F2007" i="7"/>
  <c r="F2008" i="7"/>
  <c r="F2009" i="7"/>
  <c r="G2009" i="7" s="1"/>
  <c r="F2010" i="7"/>
  <c r="F2011" i="7"/>
  <c r="F2012" i="7"/>
  <c r="F2013" i="7"/>
  <c r="I2013" i="7" s="1"/>
  <c r="F2014" i="7"/>
  <c r="F2015" i="7"/>
  <c r="F2016" i="7"/>
  <c r="F2017" i="7"/>
  <c r="G2017" i="7" s="1"/>
  <c r="F2018" i="7"/>
  <c r="F2019" i="7"/>
  <c r="F2020" i="7"/>
  <c r="F2021" i="7"/>
  <c r="G2021" i="7" s="1"/>
  <c r="F2022" i="7"/>
  <c r="F2023" i="7"/>
  <c r="F2024" i="7"/>
  <c r="F2025" i="7"/>
  <c r="G2025" i="7" s="1"/>
  <c r="F2026" i="7"/>
  <c r="F2027" i="7"/>
  <c r="F2028" i="7"/>
  <c r="F2029" i="7"/>
  <c r="H2029" i="7" s="1"/>
  <c r="F2030" i="7"/>
  <c r="F2031" i="7"/>
  <c r="F2032" i="7"/>
  <c r="F2033" i="7"/>
  <c r="G2033" i="7" s="1"/>
  <c r="F2034" i="7"/>
  <c r="F2035" i="7"/>
  <c r="F2036" i="7"/>
  <c r="F2037" i="7"/>
  <c r="G2037" i="7" s="1"/>
  <c r="F2038" i="7"/>
  <c r="F2039" i="7"/>
  <c r="F2040" i="7"/>
  <c r="F2041" i="7"/>
  <c r="G2041" i="7" s="1"/>
  <c r="F2042" i="7"/>
  <c r="F2043" i="7"/>
  <c r="F2044" i="7"/>
  <c r="F2045" i="7"/>
  <c r="I2045" i="7" s="1"/>
  <c r="F2046" i="7"/>
  <c r="F2047" i="7"/>
  <c r="F2048" i="7"/>
  <c r="F2049" i="7"/>
  <c r="G2049" i="7" s="1"/>
  <c r="F2050" i="7"/>
  <c r="F2051" i="7"/>
  <c r="F2052" i="7"/>
  <c r="F2053" i="7"/>
  <c r="G2053" i="7" s="1"/>
  <c r="F2054" i="7"/>
  <c r="F2055" i="7"/>
  <c r="F2056" i="7"/>
  <c r="F2057" i="7"/>
  <c r="G2057" i="7" s="1"/>
  <c r="F2058" i="7"/>
  <c r="F2059" i="7"/>
  <c r="F2060" i="7"/>
  <c r="F2061" i="7"/>
  <c r="I2061" i="7" s="1"/>
  <c r="F2062" i="7"/>
  <c r="F2063" i="7"/>
  <c r="F2064" i="7"/>
  <c r="F2065" i="7"/>
  <c r="G2065" i="7" s="1"/>
  <c r="F2066" i="7"/>
  <c r="F2067" i="7"/>
  <c r="F2068" i="7"/>
  <c r="F2069" i="7"/>
  <c r="G2069" i="7" s="1"/>
  <c r="F2070" i="7"/>
  <c r="F2071" i="7"/>
  <c r="F2072" i="7"/>
  <c r="F2073" i="7"/>
  <c r="G2073" i="7" s="1"/>
  <c r="F2074" i="7"/>
  <c r="F2075" i="7"/>
  <c r="F2076" i="7"/>
  <c r="F2077" i="7"/>
  <c r="G2077" i="7" s="1"/>
  <c r="F2078" i="7"/>
  <c r="F2079" i="7"/>
  <c r="F2080" i="7"/>
  <c r="F2081" i="7"/>
  <c r="G2081" i="7" s="1"/>
  <c r="F2082" i="7"/>
  <c r="F2083" i="7"/>
  <c r="F2084" i="7"/>
  <c r="F2085" i="7"/>
  <c r="G2085" i="7" s="1"/>
  <c r="F2086" i="7"/>
  <c r="F2087" i="7"/>
  <c r="F2088" i="7"/>
  <c r="F2089" i="7"/>
  <c r="G2089" i="7" s="1"/>
  <c r="F2090" i="7"/>
  <c r="F2091" i="7"/>
  <c r="F2092" i="7"/>
  <c r="F2093" i="7"/>
  <c r="I2093" i="7" s="1"/>
  <c r="F2094" i="7"/>
  <c r="F2095" i="7"/>
  <c r="F2096" i="7"/>
  <c r="F2097" i="7"/>
  <c r="G2097" i="7" s="1"/>
  <c r="F2098" i="7"/>
  <c r="F2099" i="7"/>
  <c r="F2100" i="7"/>
  <c r="F2101" i="7"/>
  <c r="G2101" i="7" s="1"/>
  <c r="F2102" i="7"/>
  <c r="F2103" i="7"/>
  <c r="F2104" i="7"/>
  <c r="F2105" i="7"/>
  <c r="G2105" i="7" s="1"/>
  <c r="F2106" i="7"/>
  <c r="F2107" i="7"/>
  <c r="F2108" i="7"/>
  <c r="F2109" i="7"/>
  <c r="I2109" i="7" s="1"/>
  <c r="F2110" i="7"/>
  <c r="F2111" i="7"/>
  <c r="F2112" i="7"/>
  <c r="F2113" i="7"/>
  <c r="G2113" i="7" s="1"/>
  <c r="F2114" i="7"/>
  <c r="F2115" i="7"/>
  <c r="F2116" i="7"/>
  <c r="F2117" i="7"/>
  <c r="G2117" i="7" s="1"/>
  <c r="F2118" i="7"/>
  <c r="F2119" i="7"/>
  <c r="F2120" i="7"/>
  <c r="F2121" i="7"/>
  <c r="G2121" i="7" s="1"/>
  <c r="F2122" i="7"/>
  <c r="F2123" i="7"/>
  <c r="F2124" i="7"/>
  <c r="F2125" i="7"/>
  <c r="H2125" i="7" s="1"/>
  <c r="F2126" i="7"/>
  <c r="F2127" i="7"/>
  <c r="F2128" i="7"/>
  <c r="F2129" i="7"/>
  <c r="G2129" i="7" s="1"/>
  <c r="F2130" i="7"/>
  <c r="F2131" i="7"/>
  <c r="F2132" i="7"/>
  <c r="F2133" i="7"/>
  <c r="G2133" i="7" s="1"/>
  <c r="F2134" i="7"/>
  <c r="F2135" i="7"/>
  <c r="I2135" i="7" s="1"/>
  <c r="F2136" i="7"/>
  <c r="H2136" i="7" s="1"/>
  <c r="F2137" i="7"/>
  <c r="G2137" i="7" s="1"/>
  <c r="F2138" i="7"/>
  <c r="G2138" i="7" s="1"/>
  <c r="F2139" i="7"/>
  <c r="G2139" i="7" s="1"/>
  <c r="F2140" i="7"/>
  <c r="I2140" i="7" s="1"/>
  <c r="F2141" i="7"/>
  <c r="G2141" i="7" s="1"/>
  <c r="F2142" i="7"/>
  <c r="G2142" i="7" s="1"/>
  <c r="F2143" i="7"/>
  <c r="G2143" i="7" s="1"/>
  <c r="F2144" i="7"/>
  <c r="I2144" i="7" s="1"/>
  <c r="F2145" i="7"/>
  <c r="G2145" i="7" s="1"/>
  <c r="F2146" i="7"/>
  <c r="G2146" i="7" s="1"/>
  <c r="F2147" i="7"/>
  <c r="G2147" i="7" s="1"/>
  <c r="F2148" i="7"/>
  <c r="G2148" i="7" s="1"/>
  <c r="F2149" i="7"/>
  <c r="G2149" i="7" s="1"/>
  <c r="F3" i="7"/>
  <c r="F4" i="7"/>
  <c r="F5" i="7"/>
  <c r="F2" i="7"/>
  <c r="G2" i="7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" i="7"/>
  <c r="H3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22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21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20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9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8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7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6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15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14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13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12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11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10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9" i="6"/>
  <c r="E624" i="6"/>
  <c r="E623" i="6"/>
  <c r="E622" i="6"/>
  <c r="E621" i="6"/>
  <c r="E8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7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6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4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3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2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M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" i="4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3" i="3"/>
  <c r="B4" i="3"/>
  <c r="B5" i="3"/>
  <c r="B6" i="3"/>
  <c r="B7" i="3"/>
  <c r="B2" i="3"/>
  <c r="L104" i="7" l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L381" i="7" s="1"/>
  <c r="L382" i="7" s="1"/>
  <c r="L383" i="7" s="1"/>
  <c r="L384" i="7" s="1"/>
  <c r="L385" i="7" s="1"/>
  <c r="L386" i="7" s="1"/>
  <c r="L387" i="7" s="1"/>
  <c r="L388" i="7" s="1"/>
  <c r="L389" i="7" s="1"/>
  <c r="L390" i="7" s="1"/>
  <c r="L391" i="7" s="1"/>
  <c r="L392" i="7" s="1"/>
  <c r="L393" i="7" s="1"/>
  <c r="L394" i="7" s="1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L410" i="7" s="1"/>
  <c r="L411" i="7" s="1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L427" i="7" s="1"/>
  <c r="L428" i="7" s="1"/>
  <c r="L429" i="7" s="1"/>
  <c r="L430" i="7" s="1"/>
  <c r="L431" i="7" s="1"/>
  <c r="L432" i="7" s="1"/>
  <c r="L433" i="7" s="1"/>
  <c r="L434" i="7" s="1"/>
  <c r="L435" i="7" s="1"/>
  <c r="L436" i="7" s="1"/>
  <c r="L437" i="7" s="1"/>
  <c r="L438" i="7" s="1"/>
  <c r="L439" i="7" s="1"/>
  <c r="L440" i="7" s="1"/>
  <c r="L441" i="7" s="1"/>
  <c r="L442" i="7" s="1"/>
  <c r="L443" i="7" s="1"/>
  <c r="L444" i="7" s="1"/>
  <c r="L445" i="7" s="1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L461" i="7" s="1"/>
  <c r="L462" i="7" s="1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L474" i="7" s="1"/>
  <c r="L475" i="7" s="1"/>
  <c r="L476" i="7" s="1"/>
  <c r="L477" i="7" s="1"/>
  <c r="L478" i="7" s="1"/>
  <c r="L479" i="7" s="1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L495" i="7" s="1"/>
  <c r="L496" i="7" s="1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 s="1"/>
  <c r="L513" i="7" s="1"/>
  <c r="L514" i="7" s="1"/>
  <c r="L515" i="7" s="1"/>
  <c r="L516" i="7" s="1"/>
  <c r="L517" i="7" s="1"/>
  <c r="L518" i="7" s="1"/>
  <c r="L519" i="7" s="1"/>
  <c r="L520" i="7" s="1"/>
  <c r="L521" i="7" s="1"/>
  <c r="L522" i="7" s="1"/>
  <c r="L523" i="7" s="1"/>
  <c r="L524" i="7" s="1"/>
  <c r="L525" i="7" s="1"/>
  <c r="L526" i="7" s="1"/>
  <c r="L527" i="7" s="1"/>
  <c r="L528" i="7" s="1"/>
  <c r="L529" i="7" s="1"/>
  <c r="L530" i="7" s="1"/>
  <c r="L531" i="7" s="1"/>
  <c r="L532" i="7" s="1"/>
  <c r="L533" i="7" s="1"/>
  <c r="L534" i="7" s="1"/>
  <c r="L535" i="7" s="1"/>
  <c r="L536" i="7" s="1"/>
  <c r="L537" i="7" s="1"/>
  <c r="L538" i="7" s="1"/>
  <c r="L539" i="7" s="1"/>
  <c r="L540" i="7" s="1"/>
  <c r="L541" i="7" s="1"/>
  <c r="L542" i="7" s="1"/>
  <c r="L543" i="7" s="1"/>
  <c r="L544" i="7" s="1"/>
  <c r="L545" i="7" s="1"/>
  <c r="L546" i="7" s="1"/>
  <c r="L547" i="7" s="1"/>
  <c r="L548" i="7" s="1"/>
  <c r="L549" i="7" s="1"/>
  <c r="L550" i="7" s="1"/>
  <c r="L551" i="7" s="1"/>
  <c r="L552" i="7" s="1"/>
  <c r="L553" i="7" s="1"/>
  <c r="L554" i="7" s="1"/>
  <c r="L555" i="7" s="1"/>
  <c r="L556" i="7" s="1"/>
  <c r="L557" i="7" s="1"/>
  <c r="L558" i="7" s="1"/>
  <c r="L559" i="7" s="1"/>
  <c r="L560" i="7" s="1"/>
  <c r="L561" i="7" s="1"/>
  <c r="L562" i="7" s="1"/>
  <c r="L563" i="7" s="1"/>
  <c r="L564" i="7" s="1"/>
  <c r="L565" i="7" s="1"/>
  <c r="L566" i="7" s="1"/>
  <c r="L567" i="7" s="1"/>
  <c r="L568" i="7" s="1"/>
  <c r="L569" i="7" s="1"/>
  <c r="L570" i="7" s="1"/>
  <c r="L571" i="7" s="1"/>
  <c r="L572" i="7" s="1"/>
  <c r="L573" i="7" s="1"/>
  <c r="L574" i="7" s="1"/>
  <c r="L575" i="7" s="1"/>
  <c r="L576" i="7" s="1"/>
  <c r="L577" i="7" s="1"/>
  <c r="L578" i="7" s="1"/>
  <c r="L579" i="7" s="1"/>
  <c r="L580" i="7" s="1"/>
  <c r="L581" i="7" s="1"/>
  <c r="L582" i="7" s="1"/>
  <c r="L583" i="7" s="1"/>
  <c r="L584" i="7" s="1"/>
  <c r="L585" i="7" s="1"/>
  <c r="L586" i="7" s="1"/>
  <c r="L587" i="7" s="1"/>
  <c r="L588" i="7" s="1"/>
  <c r="L589" i="7" s="1"/>
  <c r="L590" i="7" s="1"/>
  <c r="L591" i="7" s="1"/>
  <c r="L592" i="7" s="1"/>
  <c r="L593" i="7" s="1"/>
  <c r="L594" i="7" s="1"/>
  <c r="L595" i="7" s="1"/>
  <c r="L596" i="7" s="1"/>
  <c r="L597" i="7" s="1"/>
  <c r="L598" i="7" s="1"/>
  <c r="L599" i="7" s="1"/>
  <c r="L600" i="7" s="1"/>
  <c r="L601" i="7" s="1"/>
  <c r="L602" i="7" s="1"/>
  <c r="L603" i="7" s="1"/>
  <c r="L604" i="7" s="1"/>
  <c r="L605" i="7" s="1"/>
  <c r="L606" i="7" s="1"/>
  <c r="L607" i="7" s="1"/>
  <c r="L608" i="7" s="1"/>
  <c r="L609" i="7" s="1"/>
  <c r="L610" i="7" s="1"/>
  <c r="L611" i="7" s="1"/>
  <c r="L612" i="7" s="1"/>
  <c r="L613" i="7" s="1"/>
  <c r="L614" i="7" s="1"/>
  <c r="L615" i="7" s="1"/>
  <c r="L616" i="7" s="1"/>
  <c r="L617" i="7" s="1"/>
  <c r="L618" i="7" s="1"/>
  <c r="L619" i="7" s="1"/>
  <c r="L620" i="7" s="1"/>
  <c r="L621" i="7" s="1"/>
  <c r="L622" i="7" s="1"/>
  <c r="L623" i="7" s="1"/>
  <c r="L624" i="7" s="1"/>
  <c r="L625" i="7" s="1"/>
  <c r="L626" i="7" s="1"/>
  <c r="L627" i="7" s="1"/>
  <c r="L628" i="7" s="1"/>
  <c r="L629" i="7" s="1"/>
  <c r="L630" i="7" s="1"/>
  <c r="L631" i="7" s="1"/>
  <c r="L632" i="7" s="1"/>
  <c r="L633" i="7" s="1"/>
  <c r="L634" i="7" s="1"/>
  <c r="L635" i="7" s="1"/>
  <c r="L636" i="7" s="1"/>
  <c r="L637" i="7" s="1"/>
  <c r="L638" i="7" s="1"/>
  <c r="L639" i="7" s="1"/>
  <c r="L640" i="7" s="1"/>
  <c r="L641" i="7" s="1"/>
  <c r="L642" i="7" s="1"/>
  <c r="L643" i="7" s="1"/>
  <c r="L644" i="7" s="1"/>
  <c r="L645" i="7" s="1"/>
  <c r="L646" i="7" s="1"/>
  <c r="L647" i="7" s="1"/>
  <c r="L648" i="7" s="1"/>
  <c r="L649" i="7" s="1"/>
  <c r="L650" i="7" s="1"/>
  <c r="L651" i="7" s="1"/>
  <c r="L652" i="7" s="1"/>
  <c r="L653" i="7" s="1"/>
  <c r="L654" i="7" s="1"/>
  <c r="L655" i="7" s="1"/>
  <c r="L656" i="7" s="1"/>
  <c r="L657" i="7" s="1"/>
  <c r="L658" i="7" s="1"/>
  <c r="L659" i="7" s="1"/>
  <c r="L660" i="7" s="1"/>
  <c r="L661" i="7" s="1"/>
  <c r="L662" i="7" s="1"/>
  <c r="L663" i="7" s="1"/>
  <c r="L664" i="7" s="1"/>
  <c r="L665" i="7" s="1"/>
  <c r="L666" i="7" s="1"/>
  <c r="L667" i="7" s="1"/>
  <c r="L668" i="7" s="1"/>
  <c r="L669" i="7" s="1"/>
  <c r="L670" i="7" s="1"/>
  <c r="L671" i="7" s="1"/>
  <c r="L672" i="7" s="1"/>
  <c r="L673" i="7" s="1"/>
  <c r="L674" i="7" s="1"/>
  <c r="L675" i="7" s="1"/>
  <c r="L676" i="7" s="1"/>
  <c r="L677" i="7" s="1"/>
  <c r="L678" i="7" s="1"/>
  <c r="L679" i="7" s="1"/>
  <c r="L680" i="7" s="1"/>
  <c r="L681" i="7" s="1"/>
  <c r="L682" i="7" s="1"/>
  <c r="L683" i="7" s="1"/>
  <c r="L684" i="7" s="1"/>
  <c r="L685" i="7" s="1"/>
  <c r="L686" i="7" s="1"/>
  <c r="L687" i="7" s="1"/>
  <c r="L688" i="7" s="1"/>
  <c r="L689" i="7" s="1"/>
  <c r="L690" i="7" s="1"/>
  <c r="L691" i="7" s="1"/>
  <c r="L692" i="7" s="1"/>
  <c r="L693" i="7" s="1"/>
  <c r="L694" i="7" s="1"/>
  <c r="L695" i="7" s="1"/>
  <c r="L696" i="7" s="1"/>
  <c r="L697" i="7" s="1"/>
  <c r="L698" i="7" s="1"/>
  <c r="L699" i="7" s="1"/>
  <c r="L700" i="7" s="1"/>
  <c r="L701" i="7" s="1"/>
  <c r="L702" i="7" s="1"/>
  <c r="L703" i="7" s="1"/>
  <c r="L704" i="7" s="1"/>
  <c r="L705" i="7" s="1"/>
  <c r="L706" i="7" s="1"/>
  <c r="L707" i="7" s="1"/>
  <c r="L708" i="7" s="1"/>
  <c r="L709" i="7" s="1"/>
  <c r="L710" i="7" s="1"/>
  <c r="L711" i="7" s="1"/>
  <c r="L712" i="7" s="1"/>
  <c r="L713" i="7" s="1"/>
  <c r="L714" i="7" s="1"/>
  <c r="L715" i="7" s="1"/>
  <c r="L716" i="7" s="1"/>
  <c r="L717" i="7" s="1"/>
  <c r="L718" i="7" s="1"/>
  <c r="L719" i="7" s="1"/>
  <c r="L720" i="7" s="1"/>
  <c r="L721" i="7" s="1"/>
  <c r="L722" i="7" s="1"/>
  <c r="L723" i="7" s="1"/>
  <c r="L724" i="7" s="1"/>
  <c r="L725" i="7" s="1"/>
  <c r="L726" i="7" s="1"/>
  <c r="L727" i="7" s="1"/>
  <c r="L728" i="7" s="1"/>
  <c r="L729" i="7" s="1"/>
  <c r="L730" i="7" s="1"/>
  <c r="L731" i="7" s="1"/>
  <c r="L732" i="7" s="1"/>
  <c r="L733" i="7" s="1"/>
  <c r="L734" i="7" s="1"/>
  <c r="L735" i="7" s="1"/>
  <c r="L736" i="7" s="1"/>
  <c r="L737" i="7" s="1"/>
  <c r="L738" i="7" s="1"/>
  <c r="L739" i="7" s="1"/>
  <c r="L740" i="7" s="1"/>
  <c r="L741" i="7" s="1"/>
  <c r="L742" i="7" s="1"/>
  <c r="L743" i="7" s="1"/>
  <c r="L744" i="7" s="1"/>
  <c r="L745" i="7" s="1"/>
  <c r="L746" i="7" s="1"/>
  <c r="L747" i="7" s="1"/>
  <c r="L748" i="7" s="1"/>
  <c r="L749" i="7" s="1"/>
  <c r="L750" i="7" s="1"/>
  <c r="L751" i="7" s="1"/>
  <c r="L752" i="7" s="1"/>
  <c r="L753" i="7" s="1"/>
  <c r="L754" i="7" s="1"/>
  <c r="L755" i="7" s="1"/>
  <c r="L756" i="7" s="1"/>
  <c r="L757" i="7" s="1"/>
  <c r="L758" i="7" s="1"/>
  <c r="L759" i="7" s="1"/>
  <c r="L760" i="7" s="1"/>
  <c r="L761" i="7" s="1"/>
  <c r="L762" i="7" s="1"/>
  <c r="L763" i="7" s="1"/>
  <c r="L764" i="7" s="1"/>
  <c r="L765" i="7" s="1"/>
  <c r="L766" i="7" s="1"/>
  <c r="L767" i="7" s="1"/>
  <c r="L768" i="7" s="1"/>
  <c r="L769" i="7" s="1"/>
  <c r="L770" i="7" s="1"/>
  <c r="L771" i="7" s="1"/>
  <c r="L772" i="7" s="1"/>
  <c r="L773" i="7" s="1"/>
  <c r="L774" i="7" s="1"/>
  <c r="L775" i="7" s="1"/>
  <c r="L776" i="7" s="1"/>
  <c r="L777" i="7" s="1"/>
  <c r="L778" i="7" s="1"/>
  <c r="L779" i="7" s="1"/>
  <c r="L780" i="7" s="1"/>
  <c r="L781" i="7" s="1"/>
  <c r="L782" i="7" s="1"/>
  <c r="L783" i="7" s="1"/>
  <c r="L784" i="7" s="1"/>
  <c r="L785" i="7" s="1"/>
  <c r="L786" i="7" s="1"/>
  <c r="L787" i="7" s="1"/>
  <c r="L788" i="7" s="1"/>
  <c r="L789" i="7" s="1"/>
  <c r="L790" i="7" s="1"/>
  <c r="L791" i="7" s="1"/>
  <c r="L792" i="7" s="1"/>
  <c r="L793" i="7" s="1"/>
  <c r="L794" i="7" s="1"/>
  <c r="L795" i="7" s="1"/>
  <c r="L796" i="7" s="1"/>
  <c r="L797" i="7" s="1"/>
  <c r="L798" i="7" s="1"/>
  <c r="L799" i="7" s="1"/>
  <c r="L800" i="7" s="1"/>
  <c r="L801" i="7" s="1"/>
  <c r="L802" i="7" s="1"/>
  <c r="L803" i="7" s="1"/>
  <c r="L804" i="7" s="1"/>
  <c r="L805" i="7" s="1"/>
  <c r="L806" i="7" s="1"/>
  <c r="L807" i="7" s="1"/>
  <c r="L808" i="7" s="1"/>
  <c r="L809" i="7" s="1"/>
  <c r="L810" i="7" s="1"/>
  <c r="L811" i="7" s="1"/>
  <c r="L812" i="7" s="1"/>
  <c r="L813" i="7" s="1"/>
  <c r="L814" i="7" s="1"/>
  <c r="L815" i="7" s="1"/>
  <c r="L816" i="7" s="1"/>
  <c r="L817" i="7" s="1"/>
  <c r="L818" i="7" s="1"/>
  <c r="L819" i="7" s="1"/>
  <c r="L820" i="7" s="1"/>
  <c r="L821" i="7" s="1"/>
  <c r="L822" i="7" s="1"/>
  <c r="L823" i="7" s="1"/>
  <c r="L824" i="7" s="1"/>
  <c r="L825" i="7" s="1"/>
  <c r="L826" i="7" s="1"/>
  <c r="L827" i="7" s="1"/>
  <c r="L828" i="7" s="1"/>
  <c r="L829" i="7" s="1"/>
  <c r="L830" i="7" s="1"/>
  <c r="L831" i="7" s="1"/>
  <c r="L832" i="7" s="1"/>
  <c r="L833" i="7" s="1"/>
  <c r="L834" i="7" s="1"/>
  <c r="L835" i="7" s="1"/>
  <c r="L836" i="7" s="1"/>
  <c r="L837" i="7" s="1"/>
  <c r="L838" i="7" s="1"/>
  <c r="L839" i="7" s="1"/>
  <c r="L840" i="7" s="1"/>
  <c r="L841" i="7" s="1"/>
  <c r="L842" i="7" s="1"/>
  <c r="L843" i="7" s="1"/>
  <c r="L844" i="7" s="1"/>
  <c r="L845" i="7" s="1"/>
  <c r="L846" i="7" s="1"/>
  <c r="L847" i="7" s="1"/>
  <c r="L848" i="7" s="1"/>
  <c r="L849" i="7" s="1"/>
  <c r="L850" i="7" s="1"/>
  <c r="L851" i="7" s="1"/>
  <c r="L852" i="7" s="1"/>
  <c r="L853" i="7" s="1"/>
  <c r="L854" i="7" s="1"/>
  <c r="L855" i="7" s="1"/>
  <c r="L856" i="7" s="1"/>
  <c r="L857" i="7" s="1"/>
  <c r="L858" i="7" s="1"/>
  <c r="L859" i="7" s="1"/>
  <c r="L860" i="7" s="1"/>
  <c r="L861" i="7" s="1"/>
  <c r="L862" i="7" s="1"/>
  <c r="L863" i="7" s="1"/>
  <c r="L864" i="7" s="1"/>
  <c r="L865" i="7" s="1"/>
  <c r="L866" i="7" s="1"/>
  <c r="L867" i="7" s="1"/>
  <c r="L868" i="7" s="1"/>
  <c r="L869" i="7" s="1"/>
  <c r="L870" i="7" s="1"/>
  <c r="L871" i="7" s="1"/>
  <c r="L872" i="7" s="1"/>
  <c r="L873" i="7" s="1"/>
  <c r="L874" i="7" s="1"/>
  <c r="L875" i="7" s="1"/>
  <c r="L876" i="7" s="1"/>
  <c r="L877" i="7" s="1"/>
  <c r="L878" i="7" s="1"/>
  <c r="L879" i="7" s="1"/>
  <c r="L880" i="7" s="1"/>
  <c r="L881" i="7" s="1"/>
  <c r="L882" i="7" s="1"/>
  <c r="L883" i="7" s="1"/>
  <c r="L884" i="7" s="1"/>
  <c r="L885" i="7" s="1"/>
  <c r="L886" i="7" s="1"/>
  <c r="L887" i="7" s="1"/>
  <c r="L888" i="7" s="1"/>
  <c r="L889" i="7" s="1"/>
  <c r="L890" i="7" s="1"/>
  <c r="L891" i="7" s="1"/>
  <c r="L892" i="7" s="1"/>
  <c r="L893" i="7" s="1"/>
  <c r="L894" i="7" s="1"/>
  <c r="L895" i="7" s="1"/>
  <c r="L896" i="7" s="1"/>
  <c r="L897" i="7" s="1"/>
  <c r="L898" i="7" s="1"/>
  <c r="L899" i="7" s="1"/>
  <c r="L900" i="7" s="1"/>
  <c r="L901" i="7" s="1"/>
  <c r="L902" i="7" s="1"/>
  <c r="L903" i="7" s="1"/>
  <c r="L904" i="7" s="1"/>
  <c r="L905" i="7" s="1"/>
  <c r="L906" i="7" s="1"/>
  <c r="L907" i="7" s="1"/>
  <c r="L908" i="7" s="1"/>
  <c r="L909" i="7" s="1"/>
  <c r="L910" i="7" s="1"/>
  <c r="L911" i="7" s="1"/>
  <c r="L912" i="7" s="1"/>
  <c r="L913" i="7" s="1"/>
  <c r="L914" i="7" s="1"/>
  <c r="L915" i="7" s="1"/>
  <c r="L916" i="7" s="1"/>
  <c r="L917" i="7" s="1"/>
  <c r="L918" i="7" s="1"/>
  <c r="L919" i="7" s="1"/>
  <c r="L920" i="7" s="1"/>
  <c r="L921" i="7" s="1"/>
  <c r="L922" i="7" s="1"/>
  <c r="L923" i="7" s="1"/>
  <c r="L924" i="7" s="1"/>
  <c r="L925" i="7" s="1"/>
  <c r="L926" i="7" s="1"/>
  <c r="L927" i="7" s="1"/>
  <c r="L928" i="7" s="1"/>
  <c r="L929" i="7" s="1"/>
  <c r="L930" i="7" s="1"/>
  <c r="L931" i="7" s="1"/>
  <c r="L932" i="7" s="1"/>
  <c r="L933" i="7" s="1"/>
  <c r="L934" i="7" s="1"/>
  <c r="L935" i="7" s="1"/>
  <c r="L936" i="7" s="1"/>
  <c r="L937" i="7" s="1"/>
  <c r="L938" i="7" s="1"/>
  <c r="L939" i="7" s="1"/>
  <c r="L940" i="7" s="1"/>
  <c r="L941" i="7" s="1"/>
  <c r="L942" i="7" s="1"/>
  <c r="L943" i="7" s="1"/>
  <c r="L944" i="7" s="1"/>
  <c r="L945" i="7" s="1"/>
  <c r="L946" i="7" s="1"/>
  <c r="L947" i="7" s="1"/>
  <c r="L948" i="7" s="1"/>
  <c r="L949" i="7" s="1"/>
  <c r="L950" i="7" s="1"/>
  <c r="L951" i="7" s="1"/>
  <c r="L952" i="7" s="1"/>
  <c r="L953" i="7" s="1"/>
  <c r="L954" i="7" s="1"/>
  <c r="L955" i="7" s="1"/>
  <c r="L956" i="7" s="1"/>
  <c r="L957" i="7" s="1"/>
  <c r="L958" i="7" s="1"/>
  <c r="L959" i="7" s="1"/>
  <c r="L960" i="7" s="1"/>
  <c r="L961" i="7" s="1"/>
  <c r="L962" i="7" s="1"/>
  <c r="L963" i="7" s="1"/>
  <c r="L964" i="7" s="1"/>
  <c r="L965" i="7" s="1"/>
  <c r="L966" i="7" s="1"/>
  <c r="L967" i="7" s="1"/>
  <c r="L968" i="7" s="1"/>
  <c r="L969" i="7" s="1"/>
  <c r="L970" i="7" s="1"/>
  <c r="L971" i="7" s="1"/>
  <c r="L972" i="7" s="1"/>
  <c r="L973" i="7" s="1"/>
  <c r="L974" i="7" s="1"/>
  <c r="L975" i="7" s="1"/>
  <c r="L976" i="7" s="1"/>
  <c r="L977" i="7" s="1"/>
  <c r="L978" i="7" s="1"/>
  <c r="L979" i="7" s="1"/>
  <c r="L980" i="7" s="1"/>
  <c r="L981" i="7" s="1"/>
  <c r="L982" i="7" s="1"/>
  <c r="L983" i="7" s="1"/>
  <c r="L984" i="7" s="1"/>
  <c r="L985" i="7" s="1"/>
  <c r="L986" i="7" s="1"/>
  <c r="L987" i="7" s="1"/>
  <c r="L988" i="7" s="1"/>
  <c r="L989" i="7" s="1"/>
  <c r="L990" i="7" s="1"/>
  <c r="L991" i="7" s="1"/>
  <c r="L992" i="7" s="1"/>
  <c r="L993" i="7" s="1"/>
  <c r="L994" i="7" s="1"/>
  <c r="L995" i="7" s="1"/>
  <c r="L996" i="7" s="1"/>
  <c r="L997" i="7" s="1"/>
  <c r="L998" i="7" s="1"/>
  <c r="L999" i="7" s="1"/>
  <c r="L1000" i="7" s="1"/>
  <c r="L1001" i="7" s="1"/>
  <c r="L1002" i="7" s="1"/>
  <c r="L1003" i="7" s="1"/>
  <c r="L1004" i="7" s="1"/>
  <c r="L1005" i="7" s="1"/>
  <c r="L1006" i="7" s="1"/>
  <c r="L1007" i="7" s="1"/>
  <c r="L1008" i="7" s="1"/>
  <c r="L1009" i="7" s="1"/>
  <c r="L1010" i="7" s="1"/>
  <c r="L1011" i="7" s="1"/>
  <c r="L1012" i="7" s="1"/>
  <c r="L1013" i="7" s="1"/>
  <c r="L1014" i="7" s="1"/>
  <c r="L1015" i="7" s="1"/>
  <c r="L1016" i="7" s="1"/>
  <c r="L1017" i="7" s="1"/>
  <c r="L1018" i="7" s="1"/>
  <c r="L1019" i="7" s="1"/>
  <c r="L1020" i="7" s="1"/>
  <c r="L1021" i="7" s="1"/>
  <c r="L1022" i="7" s="1"/>
  <c r="L1023" i="7" s="1"/>
  <c r="L1024" i="7" s="1"/>
  <c r="L1025" i="7" s="1"/>
  <c r="L1026" i="7" s="1"/>
  <c r="L1027" i="7" s="1"/>
  <c r="L1028" i="7" s="1"/>
  <c r="L1029" i="7" s="1"/>
  <c r="L1030" i="7" s="1"/>
  <c r="L1031" i="7" s="1"/>
  <c r="L1032" i="7" s="1"/>
  <c r="L1033" i="7" s="1"/>
  <c r="L1034" i="7" s="1"/>
  <c r="L1035" i="7" s="1"/>
  <c r="L1036" i="7" s="1"/>
  <c r="L1037" i="7" s="1"/>
  <c r="L1038" i="7" s="1"/>
  <c r="L1039" i="7" s="1"/>
  <c r="L1040" i="7" s="1"/>
  <c r="L1041" i="7" s="1"/>
  <c r="L1042" i="7" s="1"/>
  <c r="L1043" i="7" s="1"/>
  <c r="L1044" i="7" s="1"/>
  <c r="L1045" i="7" s="1"/>
  <c r="L1046" i="7" s="1"/>
  <c r="L1047" i="7" s="1"/>
  <c r="L1048" i="7" s="1"/>
  <c r="L1049" i="7" s="1"/>
  <c r="L1050" i="7" s="1"/>
  <c r="L1051" i="7" s="1"/>
  <c r="L1052" i="7" s="1"/>
  <c r="L1053" i="7" s="1"/>
  <c r="L1054" i="7" s="1"/>
  <c r="L1055" i="7" s="1"/>
  <c r="L1056" i="7" s="1"/>
  <c r="L1057" i="7" s="1"/>
  <c r="L1058" i="7" s="1"/>
  <c r="L1059" i="7" s="1"/>
  <c r="L1060" i="7" s="1"/>
  <c r="L1061" i="7" s="1"/>
  <c r="L1062" i="7" s="1"/>
  <c r="L1063" i="7" s="1"/>
  <c r="L1064" i="7" s="1"/>
  <c r="L1065" i="7" s="1"/>
  <c r="L1066" i="7" s="1"/>
  <c r="L1067" i="7" s="1"/>
  <c r="L1068" i="7" s="1"/>
  <c r="L1069" i="7" s="1"/>
  <c r="L1070" i="7" s="1"/>
  <c r="L1071" i="7" s="1"/>
  <c r="L1072" i="7" s="1"/>
  <c r="L1073" i="7" s="1"/>
  <c r="L1074" i="7" s="1"/>
  <c r="L1075" i="7" s="1"/>
  <c r="L1076" i="7" s="1"/>
  <c r="L1077" i="7" s="1"/>
  <c r="L1078" i="7" s="1"/>
  <c r="L1079" i="7" s="1"/>
  <c r="L1080" i="7" s="1"/>
  <c r="L1081" i="7" s="1"/>
  <c r="L1082" i="7" s="1"/>
  <c r="L1083" i="7" s="1"/>
  <c r="L1084" i="7" s="1"/>
  <c r="L1085" i="7" s="1"/>
  <c r="L1086" i="7" s="1"/>
  <c r="L1087" i="7" s="1"/>
  <c r="L1088" i="7" s="1"/>
  <c r="L1089" i="7" s="1"/>
  <c r="L1090" i="7" s="1"/>
  <c r="L1091" i="7" s="1"/>
  <c r="L1092" i="7" s="1"/>
  <c r="L1093" i="7" s="1"/>
  <c r="L1094" i="7" s="1"/>
  <c r="L1095" i="7" s="1"/>
  <c r="L1096" i="7" s="1"/>
  <c r="L1097" i="7" s="1"/>
  <c r="L1098" i="7" s="1"/>
  <c r="L1099" i="7" s="1"/>
  <c r="L1100" i="7" s="1"/>
  <c r="L1101" i="7" s="1"/>
  <c r="L1102" i="7" s="1"/>
  <c r="L1103" i="7" s="1"/>
  <c r="L1104" i="7" s="1"/>
  <c r="L1105" i="7" s="1"/>
  <c r="L1106" i="7" s="1"/>
  <c r="L1107" i="7" s="1"/>
  <c r="L1108" i="7" s="1"/>
  <c r="L1109" i="7" s="1"/>
  <c r="L1110" i="7" s="1"/>
  <c r="L1111" i="7" s="1"/>
  <c r="L1112" i="7" s="1"/>
  <c r="L1113" i="7" s="1"/>
  <c r="L1114" i="7" s="1"/>
  <c r="L1115" i="7" s="1"/>
  <c r="L1116" i="7" s="1"/>
  <c r="L1117" i="7" s="1"/>
  <c r="L1118" i="7" s="1"/>
  <c r="L1119" i="7" s="1"/>
  <c r="L1120" i="7" s="1"/>
  <c r="L1121" i="7" s="1"/>
  <c r="L1122" i="7" s="1"/>
  <c r="L1123" i="7" s="1"/>
  <c r="L1124" i="7" s="1"/>
  <c r="L1125" i="7" s="1"/>
  <c r="L1126" i="7" s="1"/>
  <c r="L1127" i="7" s="1"/>
  <c r="L1128" i="7" s="1"/>
  <c r="L1129" i="7" s="1"/>
  <c r="L1130" i="7" s="1"/>
  <c r="L1131" i="7" s="1"/>
  <c r="L1132" i="7" s="1"/>
  <c r="L1133" i="7" s="1"/>
  <c r="L1134" i="7" s="1"/>
  <c r="L1135" i="7" s="1"/>
  <c r="L1136" i="7" s="1"/>
  <c r="L1137" i="7" s="1"/>
  <c r="L1138" i="7" s="1"/>
  <c r="L1139" i="7" s="1"/>
  <c r="L1140" i="7" s="1"/>
  <c r="L1141" i="7" s="1"/>
  <c r="L1142" i="7" s="1"/>
  <c r="L1143" i="7" s="1"/>
  <c r="L1144" i="7" s="1"/>
  <c r="L1145" i="7" s="1"/>
  <c r="L1146" i="7" s="1"/>
  <c r="L1147" i="7" s="1"/>
  <c r="L1148" i="7" s="1"/>
  <c r="L1149" i="7" s="1"/>
  <c r="L1150" i="7" s="1"/>
  <c r="L1151" i="7" s="1"/>
  <c r="L1152" i="7" s="1"/>
  <c r="L1153" i="7" s="1"/>
  <c r="L1154" i="7" s="1"/>
  <c r="L1155" i="7" s="1"/>
  <c r="L1156" i="7" s="1"/>
  <c r="L1157" i="7" s="1"/>
  <c r="L1158" i="7" s="1"/>
  <c r="L1159" i="7" s="1"/>
  <c r="L1160" i="7" s="1"/>
  <c r="L1161" i="7" s="1"/>
  <c r="L1162" i="7" s="1"/>
  <c r="L1163" i="7" s="1"/>
  <c r="L1164" i="7" s="1"/>
  <c r="L1165" i="7" s="1"/>
  <c r="L1166" i="7" s="1"/>
  <c r="L1167" i="7" s="1"/>
  <c r="L1168" i="7" s="1"/>
  <c r="L1169" i="7" s="1"/>
  <c r="L1170" i="7" s="1"/>
  <c r="L1171" i="7" s="1"/>
  <c r="L1172" i="7" s="1"/>
  <c r="L1173" i="7" s="1"/>
  <c r="L1174" i="7" s="1"/>
  <c r="L1175" i="7" s="1"/>
  <c r="L1176" i="7" s="1"/>
  <c r="L1177" i="7" s="1"/>
  <c r="L1178" i="7" s="1"/>
  <c r="L1179" i="7" s="1"/>
  <c r="L1180" i="7" s="1"/>
  <c r="L1181" i="7" s="1"/>
  <c r="L1182" i="7" s="1"/>
  <c r="L1183" i="7" s="1"/>
  <c r="L1184" i="7" s="1"/>
  <c r="L1185" i="7" s="1"/>
  <c r="L1186" i="7" s="1"/>
  <c r="L1187" i="7" s="1"/>
  <c r="L1188" i="7" s="1"/>
  <c r="L1189" i="7" s="1"/>
  <c r="L1190" i="7" s="1"/>
  <c r="L1191" i="7" s="1"/>
  <c r="L1192" i="7" s="1"/>
  <c r="L1193" i="7" s="1"/>
  <c r="L1194" i="7" s="1"/>
  <c r="L1195" i="7" s="1"/>
  <c r="L1196" i="7" s="1"/>
  <c r="L1197" i="7" s="1"/>
  <c r="L1198" i="7" s="1"/>
  <c r="L1199" i="7" s="1"/>
  <c r="L1200" i="7" s="1"/>
  <c r="L1201" i="7" s="1"/>
  <c r="L1202" i="7" s="1"/>
  <c r="L1203" i="7" s="1"/>
  <c r="L1204" i="7" s="1"/>
  <c r="L1205" i="7" s="1"/>
  <c r="L1206" i="7" s="1"/>
  <c r="L1207" i="7" s="1"/>
  <c r="L1208" i="7" s="1"/>
  <c r="L1209" i="7" s="1"/>
  <c r="L1210" i="7" s="1"/>
  <c r="L1211" i="7" s="1"/>
  <c r="L1212" i="7" s="1"/>
  <c r="L1213" i="7" s="1"/>
  <c r="L1214" i="7" s="1"/>
  <c r="L1215" i="7" s="1"/>
  <c r="L1216" i="7" s="1"/>
  <c r="L1217" i="7" s="1"/>
  <c r="L1218" i="7" s="1"/>
  <c r="L1219" i="7" s="1"/>
  <c r="L1220" i="7" s="1"/>
  <c r="L1221" i="7" s="1"/>
  <c r="L1222" i="7" s="1"/>
  <c r="L1223" i="7" s="1"/>
  <c r="L1224" i="7" s="1"/>
  <c r="L1225" i="7" s="1"/>
  <c r="L1226" i="7" s="1"/>
  <c r="L1227" i="7" s="1"/>
  <c r="L1228" i="7" s="1"/>
  <c r="L1229" i="7" s="1"/>
  <c r="L1230" i="7" s="1"/>
  <c r="L1231" i="7" s="1"/>
  <c r="L1232" i="7" s="1"/>
  <c r="L1233" i="7" s="1"/>
  <c r="L1234" i="7" s="1"/>
  <c r="L1235" i="7" s="1"/>
  <c r="L1236" i="7" s="1"/>
  <c r="L1237" i="7" s="1"/>
  <c r="L1238" i="7" s="1"/>
  <c r="L1239" i="7" s="1"/>
  <c r="L1240" i="7" s="1"/>
  <c r="L1241" i="7" s="1"/>
  <c r="L1242" i="7" s="1"/>
  <c r="L1243" i="7" s="1"/>
  <c r="L1244" i="7" s="1"/>
  <c r="L1245" i="7" s="1"/>
  <c r="L1246" i="7" s="1"/>
  <c r="L1247" i="7" s="1"/>
  <c r="L1248" i="7" s="1"/>
  <c r="L1249" i="7" s="1"/>
  <c r="L1250" i="7" s="1"/>
  <c r="L1251" i="7" s="1"/>
  <c r="L1252" i="7" s="1"/>
  <c r="L1253" i="7" s="1"/>
  <c r="L1254" i="7" s="1"/>
  <c r="L1255" i="7" s="1"/>
  <c r="L1256" i="7" s="1"/>
  <c r="L1257" i="7" s="1"/>
  <c r="L1258" i="7" s="1"/>
  <c r="L1259" i="7" s="1"/>
  <c r="L1260" i="7" s="1"/>
  <c r="L1261" i="7" s="1"/>
  <c r="L1262" i="7" s="1"/>
  <c r="L1263" i="7" s="1"/>
  <c r="L1264" i="7" s="1"/>
  <c r="L1265" i="7" s="1"/>
  <c r="L1266" i="7" s="1"/>
  <c r="L1267" i="7" s="1"/>
  <c r="L1268" i="7" s="1"/>
  <c r="L1269" i="7" s="1"/>
  <c r="L1270" i="7" s="1"/>
  <c r="L1271" i="7" s="1"/>
  <c r="L1272" i="7" s="1"/>
  <c r="L1273" i="7" s="1"/>
  <c r="L1274" i="7" s="1"/>
  <c r="L1275" i="7" s="1"/>
  <c r="L1276" i="7" s="1"/>
  <c r="L1277" i="7" s="1"/>
  <c r="L1278" i="7" s="1"/>
  <c r="L1279" i="7" s="1"/>
  <c r="L1280" i="7" s="1"/>
  <c r="L1281" i="7" s="1"/>
  <c r="L1282" i="7" s="1"/>
  <c r="L1283" i="7" s="1"/>
  <c r="L1284" i="7" s="1"/>
  <c r="L1285" i="7" s="1"/>
  <c r="L1286" i="7" s="1"/>
  <c r="L1287" i="7" s="1"/>
  <c r="L1288" i="7" s="1"/>
  <c r="L1289" i="7" s="1"/>
  <c r="L1290" i="7" s="1"/>
  <c r="L1291" i="7" s="1"/>
  <c r="L1292" i="7" s="1"/>
  <c r="L1293" i="7" s="1"/>
  <c r="L1294" i="7" s="1"/>
  <c r="L1295" i="7" s="1"/>
  <c r="L1296" i="7" s="1"/>
  <c r="L1297" i="7" s="1"/>
  <c r="L1298" i="7" s="1"/>
  <c r="L1299" i="7" s="1"/>
  <c r="L1300" i="7" s="1"/>
  <c r="L1301" i="7" s="1"/>
  <c r="L1302" i="7" s="1"/>
  <c r="L1303" i="7" s="1"/>
  <c r="L1304" i="7" s="1"/>
  <c r="L1305" i="7" s="1"/>
  <c r="L1306" i="7" s="1"/>
  <c r="L1307" i="7" s="1"/>
  <c r="L1308" i="7" s="1"/>
  <c r="L1309" i="7" s="1"/>
  <c r="L1310" i="7" s="1"/>
  <c r="L1311" i="7" s="1"/>
  <c r="L1312" i="7" s="1"/>
  <c r="L1313" i="7" s="1"/>
  <c r="L1314" i="7" s="1"/>
  <c r="L1315" i="7" s="1"/>
  <c r="L1316" i="7" s="1"/>
  <c r="L1317" i="7" s="1"/>
  <c r="L1318" i="7" s="1"/>
  <c r="L1319" i="7" s="1"/>
  <c r="L1320" i="7" s="1"/>
  <c r="L1321" i="7" s="1"/>
  <c r="L1322" i="7" s="1"/>
  <c r="L1323" i="7" s="1"/>
  <c r="L1324" i="7" s="1"/>
  <c r="L1325" i="7" s="1"/>
  <c r="L1326" i="7" s="1"/>
  <c r="L1327" i="7" s="1"/>
  <c r="L1328" i="7" s="1"/>
  <c r="L1329" i="7" s="1"/>
  <c r="L1330" i="7" s="1"/>
  <c r="L1331" i="7" s="1"/>
  <c r="L1332" i="7" s="1"/>
  <c r="L1333" i="7" s="1"/>
  <c r="L1334" i="7" s="1"/>
  <c r="L1335" i="7" s="1"/>
  <c r="L1336" i="7" s="1"/>
  <c r="L1337" i="7" s="1"/>
  <c r="L1338" i="7" s="1"/>
  <c r="L1339" i="7" s="1"/>
  <c r="L1340" i="7" s="1"/>
  <c r="L1341" i="7" s="1"/>
  <c r="L1342" i="7" s="1"/>
  <c r="L1343" i="7" s="1"/>
  <c r="L1344" i="7" s="1"/>
  <c r="L1345" i="7" s="1"/>
  <c r="L1346" i="7" s="1"/>
  <c r="L1347" i="7" s="1"/>
  <c r="L1348" i="7" s="1"/>
  <c r="L1349" i="7" s="1"/>
  <c r="L1350" i="7" s="1"/>
  <c r="L1351" i="7" s="1"/>
  <c r="L1352" i="7" s="1"/>
  <c r="L1353" i="7" s="1"/>
  <c r="L1354" i="7" s="1"/>
  <c r="L1355" i="7" s="1"/>
  <c r="L1356" i="7" s="1"/>
  <c r="L1357" i="7" s="1"/>
  <c r="L1358" i="7" s="1"/>
  <c r="L1359" i="7" s="1"/>
  <c r="L1360" i="7" s="1"/>
  <c r="L1361" i="7" s="1"/>
  <c r="L1362" i="7" s="1"/>
  <c r="L1363" i="7" s="1"/>
  <c r="L1364" i="7" s="1"/>
  <c r="L1365" i="7" s="1"/>
  <c r="L1366" i="7" s="1"/>
  <c r="L1367" i="7" s="1"/>
  <c r="L1368" i="7" s="1"/>
  <c r="L1369" i="7" s="1"/>
  <c r="L1370" i="7" s="1"/>
  <c r="L1371" i="7" s="1"/>
  <c r="L1372" i="7" s="1"/>
  <c r="L1373" i="7" s="1"/>
  <c r="L1374" i="7" s="1"/>
  <c r="L1375" i="7" s="1"/>
  <c r="L1376" i="7" s="1"/>
  <c r="L1377" i="7" s="1"/>
  <c r="L1378" i="7" s="1"/>
  <c r="L1379" i="7" s="1"/>
  <c r="L1380" i="7" s="1"/>
  <c r="L1381" i="7" s="1"/>
  <c r="L1382" i="7" s="1"/>
  <c r="L1383" i="7" s="1"/>
  <c r="L1384" i="7" s="1"/>
  <c r="L1385" i="7" s="1"/>
  <c r="L1386" i="7" s="1"/>
  <c r="L1387" i="7" s="1"/>
  <c r="L1388" i="7" s="1"/>
  <c r="L1389" i="7" s="1"/>
  <c r="L1390" i="7" s="1"/>
  <c r="L1391" i="7" s="1"/>
  <c r="L1392" i="7" s="1"/>
  <c r="L1393" i="7" s="1"/>
  <c r="L1394" i="7" s="1"/>
  <c r="L1395" i="7" s="1"/>
  <c r="L1396" i="7" s="1"/>
  <c r="L1397" i="7" s="1"/>
  <c r="L1398" i="7" s="1"/>
  <c r="L1399" i="7" s="1"/>
  <c r="L1400" i="7" s="1"/>
  <c r="L1401" i="7" s="1"/>
  <c r="L1402" i="7" s="1"/>
  <c r="L1403" i="7" s="1"/>
  <c r="L1404" i="7" s="1"/>
  <c r="L1405" i="7" s="1"/>
  <c r="L1406" i="7" s="1"/>
  <c r="L1407" i="7" s="1"/>
  <c r="L1408" i="7" s="1"/>
  <c r="L1409" i="7" s="1"/>
  <c r="L1410" i="7" s="1"/>
  <c r="L1411" i="7" s="1"/>
  <c r="L1412" i="7" s="1"/>
  <c r="L1413" i="7" s="1"/>
  <c r="L1414" i="7" s="1"/>
  <c r="L1415" i="7" s="1"/>
  <c r="L1416" i="7" s="1"/>
  <c r="L1417" i="7" s="1"/>
  <c r="L1418" i="7" s="1"/>
  <c r="L1419" i="7" s="1"/>
  <c r="L1420" i="7" s="1"/>
  <c r="L1421" i="7" s="1"/>
  <c r="L1422" i="7" s="1"/>
  <c r="L1423" i="7" s="1"/>
  <c r="L1424" i="7" s="1"/>
  <c r="L1425" i="7" s="1"/>
  <c r="L1426" i="7" s="1"/>
  <c r="L1427" i="7" s="1"/>
  <c r="L1428" i="7" s="1"/>
  <c r="L1429" i="7" s="1"/>
  <c r="L1430" i="7" s="1"/>
  <c r="L1431" i="7" s="1"/>
  <c r="L1432" i="7" s="1"/>
  <c r="L1433" i="7" s="1"/>
  <c r="L1434" i="7" s="1"/>
  <c r="L1435" i="7" s="1"/>
  <c r="L1436" i="7" s="1"/>
  <c r="L1437" i="7" s="1"/>
  <c r="L1438" i="7" s="1"/>
  <c r="L1439" i="7" s="1"/>
  <c r="L1440" i="7" s="1"/>
  <c r="L1441" i="7" s="1"/>
  <c r="L1442" i="7" s="1"/>
  <c r="L1443" i="7" s="1"/>
  <c r="L1444" i="7" s="1"/>
  <c r="L1445" i="7" s="1"/>
  <c r="L1446" i="7" s="1"/>
  <c r="L1447" i="7" s="1"/>
  <c r="L1448" i="7" s="1"/>
  <c r="L1449" i="7" s="1"/>
  <c r="L1450" i="7" s="1"/>
  <c r="L1451" i="7" s="1"/>
  <c r="L1452" i="7" s="1"/>
  <c r="L1453" i="7" s="1"/>
  <c r="L1454" i="7" s="1"/>
  <c r="L1455" i="7" s="1"/>
  <c r="L1456" i="7" s="1"/>
  <c r="L1457" i="7" s="1"/>
  <c r="L1458" i="7" s="1"/>
  <c r="L1459" i="7" s="1"/>
  <c r="L1460" i="7" s="1"/>
  <c r="L1461" i="7" s="1"/>
  <c r="L1462" i="7" s="1"/>
  <c r="L1463" i="7" s="1"/>
  <c r="L1464" i="7" s="1"/>
  <c r="L1465" i="7" s="1"/>
  <c r="L1466" i="7" s="1"/>
  <c r="L1467" i="7" s="1"/>
  <c r="L1468" i="7" s="1"/>
  <c r="L1469" i="7" s="1"/>
  <c r="L1470" i="7" s="1"/>
  <c r="L1471" i="7" s="1"/>
  <c r="L1472" i="7" s="1"/>
  <c r="L1473" i="7" s="1"/>
  <c r="L1474" i="7" s="1"/>
  <c r="L1475" i="7" s="1"/>
  <c r="L1476" i="7" s="1"/>
  <c r="L1477" i="7" s="1"/>
  <c r="L1478" i="7" s="1"/>
  <c r="L1479" i="7" s="1"/>
  <c r="L1480" i="7" s="1"/>
  <c r="L1481" i="7" s="1"/>
  <c r="L1482" i="7" s="1"/>
  <c r="L1483" i="7" s="1"/>
  <c r="L1484" i="7" s="1"/>
  <c r="L1485" i="7" s="1"/>
  <c r="L1486" i="7" s="1"/>
  <c r="L1487" i="7" s="1"/>
  <c r="L1488" i="7" s="1"/>
  <c r="L1489" i="7" s="1"/>
  <c r="L1490" i="7" s="1"/>
  <c r="L1491" i="7" s="1"/>
  <c r="L1492" i="7" s="1"/>
  <c r="L1493" i="7" s="1"/>
  <c r="L1494" i="7" s="1"/>
  <c r="L1495" i="7" s="1"/>
  <c r="L1496" i="7" s="1"/>
  <c r="L1497" i="7" s="1"/>
  <c r="L1498" i="7" s="1"/>
  <c r="L1499" i="7" s="1"/>
  <c r="L1500" i="7" s="1"/>
  <c r="L1501" i="7" s="1"/>
  <c r="L1502" i="7" s="1"/>
  <c r="L1503" i="7" s="1"/>
  <c r="L1504" i="7" s="1"/>
  <c r="L1505" i="7" s="1"/>
  <c r="L1506" i="7" s="1"/>
  <c r="L1507" i="7" s="1"/>
  <c r="L1508" i="7" s="1"/>
  <c r="L1509" i="7" s="1"/>
  <c r="L1510" i="7" s="1"/>
  <c r="L1511" i="7" s="1"/>
  <c r="L1512" i="7" s="1"/>
  <c r="L1513" i="7" s="1"/>
  <c r="L1514" i="7" s="1"/>
  <c r="L1515" i="7" s="1"/>
  <c r="L1516" i="7" s="1"/>
  <c r="L1517" i="7" s="1"/>
  <c r="L1518" i="7" s="1"/>
  <c r="L1519" i="7" s="1"/>
  <c r="L1520" i="7" s="1"/>
  <c r="L1521" i="7" s="1"/>
  <c r="L1522" i="7" s="1"/>
  <c r="L1523" i="7" s="1"/>
  <c r="L1524" i="7" s="1"/>
  <c r="L1525" i="7" s="1"/>
  <c r="L1526" i="7" s="1"/>
  <c r="L1527" i="7" s="1"/>
  <c r="L1528" i="7" s="1"/>
  <c r="L1529" i="7" s="1"/>
  <c r="L1530" i="7" s="1"/>
  <c r="L1531" i="7" s="1"/>
  <c r="L1532" i="7" s="1"/>
  <c r="L1533" i="7" s="1"/>
  <c r="L1534" i="7" s="1"/>
  <c r="L1535" i="7" s="1"/>
  <c r="L1536" i="7" s="1"/>
  <c r="L1537" i="7" s="1"/>
  <c r="L1538" i="7" s="1"/>
  <c r="L1539" i="7" s="1"/>
  <c r="L1540" i="7" s="1"/>
  <c r="L1541" i="7" s="1"/>
  <c r="L1542" i="7" s="1"/>
  <c r="L1543" i="7" s="1"/>
  <c r="L1544" i="7" s="1"/>
  <c r="L1545" i="7" s="1"/>
  <c r="L1546" i="7" s="1"/>
  <c r="L1547" i="7" s="1"/>
  <c r="L1548" i="7" s="1"/>
  <c r="L1549" i="7" s="1"/>
  <c r="L1550" i="7" s="1"/>
  <c r="L1551" i="7" s="1"/>
  <c r="L1552" i="7" s="1"/>
  <c r="L1553" i="7" s="1"/>
  <c r="L1554" i="7" s="1"/>
  <c r="L1555" i="7" s="1"/>
  <c r="L1556" i="7" s="1"/>
  <c r="L1557" i="7" s="1"/>
  <c r="L1558" i="7" s="1"/>
  <c r="L1559" i="7" s="1"/>
  <c r="L1560" i="7" s="1"/>
  <c r="L1561" i="7" s="1"/>
  <c r="L1562" i="7" s="1"/>
  <c r="L1563" i="7" s="1"/>
  <c r="L1564" i="7" s="1"/>
  <c r="L1565" i="7" s="1"/>
  <c r="L1566" i="7" s="1"/>
  <c r="L1567" i="7" s="1"/>
  <c r="L1568" i="7" s="1"/>
  <c r="L1569" i="7" s="1"/>
  <c r="L1570" i="7" s="1"/>
  <c r="L1571" i="7" s="1"/>
  <c r="L1572" i="7" s="1"/>
  <c r="L1573" i="7" s="1"/>
  <c r="L1574" i="7" s="1"/>
  <c r="L1575" i="7" s="1"/>
  <c r="L1576" i="7" s="1"/>
  <c r="L1577" i="7" s="1"/>
  <c r="L1578" i="7" s="1"/>
  <c r="L1579" i="7" s="1"/>
  <c r="L1580" i="7" s="1"/>
  <c r="L1581" i="7" s="1"/>
  <c r="L1582" i="7" s="1"/>
  <c r="L1583" i="7" s="1"/>
  <c r="L1584" i="7" s="1"/>
  <c r="L1585" i="7" s="1"/>
  <c r="L1586" i="7" s="1"/>
  <c r="L1587" i="7" s="1"/>
  <c r="L1588" i="7" s="1"/>
  <c r="L1589" i="7" s="1"/>
  <c r="L1590" i="7" s="1"/>
  <c r="L1591" i="7" s="1"/>
  <c r="L1592" i="7" s="1"/>
  <c r="L1593" i="7" s="1"/>
  <c r="L1594" i="7" s="1"/>
  <c r="L1595" i="7" s="1"/>
  <c r="L1596" i="7" s="1"/>
  <c r="L1597" i="7" s="1"/>
  <c r="L1598" i="7" s="1"/>
  <c r="L1599" i="7" s="1"/>
  <c r="L1600" i="7" s="1"/>
  <c r="L1601" i="7" s="1"/>
  <c r="L1602" i="7" s="1"/>
  <c r="L1603" i="7" s="1"/>
  <c r="L1604" i="7" s="1"/>
  <c r="L1605" i="7" s="1"/>
  <c r="L1606" i="7" s="1"/>
  <c r="L1607" i="7" s="1"/>
  <c r="L1608" i="7" s="1"/>
  <c r="L1609" i="7" s="1"/>
  <c r="L1610" i="7" s="1"/>
  <c r="L1611" i="7" s="1"/>
  <c r="L1612" i="7" s="1"/>
  <c r="L1613" i="7" s="1"/>
  <c r="L1614" i="7" s="1"/>
  <c r="L1615" i="7" s="1"/>
  <c r="L1616" i="7" s="1"/>
  <c r="L1617" i="7" s="1"/>
  <c r="L1618" i="7" s="1"/>
  <c r="L1619" i="7" s="1"/>
  <c r="L1620" i="7" s="1"/>
  <c r="L1621" i="7" s="1"/>
  <c r="L1622" i="7" s="1"/>
  <c r="L1623" i="7" s="1"/>
  <c r="L1624" i="7" s="1"/>
  <c r="L1625" i="7" s="1"/>
  <c r="L1626" i="7" s="1"/>
  <c r="L1627" i="7" s="1"/>
  <c r="L1628" i="7" s="1"/>
  <c r="L1629" i="7" s="1"/>
  <c r="L1630" i="7" s="1"/>
  <c r="L1631" i="7" s="1"/>
  <c r="L1632" i="7" s="1"/>
  <c r="L1633" i="7" s="1"/>
  <c r="L1634" i="7" s="1"/>
  <c r="L1635" i="7" s="1"/>
  <c r="L1636" i="7" s="1"/>
  <c r="L1637" i="7" s="1"/>
  <c r="L1638" i="7" s="1"/>
  <c r="L1639" i="7" s="1"/>
  <c r="L1640" i="7" s="1"/>
  <c r="L1641" i="7" s="1"/>
  <c r="L1642" i="7" s="1"/>
  <c r="L1643" i="7" s="1"/>
  <c r="L1644" i="7" s="1"/>
  <c r="L1645" i="7" s="1"/>
  <c r="L1646" i="7" s="1"/>
  <c r="L1647" i="7" s="1"/>
  <c r="L1648" i="7" s="1"/>
  <c r="L1649" i="7" s="1"/>
  <c r="L1650" i="7" s="1"/>
  <c r="L1651" i="7" s="1"/>
  <c r="L1652" i="7" s="1"/>
  <c r="L1653" i="7" s="1"/>
  <c r="L1654" i="7" s="1"/>
  <c r="L1655" i="7" s="1"/>
  <c r="L1656" i="7" s="1"/>
  <c r="L1657" i="7" s="1"/>
  <c r="L1658" i="7" s="1"/>
  <c r="L1659" i="7" s="1"/>
  <c r="L1660" i="7" s="1"/>
  <c r="L1661" i="7" s="1"/>
  <c r="L1662" i="7" s="1"/>
  <c r="L1663" i="7" s="1"/>
  <c r="L1664" i="7" s="1"/>
  <c r="L1665" i="7" s="1"/>
  <c r="L1666" i="7" s="1"/>
  <c r="L1667" i="7" s="1"/>
  <c r="L1668" i="7" s="1"/>
  <c r="L1669" i="7" s="1"/>
  <c r="L1670" i="7" s="1"/>
  <c r="L1671" i="7" s="1"/>
  <c r="L1672" i="7" s="1"/>
  <c r="L1673" i="7" s="1"/>
  <c r="L1674" i="7" s="1"/>
  <c r="L1675" i="7" s="1"/>
  <c r="L1676" i="7" s="1"/>
  <c r="L1677" i="7" s="1"/>
  <c r="L1678" i="7" s="1"/>
  <c r="L1679" i="7" s="1"/>
  <c r="L1680" i="7" s="1"/>
  <c r="L1681" i="7" s="1"/>
  <c r="L1682" i="7" s="1"/>
  <c r="L1683" i="7" s="1"/>
  <c r="L1684" i="7" s="1"/>
  <c r="L1685" i="7" s="1"/>
  <c r="L1686" i="7" s="1"/>
  <c r="L1687" i="7" s="1"/>
  <c r="L1688" i="7" s="1"/>
  <c r="L1689" i="7" s="1"/>
  <c r="L1690" i="7" s="1"/>
  <c r="L1691" i="7" s="1"/>
  <c r="L1692" i="7" s="1"/>
  <c r="L1693" i="7" s="1"/>
  <c r="L1694" i="7" s="1"/>
  <c r="L1695" i="7" s="1"/>
  <c r="L1696" i="7" s="1"/>
  <c r="L1697" i="7" s="1"/>
  <c r="L1698" i="7" s="1"/>
  <c r="L1699" i="7" s="1"/>
  <c r="L1700" i="7" s="1"/>
  <c r="L1701" i="7" s="1"/>
  <c r="L1702" i="7" s="1"/>
  <c r="L1703" i="7" s="1"/>
  <c r="L1704" i="7" s="1"/>
  <c r="L1705" i="7" s="1"/>
  <c r="L1706" i="7" s="1"/>
  <c r="L1707" i="7" s="1"/>
  <c r="L1708" i="7" s="1"/>
  <c r="L1709" i="7" s="1"/>
  <c r="L1710" i="7" s="1"/>
  <c r="L1711" i="7" s="1"/>
  <c r="L1712" i="7" s="1"/>
  <c r="L1713" i="7" s="1"/>
  <c r="L1714" i="7" s="1"/>
  <c r="L1715" i="7" s="1"/>
  <c r="L1716" i="7" s="1"/>
  <c r="L1717" i="7" s="1"/>
  <c r="L1718" i="7" s="1"/>
  <c r="L1719" i="7" s="1"/>
  <c r="L1720" i="7" s="1"/>
  <c r="L1721" i="7" s="1"/>
  <c r="L1722" i="7" s="1"/>
  <c r="L1723" i="7" s="1"/>
  <c r="L1724" i="7" s="1"/>
  <c r="L1725" i="7" s="1"/>
  <c r="L1726" i="7" s="1"/>
  <c r="L1727" i="7" s="1"/>
  <c r="L1728" i="7" s="1"/>
  <c r="L1729" i="7" s="1"/>
  <c r="L1730" i="7" s="1"/>
  <c r="L1731" i="7" s="1"/>
  <c r="L1732" i="7" s="1"/>
  <c r="L1733" i="7" s="1"/>
  <c r="L1734" i="7" s="1"/>
  <c r="L1735" i="7" s="1"/>
  <c r="L1736" i="7" s="1"/>
  <c r="L1737" i="7" s="1"/>
  <c r="L1738" i="7" s="1"/>
  <c r="L1739" i="7" s="1"/>
  <c r="L1740" i="7" s="1"/>
  <c r="L1741" i="7" s="1"/>
  <c r="L1742" i="7" s="1"/>
  <c r="L1743" i="7" s="1"/>
  <c r="L1744" i="7" s="1"/>
  <c r="L1745" i="7" s="1"/>
  <c r="L1746" i="7" s="1"/>
  <c r="L1747" i="7" s="1"/>
  <c r="L1748" i="7" s="1"/>
  <c r="L1749" i="7" s="1"/>
  <c r="L1750" i="7" s="1"/>
  <c r="L1751" i="7" s="1"/>
  <c r="L1752" i="7" s="1"/>
  <c r="L1753" i="7" s="1"/>
  <c r="L1754" i="7" s="1"/>
  <c r="L1755" i="7" s="1"/>
  <c r="L1756" i="7" s="1"/>
  <c r="L1757" i="7" s="1"/>
  <c r="L1758" i="7" s="1"/>
  <c r="L1759" i="7" s="1"/>
  <c r="L1760" i="7" s="1"/>
  <c r="L1761" i="7" s="1"/>
  <c r="L1762" i="7" s="1"/>
  <c r="L1763" i="7" s="1"/>
  <c r="L1764" i="7" s="1"/>
  <c r="L1765" i="7" s="1"/>
  <c r="L1766" i="7" s="1"/>
  <c r="L1767" i="7" s="1"/>
  <c r="L1768" i="7" s="1"/>
  <c r="L1769" i="7" s="1"/>
  <c r="L1770" i="7" s="1"/>
  <c r="L1771" i="7" s="1"/>
  <c r="L1772" i="7" s="1"/>
  <c r="L1773" i="7" s="1"/>
  <c r="L1774" i="7" s="1"/>
  <c r="L1775" i="7" s="1"/>
  <c r="L1776" i="7" s="1"/>
  <c r="L1777" i="7" s="1"/>
  <c r="L1778" i="7" s="1"/>
  <c r="L1779" i="7" s="1"/>
  <c r="L1780" i="7" s="1"/>
  <c r="L1781" i="7" s="1"/>
  <c r="L1782" i="7" s="1"/>
  <c r="L1783" i="7" s="1"/>
  <c r="L1784" i="7" s="1"/>
  <c r="L1785" i="7" s="1"/>
  <c r="L1786" i="7" s="1"/>
  <c r="L1787" i="7" s="1"/>
  <c r="L1788" i="7" s="1"/>
  <c r="L1789" i="7" s="1"/>
  <c r="L1790" i="7" s="1"/>
  <c r="L1791" i="7" s="1"/>
  <c r="L1792" i="7" s="1"/>
  <c r="L1793" i="7" s="1"/>
  <c r="L1794" i="7" s="1"/>
  <c r="L1795" i="7" s="1"/>
  <c r="L1796" i="7" s="1"/>
  <c r="L1797" i="7" s="1"/>
  <c r="L1798" i="7" s="1"/>
  <c r="L1799" i="7" s="1"/>
  <c r="L1800" i="7" s="1"/>
  <c r="L1801" i="7" s="1"/>
  <c r="L1802" i="7" s="1"/>
  <c r="L1803" i="7" s="1"/>
  <c r="L1804" i="7" s="1"/>
  <c r="L1805" i="7" s="1"/>
  <c r="L1806" i="7" s="1"/>
  <c r="L1807" i="7" s="1"/>
  <c r="L1808" i="7" s="1"/>
  <c r="L1809" i="7" s="1"/>
  <c r="L1810" i="7" s="1"/>
  <c r="L1811" i="7" s="1"/>
  <c r="L1812" i="7" s="1"/>
  <c r="L1813" i="7" s="1"/>
  <c r="L1814" i="7" s="1"/>
  <c r="L1815" i="7" s="1"/>
  <c r="L1816" i="7" s="1"/>
  <c r="L1817" i="7" s="1"/>
  <c r="L1818" i="7" s="1"/>
  <c r="L1819" i="7" s="1"/>
  <c r="L1820" i="7" s="1"/>
  <c r="L1821" i="7" s="1"/>
  <c r="L1822" i="7" s="1"/>
  <c r="L1823" i="7" s="1"/>
  <c r="L1824" i="7" s="1"/>
  <c r="L1825" i="7" s="1"/>
  <c r="L1826" i="7" s="1"/>
  <c r="L1827" i="7" s="1"/>
  <c r="L1828" i="7" s="1"/>
  <c r="L1829" i="7" s="1"/>
  <c r="L1830" i="7" s="1"/>
  <c r="L1831" i="7" s="1"/>
  <c r="L1832" i="7" s="1"/>
  <c r="L1833" i="7" s="1"/>
  <c r="L1834" i="7" s="1"/>
  <c r="L1835" i="7" s="1"/>
  <c r="L1836" i="7" s="1"/>
  <c r="L1837" i="7" s="1"/>
  <c r="L1838" i="7" s="1"/>
  <c r="L1839" i="7" s="1"/>
  <c r="L1840" i="7" s="1"/>
  <c r="L1841" i="7" s="1"/>
  <c r="L1842" i="7" s="1"/>
  <c r="L1843" i="7" s="1"/>
  <c r="L1844" i="7" s="1"/>
  <c r="L1845" i="7" s="1"/>
  <c r="L1846" i="7" s="1"/>
  <c r="L1847" i="7" s="1"/>
  <c r="L1848" i="7" s="1"/>
  <c r="L1849" i="7" s="1"/>
  <c r="L1850" i="7" s="1"/>
  <c r="L1851" i="7" s="1"/>
  <c r="L1852" i="7" s="1"/>
  <c r="L1853" i="7" s="1"/>
  <c r="L1854" i="7" s="1"/>
  <c r="L1855" i="7" s="1"/>
  <c r="L1856" i="7" s="1"/>
  <c r="L1857" i="7" s="1"/>
  <c r="L1858" i="7" s="1"/>
  <c r="L1859" i="7" s="1"/>
  <c r="L1860" i="7" s="1"/>
  <c r="L1861" i="7" s="1"/>
  <c r="L1862" i="7" s="1"/>
  <c r="L1863" i="7" s="1"/>
  <c r="L1864" i="7" s="1"/>
  <c r="L1865" i="7" s="1"/>
  <c r="L1866" i="7" s="1"/>
  <c r="L1867" i="7" s="1"/>
  <c r="L1868" i="7" s="1"/>
  <c r="L1869" i="7" s="1"/>
  <c r="L1870" i="7" s="1"/>
  <c r="L1871" i="7" s="1"/>
  <c r="L1872" i="7" s="1"/>
  <c r="L1873" i="7" s="1"/>
  <c r="L1874" i="7" s="1"/>
  <c r="L1875" i="7" s="1"/>
  <c r="L1876" i="7" s="1"/>
  <c r="L1877" i="7" s="1"/>
  <c r="L1878" i="7" s="1"/>
  <c r="L1879" i="7" s="1"/>
  <c r="L1880" i="7" s="1"/>
  <c r="L1881" i="7" s="1"/>
  <c r="L1882" i="7" s="1"/>
  <c r="L1883" i="7" s="1"/>
  <c r="L1884" i="7" s="1"/>
  <c r="L1885" i="7" s="1"/>
  <c r="L1886" i="7" s="1"/>
  <c r="L1887" i="7" s="1"/>
  <c r="L1888" i="7" s="1"/>
  <c r="L1889" i="7" s="1"/>
  <c r="L1890" i="7" s="1"/>
  <c r="L1891" i="7" s="1"/>
  <c r="L1892" i="7" s="1"/>
  <c r="L1893" i="7" s="1"/>
  <c r="L1894" i="7" s="1"/>
  <c r="L1895" i="7" s="1"/>
  <c r="L1896" i="7" s="1"/>
  <c r="L1897" i="7" s="1"/>
  <c r="L1898" i="7" s="1"/>
  <c r="L1899" i="7" s="1"/>
  <c r="L1900" i="7" s="1"/>
  <c r="L1901" i="7" s="1"/>
  <c r="L1902" i="7" s="1"/>
  <c r="L1903" i="7" s="1"/>
  <c r="L1904" i="7" s="1"/>
  <c r="L1905" i="7" s="1"/>
  <c r="L1906" i="7" s="1"/>
  <c r="L1907" i="7" s="1"/>
  <c r="L1908" i="7" s="1"/>
  <c r="L1909" i="7" s="1"/>
  <c r="L1910" i="7" s="1"/>
  <c r="L1911" i="7" s="1"/>
  <c r="L1912" i="7" s="1"/>
  <c r="L1913" i="7" s="1"/>
  <c r="L1914" i="7" s="1"/>
  <c r="L1915" i="7" s="1"/>
  <c r="L1916" i="7" s="1"/>
  <c r="L1917" i="7" s="1"/>
  <c r="L1918" i="7" s="1"/>
  <c r="L1919" i="7" s="1"/>
  <c r="L1920" i="7" s="1"/>
  <c r="L1921" i="7" s="1"/>
  <c r="L1922" i="7" s="1"/>
  <c r="L1923" i="7" s="1"/>
  <c r="L1924" i="7" s="1"/>
  <c r="L1925" i="7" s="1"/>
  <c r="L1926" i="7" s="1"/>
  <c r="L1927" i="7" s="1"/>
  <c r="L1928" i="7" s="1"/>
  <c r="L1929" i="7" s="1"/>
  <c r="L1930" i="7" s="1"/>
  <c r="L1931" i="7" s="1"/>
  <c r="L1932" i="7" s="1"/>
  <c r="L1933" i="7" s="1"/>
  <c r="L1934" i="7" s="1"/>
  <c r="L1935" i="7" s="1"/>
  <c r="L1936" i="7" s="1"/>
  <c r="L1937" i="7" s="1"/>
  <c r="L1938" i="7" s="1"/>
  <c r="L1939" i="7" s="1"/>
  <c r="L1940" i="7" s="1"/>
  <c r="L1941" i="7" s="1"/>
  <c r="L1942" i="7" s="1"/>
  <c r="L1943" i="7" s="1"/>
  <c r="L1944" i="7" s="1"/>
  <c r="L1945" i="7" s="1"/>
  <c r="L1946" i="7" s="1"/>
  <c r="L1947" i="7" s="1"/>
  <c r="L1948" i="7" s="1"/>
  <c r="L1949" i="7" s="1"/>
  <c r="L1950" i="7" s="1"/>
  <c r="L1951" i="7" s="1"/>
  <c r="L1952" i="7" s="1"/>
  <c r="L1953" i="7" s="1"/>
  <c r="L1954" i="7" s="1"/>
  <c r="L1955" i="7" s="1"/>
  <c r="L1956" i="7" s="1"/>
  <c r="L1957" i="7" s="1"/>
  <c r="L1958" i="7" s="1"/>
  <c r="L1959" i="7" s="1"/>
  <c r="L1960" i="7" s="1"/>
  <c r="L1961" i="7" s="1"/>
  <c r="L1962" i="7" s="1"/>
  <c r="L1963" i="7" s="1"/>
  <c r="L1964" i="7" s="1"/>
  <c r="L1965" i="7" s="1"/>
  <c r="L1966" i="7" s="1"/>
  <c r="L1967" i="7" s="1"/>
  <c r="L1968" i="7" s="1"/>
  <c r="L1969" i="7" s="1"/>
  <c r="L1970" i="7" s="1"/>
  <c r="L1971" i="7" s="1"/>
  <c r="L1972" i="7" s="1"/>
  <c r="L1973" i="7" s="1"/>
  <c r="L1974" i="7" s="1"/>
  <c r="L1975" i="7" s="1"/>
  <c r="L1976" i="7" s="1"/>
  <c r="L1977" i="7" s="1"/>
  <c r="L1978" i="7" s="1"/>
  <c r="L1979" i="7" s="1"/>
  <c r="L1980" i="7" s="1"/>
  <c r="L1981" i="7" s="1"/>
  <c r="L1982" i="7" s="1"/>
  <c r="L1983" i="7" s="1"/>
  <c r="L1984" i="7" s="1"/>
  <c r="L1985" i="7" s="1"/>
  <c r="L1986" i="7" s="1"/>
  <c r="L1987" i="7" s="1"/>
  <c r="L1988" i="7" s="1"/>
  <c r="L1989" i="7" s="1"/>
  <c r="L1990" i="7" s="1"/>
  <c r="L1991" i="7" s="1"/>
  <c r="L1992" i="7" s="1"/>
  <c r="L1993" i="7" s="1"/>
  <c r="L1994" i="7" s="1"/>
  <c r="L1995" i="7" s="1"/>
  <c r="L1996" i="7" s="1"/>
  <c r="L1997" i="7" s="1"/>
  <c r="L1998" i="7" s="1"/>
  <c r="L1999" i="7" s="1"/>
  <c r="L2000" i="7" s="1"/>
  <c r="L2001" i="7" s="1"/>
  <c r="L2002" i="7" s="1"/>
  <c r="L2003" i="7" s="1"/>
  <c r="L2004" i="7" s="1"/>
  <c r="L2005" i="7" s="1"/>
  <c r="L2006" i="7" s="1"/>
  <c r="L2007" i="7" s="1"/>
  <c r="L2008" i="7" s="1"/>
  <c r="L2009" i="7" s="1"/>
  <c r="L2010" i="7" s="1"/>
  <c r="L2011" i="7" s="1"/>
  <c r="L2012" i="7" s="1"/>
  <c r="L2013" i="7" s="1"/>
  <c r="L2014" i="7" s="1"/>
  <c r="L2015" i="7" s="1"/>
  <c r="L2016" i="7" s="1"/>
  <c r="L2017" i="7" s="1"/>
  <c r="L2018" i="7" s="1"/>
  <c r="L2019" i="7" s="1"/>
  <c r="L2020" i="7" s="1"/>
  <c r="L2021" i="7" s="1"/>
  <c r="L2022" i="7" s="1"/>
  <c r="L2023" i="7" s="1"/>
  <c r="L2024" i="7" s="1"/>
  <c r="L2025" i="7" s="1"/>
  <c r="L2026" i="7" s="1"/>
  <c r="L2027" i="7" s="1"/>
  <c r="L2028" i="7" s="1"/>
  <c r="L2029" i="7" s="1"/>
  <c r="L2030" i="7" s="1"/>
  <c r="L2031" i="7" s="1"/>
  <c r="L2032" i="7" s="1"/>
  <c r="L2033" i="7" s="1"/>
  <c r="L2034" i="7" s="1"/>
  <c r="L2035" i="7" s="1"/>
  <c r="L2036" i="7" s="1"/>
  <c r="L2037" i="7" s="1"/>
  <c r="L2038" i="7" s="1"/>
  <c r="L2039" i="7" s="1"/>
  <c r="L2040" i="7" s="1"/>
  <c r="L2041" i="7" s="1"/>
  <c r="L2042" i="7" s="1"/>
  <c r="L2043" i="7" s="1"/>
  <c r="L2044" i="7" s="1"/>
  <c r="L2045" i="7" s="1"/>
  <c r="L2046" i="7" s="1"/>
  <c r="L2047" i="7" s="1"/>
  <c r="L2048" i="7" s="1"/>
  <c r="L2049" i="7" s="1"/>
  <c r="L2050" i="7" s="1"/>
  <c r="L2051" i="7" s="1"/>
  <c r="L2052" i="7" s="1"/>
  <c r="L2053" i="7" s="1"/>
  <c r="L2054" i="7" s="1"/>
  <c r="L2055" i="7" s="1"/>
  <c r="L2056" i="7" s="1"/>
  <c r="L2057" i="7" s="1"/>
  <c r="L2058" i="7" s="1"/>
  <c r="L2059" i="7" s="1"/>
  <c r="L2060" i="7" s="1"/>
  <c r="L2061" i="7" s="1"/>
  <c r="L2062" i="7" s="1"/>
  <c r="L2063" i="7" s="1"/>
  <c r="L2064" i="7" s="1"/>
  <c r="L2065" i="7" s="1"/>
  <c r="L2066" i="7" s="1"/>
  <c r="L2067" i="7" s="1"/>
  <c r="L2068" i="7" s="1"/>
  <c r="L2069" i="7" s="1"/>
  <c r="L2070" i="7" s="1"/>
  <c r="L2071" i="7" s="1"/>
  <c r="L2072" i="7" s="1"/>
  <c r="L2073" i="7" s="1"/>
  <c r="L2074" i="7" s="1"/>
  <c r="L2075" i="7" s="1"/>
  <c r="L2076" i="7" s="1"/>
  <c r="L2077" i="7" s="1"/>
  <c r="L2078" i="7" s="1"/>
  <c r="L2079" i="7" s="1"/>
  <c r="L2080" i="7" s="1"/>
  <c r="L2081" i="7" s="1"/>
  <c r="L2082" i="7" s="1"/>
  <c r="L2083" i="7" s="1"/>
  <c r="L2084" i="7" s="1"/>
  <c r="L2085" i="7" s="1"/>
  <c r="L2086" i="7" s="1"/>
  <c r="L2087" i="7" s="1"/>
  <c r="L2088" i="7" s="1"/>
  <c r="L2089" i="7" s="1"/>
  <c r="L2090" i="7" s="1"/>
  <c r="L2091" i="7" s="1"/>
  <c r="L2092" i="7" s="1"/>
  <c r="L2093" i="7" s="1"/>
  <c r="L2094" i="7" s="1"/>
  <c r="L2095" i="7" s="1"/>
  <c r="L2096" i="7" s="1"/>
  <c r="L2097" i="7" s="1"/>
  <c r="L2098" i="7" s="1"/>
  <c r="L2099" i="7" s="1"/>
  <c r="L2100" i="7" s="1"/>
  <c r="L2101" i="7" s="1"/>
  <c r="L2102" i="7" s="1"/>
  <c r="L2103" i="7" s="1"/>
  <c r="L2104" i="7" s="1"/>
  <c r="L2105" i="7" s="1"/>
  <c r="L2106" i="7" s="1"/>
  <c r="L2107" i="7" s="1"/>
  <c r="L2108" i="7" s="1"/>
  <c r="L2109" i="7" s="1"/>
  <c r="L2110" i="7" s="1"/>
  <c r="L2111" i="7" s="1"/>
  <c r="L2112" i="7" s="1"/>
  <c r="L2113" i="7" s="1"/>
  <c r="L2114" i="7" s="1"/>
  <c r="L2115" i="7" s="1"/>
  <c r="L2116" i="7" s="1"/>
  <c r="L2117" i="7" s="1"/>
  <c r="L2118" i="7" s="1"/>
  <c r="L2119" i="7" s="1"/>
  <c r="L2120" i="7" s="1"/>
  <c r="L2121" i="7" s="1"/>
  <c r="L2122" i="7" s="1"/>
  <c r="L2123" i="7" s="1"/>
  <c r="L2124" i="7" s="1"/>
  <c r="L2125" i="7" s="1"/>
  <c r="L2126" i="7" s="1"/>
  <c r="L2127" i="7" s="1"/>
  <c r="L2128" i="7" s="1"/>
  <c r="L2129" i="7" s="1"/>
  <c r="L2130" i="7" s="1"/>
  <c r="L2131" i="7" s="1"/>
  <c r="L2132" i="7" s="1"/>
  <c r="L2133" i="7" s="1"/>
  <c r="L2134" i="7" s="1"/>
  <c r="L2135" i="7" s="1"/>
  <c r="L2136" i="7" s="1"/>
  <c r="L2137" i="7" s="1"/>
  <c r="L2138" i="7" s="1"/>
  <c r="L2139" i="7" s="1"/>
  <c r="L2140" i="7" s="1"/>
  <c r="L2141" i="7" s="1"/>
  <c r="L2142" i="7" s="1"/>
  <c r="L2143" i="7" s="1"/>
  <c r="L2144" i="7" s="1"/>
  <c r="L2145" i="7" s="1"/>
  <c r="L2146" i="7" s="1"/>
  <c r="L2147" i="7" s="1"/>
  <c r="L2148" i="7" s="1"/>
  <c r="L2149" i="7" s="1"/>
  <c r="L2150" i="7" s="1"/>
  <c r="L2151" i="7" s="1"/>
  <c r="H2144" i="7"/>
  <c r="G2144" i="7"/>
  <c r="K2144" i="7" s="1"/>
  <c r="H2045" i="7"/>
  <c r="O3" i="7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H2" i="7"/>
  <c r="G2045" i="7"/>
  <c r="K2045" i="7" s="1"/>
  <c r="I1829" i="7"/>
  <c r="H1829" i="7"/>
  <c r="I1442" i="7"/>
  <c r="H1442" i="7"/>
  <c r="I1936" i="7"/>
  <c r="H2061" i="7"/>
  <c r="H1952" i="7"/>
  <c r="H1844" i="7"/>
  <c r="H1737" i="7"/>
  <c r="H1536" i="7"/>
  <c r="H2148" i="7"/>
  <c r="G2061" i="7"/>
  <c r="K2061" i="7" s="1"/>
  <c r="G1952" i="7"/>
  <c r="G1844" i="7"/>
  <c r="G1723" i="7"/>
  <c r="I1489" i="7"/>
  <c r="H1707" i="7"/>
  <c r="I2" i="7"/>
  <c r="H2140" i="7"/>
  <c r="H2013" i="7"/>
  <c r="H1905" i="7"/>
  <c r="H1814" i="7"/>
  <c r="G1707" i="7"/>
  <c r="G2140" i="7"/>
  <c r="G2013" i="7"/>
  <c r="K2013" i="7" s="1"/>
  <c r="G1905" i="7"/>
  <c r="G1814" i="7"/>
  <c r="G1692" i="7"/>
  <c r="H1936" i="7"/>
  <c r="G2136" i="7"/>
  <c r="H1998" i="7"/>
  <c r="I1889" i="7"/>
  <c r="H1799" i="7"/>
  <c r="H2135" i="7"/>
  <c r="G1998" i="7"/>
  <c r="H1889" i="7"/>
  <c r="G1799" i="7"/>
  <c r="H2109" i="7"/>
  <c r="I1983" i="7"/>
  <c r="I1874" i="7"/>
  <c r="G1784" i="7"/>
  <c r="G2109" i="7"/>
  <c r="H1983" i="7"/>
  <c r="H1874" i="7"/>
  <c r="I1768" i="7"/>
  <c r="H2093" i="7"/>
  <c r="G1968" i="7"/>
  <c r="H1859" i="7"/>
  <c r="K1859" i="7" s="1"/>
  <c r="H1768" i="7"/>
  <c r="G2093" i="7"/>
  <c r="G1859" i="7"/>
  <c r="I1737" i="7"/>
  <c r="I1536" i="7"/>
  <c r="G1969" i="7"/>
  <c r="H1969" i="7"/>
  <c r="I1969" i="7"/>
  <c r="G1813" i="7"/>
  <c r="H1813" i="7"/>
  <c r="I1813" i="7"/>
  <c r="G1693" i="7"/>
  <c r="H1693" i="7"/>
  <c r="I1693" i="7"/>
  <c r="I1405" i="7"/>
  <c r="H1405" i="7"/>
  <c r="G1405" i="7"/>
  <c r="H1321" i="7"/>
  <c r="I1321" i="7"/>
  <c r="G1321" i="7"/>
  <c r="G1189" i="7"/>
  <c r="H1189" i="7"/>
  <c r="I1189" i="7"/>
  <c r="G1057" i="7"/>
  <c r="H1057" i="7"/>
  <c r="I1057" i="7"/>
  <c r="I937" i="7"/>
  <c r="G937" i="7"/>
  <c r="H937" i="7"/>
  <c r="G817" i="7"/>
  <c r="H817" i="7"/>
  <c r="I817" i="7"/>
  <c r="I733" i="7"/>
  <c r="G733" i="7"/>
  <c r="H733" i="7"/>
  <c r="G661" i="7"/>
  <c r="H661" i="7"/>
  <c r="I661" i="7"/>
  <c r="G589" i="7"/>
  <c r="H589" i="7"/>
  <c r="I589" i="7"/>
  <c r="G529" i="7"/>
  <c r="H529" i="7"/>
  <c r="I529" i="7"/>
  <c r="H469" i="7"/>
  <c r="I469" i="7"/>
  <c r="G469" i="7"/>
  <c r="G397" i="7"/>
  <c r="H397" i="7"/>
  <c r="I397" i="7"/>
  <c r="I301" i="7"/>
  <c r="G301" i="7"/>
  <c r="H301" i="7"/>
  <c r="H205" i="7"/>
  <c r="G205" i="7"/>
  <c r="I205" i="7"/>
  <c r="G133" i="7"/>
  <c r="H133" i="7"/>
  <c r="I133" i="7"/>
  <c r="I85" i="7"/>
  <c r="G85" i="7"/>
  <c r="H85" i="7"/>
  <c r="H13" i="7"/>
  <c r="G13" i="7"/>
  <c r="I13" i="7"/>
  <c r="H1800" i="7"/>
  <c r="I1800" i="7"/>
  <c r="G1800" i="7"/>
  <c r="G1740" i="7"/>
  <c r="H1740" i="7"/>
  <c r="I1740" i="7"/>
  <c r="G1656" i="7"/>
  <c r="H1656" i="7"/>
  <c r="I1584" i="7"/>
  <c r="G1584" i="7"/>
  <c r="H1584" i="7"/>
  <c r="G1464" i="7"/>
  <c r="H1464" i="7"/>
  <c r="I1464" i="7"/>
  <c r="I1344" i="7"/>
  <c r="G1344" i="7"/>
  <c r="H1344" i="7"/>
  <c r="H1248" i="7"/>
  <c r="I1248" i="7"/>
  <c r="G1140" i="7"/>
  <c r="H1140" i="7"/>
  <c r="I1140" i="7"/>
  <c r="G1032" i="7"/>
  <c r="H1032" i="7"/>
  <c r="I1032" i="7"/>
  <c r="G972" i="7"/>
  <c r="H972" i="7"/>
  <c r="I972" i="7"/>
  <c r="I900" i="7"/>
  <c r="G900" i="7"/>
  <c r="H900" i="7"/>
  <c r="K900" i="7" s="1"/>
  <c r="G780" i="7"/>
  <c r="H780" i="7"/>
  <c r="I780" i="7"/>
  <c r="I696" i="7"/>
  <c r="G696" i="7"/>
  <c r="H696" i="7"/>
  <c r="G564" i="7"/>
  <c r="H564" i="7"/>
  <c r="I564" i="7"/>
  <c r="G360" i="7"/>
  <c r="H360" i="7"/>
  <c r="I360" i="7"/>
  <c r="H2126" i="7"/>
  <c r="I2126" i="7"/>
  <c r="G2126" i="7"/>
  <c r="H2114" i="7"/>
  <c r="I2114" i="7"/>
  <c r="G2114" i="7"/>
  <c r="H2102" i="7"/>
  <c r="I2102" i="7"/>
  <c r="G2102" i="7"/>
  <c r="H2090" i="7"/>
  <c r="I2090" i="7"/>
  <c r="G2090" i="7"/>
  <c r="H2078" i="7"/>
  <c r="I2078" i="7"/>
  <c r="G2078" i="7"/>
  <c r="H2066" i="7"/>
  <c r="I2066" i="7"/>
  <c r="G2066" i="7"/>
  <c r="H2054" i="7"/>
  <c r="I2054" i="7"/>
  <c r="G2054" i="7"/>
  <c r="H2042" i="7"/>
  <c r="I2042" i="7"/>
  <c r="G2042" i="7"/>
  <c r="H2030" i="7"/>
  <c r="I2030" i="7"/>
  <c r="G2030" i="7"/>
  <c r="H2018" i="7"/>
  <c r="I2018" i="7"/>
  <c r="G2018" i="7"/>
  <c r="H2006" i="7"/>
  <c r="I2006" i="7"/>
  <c r="G2006" i="7"/>
  <c r="G1982" i="7"/>
  <c r="H1982" i="7"/>
  <c r="I1982" i="7"/>
  <c r="G1970" i="7"/>
  <c r="H1970" i="7"/>
  <c r="I1970" i="7"/>
  <c r="G1958" i="7"/>
  <c r="H1958" i="7"/>
  <c r="I1958" i="7"/>
  <c r="G1946" i="7"/>
  <c r="H1946" i="7"/>
  <c r="I1946" i="7"/>
  <c r="G1934" i="7"/>
  <c r="H1934" i="7"/>
  <c r="I1934" i="7"/>
  <c r="G1922" i="7"/>
  <c r="K1922" i="7" s="1"/>
  <c r="H1922" i="7"/>
  <c r="I1922" i="7"/>
  <c r="G1910" i="7"/>
  <c r="H1910" i="7"/>
  <c r="I1910" i="7"/>
  <c r="H1898" i="7"/>
  <c r="I1898" i="7"/>
  <c r="G1898" i="7"/>
  <c r="G1862" i="7"/>
  <c r="H1862" i="7"/>
  <c r="I1862" i="7"/>
  <c r="G1850" i="7"/>
  <c r="H1850" i="7"/>
  <c r="I1850" i="7"/>
  <c r="G1838" i="7"/>
  <c r="H1838" i="7"/>
  <c r="I1838" i="7"/>
  <c r="G1802" i="7"/>
  <c r="H1802" i="7"/>
  <c r="I1802" i="7"/>
  <c r="G1790" i="7"/>
  <c r="H1790" i="7"/>
  <c r="I1790" i="7"/>
  <c r="G1778" i="7"/>
  <c r="H1778" i="7"/>
  <c r="I1778" i="7"/>
  <c r="G1766" i="7"/>
  <c r="H1766" i="7"/>
  <c r="I1766" i="7"/>
  <c r="I1754" i="7"/>
  <c r="H1754" i="7"/>
  <c r="I1742" i="7"/>
  <c r="H1742" i="7"/>
  <c r="G1718" i="7"/>
  <c r="H1718" i="7"/>
  <c r="I1718" i="7"/>
  <c r="G1706" i="7"/>
  <c r="H1706" i="7"/>
  <c r="I1706" i="7"/>
  <c r="G1694" i="7"/>
  <c r="K1694" i="7" s="1"/>
  <c r="H1694" i="7"/>
  <c r="I1694" i="7"/>
  <c r="G1682" i="7"/>
  <c r="H1682" i="7"/>
  <c r="I1682" i="7"/>
  <c r="H1670" i="7"/>
  <c r="I1670" i="7"/>
  <c r="G1670" i="7"/>
  <c r="G1658" i="7"/>
  <c r="I1658" i="7"/>
  <c r="G1646" i="7"/>
  <c r="H1646" i="7"/>
  <c r="I1646" i="7"/>
  <c r="H1634" i="7"/>
  <c r="I1634" i="7"/>
  <c r="G1634" i="7"/>
  <c r="I1622" i="7"/>
  <c r="G1622" i="7"/>
  <c r="H1622" i="7"/>
  <c r="G1610" i="7"/>
  <c r="H1610" i="7"/>
  <c r="I1610" i="7"/>
  <c r="G1598" i="7"/>
  <c r="H1598" i="7"/>
  <c r="I1598" i="7"/>
  <c r="G1586" i="7"/>
  <c r="H1586" i="7"/>
  <c r="I1586" i="7"/>
  <c r="H1574" i="7"/>
  <c r="I1574" i="7"/>
  <c r="G1574" i="7"/>
  <c r="H1562" i="7"/>
  <c r="I1562" i="7"/>
  <c r="G1562" i="7"/>
  <c r="G1550" i="7"/>
  <c r="H1550" i="7"/>
  <c r="I1550" i="7"/>
  <c r="H1538" i="7"/>
  <c r="I1538" i="7"/>
  <c r="H1526" i="7"/>
  <c r="I1526" i="7"/>
  <c r="G1514" i="7"/>
  <c r="I1514" i="7"/>
  <c r="G1502" i="7"/>
  <c r="H1502" i="7"/>
  <c r="G1490" i="7"/>
  <c r="H1490" i="7"/>
  <c r="H1478" i="7"/>
  <c r="I1478" i="7"/>
  <c r="G1478" i="7"/>
  <c r="G1430" i="7"/>
  <c r="H1430" i="7"/>
  <c r="G1418" i="7"/>
  <c r="H1418" i="7"/>
  <c r="I1418" i="7"/>
  <c r="G1406" i="7"/>
  <c r="I1406" i="7"/>
  <c r="H1406" i="7"/>
  <c r="H1394" i="7"/>
  <c r="I1394" i="7"/>
  <c r="G1394" i="7"/>
  <c r="I1382" i="7"/>
  <c r="G1382" i="7"/>
  <c r="G1370" i="7"/>
  <c r="I1370" i="7"/>
  <c r="G1358" i="7"/>
  <c r="H1358" i="7"/>
  <c r="I1358" i="7"/>
  <c r="G1346" i="7"/>
  <c r="H1346" i="7"/>
  <c r="I1346" i="7"/>
  <c r="G1334" i="7"/>
  <c r="H1334" i="7"/>
  <c r="I1334" i="7"/>
  <c r="G1322" i="7"/>
  <c r="H1322" i="7"/>
  <c r="I1322" i="7"/>
  <c r="H1310" i="7"/>
  <c r="I1310" i="7"/>
  <c r="G1310" i="7"/>
  <c r="G1298" i="7"/>
  <c r="H1298" i="7"/>
  <c r="I1298" i="7"/>
  <c r="G1286" i="7"/>
  <c r="H1286" i="7"/>
  <c r="I1286" i="7"/>
  <c r="H1274" i="7"/>
  <c r="I1274" i="7"/>
  <c r="G1274" i="7"/>
  <c r="G1262" i="7"/>
  <c r="H1262" i="7"/>
  <c r="G1250" i="7"/>
  <c r="I1250" i="7"/>
  <c r="G1238" i="7"/>
  <c r="H1238" i="7"/>
  <c r="I1238" i="7"/>
  <c r="G1226" i="7"/>
  <c r="H1226" i="7"/>
  <c r="I1226" i="7"/>
  <c r="G1214" i="7"/>
  <c r="H1214" i="7"/>
  <c r="I1214" i="7"/>
  <c r="I1202" i="7"/>
  <c r="H1202" i="7"/>
  <c r="G1190" i="7"/>
  <c r="I1190" i="7"/>
  <c r="G1178" i="7"/>
  <c r="H1178" i="7"/>
  <c r="I1178" i="7"/>
  <c r="G1166" i="7"/>
  <c r="H1166" i="7"/>
  <c r="I1166" i="7"/>
  <c r="G1154" i="7"/>
  <c r="I1154" i="7"/>
  <c r="H1154" i="7"/>
  <c r="H1142" i="7"/>
  <c r="I1142" i="7"/>
  <c r="G1130" i="7"/>
  <c r="H1130" i="7"/>
  <c r="I1130" i="7"/>
  <c r="G1118" i="7"/>
  <c r="H1118" i="7"/>
  <c r="I1118" i="7"/>
  <c r="G1106" i="7"/>
  <c r="H1106" i="7"/>
  <c r="I1106" i="7"/>
  <c r="I1094" i="7"/>
  <c r="G1094" i="7"/>
  <c r="H1094" i="7"/>
  <c r="G1082" i="7"/>
  <c r="H1082" i="7"/>
  <c r="I1082" i="7"/>
  <c r="G1070" i="7"/>
  <c r="H1070" i="7"/>
  <c r="I1070" i="7"/>
  <c r="G1058" i="7"/>
  <c r="H1058" i="7"/>
  <c r="I1058" i="7"/>
  <c r="G1046" i="7"/>
  <c r="H1046" i="7"/>
  <c r="I1046" i="7"/>
  <c r="I1034" i="7"/>
  <c r="H1034" i="7"/>
  <c r="G1022" i="7"/>
  <c r="H1022" i="7"/>
  <c r="I1022" i="7"/>
  <c r="G1010" i="7"/>
  <c r="H1010" i="7"/>
  <c r="I1010" i="7"/>
  <c r="G998" i="7"/>
  <c r="H998" i="7"/>
  <c r="I998" i="7"/>
  <c r="I986" i="7"/>
  <c r="H986" i="7"/>
  <c r="I974" i="7"/>
  <c r="G974" i="7"/>
  <c r="H974" i="7"/>
  <c r="G962" i="7"/>
  <c r="H962" i="7"/>
  <c r="I962" i="7"/>
  <c r="G950" i="7"/>
  <c r="H950" i="7"/>
  <c r="I950" i="7"/>
  <c r="G938" i="7"/>
  <c r="H938" i="7"/>
  <c r="I938" i="7"/>
  <c r="G926" i="7"/>
  <c r="H926" i="7"/>
  <c r="I926" i="7"/>
  <c r="G914" i="7"/>
  <c r="H914" i="7"/>
  <c r="I914" i="7"/>
  <c r="G902" i="7"/>
  <c r="H902" i="7"/>
  <c r="I902" i="7"/>
  <c r="G890" i="7"/>
  <c r="H890" i="7"/>
  <c r="I890" i="7"/>
  <c r="I878" i="7"/>
  <c r="G878" i="7"/>
  <c r="H878" i="7"/>
  <c r="G866" i="7"/>
  <c r="H866" i="7"/>
  <c r="I866" i="7"/>
  <c r="G854" i="7"/>
  <c r="H854" i="7"/>
  <c r="I854" i="7"/>
  <c r="G842" i="7"/>
  <c r="H842" i="7"/>
  <c r="I842" i="7"/>
  <c r="I830" i="7"/>
  <c r="H830" i="7"/>
  <c r="G830" i="7"/>
  <c r="G818" i="7"/>
  <c r="H818" i="7"/>
  <c r="I818" i="7"/>
  <c r="G806" i="7"/>
  <c r="H806" i="7"/>
  <c r="I806" i="7"/>
  <c r="G794" i="7"/>
  <c r="H794" i="7"/>
  <c r="I794" i="7"/>
  <c r="I782" i="7"/>
  <c r="H782" i="7"/>
  <c r="G782" i="7"/>
  <c r="I770" i="7"/>
  <c r="G770" i="7"/>
  <c r="H770" i="7"/>
  <c r="G758" i="7"/>
  <c r="H758" i="7"/>
  <c r="I758" i="7"/>
  <c r="G746" i="7"/>
  <c r="H746" i="7"/>
  <c r="I746" i="7"/>
  <c r="I734" i="7"/>
  <c r="H734" i="7"/>
  <c r="G734" i="7"/>
  <c r="G722" i="7"/>
  <c r="I722" i="7"/>
  <c r="H722" i="7"/>
  <c r="G710" i="7"/>
  <c r="H710" i="7"/>
  <c r="I710" i="7"/>
  <c r="G698" i="7"/>
  <c r="H698" i="7"/>
  <c r="I698" i="7"/>
  <c r="G686" i="7"/>
  <c r="H686" i="7"/>
  <c r="I686" i="7"/>
  <c r="I674" i="7"/>
  <c r="G674" i="7"/>
  <c r="H674" i="7"/>
  <c r="G662" i="7"/>
  <c r="H662" i="7"/>
  <c r="I662" i="7"/>
  <c r="G650" i="7"/>
  <c r="H650" i="7"/>
  <c r="I650" i="7"/>
  <c r="I638" i="7"/>
  <c r="H638" i="7"/>
  <c r="G638" i="7"/>
  <c r="G626" i="7"/>
  <c r="H626" i="7"/>
  <c r="I626" i="7"/>
  <c r="G614" i="7"/>
  <c r="H614" i="7"/>
  <c r="I614" i="7"/>
  <c r="G602" i="7"/>
  <c r="K602" i="7" s="1"/>
  <c r="H602" i="7"/>
  <c r="I602" i="7"/>
  <c r="G590" i="7"/>
  <c r="H590" i="7"/>
  <c r="I590" i="7"/>
  <c r="G578" i="7"/>
  <c r="H578" i="7"/>
  <c r="I578" i="7"/>
  <c r="H566" i="7"/>
  <c r="I566" i="7"/>
  <c r="G566" i="7"/>
  <c r="G554" i="7"/>
  <c r="H554" i="7"/>
  <c r="I554" i="7"/>
  <c r="H542" i="7"/>
  <c r="I542" i="7"/>
  <c r="G542" i="7"/>
  <c r="G530" i="7"/>
  <c r="H530" i="7"/>
  <c r="I530" i="7"/>
  <c r="H518" i="7"/>
  <c r="I518" i="7"/>
  <c r="G518" i="7"/>
  <c r="G506" i="7"/>
  <c r="H506" i="7"/>
  <c r="I506" i="7"/>
  <c r="G494" i="7"/>
  <c r="H494" i="7"/>
  <c r="I494" i="7"/>
  <c r="H482" i="7"/>
  <c r="I482" i="7"/>
  <c r="G482" i="7"/>
  <c r="G470" i="7"/>
  <c r="H470" i="7"/>
  <c r="I470" i="7"/>
  <c r="I458" i="7"/>
  <c r="G458" i="7"/>
  <c r="H458" i="7"/>
  <c r="H446" i="7"/>
  <c r="G446" i="7"/>
  <c r="I446" i="7"/>
  <c r="G434" i="7"/>
  <c r="H434" i="7"/>
  <c r="I434" i="7"/>
  <c r="I422" i="7"/>
  <c r="H422" i="7"/>
  <c r="G422" i="7"/>
  <c r="G410" i="7"/>
  <c r="H410" i="7"/>
  <c r="I410" i="7"/>
  <c r="G398" i="7"/>
  <c r="H398" i="7"/>
  <c r="I398" i="7"/>
  <c r="G386" i="7"/>
  <c r="H386" i="7"/>
  <c r="I386" i="7"/>
  <c r="I374" i="7"/>
  <c r="H374" i="7"/>
  <c r="G374" i="7"/>
  <c r="G362" i="7"/>
  <c r="H362" i="7"/>
  <c r="I362" i="7"/>
  <c r="G350" i="7"/>
  <c r="H350" i="7"/>
  <c r="I350" i="7"/>
  <c r="G338" i="7"/>
  <c r="H338" i="7"/>
  <c r="I338" i="7"/>
  <c r="G326" i="7"/>
  <c r="H326" i="7"/>
  <c r="I326" i="7"/>
  <c r="I314" i="7"/>
  <c r="H314" i="7"/>
  <c r="G314" i="7"/>
  <c r="I302" i="7"/>
  <c r="G302" i="7"/>
  <c r="H302" i="7"/>
  <c r="G290" i="7"/>
  <c r="H290" i="7"/>
  <c r="I290" i="7"/>
  <c r="G278" i="7"/>
  <c r="H278" i="7"/>
  <c r="I278" i="7"/>
  <c r="G266" i="7"/>
  <c r="H266" i="7"/>
  <c r="I266" i="7"/>
  <c r="G254" i="7"/>
  <c r="I254" i="7"/>
  <c r="H254" i="7"/>
  <c r="G242" i="7"/>
  <c r="I242" i="7"/>
  <c r="H242" i="7"/>
  <c r="G230" i="7"/>
  <c r="H230" i="7"/>
  <c r="I230" i="7"/>
  <c r="G218" i="7"/>
  <c r="K218" i="7" s="1"/>
  <c r="I218" i="7"/>
  <c r="H218" i="7"/>
  <c r="H206" i="7"/>
  <c r="G206" i="7"/>
  <c r="I206" i="7"/>
  <c r="G194" i="7"/>
  <c r="I194" i="7"/>
  <c r="H194" i="7"/>
  <c r="G182" i="7"/>
  <c r="H182" i="7"/>
  <c r="I182" i="7"/>
  <c r="G170" i="7"/>
  <c r="H170" i="7"/>
  <c r="I170" i="7"/>
  <c r="G158" i="7"/>
  <c r="H158" i="7"/>
  <c r="I158" i="7"/>
  <c r="H146" i="7"/>
  <c r="G146" i="7"/>
  <c r="I146" i="7"/>
  <c r="G134" i="7"/>
  <c r="H134" i="7"/>
  <c r="I134" i="7"/>
  <c r="H122" i="7"/>
  <c r="K122" i="7" s="1"/>
  <c r="G122" i="7"/>
  <c r="I122" i="7"/>
  <c r="H110" i="7"/>
  <c r="I110" i="7"/>
  <c r="G110" i="7"/>
  <c r="I98" i="7"/>
  <c r="H98" i="7"/>
  <c r="G98" i="7"/>
  <c r="I86" i="7"/>
  <c r="H86" i="7"/>
  <c r="G86" i="7"/>
  <c r="H74" i="7"/>
  <c r="K74" i="7" s="1"/>
  <c r="G74" i="7"/>
  <c r="I74" i="7"/>
  <c r="H62" i="7"/>
  <c r="I62" i="7"/>
  <c r="G62" i="7"/>
  <c r="I50" i="7"/>
  <c r="G50" i="7"/>
  <c r="H50" i="7"/>
  <c r="H38" i="7"/>
  <c r="G38" i="7"/>
  <c r="I38" i="7"/>
  <c r="H26" i="7"/>
  <c r="G26" i="7"/>
  <c r="I26" i="7"/>
  <c r="G14" i="7"/>
  <c r="H14" i="7"/>
  <c r="I14" i="7"/>
  <c r="I2148" i="7"/>
  <c r="I2136" i="7"/>
  <c r="I2125" i="7"/>
  <c r="I2077" i="7"/>
  <c r="I2029" i="7"/>
  <c r="H1968" i="7"/>
  <c r="H1921" i="7"/>
  <c r="H1784" i="7"/>
  <c r="G1754" i="7"/>
  <c r="H1723" i="7"/>
  <c r="H1692" i="7"/>
  <c r="H1658" i="7"/>
  <c r="G1538" i="7"/>
  <c r="I1490" i="7"/>
  <c r="G1849" i="7"/>
  <c r="H1849" i="7"/>
  <c r="I1849" i="7"/>
  <c r="G1717" i="7"/>
  <c r="H1717" i="7"/>
  <c r="I1717" i="7"/>
  <c r="I1645" i="7"/>
  <c r="G1645" i="7"/>
  <c r="H1645" i="7"/>
  <c r="G1585" i="7"/>
  <c r="H1585" i="7"/>
  <c r="I1585" i="7"/>
  <c r="I1525" i="7"/>
  <c r="H1525" i="7"/>
  <c r="G1453" i="7"/>
  <c r="H1453" i="7"/>
  <c r="I1453" i="7"/>
  <c r="G1393" i="7"/>
  <c r="H1393" i="7"/>
  <c r="I1393" i="7"/>
  <c r="G1309" i="7"/>
  <c r="I1309" i="7"/>
  <c r="G1225" i="7"/>
  <c r="H1225" i="7"/>
  <c r="I1225" i="7"/>
  <c r="I1153" i="7"/>
  <c r="H1153" i="7"/>
  <c r="G1153" i="7"/>
  <c r="G1093" i="7"/>
  <c r="K1093" i="7" s="1"/>
  <c r="H1093" i="7"/>
  <c r="I1093" i="7"/>
  <c r="G1021" i="7"/>
  <c r="H1021" i="7"/>
  <c r="I1021" i="7"/>
  <c r="G961" i="7"/>
  <c r="H961" i="7"/>
  <c r="I961" i="7"/>
  <c r="G925" i="7"/>
  <c r="H925" i="7"/>
  <c r="I925" i="7"/>
  <c r="G865" i="7"/>
  <c r="H865" i="7"/>
  <c r="I865" i="7"/>
  <c r="G769" i="7"/>
  <c r="H769" i="7"/>
  <c r="I769" i="7"/>
  <c r="G673" i="7"/>
  <c r="H673" i="7"/>
  <c r="I673" i="7"/>
  <c r="G577" i="7"/>
  <c r="H577" i="7"/>
  <c r="I577" i="7"/>
  <c r="G457" i="7"/>
  <c r="K457" i="7" s="1"/>
  <c r="I457" i="7"/>
  <c r="H457" i="7"/>
  <c r="G361" i="7"/>
  <c r="H361" i="7"/>
  <c r="I361" i="7"/>
  <c r="G253" i="7"/>
  <c r="H253" i="7"/>
  <c r="I253" i="7"/>
  <c r="G109" i="7"/>
  <c r="H109" i="7"/>
  <c r="I109" i="7"/>
  <c r="H2077" i="7"/>
  <c r="G1921" i="7"/>
  <c r="G2124" i="7"/>
  <c r="H2124" i="7"/>
  <c r="I2124" i="7"/>
  <c r="G1836" i="7"/>
  <c r="H1836" i="7"/>
  <c r="G1572" i="7"/>
  <c r="H1572" i="7"/>
  <c r="I1572" i="7"/>
  <c r="G1452" i="7"/>
  <c r="H1452" i="7"/>
  <c r="I1452" i="7"/>
  <c r="I1332" i="7"/>
  <c r="G1332" i="7"/>
  <c r="H1332" i="7"/>
  <c r="G1212" i="7"/>
  <c r="H1212" i="7"/>
  <c r="I1212" i="7"/>
  <c r="G1104" i="7"/>
  <c r="H1104" i="7"/>
  <c r="I1104" i="7"/>
  <c r="G948" i="7"/>
  <c r="H948" i="7"/>
  <c r="I948" i="7"/>
  <c r="G828" i="7"/>
  <c r="H828" i="7"/>
  <c r="I828" i="7"/>
  <c r="G732" i="7"/>
  <c r="H732" i="7"/>
  <c r="I732" i="7"/>
  <c r="G672" i="7"/>
  <c r="H672" i="7"/>
  <c r="I672" i="7"/>
  <c r="G624" i="7"/>
  <c r="H624" i="7"/>
  <c r="I624" i="7"/>
  <c r="I576" i="7"/>
  <c r="G576" i="7"/>
  <c r="H576" i="7"/>
  <c r="G552" i="7"/>
  <c r="H552" i="7"/>
  <c r="I552" i="7"/>
  <c r="G540" i="7"/>
  <c r="H540" i="7"/>
  <c r="I540" i="7"/>
  <c r="I504" i="7"/>
  <c r="G504" i="7"/>
  <c r="H504" i="7"/>
  <c r="H492" i="7"/>
  <c r="I492" i="7"/>
  <c r="G492" i="7"/>
  <c r="G480" i="7"/>
  <c r="H480" i="7"/>
  <c r="I480" i="7"/>
  <c r="G468" i="7"/>
  <c r="H468" i="7"/>
  <c r="I468" i="7"/>
  <c r="G456" i="7"/>
  <c r="H456" i="7"/>
  <c r="I456" i="7"/>
  <c r="G444" i="7"/>
  <c r="H444" i="7"/>
  <c r="I444" i="7"/>
  <c r="G420" i="7"/>
  <c r="H420" i="7"/>
  <c r="I420" i="7"/>
  <c r="G372" i="7"/>
  <c r="H372" i="7"/>
  <c r="I372" i="7"/>
  <c r="I348" i="7"/>
  <c r="H348" i="7"/>
  <c r="G348" i="7"/>
  <c r="G324" i="7"/>
  <c r="H324" i="7"/>
  <c r="I324" i="7"/>
  <c r="H312" i="7"/>
  <c r="G312" i="7"/>
  <c r="I312" i="7"/>
  <c r="I300" i="7"/>
  <c r="G300" i="7"/>
  <c r="H300" i="7"/>
  <c r="G288" i="7"/>
  <c r="H288" i="7"/>
  <c r="I288" i="7"/>
  <c r="I276" i="7"/>
  <c r="H276" i="7"/>
  <c r="G276" i="7"/>
  <c r="G264" i="7"/>
  <c r="H264" i="7"/>
  <c r="I264" i="7"/>
  <c r="I252" i="7"/>
  <c r="G252" i="7"/>
  <c r="H252" i="7"/>
  <c r="I240" i="7"/>
  <c r="G240" i="7"/>
  <c r="H240" i="7"/>
  <c r="G228" i="7"/>
  <c r="H228" i="7"/>
  <c r="I228" i="7"/>
  <c r="H216" i="7"/>
  <c r="G216" i="7"/>
  <c r="I216" i="7"/>
  <c r="H204" i="7"/>
  <c r="I204" i="7"/>
  <c r="G204" i="7"/>
  <c r="G192" i="7"/>
  <c r="I192" i="7"/>
  <c r="H192" i="7"/>
  <c r="G180" i="7"/>
  <c r="I180" i="7"/>
  <c r="H180" i="7"/>
  <c r="H168" i="7"/>
  <c r="G168" i="7"/>
  <c r="I168" i="7"/>
  <c r="G156" i="7"/>
  <c r="H156" i="7"/>
  <c r="I156" i="7"/>
  <c r="H144" i="7"/>
  <c r="G144" i="7"/>
  <c r="I144" i="7"/>
  <c r="G132" i="7"/>
  <c r="H132" i="7"/>
  <c r="I132" i="7"/>
  <c r="H120" i="7"/>
  <c r="G120" i="7"/>
  <c r="I120" i="7"/>
  <c r="G108" i="7"/>
  <c r="H108" i="7"/>
  <c r="I108" i="7"/>
  <c r="I96" i="7"/>
  <c r="G96" i="7"/>
  <c r="H96" i="7"/>
  <c r="H84" i="7"/>
  <c r="I84" i="7"/>
  <c r="G84" i="7"/>
  <c r="I72" i="7"/>
  <c r="K72" i="7" s="1"/>
  <c r="G72" i="7"/>
  <c r="H72" i="7"/>
  <c r="I60" i="7"/>
  <c r="H60" i="7"/>
  <c r="G60" i="7"/>
  <c r="I48" i="7"/>
  <c r="H48" i="7"/>
  <c r="G48" i="7"/>
  <c r="H36" i="7"/>
  <c r="I36" i="7"/>
  <c r="G36" i="7"/>
  <c r="H24" i="7"/>
  <c r="G24" i="7"/>
  <c r="I24" i="7"/>
  <c r="H12" i="7"/>
  <c r="G12" i="7"/>
  <c r="I12" i="7"/>
  <c r="G2125" i="7"/>
  <c r="G2029" i="7"/>
  <c r="H1753" i="7"/>
  <c r="I1656" i="7"/>
  <c r="G2123" i="7"/>
  <c r="H2123" i="7"/>
  <c r="I2123" i="7"/>
  <c r="G2111" i="7"/>
  <c r="H2111" i="7"/>
  <c r="I2111" i="7"/>
  <c r="G2099" i="7"/>
  <c r="H2099" i="7"/>
  <c r="I2099" i="7"/>
  <c r="G2087" i="7"/>
  <c r="H2087" i="7"/>
  <c r="I2087" i="7"/>
  <c r="G2075" i="7"/>
  <c r="H2075" i="7"/>
  <c r="I2075" i="7"/>
  <c r="G2063" i="7"/>
  <c r="H2063" i="7"/>
  <c r="I2063" i="7"/>
  <c r="G2051" i="7"/>
  <c r="H2051" i="7"/>
  <c r="I2051" i="7"/>
  <c r="G2039" i="7"/>
  <c r="H2039" i="7"/>
  <c r="I2039" i="7"/>
  <c r="G2027" i="7"/>
  <c r="H2027" i="7"/>
  <c r="I2027" i="7"/>
  <c r="G2015" i="7"/>
  <c r="H2015" i="7"/>
  <c r="I2015" i="7"/>
  <c r="G2003" i="7"/>
  <c r="H2003" i="7"/>
  <c r="I2003" i="7"/>
  <c r="I1991" i="7"/>
  <c r="H1991" i="7"/>
  <c r="G1979" i="7"/>
  <c r="H1979" i="7"/>
  <c r="G1967" i="7"/>
  <c r="H1967" i="7"/>
  <c r="G1955" i="7"/>
  <c r="H1955" i="7"/>
  <c r="I1955" i="7"/>
  <c r="G1943" i="7"/>
  <c r="H1943" i="7"/>
  <c r="I1943" i="7"/>
  <c r="G1931" i="7"/>
  <c r="H1931" i="7"/>
  <c r="I1931" i="7"/>
  <c r="G1919" i="7"/>
  <c r="H1919" i="7"/>
  <c r="I1919" i="7"/>
  <c r="G1907" i="7"/>
  <c r="H1907" i="7"/>
  <c r="I1907" i="7"/>
  <c r="G1895" i="7"/>
  <c r="H1895" i="7"/>
  <c r="I1895" i="7"/>
  <c r="H1883" i="7"/>
  <c r="I1883" i="7"/>
  <c r="G1883" i="7"/>
  <c r="I1871" i="7"/>
  <c r="H1871" i="7"/>
  <c r="G1847" i="7"/>
  <c r="H1847" i="7"/>
  <c r="G1835" i="7"/>
  <c r="H1835" i="7"/>
  <c r="I1835" i="7"/>
  <c r="G1823" i="7"/>
  <c r="H1823" i="7"/>
  <c r="I1823" i="7"/>
  <c r="H1811" i="7"/>
  <c r="I1811" i="7"/>
  <c r="G1811" i="7"/>
  <c r="G1787" i="7"/>
  <c r="H1787" i="7"/>
  <c r="G1775" i="7"/>
  <c r="H1775" i="7"/>
  <c r="I1775" i="7"/>
  <c r="G1763" i="7"/>
  <c r="H1763" i="7"/>
  <c r="I1763" i="7"/>
  <c r="G1751" i="7"/>
  <c r="H1751" i="7"/>
  <c r="I1751" i="7"/>
  <c r="G1739" i="7"/>
  <c r="H1739" i="7"/>
  <c r="I1739" i="7"/>
  <c r="H1727" i="7"/>
  <c r="I1727" i="7"/>
  <c r="G1727" i="7"/>
  <c r="G1691" i="7"/>
  <c r="K1691" i="7" s="1"/>
  <c r="H1691" i="7"/>
  <c r="G1679" i="7"/>
  <c r="H1679" i="7"/>
  <c r="I1679" i="7"/>
  <c r="G1667" i="7"/>
  <c r="H1667" i="7"/>
  <c r="I1667" i="7"/>
  <c r="G1655" i="7"/>
  <c r="I1655" i="7"/>
  <c r="H1655" i="7"/>
  <c r="H1643" i="7"/>
  <c r="I1643" i="7"/>
  <c r="I1631" i="7"/>
  <c r="G1631" i="7"/>
  <c r="H1631" i="7"/>
  <c r="G1619" i="7"/>
  <c r="H1619" i="7"/>
  <c r="I1619" i="7"/>
  <c r="I1607" i="7"/>
  <c r="H1607" i="7"/>
  <c r="G1607" i="7"/>
  <c r="I1595" i="7"/>
  <c r="G1595" i="7"/>
  <c r="H1595" i="7"/>
  <c r="G1583" i="7"/>
  <c r="H1583" i="7"/>
  <c r="I1583" i="7"/>
  <c r="G1571" i="7"/>
  <c r="I1571" i="7"/>
  <c r="H1559" i="7"/>
  <c r="I1559" i="7"/>
  <c r="G1559" i="7"/>
  <c r="G1547" i="7"/>
  <c r="H1547" i="7"/>
  <c r="I1547" i="7"/>
  <c r="G1535" i="7"/>
  <c r="H1535" i="7"/>
  <c r="I1535" i="7"/>
  <c r="G1523" i="7"/>
  <c r="H1523" i="7"/>
  <c r="I1523" i="7"/>
  <c r="G1511" i="7"/>
  <c r="H1511" i="7"/>
  <c r="I1511" i="7"/>
  <c r="G1499" i="7"/>
  <c r="H1499" i="7"/>
  <c r="I1499" i="7"/>
  <c r="H1487" i="7"/>
  <c r="I1487" i="7"/>
  <c r="G1487" i="7"/>
  <c r="H1475" i="7"/>
  <c r="I1475" i="7"/>
  <c r="G1475" i="7"/>
  <c r="G1463" i="7"/>
  <c r="H1463" i="7"/>
  <c r="I1463" i="7"/>
  <c r="G1451" i="7"/>
  <c r="H1451" i="7"/>
  <c r="I1451" i="7"/>
  <c r="H1439" i="7"/>
  <c r="I1439" i="7"/>
  <c r="G1439" i="7"/>
  <c r="I1427" i="7"/>
  <c r="G1427" i="7"/>
  <c r="G1415" i="7"/>
  <c r="H1415" i="7"/>
  <c r="G1403" i="7"/>
  <c r="H1403" i="7"/>
  <c r="I1403" i="7"/>
  <c r="G1391" i="7"/>
  <c r="I1391" i="7"/>
  <c r="H1391" i="7"/>
  <c r="G1379" i="7"/>
  <c r="H1379" i="7"/>
  <c r="I1379" i="7"/>
  <c r="I1367" i="7"/>
  <c r="H1367" i="7"/>
  <c r="G1355" i="7"/>
  <c r="H1355" i="7"/>
  <c r="G1343" i="7"/>
  <c r="H1343" i="7"/>
  <c r="I1343" i="7"/>
  <c r="G1331" i="7"/>
  <c r="H1331" i="7"/>
  <c r="K1331" i="7" s="1"/>
  <c r="I1331" i="7"/>
  <c r="G1319" i="7"/>
  <c r="H1319" i="7"/>
  <c r="I1319" i="7"/>
  <c r="K1319" i="7" s="1"/>
  <c r="H1307" i="7"/>
  <c r="I1307" i="7"/>
  <c r="I1295" i="7"/>
  <c r="H1295" i="7"/>
  <c r="G1283" i="7"/>
  <c r="H1283" i="7"/>
  <c r="I1283" i="7"/>
  <c r="G1271" i="7"/>
  <c r="H1271" i="7"/>
  <c r="I1271" i="7"/>
  <c r="H1259" i="7"/>
  <c r="I1259" i="7"/>
  <c r="K1259" i="7" s="1"/>
  <c r="G1259" i="7"/>
  <c r="H1247" i="7"/>
  <c r="I1247" i="7"/>
  <c r="G1247" i="7"/>
  <c r="G1235" i="7"/>
  <c r="H1235" i="7"/>
  <c r="G1223" i="7"/>
  <c r="H1223" i="7"/>
  <c r="I1223" i="7"/>
  <c r="H1211" i="7"/>
  <c r="I1211" i="7"/>
  <c r="G1211" i="7"/>
  <c r="K1211" i="7" s="1"/>
  <c r="G1199" i="7"/>
  <c r="I1199" i="7"/>
  <c r="H1199" i="7"/>
  <c r="H1187" i="7"/>
  <c r="I1187" i="7"/>
  <c r="G1187" i="7"/>
  <c r="G1175" i="7"/>
  <c r="H1175" i="7"/>
  <c r="K1175" i="7" s="1"/>
  <c r="G1163" i="7"/>
  <c r="H1163" i="7"/>
  <c r="I1163" i="7"/>
  <c r="G1151" i="7"/>
  <c r="K1151" i="7" s="1"/>
  <c r="H1151" i="7"/>
  <c r="I1151" i="7"/>
  <c r="H1139" i="7"/>
  <c r="I1139" i="7"/>
  <c r="G1139" i="7"/>
  <c r="G1127" i="7"/>
  <c r="H1127" i="7"/>
  <c r="I1127" i="7"/>
  <c r="I1115" i="7"/>
  <c r="H1115" i="7"/>
  <c r="G1115" i="7"/>
  <c r="H1103" i="7"/>
  <c r="K1103" i="7" s="1"/>
  <c r="I1103" i="7"/>
  <c r="G1103" i="7"/>
  <c r="G1091" i="7"/>
  <c r="H1091" i="7"/>
  <c r="I1091" i="7"/>
  <c r="H1079" i="7"/>
  <c r="I1079" i="7"/>
  <c r="G1079" i="7"/>
  <c r="G1067" i="7"/>
  <c r="I1067" i="7"/>
  <c r="H1067" i="7"/>
  <c r="G1055" i="7"/>
  <c r="H1055" i="7"/>
  <c r="I1055" i="7"/>
  <c r="G1043" i="7"/>
  <c r="H1043" i="7"/>
  <c r="I1043" i="7"/>
  <c r="G1031" i="7"/>
  <c r="H1031" i="7"/>
  <c r="I1031" i="7"/>
  <c r="G1019" i="7"/>
  <c r="H1019" i="7"/>
  <c r="I1019" i="7"/>
  <c r="G1007" i="7"/>
  <c r="H1007" i="7"/>
  <c r="I1007" i="7"/>
  <c r="G995" i="7"/>
  <c r="H995" i="7"/>
  <c r="I995" i="7"/>
  <c r="G983" i="7"/>
  <c r="H983" i="7"/>
  <c r="I983" i="7"/>
  <c r="I971" i="7"/>
  <c r="G971" i="7"/>
  <c r="H971" i="7"/>
  <c r="G959" i="7"/>
  <c r="K959" i="7" s="1"/>
  <c r="H959" i="7"/>
  <c r="I959" i="7"/>
  <c r="G947" i="7"/>
  <c r="H947" i="7"/>
  <c r="I947" i="7"/>
  <c r="G935" i="7"/>
  <c r="H935" i="7"/>
  <c r="I935" i="7"/>
  <c r="H923" i="7"/>
  <c r="I923" i="7"/>
  <c r="G923" i="7"/>
  <c r="I911" i="7"/>
  <c r="K911" i="7" s="1"/>
  <c r="G911" i="7"/>
  <c r="H911" i="7"/>
  <c r="G899" i="7"/>
  <c r="H899" i="7"/>
  <c r="I899" i="7"/>
  <c r="G887" i="7"/>
  <c r="H887" i="7"/>
  <c r="I887" i="7"/>
  <c r="G875" i="7"/>
  <c r="H875" i="7"/>
  <c r="I875" i="7"/>
  <c r="G863" i="7"/>
  <c r="H863" i="7"/>
  <c r="I863" i="7"/>
  <c r="G851" i="7"/>
  <c r="I851" i="7"/>
  <c r="H851" i="7"/>
  <c r="G839" i="7"/>
  <c r="H839" i="7"/>
  <c r="I839" i="7"/>
  <c r="H827" i="7"/>
  <c r="I827" i="7"/>
  <c r="G827" i="7"/>
  <c r="G815" i="7"/>
  <c r="I815" i="7"/>
  <c r="H815" i="7"/>
  <c r="G803" i="7"/>
  <c r="H803" i="7"/>
  <c r="I803" i="7"/>
  <c r="G791" i="7"/>
  <c r="H791" i="7"/>
  <c r="I791" i="7"/>
  <c r="G779" i="7"/>
  <c r="H779" i="7"/>
  <c r="I779" i="7"/>
  <c r="I767" i="7"/>
  <c r="K767" i="7" s="1"/>
  <c r="H767" i="7"/>
  <c r="G767" i="7"/>
  <c r="G755" i="7"/>
  <c r="H755" i="7"/>
  <c r="I755" i="7"/>
  <c r="G743" i="7"/>
  <c r="H743" i="7"/>
  <c r="I743" i="7"/>
  <c r="G731" i="7"/>
  <c r="H731" i="7"/>
  <c r="I731" i="7"/>
  <c r="I719" i="7"/>
  <c r="K719" i="7" s="1"/>
  <c r="H719" i="7"/>
  <c r="G719" i="7"/>
  <c r="I707" i="7"/>
  <c r="G707" i="7"/>
  <c r="H707" i="7"/>
  <c r="G695" i="7"/>
  <c r="H695" i="7"/>
  <c r="I695" i="7"/>
  <c r="G683" i="7"/>
  <c r="H683" i="7"/>
  <c r="I683" i="7"/>
  <c r="I671" i="7"/>
  <c r="K671" i="7" s="1"/>
  <c r="H671" i="7"/>
  <c r="G671" i="7"/>
  <c r="I659" i="7"/>
  <c r="G659" i="7"/>
  <c r="H659" i="7"/>
  <c r="G647" i="7"/>
  <c r="H647" i="7"/>
  <c r="I647" i="7"/>
  <c r="G635" i="7"/>
  <c r="H635" i="7"/>
  <c r="I635" i="7"/>
  <c r="G623" i="7"/>
  <c r="K623" i="7" s="1"/>
  <c r="H623" i="7"/>
  <c r="I623" i="7"/>
  <c r="G611" i="7"/>
  <c r="H611" i="7"/>
  <c r="I611" i="7"/>
  <c r="G599" i="7"/>
  <c r="H599" i="7"/>
  <c r="I599" i="7"/>
  <c r="I587" i="7"/>
  <c r="G587" i="7"/>
  <c r="H587" i="7"/>
  <c r="G575" i="7"/>
  <c r="H575" i="7"/>
  <c r="I575" i="7"/>
  <c r="G563" i="7"/>
  <c r="H563" i="7"/>
  <c r="I563" i="7"/>
  <c r="G551" i="7"/>
  <c r="I551" i="7"/>
  <c r="H551" i="7"/>
  <c r="K551" i="7" s="1"/>
  <c r="G539" i="7"/>
  <c r="H539" i="7"/>
  <c r="I539" i="7"/>
  <c r="G527" i="7"/>
  <c r="H527" i="7"/>
  <c r="I527" i="7"/>
  <c r="G515" i="7"/>
  <c r="H515" i="7"/>
  <c r="I515" i="7"/>
  <c r="G503" i="7"/>
  <c r="H503" i="7"/>
  <c r="I503" i="7"/>
  <c r="G491" i="7"/>
  <c r="H491" i="7"/>
  <c r="I491" i="7"/>
  <c r="G479" i="7"/>
  <c r="H479" i="7"/>
  <c r="I479" i="7"/>
  <c r="G467" i="7"/>
  <c r="H467" i="7"/>
  <c r="I467" i="7"/>
  <c r="G455" i="7"/>
  <c r="H455" i="7"/>
  <c r="I455" i="7"/>
  <c r="G443" i="7"/>
  <c r="H443" i="7"/>
  <c r="I443" i="7"/>
  <c r="G431" i="7"/>
  <c r="K431" i="7" s="1"/>
  <c r="H431" i="7"/>
  <c r="I431" i="7"/>
  <c r="G419" i="7"/>
  <c r="H419" i="7"/>
  <c r="I419" i="7"/>
  <c r="I407" i="7"/>
  <c r="G407" i="7"/>
  <c r="H407" i="7"/>
  <c r="G395" i="7"/>
  <c r="H395" i="7"/>
  <c r="I395" i="7"/>
  <c r="G383" i="7"/>
  <c r="K383" i="7" s="1"/>
  <c r="H383" i="7"/>
  <c r="I383" i="7"/>
  <c r="G371" i="7"/>
  <c r="H371" i="7"/>
  <c r="I371" i="7"/>
  <c r="I359" i="7"/>
  <c r="G359" i="7"/>
  <c r="H359" i="7"/>
  <c r="H347" i="7"/>
  <c r="G347" i="7"/>
  <c r="I347" i="7"/>
  <c r="G335" i="7"/>
  <c r="K335" i="7" s="1"/>
  <c r="H335" i="7"/>
  <c r="I335" i="7"/>
  <c r="H323" i="7"/>
  <c r="I323" i="7"/>
  <c r="G323" i="7"/>
  <c r="G311" i="7"/>
  <c r="H311" i="7"/>
  <c r="I311" i="7"/>
  <c r="G299" i="7"/>
  <c r="H299" i="7"/>
  <c r="I299" i="7"/>
  <c r="G287" i="7"/>
  <c r="K287" i="7" s="1"/>
  <c r="I287" i="7"/>
  <c r="H287" i="7"/>
  <c r="I275" i="7"/>
  <c r="G275" i="7"/>
  <c r="H275" i="7"/>
  <c r="G263" i="7"/>
  <c r="I263" i="7"/>
  <c r="H263" i="7"/>
  <c r="G251" i="7"/>
  <c r="H251" i="7"/>
  <c r="I251" i="7"/>
  <c r="G239" i="7"/>
  <c r="K239" i="7" s="1"/>
  <c r="H239" i="7"/>
  <c r="I239" i="7"/>
  <c r="G227" i="7"/>
  <c r="H227" i="7"/>
  <c r="I227" i="7"/>
  <c r="G215" i="7"/>
  <c r="H215" i="7"/>
  <c r="I215" i="7"/>
  <c r="K215" i="7" s="1"/>
  <c r="I203" i="7"/>
  <c r="G203" i="7"/>
  <c r="H203" i="7"/>
  <c r="G191" i="7"/>
  <c r="H191" i="7"/>
  <c r="I191" i="7"/>
  <c r="G179" i="7"/>
  <c r="H179" i="7"/>
  <c r="I179" i="7"/>
  <c r="H167" i="7"/>
  <c r="I167" i="7"/>
  <c r="G167" i="7"/>
  <c r="K167" i="7" s="1"/>
  <c r="G155" i="7"/>
  <c r="H155" i="7"/>
  <c r="I155" i="7"/>
  <c r="G143" i="7"/>
  <c r="K143" i="7" s="1"/>
  <c r="H143" i="7"/>
  <c r="I143" i="7"/>
  <c r="G131" i="7"/>
  <c r="I131" i="7"/>
  <c r="H131" i="7"/>
  <c r="H119" i="7"/>
  <c r="G119" i="7"/>
  <c r="I119" i="7"/>
  <c r="G107" i="7"/>
  <c r="H107" i="7"/>
  <c r="I107" i="7"/>
  <c r="H95" i="7"/>
  <c r="K95" i="7" s="1"/>
  <c r="I95" i="7"/>
  <c r="G95" i="7"/>
  <c r="I83" i="7"/>
  <c r="G83" i="7"/>
  <c r="H83" i="7"/>
  <c r="I71" i="7"/>
  <c r="G71" i="7"/>
  <c r="H71" i="7"/>
  <c r="I59" i="7"/>
  <c r="G59" i="7"/>
  <c r="H59" i="7"/>
  <c r="H47" i="7"/>
  <c r="K47" i="7" s="1"/>
  <c r="I47" i="7"/>
  <c r="G47" i="7"/>
  <c r="I35" i="7"/>
  <c r="H35" i="7"/>
  <c r="G35" i="7"/>
  <c r="H23" i="7"/>
  <c r="G23" i="7"/>
  <c r="I23" i="7"/>
  <c r="H11" i="7"/>
  <c r="G11" i="7"/>
  <c r="I11" i="7"/>
  <c r="I2147" i="7"/>
  <c r="K2147" i="7" s="1"/>
  <c r="I2143" i="7"/>
  <c r="I2139" i="7"/>
  <c r="G2135" i="7"/>
  <c r="I2121" i="7"/>
  <c r="I2105" i="7"/>
  <c r="I2089" i="7"/>
  <c r="I2073" i="7"/>
  <c r="I2057" i="7"/>
  <c r="I2041" i="7"/>
  <c r="I2025" i="7"/>
  <c r="I2009" i="7"/>
  <c r="H1964" i="7"/>
  <c r="I1948" i="7"/>
  <c r="H1917" i="7"/>
  <c r="I1901" i="7"/>
  <c r="I1886" i="7"/>
  <c r="G1871" i="7"/>
  <c r="H1841" i="7"/>
  <c r="H1826" i="7"/>
  <c r="I1810" i="7"/>
  <c r="I1780" i="7"/>
  <c r="I1734" i="7"/>
  <c r="I1719" i="7"/>
  <c r="I1703" i="7"/>
  <c r="H1688" i="7"/>
  <c r="I1673" i="7"/>
  <c r="H1571" i="7"/>
  <c r="G1526" i="7"/>
  <c r="I1430" i="7"/>
  <c r="H1370" i="7"/>
  <c r="H1309" i="7"/>
  <c r="H1250" i="7"/>
  <c r="H1190" i="7"/>
  <c r="H2134" i="7"/>
  <c r="I2134" i="7"/>
  <c r="G2134" i="7"/>
  <c r="H2122" i="7"/>
  <c r="I2122" i="7"/>
  <c r="G2122" i="7"/>
  <c r="H2110" i="7"/>
  <c r="I2110" i="7"/>
  <c r="G2110" i="7"/>
  <c r="H2098" i="7"/>
  <c r="I2098" i="7"/>
  <c r="G2098" i="7"/>
  <c r="H2086" i="7"/>
  <c r="I2086" i="7"/>
  <c r="G2086" i="7"/>
  <c r="H2074" i="7"/>
  <c r="I2074" i="7"/>
  <c r="G2074" i="7"/>
  <c r="H2062" i="7"/>
  <c r="I2062" i="7"/>
  <c r="G2062" i="7"/>
  <c r="H2050" i="7"/>
  <c r="I2050" i="7"/>
  <c r="G2050" i="7"/>
  <c r="H2038" i="7"/>
  <c r="I2038" i="7"/>
  <c r="G2038" i="7"/>
  <c r="H2026" i="7"/>
  <c r="I2026" i="7"/>
  <c r="G2026" i="7"/>
  <c r="H2014" i="7"/>
  <c r="I2014" i="7"/>
  <c r="G2014" i="7"/>
  <c r="G1990" i="7"/>
  <c r="H1990" i="7"/>
  <c r="G1978" i="7"/>
  <c r="H1978" i="7"/>
  <c r="I1978" i="7"/>
  <c r="G1966" i="7"/>
  <c r="H1966" i="7"/>
  <c r="I1966" i="7"/>
  <c r="G1954" i="7"/>
  <c r="H1954" i="7"/>
  <c r="I1954" i="7"/>
  <c r="G1942" i="7"/>
  <c r="H1942" i="7"/>
  <c r="I1942" i="7"/>
  <c r="G1930" i="7"/>
  <c r="H1930" i="7"/>
  <c r="I1930" i="7"/>
  <c r="G1918" i="7"/>
  <c r="H1918" i="7"/>
  <c r="I1918" i="7"/>
  <c r="H1906" i="7"/>
  <c r="I1906" i="7"/>
  <c r="G1906" i="7"/>
  <c r="H1894" i="7"/>
  <c r="I1894" i="7"/>
  <c r="G1894" i="7"/>
  <c r="G1858" i="7"/>
  <c r="H1858" i="7"/>
  <c r="I1858" i="7"/>
  <c r="G1846" i="7"/>
  <c r="H1846" i="7"/>
  <c r="I1846" i="7"/>
  <c r="G1834" i="7"/>
  <c r="H1834" i="7"/>
  <c r="I1834" i="7"/>
  <c r="G1798" i="7"/>
  <c r="H1798" i="7"/>
  <c r="I1798" i="7"/>
  <c r="K1798" i="7" s="1"/>
  <c r="G1786" i="7"/>
  <c r="H1786" i="7"/>
  <c r="I1786" i="7"/>
  <c r="G1774" i="7"/>
  <c r="H1774" i="7"/>
  <c r="I1774" i="7"/>
  <c r="G1762" i="7"/>
  <c r="H1762" i="7"/>
  <c r="I1762" i="7"/>
  <c r="I1750" i="7"/>
  <c r="H1750" i="7"/>
  <c r="I1738" i="7"/>
  <c r="H1738" i="7"/>
  <c r="G1714" i="7"/>
  <c r="H1714" i="7"/>
  <c r="I1714" i="7"/>
  <c r="G1702" i="7"/>
  <c r="H1702" i="7"/>
  <c r="I1702" i="7"/>
  <c r="G1690" i="7"/>
  <c r="H1690" i="7"/>
  <c r="I1690" i="7"/>
  <c r="G1678" i="7"/>
  <c r="H1678" i="7"/>
  <c r="I1678" i="7"/>
  <c r="G1666" i="7"/>
  <c r="I1666" i="7"/>
  <c r="H1666" i="7"/>
  <c r="G1654" i="7"/>
  <c r="H1654" i="7"/>
  <c r="I1654" i="7"/>
  <c r="G1642" i="7"/>
  <c r="H1642" i="7"/>
  <c r="H1630" i="7"/>
  <c r="I1630" i="7"/>
  <c r="G1630" i="7"/>
  <c r="I1618" i="7"/>
  <c r="G1618" i="7"/>
  <c r="H1618" i="7"/>
  <c r="G1606" i="7"/>
  <c r="K1606" i="7" s="1"/>
  <c r="I1606" i="7"/>
  <c r="H1606" i="7"/>
  <c r="G1594" i="7"/>
  <c r="H1594" i="7"/>
  <c r="I1594" i="7"/>
  <c r="H1582" i="7"/>
  <c r="I1582" i="7"/>
  <c r="K1582" i="7" s="1"/>
  <c r="I1570" i="7"/>
  <c r="H1570" i="7"/>
  <c r="G1546" i="7"/>
  <c r="H1546" i="7"/>
  <c r="I1546" i="7"/>
  <c r="H1534" i="7"/>
  <c r="I1534" i="7"/>
  <c r="G1534" i="7"/>
  <c r="G1522" i="7"/>
  <c r="I1522" i="7"/>
  <c r="H1522" i="7"/>
  <c r="G1510" i="7"/>
  <c r="I1510" i="7"/>
  <c r="H1510" i="7"/>
  <c r="G1498" i="7"/>
  <c r="H1498" i="7"/>
  <c r="I1498" i="7"/>
  <c r="H1486" i="7"/>
  <c r="I1486" i="7"/>
  <c r="G1486" i="7"/>
  <c r="H1474" i="7"/>
  <c r="I1474" i="7"/>
  <c r="G1474" i="7"/>
  <c r="I1462" i="7"/>
  <c r="G1462" i="7"/>
  <c r="H1462" i="7"/>
  <c r="I1450" i="7"/>
  <c r="G1450" i="7"/>
  <c r="H1450" i="7"/>
  <c r="G1438" i="7"/>
  <c r="H1438" i="7"/>
  <c r="I1438" i="7"/>
  <c r="G1426" i="7"/>
  <c r="H1426" i="7"/>
  <c r="I1426" i="7"/>
  <c r="G1414" i="7"/>
  <c r="H1414" i="7"/>
  <c r="I1414" i="7"/>
  <c r="G1402" i="7"/>
  <c r="I1402" i="7"/>
  <c r="H1402" i="7"/>
  <c r="I1390" i="7"/>
  <c r="H1390" i="7"/>
  <c r="G1390" i="7"/>
  <c r="I1378" i="7"/>
  <c r="G1378" i="7"/>
  <c r="H1378" i="7"/>
  <c r="G1366" i="7"/>
  <c r="H1366" i="7"/>
  <c r="I1366" i="7"/>
  <c r="G1354" i="7"/>
  <c r="H1354" i="7"/>
  <c r="I1354" i="7"/>
  <c r="G1342" i="7"/>
  <c r="H1342" i="7"/>
  <c r="I1342" i="7"/>
  <c r="G1330" i="7"/>
  <c r="H1330" i="7"/>
  <c r="I1330" i="7"/>
  <c r="G1318" i="7"/>
  <c r="I1318" i="7"/>
  <c r="H1318" i="7"/>
  <c r="I1306" i="7"/>
  <c r="H1306" i="7"/>
  <c r="G1294" i="7"/>
  <c r="K1294" i="7" s="1"/>
  <c r="H1294" i="7"/>
  <c r="I1294" i="7"/>
  <c r="G1282" i="7"/>
  <c r="H1282" i="7"/>
  <c r="I1282" i="7"/>
  <c r="H1270" i="7"/>
  <c r="I1270" i="7"/>
  <c r="G1270" i="7"/>
  <c r="K1270" i="7" s="1"/>
  <c r="H1258" i="7"/>
  <c r="I1258" i="7"/>
  <c r="G1258" i="7"/>
  <c r="G1246" i="7"/>
  <c r="H1246" i="7"/>
  <c r="G1234" i="7"/>
  <c r="H1234" i="7"/>
  <c r="I1234" i="7"/>
  <c r="G1222" i="7"/>
  <c r="H1222" i="7"/>
  <c r="I1222" i="7"/>
  <c r="H1210" i="7"/>
  <c r="I1210" i="7"/>
  <c r="G1210" i="7"/>
  <c r="I1198" i="7"/>
  <c r="H1198" i="7"/>
  <c r="G1198" i="7"/>
  <c r="G1186" i="7"/>
  <c r="H1186" i="7"/>
  <c r="G1174" i="7"/>
  <c r="H1174" i="7"/>
  <c r="I1174" i="7"/>
  <c r="G1162" i="7"/>
  <c r="H1162" i="7"/>
  <c r="I1162" i="7"/>
  <c r="G1150" i="7"/>
  <c r="I1150" i="7"/>
  <c r="H1150" i="7"/>
  <c r="G1138" i="7"/>
  <c r="H1138" i="7"/>
  <c r="I1138" i="7"/>
  <c r="I1126" i="7"/>
  <c r="G1126" i="7"/>
  <c r="H1126" i="7"/>
  <c r="G1114" i="7"/>
  <c r="H1114" i="7"/>
  <c r="I1114" i="7"/>
  <c r="G1102" i="7"/>
  <c r="H1102" i="7"/>
  <c r="I1102" i="7"/>
  <c r="I1090" i="7"/>
  <c r="H1090" i="7"/>
  <c r="G1090" i="7"/>
  <c r="G1078" i="7"/>
  <c r="H1078" i="7"/>
  <c r="G1066" i="7"/>
  <c r="H1066" i="7"/>
  <c r="I1066" i="7"/>
  <c r="G1054" i="7"/>
  <c r="H1054" i="7"/>
  <c r="I1054" i="7"/>
  <c r="G1042" i="7"/>
  <c r="K1042" i="7" s="1"/>
  <c r="H1042" i="7"/>
  <c r="I1042" i="7"/>
  <c r="I1030" i="7"/>
  <c r="G1030" i="7"/>
  <c r="G1018" i="7"/>
  <c r="H1018" i="7"/>
  <c r="I1018" i="7"/>
  <c r="G1006" i="7"/>
  <c r="H1006" i="7"/>
  <c r="I1006" i="7"/>
  <c r="G994" i="7"/>
  <c r="H994" i="7"/>
  <c r="I994" i="7"/>
  <c r="I982" i="7"/>
  <c r="G982" i="7"/>
  <c r="H982" i="7"/>
  <c r="G970" i="7"/>
  <c r="H970" i="7"/>
  <c r="I970" i="7"/>
  <c r="G958" i="7"/>
  <c r="H958" i="7"/>
  <c r="I958" i="7"/>
  <c r="G946" i="7"/>
  <c r="H946" i="7"/>
  <c r="I946" i="7"/>
  <c r="I934" i="7"/>
  <c r="H934" i="7"/>
  <c r="G934" i="7"/>
  <c r="G922" i="7"/>
  <c r="H922" i="7"/>
  <c r="I922" i="7"/>
  <c r="G910" i="7"/>
  <c r="H910" i="7"/>
  <c r="I910" i="7"/>
  <c r="G898" i="7"/>
  <c r="H898" i="7"/>
  <c r="I898" i="7"/>
  <c r="G886" i="7"/>
  <c r="H886" i="7"/>
  <c r="I886" i="7"/>
  <c r="I874" i="7"/>
  <c r="G874" i="7"/>
  <c r="H874" i="7"/>
  <c r="G862" i="7"/>
  <c r="H862" i="7"/>
  <c r="I862" i="7"/>
  <c r="G850" i="7"/>
  <c r="H850" i="7"/>
  <c r="I850" i="7"/>
  <c r="G838" i="7"/>
  <c r="H838" i="7"/>
  <c r="I838" i="7"/>
  <c r="G826" i="7"/>
  <c r="H826" i="7"/>
  <c r="I826" i="7"/>
  <c r="G814" i="7"/>
  <c r="H814" i="7"/>
  <c r="G802" i="7"/>
  <c r="H802" i="7"/>
  <c r="I802" i="7"/>
  <c r="H790" i="7"/>
  <c r="I790" i="7"/>
  <c r="G790" i="7"/>
  <c r="I778" i="7"/>
  <c r="H778" i="7"/>
  <c r="G778" i="7"/>
  <c r="I766" i="7"/>
  <c r="G766" i="7"/>
  <c r="H766" i="7"/>
  <c r="G754" i="7"/>
  <c r="H754" i="7"/>
  <c r="I754" i="7"/>
  <c r="G742" i="7"/>
  <c r="H742" i="7"/>
  <c r="I742" i="7"/>
  <c r="I730" i="7"/>
  <c r="H730" i="7"/>
  <c r="G730" i="7"/>
  <c r="G718" i="7"/>
  <c r="H718" i="7"/>
  <c r="I718" i="7"/>
  <c r="G706" i="7"/>
  <c r="H706" i="7"/>
  <c r="I706" i="7"/>
  <c r="G694" i="7"/>
  <c r="H694" i="7"/>
  <c r="I694" i="7"/>
  <c r="G682" i="7"/>
  <c r="I682" i="7"/>
  <c r="H682" i="7"/>
  <c r="I670" i="7"/>
  <c r="G670" i="7"/>
  <c r="H670" i="7"/>
  <c r="G658" i="7"/>
  <c r="H658" i="7"/>
  <c r="I658" i="7"/>
  <c r="G646" i="7"/>
  <c r="H646" i="7"/>
  <c r="I646" i="7"/>
  <c r="I634" i="7"/>
  <c r="H634" i="7"/>
  <c r="G634" i="7"/>
  <c r="G622" i="7"/>
  <c r="I622" i="7"/>
  <c r="H622" i="7"/>
  <c r="G610" i="7"/>
  <c r="H610" i="7"/>
  <c r="I610" i="7"/>
  <c r="G598" i="7"/>
  <c r="H598" i="7"/>
  <c r="I598" i="7"/>
  <c r="I586" i="7"/>
  <c r="H586" i="7"/>
  <c r="G586" i="7"/>
  <c r="G574" i="7"/>
  <c r="H574" i="7"/>
  <c r="I574" i="7"/>
  <c r="I562" i="7"/>
  <c r="G562" i="7"/>
  <c r="H562" i="7"/>
  <c r="G550" i="7"/>
  <c r="H550" i="7"/>
  <c r="I550" i="7"/>
  <c r="G538" i="7"/>
  <c r="H538" i="7"/>
  <c r="I538" i="7"/>
  <c r="G526" i="7"/>
  <c r="H526" i="7"/>
  <c r="I526" i="7"/>
  <c r="H514" i="7"/>
  <c r="I514" i="7"/>
  <c r="G514" i="7"/>
  <c r="G502" i="7"/>
  <c r="H502" i="7"/>
  <c r="I502" i="7"/>
  <c r="G490" i="7"/>
  <c r="H490" i="7"/>
  <c r="I490" i="7"/>
  <c r="G478" i="7"/>
  <c r="H478" i="7"/>
  <c r="I478" i="7"/>
  <c r="G466" i="7"/>
  <c r="H466" i="7"/>
  <c r="I466" i="7"/>
  <c r="I454" i="7"/>
  <c r="G454" i="7"/>
  <c r="H454" i="7"/>
  <c r="I442" i="7"/>
  <c r="G442" i="7"/>
  <c r="H442" i="7"/>
  <c r="G430" i="7"/>
  <c r="H430" i="7"/>
  <c r="I430" i="7"/>
  <c r="I418" i="7"/>
  <c r="H418" i="7"/>
  <c r="G418" i="7"/>
  <c r="G406" i="7"/>
  <c r="H406" i="7"/>
  <c r="I406" i="7"/>
  <c r="G394" i="7"/>
  <c r="H394" i="7"/>
  <c r="I394" i="7"/>
  <c r="G382" i="7"/>
  <c r="H382" i="7"/>
  <c r="I382" i="7"/>
  <c r="I370" i="7"/>
  <c r="G370" i="7"/>
  <c r="H370" i="7"/>
  <c r="I358" i="7"/>
  <c r="G358" i="7"/>
  <c r="H358" i="7"/>
  <c r="G346" i="7"/>
  <c r="H346" i="7"/>
  <c r="I346" i="7"/>
  <c r="H334" i="7"/>
  <c r="I334" i="7"/>
  <c r="G334" i="7"/>
  <c r="G322" i="7"/>
  <c r="H322" i="7"/>
  <c r="I322" i="7"/>
  <c r="K322" i="7" s="1"/>
  <c r="G310" i="7"/>
  <c r="H310" i="7"/>
  <c r="I310" i="7"/>
  <c r="G298" i="7"/>
  <c r="I298" i="7"/>
  <c r="H298" i="7"/>
  <c r="G286" i="7"/>
  <c r="H286" i="7"/>
  <c r="I286" i="7"/>
  <c r="H274" i="7"/>
  <c r="I274" i="7"/>
  <c r="G274" i="7"/>
  <c r="H262" i="7"/>
  <c r="G262" i="7"/>
  <c r="I262" i="7"/>
  <c r="G250" i="7"/>
  <c r="H250" i="7"/>
  <c r="I250" i="7"/>
  <c r="H238" i="7"/>
  <c r="G238" i="7"/>
  <c r="I238" i="7"/>
  <c r="G226" i="7"/>
  <c r="H226" i="7"/>
  <c r="I226" i="7"/>
  <c r="H214" i="7"/>
  <c r="G214" i="7"/>
  <c r="I214" i="7"/>
  <c r="I202" i="7"/>
  <c r="G202" i="7"/>
  <c r="H202" i="7"/>
  <c r="G190" i="7"/>
  <c r="H190" i="7"/>
  <c r="I190" i="7"/>
  <c r="G178" i="7"/>
  <c r="H178" i="7"/>
  <c r="I178" i="7"/>
  <c r="H166" i="7"/>
  <c r="G166" i="7"/>
  <c r="I166" i="7"/>
  <c r="G154" i="7"/>
  <c r="H154" i="7"/>
  <c r="I154" i="7"/>
  <c r="H142" i="7"/>
  <c r="I142" i="7"/>
  <c r="G142" i="7"/>
  <c r="H130" i="7"/>
  <c r="G130" i="7"/>
  <c r="I130" i="7"/>
  <c r="H118" i="7"/>
  <c r="G118" i="7"/>
  <c r="I118" i="7"/>
  <c r="G106" i="7"/>
  <c r="I106" i="7"/>
  <c r="H106" i="7"/>
  <c r="G94" i="7"/>
  <c r="H94" i="7"/>
  <c r="I94" i="7"/>
  <c r="I82" i="7"/>
  <c r="G82" i="7"/>
  <c r="H82" i="7"/>
  <c r="I70" i="7"/>
  <c r="G70" i="7"/>
  <c r="H70" i="7"/>
  <c r="G58" i="7"/>
  <c r="I58" i="7"/>
  <c r="H58" i="7"/>
  <c r="I46" i="7"/>
  <c r="G46" i="7"/>
  <c r="H46" i="7"/>
  <c r="I34" i="7"/>
  <c r="G34" i="7"/>
  <c r="H34" i="7"/>
  <c r="I22" i="7"/>
  <c r="H22" i="7"/>
  <c r="G22" i="7"/>
  <c r="G10" i="7"/>
  <c r="H10" i="7"/>
  <c r="I10" i="7"/>
  <c r="H2147" i="7"/>
  <c r="H2143" i="7"/>
  <c r="H2139" i="7"/>
  <c r="I2133" i="7"/>
  <c r="H2121" i="7"/>
  <c r="H2105" i="7"/>
  <c r="H2089" i="7"/>
  <c r="H2073" i="7"/>
  <c r="H2057" i="7"/>
  <c r="H2041" i="7"/>
  <c r="H2025" i="7"/>
  <c r="H2009" i="7"/>
  <c r="I1994" i="7"/>
  <c r="G1964" i="7"/>
  <c r="H1948" i="7"/>
  <c r="I1932" i="7"/>
  <c r="G1917" i="7"/>
  <c r="H1901" i="7"/>
  <c r="H1886" i="7"/>
  <c r="I1870" i="7"/>
  <c r="I1855" i="7"/>
  <c r="G1841" i="7"/>
  <c r="G1826" i="7"/>
  <c r="H1810" i="7"/>
  <c r="I1795" i="7"/>
  <c r="H1780" i="7"/>
  <c r="I1764" i="7"/>
  <c r="I1749" i="7"/>
  <c r="K1749" i="7" s="1"/>
  <c r="H1734" i="7"/>
  <c r="H1719" i="7"/>
  <c r="H1703" i="7"/>
  <c r="G1688" i="7"/>
  <c r="K1688" i="7" s="1"/>
  <c r="H1673" i="7"/>
  <c r="I1614" i="7"/>
  <c r="G1570" i="7"/>
  <c r="G1525" i="7"/>
  <c r="I1477" i="7"/>
  <c r="G1307" i="7"/>
  <c r="G1248" i="7"/>
  <c r="I1933" i="7"/>
  <c r="H1933" i="7"/>
  <c r="G1825" i="7"/>
  <c r="H1825" i="7"/>
  <c r="G1729" i="7"/>
  <c r="H1729" i="7"/>
  <c r="I1729" i="7"/>
  <c r="G1609" i="7"/>
  <c r="H1609" i="7"/>
  <c r="I1609" i="7"/>
  <c r="G1357" i="7"/>
  <c r="I1357" i="7"/>
  <c r="H1357" i="7"/>
  <c r="G1249" i="7"/>
  <c r="H1249" i="7"/>
  <c r="I1249" i="7"/>
  <c r="G1129" i="7"/>
  <c r="I1129" i="7"/>
  <c r="H1129" i="7"/>
  <c r="I997" i="7"/>
  <c r="H997" i="7"/>
  <c r="G997" i="7"/>
  <c r="I841" i="7"/>
  <c r="G841" i="7"/>
  <c r="H841" i="7"/>
  <c r="G721" i="7"/>
  <c r="H721" i="7"/>
  <c r="I721" i="7"/>
  <c r="I637" i="7"/>
  <c r="G637" i="7"/>
  <c r="G541" i="7"/>
  <c r="H541" i="7"/>
  <c r="I541" i="7"/>
  <c r="G433" i="7"/>
  <c r="H433" i="7"/>
  <c r="I433" i="7"/>
  <c r="G349" i="7"/>
  <c r="H349" i="7"/>
  <c r="I349" i="7"/>
  <c r="K349" i="7" s="1"/>
  <c r="G265" i="7"/>
  <c r="I265" i="7"/>
  <c r="H265" i="7"/>
  <c r="G169" i="7"/>
  <c r="H169" i="7"/>
  <c r="I169" i="7"/>
  <c r="I49" i="7"/>
  <c r="G49" i="7"/>
  <c r="H49" i="7"/>
  <c r="G2112" i="7"/>
  <c r="H2112" i="7"/>
  <c r="I2112" i="7"/>
  <c r="G2028" i="7"/>
  <c r="H2028" i="7"/>
  <c r="I2028" i="7"/>
  <c r="G1632" i="7"/>
  <c r="H1632" i="7"/>
  <c r="I1632" i="7"/>
  <c r="H1560" i="7"/>
  <c r="I1560" i="7"/>
  <c r="G1488" i="7"/>
  <c r="H1488" i="7"/>
  <c r="I1488" i="7"/>
  <c r="G1404" i="7"/>
  <c r="H1404" i="7"/>
  <c r="I1404" i="7"/>
  <c r="G1320" i="7"/>
  <c r="K1320" i="7" s="1"/>
  <c r="H1320" i="7"/>
  <c r="H1236" i="7"/>
  <c r="I1236" i="7"/>
  <c r="G1236" i="7"/>
  <c r="G1152" i="7"/>
  <c r="H1152" i="7"/>
  <c r="I1152" i="7"/>
  <c r="G1044" i="7"/>
  <c r="H1044" i="7"/>
  <c r="I1044" i="7"/>
  <c r="G960" i="7"/>
  <c r="H960" i="7"/>
  <c r="I960" i="7"/>
  <c r="I852" i="7"/>
  <c r="G852" i="7"/>
  <c r="H852" i="7"/>
  <c r="I756" i="7"/>
  <c r="H756" i="7"/>
  <c r="G756" i="7"/>
  <c r="H648" i="7"/>
  <c r="G648" i="7"/>
  <c r="I648" i="7"/>
  <c r="G432" i="7"/>
  <c r="H432" i="7"/>
  <c r="I432" i="7"/>
  <c r="G2001" i="7"/>
  <c r="H2001" i="7"/>
  <c r="G1989" i="7"/>
  <c r="H1989" i="7"/>
  <c r="I1989" i="7"/>
  <c r="G1977" i="7"/>
  <c r="H1977" i="7"/>
  <c r="I1977" i="7"/>
  <c r="G1965" i="7"/>
  <c r="H1965" i="7"/>
  <c r="I1965" i="7"/>
  <c r="H1953" i="7"/>
  <c r="I1953" i="7"/>
  <c r="G1953" i="7"/>
  <c r="I1941" i="7"/>
  <c r="H1941" i="7"/>
  <c r="I1929" i="7"/>
  <c r="H1929" i="7"/>
  <c r="K1917" i="7"/>
  <c r="G1881" i="7"/>
  <c r="H1881" i="7"/>
  <c r="I1881" i="7"/>
  <c r="G1869" i="7"/>
  <c r="H1869" i="7"/>
  <c r="I1869" i="7"/>
  <c r="G1857" i="7"/>
  <c r="H1857" i="7"/>
  <c r="I1857" i="7"/>
  <c r="G1845" i="7"/>
  <c r="H1845" i="7"/>
  <c r="I1845" i="7"/>
  <c r="G1821" i="7"/>
  <c r="H1821" i="7"/>
  <c r="G1809" i="7"/>
  <c r="H1809" i="7"/>
  <c r="I1809" i="7"/>
  <c r="G1797" i="7"/>
  <c r="H1797" i="7"/>
  <c r="I1797" i="7"/>
  <c r="G1785" i="7"/>
  <c r="H1785" i="7"/>
  <c r="I1785" i="7"/>
  <c r="H1773" i="7"/>
  <c r="I1773" i="7"/>
  <c r="K1773" i="7" s="1"/>
  <c r="G1773" i="7"/>
  <c r="I1761" i="7"/>
  <c r="H1761" i="7"/>
  <c r="G1725" i="7"/>
  <c r="H1725" i="7"/>
  <c r="I1725" i="7"/>
  <c r="G1713" i="7"/>
  <c r="H1713" i="7"/>
  <c r="I1713" i="7"/>
  <c r="G1701" i="7"/>
  <c r="H1701" i="7"/>
  <c r="I1701" i="7"/>
  <c r="K1701" i="7" s="1"/>
  <c r="G1689" i="7"/>
  <c r="H1689" i="7"/>
  <c r="I1689" i="7"/>
  <c r="I1677" i="7"/>
  <c r="H1677" i="7"/>
  <c r="G1665" i="7"/>
  <c r="H1665" i="7"/>
  <c r="I1665" i="7"/>
  <c r="K1665" i="7" s="1"/>
  <c r="I1653" i="7"/>
  <c r="H1653" i="7"/>
  <c r="K1653" i="7" s="1"/>
  <c r="G1653" i="7"/>
  <c r="I1641" i="7"/>
  <c r="G1641" i="7"/>
  <c r="G1629" i="7"/>
  <c r="H1629" i="7"/>
  <c r="I1629" i="7"/>
  <c r="G1617" i="7"/>
  <c r="H1617" i="7"/>
  <c r="I1617" i="7"/>
  <c r="G1605" i="7"/>
  <c r="H1605" i="7"/>
  <c r="I1605" i="7"/>
  <c r="G1593" i="7"/>
  <c r="H1593" i="7"/>
  <c r="I1593" i="7"/>
  <c r="H1581" i="7"/>
  <c r="I1581" i="7"/>
  <c r="G1581" i="7"/>
  <c r="G1569" i="7"/>
  <c r="H1569" i="7"/>
  <c r="G1557" i="7"/>
  <c r="H1557" i="7"/>
  <c r="I1557" i="7"/>
  <c r="G1545" i="7"/>
  <c r="H1545" i="7"/>
  <c r="I1545" i="7"/>
  <c r="K1545" i="7" s="1"/>
  <c r="H1533" i="7"/>
  <c r="I1533" i="7"/>
  <c r="G1533" i="7"/>
  <c r="I1521" i="7"/>
  <c r="H1521" i="7"/>
  <c r="G1521" i="7"/>
  <c r="I1509" i="7"/>
  <c r="H1509" i="7"/>
  <c r="G1509" i="7"/>
  <c r="I1497" i="7"/>
  <c r="G1497" i="7"/>
  <c r="H1497" i="7"/>
  <c r="G1485" i="7"/>
  <c r="H1485" i="7"/>
  <c r="I1485" i="7"/>
  <c r="G1473" i="7"/>
  <c r="H1473" i="7"/>
  <c r="I1473" i="7"/>
  <c r="G1461" i="7"/>
  <c r="H1461" i="7"/>
  <c r="I1461" i="7"/>
  <c r="G1449" i="7"/>
  <c r="H1449" i="7"/>
  <c r="I1449" i="7"/>
  <c r="G1437" i="7"/>
  <c r="H1437" i="7"/>
  <c r="I1437" i="7"/>
  <c r="H1425" i="7"/>
  <c r="I1425" i="7"/>
  <c r="G1425" i="7"/>
  <c r="G1413" i="7"/>
  <c r="H1413" i="7"/>
  <c r="I1401" i="7"/>
  <c r="H1401" i="7"/>
  <c r="G1401" i="7"/>
  <c r="G1389" i="7"/>
  <c r="H1389" i="7"/>
  <c r="I1389" i="7"/>
  <c r="G1377" i="7"/>
  <c r="H1377" i="7"/>
  <c r="I1377" i="7"/>
  <c r="G1365" i="7"/>
  <c r="H1365" i="7"/>
  <c r="I1365" i="7"/>
  <c r="G1353" i="7"/>
  <c r="I1353" i="7"/>
  <c r="G1341" i="7"/>
  <c r="H1341" i="7"/>
  <c r="I1341" i="7"/>
  <c r="G1329" i="7"/>
  <c r="H1329" i="7"/>
  <c r="I1329" i="7"/>
  <c r="I1317" i="7"/>
  <c r="H1317" i="7"/>
  <c r="G1317" i="7"/>
  <c r="G1305" i="7"/>
  <c r="H1305" i="7"/>
  <c r="I1305" i="7"/>
  <c r="H1293" i="7"/>
  <c r="I1293" i="7"/>
  <c r="H1281" i="7"/>
  <c r="I1281" i="7"/>
  <c r="G1281" i="7"/>
  <c r="I1269" i="7"/>
  <c r="H1269" i="7"/>
  <c r="G1269" i="7"/>
  <c r="G1257" i="7"/>
  <c r="H1257" i="7"/>
  <c r="I1257" i="7"/>
  <c r="G1245" i="7"/>
  <c r="H1245" i="7"/>
  <c r="I1245" i="7"/>
  <c r="G1233" i="7"/>
  <c r="H1233" i="7"/>
  <c r="H1221" i="7"/>
  <c r="I1221" i="7"/>
  <c r="G1221" i="7"/>
  <c r="G1209" i="7"/>
  <c r="H1209" i="7"/>
  <c r="I1209" i="7"/>
  <c r="G1197" i="7"/>
  <c r="H1197" i="7"/>
  <c r="I1197" i="7"/>
  <c r="G1185" i="7"/>
  <c r="H1185" i="7"/>
  <c r="I1185" i="7"/>
  <c r="G1173" i="7"/>
  <c r="H1173" i="7"/>
  <c r="G1161" i="7"/>
  <c r="H1161" i="7"/>
  <c r="I1161" i="7"/>
  <c r="I1149" i="7"/>
  <c r="H1149" i="7"/>
  <c r="G1149" i="7"/>
  <c r="H1137" i="7"/>
  <c r="I1137" i="7"/>
  <c r="G1137" i="7"/>
  <c r="G1125" i="7"/>
  <c r="H1125" i="7"/>
  <c r="I1125" i="7"/>
  <c r="H1113" i="7"/>
  <c r="I1113" i="7"/>
  <c r="H1101" i="7"/>
  <c r="I1101" i="7"/>
  <c r="G1101" i="7"/>
  <c r="G1089" i="7"/>
  <c r="H1089" i="7"/>
  <c r="I1089" i="7"/>
  <c r="G1077" i="7"/>
  <c r="H1077" i="7"/>
  <c r="I1077" i="7"/>
  <c r="G1065" i="7"/>
  <c r="H1065" i="7"/>
  <c r="I1065" i="7"/>
  <c r="G1053" i="7"/>
  <c r="H1053" i="7"/>
  <c r="I1053" i="7"/>
  <c r="I1041" i="7"/>
  <c r="H1041" i="7"/>
  <c r="G1029" i="7"/>
  <c r="K1029" i="7" s="1"/>
  <c r="H1029" i="7"/>
  <c r="I1029" i="7"/>
  <c r="G1017" i="7"/>
  <c r="H1017" i="7"/>
  <c r="I1017" i="7"/>
  <c r="G1005" i="7"/>
  <c r="H1005" i="7"/>
  <c r="I1005" i="7"/>
  <c r="I993" i="7"/>
  <c r="G993" i="7"/>
  <c r="H993" i="7"/>
  <c r="G981" i="7"/>
  <c r="H981" i="7"/>
  <c r="I981" i="7"/>
  <c r="G969" i="7"/>
  <c r="H969" i="7"/>
  <c r="I969" i="7"/>
  <c r="G957" i="7"/>
  <c r="H957" i="7"/>
  <c r="I957" i="7"/>
  <c r="G945" i="7"/>
  <c r="H945" i="7"/>
  <c r="I945" i="7"/>
  <c r="G933" i="7"/>
  <c r="K933" i="7" s="1"/>
  <c r="H933" i="7"/>
  <c r="I933" i="7"/>
  <c r="G921" i="7"/>
  <c r="H921" i="7"/>
  <c r="I921" i="7"/>
  <c r="G909" i="7"/>
  <c r="H909" i="7"/>
  <c r="I909" i="7"/>
  <c r="I897" i="7"/>
  <c r="H897" i="7"/>
  <c r="G897" i="7"/>
  <c r="I885" i="7"/>
  <c r="G885" i="7"/>
  <c r="H885" i="7"/>
  <c r="G873" i="7"/>
  <c r="I873" i="7"/>
  <c r="H873" i="7"/>
  <c r="G861" i="7"/>
  <c r="H861" i="7"/>
  <c r="I861" i="7"/>
  <c r="G849" i="7"/>
  <c r="H849" i="7"/>
  <c r="I849" i="7"/>
  <c r="I837" i="7"/>
  <c r="G837" i="7"/>
  <c r="H837" i="7"/>
  <c r="G825" i="7"/>
  <c r="H825" i="7"/>
  <c r="I825" i="7"/>
  <c r="G813" i="7"/>
  <c r="H813" i="7"/>
  <c r="I813" i="7"/>
  <c r="G801" i="7"/>
  <c r="H801" i="7"/>
  <c r="I801" i="7"/>
  <c r="H789" i="7"/>
  <c r="G789" i="7"/>
  <c r="I789" i="7"/>
  <c r="I777" i="7"/>
  <c r="G777" i="7"/>
  <c r="H777" i="7"/>
  <c r="G765" i="7"/>
  <c r="H765" i="7"/>
  <c r="I765" i="7"/>
  <c r="H753" i="7"/>
  <c r="I753" i="7"/>
  <c r="G753" i="7"/>
  <c r="I741" i="7"/>
  <c r="H741" i="7"/>
  <c r="G741" i="7"/>
  <c r="I729" i="7"/>
  <c r="G729" i="7"/>
  <c r="H729" i="7"/>
  <c r="G717" i="7"/>
  <c r="H717" i="7"/>
  <c r="I717" i="7"/>
  <c r="G705" i="7"/>
  <c r="H705" i="7"/>
  <c r="I705" i="7"/>
  <c r="I693" i="7"/>
  <c r="H693" i="7"/>
  <c r="G693" i="7"/>
  <c r="G681" i="7"/>
  <c r="I681" i="7"/>
  <c r="G669" i="7"/>
  <c r="H669" i="7"/>
  <c r="I669" i="7"/>
  <c r="G657" i="7"/>
  <c r="H657" i="7"/>
  <c r="I657" i="7"/>
  <c r="G645" i="7"/>
  <c r="I645" i="7"/>
  <c r="H645" i="7"/>
  <c r="G633" i="7"/>
  <c r="H633" i="7"/>
  <c r="I633" i="7"/>
  <c r="G621" i="7"/>
  <c r="H621" i="7"/>
  <c r="I621" i="7"/>
  <c r="G609" i="7"/>
  <c r="H609" i="7"/>
  <c r="I609" i="7"/>
  <c r="G597" i="7"/>
  <c r="H597" i="7"/>
  <c r="I597" i="7"/>
  <c r="G585" i="7"/>
  <c r="H585" i="7"/>
  <c r="I585" i="7"/>
  <c r="H573" i="7"/>
  <c r="I573" i="7"/>
  <c r="G573" i="7"/>
  <c r="G561" i="7"/>
  <c r="H561" i="7"/>
  <c r="I561" i="7"/>
  <c r="H549" i="7"/>
  <c r="I549" i="7"/>
  <c r="G549" i="7"/>
  <c r="G537" i="7"/>
  <c r="H537" i="7"/>
  <c r="I537" i="7"/>
  <c r="G525" i="7"/>
  <c r="H525" i="7"/>
  <c r="I525" i="7"/>
  <c r="G513" i="7"/>
  <c r="H513" i="7"/>
  <c r="I513" i="7"/>
  <c r="G501" i="7"/>
  <c r="H501" i="7"/>
  <c r="I501" i="7"/>
  <c r="G489" i="7"/>
  <c r="H489" i="7"/>
  <c r="I489" i="7"/>
  <c r="G477" i="7"/>
  <c r="H477" i="7"/>
  <c r="I477" i="7"/>
  <c r="H465" i="7"/>
  <c r="I465" i="7"/>
  <c r="G465" i="7"/>
  <c r="G453" i="7"/>
  <c r="H453" i="7"/>
  <c r="I453" i="7"/>
  <c r="G441" i="7"/>
  <c r="H441" i="7"/>
  <c r="I441" i="7"/>
  <c r="H429" i="7"/>
  <c r="I429" i="7"/>
  <c r="G429" i="7"/>
  <c r="G417" i="7"/>
  <c r="H417" i="7"/>
  <c r="I417" i="7"/>
  <c r="G405" i="7"/>
  <c r="H405" i="7"/>
  <c r="I405" i="7"/>
  <c r="H393" i="7"/>
  <c r="I393" i="7"/>
  <c r="G393" i="7"/>
  <c r="I381" i="7"/>
  <c r="G381" i="7"/>
  <c r="H381" i="7"/>
  <c r="G369" i="7"/>
  <c r="H369" i="7"/>
  <c r="I369" i="7"/>
  <c r="G357" i="7"/>
  <c r="H357" i="7"/>
  <c r="I357" i="7"/>
  <c r="G345" i="7"/>
  <c r="H345" i="7"/>
  <c r="I345" i="7"/>
  <c r="G333" i="7"/>
  <c r="H333" i="7"/>
  <c r="I333" i="7"/>
  <c r="G321" i="7"/>
  <c r="H321" i="7"/>
  <c r="I321" i="7"/>
  <c r="I309" i="7"/>
  <c r="H309" i="7"/>
  <c r="G309" i="7"/>
  <c r="G297" i="7"/>
  <c r="H297" i="7"/>
  <c r="I297" i="7"/>
  <c r="G285" i="7"/>
  <c r="H285" i="7"/>
  <c r="I285" i="7"/>
  <c r="G273" i="7"/>
  <c r="H273" i="7"/>
  <c r="I273" i="7"/>
  <c r="H261" i="7"/>
  <c r="G261" i="7"/>
  <c r="I261" i="7"/>
  <c r="G249" i="7"/>
  <c r="H249" i="7"/>
  <c r="I249" i="7"/>
  <c r="G237" i="7"/>
  <c r="H237" i="7"/>
  <c r="I237" i="7"/>
  <c r="I225" i="7"/>
  <c r="H225" i="7"/>
  <c r="G225" i="7"/>
  <c r="I213" i="7"/>
  <c r="H213" i="7"/>
  <c r="G213" i="7"/>
  <c r="I201" i="7"/>
  <c r="H201" i="7"/>
  <c r="G201" i="7"/>
  <c r="G189" i="7"/>
  <c r="H189" i="7"/>
  <c r="I189" i="7"/>
  <c r="G177" i="7"/>
  <c r="H177" i="7"/>
  <c r="I177" i="7"/>
  <c r="G165" i="7"/>
  <c r="H165" i="7"/>
  <c r="I165" i="7"/>
  <c r="I153" i="7"/>
  <c r="G153" i="7"/>
  <c r="H153" i="7"/>
  <c r="H141" i="7"/>
  <c r="G141" i="7"/>
  <c r="I141" i="7"/>
  <c r="H129" i="7"/>
  <c r="I129" i="7"/>
  <c r="G129" i="7"/>
  <c r="G117" i="7"/>
  <c r="H117" i="7"/>
  <c r="I117" i="7"/>
  <c r="H105" i="7"/>
  <c r="I105" i="7"/>
  <c r="G105" i="7"/>
  <c r="G93" i="7"/>
  <c r="H93" i="7"/>
  <c r="I93" i="7"/>
  <c r="I81" i="7"/>
  <c r="G81" i="7"/>
  <c r="H81" i="7"/>
  <c r="G69" i="7"/>
  <c r="I69" i="7"/>
  <c r="H69" i="7"/>
  <c r="G57" i="7"/>
  <c r="H57" i="7"/>
  <c r="I57" i="7"/>
  <c r="I45" i="7"/>
  <c r="G45" i="7"/>
  <c r="H45" i="7"/>
  <c r="I33" i="7"/>
  <c r="G33" i="7"/>
  <c r="H33" i="7"/>
  <c r="H21" i="7"/>
  <c r="I21" i="7"/>
  <c r="G21" i="7"/>
  <c r="H9" i="7"/>
  <c r="I9" i="7"/>
  <c r="G9" i="7"/>
  <c r="H2133" i="7"/>
  <c r="H1994" i="7"/>
  <c r="I1979" i="7"/>
  <c r="K1979" i="7" s="1"/>
  <c r="H1932" i="7"/>
  <c r="H1870" i="7"/>
  <c r="H1855" i="7"/>
  <c r="I1825" i="7"/>
  <c r="H1795" i="7"/>
  <c r="H1764" i="7"/>
  <c r="H1749" i="7"/>
  <c r="H1614" i="7"/>
  <c r="I1569" i="7"/>
  <c r="H1477" i="7"/>
  <c r="H1427" i="7"/>
  <c r="G1367" i="7"/>
  <c r="G1306" i="7"/>
  <c r="I1246" i="7"/>
  <c r="I1186" i="7"/>
  <c r="K1186" i="7" s="1"/>
  <c r="G1113" i="7"/>
  <c r="H1957" i="7"/>
  <c r="I1957" i="7"/>
  <c r="G1957" i="7"/>
  <c r="G1885" i="7"/>
  <c r="H1885" i="7"/>
  <c r="I1885" i="7"/>
  <c r="G1801" i="7"/>
  <c r="H1801" i="7"/>
  <c r="I1801" i="7"/>
  <c r="G1705" i="7"/>
  <c r="H1705" i="7"/>
  <c r="K1705" i="7" s="1"/>
  <c r="I1705" i="7"/>
  <c r="G1597" i="7"/>
  <c r="H1597" i="7"/>
  <c r="I1597" i="7"/>
  <c r="H1537" i="7"/>
  <c r="I1537" i="7"/>
  <c r="G1537" i="7"/>
  <c r="G1429" i="7"/>
  <c r="H1429" i="7"/>
  <c r="I1429" i="7"/>
  <c r="G1333" i="7"/>
  <c r="H1333" i="7"/>
  <c r="I1333" i="7"/>
  <c r="I1261" i="7"/>
  <c r="G1261" i="7"/>
  <c r="G1177" i="7"/>
  <c r="I1177" i="7"/>
  <c r="H1177" i="7"/>
  <c r="G1069" i="7"/>
  <c r="H1069" i="7"/>
  <c r="I1069" i="7"/>
  <c r="G973" i="7"/>
  <c r="H973" i="7"/>
  <c r="I973" i="7"/>
  <c r="G877" i="7"/>
  <c r="H877" i="7"/>
  <c r="I877" i="7"/>
  <c r="I745" i="7"/>
  <c r="H745" i="7"/>
  <c r="G745" i="7"/>
  <c r="G625" i="7"/>
  <c r="H625" i="7"/>
  <c r="I625" i="7"/>
  <c r="G493" i="7"/>
  <c r="H493" i="7"/>
  <c r="I493" i="7"/>
  <c r="G373" i="7"/>
  <c r="I373" i="7"/>
  <c r="H373" i="7"/>
  <c r="G277" i="7"/>
  <c r="H277" i="7"/>
  <c r="I277" i="7"/>
  <c r="G193" i="7"/>
  <c r="H193" i="7"/>
  <c r="I193" i="7"/>
  <c r="I61" i="7"/>
  <c r="G61" i="7"/>
  <c r="H61" i="7"/>
  <c r="G2052" i="7"/>
  <c r="H2052" i="7"/>
  <c r="I2052" i="7"/>
  <c r="I1980" i="7"/>
  <c r="H1980" i="7"/>
  <c r="G1884" i="7"/>
  <c r="H1884" i="7"/>
  <c r="I1884" i="7"/>
  <c r="G1824" i="7"/>
  <c r="H1824" i="7"/>
  <c r="I1824" i="7"/>
  <c r="G1728" i="7"/>
  <c r="H1728" i="7"/>
  <c r="I1728" i="7"/>
  <c r="K1728" i="7" s="1"/>
  <c r="H1620" i="7"/>
  <c r="I1620" i="7"/>
  <c r="G1620" i="7"/>
  <c r="I1548" i="7"/>
  <c r="H1548" i="7"/>
  <c r="G1512" i="7"/>
  <c r="H1512" i="7"/>
  <c r="H1440" i="7"/>
  <c r="I1440" i="7"/>
  <c r="G1440" i="7"/>
  <c r="G1380" i="7"/>
  <c r="H1380" i="7"/>
  <c r="I1380" i="7"/>
  <c r="G1308" i="7"/>
  <c r="H1308" i="7"/>
  <c r="I1308" i="7"/>
  <c r="G1260" i="7"/>
  <c r="H1260" i="7"/>
  <c r="I1260" i="7"/>
  <c r="G1200" i="7"/>
  <c r="H1200" i="7"/>
  <c r="I1200" i="7"/>
  <c r="G1128" i="7"/>
  <c r="H1128" i="7"/>
  <c r="I1128" i="7"/>
  <c r="G1080" i="7"/>
  <c r="H1080" i="7"/>
  <c r="I1080" i="7"/>
  <c r="H1020" i="7"/>
  <c r="I1020" i="7"/>
  <c r="G1020" i="7"/>
  <c r="G924" i="7"/>
  <c r="H924" i="7"/>
  <c r="I924" i="7"/>
  <c r="G864" i="7"/>
  <c r="H864" i="7"/>
  <c r="I864" i="7"/>
  <c r="G804" i="7"/>
  <c r="I804" i="7"/>
  <c r="H804" i="7"/>
  <c r="G720" i="7"/>
  <c r="H720" i="7"/>
  <c r="I720" i="7"/>
  <c r="I660" i="7"/>
  <c r="H660" i="7"/>
  <c r="G660" i="7"/>
  <c r="G600" i="7"/>
  <c r="I600" i="7"/>
  <c r="H600" i="7"/>
  <c r="G516" i="7"/>
  <c r="H516" i="7"/>
  <c r="I516" i="7"/>
  <c r="G336" i="7"/>
  <c r="H336" i="7"/>
  <c r="I336" i="7"/>
  <c r="H1489" i="7"/>
  <c r="K1489" i="7" s="1"/>
  <c r="I5" i="7"/>
  <c r="G5" i="7"/>
  <c r="H5" i="7"/>
  <c r="H2132" i="7"/>
  <c r="I2132" i="7"/>
  <c r="G2120" i="7"/>
  <c r="H2120" i="7"/>
  <c r="I2120" i="7"/>
  <c r="G2108" i="7"/>
  <c r="H2108" i="7"/>
  <c r="I2108" i="7"/>
  <c r="G2096" i="7"/>
  <c r="H2096" i="7"/>
  <c r="I2096" i="7"/>
  <c r="G2084" i="7"/>
  <c r="H2084" i="7"/>
  <c r="I2084" i="7"/>
  <c r="G2072" i="7"/>
  <c r="H2072" i="7"/>
  <c r="I2072" i="7"/>
  <c r="G2060" i="7"/>
  <c r="H2060" i="7"/>
  <c r="I2060" i="7"/>
  <c r="G2048" i="7"/>
  <c r="H2048" i="7"/>
  <c r="I2048" i="7"/>
  <c r="G2036" i="7"/>
  <c r="H2036" i="7"/>
  <c r="I2036" i="7"/>
  <c r="G2024" i="7"/>
  <c r="H2024" i="7"/>
  <c r="I2024" i="7"/>
  <c r="G2012" i="7"/>
  <c r="H2012" i="7"/>
  <c r="I2012" i="7"/>
  <c r="G2000" i="7"/>
  <c r="H2000" i="7"/>
  <c r="I2000" i="7"/>
  <c r="G1988" i="7"/>
  <c r="H1988" i="7"/>
  <c r="I1988" i="7"/>
  <c r="G1916" i="7"/>
  <c r="H1916" i="7"/>
  <c r="G1904" i="7"/>
  <c r="H1904" i="7"/>
  <c r="I1904" i="7"/>
  <c r="G1892" i="7"/>
  <c r="H1892" i="7"/>
  <c r="I1892" i="7"/>
  <c r="G1880" i="7"/>
  <c r="H1880" i="7"/>
  <c r="I1880" i="7"/>
  <c r="G1868" i="7"/>
  <c r="H1868" i="7"/>
  <c r="I1868" i="7"/>
  <c r="I1856" i="7"/>
  <c r="H1856" i="7"/>
  <c r="G1832" i="7"/>
  <c r="H1832" i="7"/>
  <c r="G1820" i="7"/>
  <c r="H1820" i="7"/>
  <c r="I1820" i="7"/>
  <c r="G1808" i="7"/>
  <c r="H1808" i="7"/>
  <c r="I1808" i="7"/>
  <c r="H1796" i="7"/>
  <c r="I1796" i="7"/>
  <c r="G1796" i="7"/>
  <c r="G1748" i="7"/>
  <c r="H1748" i="7"/>
  <c r="I1748" i="7"/>
  <c r="G1736" i="7"/>
  <c r="H1736" i="7"/>
  <c r="I1736" i="7"/>
  <c r="G1724" i="7"/>
  <c r="H1724" i="7"/>
  <c r="I1724" i="7"/>
  <c r="H1712" i="7"/>
  <c r="I1712" i="7"/>
  <c r="G1712" i="7"/>
  <c r="I1700" i="7"/>
  <c r="H1700" i="7"/>
  <c r="G1676" i="7"/>
  <c r="H1676" i="7"/>
  <c r="I1664" i="7"/>
  <c r="H1664" i="7"/>
  <c r="H1652" i="7"/>
  <c r="I1652" i="7"/>
  <c r="G1652" i="7"/>
  <c r="G1640" i="7"/>
  <c r="H1640" i="7"/>
  <c r="I1640" i="7"/>
  <c r="G1628" i="7"/>
  <c r="H1628" i="7"/>
  <c r="I1628" i="7"/>
  <c r="G1616" i="7"/>
  <c r="H1616" i="7"/>
  <c r="I1616" i="7"/>
  <c r="G1604" i="7"/>
  <c r="I1604" i="7"/>
  <c r="H1592" i="7"/>
  <c r="I1592" i="7"/>
  <c r="G1592" i="7"/>
  <c r="G1580" i="7"/>
  <c r="H1580" i="7"/>
  <c r="G1568" i="7"/>
  <c r="H1568" i="7"/>
  <c r="I1568" i="7"/>
  <c r="G1556" i="7"/>
  <c r="I1556" i="7"/>
  <c r="H1556" i="7"/>
  <c r="I1544" i="7"/>
  <c r="G1544" i="7"/>
  <c r="H1544" i="7"/>
  <c r="G1532" i="7"/>
  <c r="H1532" i="7"/>
  <c r="I1532" i="7"/>
  <c r="G1520" i="7"/>
  <c r="H1520" i="7"/>
  <c r="I1520" i="7"/>
  <c r="G1508" i="7"/>
  <c r="H1508" i="7"/>
  <c r="I1508" i="7"/>
  <c r="G1496" i="7"/>
  <c r="H1496" i="7"/>
  <c r="I1496" i="7"/>
  <c r="G1484" i="7"/>
  <c r="H1484" i="7"/>
  <c r="I1484" i="7"/>
  <c r="G1472" i="7"/>
  <c r="H1472" i="7"/>
  <c r="I1472" i="7"/>
  <c r="G1460" i="7"/>
  <c r="H1460" i="7"/>
  <c r="I1460" i="7"/>
  <c r="G1448" i="7"/>
  <c r="K1448" i="7" s="1"/>
  <c r="H1448" i="7"/>
  <c r="I1448" i="7"/>
  <c r="H1436" i="7"/>
  <c r="I1436" i="7"/>
  <c r="G1436" i="7"/>
  <c r="H1424" i="7"/>
  <c r="I1424" i="7"/>
  <c r="G1424" i="7"/>
  <c r="I1412" i="7"/>
  <c r="G1412" i="7"/>
  <c r="G1400" i="7"/>
  <c r="H1400" i="7"/>
  <c r="G1388" i="7"/>
  <c r="H1388" i="7"/>
  <c r="I1388" i="7"/>
  <c r="G1376" i="7"/>
  <c r="H1376" i="7"/>
  <c r="I1376" i="7"/>
  <c r="G1364" i="7"/>
  <c r="H1364" i="7"/>
  <c r="I1364" i="7"/>
  <c r="I1352" i="7"/>
  <c r="H1352" i="7"/>
  <c r="I1340" i="7"/>
  <c r="H1340" i="7"/>
  <c r="I1328" i="7"/>
  <c r="G1328" i="7"/>
  <c r="H1328" i="7"/>
  <c r="G1316" i="7"/>
  <c r="H1316" i="7"/>
  <c r="I1316" i="7"/>
  <c r="G1304" i="7"/>
  <c r="H1304" i="7"/>
  <c r="I1304" i="7"/>
  <c r="H1292" i="7"/>
  <c r="I1292" i="7"/>
  <c r="G1292" i="7"/>
  <c r="G1280" i="7"/>
  <c r="I1280" i="7"/>
  <c r="G1268" i="7"/>
  <c r="H1268" i="7"/>
  <c r="I1268" i="7"/>
  <c r="G1256" i="7"/>
  <c r="H1256" i="7"/>
  <c r="I1256" i="7"/>
  <c r="G1244" i="7"/>
  <c r="I1244" i="7"/>
  <c r="H1244" i="7"/>
  <c r="I1232" i="7"/>
  <c r="G1232" i="7"/>
  <c r="G1220" i="7"/>
  <c r="I1220" i="7"/>
  <c r="G1208" i="7"/>
  <c r="H1208" i="7"/>
  <c r="I1208" i="7"/>
  <c r="G1196" i="7"/>
  <c r="H1196" i="7"/>
  <c r="I1196" i="7"/>
  <c r="G1184" i="7"/>
  <c r="I1184" i="7"/>
  <c r="H1184" i="7"/>
  <c r="I1172" i="7"/>
  <c r="G1172" i="7"/>
  <c r="G1160" i="7"/>
  <c r="I1160" i="7"/>
  <c r="G1148" i="7"/>
  <c r="H1148" i="7"/>
  <c r="I1148" i="7"/>
  <c r="G1136" i="7"/>
  <c r="H1136" i="7"/>
  <c r="I1136" i="7"/>
  <c r="I1124" i="7"/>
  <c r="G1124" i="7"/>
  <c r="H1124" i="7"/>
  <c r="G1112" i="7"/>
  <c r="H1112" i="7"/>
  <c r="I1112" i="7"/>
  <c r="G1100" i="7"/>
  <c r="H1100" i="7"/>
  <c r="I1100" i="7"/>
  <c r="K1100" i="7" s="1"/>
  <c r="G1088" i="7"/>
  <c r="H1088" i="7"/>
  <c r="I1088" i="7"/>
  <c r="G1076" i="7"/>
  <c r="H1076" i="7"/>
  <c r="I1076" i="7"/>
  <c r="G1064" i="7"/>
  <c r="H1064" i="7"/>
  <c r="I1064" i="7"/>
  <c r="I1052" i="7"/>
  <c r="G1052" i="7"/>
  <c r="H1052" i="7"/>
  <c r="G1040" i="7"/>
  <c r="H1040" i="7"/>
  <c r="I1040" i="7"/>
  <c r="G1028" i="7"/>
  <c r="H1028" i="7"/>
  <c r="I1028" i="7"/>
  <c r="H1016" i="7"/>
  <c r="I1016" i="7"/>
  <c r="G1016" i="7"/>
  <c r="G1004" i="7"/>
  <c r="H1004" i="7"/>
  <c r="I1004" i="7"/>
  <c r="G992" i="7"/>
  <c r="H992" i="7"/>
  <c r="I992" i="7"/>
  <c r="G980" i="7"/>
  <c r="H980" i="7"/>
  <c r="I980" i="7"/>
  <c r="G968" i="7"/>
  <c r="H968" i="7"/>
  <c r="I968" i="7"/>
  <c r="G956" i="7"/>
  <c r="H956" i="7"/>
  <c r="I956" i="7"/>
  <c r="G944" i="7"/>
  <c r="H944" i="7"/>
  <c r="G932" i="7"/>
  <c r="H932" i="7"/>
  <c r="I932" i="7"/>
  <c r="G920" i="7"/>
  <c r="H920" i="7"/>
  <c r="I920" i="7"/>
  <c r="H908" i="7"/>
  <c r="I908" i="7"/>
  <c r="G908" i="7"/>
  <c r="G896" i="7"/>
  <c r="I896" i="7"/>
  <c r="H896" i="7"/>
  <c r="G884" i="7"/>
  <c r="I884" i="7"/>
  <c r="H884" i="7"/>
  <c r="G872" i="7"/>
  <c r="H872" i="7"/>
  <c r="I872" i="7"/>
  <c r="I860" i="7"/>
  <c r="G860" i="7"/>
  <c r="H860" i="7"/>
  <c r="I848" i="7"/>
  <c r="H848" i="7"/>
  <c r="G836" i="7"/>
  <c r="H836" i="7"/>
  <c r="I836" i="7"/>
  <c r="G824" i="7"/>
  <c r="H824" i="7"/>
  <c r="I824" i="7"/>
  <c r="G812" i="7"/>
  <c r="H812" i="7"/>
  <c r="I812" i="7"/>
  <c r="G800" i="7"/>
  <c r="I800" i="7"/>
  <c r="H800" i="7"/>
  <c r="G788" i="7"/>
  <c r="H788" i="7"/>
  <c r="I788" i="7"/>
  <c r="G776" i="7"/>
  <c r="H776" i="7"/>
  <c r="I776" i="7"/>
  <c r="G764" i="7"/>
  <c r="H764" i="7"/>
  <c r="I764" i="7"/>
  <c r="I752" i="7"/>
  <c r="G752" i="7"/>
  <c r="H752" i="7"/>
  <c r="I740" i="7"/>
  <c r="G740" i="7"/>
  <c r="H740" i="7"/>
  <c r="G728" i="7"/>
  <c r="H728" i="7"/>
  <c r="I728" i="7"/>
  <c r="H716" i="7"/>
  <c r="I716" i="7"/>
  <c r="G716" i="7"/>
  <c r="I704" i="7"/>
  <c r="H704" i="7"/>
  <c r="G704" i="7"/>
  <c r="I692" i="7"/>
  <c r="G692" i="7"/>
  <c r="H692" i="7"/>
  <c r="G680" i="7"/>
  <c r="H680" i="7"/>
  <c r="I680" i="7"/>
  <c r="G668" i="7"/>
  <c r="H668" i="7"/>
  <c r="I668" i="7"/>
  <c r="I656" i="7"/>
  <c r="H656" i="7"/>
  <c r="G656" i="7"/>
  <c r="G644" i="7"/>
  <c r="H644" i="7"/>
  <c r="I644" i="7"/>
  <c r="G632" i="7"/>
  <c r="H632" i="7"/>
  <c r="I632" i="7"/>
  <c r="G620" i="7"/>
  <c r="H620" i="7"/>
  <c r="I620" i="7"/>
  <c r="G608" i="7"/>
  <c r="H608" i="7"/>
  <c r="I608" i="7"/>
  <c r="G596" i="7"/>
  <c r="H596" i="7"/>
  <c r="I596" i="7"/>
  <c r="K596" i="7" s="1"/>
  <c r="G584" i="7"/>
  <c r="H584" i="7"/>
  <c r="I584" i="7"/>
  <c r="H572" i="7"/>
  <c r="I572" i="7"/>
  <c r="G572" i="7"/>
  <c r="G560" i="7"/>
  <c r="H560" i="7"/>
  <c r="K560" i="7" s="1"/>
  <c r="I560" i="7"/>
  <c r="G548" i="7"/>
  <c r="H548" i="7"/>
  <c r="I548" i="7"/>
  <c r="G536" i="7"/>
  <c r="H536" i="7"/>
  <c r="I536" i="7"/>
  <c r="G524" i="7"/>
  <c r="H524" i="7"/>
  <c r="I524" i="7"/>
  <c r="G512" i="7"/>
  <c r="H512" i="7"/>
  <c r="I512" i="7"/>
  <c r="G500" i="7"/>
  <c r="H500" i="7"/>
  <c r="I500" i="7"/>
  <c r="H488" i="7"/>
  <c r="G488" i="7"/>
  <c r="I488" i="7"/>
  <c r="G476" i="7"/>
  <c r="H476" i="7"/>
  <c r="I476" i="7"/>
  <c r="G464" i="7"/>
  <c r="H464" i="7"/>
  <c r="I464" i="7"/>
  <c r="G452" i="7"/>
  <c r="H452" i="7"/>
  <c r="I452" i="7"/>
  <c r="G440" i="7"/>
  <c r="H440" i="7"/>
  <c r="I440" i="7"/>
  <c r="G428" i="7"/>
  <c r="H428" i="7"/>
  <c r="I428" i="7"/>
  <c r="G416" i="7"/>
  <c r="H416" i="7"/>
  <c r="I416" i="7"/>
  <c r="H404" i="7"/>
  <c r="I404" i="7"/>
  <c r="G404" i="7"/>
  <c r="G392" i="7"/>
  <c r="H392" i="7"/>
  <c r="I392" i="7"/>
  <c r="G380" i="7"/>
  <c r="H380" i="7"/>
  <c r="I380" i="7"/>
  <c r="G368" i="7"/>
  <c r="H368" i="7"/>
  <c r="I368" i="7"/>
  <c r="H356" i="7"/>
  <c r="I356" i="7"/>
  <c r="G356" i="7"/>
  <c r="G344" i="7"/>
  <c r="H344" i="7"/>
  <c r="I344" i="7"/>
  <c r="G332" i="7"/>
  <c r="H332" i="7"/>
  <c r="I332" i="7"/>
  <c r="G320" i="7"/>
  <c r="H320" i="7"/>
  <c r="I320" i="7"/>
  <c r="G308" i="7"/>
  <c r="H308" i="7"/>
  <c r="I308" i="7"/>
  <c r="G296" i="7"/>
  <c r="H296" i="7"/>
  <c r="I296" i="7"/>
  <c r="H284" i="7"/>
  <c r="G284" i="7"/>
  <c r="I284" i="7"/>
  <c r="H272" i="7"/>
  <c r="G272" i="7"/>
  <c r="I272" i="7"/>
  <c r="H260" i="7"/>
  <c r="I260" i="7"/>
  <c r="G260" i="7"/>
  <c r="I248" i="7"/>
  <c r="H248" i="7"/>
  <c r="G248" i="7"/>
  <c r="I236" i="7"/>
  <c r="H236" i="7"/>
  <c r="G236" i="7"/>
  <c r="H224" i="7"/>
  <c r="G224" i="7"/>
  <c r="I224" i="7"/>
  <c r="I212" i="7"/>
  <c r="H212" i="7"/>
  <c r="G212" i="7"/>
  <c r="H200" i="7"/>
  <c r="I200" i="7"/>
  <c r="G200" i="7"/>
  <c r="G188" i="7"/>
  <c r="I188" i="7"/>
  <c r="H188" i="7"/>
  <c r="G176" i="7"/>
  <c r="I176" i="7"/>
  <c r="H176" i="7"/>
  <c r="H164" i="7"/>
  <c r="G164" i="7"/>
  <c r="I164" i="7"/>
  <c r="K164" i="7" s="1"/>
  <c r="I152" i="7"/>
  <c r="G152" i="7"/>
  <c r="H152" i="7"/>
  <c r="H140" i="7"/>
  <c r="G140" i="7"/>
  <c r="I140" i="7"/>
  <c r="G128" i="7"/>
  <c r="H128" i="7"/>
  <c r="I128" i="7"/>
  <c r="H116" i="7"/>
  <c r="I116" i="7"/>
  <c r="G116" i="7"/>
  <c r="H104" i="7"/>
  <c r="G104" i="7"/>
  <c r="I104" i="7"/>
  <c r="G92" i="7"/>
  <c r="I92" i="7"/>
  <c r="H92" i="7"/>
  <c r="H80" i="7"/>
  <c r="I80" i="7"/>
  <c r="G80" i="7"/>
  <c r="G68" i="7"/>
  <c r="H68" i="7"/>
  <c r="I68" i="7"/>
  <c r="G56" i="7"/>
  <c r="H56" i="7"/>
  <c r="I56" i="7"/>
  <c r="I44" i="7"/>
  <c r="G44" i="7"/>
  <c r="H44" i="7"/>
  <c r="H32" i="7"/>
  <c r="I32" i="7"/>
  <c r="G32" i="7"/>
  <c r="I20" i="7"/>
  <c r="G20" i="7"/>
  <c r="H20" i="7"/>
  <c r="H8" i="7"/>
  <c r="G8" i="7"/>
  <c r="I8" i="7"/>
  <c r="I2146" i="7"/>
  <c r="I2142" i="7"/>
  <c r="I2138" i="7"/>
  <c r="I2117" i="7"/>
  <c r="I2101" i="7"/>
  <c r="I2085" i="7"/>
  <c r="I2069" i="7"/>
  <c r="I2053" i="7"/>
  <c r="I2037" i="7"/>
  <c r="I2021" i="7"/>
  <c r="I2005" i="7"/>
  <c r="G1991" i="7"/>
  <c r="H1976" i="7"/>
  <c r="I1960" i="7"/>
  <c r="I1944" i="7"/>
  <c r="G1929" i="7"/>
  <c r="H1913" i="7"/>
  <c r="I1897" i="7"/>
  <c r="I1882" i="7"/>
  <c r="H1867" i="7"/>
  <c r="H1852" i="7"/>
  <c r="H1837" i="7"/>
  <c r="H1822" i="7"/>
  <c r="H1807" i="7"/>
  <c r="H1792" i="7"/>
  <c r="I1776" i="7"/>
  <c r="G1761" i="7"/>
  <c r="I1730" i="7"/>
  <c r="I1715" i="7"/>
  <c r="G1700" i="7"/>
  <c r="I1669" i="7"/>
  <c r="G1643" i="7"/>
  <c r="H1604" i="7"/>
  <c r="G1560" i="7"/>
  <c r="H1514" i="7"/>
  <c r="I1415" i="7"/>
  <c r="K1415" i="7" s="1"/>
  <c r="I1355" i="7"/>
  <c r="K1355" i="7" s="1"/>
  <c r="G1295" i="7"/>
  <c r="I1235" i="7"/>
  <c r="K1235" i="7" s="1"/>
  <c r="I1175" i="7"/>
  <c r="G848" i="7"/>
  <c r="G4" i="7"/>
  <c r="H4" i="7"/>
  <c r="I4" i="7"/>
  <c r="G2131" i="7"/>
  <c r="H2131" i="7"/>
  <c r="I2131" i="7"/>
  <c r="G2119" i="7"/>
  <c r="H2119" i="7"/>
  <c r="I2119" i="7"/>
  <c r="G2107" i="7"/>
  <c r="H2107" i="7"/>
  <c r="I2107" i="7"/>
  <c r="G2095" i="7"/>
  <c r="H2095" i="7"/>
  <c r="I2095" i="7"/>
  <c r="G2083" i="7"/>
  <c r="H2083" i="7"/>
  <c r="I2083" i="7"/>
  <c r="G2071" i="7"/>
  <c r="H2071" i="7"/>
  <c r="I2071" i="7"/>
  <c r="G2059" i="7"/>
  <c r="H2059" i="7"/>
  <c r="I2059" i="7"/>
  <c r="G2047" i="7"/>
  <c r="H2047" i="7"/>
  <c r="I2047" i="7"/>
  <c r="G2035" i="7"/>
  <c r="H2035" i="7"/>
  <c r="I2035" i="7"/>
  <c r="G2023" i="7"/>
  <c r="H2023" i="7"/>
  <c r="I2023" i="7"/>
  <c r="G2011" i="7"/>
  <c r="H2011" i="7"/>
  <c r="I2011" i="7"/>
  <c r="H1999" i="7"/>
  <c r="I1999" i="7"/>
  <c r="G1999" i="7"/>
  <c r="G1975" i="7"/>
  <c r="H1975" i="7"/>
  <c r="G1963" i="7"/>
  <c r="H1963" i="7"/>
  <c r="G1951" i="7"/>
  <c r="H1951" i="7"/>
  <c r="I1951" i="7"/>
  <c r="G1939" i="7"/>
  <c r="H1939" i="7"/>
  <c r="I1939" i="7"/>
  <c r="G1927" i="7"/>
  <c r="H1927" i="7"/>
  <c r="I1927" i="7"/>
  <c r="G1915" i="7"/>
  <c r="H1915" i="7"/>
  <c r="I1915" i="7"/>
  <c r="G1903" i="7"/>
  <c r="H1903" i="7"/>
  <c r="I1903" i="7"/>
  <c r="G1891" i="7"/>
  <c r="H1891" i="7"/>
  <c r="I1891" i="7"/>
  <c r="I1879" i="7"/>
  <c r="H1879" i="7"/>
  <c r="K1855" i="7"/>
  <c r="G1843" i="7"/>
  <c r="H1843" i="7"/>
  <c r="I1843" i="7"/>
  <c r="G1831" i="7"/>
  <c r="H1831" i="7"/>
  <c r="I1831" i="7"/>
  <c r="G1819" i="7"/>
  <c r="H1819" i="7"/>
  <c r="I1819" i="7"/>
  <c r="G1783" i="7"/>
  <c r="H1783" i="7"/>
  <c r="I1783" i="7"/>
  <c r="G1771" i="7"/>
  <c r="H1771" i="7"/>
  <c r="I1771" i="7"/>
  <c r="G1759" i="7"/>
  <c r="H1759" i="7"/>
  <c r="I1759" i="7"/>
  <c r="G1747" i="7"/>
  <c r="H1747" i="7"/>
  <c r="I1747" i="7"/>
  <c r="H1735" i="7"/>
  <c r="I1735" i="7"/>
  <c r="G1735" i="7"/>
  <c r="G1699" i="7"/>
  <c r="H1699" i="7"/>
  <c r="G1687" i="7"/>
  <c r="H1687" i="7"/>
  <c r="I1687" i="7"/>
  <c r="G1675" i="7"/>
  <c r="H1675" i="7"/>
  <c r="I1675" i="7"/>
  <c r="H1663" i="7"/>
  <c r="G1663" i="7"/>
  <c r="H1651" i="7"/>
  <c r="I1651" i="7"/>
  <c r="H1639" i="7"/>
  <c r="I1639" i="7"/>
  <c r="G1639" i="7"/>
  <c r="G1627" i="7"/>
  <c r="H1627" i="7"/>
  <c r="I1627" i="7"/>
  <c r="H1615" i="7"/>
  <c r="I1615" i="7"/>
  <c r="G1615" i="7"/>
  <c r="I1603" i="7"/>
  <c r="H1603" i="7"/>
  <c r="G1591" i="7"/>
  <c r="H1591" i="7"/>
  <c r="G1579" i="7"/>
  <c r="H1579" i="7"/>
  <c r="I1579" i="7"/>
  <c r="G1567" i="7"/>
  <c r="H1567" i="7"/>
  <c r="I1567" i="7"/>
  <c r="I1555" i="7"/>
  <c r="G1555" i="7"/>
  <c r="H1555" i="7"/>
  <c r="G1543" i="7"/>
  <c r="H1543" i="7"/>
  <c r="I1543" i="7"/>
  <c r="G1531" i="7"/>
  <c r="H1531" i="7"/>
  <c r="I1531" i="7"/>
  <c r="G1519" i="7"/>
  <c r="H1519" i="7"/>
  <c r="I1519" i="7"/>
  <c r="G1507" i="7"/>
  <c r="H1507" i="7"/>
  <c r="I1507" i="7"/>
  <c r="G1495" i="7"/>
  <c r="H1495" i="7"/>
  <c r="I1495" i="7"/>
  <c r="H1483" i="7"/>
  <c r="I1483" i="7"/>
  <c r="G1483" i="7"/>
  <c r="G1471" i="7"/>
  <c r="I1471" i="7"/>
  <c r="H1471" i="7"/>
  <c r="G1459" i="7"/>
  <c r="H1459" i="7"/>
  <c r="I1459" i="7"/>
  <c r="G1447" i="7"/>
  <c r="H1447" i="7"/>
  <c r="I1447" i="7"/>
  <c r="H1435" i="7"/>
  <c r="I1435" i="7"/>
  <c r="K1435" i="7" s="1"/>
  <c r="G1435" i="7"/>
  <c r="G1423" i="7"/>
  <c r="H1423" i="7"/>
  <c r="I1423" i="7"/>
  <c r="G1411" i="7"/>
  <c r="H1411" i="7"/>
  <c r="I1411" i="7"/>
  <c r="G1399" i="7"/>
  <c r="H1399" i="7"/>
  <c r="I1399" i="7"/>
  <c r="G1387" i="7"/>
  <c r="I1387" i="7"/>
  <c r="H1387" i="7"/>
  <c r="G1375" i="7"/>
  <c r="H1375" i="7"/>
  <c r="I1375" i="7"/>
  <c r="I1363" i="7"/>
  <c r="G1363" i="7"/>
  <c r="H1363" i="7"/>
  <c r="G1351" i="7"/>
  <c r="H1351" i="7"/>
  <c r="I1351" i="7"/>
  <c r="G1339" i="7"/>
  <c r="H1339" i="7"/>
  <c r="I1339" i="7"/>
  <c r="G1327" i="7"/>
  <c r="H1327" i="7"/>
  <c r="I1327" i="7"/>
  <c r="G1315" i="7"/>
  <c r="H1315" i="7"/>
  <c r="I1315" i="7"/>
  <c r="H1303" i="7"/>
  <c r="I1303" i="7"/>
  <c r="G1303" i="7"/>
  <c r="G1291" i="7"/>
  <c r="H1291" i="7"/>
  <c r="G1279" i="7"/>
  <c r="H1279" i="7"/>
  <c r="I1279" i="7"/>
  <c r="G1267" i="7"/>
  <c r="H1267" i="7"/>
  <c r="I1267" i="7"/>
  <c r="G1255" i="7"/>
  <c r="I1255" i="7"/>
  <c r="H1255" i="7"/>
  <c r="I1243" i="7"/>
  <c r="H1243" i="7"/>
  <c r="G1243" i="7"/>
  <c r="G1231" i="7"/>
  <c r="H1231" i="7"/>
  <c r="I1231" i="7"/>
  <c r="G1219" i="7"/>
  <c r="H1219" i="7"/>
  <c r="I1219" i="7"/>
  <c r="G1207" i="7"/>
  <c r="I1207" i="7"/>
  <c r="H1207" i="7"/>
  <c r="G1195" i="7"/>
  <c r="H1195" i="7"/>
  <c r="I1195" i="7"/>
  <c r="I1183" i="7"/>
  <c r="H1183" i="7"/>
  <c r="G1183" i="7"/>
  <c r="G1171" i="7"/>
  <c r="H1171" i="7"/>
  <c r="I1171" i="7"/>
  <c r="G1159" i="7"/>
  <c r="H1159" i="7"/>
  <c r="I1159" i="7"/>
  <c r="G1147" i="7"/>
  <c r="H1147" i="7"/>
  <c r="I1147" i="7"/>
  <c r="I1135" i="7"/>
  <c r="G1135" i="7"/>
  <c r="H1135" i="7"/>
  <c r="G1123" i="7"/>
  <c r="H1123" i="7"/>
  <c r="I1123" i="7"/>
  <c r="I1111" i="7"/>
  <c r="G1111" i="7"/>
  <c r="H1111" i="7"/>
  <c r="G1099" i="7"/>
  <c r="I1099" i="7"/>
  <c r="H1099" i="7"/>
  <c r="G1087" i="7"/>
  <c r="H1087" i="7"/>
  <c r="I1087" i="7"/>
  <c r="I1075" i="7"/>
  <c r="H1075" i="7"/>
  <c r="I1063" i="7"/>
  <c r="G1063" i="7"/>
  <c r="H1063" i="7"/>
  <c r="G1051" i="7"/>
  <c r="H1051" i="7"/>
  <c r="I1051" i="7"/>
  <c r="G1039" i="7"/>
  <c r="H1039" i="7"/>
  <c r="I1039" i="7"/>
  <c r="I1027" i="7"/>
  <c r="G1027" i="7"/>
  <c r="H1027" i="7"/>
  <c r="G1015" i="7"/>
  <c r="H1015" i="7"/>
  <c r="I1015" i="7"/>
  <c r="G1003" i="7"/>
  <c r="H1003" i="7"/>
  <c r="I1003" i="7"/>
  <c r="G991" i="7"/>
  <c r="H991" i="7"/>
  <c r="I991" i="7"/>
  <c r="G979" i="7"/>
  <c r="H979" i="7"/>
  <c r="I979" i="7"/>
  <c r="G967" i="7"/>
  <c r="I967" i="7"/>
  <c r="H967" i="7"/>
  <c r="G955" i="7"/>
  <c r="H955" i="7"/>
  <c r="I955" i="7"/>
  <c r="G943" i="7"/>
  <c r="H943" i="7"/>
  <c r="I943" i="7"/>
  <c r="H931" i="7"/>
  <c r="I931" i="7"/>
  <c r="G931" i="7"/>
  <c r="I919" i="7"/>
  <c r="H919" i="7"/>
  <c r="G919" i="7"/>
  <c r="G907" i="7"/>
  <c r="H907" i="7"/>
  <c r="I907" i="7"/>
  <c r="G895" i="7"/>
  <c r="H895" i="7"/>
  <c r="I895" i="7"/>
  <c r="G883" i="7"/>
  <c r="H883" i="7"/>
  <c r="I883" i="7"/>
  <c r="H871" i="7"/>
  <c r="I871" i="7"/>
  <c r="G871" i="7"/>
  <c r="G859" i="7"/>
  <c r="H859" i="7"/>
  <c r="I859" i="7"/>
  <c r="G847" i="7"/>
  <c r="H847" i="7"/>
  <c r="I847" i="7"/>
  <c r="G835" i="7"/>
  <c r="H835" i="7"/>
  <c r="I835" i="7"/>
  <c r="I823" i="7"/>
  <c r="G823" i="7"/>
  <c r="H823" i="7"/>
  <c r="H811" i="7"/>
  <c r="G811" i="7"/>
  <c r="I811" i="7"/>
  <c r="G799" i="7"/>
  <c r="H799" i="7"/>
  <c r="I799" i="7"/>
  <c r="G787" i="7"/>
  <c r="H787" i="7"/>
  <c r="I787" i="7"/>
  <c r="G775" i="7"/>
  <c r="H775" i="7"/>
  <c r="I775" i="7"/>
  <c r="G763" i="7"/>
  <c r="I763" i="7"/>
  <c r="H763" i="7"/>
  <c r="G751" i="7"/>
  <c r="H751" i="7"/>
  <c r="I751" i="7"/>
  <c r="G739" i="7"/>
  <c r="H739" i="7"/>
  <c r="I739" i="7"/>
  <c r="G727" i="7"/>
  <c r="H727" i="7"/>
  <c r="I727" i="7"/>
  <c r="H715" i="7"/>
  <c r="G715" i="7"/>
  <c r="I715" i="7"/>
  <c r="G703" i="7"/>
  <c r="H703" i="7"/>
  <c r="I703" i="7"/>
  <c r="G691" i="7"/>
  <c r="H691" i="7"/>
  <c r="I691" i="7"/>
  <c r="H679" i="7"/>
  <c r="I679" i="7"/>
  <c r="G679" i="7"/>
  <c r="G667" i="7"/>
  <c r="I667" i="7"/>
  <c r="H667" i="7"/>
  <c r="I655" i="7"/>
  <c r="G655" i="7"/>
  <c r="H655" i="7"/>
  <c r="G643" i="7"/>
  <c r="H643" i="7"/>
  <c r="I643" i="7"/>
  <c r="G631" i="7"/>
  <c r="H631" i="7"/>
  <c r="I631" i="7"/>
  <c r="G619" i="7"/>
  <c r="H619" i="7"/>
  <c r="I619" i="7"/>
  <c r="G607" i="7"/>
  <c r="I607" i="7"/>
  <c r="H607" i="7"/>
  <c r="G595" i="7"/>
  <c r="H595" i="7"/>
  <c r="I595" i="7"/>
  <c r="I583" i="7"/>
  <c r="G583" i="7"/>
  <c r="H583" i="7"/>
  <c r="G571" i="7"/>
  <c r="H571" i="7"/>
  <c r="I571" i="7"/>
  <c r="H559" i="7"/>
  <c r="I559" i="7"/>
  <c r="G559" i="7"/>
  <c r="G547" i="7"/>
  <c r="H547" i="7"/>
  <c r="I547" i="7"/>
  <c r="H535" i="7"/>
  <c r="I535" i="7"/>
  <c r="G535" i="7"/>
  <c r="G523" i="7"/>
  <c r="H523" i="7"/>
  <c r="I523" i="7"/>
  <c r="I511" i="7"/>
  <c r="G511" i="7"/>
  <c r="H511" i="7"/>
  <c r="G499" i="7"/>
  <c r="H499" i="7"/>
  <c r="I499" i="7"/>
  <c r="G487" i="7"/>
  <c r="H487" i="7"/>
  <c r="I487" i="7"/>
  <c r="G475" i="7"/>
  <c r="H475" i="7"/>
  <c r="I475" i="7"/>
  <c r="G463" i="7"/>
  <c r="H463" i="7"/>
  <c r="I463" i="7"/>
  <c r="G451" i="7"/>
  <c r="H451" i="7"/>
  <c r="I451" i="7"/>
  <c r="G439" i="7"/>
  <c r="H439" i="7"/>
  <c r="I439" i="7"/>
  <c r="G427" i="7"/>
  <c r="H427" i="7"/>
  <c r="I427" i="7"/>
  <c r="H415" i="7"/>
  <c r="I415" i="7"/>
  <c r="G415" i="7"/>
  <c r="G403" i="7"/>
  <c r="H403" i="7"/>
  <c r="I403" i="7"/>
  <c r="G391" i="7"/>
  <c r="H391" i="7"/>
  <c r="I391" i="7"/>
  <c r="G379" i="7"/>
  <c r="H379" i="7"/>
  <c r="I379" i="7"/>
  <c r="H367" i="7"/>
  <c r="I367" i="7"/>
  <c r="G367" i="7"/>
  <c r="G355" i="7"/>
  <c r="H355" i="7"/>
  <c r="I355" i="7"/>
  <c r="G343" i="7"/>
  <c r="H343" i="7"/>
  <c r="I343" i="7"/>
  <c r="G331" i="7"/>
  <c r="H331" i="7"/>
  <c r="I331" i="7"/>
  <c r="I319" i="7"/>
  <c r="H319" i="7"/>
  <c r="G319" i="7"/>
  <c r="I307" i="7"/>
  <c r="G307" i="7"/>
  <c r="H307" i="7"/>
  <c r="H295" i="7"/>
  <c r="G295" i="7"/>
  <c r="I295" i="7"/>
  <c r="H283" i="7"/>
  <c r="G283" i="7"/>
  <c r="I283" i="7"/>
  <c r="G271" i="7"/>
  <c r="H271" i="7"/>
  <c r="I271" i="7"/>
  <c r="I259" i="7"/>
  <c r="G259" i="7"/>
  <c r="H259" i="7"/>
  <c r="G247" i="7"/>
  <c r="H247" i="7"/>
  <c r="I247" i="7"/>
  <c r="I235" i="7"/>
  <c r="G235" i="7"/>
  <c r="H235" i="7"/>
  <c r="H223" i="7"/>
  <c r="G223" i="7"/>
  <c r="I223" i="7"/>
  <c r="G211" i="7"/>
  <c r="I211" i="7"/>
  <c r="H211" i="7"/>
  <c r="G199" i="7"/>
  <c r="H199" i="7"/>
  <c r="I199" i="7"/>
  <c r="G187" i="7"/>
  <c r="I187" i="7"/>
  <c r="H187" i="7"/>
  <c r="G175" i="7"/>
  <c r="H175" i="7"/>
  <c r="I175" i="7"/>
  <c r="I163" i="7"/>
  <c r="G163" i="7"/>
  <c r="H163" i="7"/>
  <c r="I151" i="7"/>
  <c r="G151" i="7"/>
  <c r="H151" i="7"/>
  <c r="H139" i="7"/>
  <c r="I139" i="7"/>
  <c r="G139" i="7"/>
  <c r="I127" i="7"/>
  <c r="G127" i="7"/>
  <c r="H127" i="7"/>
  <c r="I115" i="7"/>
  <c r="G115" i="7"/>
  <c r="H115" i="7"/>
  <c r="H103" i="7"/>
  <c r="I103" i="7"/>
  <c r="G103" i="7"/>
  <c r="H91" i="7"/>
  <c r="G91" i="7"/>
  <c r="I91" i="7"/>
  <c r="G79" i="7"/>
  <c r="I79" i="7"/>
  <c r="H79" i="7"/>
  <c r="H67" i="7"/>
  <c r="I67" i="7"/>
  <c r="G67" i="7"/>
  <c r="G55" i="7"/>
  <c r="H55" i="7"/>
  <c r="I55" i="7"/>
  <c r="G43" i="7"/>
  <c r="I43" i="7"/>
  <c r="H43" i="7"/>
  <c r="G31" i="7"/>
  <c r="H31" i="7"/>
  <c r="I31" i="7"/>
  <c r="G19" i="7"/>
  <c r="H19" i="7"/>
  <c r="I19" i="7"/>
  <c r="I7" i="7"/>
  <c r="G7" i="7"/>
  <c r="H7" i="7"/>
  <c r="H2146" i="7"/>
  <c r="H2142" i="7"/>
  <c r="H2138" i="7"/>
  <c r="G2132" i="7"/>
  <c r="H2117" i="7"/>
  <c r="H2101" i="7"/>
  <c r="H2085" i="7"/>
  <c r="H2069" i="7"/>
  <c r="H2053" i="7"/>
  <c r="H2037" i="7"/>
  <c r="H2021" i="7"/>
  <c r="H2005" i="7"/>
  <c r="G1976" i="7"/>
  <c r="K1976" i="7" s="1"/>
  <c r="H1960" i="7"/>
  <c r="H1944" i="7"/>
  <c r="I1928" i="7"/>
  <c r="G1913" i="7"/>
  <c r="H1897" i="7"/>
  <c r="H1882" i="7"/>
  <c r="G1867" i="7"/>
  <c r="G1852" i="7"/>
  <c r="G1837" i="7"/>
  <c r="G1822" i="7"/>
  <c r="G1807" i="7"/>
  <c r="G1792" i="7"/>
  <c r="K1792" i="7" s="1"/>
  <c r="H1776" i="7"/>
  <c r="I1760" i="7"/>
  <c r="I1745" i="7"/>
  <c r="H1730" i="7"/>
  <c r="H1715" i="7"/>
  <c r="I1684" i="7"/>
  <c r="H1669" i="7"/>
  <c r="I1642" i="7"/>
  <c r="G1603" i="7"/>
  <c r="I1558" i="7"/>
  <c r="H1466" i="7"/>
  <c r="I1413" i="7"/>
  <c r="H1353" i="7"/>
  <c r="G1293" i="7"/>
  <c r="I1233" i="7"/>
  <c r="K1233" i="7" s="1"/>
  <c r="I1173" i="7"/>
  <c r="K1173" i="7" s="1"/>
  <c r="I1078" i="7"/>
  <c r="K1078" i="7" s="1"/>
  <c r="G1789" i="7"/>
  <c r="H1789" i="7"/>
  <c r="I1789" i="7"/>
  <c r="I1657" i="7"/>
  <c r="H1657" i="7"/>
  <c r="G1381" i="7"/>
  <c r="H1381" i="7"/>
  <c r="I1381" i="7"/>
  <c r="H1273" i="7"/>
  <c r="I1273" i="7"/>
  <c r="G1273" i="7"/>
  <c r="G1165" i="7"/>
  <c r="H1165" i="7"/>
  <c r="I1165" i="7"/>
  <c r="G1045" i="7"/>
  <c r="I1045" i="7"/>
  <c r="H1045" i="7"/>
  <c r="I889" i="7"/>
  <c r="G889" i="7"/>
  <c r="H889" i="7"/>
  <c r="G805" i="7"/>
  <c r="H805" i="7"/>
  <c r="I805" i="7"/>
  <c r="G757" i="7"/>
  <c r="H757" i="7"/>
  <c r="I757" i="7"/>
  <c r="I697" i="7"/>
  <c r="H697" i="7"/>
  <c r="G697" i="7"/>
  <c r="G601" i="7"/>
  <c r="H601" i="7"/>
  <c r="I601" i="7"/>
  <c r="G553" i="7"/>
  <c r="H553" i="7"/>
  <c r="I553" i="7"/>
  <c r="H481" i="7"/>
  <c r="G481" i="7"/>
  <c r="I481" i="7"/>
  <c r="G409" i="7"/>
  <c r="H409" i="7"/>
  <c r="I409" i="7"/>
  <c r="G313" i="7"/>
  <c r="I313" i="7"/>
  <c r="H313" i="7"/>
  <c r="H217" i="7"/>
  <c r="G217" i="7"/>
  <c r="I217" i="7"/>
  <c r="G157" i="7"/>
  <c r="I157" i="7"/>
  <c r="H157" i="7"/>
  <c r="I97" i="7"/>
  <c r="G97" i="7"/>
  <c r="H97" i="7"/>
  <c r="G25" i="7"/>
  <c r="H25" i="7"/>
  <c r="I25" i="7"/>
  <c r="I1753" i="7"/>
  <c r="G2076" i="7"/>
  <c r="H2076" i="7"/>
  <c r="I2076" i="7"/>
  <c r="G1992" i="7"/>
  <c r="H1992" i="7"/>
  <c r="I1992" i="7"/>
  <c r="G1908" i="7"/>
  <c r="H1908" i="7"/>
  <c r="H1860" i="7"/>
  <c r="I1860" i="7"/>
  <c r="G1860" i="7"/>
  <c r="H1716" i="7"/>
  <c r="I1716" i="7"/>
  <c r="G1716" i="7"/>
  <c r="G1608" i="7"/>
  <c r="I1608" i="7"/>
  <c r="H1608" i="7"/>
  <c r="G1500" i="7"/>
  <c r="H1500" i="7"/>
  <c r="I1500" i="7"/>
  <c r="G1392" i="7"/>
  <c r="H1392" i="7"/>
  <c r="I1392" i="7"/>
  <c r="I1284" i="7"/>
  <c r="G1284" i="7"/>
  <c r="H1284" i="7"/>
  <c r="I1164" i="7"/>
  <c r="G1164" i="7"/>
  <c r="H1164" i="7"/>
  <c r="G1068" i="7"/>
  <c r="H1068" i="7"/>
  <c r="I1068" i="7"/>
  <c r="G996" i="7"/>
  <c r="H996" i="7"/>
  <c r="G912" i="7"/>
  <c r="H912" i="7"/>
  <c r="I912" i="7"/>
  <c r="K912" i="7" s="1"/>
  <c r="G840" i="7"/>
  <c r="I840" i="7"/>
  <c r="H840" i="7"/>
  <c r="I792" i="7"/>
  <c r="G792" i="7"/>
  <c r="H792" i="7"/>
  <c r="I708" i="7"/>
  <c r="H708" i="7"/>
  <c r="G708" i="7"/>
  <c r="G588" i="7"/>
  <c r="H588" i="7"/>
  <c r="I588" i="7"/>
  <c r="G408" i="7"/>
  <c r="H408" i="7"/>
  <c r="I408" i="7"/>
  <c r="G3" i="7"/>
  <c r="H3" i="7"/>
  <c r="I3" i="7"/>
  <c r="H2130" i="7"/>
  <c r="I2130" i="7"/>
  <c r="G2130" i="7"/>
  <c r="H2118" i="7"/>
  <c r="I2118" i="7"/>
  <c r="G2118" i="7"/>
  <c r="H2106" i="7"/>
  <c r="I2106" i="7"/>
  <c r="G2106" i="7"/>
  <c r="H2094" i="7"/>
  <c r="I2094" i="7"/>
  <c r="G2094" i="7"/>
  <c r="H2082" i="7"/>
  <c r="I2082" i="7"/>
  <c r="G2082" i="7"/>
  <c r="H2070" i="7"/>
  <c r="I2070" i="7"/>
  <c r="G2070" i="7"/>
  <c r="H2058" i="7"/>
  <c r="I2058" i="7"/>
  <c r="G2058" i="7"/>
  <c r="H2046" i="7"/>
  <c r="I2046" i="7"/>
  <c r="G2046" i="7"/>
  <c r="H2034" i="7"/>
  <c r="I2034" i="7"/>
  <c r="G2034" i="7"/>
  <c r="H2022" i="7"/>
  <c r="I2022" i="7"/>
  <c r="G2022" i="7"/>
  <c r="H2010" i="7"/>
  <c r="I2010" i="7"/>
  <c r="G2010" i="7"/>
  <c r="G1986" i="7"/>
  <c r="H1986" i="7"/>
  <c r="I1986" i="7"/>
  <c r="G1974" i="7"/>
  <c r="H1974" i="7"/>
  <c r="I1974" i="7"/>
  <c r="G1962" i="7"/>
  <c r="H1962" i="7"/>
  <c r="I1962" i="7"/>
  <c r="K1962" i="7" s="1"/>
  <c r="G1950" i="7"/>
  <c r="H1950" i="7"/>
  <c r="I1950" i="7"/>
  <c r="G1938" i="7"/>
  <c r="H1938" i="7"/>
  <c r="I1938" i="7"/>
  <c r="G1926" i="7"/>
  <c r="H1926" i="7"/>
  <c r="I1926" i="7"/>
  <c r="G1914" i="7"/>
  <c r="H1914" i="7"/>
  <c r="I1914" i="7"/>
  <c r="K1914" i="7" s="1"/>
  <c r="H1902" i="7"/>
  <c r="I1902" i="7"/>
  <c r="G1902" i="7"/>
  <c r="I1890" i="7"/>
  <c r="H1890" i="7"/>
  <c r="G1866" i="7"/>
  <c r="H1866" i="7"/>
  <c r="G1854" i="7"/>
  <c r="H1854" i="7"/>
  <c r="I1854" i="7"/>
  <c r="G1842" i="7"/>
  <c r="H1842" i="7"/>
  <c r="I1842" i="7"/>
  <c r="H1830" i="7"/>
  <c r="I1830" i="7"/>
  <c r="G1830" i="7"/>
  <c r="G1806" i="7"/>
  <c r="H1806" i="7"/>
  <c r="G1794" i="7"/>
  <c r="H1794" i="7"/>
  <c r="I1794" i="7"/>
  <c r="G1782" i="7"/>
  <c r="H1782" i="7"/>
  <c r="I1782" i="7"/>
  <c r="G1770" i="7"/>
  <c r="H1770" i="7"/>
  <c r="I1770" i="7"/>
  <c r="G1758" i="7"/>
  <c r="H1758" i="7"/>
  <c r="I1758" i="7"/>
  <c r="I1746" i="7"/>
  <c r="H1746" i="7"/>
  <c r="G1722" i="7"/>
  <c r="K1722" i="7" s="1"/>
  <c r="H1722" i="7"/>
  <c r="G1710" i="7"/>
  <c r="H1710" i="7"/>
  <c r="I1710" i="7"/>
  <c r="G1698" i="7"/>
  <c r="H1698" i="7"/>
  <c r="I1698" i="7"/>
  <c r="G1686" i="7"/>
  <c r="H1686" i="7"/>
  <c r="I1686" i="7"/>
  <c r="H1674" i="7"/>
  <c r="I1674" i="7"/>
  <c r="G1674" i="7"/>
  <c r="I1662" i="7"/>
  <c r="G1662" i="7"/>
  <c r="H1662" i="7"/>
  <c r="G1650" i="7"/>
  <c r="H1650" i="7"/>
  <c r="G1638" i="7"/>
  <c r="H1638" i="7"/>
  <c r="I1638" i="7"/>
  <c r="I1626" i="7"/>
  <c r="H1626" i="7"/>
  <c r="G1626" i="7"/>
  <c r="G1602" i="7"/>
  <c r="H1602" i="7"/>
  <c r="G1590" i="7"/>
  <c r="H1590" i="7"/>
  <c r="I1590" i="7"/>
  <c r="G1578" i="7"/>
  <c r="H1578" i="7"/>
  <c r="I1578" i="7"/>
  <c r="I1566" i="7"/>
  <c r="G1566" i="7"/>
  <c r="H1566" i="7"/>
  <c r="G1554" i="7"/>
  <c r="H1554" i="7"/>
  <c r="I1554" i="7"/>
  <c r="H1542" i="7"/>
  <c r="I1542" i="7"/>
  <c r="G1542" i="7"/>
  <c r="H1530" i="7"/>
  <c r="I1530" i="7"/>
  <c r="G1530" i="7"/>
  <c r="G1518" i="7"/>
  <c r="I1518" i="7"/>
  <c r="H1518" i="7"/>
  <c r="G1506" i="7"/>
  <c r="K1506" i="7" s="1"/>
  <c r="H1506" i="7"/>
  <c r="I1506" i="7"/>
  <c r="G1494" i="7"/>
  <c r="H1494" i="7"/>
  <c r="I1494" i="7"/>
  <c r="H1482" i="7"/>
  <c r="I1482" i="7"/>
  <c r="G1482" i="7"/>
  <c r="I1470" i="7"/>
  <c r="H1470" i="7"/>
  <c r="G1470" i="7"/>
  <c r="I1458" i="7"/>
  <c r="K1458" i="7" s="1"/>
  <c r="G1458" i="7"/>
  <c r="H1458" i="7"/>
  <c r="H1446" i="7"/>
  <c r="I1446" i="7"/>
  <c r="G1446" i="7"/>
  <c r="G1434" i="7"/>
  <c r="H1434" i="7"/>
  <c r="I1434" i="7"/>
  <c r="G1422" i="7"/>
  <c r="H1422" i="7"/>
  <c r="I1422" i="7"/>
  <c r="G1410" i="7"/>
  <c r="H1410" i="7"/>
  <c r="I1410" i="7"/>
  <c r="G1398" i="7"/>
  <c r="I1398" i="7"/>
  <c r="I1386" i="7"/>
  <c r="H1386" i="7"/>
  <c r="G1386" i="7"/>
  <c r="I1374" i="7"/>
  <c r="G1374" i="7"/>
  <c r="H1374" i="7"/>
  <c r="G1362" i="7"/>
  <c r="H1362" i="7"/>
  <c r="K1362" i="7" s="1"/>
  <c r="I1362" i="7"/>
  <c r="G1350" i="7"/>
  <c r="H1350" i="7"/>
  <c r="I1350" i="7"/>
  <c r="G1338" i="7"/>
  <c r="H1338" i="7"/>
  <c r="I1338" i="7"/>
  <c r="G1326" i="7"/>
  <c r="H1326" i="7"/>
  <c r="I1326" i="7"/>
  <c r="G1314" i="7"/>
  <c r="H1314" i="7"/>
  <c r="I1314" i="7"/>
  <c r="G1302" i="7"/>
  <c r="H1302" i="7"/>
  <c r="I1302" i="7"/>
  <c r="G1290" i="7"/>
  <c r="H1290" i="7"/>
  <c r="I1290" i="7"/>
  <c r="H1278" i="7"/>
  <c r="I1278" i="7"/>
  <c r="G1266" i="7"/>
  <c r="H1266" i="7"/>
  <c r="I1266" i="7"/>
  <c r="I1254" i="7"/>
  <c r="H1254" i="7"/>
  <c r="G1254" i="7"/>
  <c r="G1242" i="7"/>
  <c r="H1242" i="7"/>
  <c r="I1242" i="7"/>
  <c r="G1230" i="7"/>
  <c r="H1230" i="7"/>
  <c r="I1230" i="7"/>
  <c r="H1218" i="7"/>
  <c r="I1218" i="7"/>
  <c r="I1206" i="7"/>
  <c r="H1206" i="7"/>
  <c r="G1206" i="7"/>
  <c r="G1194" i="7"/>
  <c r="H1194" i="7"/>
  <c r="I1194" i="7"/>
  <c r="G1182" i="7"/>
  <c r="H1182" i="7"/>
  <c r="I1182" i="7"/>
  <c r="G1170" i="7"/>
  <c r="H1170" i="7"/>
  <c r="I1170" i="7"/>
  <c r="G1158" i="7"/>
  <c r="I1158" i="7"/>
  <c r="G1146" i="7"/>
  <c r="I1146" i="7"/>
  <c r="H1146" i="7"/>
  <c r="G1134" i="7"/>
  <c r="H1134" i="7"/>
  <c r="I1134" i="7"/>
  <c r="K1134" i="7" s="1"/>
  <c r="G1122" i="7"/>
  <c r="I1122" i="7"/>
  <c r="H1122" i="7"/>
  <c r="G1110" i="7"/>
  <c r="H1110" i="7"/>
  <c r="I1110" i="7"/>
  <c r="G1098" i="7"/>
  <c r="H1098" i="7"/>
  <c r="I1098" i="7"/>
  <c r="I1086" i="7"/>
  <c r="H1086" i="7"/>
  <c r="G1086" i="7"/>
  <c r="G1074" i="7"/>
  <c r="H1074" i="7"/>
  <c r="I1074" i="7"/>
  <c r="G1062" i="7"/>
  <c r="H1062" i="7"/>
  <c r="I1062" i="7"/>
  <c r="G1050" i="7"/>
  <c r="H1050" i="7"/>
  <c r="I1050" i="7"/>
  <c r="H1038" i="7"/>
  <c r="I1038" i="7"/>
  <c r="G1038" i="7"/>
  <c r="G1026" i="7"/>
  <c r="H1026" i="7"/>
  <c r="I1026" i="7"/>
  <c r="G1014" i="7"/>
  <c r="H1014" i="7"/>
  <c r="I1014" i="7"/>
  <c r="G1002" i="7"/>
  <c r="H1002" i="7"/>
  <c r="I1002" i="7"/>
  <c r="G990" i="7"/>
  <c r="H990" i="7"/>
  <c r="I990" i="7"/>
  <c r="K990" i="7" s="1"/>
  <c r="I978" i="7"/>
  <c r="H978" i="7"/>
  <c r="G978" i="7"/>
  <c r="G966" i="7"/>
  <c r="H966" i="7"/>
  <c r="I966" i="7"/>
  <c r="G954" i="7"/>
  <c r="H954" i="7"/>
  <c r="I954" i="7"/>
  <c r="G942" i="7"/>
  <c r="H942" i="7"/>
  <c r="I942" i="7"/>
  <c r="K942" i="7" s="1"/>
  <c r="G930" i="7"/>
  <c r="H930" i="7"/>
  <c r="I930" i="7"/>
  <c r="H918" i="7"/>
  <c r="I918" i="7"/>
  <c r="G918" i="7"/>
  <c r="G906" i="7"/>
  <c r="H906" i="7"/>
  <c r="I906" i="7"/>
  <c r="G894" i="7"/>
  <c r="H894" i="7"/>
  <c r="I894" i="7"/>
  <c r="K894" i="7" s="1"/>
  <c r="H882" i="7"/>
  <c r="I882" i="7"/>
  <c r="G882" i="7"/>
  <c r="G870" i="7"/>
  <c r="H870" i="7"/>
  <c r="I870" i="7"/>
  <c r="G858" i="7"/>
  <c r="H858" i="7"/>
  <c r="I858" i="7"/>
  <c r="G846" i="7"/>
  <c r="H846" i="7"/>
  <c r="I846" i="7"/>
  <c r="K846" i="7" s="1"/>
  <c r="H834" i="7"/>
  <c r="I834" i="7"/>
  <c r="G834" i="7"/>
  <c r="G822" i="7"/>
  <c r="H822" i="7"/>
  <c r="I822" i="7"/>
  <c r="G810" i="7"/>
  <c r="H810" i="7"/>
  <c r="I810" i="7"/>
  <c r="G798" i="7"/>
  <c r="H798" i="7"/>
  <c r="I798" i="7"/>
  <c r="K798" i="7" s="1"/>
  <c r="I786" i="7"/>
  <c r="H786" i="7"/>
  <c r="G786" i="7"/>
  <c r="G774" i="7"/>
  <c r="I774" i="7"/>
  <c r="H774" i="7"/>
  <c r="G762" i="7"/>
  <c r="H762" i="7"/>
  <c r="I762" i="7"/>
  <c r="G750" i="7"/>
  <c r="H750" i="7"/>
  <c r="I750" i="7"/>
  <c r="G738" i="7"/>
  <c r="H738" i="7"/>
  <c r="I738" i="7"/>
  <c r="I726" i="7"/>
  <c r="H726" i="7"/>
  <c r="G726" i="7"/>
  <c r="G714" i="7"/>
  <c r="H714" i="7"/>
  <c r="I714" i="7"/>
  <c r="G702" i="7"/>
  <c r="H702" i="7"/>
  <c r="I702" i="7"/>
  <c r="G690" i="7"/>
  <c r="H690" i="7"/>
  <c r="I690" i="7"/>
  <c r="H678" i="7"/>
  <c r="G678" i="7"/>
  <c r="I678" i="7"/>
  <c r="G666" i="7"/>
  <c r="H666" i="7"/>
  <c r="I666" i="7"/>
  <c r="G654" i="7"/>
  <c r="H654" i="7"/>
  <c r="I654" i="7"/>
  <c r="H642" i="7"/>
  <c r="I642" i="7"/>
  <c r="G642" i="7"/>
  <c r="G630" i="7"/>
  <c r="H630" i="7"/>
  <c r="I630" i="7"/>
  <c r="G618" i="7"/>
  <c r="H618" i="7"/>
  <c r="I618" i="7"/>
  <c r="G606" i="7"/>
  <c r="H606" i="7"/>
  <c r="I606" i="7"/>
  <c r="I594" i="7"/>
  <c r="G594" i="7"/>
  <c r="H594" i="7"/>
  <c r="G582" i="7"/>
  <c r="H582" i="7"/>
  <c r="I582" i="7"/>
  <c r="G570" i="7"/>
  <c r="H570" i="7"/>
  <c r="I570" i="7"/>
  <c r="I558" i="7"/>
  <c r="H558" i="7"/>
  <c r="G558" i="7"/>
  <c r="G546" i="7"/>
  <c r="H546" i="7"/>
  <c r="I546" i="7"/>
  <c r="G534" i="7"/>
  <c r="H534" i="7"/>
  <c r="I534" i="7"/>
  <c r="G522" i="7"/>
  <c r="H522" i="7"/>
  <c r="I522" i="7"/>
  <c r="G510" i="7"/>
  <c r="H510" i="7"/>
  <c r="I510" i="7"/>
  <c r="K510" i="7" s="1"/>
  <c r="H498" i="7"/>
  <c r="I498" i="7"/>
  <c r="G498" i="7"/>
  <c r="G486" i="7"/>
  <c r="H486" i="7"/>
  <c r="I486" i="7"/>
  <c r="G474" i="7"/>
  <c r="H474" i="7"/>
  <c r="I474" i="7"/>
  <c r="I462" i="7"/>
  <c r="G462" i="7"/>
  <c r="H462" i="7"/>
  <c r="G450" i="7"/>
  <c r="H450" i="7"/>
  <c r="I450" i="7"/>
  <c r="G438" i="7"/>
  <c r="H438" i="7"/>
  <c r="I438" i="7"/>
  <c r="I426" i="7"/>
  <c r="H426" i="7"/>
  <c r="G426" i="7"/>
  <c r="G414" i="7"/>
  <c r="H414" i="7"/>
  <c r="I414" i="7"/>
  <c r="K414" i="7" s="1"/>
  <c r="G402" i="7"/>
  <c r="I402" i="7"/>
  <c r="H402" i="7"/>
  <c r="G390" i="7"/>
  <c r="H390" i="7"/>
  <c r="I390" i="7"/>
  <c r="H378" i="7"/>
  <c r="I378" i="7"/>
  <c r="G378" i="7"/>
  <c r="I366" i="7"/>
  <c r="G366" i="7"/>
  <c r="H366" i="7"/>
  <c r="G354" i="7"/>
  <c r="H354" i="7"/>
  <c r="I354" i="7"/>
  <c r="G342" i="7"/>
  <c r="H342" i="7"/>
  <c r="I342" i="7"/>
  <c r="I330" i="7"/>
  <c r="H330" i="7"/>
  <c r="G330" i="7"/>
  <c r="G318" i="7"/>
  <c r="H318" i="7"/>
  <c r="I318" i="7"/>
  <c r="K318" i="7" s="1"/>
  <c r="G306" i="7"/>
  <c r="H306" i="7"/>
  <c r="I306" i="7"/>
  <c r="H294" i="7"/>
  <c r="G294" i="7"/>
  <c r="I294" i="7"/>
  <c r="G282" i="7"/>
  <c r="H282" i="7"/>
  <c r="I282" i="7"/>
  <c r="I270" i="7"/>
  <c r="H270" i="7"/>
  <c r="G270" i="7"/>
  <c r="I258" i="7"/>
  <c r="G258" i="7"/>
  <c r="H258" i="7"/>
  <c r="G246" i="7"/>
  <c r="H246" i="7"/>
  <c r="I246" i="7"/>
  <c r="I234" i="7"/>
  <c r="G234" i="7"/>
  <c r="H234" i="7"/>
  <c r="H222" i="7"/>
  <c r="I222" i="7"/>
  <c r="G222" i="7"/>
  <c r="G210" i="7"/>
  <c r="H210" i="7"/>
  <c r="I210" i="7"/>
  <c r="G198" i="7"/>
  <c r="H198" i="7"/>
  <c r="I198" i="7"/>
  <c r="G186" i="7"/>
  <c r="H186" i="7"/>
  <c r="I186" i="7"/>
  <c r="G174" i="7"/>
  <c r="I174" i="7"/>
  <c r="H174" i="7"/>
  <c r="I162" i="7"/>
  <c r="G162" i="7"/>
  <c r="H162" i="7"/>
  <c r="G150" i="7"/>
  <c r="I150" i="7"/>
  <c r="H150" i="7"/>
  <c r="I138" i="7"/>
  <c r="G138" i="7"/>
  <c r="H138" i="7"/>
  <c r="G126" i="7"/>
  <c r="H126" i="7"/>
  <c r="I126" i="7"/>
  <c r="K126" i="7" s="1"/>
  <c r="G114" i="7"/>
  <c r="H114" i="7"/>
  <c r="I114" i="7"/>
  <c r="I102" i="7"/>
  <c r="G102" i="7"/>
  <c r="H102" i="7"/>
  <c r="H90" i="7"/>
  <c r="G90" i="7"/>
  <c r="I90" i="7"/>
  <c r="G78" i="7"/>
  <c r="I78" i="7"/>
  <c r="H78" i="7"/>
  <c r="G66" i="7"/>
  <c r="H66" i="7"/>
  <c r="I66" i="7"/>
  <c r="I54" i="7"/>
  <c r="H54" i="7"/>
  <c r="G54" i="7"/>
  <c r="G42" i="7"/>
  <c r="H42" i="7"/>
  <c r="I42" i="7"/>
  <c r="G30" i="7"/>
  <c r="H30" i="7"/>
  <c r="I30" i="7"/>
  <c r="K30" i="7" s="1"/>
  <c r="G18" i="7"/>
  <c r="H18" i="7"/>
  <c r="I18" i="7"/>
  <c r="H6" i="7"/>
  <c r="I6" i="7"/>
  <c r="G6" i="7"/>
  <c r="I2129" i="7"/>
  <c r="I1990" i="7"/>
  <c r="I1975" i="7"/>
  <c r="H1928" i="7"/>
  <c r="I1866" i="7"/>
  <c r="I1836" i="7"/>
  <c r="I1821" i="7"/>
  <c r="I1806" i="7"/>
  <c r="H1760" i="7"/>
  <c r="H1745" i="7"/>
  <c r="I1699" i="7"/>
  <c r="K1699" i="7" s="1"/>
  <c r="H1684" i="7"/>
  <c r="H1641" i="7"/>
  <c r="I1602" i="7"/>
  <c r="H1558" i="7"/>
  <c r="I1512" i="7"/>
  <c r="G1466" i="7"/>
  <c r="H1412" i="7"/>
  <c r="G1352" i="7"/>
  <c r="I1291" i="7"/>
  <c r="H1232" i="7"/>
  <c r="H1172" i="7"/>
  <c r="G1075" i="7"/>
  <c r="I814" i="7"/>
  <c r="G1993" i="7"/>
  <c r="H1993" i="7"/>
  <c r="I1993" i="7"/>
  <c r="G1861" i="7"/>
  <c r="H1861" i="7"/>
  <c r="I1861" i="7"/>
  <c r="K1861" i="7" s="1"/>
  <c r="I1765" i="7"/>
  <c r="H1765" i="7"/>
  <c r="G1549" i="7"/>
  <c r="I1549" i="7"/>
  <c r="G1417" i="7"/>
  <c r="I1417" i="7"/>
  <c r="H1417" i="7"/>
  <c r="G1297" i="7"/>
  <c r="H1297" i="7"/>
  <c r="I1297" i="7"/>
  <c r="G1201" i="7"/>
  <c r="H1201" i="7"/>
  <c r="I1201" i="7"/>
  <c r="H1105" i="7"/>
  <c r="I1105" i="7"/>
  <c r="G1105" i="7"/>
  <c r="G1033" i="7"/>
  <c r="K1033" i="7" s="1"/>
  <c r="H1033" i="7"/>
  <c r="I1033" i="7"/>
  <c r="G901" i="7"/>
  <c r="H901" i="7"/>
  <c r="I901" i="7"/>
  <c r="I793" i="7"/>
  <c r="H793" i="7"/>
  <c r="G793" i="7"/>
  <c r="H649" i="7"/>
  <c r="I649" i="7"/>
  <c r="G649" i="7"/>
  <c r="H505" i="7"/>
  <c r="I505" i="7"/>
  <c r="G505" i="7"/>
  <c r="I385" i="7"/>
  <c r="H385" i="7"/>
  <c r="G385" i="7"/>
  <c r="I289" i="7"/>
  <c r="G289" i="7"/>
  <c r="H289" i="7"/>
  <c r="K289" i="7" s="1"/>
  <c r="G181" i="7"/>
  <c r="I181" i="7"/>
  <c r="H181" i="7"/>
  <c r="H73" i="7"/>
  <c r="I73" i="7"/>
  <c r="G73" i="7"/>
  <c r="K1784" i="7"/>
  <c r="G2088" i="7"/>
  <c r="H2088" i="7"/>
  <c r="I2088" i="7"/>
  <c r="G2016" i="7"/>
  <c r="H2016" i="7"/>
  <c r="I2016" i="7"/>
  <c r="G1920" i="7"/>
  <c r="H1920" i="7"/>
  <c r="H1668" i="7"/>
  <c r="K1668" i="7" s="1"/>
  <c r="G1668" i="7"/>
  <c r="I1668" i="7"/>
  <c r="G1476" i="7"/>
  <c r="H1476" i="7"/>
  <c r="I1476" i="7"/>
  <c r="I1416" i="7"/>
  <c r="H1416" i="7"/>
  <c r="G1416" i="7"/>
  <c r="G1368" i="7"/>
  <c r="I1368" i="7"/>
  <c r="G1296" i="7"/>
  <c r="I1296" i="7"/>
  <c r="H1296" i="7"/>
  <c r="I1224" i="7"/>
  <c r="G1224" i="7"/>
  <c r="H1224" i="7"/>
  <c r="H1188" i="7"/>
  <c r="I1188" i="7"/>
  <c r="G1116" i="7"/>
  <c r="I1116" i="7"/>
  <c r="I1056" i="7"/>
  <c r="H1056" i="7"/>
  <c r="G1056" i="7"/>
  <c r="I1008" i="7"/>
  <c r="K1008" i="7" s="1"/>
  <c r="G1008" i="7"/>
  <c r="H1008" i="7"/>
  <c r="G936" i="7"/>
  <c r="K936" i="7" s="1"/>
  <c r="H936" i="7"/>
  <c r="I936" i="7"/>
  <c r="G888" i="7"/>
  <c r="H888" i="7"/>
  <c r="I888" i="7"/>
  <c r="G816" i="7"/>
  <c r="H816" i="7"/>
  <c r="I816" i="7"/>
  <c r="I744" i="7"/>
  <c r="G744" i="7"/>
  <c r="H744" i="7"/>
  <c r="G684" i="7"/>
  <c r="H684" i="7"/>
  <c r="I684" i="7"/>
  <c r="I612" i="7"/>
  <c r="G612" i="7"/>
  <c r="H612" i="7"/>
  <c r="I528" i="7"/>
  <c r="G528" i="7"/>
  <c r="H528" i="7"/>
  <c r="I384" i="7"/>
  <c r="G384" i="7"/>
  <c r="H384" i="7"/>
  <c r="G1997" i="7"/>
  <c r="H1997" i="7"/>
  <c r="I1997" i="7"/>
  <c r="G1985" i="7"/>
  <c r="H1985" i="7"/>
  <c r="I1985" i="7"/>
  <c r="G1973" i="7"/>
  <c r="H1973" i="7"/>
  <c r="I1973" i="7"/>
  <c r="G1961" i="7"/>
  <c r="K1961" i="7" s="1"/>
  <c r="H1961" i="7"/>
  <c r="I1961" i="7"/>
  <c r="H1949" i="7"/>
  <c r="I1949" i="7"/>
  <c r="G1949" i="7"/>
  <c r="I1937" i="7"/>
  <c r="H1937" i="7"/>
  <c r="I1925" i="7"/>
  <c r="H1925" i="7"/>
  <c r="G1877" i="7"/>
  <c r="H1877" i="7"/>
  <c r="I1877" i="7"/>
  <c r="G1865" i="7"/>
  <c r="H1865" i="7"/>
  <c r="I1865" i="7"/>
  <c r="G1853" i="7"/>
  <c r="H1853" i="7"/>
  <c r="I1853" i="7"/>
  <c r="K1841" i="7"/>
  <c r="G1817" i="7"/>
  <c r="H1817" i="7"/>
  <c r="G1805" i="7"/>
  <c r="H1805" i="7"/>
  <c r="I1805" i="7"/>
  <c r="G1793" i="7"/>
  <c r="H1793" i="7"/>
  <c r="I1793" i="7"/>
  <c r="H1781" i="7"/>
  <c r="I1781" i="7"/>
  <c r="G1781" i="7"/>
  <c r="I1769" i="7"/>
  <c r="H1769" i="7"/>
  <c r="G1733" i="7"/>
  <c r="H1733" i="7"/>
  <c r="I1733" i="7"/>
  <c r="G1721" i="7"/>
  <c r="H1721" i="7"/>
  <c r="I1721" i="7"/>
  <c r="G1709" i="7"/>
  <c r="H1709" i="7"/>
  <c r="I1709" i="7"/>
  <c r="G1697" i="7"/>
  <c r="H1697" i="7"/>
  <c r="I1697" i="7"/>
  <c r="H1685" i="7"/>
  <c r="I1685" i="7"/>
  <c r="G1685" i="7"/>
  <c r="I1661" i="7"/>
  <c r="H1661" i="7"/>
  <c r="G1661" i="7"/>
  <c r="I1649" i="7"/>
  <c r="G1649" i="7"/>
  <c r="I1637" i="7"/>
  <c r="G1637" i="7"/>
  <c r="H1637" i="7"/>
  <c r="G1625" i="7"/>
  <c r="H1625" i="7"/>
  <c r="G1613" i="7"/>
  <c r="H1613" i="7"/>
  <c r="I1613" i="7"/>
  <c r="G1601" i="7"/>
  <c r="H1601" i="7"/>
  <c r="I1601" i="7"/>
  <c r="G1589" i="7"/>
  <c r="H1589" i="7"/>
  <c r="I1589" i="7"/>
  <c r="I1577" i="7"/>
  <c r="G1577" i="7"/>
  <c r="H1577" i="7"/>
  <c r="G1565" i="7"/>
  <c r="H1565" i="7"/>
  <c r="I1565" i="7"/>
  <c r="H1553" i="7"/>
  <c r="I1553" i="7"/>
  <c r="G1553" i="7"/>
  <c r="H1541" i="7"/>
  <c r="I1541" i="7"/>
  <c r="G1541" i="7"/>
  <c r="H1529" i="7"/>
  <c r="I1529" i="7"/>
  <c r="G1529" i="7"/>
  <c r="I1517" i="7"/>
  <c r="H1517" i="7"/>
  <c r="G1517" i="7"/>
  <c r="I1505" i="7"/>
  <c r="G1505" i="7"/>
  <c r="H1505" i="7"/>
  <c r="I1493" i="7"/>
  <c r="G1493" i="7"/>
  <c r="H1493" i="7"/>
  <c r="H1481" i="7"/>
  <c r="I1481" i="7"/>
  <c r="G1481" i="7"/>
  <c r="G1469" i="7"/>
  <c r="I1469" i="7"/>
  <c r="H1469" i="7"/>
  <c r="G1457" i="7"/>
  <c r="H1457" i="7"/>
  <c r="I1457" i="7"/>
  <c r="G1445" i="7"/>
  <c r="H1445" i="7"/>
  <c r="I1445" i="7"/>
  <c r="G1433" i="7"/>
  <c r="H1433" i="7"/>
  <c r="I1433" i="7"/>
  <c r="H1421" i="7"/>
  <c r="I1421" i="7"/>
  <c r="G1421" i="7"/>
  <c r="G1409" i="7"/>
  <c r="H1409" i="7"/>
  <c r="I1409" i="7"/>
  <c r="K1409" i="7" s="1"/>
  <c r="I1397" i="7"/>
  <c r="H1397" i="7"/>
  <c r="G1385" i="7"/>
  <c r="H1385" i="7"/>
  <c r="G1373" i="7"/>
  <c r="H1373" i="7"/>
  <c r="I1373" i="7"/>
  <c r="G1361" i="7"/>
  <c r="H1361" i="7"/>
  <c r="I1361" i="7"/>
  <c r="G1349" i="7"/>
  <c r="H1349" i="7"/>
  <c r="K1349" i="7" s="1"/>
  <c r="I1349" i="7"/>
  <c r="G1337" i="7"/>
  <c r="H1337" i="7"/>
  <c r="G1325" i="7"/>
  <c r="H1325" i="7"/>
  <c r="I1325" i="7"/>
  <c r="I1313" i="7"/>
  <c r="G1313" i="7"/>
  <c r="H1313" i="7"/>
  <c r="G1301" i="7"/>
  <c r="H1301" i="7"/>
  <c r="I1301" i="7"/>
  <c r="G1289" i="7"/>
  <c r="I1289" i="7"/>
  <c r="H1289" i="7"/>
  <c r="H1277" i="7"/>
  <c r="I1277" i="7"/>
  <c r="G1277" i="7"/>
  <c r="I1265" i="7"/>
  <c r="K1265" i="7" s="1"/>
  <c r="H1265" i="7"/>
  <c r="G1253" i="7"/>
  <c r="H1253" i="7"/>
  <c r="I1253" i="7"/>
  <c r="G1241" i="7"/>
  <c r="K1241" i="7" s="1"/>
  <c r="H1241" i="7"/>
  <c r="I1241" i="7"/>
  <c r="G1229" i="7"/>
  <c r="H1229" i="7"/>
  <c r="I1229" i="7"/>
  <c r="I1217" i="7"/>
  <c r="H1217" i="7"/>
  <c r="G1205" i="7"/>
  <c r="H1205" i="7"/>
  <c r="G1193" i="7"/>
  <c r="H1193" i="7"/>
  <c r="I1193" i="7"/>
  <c r="G1181" i="7"/>
  <c r="H1181" i="7"/>
  <c r="I1181" i="7"/>
  <c r="G1169" i="7"/>
  <c r="H1169" i="7"/>
  <c r="I1169" i="7"/>
  <c r="I1157" i="7"/>
  <c r="H1157" i="7"/>
  <c r="I1145" i="7"/>
  <c r="H1145" i="7"/>
  <c r="G1145" i="7"/>
  <c r="G1133" i="7"/>
  <c r="H1133" i="7"/>
  <c r="I1133" i="7"/>
  <c r="G1121" i="7"/>
  <c r="H1121" i="7"/>
  <c r="I1121" i="7"/>
  <c r="H1109" i="7"/>
  <c r="I1109" i="7"/>
  <c r="G1109" i="7"/>
  <c r="H1097" i="7"/>
  <c r="I1097" i="7"/>
  <c r="G1097" i="7"/>
  <c r="G1085" i="7"/>
  <c r="K1085" i="7" s="1"/>
  <c r="H1085" i="7"/>
  <c r="G1073" i="7"/>
  <c r="H1073" i="7"/>
  <c r="I1073" i="7"/>
  <c r="G1061" i="7"/>
  <c r="H1061" i="7"/>
  <c r="I1061" i="7"/>
  <c r="H1049" i="7"/>
  <c r="I1049" i="7"/>
  <c r="G1049" i="7"/>
  <c r="G1037" i="7"/>
  <c r="H1037" i="7"/>
  <c r="I1037" i="7"/>
  <c r="G1025" i="7"/>
  <c r="H1025" i="7"/>
  <c r="I1025" i="7"/>
  <c r="G1013" i="7"/>
  <c r="H1013" i="7"/>
  <c r="I1013" i="7"/>
  <c r="I1001" i="7"/>
  <c r="H1001" i="7"/>
  <c r="G1001" i="7"/>
  <c r="G989" i="7"/>
  <c r="H989" i="7"/>
  <c r="K989" i="7" s="1"/>
  <c r="G977" i="7"/>
  <c r="H977" i="7"/>
  <c r="I977" i="7"/>
  <c r="G965" i="7"/>
  <c r="H965" i="7"/>
  <c r="I965" i="7"/>
  <c r="G953" i="7"/>
  <c r="H953" i="7"/>
  <c r="I953" i="7"/>
  <c r="H941" i="7"/>
  <c r="I941" i="7"/>
  <c r="G941" i="7"/>
  <c r="G929" i="7"/>
  <c r="H929" i="7"/>
  <c r="I929" i="7"/>
  <c r="G917" i="7"/>
  <c r="H917" i="7"/>
  <c r="I917" i="7"/>
  <c r="G905" i="7"/>
  <c r="H905" i="7"/>
  <c r="I905" i="7"/>
  <c r="I893" i="7"/>
  <c r="G893" i="7"/>
  <c r="H893" i="7"/>
  <c r="G881" i="7"/>
  <c r="H881" i="7"/>
  <c r="I881" i="7"/>
  <c r="G869" i="7"/>
  <c r="H869" i="7"/>
  <c r="I869" i="7"/>
  <c r="G857" i="7"/>
  <c r="H857" i="7"/>
  <c r="I857" i="7"/>
  <c r="I845" i="7"/>
  <c r="H845" i="7"/>
  <c r="G845" i="7"/>
  <c r="G833" i="7"/>
  <c r="H833" i="7"/>
  <c r="I833" i="7"/>
  <c r="G821" i="7"/>
  <c r="H821" i="7"/>
  <c r="I821" i="7"/>
  <c r="G809" i="7"/>
  <c r="H809" i="7"/>
  <c r="I809" i="7"/>
  <c r="G797" i="7"/>
  <c r="H797" i="7"/>
  <c r="I797" i="7"/>
  <c r="I785" i="7"/>
  <c r="G785" i="7"/>
  <c r="H785" i="7"/>
  <c r="G773" i="7"/>
  <c r="H773" i="7"/>
  <c r="I773" i="7"/>
  <c r="G761" i="7"/>
  <c r="H761" i="7"/>
  <c r="I761" i="7"/>
  <c r="I749" i="7"/>
  <c r="H749" i="7"/>
  <c r="G749" i="7"/>
  <c r="H737" i="7"/>
  <c r="G737" i="7"/>
  <c r="I737" i="7"/>
  <c r="I725" i="7"/>
  <c r="G725" i="7"/>
  <c r="H725" i="7"/>
  <c r="G713" i="7"/>
  <c r="H713" i="7"/>
  <c r="I713" i="7"/>
  <c r="H701" i="7"/>
  <c r="I701" i="7"/>
  <c r="G701" i="7"/>
  <c r="I689" i="7"/>
  <c r="H689" i="7"/>
  <c r="G689" i="7"/>
  <c r="G677" i="7"/>
  <c r="H677" i="7"/>
  <c r="I677" i="7"/>
  <c r="G665" i="7"/>
  <c r="H665" i="7"/>
  <c r="I665" i="7"/>
  <c r="G653" i="7"/>
  <c r="H653" i="7"/>
  <c r="I653" i="7"/>
  <c r="I641" i="7"/>
  <c r="G641" i="7"/>
  <c r="H641" i="7"/>
  <c r="G629" i="7"/>
  <c r="I629" i="7"/>
  <c r="H629" i="7"/>
  <c r="G617" i="7"/>
  <c r="H617" i="7"/>
  <c r="I617" i="7"/>
  <c r="G605" i="7"/>
  <c r="H605" i="7"/>
  <c r="I605" i="7"/>
  <c r="I593" i="7"/>
  <c r="H593" i="7"/>
  <c r="G593" i="7"/>
  <c r="G581" i="7"/>
  <c r="H581" i="7"/>
  <c r="I581" i="7"/>
  <c r="I569" i="7"/>
  <c r="G569" i="7"/>
  <c r="H569" i="7"/>
  <c r="G557" i="7"/>
  <c r="H557" i="7"/>
  <c r="I557" i="7"/>
  <c r="I545" i="7"/>
  <c r="G545" i="7"/>
  <c r="H545" i="7"/>
  <c r="G533" i="7"/>
  <c r="H533" i="7"/>
  <c r="I533" i="7"/>
  <c r="I521" i="7"/>
  <c r="H521" i="7"/>
  <c r="G521" i="7"/>
  <c r="G509" i="7"/>
  <c r="H509" i="7"/>
  <c r="I509" i="7"/>
  <c r="G497" i="7"/>
  <c r="H497" i="7"/>
  <c r="I497" i="7"/>
  <c r="I485" i="7"/>
  <c r="G485" i="7"/>
  <c r="H485" i="7"/>
  <c r="G473" i="7"/>
  <c r="H473" i="7"/>
  <c r="I473" i="7"/>
  <c r="G461" i="7"/>
  <c r="H461" i="7"/>
  <c r="I461" i="7"/>
  <c r="G449" i="7"/>
  <c r="H449" i="7"/>
  <c r="I449" i="7"/>
  <c r="H437" i="7"/>
  <c r="I437" i="7"/>
  <c r="G437" i="7"/>
  <c r="G425" i="7"/>
  <c r="H425" i="7"/>
  <c r="I425" i="7"/>
  <c r="G413" i="7"/>
  <c r="H413" i="7"/>
  <c r="I413" i="7"/>
  <c r="G401" i="7"/>
  <c r="H401" i="7"/>
  <c r="I401" i="7"/>
  <c r="I389" i="7"/>
  <c r="H389" i="7"/>
  <c r="G389" i="7"/>
  <c r="G377" i="7"/>
  <c r="H377" i="7"/>
  <c r="I377" i="7"/>
  <c r="G365" i="7"/>
  <c r="H365" i="7"/>
  <c r="I365" i="7"/>
  <c r="G353" i="7"/>
  <c r="H353" i="7"/>
  <c r="I353" i="7"/>
  <c r="I341" i="7"/>
  <c r="H341" i="7"/>
  <c r="G341" i="7"/>
  <c r="G329" i="7"/>
  <c r="H329" i="7"/>
  <c r="I329" i="7"/>
  <c r="G317" i="7"/>
  <c r="H317" i="7"/>
  <c r="I317" i="7"/>
  <c r="H305" i="7"/>
  <c r="G305" i="7"/>
  <c r="I305" i="7"/>
  <c r="H293" i="7"/>
  <c r="I293" i="7"/>
  <c r="G293" i="7"/>
  <c r="I281" i="7"/>
  <c r="H281" i="7"/>
  <c r="G281" i="7"/>
  <c r="I269" i="7"/>
  <c r="G269" i="7"/>
  <c r="H269" i="7"/>
  <c r="I257" i="7"/>
  <c r="G257" i="7"/>
  <c r="H257" i="7"/>
  <c r="G245" i="7"/>
  <c r="H245" i="7"/>
  <c r="I245" i="7"/>
  <c r="H233" i="7"/>
  <c r="I233" i="7"/>
  <c r="G233" i="7"/>
  <c r="G221" i="7"/>
  <c r="H221" i="7"/>
  <c r="I221" i="7"/>
  <c r="G209" i="7"/>
  <c r="H209" i="7"/>
  <c r="I209" i="7"/>
  <c r="G197" i="7"/>
  <c r="H197" i="7"/>
  <c r="I197" i="7"/>
  <c r="G185" i="7"/>
  <c r="H185" i="7"/>
  <c r="I185" i="7"/>
  <c r="G173" i="7"/>
  <c r="H173" i="7"/>
  <c r="I173" i="7"/>
  <c r="H161" i="7"/>
  <c r="I161" i="7"/>
  <c r="G161" i="7"/>
  <c r="G149" i="7"/>
  <c r="H149" i="7"/>
  <c r="I149" i="7"/>
  <c r="I137" i="7"/>
  <c r="G137" i="7"/>
  <c r="H137" i="7"/>
  <c r="G125" i="7"/>
  <c r="H125" i="7"/>
  <c r="I125" i="7"/>
  <c r="K125" i="7" s="1"/>
  <c r="G113" i="7"/>
  <c r="I113" i="7"/>
  <c r="H113" i="7"/>
  <c r="I101" i="7"/>
  <c r="G101" i="7"/>
  <c r="H101" i="7"/>
  <c r="H89" i="7"/>
  <c r="G89" i="7"/>
  <c r="I89" i="7"/>
  <c r="G77" i="7"/>
  <c r="H77" i="7"/>
  <c r="I77" i="7"/>
  <c r="H65" i="7"/>
  <c r="G65" i="7"/>
  <c r="I65" i="7"/>
  <c r="I53" i="7"/>
  <c r="G53" i="7"/>
  <c r="H53" i="7"/>
  <c r="G41" i="7"/>
  <c r="I41" i="7"/>
  <c r="H41" i="7"/>
  <c r="G29" i="7"/>
  <c r="H29" i="7"/>
  <c r="I29" i="7"/>
  <c r="H17" i="7"/>
  <c r="G17" i="7"/>
  <c r="I17" i="7"/>
  <c r="I2149" i="7"/>
  <c r="I2145" i="7"/>
  <c r="I2141" i="7"/>
  <c r="I2137" i="7"/>
  <c r="H2129" i="7"/>
  <c r="I2113" i="7"/>
  <c r="I2097" i="7"/>
  <c r="I2081" i="7"/>
  <c r="I2065" i="7"/>
  <c r="I2049" i="7"/>
  <c r="I2033" i="7"/>
  <c r="I2017" i="7"/>
  <c r="H2002" i="7"/>
  <c r="I1987" i="7"/>
  <c r="H1972" i="7"/>
  <c r="I1956" i="7"/>
  <c r="G1941" i="7"/>
  <c r="G1925" i="7"/>
  <c r="H1909" i="7"/>
  <c r="I1893" i="7"/>
  <c r="G1879" i="7"/>
  <c r="I1863" i="7"/>
  <c r="H1848" i="7"/>
  <c r="H1833" i="7"/>
  <c r="H1818" i="7"/>
  <c r="I1803" i="7"/>
  <c r="H1788" i="7"/>
  <c r="I1757" i="7"/>
  <c r="G1742" i="7"/>
  <c r="I1726" i="7"/>
  <c r="I1711" i="7"/>
  <c r="H1696" i="7"/>
  <c r="G1664" i="7"/>
  <c r="H1549" i="7"/>
  <c r="I1502" i="7"/>
  <c r="I1400" i="7"/>
  <c r="G1340" i="7"/>
  <c r="H1280" i="7"/>
  <c r="H1220" i="7"/>
  <c r="H1160" i="7"/>
  <c r="G1041" i="7"/>
  <c r="H681" i="7"/>
  <c r="K681" i="7" s="1"/>
  <c r="G1981" i="7"/>
  <c r="H1981" i="7"/>
  <c r="I1981" i="7"/>
  <c r="G1873" i="7"/>
  <c r="H1873" i="7"/>
  <c r="I1873" i="7"/>
  <c r="H1777" i="7"/>
  <c r="I1777" i="7"/>
  <c r="G1777" i="7"/>
  <c r="G1561" i="7"/>
  <c r="H1561" i="7"/>
  <c r="I1561" i="7"/>
  <c r="G1465" i="7"/>
  <c r="H1465" i="7"/>
  <c r="I1465" i="7"/>
  <c r="G1345" i="7"/>
  <c r="H1345" i="7"/>
  <c r="I1345" i="7"/>
  <c r="G1237" i="7"/>
  <c r="H1237" i="7"/>
  <c r="I1237" i="7"/>
  <c r="H1117" i="7"/>
  <c r="I1117" i="7"/>
  <c r="G1117" i="7"/>
  <c r="G985" i="7"/>
  <c r="H985" i="7"/>
  <c r="I985" i="7"/>
  <c r="G829" i="7"/>
  <c r="I829" i="7"/>
  <c r="H829" i="7"/>
  <c r="G709" i="7"/>
  <c r="H709" i="7"/>
  <c r="I709" i="7"/>
  <c r="G613" i="7"/>
  <c r="H613" i="7"/>
  <c r="I613" i="7"/>
  <c r="G517" i="7"/>
  <c r="H517" i="7"/>
  <c r="I517" i="7"/>
  <c r="G421" i="7"/>
  <c r="H421" i="7"/>
  <c r="I421" i="7"/>
  <c r="G325" i="7"/>
  <c r="H325" i="7"/>
  <c r="I325" i="7"/>
  <c r="K325" i="7" s="1"/>
  <c r="G241" i="7"/>
  <c r="H241" i="7"/>
  <c r="I241" i="7"/>
  <c r="H145" i="7"/>
  <c r="G145" i="7"/>
  <c r="I145" i="7"/>
  <c r="I37" i="7"/>
  <c r="G37" i="7"/>
  <c r="H37" i="7"/>
  <c r="G2100" i="7"/>
  <c r="H2100" i="7"/>
  <c r="I2100" i="7"/>
  <c r="G2064" i="7"/>
  <c r="H2064" i="7"/>
  <c r="I2064" i="7"/>
  <c r="G2040" i="7"/>
  <c r="H2040" i="7"/>
  <c r="I2040" i="7"/>
  <c r="G2004" i="7"/>
  <c r="H2004" i="7"/>
  <c r="I2004" i="7"/>
  <c r="G1896" i="7"/>
  <c r="H1896" i="7"/>
  <c r="I1896" i="7"/>
  <c r="G1872" i="7"/>
  <c r="H1872" i="7"/>
  <c r="I1872" i="7"/>
  <c r="G1812" i="7"/>
  <c r="H1812" i="7"/>
  <c r="I1812" i="7"/>
  <c r="K1812" i="7" s="1"/>
  <c r="G1752" i="7"/>
  <c r="H1752" i="7"/>
  <c r="I1752" i="7"/>
  <c r="H1704" i="7"/>
  <c r="I1704" i="7"/>
  <c r="G1704" i="7"/>
  <c r="G1644" i="7"/>
  <c r="I1644" i="7"/>
  <c r="H1644" i="7"/>
  <c r="G1596" i="7"/>
  <c r="H1596" i="7"/>
  <c r="I1596" i="7"/>
  <c r="G1524" i="7"/>
  <c r="H1524" i="7"/>
  <c r="G1428" i="7"/>
  <c r="H1428" i="7"/>
  <c r="I1356" i="7"/>
  <c r="H1356" i="7"/>
  <c r="G1356" i="7"/>
  <c r="G1272" i="7"/>
  <c r="H1272" i="7"/>
  <c r="I1272" i="7"/>
  <c r="I1176" i="7"/>
  <c r="H1176" i="7"/>
  <c r="G1176" i="7"/>
  <c r="G1092" i="7"/>
  <c r="I1092" i="7"/>
  <c r="H1092" i="7"/>
  <c r="G984" i="7"/>
  <c r="H984" i="7"/>
  <c r="I984" i="7"/>
  <c r="G876" i="7"/>
  <c r="H876" i="7"/>
  <c r="I876" i="7"/>
  <c r="G768" i="7"/>
  <c r="H768" i="7"/>
  <c r="I768" i="7"/>
  <c r="G636" i="7"/>
  <c r="H636" i="7"/>
  <c r="I636" i="7"/>
  <c r="I396" i="7"/>
  <c r="G396" i="7"/>
  <c r="H396" i="7"/>
  <c r="H1261" i="7"/>
  <c r="H2128" i="7"/>
  <c r="I2128" i="7"/>
  <c r="G2116" i="7"/>
  <c r="H2116" i="7"/>
  <c r="I2116" i="7"/>
  <c r="G2104" i="7"/>
  <c r="H2104" i="7"/>
  <c r="I2104" i="7"/>
  <c r="G2092" i="7"/>
  <c r="H2092" i="7"/>
  <c r="I2092" i="7"/>
  <c r="G2080" i="7"/>
  <c r="H2080" i="7"/>
  <c r="I2080" i="7"/>
  <c r="G2068" i="7"/>
  <c r="H2068" i="7"/>
  <c r="I2068" i="7"/>
  <c r="G2056" i="7"/>
  <c r="H2056" i="7"/>
  <c r="I2056" i="7"/>
  <c r="G2044" i="7"/>
  <c r="H2044" i="7"/>
  <c r="I2044" i="7"/>
  <c r="G2032" i="7"/>
  <c r="H2032" i="7"/>
  <c r="I2032" i="7"/>
  <c r="G2020" i="7"/>
  <c r="H2020" i="7"/>
  <c r="I2020" i="7"/>
  <c r="G2008" i="7"/>
  <c r="H2008" i="7"/>
  <c r="I2008" i="7"/>
  <c r="G1996" i="7"/>
  <c r="H1996" i="7"/>
  <c r="I1996" i="7"/>
  <c r="I1984" i="7"/>
  <c r="H1984" i="7"/>
  <c r="G1924" i="7"/>
  <c r="H1924" i="7"/>
  <c r="G1912" i="7"/>
  <c r="H1912" i="7"/>
  <c r="G1900" i="7"/>
  <c r="H1900" i="7"/>
  <c r="I1900" i="7"/>
  <c r="G1888" i="7"/>
  <c r="H1888" i="7"/>
  <c r="I1888" i="7"/>
  <c r="G1876" i="7"/>
  <c r="H1876" i="7"/>
  <c r="I1876" i="7"/>
  <c r="H1864" i="7"/>
  <c r="I1864" i="7"/>
  <c r="G1864" i="7"/>
  <c r="G1840" i="7"/>
  <c r="H1840" i="7"/>
  <c r="G1828" i="7"/>
  <c r="H1828" i="7"/>
  <c r="I1828" i="7"/>
  <c r="G1816" i="7"/>
  <c r="H1816" i="7"/>
  <c r="I1816" i="7"/>
  <c r="H1804" i="7"/>
  <c r="I1804" i="7"/>
  <c r="G1804" i="7"/>
  <c r="G1756" i="7"/>
  <c r="H1756" i="7"/>
  <c r="I1756" i="7"/>
  <c r="G1744" i="7"/>
  <c r="H1744" i="7"/>
  <c r="I1744" i="7"/>
  <c r="G1732" i="7"/>
  <c r="H1732" i="7"/>
  <c r="I1732" i="7"/>
  <c r="H1720" i="7"/>
  <c r="I1720" i="7"/>
  <c r="G1720" i="7"/>
  <c r="H1708" i="7"/>
  <c r="I1708" i="7"/>
  <c r="G1708" i="7"/>
  <c r="G1672" i="7"/>
  <c r="H1672" i="7"/>
  <c r="I1672" i="7"/>
  <c r="G1660" i="7"/>
  <c r="H1660" i="7"/>
  <c r="I1660" i="7"/>
  <c r="G1648" i="7"/>
  <c r="H1648" i="7"/>
  <c r="I1648" i="7"/>
  <c r="G1636" i="7"/>
  <c r="H1636" i="7"/>
  <c r="I1636" i="7"/>
  <c r="H1624" i="7"/>
  <c r="I1624" i="7"/>
  <c r="G1612" i="7"/>
  <c r="I1612" i="7"/>
  <c r="H1612" i="7"/>
  <c r="G1600" i="7"/>
  <c r="I1600" i="7"/>
  <c r="H1600" i="7"/>
  <c r="I1588" i="7"/>
  <c r="G1588" i="7"/>
  <c r="H1588" i="7"/>
  <c r="G1576" i="7"/>
  <c r="H1576" i="7"/>
  <c r="I1576" i="7"/>
  <c r="G1564" i="7"/>
  <c r="H1564" i="7"/>
  <c r="I1564" i="7"/>
  <c r="H1552" i="7"/>
  <c r="I1552" i="7"/>
  <c r="G1552" i="7"/>
  <c r="H1540" i="7"/>
  <c r="I1540" i="7"/>
  <c r="G1540" i="7"/>
  <c r="H1528" i="7"/>
  <c r="I1528" i="7"/>
  <c r="G1528" i="7"/>
  <c r="G1516" i="7"/>
  <c r="I1516" i="7"/>
  <c r="H1516" i="7"/>
  <c r="G1504" i="7"/>
  <c r="H1504" i="7"/>
  <c r="I1504" i="7"/>
  <c r="G1492" i="7"/>
  <c r="H1492" i="7"/>
  <c r="I1492" i="7"/>
  <c r="G1480" i="7"/>
  <c r="H1480" i="7"/>
  <c r="I1480" i="7"/>
  <c r="G1468" i="7"/>
  <c r="H1468" i="7"/>
  <c r="I1468" i="7"/>
  <c r="G1456" i="7"/>
  <c r="H1456" i="7"/>
  <c r="I1456" i="7"/>
  <c r="H1444" i="7"/>
  <c r="I1444" i="7"/>
  <c r="G1432" i="7"/>
  <c r="I1432" i="7"/>
  <c r="H1432" i="7"/>
  <c r="H1420" i="7"/>
  <c r="I1420" i="7"/>
  <c r="G1420" i="7"/>
  <c r="G1408" i="7"/>
  <c r="H1408" i="7"/>
  <c r="I1408" i="7"/>
  <c r="G1396" i="7"/>
  <c r="H1396" i="7"/>
  <c r="I1396" i="7"/>
  <c r="G1384" i="7"/>
  <c r="H1384" i="7"/>
  <c r="I1384" i="7"/>
  <c r="H1372" i="7"/>
  <c r="I1372" i="7"/>
  <c r="G1372" i="7"/>
  <c r="G1360" i="7"/>
  <c r="H1360" i="7"/>
  <c r="I1360" i="7"/>
  <c r="I1348" i="7"/>
  <c r="G1348" i="7"/>
  <c r="H1348" i="7"/>
  <c r="I1336" i="7"/>
  <c r="G1336" i="7"/>
  <c r="I1324" i="7"/>
  <c r="H1324" i="7"/>
  <c r="G1312" i="7"/>
  <c r="H1312" i="7"/>
  <c r="I1312" i="7"/>
  <c r="G1300" i="7"/>
  <c r="I1300" i="7"/>
  <c r="H1300" i="7"/>
  <c r="I1288" i="7"/>
  <c r="H1288" i="7"/>
  <c r="G1288" i="7"/>
  <c r="G1276" i="7"/>
  <c r="H1276" i="7"/>
  <c r="G1264" i="7"/>
  <c r="H1264" i="7"/>
  <c r="I1264" i="7"/>
  <c r="K1264" i="7" s="1"/>
  <c r="G1252" i="7"/>
  <c r="H1252" i="7"/>
  <c r="I1252" i="7"/>
  <c r="G1240" i="7"/>
  <c r="H1240" i="7"/>
  <c r="I1240" i="7"/>
  <c r="I1228" i="7"/>
  <c r="G1228" i="7"/>
  <c r="H1228" i="7"/>
  <c r="G1216" i="7"/>
  <c r="H1216" i="7"/>
  <c r="I1216" i="7"/>
  <c r="G1204" i="7"/>
  <c r="H1204" i="7"/>
  <c r="I1204" i="7"/>
  <c r="H1192" i="7"/>
  <c r="I1192" i="7"/>
  <c r="G1192" i="7"/>
  <c r="G1180" i="7"/>
  <c r="H1180" i="7"/>
  <c r="I1180" i="7"/>
  <c r="I1168" i="7"/>
  <c r="G1168" i="7"/>
  <c r="H1168" i="7"/>
  <c r="G1156" i="7"/>
  <c r="H1156" i="7"/>
  <c r="K1156" i="7" s="1"/>
  <c r="I1156" i="7"/>
  <c r="G1144" i="7"/>
  <c r="H1144" i="7"/>
  <c r="G1132" i="7"/>
  <c r="H1132" i="7"/>
  <c r="I1132" i="7"/>
  <c r="G1120" i="7"/>
  <c r="I1120" i="7"/>
  <c r="G1108" i="7"/>
  <c r="I1108" i="7"/>
  <c r="H1108" i="7"/>
  <c r="H1096" i="7"/>
  <c r="I1096" i="7"/>
  <c r="G1096" i="7"/>
  <c r="G1084" i="7"/>
  <c r="H1084" i="7"/>
  <c r="I1084" i="7"/>
  <c r="G1072" i="7"/>
  <c r="H1072" i="7"/>
  <c r="I1072" i="7"/>
  <c r="H1060" i="7"/>
  <c r="I1060" i="7"/>
  <c r="G1060" i="7"/>
  <c r="G1048" i="7"/>
  <c r="H1048" i="7"/>
  <c r="I1048" i="7"/>
  <c r="G1036" i="7"/>
  <c r="H1036" i="7"/>
  <c r="I1036" i="7"/>
  <c r="G1024" i="7"/>
  <c r="H1024" i="7"/>
  <c r="I1024" i="7"/>
  <c r="I1012" i="7"/>
  <c r="H1012" i="7"/>
  <c r="G1012" i="7"/>
  <c r="G1000" i="7"/>
  <c r="H1000" i="7"/>
  <c r="I1000" i="7"/>
  <c r="G988" i="7"/>
  <c r="H988" i="7"/>
  <c r="I988" i="7"/>
  <c r="G976" i="7"/>
  <c r="H976" i="7"/>
  <c r="I976" i="7"/>
  <c r="G964" i="7"/>
  <c r="H964" i="7"/>
  <c r="I964" i="7"/>
  <c r="I952" i="7"/>
  <c r="H952" i="7"/>
  <c r="G940" i="7"/>
  <c r="H940" i="7"/>
  <c r="I940" i="7"/>
  <c r="G928" i="7"/>
  <c r="H928" i="7"/>
  <c r="I928" i="7"/>
  <c r="G916" i="7"/>
  <c r="H916" i="7"/>
  <c r="I916" i="7"/>
  <c r="I904" i="7"/>
  <c r="H904" i="7"/>
  <c r="G904" i="7"/>
  <c r="G892" i="7"/>
  <c r="H892" i="7"/>
  <c r="I892" i="7"/>
  <c r="G880" i="7"/>
  <c r="H880" i="7"/>
  <c r="I880" i="7"/>
  <c r="G868" i="7"/>
  <c r="H868" i="7"/>
  <c r="I868" i="7"/>
  <c r="I856" i="7"/>
  <c r="G856" i="7"/>
  <c r="H856" i="7"/>
  <c r="G844" i="7"/>
  <c r="H844" i="7"/>
  <c r="I844" i="7"/>
  <c r="G832" i="7"/>
  <c r="H832" i="7"/>
  <c r="I832" i="7"/>
  <c r="G820" i="7"/>
  <c r="H820" i="7"/>
  <c r="I820" i="7"/>
  <c r="G808" i="7"/>
  <c r="I808" i="7"/>
  <c r="H808" i="7"/>
  <c r="H796" i="7"/>
  <c r="G796" i="7"/>
  <c r="I796" i="7"/>
  <c r="G784" i="7"/>
  <c r="H784" i="7"/>
  <c r="I784" i="7"/>
  <c r="G772" i="7"/>
  <c r="H772" i="7"/>
  <c r="I772" i="7"/>
  <c r="H760" i="7"/>
  <c r="I760" i="7"/>
  <c r="G760" i="7"/>
  <c r="I748" i="7"/>
  <c r="G748" i="7"/>
  <c r="H748" i="7"/>
  <c r="G736" i="7"/>
  <c r="H736" i="7"/>
  <c r="I736" i="7"/>
  <c r="G724" i="7"/>
  <c r="H724" i="7"/>
  <c r="I724" i="7"/>
  <c r="I712" i="7"/>
  <c r="H712" i="7"/>
  <c r="G712" i="7"/>
  <c r="I700" i="7"/>
  <c r="G700" i="7"/>
  <c r="H700" i="7"/>
  <c r="G688" i="7"/>
  <c r="H688" i="7"/>
  <c r="I688" i="7"/>
  <c r="G676" i="7"/>
  <c r="H676" i="7"/>
  <c r="I676" i="7"/>
  <c r="I664" i="7"/>
  <c r="H664" i="7"/>
  <c r="G664" i="7"/>
  <c r="G652" i="7"/>
  <c r="I652" i="7"/>
  <c r="H652" i="7"/>
  <c r="G640" i="7"/>
  <c r="H640" i="7"/>
  <c r="I640" i="7"/>
  <c r="G628" i="7"/>
  <c r="H628" i="7"/>
  <c r="I628" i="7"/>
  <c r="H616" i="7"/>
  <c r="I616" i="7"/>
  <c r="G616" i="7"/>
  <c r="G604" i="7"/>
  <c r="H604" i="7"/>
  <c r="I604" i="7"/>
  <c r="G592" i="7"/>
  <c r="H592" i="7"/>
  <c r="I592" i="7"/>
  <c r="G580" i="7"/>
  <c r="H580" i="7"/>
  <c r="I580" i="7"/>
  <c r="G568" i="7"/>
  <c r="H568" i="7"/>
  <c r="I568" i="7"/>
  <c r="G556" i="7"/>
  <c r="H556" i="7"/>
  <c r="I556" i="7"/>
  <c r="G544" i="7"/>
  <c r="I544" i="7"/>
  <c r="H544" i="7"/>
  <c r="G532" i="7"/>
  <c r="H532" i="7"/>
  <c r="I532" i="7"/>
  <c r="G520" i="7"/>
  <c r="I520" i="7"/>
  <c r="H520" i="7"/>
  <c r="I508" i="7"/>
  <c r="G508" i="7"/>
  <c r="H508" i="7"/>
  <c r="G496" i="7"/>
  <c r="H496" i="7"/>
  <c r="I496" i="7"/>
  <c r="G484" i="7"/>
  <c r="H484" i="7"/>
  <c r="I484" i="7"/>
  <c r="I472" i="7"/>
  <c r="H472" i="7"/>
  <c r="G472" i="7"/>
  <c r="G460" i="7"/>
  <c r="H460" i="7"/>
  <c r="I460" i="7"/>
  <c r="G448" i="7"/>
  <c r="H448" i="7"/>
  <c r="I448" i="7"/>
  <c r="G436" i="7"/>
  <c r="H436" i="7"/>
  <c r="I436" i="7"/>
  <c r="G424" i="7"/>
  <c r="H424" i="7"/>
  <c r="I424" i="7"/>
  <c r="G412" i="7"/>
  <c r="H412" i="7"/>
  <c r="I412" i="7"/>
  <c r="I400" i="7"/>
  <c r="H400" i="7"/>
  <c r="G400" i="7"/>
  <c r="G388" i="7"/>
  <c r="H388" i="7"/>
  <c r="I388" i="7"/>
  <c r="G376" i="7"/>
  <c r="H376" i="7"/>
  <c r="I376" i="7"/>
  <c r="G364" i="7"/>
  <c r="H364" i="7"/>
  <c r="I364" i="7"/>
  <c r="H352" i="7"/>
  <c r="I352" i="7"/>
  <c r="G352" i="7"/>
  <c r="G340" i="7"/>
  <c r="H340" i="7"/>
  <c r="I340" i="7"/>
  <c r="K340" i="7" s="1"/>
  <c r="G328" i="7"/>
  <c r="H328" i="7"/>
  <c r="I328" i="7"/>
  <c r="G316" i="7"/>
  <c r="H316" i="7"/>
  <c r="I316" i="7"/>
  <c r="G304" i="7"/>
  <c r="H304" i="7"/>
  <c r="I304" i="7"/>
  <c r="I292" i="7"/>
  <c r="G292" i="7"/>
  <c r="H292" i="7"/>
  <c r="H280" i="7"/>
  <c r="G280" i="7"/>
  <c r="I280" i="7"/>
  <c r="I268" i="7"/>
  <c r="G268" i="7"/>
  <c r="H268" i="7"/>
  <c r="H256" i="7"/>
  <c r="I256" i="7"/>
  <c r="G256" i="7"/>
  <c r="I244" i="7"/>
  <c r="G244" i="7"/>
  <c r="H244" i="7"/>
  <c r="G232" i="7"/>
  <c r="H232" i="7"/>
  <c r="I232" i="7"/>
  <c r="G220" i="7"/>
  <c r="I220" i="7"/>
  <c r="H220" i="7"/>
  <c r="G208" i="7"/>
  <c r="H208" i="7"/>
  <c r="I208" i="7"/>
  <c r="G196" i="7"/>
  <c r="I196" i="7"/>
  <c r="H196" i="7"/>
  <c r="G184" i="7"/>
  <c r="I184" i="7"/>
  <c r="H184" i="7"/>
  <c r="G172" i="7"/>
  <c r="I172" i="7"/>
  <c r="H172" i="7"/>
  <c r="G160" i="7"/>
  <c r="H160" i="7"/>
  <c r="I160" i="7"/>
  <c r="G148" i="7"/>
  <c r="I148" i="7"/>
  <c r="H148" i="7"/>
  <c r="I136" i="7"/>
  <c r="H136" i="7"/>
  <c r="G136" i="7"/>
  <c r="H124" i="7"/>
  <c r="G124" i="7"/>
  <c r="I124" i="7"/>
  <c r="H112" i="7"/>
  <c r="G112" i="7"/>
  <c r="I112" i="7"/>
  <c r="I100" i="7"/>
  <c r="G100" i="7"/>
  <c r="H100" i="7"/>
  <c r="H88" i="7"/>
  <c r="I88" i="7"/>
  <c r="G88" i="7"/>
  <c r="H76" i="7"/>
  <c r="G76" i="7"/>
  <c r="I76" i="7"/>
  <c r="H64" i="7"/>
  <c r="G64" i="7"/>
  <c r="I64" i="7"/>
  <c r="I52" i="7"/>
  <c r="G52" i="7"/>
  <c r="H52" i="7"/>
  <c r="G40" i="7"/>
  <c r="H40" i="7"/>
  <c r="I40" i="7"/>
  <c r="G28" i="7"/>
  <c r="I28" i="7"/>
  <c r="H28" i="7"/>
  <c r="H16" i="7"/>
  <c r="I16" i="7"/>
  <c r="G16" i="7"/>
  <c r="H2149" i="7"/>
  <c r="H2145" i="7"/>
  <c r="H2141" i="7"/>
  <c r="H2137" i="7"/>
  <c r="H2113" i="7"/>
  <c r="H2097" i="7"/>
  <c r="H2081" i="7"/>
  <c r="H2065" i="7"/>
  <c r="H2049" i="7"/>
  <c r="H2033" i="7"/>
  <c r="H2017" i="7"/>
  <c r="G2002" i="7"/>
  <c r="K2002" i="7" s="1"/>
  <c r="H1987" i="7"/>
  <c r="G1972" i="7"/>
  <c r="H1956" i="7"/>
  <c r="I1940" i="7"/>
  <c r="G1909" i="7"/>
  <c r="H1893" i="7"/>
  <c r="K1893" i="7" s="1"/>
  <c r="I1878" i="7"/>
  <c r="H1863" i="7"/>
  <c r="K1863" i="7" s="1"/>
  <c r="G1848" i="7"/>
  <c r="K1848" i="7" s="1"/>
  <c r="G1833" i="7"/>
  <c r="G1818" i="7"/>
  <c r="H1803" i="7"/>
  <c r="G1788" i="7"/>
  <c r="I1772" i="7"/>
  <c r="H1757" i="7"/>
  <c r="I1741" i="7"/>
  <c r="H1726" i="7"/>
  <c r="H1711" i="7"/>
  <c r="G1696" i="7"/>
  <c r="K1696" i="7" s="1"/>
  <c r="I1680" i="7"/>
  <c r="I1633" i="7"/>
  <c r="G1548" i="7"/>
  <c r="K1548" i="7" s="1"/>
  <c r="H1501" i="7"/>
  <c r="H1454" i="7"/>
  <c r="H1398" i="7"/>
  <c r="K1398" i="7" s="1"/>
  <c r="I1337" i="7"/>
  <c r="G1278" i="7"/>
  <c r="G1218" i="7"/>
  <c r="H1158" i="7"/>
  <c r="G1034" i="7"/>
  <c r="H1945" i="7"/>
  <c r="I1945" i="7"/>
  <c r="G1945" i="7"/>
  <c r="I1681" i="7"/>
  <c r="H1681" i="7"/>
  <c r="G1621" i="7"/>
  <c r="H1621" i="7"/>
  <c r="I1621" i="7"/>
  <c r="H1573" i="7"/>
  <c r="I1573" i="7"/>
  <c r="G1573" i="7"/>
  <c r="I1513" i="7"/>
  <c r="H1513" i="7"/>
  <c r="G1441" i="7"/>
  <c r="H1441" i="7"/>
  <c r="I1441" i="7"/>
  <c r="G1369" i="7"/>
  <c r="H1369" i="7"/>
  <c r="I1369" i="7"/>
  <c r="G1285" i="7"/>
  <c r="H1285" i="7"/>
  <c r="I1285" i="7"/>
  <c r="I1213" i="7"/>
  <c r="G1213" i="7"/>
  <c r="H1213" i="7"/>
  <c r="H1141" i="7"/>
  <c r="I1141" i="7"/>
  <c r="G1141" i="7"/>
  <c r="G1081" i="7"/>
  <c r="H1081" i="7"/>
  <c r="I1081" i="7"/>
  <c r="G1009" i="7"/>
  <c r="H1009" i="7"/>
  <c r="I1009" i="7"/>
  <c r="G949" i="7"/>
  <c r="H949" i="7"/>
  <c r="I949" i="7"/>
  <c r="G913" i="7"/>
  <c r="H913" i="7"/>
  <c r="I913" i="7"/>
  <c r="G853" i="7"/>
  <c r="H853" i="7"/>
  <c r="I853" i="7"/>
  <c r="I781" i="7"/>
  <c r="G781" i="7"/>
  <c r="H781" i="7"/>
  <c r="H685" i="7"/>
  <c r="G685" i="7"/>
  <c r="I685" i="7"/>
  <c r="H565" i="7"/>
  <c r="I565" i="7"/>
  <c r="G565" i="7"/>
  <c r="G445" i="7"/>
  <c r="H445" i="7"/>
  <c r="I445" i="7"/>
  <c r="I337" i="7"/>
  <c r="G337" i="7"/>
  <c r="H337" i="7"/>
  <c r="I229" i="7"/>
  <c r="G229" i="7"/>
  <c r="H229" i="7"/>
  <c r="G121" i="7"/>
  <c r="H121" i="7"/>
  <c r="I121" i="7"/>
  <c r="G2127" i="7"/>
  <c r="H2127" i="7"/>
  <c r="I2127" i="7"/>
  <c r="G2115" i="7"/>
  <c r="H2115" i="7"/>
  <c r="I2115" i="7"/>
  <c r="G2103" i="7"/>
  <c r="H2103" i="7"/>
  <c r="I2103" i="7"/>
  <c r="G2091" i="7"/>
  <c r="H2091" i="7"/>
  <c r="I2091" i="7"/>
  <c r="G2079" i="7"/>
  <c r="H2079" i="7"/>
  <c r="I2079" i="7"/>
  <c r="G2067" i="7"/>
  <c r="H2067" i="7"/>
  <c r="I2067" i="7"/>
  <c r="G2055" i="7"/>
  <c r="H2055" i="7"/>
  <c r="I2055" i="7"/>
  <c r="G2043" i="7"/>
  <c r="H2043" i="7"/>
  <c r="I2043" i="7"/>
  <c r="G2031" i="7"/>
  <c r="H2031" i="7"/>
  <c r="I2031" i="7"/>
  <c r="G2019" i="7"/>
  <c r="H2019" i="7"/>
  <c r="I2019" i="7"/>
  <c r="G2007" i="7"/>
  <c r="H2007" i="7"/>
  <c r="I2007" i="7"/>
  <c r="I1995" i="7"/>
  <c r="H1995" i="7"/>
  <c r="G1971" i="7"/>
  <c r="H1971" i="7"/>
  <c r="G1959" i="7"/>
  <c r="H1959" i="7"/>
  <c r="I1959" i="7"/>
  <c r="G1947" i="7"/>
  <c r="H1947" i="7"/>
  <c r="I1947" i="7"/>
  <c r="G1935" i="7"/>
  <c r="H1935" i="7"/>
  <c r="I1935" i="7"/>
  <c r="G1923" i="7"/>
  <c r="H1923" i="7"/>
  <c r="I1923" i="7"/>
  <c r="G1911" i="7"/>
  <c r="H1911" i="7"/>
  <c r="I1911" i="7"/>
  <c r="G1899" i="7"/>
  <c r="H1899" i="7"/>
  <c r="I1899" i="7"/>
  <c r="G1887" i="7"/>
  <c r="H1887" i="7"/>
  <c r="I1887" i="7"/>
  <c r="I1875" i="7"/>
  <c r="H1875" i="7"/>
  <c r="G1851" i="7"/>
  <c r="H1851" i="7"/>
  <c r="G1839" i="7"/>
  <c r="H1839" i="7"/>
  <c r="I1839" i="7"/>
  <c r="G1827" i="7"/>
  <c r="H1827" i="7"/>
  <c r="I1827" i="7"/>
  <c r="H1815" i="7"/>
  <c r="I1815" i="7"/>
  <c r="G1815" i="7"/>
  <c r="G1791" i="7"/>
  <c r="H1791" i="7"/>
  <c r="G1779" i="7"/>
  <c r="H1779" i="7"/>
  <c r="I1779" i="7"/>
  <c r="G1767" i="7"/>
  <c r="H1767" i="7"/>
  <c r="I1767" i="7"/>
  <c r="G1755" i="7"/>
  <c r="H1755" i="7"/>
  <c r="I1755" i="7"/>
  <c r="G1743" i="7"/>
  <c r="H1743" i="7"/>
  <c r="I1743" i="7"/>
  <c r="H1731" i="7"/>
  <c r="I1731" i="7"/>
  <c r="G1731" i="7"/>
  <c r="G1695" i="7"/>
  <c r="H1695" i="7"/>
  <c r="G1683" i="7"/>
  <c r="K1683" i="7" s="1"/>
  <c r="H1683" i="7"/>
  <c r="I1683" i="7"/>
  <c r="G1671" i="7"/>
  <c r="H1671" i="7"/>
  <c r="I1671" i="7"/>
  <c r="G1659" i="7"/>
  <c r="I1659" i="7"/>
  <c r="H1659" i="7"/>
  <c r="H1647" i="7"/>
  <c r="I1647" i="7"/>
  <c r="G1647" i="7"/>
  <c r="H1635" i="7"/>
  <c r="I1635" i="7"/>
  <c r="G1635" i="7"/>
  <c r="G1623" i="7"/>
  <c r="H1623" i="7"/>
  <c r="I1623" i="7"/>
  <c r="I1611" i="7"/>
  <c r="H1611" i="7"/>
  <c r="G1611" i="7"/>
  <c r="I1599" i="7"/>
  <c r="H1599" i="7"/>
  <c r="G1599" i="7"/>
  <c r="G1587" i="7"/>
  <c r="H1587" i="7"/>
  <c r="I1587" i="7"/>
  <c r="H1575" i="7"/>
  <c r="I1575" i="7"/>
  <c r="G1575" i="7"/>
  <c r="G1563" i="7"/>
  <c r="H1563" i="7"/>
  <c r="I1563" i="7"/>
  <c r="H1551" i="7"/>
  <c r="I1551" i="7"/>
  <c r="G1551" i="7"/>
  <c r="G1539" i="7"/>
  <c r="H1539" i="7"/>
  <c r="I1539" i="7"/>
  <c r="G1527" i="7"/>
  <c r="H1527" i="7"/>
  <c r="I1527" i="7"/>
  <c r="G1515" i="7"/>
  <c r="H1515" i="7"/>
  <c r="I1515" i="7"/>
  <c r="G1503" i="7"/>
  <c r="H1503" i="7"/>
  <c r="I1503" i="7"/>
  <c r="G1491" i="7"/>
  <c r="H1491" i="7"/>
  <c r="I1491" i="7"/>
  <c r="K1491" i="7" s="1"/>
  <c r="H1479" i="7"/>
  <c r="I1479" i="7"/>
  <c r="G1467" i="7"/>
  <c r="H1467" i="7"/>
  <c r="G1455" i="7"/>
  <c r="H1455" i="7"/>
  <c r="H1443" i="7"/>
  <c r="I1443" i="7"/>
  <c r="G1443" i="7"/>
  <c r="I1431" i="7"/>
  <c r="H1431" i="7"/>
  <c r="G1431" i="7"/>
  <c r="G1419" i="7"/>
  <c r="H1419" i="7"/>
  <c r="I1419" i="7"/>
  <c r="G1407" i="7"/>
  <c r="H1407" i="7"/>
  <c r="I1407" i="7"/>
  <c r="H1395" i="7"/>
  <c r="I1395" i="7"/>
  <c r="G1395" i="7"/>
  <c r="G1383" i="7"/>
  <c r="H1383" i="7"/>
  <c r="H1371" i="7"/>
  <c r="I1371" i="7"/>
  <c r="G1371" i="7"/>
  <c r="G1359" i="7"/>
  <c r="H1359" i="7"/>
  <c r="I1359" i="7"/>
  <c r="G1347" i="7"/>
  <c r="H1347" i="7"/>
  <c r="I1347" i="7"/>
  <c r="G1335" i="7"/>
  <c r="H1335" i="7"/>
  <c r="I1335" i="7"/>
  <c r="G1323" i="7"/>
  <c r="H1323" i="7"/>
  <c r="I1323" i="7"/>
  <c r="H1311" i="7"/>
  <c r="I1311" i="7"/>
  <c r="G1311" i="7"/>
  <c r="I1299" i="7"/>
  <c r="H1299" i="7"/>
  <c r="G1299" i="7"/>
  <c r="G1287" i="7"/>
  <c r="H1287" i="7"/>
  <c r="I1287" i="7"/>
  <c r="G1275" i="7"/>
  <c r="H1275" i="7"/>
  <c r="I1275" i="7"/>
  <c r="G1263" i="7"/>
  <c r="H1263" i="7"/>
  <c r="I1263" i="7"/>
  <c r="H1251" i="7"/>
  <c r="I1251" i="7"/>
  <c r="G1251" i="7"/>
  <c r="I1239" i="7"/>
  <c r="G1239" i="7"/>
  <c r="H1239" i="7"/>
  <c r="G1227" i="7"/>
  <c r="H1227" i="7"/>
  <c r="I1227" i="7"/>
  <c r="G1215" i="7"/>
  <c r="H1215" i="7"/>
  <c r="I1215" i="7"/>
  <c r="G1203" i="7"/>
  <c r="I1203" i="7"/>
  <c r="H1191" i="7"/>
  <c r="I1191" i="7"/>
  <c r="G1191" i="7"/>
  <c r="G1179" i="7"/>
  <c r="H1179" i="7"/>
  <c r="I1179" i="7"/>
  <c r="G1167" i="7"/>
  <c r="H1167" i="7"/>
  <c r="I1167" i="7"/>
  <c r="G1155" i="7"/>
  <c r="H1155" i="7"/>
  <c r="I1155" i="7"/>
  <c r="G1143" i="7"/>
  <c r="H1143" i="7"/>
  <c r="I1143" i="7"/>
  <c r="I1131" i="7"/>
  <c r="G1131" i="7"/>
  <c r="H1131" i="7"/>
  <c r="H1119" i="7"/>
  <c r="G1119" i="7"/>
  <c r="I1119" i="7"/>
  <c r="H1107" i="7"/>
  <c r="I1107" i="7"/>
  <c r="G1107" i="7"/>
  <c r="G1095" i="7"/>
  <c r="H1095" i="7"/>
  <c r="I1095" i="7"/>
  <c r="G1083" i="7"/>
  <c r="H1083" i="7"/>
  <c r="I1083" i="7"/>
  <c r="G1071" i="7"/>
  <c r="H1071" i="7"/>
  <c r="I1071" i="7"/>
  <c r="G1059" i="7"/>
  <c r="H1059" i="7"/>
  <c r="I1059" i="7"/>
  <c r="G1047" i="7"/>
  <c r="H1047" i="7"/>
  <c r="I1047" i="7"/>
  <c r="G1035" i="7"/>
  <c r="H1035" i="7"/>
  <c r="I1035" i="7"/>
  <c r="G1023" i="7"/>
  <c r="I1023" i="7"/>
  <c r="H1023" i="7"/>
  <c r="G1011" i="7"/>
  <c r="H1011" i="7"/>
  <c r="I1011" i="7"/>
  <c r="G999" i="7"/>
  <c r="H999" i="7"/>
  <c r="I999" i="7"/>
  <c r="G987" i="7"/>
  <c r="H987" i="7"/>
  <c r="I987" i="7"/>
  <c r="G975" i="7"/>
  <c r="H975" i="7"/>
  <c r="I975" i="7"/>
  <c r="I963" i="7"/>
  <c r="G963" i="7"/>
  <c r="H963" i="7"/>
  <c r="G951" i="7"/>
  <c r="H951" i="7"/>
  <c r="I951" i="7"/>
  <c r="K951" i="7" s="1"/>
  <c r="G939" i="7"/>
  <c r="H939" i="7"/>
  <c r="I939" i="7"/>
  <c r="H927" i="7"/>
  <c r="I927" i="7"/>
  <c r="G927" i="7"/>
  <c r="I915" i="7"/>
  <c r="G915" i="7"/>
  <c r="H915" i="7"/>
  <c r="G903" i="7"/>
  <c r="H903" i="7"/>
  <c r="I903" i="7"/>
  <c r="G891" i="7"/>
  <c r="H891" i="7"/>
  <c r="I891" i="7"/>
  <c r="G879" i="7"/>
  <c r="H879" i="7"/>
  <c r="I879" i="7"/>
  <c r="I867" i="7"/>
  <c r="H867" i="7"/>
  <c r="G867" i="7"/>
  <c r="G855" i="7"/>
  <c r="H855" i="7"/>
  <c r="I855" i="7"/>
  <c r="G843" i="7"/>
  <c r="H843" i="7"/>
  <c r="I843" i="7"/>
  <c r="G831" i="7"/>
  <c r="H831" i="7"/>
  <c r="I831" i="7"/>
  <c r="G819" i="7"/>
  <c r="I819" i="7"/>
  <c r="H819" i="7"/>
  <c r="G807" i="7"/>
  <c r="H807" i="7"/>
  <c r="I807" i="7"/>
  <c r="G795" i="7"/>
  <c r="H795" i="7"/>
  <c r="I795" i="7"/>
  <c r="G783" i="7"/>
  <c r="H783" i="7"/>
  <c r="I783" i="7"/>
  <c r="I771" i="7"/>
  <c r="H771" i="7"/>
  <c r="G771" i="7"/>
  <c r="H759" i="7"/>
  <c r="G759" i="7"/>
  <c r="I759" i="7"/>
  <c r="G747" i="7"/>
  <c r="H747" i="7"/>
  <c r="I747" i="7"/>
  <c r="G735" i="7"/>
  <c r="H735" i="7"/>
  <c r="I735" i="7"/>
  <c r="G723" i="7"/>
  <c r="H723" i="7"/>
  <c r="I723" i="7"/>
  <c r="I711" i="7"/>
  <c r="G711" i="7"/>
  <c r="H711" i="7"/>
  <c r="G699" i="7"/>
  <c r="H699" i="7"/>
  <c r="I699" i="7"/>
  <c r="G687" i="7"/>
  <c r="H687" i="7"/>
  <c r="I687" i="7"/>
  <c r="I675" i="7"/>
  <c r="H675" i="7"/>
  <c r="G675" i="7"/>
  <c r="I663" i="7"/>
  <c r="G663" i="7"/>
  <c r="H663" i="7"/>
  <c r="G651" i="7"/>
  <c r="H651" i="7"/>
  <c r="G639" i="7"/>
  <c r="H639" i="7"/>
  <c r="I639" i="7"/>
  <c r="H627" i="7"/>
  <c r="I627" i="7"/>
  <c r="G627" i="7"/>
  <c r="I615" i="7"/>
  <c r="H615" i="7"/>
  <c r="G615" i="7"/>
  <c r="G603" i="7"/>
  <c r="H603" i="7"/>
  <c r="I603" i="7"/>
  <c r="G591" i="7"/>
  <c r="H591" i="7"/>
  <c r="I591" i="7"/>
  <c r="H579" i="7"/>
  <c r="I579" i="7"/>
  <c r="G579" i="7"/>
  <c r="G567" i="7"/>
  <c r="H567" i="7"/>
  <c r="I567" i="7"/>
  <c r="G555" i="7"/>
  <c r="H555" i="7"/>
  <c r="I555" i="7"/>
  <c r="G543" i="7"/>
  <c r="H543" i="7"/>
  <c r="I543" i="7"/>
  <c r="G531" i="7"/>
  <c r="H531" i="7"/>
  <c r="I531" i="7"/>
  <c r="G519" i="7"/>
  <c r="H519" i="7"/>
  <c r="I519" i="7"/>
  <c r="G507" i="7"/>
  <c r="H507" i="7"/>
  <c r="I507" i="7"/>
  <c r="I495" i="7"/>
  <c r="G495" i="7"/>
  <c r="H495" i="7"/>
  <c r="G483" i="7"/>
  <c r="H483" i="7"/>
  <c r="I483" i="7"/>
  <c r="G471" i="7"/>
  <c r="H471" i="7"/>
  <c r="I471" i="7"/>
  <c r="G459" i="7"/>
  <c r="H459" i="7"/>
  <c r="I459" i="7"/>
  <c r="H447" i="7"/>
  <c r="I447" i="7"/>
  <c r="G447" i="7"/>
  <c r="G435" i="7"/>
  <c r="H435" i="7"/>
  <c r="I435" i="7"/>
  <c r="G423" i="7"/>
  <c r="H423" i="7"/>
  <c r="I423" i="7"/>
  <c r="I411" i="7"/>
  <c r="H411" i="7"/>
  <c r="G411" i="7"/>
  <c r="G399" i="7"/>
  <c r="H399" i="7"/>
  <c r="I399" i="7"/>
  <c r="G387" i="7"/>
  <c r="H387" i="7"/>
  <c r="I387" i="7"/>
  <c r="G375" i="7"/>
  <c r="H375" i="7"/>
  <c r="I375" i="7"/>
  <c r="I363" i="7"/>
  <c r="G363" i="7"/>
  <c r="H363" i="7"/>
  <c r="G351" i="7"/>
  <c r="H351" i="7"/>
  <c r="I351" i="7"/>
  <c r="G339" i="7"/>
  <c r="H339" i="7"/>
  <c r="I339" i="7"/>
  <c r="H327" i="7"/>
  <c r="I327" i="7"/>
  <c r="G327" i="7"/>
  <c r="G315" i="7"/>
  <c r="H315" i="7"/>
  <c r="I315" i="7"/>
  <c r="I303" i="7"/>
  <c r="G303" i="7"/>
  <c r="H303" i="7"/>
  <c r="G291" i="7"/>
  <c r="H291" i="7"/>
  <c r="I291" i="7"/>
  <c r="H279" i="7"/>
  <c r="G279" i="7"/>
  <c r="I279" i="7"/>
  <c r="I267" i="7"/>
  <c r="G267" i="7"/>
  <c r="H267" i="7"/>
  <c r="G255" i="7"/>
  <c r="H255" i="7"/>
  <c r="I255" i="7"/>
  <c r="G243" i="7"/>
  <c r="H243" i="7"/>
  <c r="I243" i="7"/>
  <c r="G231" i="7"/>
  <c r="I231" i="7"/>
  <c r="H231" i="7"/>
  <c r="G219" i="7"/>
  <c r="H219" i="7"/>
  <c r="I219" i="7"/>
  <c r="H207" i="7"/>
  <c r="I207" i="7"/>
  <c r="G207" i="7"/>
  <c r="G195" i="7"/>
  <c r="H195" i="7"/>
  <c r="I195" i="7"/>
  <c r="G183" i="7"/>
  <c r="H183" i="7"/>
  <c r="I183" i="7"/>
  <c r="G171" i="7"/>
  <c r="H171" i="7"/>
  <c r="I171" i="7"/>
  <c r="G159" i="7"/>
  <c r="H159" i="7"/>
  <c r="I159" i="7"/>
  <c r="G147" i="7"/>
  <c r="H147" i="7"/>
  <c r="I147" i="7"/>
  <c r="G135" i="7"/>
  <c r="I135" i="7"/>
  <c r="H135" i="7"/>
  <c r="H123" i="7"/>
  <c r="I123" i="7"/>
  <c r="G123" i="7"/>
  <c r="I111" i="7"/>
  <c r="H111" i="7"/>
  <c r="G111" i="7"/>
  <c r="H99" i="7"/>
  <c r="I99" i="7"/>
  <c r="G99" i="7"/>
  <c r="I87" i="7"/>
  <c r="G87" i="7"/>
  <c r="H87" i="7"/>
  <c r="H75" i="7"/>
  <c r="G75" i="7"/>
  <c r="I75" i="7"/>
  <c r="I63" i="7"/>
  <c r="G63" i="7"/>
  <c r="H63" i="7"/>
  <c r="H51" i="7"/>
  <c r="I51" i="7"/>
  <c r="G51" i="7"/>
  <c r="H39" i="7"/>
  <c r="G39" i="7"/>
  <c r="I39" i="7"/>
  <c r="H27" i="7"/>
  <c r="G27" i="7"/>
  <c r="I27" i="7"/>
  <c r="H15" i="7"/>
  <c r="G15" i="7"/>
  <c r="I15" i="7"/>
  <c r="G2128" i="7"/>
  <c r="I2001" i="7"/>
  <c r="I1971" i="7"/>
  <c r="H1940" i="7"/>
  <c r="I1924" i="7"/>
  <c r="I1908" i="7"/>
  <c r="H1878" i="7"/>
  <c r="I1847" i="7"/>
  <c r="K1847" i="7" s="1"/>
  <c r="I1832" i="7"/>
  <c r="I1817" i="7"/>
  <c r="I1787" i="7"/>
  <c r="K1787" i="7" s="1"/>
  <c r="H1772" i="7"/>
  <c r="H1741" i="7"/>
  <c r="I1695" i="7"/>
  <c r="H1680" i="7"/>
  <c r="I1663" i="7"/>
  <c r="K1663" i="7" s="1"/>
  <c r="H1633" i="7"/>
  <c r="I1591" i="7"/>
  <c r="G1501" i="7"/>
  <c r="G1454" i="7"/>
  <c r="G1397" i="7"/>
  <c r="H1336" i="7"/>
  <c r="I1276" i="7"/>
  <c r="G1217" i="7"/>
  <c r="G1157" i="7"/>
  <c r="H1030" i="7"/>
  <c r="H637" i="7"/>
  <c r="K1870" i="7"/>
  <c r="K1775" i="7"/>
  <c r="K1750" i="7"/>
  <c r="K1952" i="7"/>
  <c r="K1916" i="7"/>
  <c r="K1898" i="7"/>
  <c r="K1826" i="7"/>
  <c r="K1730" i="7"/>
  <c r="K1998" i="7"/>
  <c r="K1965" i="7"/>
  <c r="K1907" i="7"/>
  <c r="K1882" i="7"/>
  <c r="K2004" i="7"/>
  <c r="K1968" i="7"/>
  <c r="K1950" i="7"/>
  <c r="K1813" i="7"/>
  <c r="K1802" i="7"/>
  <c r="K1707" i="7"/>
  <c r="K1776" i="7"/>
  <c r="K1632" i="7"/>
  <c r="K1345" i="7"/>
  <c r="K1677" i="7"/>
  <c r="K1485" i="7"/>
  <c r="K1474" i="7"/>
  <c r="K1330" i="7"/>
  <c r="K1309" i="7"/>
  <c r="K1716" i="7"/>
  <c r="K1608" i="7"/>
  <c r="K1424" i="7"/>
  <c r="K1417" i="7"/>
  <c r="K1382" i="7"/>
  <c r="K1542" i="7"/>
  <c r="K1524" i="7"/>
  <c r="K1438" i="7"/>
  <c r="K1350" i="7"/>
  <c r="K1869" i="7"/>
  <c r="K1833" i="7"/>
  <c r="K1797" i="7"/>
  <c r="K1761" i="7"/>
  <c r="K1689" i="7"/>
  <c r="K1581" i="7"/>
  <c r="K1388" i="7"/>
  <c r="K1346" i="7"/>
  <c r="K1283" i="7"/>
  <c r="K1692" i="7"/>
  <c r="K1620" i="7"/>
  <c r="K1584" i="7"/>
  <c r="K1451" i="7"/>
  <c r="K1494" i="7"/>
  <c r="K1476" i="7"/>
  <c r="K1809" i="7"/>
  <c r="K1629" i="7"/>
  <c r="K1533" i="7"/>
  <c r="K1301" i="7"/>
  <c r="K1222" i="7"/>
  <c r="K1273" i="7"/>
  <c r="K1139" i="7"/>
  <c r="K1252" i="7"/>
  <c r="K1457" i="7"/>
  <c r="K1463" i="7"/>
  <c r="K1391" i="7"/>
  <c r="K1282" i="7"/>
  <c r="K995" i="7"/>
  <c r="K1247" i="7"/>
  <c r="K1403" i="7"/>
  <c r="K1000" i="7"/>
  <c r="K1234" i="7"/>
  <c r="K1126" i="7"/>
  <c r="K1098" i="7"/>
  <c r="K1091" i="7"/>
  <c r="K1069" i="7"/>
  <c r="K803" i="7"/>
  <c r="K1177" i="7"/>
  <c r="K1090" i="7"/>
  <c r="K983" i="7"/>
  <c r="K695" i="7"/>
  <c r="K1077" i="7"/>
  <c r="K1041" i="7"/>
  <c r="K969" i="7"/>
  <c r="K1080" i="7"/>
  <c r="K972" i="7"/>
  <c r="K921" i="7"/>
  <c r="K563" i="7"/>
  <c r="K557" i="7"/>
  <c r="K394" i="7"/>
  <c r="K358" i="7"/>
  <c r="K221" i="7"/>
  <c r="K157" i="7"/>
  <c r="K138" i="7"/>
  <c r="K415" i="7"/>
  <c r="K271" i="7"/>
  <c r="K173" i="7"/>
  <c r="K201" i="7"/>
  <c r="K180" i="7"/>
  <c r="K385" i="7"/>
  <c r="K277" i="7"/>
  <c r="K250" i="7"/>
  <c r="K98" i="7"/>
  <c r="K131" i="7"/>
  <c r="K179" i="7"/>
  <c r="K229" i="7" l="1"/>
  <c r="K1213" i="7"/>
  <c r="K1513" i="7"/>
  <c r="K40" i="7"/>
  <c r="K136" i="7"/>
  <c r="K184" i="7"/>
  <c r="K232" i="7"/>
  <c r="K280" i="7"/>
  <c r="K328" i="7"/>
  <c r="K376" i="7"/>
  <c r="K424" i="7"/>
  <c r="K568" i="7"/>
  <c r="K616" i="7"/>
  <c r="K712" i="7"/>
  <c r="K1096" i="7"/>
  <c r="K1204" i="7"/>
  <c r="K1408" i="7"/>
  <c r="K1552" i="7"/>
  <c r="K1600" i="7"/>
  <c r="K102" i="7"/>
  <c r="K246" i="7"/>
  <c r="K1062" i="7"/>
  <c r="K1110" i="7"/>
  <c r="K1314" i="7"/>
  <c r="K2034" i="7"/>
  <c r="K2082" i="7"/>
  <c r="K2130" i="7"/>
  <c r="K708" i="7"/>
  <c r="K996" i="7"/>
  <c r="K55" i="7"/>
  <c r="K199" i="7"/>
  <c r="K295" i="7"/>
  <c r="K343" i="7"/>
  <c r="K391" i="7"/>
  <c r="K439" i="7"/>
  <c r="K487" i="7"/>
  <c r="K535" i="7"/>
  <c r="K679" i="7"/>
  <c r="K775" i="7"/>
  <c r="K871" i="7"/>
  <c r="K1063" i="7"/>
  <c r="K144" i="7"/>
  <c r="K948" i="7"/>
  <c r="K39" i="7"/>
  <c r="K1647" i="7"/>
  <c r="K1285" i="7"/>
  <c r="K1421" i="7"/>
  <c r="K483" i="7"/>
  <c r="K531" i="7"/>
  <c r="K1407" i="7"/>
  <c r="K1515" i="7"/>
  <c r="K1563" i="7"/>
  <c r="K1291" i="7"/>
  <c r="K1821" i="7"/>
  <c r="K1304" i="7"/>
  <c r="K1440" i="7"/>
  <c r="K1932" i="7"/>
  <c r="K1210" i="7"/>
  <c r="K1943" i="7"/>
  <c r="K615" i="7"/>
  <c r="K1551" i="7"/>
  <c r="K1741" i="7"/>
  <c r="K1201" i="7"/>
  <c r="K1412" i="7"/>
  <c r="K1290" i="7"/>
  <c r="K1338" i="7"/>
  <c r="K1530" i="7"/>
  <c r="K1698" i="7"/>
  <c r="K1890" i="7"/>
  <c r="K1986" i="7"/>
  <c r="K307" i="7"/>
  <c r="K89" i="7"/>
  <c r="K1575" i="7"/>
  <c r="K1752" i="7"/>
  <c r="K421" i="7"/>
  <c r="K17" i="7"/>
  <c r="K65" i="7"/>
  <c r="K113" i="7"/>
  <c r="K161" i="7"/>
  <c r="K209" i="7"/>
  <c r="K305" i="7"/>
  <c r="K401" i="7"/>
  <c r="K449" i="7"/>
  <c r="K497" i="7"/>
  <c r="K545" i="7"/>
  <c r="K593" i="7"/>
  <c r="K737" i="7"/>
  <c r="K833" i="7"/>
  <c r="K881" i="7"/>
  <c r="K929" i="7"/>
  <c r="K977" i="7"/>
  <c r="K1181" i="7"/>
  <c r="K1445" i="7"/>
  <c r="K1589" i="7"/>
  <c r="K1853" i="7"/>
  <c r="K1502" i="7"/>
  <c r="K87" i="7"/>
  <c r="K1599" i="7"/>
  <c r="K1644" i="7"/>
  <c r="K617" i="7"/>
  <c r="K1913" i="7"/>
  <c r="K1645" i="7"/>
  <c r="K110" i="7"/>
  <c r="K254" i="7"/>
  <c r="K974" i="7"/>
  <c r="K1082" i="7"/>
  <c r="K1872" i="7"/>
  <c r="K233" i="7"/>
  <c r="K1940" i="7"/>
  <c r="K1503" i="7"/>
  <c r="K1313" i="7"/>
  <c r="K1587" i="7"/>
  <c r="K1851" i="7"/>
  <c r="K1385" i="7"/>
  <c r="K1925" i="7"/>
  <c r="K1116" i="7"/>
  <c r="K1182" i="7"/>
  <c r="K1992" i="7"/>
  <c r="K1789" i="7"/>
  <c r="K19" i="7"/>
  <c r="K355" i="7"/>
  <c r="K403" i="7"/>
  <c r="K451" i="7"/>
  <c r="K499" i="7"/>
  <c r="K739" i="7"/>
  <c r="K80" i="7"/>
  <c r="K224" i="7"/>
  <c r="K608" i="7"/>
  <c r="K944" i="7"/>
  <c r="K1364" i="7"/>
  <c r="K924" i="7"/>
  <c r="K1246" i="7"/>
  <c r="K897" i="7"/>
  <c r="K993" i="7"/>
  <c r="K1101" i="7"/>
  <c r="K1605" i="7"/>
  <c r="K1785" i="7"/>
  <c r="K1248" i="7"/>
  <c r="K430" i="7"/>
  <c r="K1439" i="7"/>
  <c r="K1442" i="7"/>
  <c r="K1262" i="7"/>
  <c r="K1574" i="7"/>
  <c r="K1670" i="7"/>
  <c r="K1718" i="7"/>
  <c r="K1934" i="7"/>
  <c r="K1740" i="7"/>
  <c r="K1189" i="7"/>
  <c r="K1650" i="7"/>
  <c r="K577" i="7"/>
  <c r="K1153" i="7"/>
  <c r="K2077" i="7"/>
  <c r="K38" i="7"/>
  <c r="K86" i="7"/>
  <c r="K123" i="7"/>
  <c r="K1287" i="7"/>
  <c r="K1335" i="7"/>
  <c r="K1144" i="7"/>
  <c r="K1990" i="7"/>
  <c r="K44" i="7"/>
  <c r="K92" i="7"/>
  <c r="K188" i="7"/>
  <c r="K236" i="7"/>
  <c r="K284" i="7"/>
  <c r="K572" i="7"/>
  <c r="K1268" i="7"/>
  <c r="K1376" i="7"/>
  <c r="K1580" i="7"/>
  <c r="K1904" i="7"/>
  <c r="K1655" i="7"/>
  <c r="K2035" i="7"/>
  <c r="K2083" i="7"/>
  <c r="K2131" i="7"/>
  <c r="K8" i="7"/>
  <c r="K56" i="7"/>
  <c r="K104" i="7"/>
  <c r="K152" i="7"/>
  <c r="K296" i="7"/>
  <c r="K344" i="7"/>
  <c r="K440" i="7"/>
  <c r="K488" i="7"/>
  <c r="K536" i="7"/>
  <c r="K584" i="7"/>
  <c r="K632" i="7"/>
  <c r="K680" i="7"/>
  <c r="K824" i="7"/>
  <c r="K1868" i="7"/>
  <c r="K2028" i="7"/>
  <c r="K35" i="7"/>
  <c r="K83" i="7"/>
  <c r="K371" i="7"/>
  <c r="K419" i="7"/>
  <c r="K659" i="7"/>
  <c r="K707" i="7"/>
  <c r="K1967" i="7"/>
  <c r="K2148" i="7"/>
  <c r="K1983" i="7"/>
  <c r="K1799" i="7"/>
  <c r="K1737" i="7"/>
  <c r="K1047" i="7"/>
  <c r="K1239" i="7"/>
  <c r="K216" i="7"/>
  <c r="K1836" i="7"/>
  <c r="K361" i="7"/>
  <c r="K1021" i="7"/>
  <c r="K1070" i="7"/>
  <c r="K1766" i="7"/>
  <c r="K1958" i="7"/>
  <c r="K1800" i="7"/>
  <c r="K2109" i="7"/>
  <c r="K1844" i="7"/>
  <c r="K1656" i="7"/>
  <c r="K1641" i="7"/>
  <c r="K1703" i="7"/>
  <c r="K1367" i="7"/>
  <c r="K1475" i="7"/>
  <c r="K1619" i="7"/>
  <c r="K1883" i="7"/>
  <c r="K1991" i="7"/>
  <c r="K2" i="7"/>
  <c r="K147" i="7"/>
  <c r="K195" i="7"/>
  <c r="K291" i="7"/>
  <c r="K339" i="7"/>
  <c r="K387" i="7"/>
  <c r="K1611" i="7"/>
  <c r="K1659" i="7"/>
  <c r="K1731" i="7"/>
  <c r="K2031" i="7"/>
  <c r="K2079" i="7"/>
  <c r="K2127" i="7"/>
  <c r="K1337" i="7"/>
  <c r="K1672" i="7"/>
  <c r="K1704" i="7"/>
  <c r="K1896" i="7"/>
  <c r="K2100" i="7"/>
  <c r="K1237" i="7"/>
  <c r="K149" i="7"/>
  <c r="K197" i="7"/>
  <c r="K389" i="7"/>
  <c r="K533" i="7"/>
  <c r="K581" i="7"/>
  <c r="K629" i="7"/>
  <c r="K677" i="7"/>
  <c r="K773" i="7"/>
  <c r="K821" i="7"/>
  <c r="K869" i="7"/>
  <c r="K917" i="7"/>
  <c r="K965" i="7"/>
  <c r="K1325" i="7"/>
  <c r="K1433" i="7"/>
  <c r="K1368" i="7"/>
  <c r="K1760" i="7"/>
  <c r="K18" i="7"/>
  <c r="K66" i="7"/>
  <c r="K114" i="7"/>
  <c r="K210" i="7"/>
  <c r="K306" i="7"/>
  <c r="K354" i="7"/>
  <c r="K450" i="7"/>
  <c r="K546" i="7"/>
  <c r="K930" i="7"/>
  <c r="K1026" i="7"/>
  <c r="K1074" i="7"/>
  <c r="K1326" i="7"/>
  <c r="K1686" i="7"/>
  <c r="K1068" i="7"/>
  <c r="K1500" i="7"/>
  <c r="K1657" i="7"/>
  <c r="K1558" i="7"/>
  <c r="K1822" i="7"/>
  <c r="K1411" i="7"/>
  <c r="K1643" i="7"/>
  <c r="K1867" i="7"/>
  <c r="K116" i="7"/>
  <c r="K1040" i="7"/>
  <c r="K1460" i="7"/>
  <c r="K1508" i="7"/>
  <c r="K1497" i="7"/>
  <c r="K1593" i="7"/>
  <c r="K1845" i="7"/>
  <c r="K1044" i="7"/>
  <c r="K1488" i="7"/>
  <c r="K1249" i="7"/>
  <c r="K1198" i="7"/>
  <c r="K1450" i="7"/>
  <c r="K1753" i="7"/>
  <c r="K1332" i="7"/>
  <c r="K1695" i="7"/>
  <c r="K1765" i="7"/>
  <c r="K1806" i="7"/>
  <c r="K2069" i="7"/>
  <c r="K2025" i="7"/>
  <c r="K132" i="7"/>
  <c r="K324" i="7"/>
  <c r="K444" i="7"/>
  <c r="K828" i="7"/>
  <c r="K1889" i="7"/>
  <c r="K1060" i="7"/>
  <c r="K1372" i="7"/>
  <c r="K2084" i="7"/>
  <c r="K213" i="7"/>
  <c r="K1394" i="7"/>
  <c r="K1858" i="7"/>
  <c r="K1012" i="7"/>
  <c r="K245" i="7"/>
  <c r="K1119" i="7"/>
  <c r="K1024" i="7"/>
  <c r="K1072" i="7"/>
  <c r="K636" i="7"/>
  <c r="K1400" i="7"/>
  <c r="K1616" i="7"/>
  <c r="K1820" i="7"/>
  <c r="K142" i="7"/>
  <c r="K1006" i="7"/>
  <c r="K986" i="7"/>
  <c r="K1562" i="7"/>
  <c r="K1778" i="7"/>
  <c r="K1850" i="7"/>
  <c r="K915" i="7"/>
  <c r="K964" i="7"/>
  <c r="K1516" i="7"/>
  <c r="K404" i="7"/>
  <c r="K309" i="7"/>
  <c r="K687" i="7"/>
  <c r="K1818" i="7"/>
  <c r="K352" i="7"/>
  <c r="K1092" i="7"/>
  <c r="K1276" i="7"/>
  <c r="K1840" i="7"/>
  <c r="K359" i="7"/>
  <c r="K407" i="7"/>
  <c r="K1023" i="7"/>
  <c r="K1428" i="7"/>
  <c r="K795" i="7"/>
  <c r="K843" i="7"/>
  <c r="K891" i="7"/>
  <c r="K939" i="7"/>
  <c r="K987" i="7"/>
  <c r="K1035" i="7"/>
  <c r="K1083" i="7"/>
  <c r="K1755" i="7"/>
  <c r="K1141" i="7"/>
  <c r="K1633" i="7"/>
  <c r="K412" i="7"/>
  <c r="K1240" i="7"/>
  <c r="K1020" i="7"/>
  <c r="K48" i="7"/>
  <c r="K456" i="7"/>
  <c r="K397" i="7"/>
  <c r="K661" i="7"/>
  <c r="K244" i="7"/>
  <c r="K1468" i="7"/>
  <c r="K1814" i="7"/>
  <c r="K1723" i="7"/>
  <c r="K2036" i="7"/>
  <c r="K877" i="7"/>
  <c r="K117" i="7"/>
  <c r="K1852" i="7"/>
  <c r="K1467" i="7"/>
  <c r="K853" i="7"/>
  <c r="K1720" i="7"/>
  <c r="K2132" i="7"/>
  <c r="K872" i="7"/>
  <c r="K1436" i="7"/>
  <c r="K1712" i="7"/>
  <c r="K1796" i="7"/>
  <c r="K516" i="7"/>
  <c r="K1308" i="7"/>
  <c r="K745" i="7"/>
  <c r="K9" i="7"/>
  <c r="K57" i="7"/>
  <c r="K297" i="7"/>
  <c r="K345" i="7"/>
  <c r="K441" i="7"/>
  <c r="K489" i="7"/>
  <c r="K537" i="7"/>
  <c r="K633" i="7"/>
  <c r="K1125" i="7"/>
  <c r="K134" i="7"/>
  <c r="K182" i="7"/>
  <c r="K230" i="7"/>
  <c r="K278" i="7"/>
  <c r="K1010" i="7"/>
  <c r="K1154" i="7"/>
  <c r="K1322" i="7"/>
  <c r="K1905" i="7"/>
  <c r="K1108" i="7"/>
  <c r="K1999" i="7"/>
  <c r="K1340" i="7"/>
  <c r="K927" i="7"/>
  <c r="K1454" i="7"/>
  <c r="K2135" i="7"/>
  <c r="K1559" i="7"/>
  <c r="K1667" i="7"/>
  <c r="K2093" i="7"/>
  <c r="K260" i="7"/>
  <c r="K648" i="7"/>
  <c r="K1324" i="7"/>
  <c r="K735" i="7"/>
  <c r="K1791" i="7"/>
  <c r="K1726" i="7"/>
  <c r="K2113" i="7"/>
  <c r="K1661" i="7"/>
  <c r="K1254" i="7"/>
  <c r="K1771" i="7"/>
  <c r="K1028" i="7"/>
  <c r="K1076" i="7"/>
  <c r="K1496" i="7"/>
  <c r="K1597" i="7"/>
  <c r="K789" i="7"/>
  <c r="K981" i="7"/>
  <c r="K1185" i="7"/>
  <c r="K1281" i="7"/>
  <c r="K1389" i="7"/>
  <c r="K1881" i="7"/>
  <c r="K1490" i="7"/>
  <c r="K2136" i="7"/>
  <c r="K2140" i="7"/>
  <c r="K1420" i="7"/>
  <c r="K165" i="7"/>
  <c r="K304" i="7"/>
  <c r="K544" i="7"/>
  <c r="K25" i="7"/>
  <c r="K313" i="7"/>
  <c r="K889" i="7"/>
  <c r="K187" i="7"/>
  <c r="K235" i="7"/>
  <c r="K379" i="7"/>
  <c r="K571" i="7"/>
  <c r="K619" i="7"/>
  <c r="K763" i="7"/>
  <c r="K859" i="7"/>
  <c r="K907" i="7"/>
  <c r="K1003" i="7"/>
  <c r="K1051" i="7"/>
  <c r="K1159" i="7"/>
  <c r="K1303" i="7"/>
  <c r="K1651" i="7"/>
  <c r="K1783" i="7"/>
  <c r="K2021" i="7"/>
  <c r="K24" i="7"/>
  <c r="K168" i="7"/>
  <c r="K264" i="7"/>
  <c r="K312" i="7"/>
  <c r="K480" i="7"/>
  <c r="K552" i="7"/>
  <c r="K1212" i="7"/>
  <c r="K1022" i="7"/>
  <c r="K1464" i="7"/>
  <c r="K1829" i="7"/>
  <c r="K27" i="7"/>
  <c r="K219" i="7"/>
  <c r="K315" i="7"/>
  <c r="K459" i="7"/>
  <c r="K1827" i="7"/>
  <c r="K268" i="7"/>
  <c r="K711" i="7"/>
  <c r="K807" i="7"/>
  <c r="K903" i="7"/>
  <c r="K999" i="7"/>
  <c r="K1095" i="7"/>
  <c r="K1947" i="7"/>
  <c r="K1501" i="7"/>
  <c r="K663" i="7"/>
  <c r="K855" i="7"/>
  <c r="K1143" i="7"/>
  <c r="K1383" i="7"/>
  <c r="K1767" i="7"/>
  <c r="K1899" i="7"/>
  <c r="K2064" i="7"/>
  <c r="K1011" i="7"/>
  <c r="K1059" i="7"/>
  <c r="K1155" i="7"/>
  <c r="K1203" i="7"/>
  <c r="K1251" i="7"/>
  <c r="K1779" i="7"/>
  <c r="K1911" i="7"/>
  <c r="K1959" i="7"/>
  <c r="K781" i="7"/>
  <c r="K52" i="7"/>
  <c r="K100" i="7"/>
  <c r="K148" i="7"/>
  <c r="K388" i="7"/>
  <c r="K1216" i="7"/>
  <c r="K15" i="7"/>
  <c r="K399" i="7"/>
  <c r="K1623" i="7"/>
  <c r="K2091" i="7"/>
  <c r="K159" i="7"/>
  <c r="K255" i="7"/>
  <c r="K351" i="7"/>
  <c r="K543" i="7"/>
  <c r="K1419" i="7"/>
  <c r="K1527" i="7"/>
  <c r="K1671" i="7"/>
  <c r="K2043" i="7"/>
  <c r="K1227" i="7"/>
  <c r="K1275" i="7"/>
  <c r="K1479" i="7"/>
  <c r="K1815" i="7"/>
  <c r="K1875" i="7"/>
  <c r="K1995" i="7"/>
  <c r="K565" i="7"/>
  <c r="K507" i="7"/>
  <c r="K555" i="7"/>
  <c r="K603" i="7"/>
  <c r="K651" i="7"/>
  <c r="K1539" i="7"/>
  <c r="K2007" i="7"/>
  <c r="K2055" i="7"/>
  <c r="K2103" i="7"/>
  <c r="K1680" i="7"/>
  <c r="K172" i="7"/>
  <c r="K220" i="7"/>
  <c r="K652" i="7"/>
  <c r="K748" i="7"/>
  <c r="K1192" i="7"/>
  <c r="K1444" i="7"/>
  <c r="K1648" i="7"/>
  <c r="K2033" i="7"/>
  <c r="K1709" i="7"/>
  <c r="K1188" i="7"/>
  <c r="K1466" i="7"/>
  <c r="K1830" i="7"/>
  <c r="K408" i="7"/>
  <c r="K1164" i="7"/>
  <c r="K481" i="7"/>
  <c r="K757" i="7"/>
  <c r="K1165" i="7"/>
  <c r="K931" i="7"/>
  <c r="K1519" i="7"/>
  <c r="K2000" i="7"/>
  <c r="K61" i="7"/>
  <c r="K493" i="7"/>
  <c r="K973" i="7"/>
  <c r="K33" i="7"/>
  <c r="K273" i="7"/>
  <c r="K321" i="7"/>
  <c r="K369" i="7"/>
  <c r="K417" i="7"/>
  <c r="K513" i="7"/>
  <c r="K561" i="7"/>
  <c r="K705" i="7"/>
  <c r="K1149" i="7"/>
  <c r="K1305" i="7"/>
  <c r="K1933" i="7"/>
  <c r="K2038" i="7"/>
  <c r="K2086" i="7"/>
  <c r="K2134" i="7"/>
  <c r="K1719" i="7"/>
  <c r="K2009" i="7"/>
  <c r="K11" i="7"/>
  <c r="K59" i="7"/>
  <c r="K107" i="7"/>
  <c r="K155" i="7"/>
  <c r="K203" i="7"/>
  <c r="K251" i="7"/>
  <c r="K491" i="7"/>
  <c r="K539" i="7"/>
  <c r="K587" i="7"/>
  <c r="K635" i="7"/>
  <c r="K683" i="7"/>
  <c r="K731" i="7"/>
  <c r="K779" i="7"/>
  <c r="K875" i="7"/>
  <c r="K1019" i="7"/>
  <c r="K1067" i="7"/>
  <c r="K1379" i="7"/>
  <c r="K1427" i="7"/>
  <c r="K1583" i="7"/>
  <c r="K1823" i="7"/>
  <c r="K14" i="7"/>
  <c r="K158" i="7"/>
  <c r="K206" i="7"/>
  <c r="K494" i="7"/>
  <c r="K590" i="7"/>
  <c r="K686" i="7"/>
  <c r="K1550" i="7"/>
  <c r="K1598" i="7"/>
  <c r="K1646" i="7"/>
  <c r="K1838" i="7"/>
  <c r="K1910" i="7"/>
  <c r="K2018" i="7"/>
  <c r="K2066" i="7"/>
  <c r="K2114" i="7"/>
  <c r="K696" i="7"/>
  <c r="K2020" i="7"/>
  <c r="K2068" i="7"/>
  <c r="K2116" i="7"/>
  <c r="K1176" i="7"/>
  <c r="K1037" i="7"/>
  <c r="K1997" i="7"/>
  <c r="K901" i="7"/>
  <c r="K1297" i="7"/>
  <c r="K1194" i="7"/>
  <c r="K1590" i="7"/>
  <c r="K1897" i="7"/>
  <c r="K49" i="7"/>
  <c r="K433" i="7"/>
  <c r="K841" i="7"/>
  <c r="K1357" i="7"/>
  <c r="K1764" i="7"/>
  <c r="K46" i="7"/>
  <c r="K94" i="7"/>
  <c r="K238" i="7"/>
  <c r="K286" i="7"/>
  <c r="K382" i="7"/>
  <c r="K478" i="7"/>
  <c r="K574" i="7"/>
  <c r="K718" i="7"/>
  <c r="K1054" i="7"/>
  <c r="K1114" i="7"/>
  <c r="K1162" i="7"/>
  <c r="K1258" i="7"/>
  <c r="K1366" i="7"/>
  <c r="K1414" i="7"/>
  <c r="K1462" i="7"/>
  <c r="K1666" i="7"/>
  <c r="K1714" i="7"/>
  <c r="K1978" i="7"/>
  <c r="K1734" i="7"/>
  <c r="K1535" i="7"/>
  <c r="K1895" i="7"/>
  <c r="K2003" i="7"/>
  <c r="K1768" i="7"/>
  <c r="K1715" i="7"/>
  <c r="K2101" i="7"/>
  <c r="K1560" i="7"/>
  <c r="K1964" i="7"/>
  <c r="K2041" i="7"/>
  <c r="K2081" i="7"/>
  <c r="K1135" i="7"/>
  <c r="K1183" i="7"/>
  <c r="K1627" i="7"/>
  <c r="K1951" i="7"/>
  <c r="K2117" i="7"/>
  <c r="K752" i="7"/>
  <c r="K956" i="7"/>
  <c r="K1316" i="7"/>
  <c r="K1628" i="7"/>
  <c r="K1676" i="7"/>
  <c r="K336" i="7"/>
  <c r="K1260" i="7"/>
  <c r="K1824" i="7"/>
  <c r="K193" i="7"/>
  <c r="K625" i="7"/>
  <c r="K1801" i="7"/>
  <c r="K93" i="7"/>
  <c r="K237" i="7"/>
  <c r="K285" i="7"/>
  <c r="K333" i="7"/>
  <c r="K477" i="7"/>
  <c r="K525" i="7"/>
  <c r="K717" i="7"/>
  <c r="K765" i="7"/>
  <c r="K1161" i="7"/>
  <c r="K1509" i="7"/>
  <c r="K1557" i="7"/>
  <c r="K1617" i="7"/>
  <c r="K1713" i="7"/>
  <c r="K1941" i="7"/>
  <c r="K1609" i="7"/>
  <c r="K1795" i="7"/>
  <c r="K826" i="7"/>
  <c r="K970" i="7"/>
  <c r="K1018" i="7"/>
  <c r="K1630" i="7"/>
  <c r="K1738" i="7"/>
  <c r="K1894" i="7"/>
  <c r="K1942" i="7"/>
  <c r="K1810" i="7"/>
  <c r="K2057" i="7"/>
  <c r="K13" i="7"/>
  <c r="K301" i="7"/>
  <c r="K937" i="7"/>
  <c r="K1405" i="7"/>
  <c r="K1536" i="7"/>
  <c r="K1596" i="7"/>
  <c r="K1711" i="7"/>
  <c r="K269" i="7"/>
  <c r="K317" i="7"/>
  <c r="K461" i="7"/>
  <c r="K749" i="7"/>
  <c r="K845" i="7"/>
  <c r="K893" i="7"/>
  <c r="K1193" i="7"/>
  <c r="K1505" i="7"/>
  <c r="K1224" i="7"/>
  <c r="K1993" i="7"/>
  <c r="K2129" i="7"/>
  <c r="K330" i="7"/>
  <c r="K426" i="7"/>
  <c r="K1662" i="7"/>
  <c r="K2022" i="7"/>
  <c r="K2070" i="7"/>
  <c r="K2118" i="7"/>
  <c r="K1745" i="7"/>
  <c r="K1928" i="7"/>
  <c r="K127" i="7"/>
  <c r="K175" i="7"/>
  <c r="K319" i="7"/>
  <c r="K511" i="7"/>
  <c r="K607" i="7"/>
  <c r="K751" i="7"/>
  <c r="K799" i="7"/>
  <c r="K895" i="7"/>
  <c r="K943" i="7"/>
  <c r="K1039" i="7"/>
  <c r="K1147" i="7"/>
  <c r="K1195" i="7"/>
  <c r="K1483" i="7"/>
  <c r="K1639" i="7"/>
  <c r="K2138" i="7"/>
  <c r="K1512" i="7"/>
  <c r="K1884" i="7"/>
  <c r="K957" i="7"/>
  <c r="K1005" i="7"/>
  <c r="K1065" i="7"/>
  <c r="K1113" i="7"/>
  <c r="K1473" i="7"/>
  <c r="K1521" i="7"/>
  <c r="K1569" i="7"/>
  <c r="K1725" i="7"/>
  <c r="K1857" i="7"/>
  <c r="K2001" i="7"/>
  <c r="K106" i="7"/>
  <c r="K154" i="7"/>
  <c r="K346" i="7"/>
  <c r="K490" i="7"/>
  <c r="K538" i="7"/>
  <c r="K586" i="7"/>
  <c r="K634" i="7"/>
  <c r="K730" i="7"/>
  <c r="K778" i="7"/>
  <c r="K1174" i="7"/>
  <c r="K1378" i="7"/>
  <c r="K1426" i="7"/>
  <c r="K2073" i="7"/>
  <c r="K1499" i="7"/>
  <c r="K1547" i="7"/>
  <c r="K1727" i="7"/>
  <c r="K1955" i="7"/>
  <c r="K1561" i="7"/>
  <c r="K185" i="7"/>
  <c r="K281" i="7"/>
  <c r="K329" i="7"/>
  <c r="K377" i="7"/>
  <c r="K473" i="7"/>
  <c r="K665" i="7"/>
  <c r="K713" i="7"/>
  <c r="K761" i="7"/>
  <c r="K809" i="7"/>
  <c r="K857" i="7"/>
  <c r="K905" i="7"/>
  <c r="K953" i="7"/>
  <c r="K1049" i="7"/>
  <c r="K1565" i="7"/>
  <c r="K1613" i="7"/>
  <c r="K1805" i="7"/>
  <c r="K73" i="7"/>
  <c r="K505" i="7"/>
  <c r="K294" i="7"/>
  <c r="K342" i="7"/>
  <c r="K390" i="7"/>
  <c r="K438" i="7"/>
  <c r="K486" i="7"/>
  <c r="K534" i="7"/>
  <c r="K630" i="7"/>
  <c r="K774" i="7"/>
  <c r="K822" i="7"/>
  <c r="K870" i="7"/>
  <c r="K966" i="7"/>
  <c r="K1014" i="7"/>
  <c r="K1158" i="7"/>
  <c r="K1885" i="7"/>
  <c r="K729" i="7"/>
  <c r="K825" i="7"/>
  <c r="K1017" i="7"/>
  <c r="K1453" i="7"/>
  <c r="K266" i="7"/>
  <c r="K410" i="7"/>
  <c r="K998" i="7"/>
  <c r="K1142" i="7"/>
  <c r="K1202" i="7"/>
  <c r="K1358" i="7"/>
  <c r="K1693" i="7"/>
  <c r="K1762" i="7"/>
  <c r="K1834" i="7"/>
  <c r="K1954" i="7"/>
  <c r="K2105" i="7"/>
  <c r="K1807" i="7"/>
  <c r="K1172" i="7"/>
  <c r="K1328" i="7"/>
  <c r="K2121" i="7"/>
  <c r="K1788" i="7"/>
  <c r="K1972" i="7"/>
  <c r="K2141" i="7"/>
  <c r="K1109" i="7"/>
  <c r="K1920" i="7"/>
  <c r="K181" i="7"/>
  <c r="K649" i="7"/>
  <c r="K1105" i="7"/>
  <c r="K1518" i="7"/>
  <c r="K1626" i="7"/>
  <c r="K1746" i="7"/>
  <c r="K1399" i="7"/>
  <c r="K1980" i="7"/>
  <c r="K1370" i="7"/>
  <c r="K1526" i="7"/>
  <c r="K1682" i="7"/>
  <c r="K1742" i="7"/>
  <c r="K1862" i="7"/>
  <c r="K1132" i="7"/>
  <c r="K1384" i="7"/>
  <c r="K1432" i="7"/>
  <c r="K1480" i="7"/>
  <c r="K1636" i="7"/>
  <c r="K984" i="7"/>
  <c r="K1777" i="7"/>
  <c r="K1803" i="7"/>
  <c r="K1987" i="7"/>
  <c r="K2145" i="7"/>
  <c r="K53" i="7"/>
  <c r="K1121" i="7"/>
  <c r="K1229" i="7"/>
  <c r="K1277" i="7"/>
  <c r="K1373" i="7"/>
  <c r="K1625" i="7"/>
  <c r="K1697" i="7"/>
  <c r="K1056" i="7"/>
  <c r="K2016" i="7"/>
  <c r="K1230" i="7"/>
  <c r="K1422" i="7"/>
  <c r="K1470" i="7"/>
  <c r="K1638" i="7"/>
  <c r="K1758" i="7"/>
  <c r="K1938" i="7"/>
  <c r="K97" i="7"/>
  <c r="K409" i="7"/>
  <c r="K697" i="7"/>
  <c r="K1315" i="7"/>
  <c r="K1459" i="7"/>
  <c r="K1507" i="7"/>
  <c r="K884" i="7"/>
  <c r="K932" i="7"/>
  <c r="K1652" i="7"/>
  <c r="K1724" i="7"/>
  <c r="K22" i="7"/>
  <c r="K118" i="7"/>
  <c r="K454" i="7"/>
  <c r="K550" i="7"/>
  <c r="K598" i="7"/>
  <c r="K694" i="7"/>
  <c r="K742" i="7"/>
  <c r="K1342" i="7"/>
  <c r="K2026" i="7"/>
  <c r="K2074" i="7"/>
  <c r="K2122" i="7"/>
  <c r="K156" i="7"/>
  <c r="K204" i="7"/>
  <c r="K672" i="7"/>
  <c r="K961" i="7"/>
  <c r="K1225" i="7"/>
  <c r="K2125" i="7"/>
  <c r="K146" i="7"/>
  <c r="K242" i="7"/>
  <c r="K530" i="7"/>
  <c r="K578" i="7"/>
  <c r="K626" i="7"/>
  <c r="K818" i="7"/>
  <c r="K866" i="7"/>
  <c r="K914" i="7"/>
  <c r="K962" i="7"/>
  <c r="K1106" i="7"/>
  <c r="K1430" i="7"/>
  <c r="K1586" i="7"/>
  <c r="K1946" i="7"/>
  <c r="K2006" i="7"/>
  <c r="K2054" i="7"/>
  <c r="K2102" i="7"/>
  <c r="K564" i="7"/>
  <c r="K1936" i="7"/>
  <c r="K1681" i="7"/>
  <c r="K448" i="7"/>
  <c r="K988" i="7"/>
  <c r="K1036" i="7"/>
  <c r="K1084" i="7"/>
  <c r="K1228" i="7"/>
  <c r="K1492" i="7"/>
  <c r="K1540" i="7"/>
  <c r="K1756" i="7"/>
  <c r="K2149" i="7"/>
  <c r="K1025" i="7"/>
  <c r="K1073" i="7"/>
  <c r="K612" i="7"/>
  <c r="K888" i="7"/>
  <c r="K1434" i="7"/>
  <c r="K1578" i="7"/>
  <c r="K1123" i="7"/>
  <c r="K1171" i="7"/>
  <c r="K1219" i="7"/>
  <c r="K1267" i="7"/>
  <c r="K34" i="7"/>
  <c r="K82" i="7"/>
  <c r="K130" i="7"/>
  <c r="K178" i="7"/>
  <c r="K466" i="7"/>
  <c r="K610" i="7"/>
  <c r="K754" i="7"/>
  <c r="K1546" i="7"/>
  <c r="K1702" i="7"/>
  <c r="K108" i="7"/>
  <c r="K252" i="7"/>
  <c r="K1572" i="7"/>
  <c r="K1118" i="7"/>
  <c r="K1226" i="7"/>
  <c r="K1969" i="7"/>
  <c r="K1874" i="7"/>
  <c r="K591" i="7"/>
  <c r="K162" i="7"/>
  <c r="K498" i="7"/>
  <c r="K1111" i="7"/>
  <c r="K720" i="7"/>
  <c r="K621" i="7"/>
  <c r="K670" i="7"/>
  <c r="K1930" i="7"/>
  <c r="K300" i="7"/>
  <c r="K1817" i="7"/>
  <c r="K675" i="7"/>
  <c r="K819" i="7"/>
  <c r="K1107" i="7"/>
  <c r="K337" i="7"/>
  <c r="K1772" i="7"/>
  <c r="K196" i="7"/>
  <c r="K99" i="7"/>
  <c r="K783" i="7"/>
  <c r="K831" i="7"/>
  <c r="K879" i="7"/>
  <c r="K975" i="7"/>
  <c r="K1071" i="7"/>
  <c r="K1167" i="7"/>
  <c r="K1743" i="7"/>
  <c r="K1923" i="7"/>
  <c r="K112" i="7"/>
  <c r="K160" i="7"/>
  <c r="K208" i="7"/>
  <c r="K496" i="7"/>
  <c r="K592" i="7"/>
  <c r="K688" i="7"/>
  <c r="K736" i="7"/>
  <c r="K832" i="7"/>
  <c r="K880" i="7"/>
  <c r="K928" i="7"/>
  <c r="K1180" i="7"/>
  <c r="K1528" i="7"/>
  <c r="K1828" i="7"/>
  <c r="K1888" i="7"/>
  <c r="K1996" i="7"/>
  <c r="K2044" i="7"/>
  <c r="K2092" i="7"/>
  <c r="K613" i="7"/>
  <c r="K1757" i="7"/>
  <c r="K1956" i="7"/>
  <c r="K2137" i="7"/>
  <c r="K137" i="7"/>
  <c r="K425" i="7"/>
  <c r="K521" i="7"/>
  <c r="K569" i="7"/>
  <c r="K1013" i="7"/>
  <c r="K1061" i="7"/>
  <c r="K1517" i="7"/>
  <c r="K1685" i="7"/>
  <c r="K1877" i="7"/>
  <c r="K1973" i="7"/>
  <c r="K816" i="7"/>
  <c r="K1549" i="7"/>
  <c r="K54" i="7"/>
  <c r="K198" i="7"/>
  <c r="K678" i="7"/>
  <c r="K1170" i="7"/>
  <c r="K1218" i="7"/>
  <c r="K1926" i="7"/>
  <c r="K1974" i="7"/>
  <c r="K1860" i="7"/>
  <c r="K601" i="7"/>
  <c r="K43" i="7"/>
  <c r="K139" i="7"/>
  <c r="K667" i="7"/>
  <c r="K715" i="7"/>
  <c r="K1243" i="7"/>
  <c r="K1351" i="7"/>
  <c r="K1447" i="7"/>
  <c r="K1495" i="7"/>
  <c r="K1543" i="7"/>
  <c r="K1843" i="7"/>
  <c r="K1903" i="7"/>
  <c r="K1960" i="7"/>
  <c r="K2142" i="7"/>
  <c r="K428" i="7"/>
  <c r="K668" i="7"/>
  <c r="K716" i="7"/>
  <c r="K812" i="7"/>
  <c r="K860" i="7"/>
  <c r="K968" i="7"/>
  <c r="K1112" i="7"/>
  <c r="K1160" i="7"/>
  <c r="K1208" i="7"/>
  <c r="K1484" i="7"/>
  <c r="K1532" i="7"/>
  <c r="K1700" i="7"/>
  <c r="K1748" i="7"/>
  <c r="K1832" i="7"/>
  <c r="K2048" i="7"/>
  <c r="K2096" i="7"/>
  <c r="K1200" i="7"/>
  <c r="K1429" i="7"/>
  <c r="K177" i="7"/>
  <c r="K225" i="7"/>
  <c r="K813" i="7"/>
  <c r="K861" i="7"/>
  <c r="K909" i="7"/>
  <c r="K1209" i="7"/>
  <c r="K1365" i="7"/>
  <c r="K1413" i="7"/>
  <c r="K756" i="7"/>
  <c r="K2133" i="7"/>
  <c r="K226" i="7"/>
  <c r="K370" i="7"/>
  <c r="K418" i="7"/>
  <c r="K658" i="7"/>
  <c r="K706" i="7"/>
  <c r="K802" i="7"/>
  <c r="K862" i="7"/>
  <c r="K1102" i="7"/>
  <c r="K1306" i="7"/>
  <c r="K1498" i="7"/>
  <c r="K1948" i="7"/>
  <c r="K2143" i="7"/>
  <c r="K815" i="7"/>
  <c r="K1007" i="7"/>
  <c r="K1199" i="7"/>
  <c r="K1523" i="7"/>
  <c r="K1571" i="7"/>
  <c r="K1811" i="7"/>
  <c r="K1931" i="7"/>
  <c r="K372" i="7"/>
  <c r="K468" i="7"/>
  <c r="K540" i="7"/>
  <c r="K1104" i="7"/>
  <c r="K1849" i="7"/>
  <c r="K2029" i="7"/>
  <c r="K326" i="7"/>
  <c r="K518" i="7"/>
  <c r="K566" i="7"/>
  <c r="K1058" i="7"/>
  <c r="K1214" i="7"/>
  <c r="K1514" i="7"/>
  <c r="K1790" i="7"/>
  <c r="K1982" i="7"/>
  <c r="K2042" i="7"/>
  <c r="K2090" i="7"/>
  <c r="K360" i="7"/>
  <c r="K2146" i="7"/>
  <c r="K1220" i="7"/>
  <c r="K784" i="7"/>
  <c r="K396" i="7"/>
  <c r="K1481" i="7"/>
  <c r="K402" i="7"/>
  <c r="K834" i="7"/>
  <c r="K573" i="7"/>
  <c r="K910" i="7"/>
  <c r="K1318" i="7"/>
  <c r="K2039" i="7"/>
  <c r="K111" i="7"/>
  <c r="K303" i="7"/>
  <c r="K447" i="7"/>
  <c r="K495" i="7"/>
  <c r="K1179" i="7"/>
  <c r="K1323" i="7"/>
  <c r="K1371" i="7"/>
  <c r="K1887" i="7"/>
  <c r="K1935" i="7"/>
  <c r="K121" i="7"/>
  <c r="K1945" i="7"/>
  <c r="K28" i="7"/>
  <c r="K76" i="7"/>
  <c r="K124" i="7"/>
  <c r="K316" i="7"/>
  <c r="K364" i="7"/>
  <c r="K460" i="7"/>
  <c r="K556" i="7"/>
  <c r="K604" i="7"/>
  <c r="K796" i="7"/>
  <c r="K844" i="7"/>
  <c r="K940" i="7"/>
  <c r="K1348" i="7"/>
  <c r="K1396" i="7"/>
  <c r="K1708" i="7"/>
  <c r="K2008" i="7"/>
  <c r="K2056" i="7"/>
  <c r="K2104" i="7"/>
  <c r="K709" i="7"/>
  <c r="K101" i="7"/>
  <c r="K341" i="7"/>
  <c r="K485" i="7"/>
  <c r="K725" i="7"/>
  <c r="K1169" i="7"/>
  <c r="K1577" i="7"/>
  <c r="K1769" i="7"/>
  <c r="K258" i="7"/>
  <c r="K594" i="7"/>
  <c r="K642" i="7"/>
  <c r="K786" i="7"/>
  <c r="K978" i="7"/>
  <c r="K103" i="7"/>
  <c r="K151" i="7"/>
  <c r="K583" i="7"/>
  <c r="K823" i="7"/>
  <c r="K1735" i="7"/>
  <c r="K1915" i="7"/>
  <c r="K2005" i="7"/>
  <c r="K200" i="7"/>
  <c r="K392" i="7"/>
  <c r="K728" i="7"/>
  <c r="K776" i="7"/>
  <c r="K1280" i="7"/>
  <c r="K1592" i="7"/>
  <c r="K1640" i="7"/>
  <c r="K2012" i="7"/>
  <c r="K2060" i="7"/>
  <c r="K2108" i="7"/>
  <c r="K141" i="7"/>
  <c r="K189" i="7"/>
  <c r="K381" i="7"/>
  <c r="K1317" i="7"/>
  <c r="K1425" i="7"/>
  <c r="K1953" i="7"/>
  <c r="K1236" i="7"/>
  <c r="K1477" i="7"/>
  <c r="K1994" i="7"/>
  <c r="K190" i="7"/>
  <c r="K526" i="7"/>
  <c r="K622" i="7"/>
  <c r="K299" i="7"/>
  <c r="K347" i="7"/>
  <c r="K827" i="7"/>
  <c r="K923" i="7"/>
  <c r="K1115" i="7"/>
  <c r="K1679" i="7"/>
  <c r="K194" i="7"/>
  <c r="K290" i="7"/>
  <c r="K434" i="7"/>
  <c r="K482" i="7"/>
  <c r="K722" i="7"/>
  <c r="K1166" i="7"/>
  <c r="K1274" i="7"/>
  <c r="K133" i="7"/>
  <c r="K469" i="7"/>
  <c r="K733" i="7"/>
  <c r="K64" i="7"/>
  <c r="K437" i="7"/>
  <c r="K1374" i="7"/>
  <c r="K1856" i="7"/>
  <c r="K429" i="7"/>
  <c r="K766" i="7"/>
  <c r="K1618" i="7"/>
  <c r="K1622" i="7"/>
  <c r="K1441" i="7"/>
  <c r="K1288" i="7"/>
  <c r="K1588" i="7"/>
  <c r="K2017" i="7"/>
  <c r="K1985" i="7"/>
  <c r="K1482" i="7"/>
  <c r="K2046" i="7"/>
  <c r="K2094" i="7"/>
  <c r="K3" i="7"/>
  <c r="K1045" i="7"/>
  <c r="K1603" i="7"/>
  <c r="K7" i="7"/>
  <c r="K247" i="7"/>
  <c r="K631" i="7"/>
  <c r="K727" i="7"/>
  <c r="K919" i="7"/>
  <c r="K967" i="7"/>
  <c r="K1015" i="7"/>
  <c r="K1363" i="7"/>
  <c r="K1837" i="7"/>
  <c r="K248" i="7"/>
  <c r="K980" i="7"/>
  <c r="K1232" i="7"/>
  <c r="K1537" i="7"/>
  <c r="K873" i="7"/>
  <c r="K1221" i="7"/>
  <c r="K1269" i="7"/>
  <c r="K1377" i="7"/>
  <c r="K852" i="7"/>
  <c r="K874" i="7"/>
  <c r="K1066" i="7"/>
  <c r="K1678" i="7"/>
  <c r="K2050" i="7"/>
  <c r="K2098" i="7"/>
  <c r="K1780" i="7"/>
  <c r="K395" i="7"/>
  <c r="K443" i="7"/>
  <c r="K971" i="7"/>
  <c r="K1163" i="7"/>
  <c r="K1487" i="7"/>
  <c r="K1631" i="7"/>
  <c r="K420" i="7"/>
  <c r="K732" i="7"/>
  <c r="K253" i="7"/>
  <c r="K673" i="7"/>
  <c r="K1585" i="7"/>
  <c r="K50" i="7"/>
  <c r="K338" i="7"/>
  <c r="K386" i="7"/>
  <c r="K674" i="7"/>
  <c r="K770" i="7"/>
  <c r="K1286" i="7"/>
  <c r="K1334" i="7"/>
  <c r="K1538" i="7"/>
  <c r="K1634" i="7"/>
  <c r="K1344" i="7"/>
  <c r="K1217" i="7"/>
  <c r="K669" i="7"/>
  <c r="K411" i="7"/>
  <c r="K1131" i="7"/>
  <c r="K1431" i="7"/>
  <c r="K1635" i="7"/>
  <c r="K685" i="7"/>
  <c r="K949" i="7"/>
  <c r="K1878" i="7"/>
  <c r="K508" i="7"/>
  <c r="K700" i="7"/>
  <c r="K892" i="7"/>
  <c r="K1048" i="7"/>
  <c r="K1300" i="7"/>
  <c r="K1456" i="7"/>
  <c r="K1900" i="7"/>
  <c r="K829" i="7"/>
  <c r="K1873" i="7"/>
  <c r="K1289" i="7"/>
  <c r="K1541" i="7"/>
  <c r="K1637" i="7"/>
  <c r="K1781" i="7"/>
  <c r="K1937" i="7"/>
  <c r="K1416" i="7"/>
  <c r="K2088" i="7"/>
  <c r="K793" i="7"/>
  <c r="K1866" i="7"/>
  <c r="K78" i="7"/>
  <c r="K174" i="7"/>
  <c r="K222" i="7"/>
  <c r="K606" i="7"/>
  <c r="K654" i="7"/>
  <c r="K702" i="7"/>
  <c r="K750" i="7"/>
  <c r="K1038" i="7"/>
  <c r="K1242" i="7"/>
  <c r="K1770" i="7"/>
  <c r="K792" i="7"/>
  <c r="K883" i="7"/>
  <c r="K1075" i="7"/>
  <c r="K1555" i="7"/>
  <c r="K1615" i="7"/>
  <c r="K1675" i="7"/>
  <c r="K2047" i="7"/>
  <c r="K2095" i="7"/>
  <c r="K4" i="7"/>
  <c r="K2037" i="7"/>
  <c r="K68" i="7"/>
  <c r="K308" i="7"/>
  <c r="K452" i="7"/>
  <c r="K500" i="7"/>
  <c r="K548" i="7"/>
  <c r="K644" i="7"/>
  <c r="K692" i="7"/>
  <c r="K740" i="7"/>
  <c r="K788" i="7"/>
  <c r="K836" i="7"/>
  <c r="K1124" i="7"/>
  <c r="K1244" i="7"/>
  <c r="K1292" i="7"/>
  <c r="K1544" i="7"/>
  <c r="K1808" i="7"/>
  <c r="K804" i="7"/>
  <c r="K105" i="7"/>
  <c r="K393" i="7"/>
  <c r="K585" i="7"/>
  <c r="K777" i="7"/>
  <c r="K1329" i="7"/>
  <c r="K432" i="7"/>
  <c r="K960" i="7"/>
  <c r="K169" i="7"/>
  <c r="K997" i="7"/>
  <c r="K1570" i="7"/>
  <c r="K10" i="7"/>
  <c r="K58" i="7"/>
  <c r="K202" i="7"/>
  <c r="K298" i="7"/>
  <c r="K682" i="7"/>
  <c r="K922" i="7"/>
  <c r="K1690" i="7"/>
  <c r="K23" i="7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O104" i="7" s="1"/>
  <c r="O105" i="7" s="1"/>
  <c r="O106" i="7" s="1"/>
  <c r="O107" i="7" s="1"/>
  <c r="O108" i="7" s="1"/>
  <c r="O109" i="7" s="1"/>
  <c r="O110" i="7" s="1"/>
  <c r="O111" i="7" s="1"/>
  <c r="O112" i="7" s="1"/>
  <c r="O113" i="7" s="1"/>
  <c r="O114" i="7" s="1"/>
  <c r="O115" i="7" s="1"/>
  <c r="O116" i="7" s="1"/>
  <c r="O117" i="7" s="1"/>
  <c r="O118" i="7" s="1"/>
  <c r="O119" i="7" s="1"/>
  <c r="O120" i="7" s="1"/>
  <c r="O121" i="7" s="1"/>
  <c r="O122" i="7" s="1"/>
  <c r="O123" i="7" s="1"/>
  <c r="O124" i="7" s="1"/>
  <c r="O125" i="7" s="1"/>
  <c r="O126" i="7" s="1"/>
  <c r="O127" i="7" s="1"/>
  <c r="O128" i="7" s="1"/>
  <c r="O129" i="7" s="1"/>
  <c r="O130" i="7" s="1"/>
  <c r="O131" i="7" s="1"/>
  <c r="O132" i="7" s="1"/>
  <c r="O133" i="7" s="1"/>
  <c r="O134" i="7" s="1"/>
  <c r="O135" i="7" s="1"/>
  <c r="O136" i="7" s="1"/>
  <c r="O137" i="7" s="1"/>
  <c r="O138" i="7" s="1"/>
  <c r="O139" i="7" s="1"/>
  <c r="O140" i="7" s="1"/>
  <c r="O141" i="7" s="1"/>
  <c r="O142" i="7" s="1"/>
  <c r="O143" i="7" s="1"/>
  <c r="O144" i="7" s="1"/>
  <c r="O145" i="7" s="1"/>
  <c r="O146" i="7" s="1"/>
  <c r="O147" i="7" s="1"/>
  <c r="O148" i="7" s="1"/>
  <c r="O149" i="7" s="1"/>
  <c r="O150" i="7" s="1"/>
  <c r="O151" i="7" s="1"/>
  <c r="O152" i="7" s="1"/>
  <c r="O153" i="7" s="1"/>
  <c r="O154" i="7" s="1"/>
  <c r="O155" i="7" s="1"/>
  <c r="O156" i="7" s="1"/>
  <c r="O157" i="7" s="1"/>
  <c r="O158" i="7" s="1"/>
  <c r="O159" i="7" s="1"/>
  <c r="O160" i="7" s="1"/>
  <c r="O161" i="7" s="1"/>
  <c r="O162" i="7" s="1"/>
  <c r="O163" i="7" s="1"/>
  <c r="O164" i="7" s="1"/>
  <c r="O165" i="7" s="1"/>
  <c r="O166" i="7" s="1"/>
  <c r="O167" i="7" s="1"/>
  <c r="O168" i="7" s="1"/>
  <c r="O169" i="7" s="1"/>
  <c r="O170" i="7" s="1"/>
  <c r="O171" i="7" s="1"/>
  <c r="O172" i="7" s="1"/>
  <c r="O173" i="7" s="1"/>
  <c r="O174" i="7" s="1"/>
  <c r="O175" i="7" s="1"/>
  <c r="O176" i="7" s="1"/>
  <c r="O177" i="7" s="1"/>
  <c r="O178" i="7" s="1"/>
  <c r="O179" i="7" s="1"/>
  <c r="O180" i="7" s="1"/>
  <c r="O181" i="7" s="1"/>
  <c r="O182" i="7" s="1"/>
  <c r="O183" i="7" s="1"/>
  <c r="O184" i="7" s="1"/>
  <c r="O185" i="7" s="1"/>
  <c r="O186" i="7" s="1"/>
  <c r="O187" i="7" s="1"/>
  <c r="O188" i="7" s="1"/>
  <c r="O189" i="7" s="1"/>
  <c r="O190" i="7" s="1"/>
  <c r="O191" i="7" s="1"/>
  <c r="O192" i="7" s="1"/>
  <c r="O193" i="7" s="1"/>
  <c r="O194" i="7" s="1"/>
  <c r="O195" i="7" s="1"/>
  <c r="O196" i="7" s="1"/>
  <c r="O197" i="7" s="1"/>
  <c r="O198" i="7" s="1"/>
  <c r="O199" i="7" s="1"/>
  <c r="O200" i="7" s="1"/>
  <c r="O201" i="7" s="1"/>
  <c r="O202" i="7" s="1"/>
  <c r="O203" i="7" s="1"/>
  <c r="O204" i="7" s="1"/>
  <c r="O205" i="7" s="1"/>
  <c r="O206" i="7" s="1"/>
  <c r="O207" i="7" s="1"/>
  <c r="O208" i="7" s="1"/>
  <c r="O209" i="7" s="1"/>
  <c r="O210" i="7" s="1"/>
  <c r="O211" i="7" s="1"/>
  <c r="O212" i="7" s="1"/>
  <c r="O213" i="7" s="1"/>
  <c r="O214" i="7" s="1"/>
  <c r="O215" i="7" s="1"/>
  <c r="O216" i="7" s="1"/>
  <c r="O217" i="7" s="1"/>
  <c r="O218" i="7" s="1"/>
  <c r="O219" i="7" s="1"/>
  <c r="O220" i="7" s="1"/>
  <c r="O221" i="7" s="1"/>
  <c r="O222" i="7" s="1"/>
  <c r="O223" i="7" s="1"/>
  <c r="O224" i="7" s="1"/>
  <c r="O225" i="7" s="1"/>
  <c r="O226" i="7" s="1"/>
  <c r="O227" i="7" s="1"/>
  <c r="O228" i="7" s="1"/>
  <c r="O229" i="7" s="1"/>
  <c r="O230" i="7" s="1"/>
  <c r="O231" i="7" s="1"/>
  <c r="O232" i="7" s="1"/>
  <c r="O233" i="7" s="1"/>
  <c r="O234" i="7" s="1"/>
  <c r="O235" i="7" s="1"/>
  <c r="O236" i="7" s="1"/>
  <c r="O237" i="7" s="1"/>
  <c r="O238" i="7" s="1"/>
  <c r="O239" i="7" s="1"/>
  <c r="O240" i="7" s="1"/>
  <c r="O241" i="7" s="1"/>
  <c r="O242" i="7" s="1"/>
  <c r="O243" i="7" s="1"/>
  <c r="O244" i="7" s="1"/>
  <c r="O245" i="7" s="1"/>
  <c r="O246" i="7" s="1"/>
  <c r="O247" i="7" s="1"/>
  <c r="O248" i="7" s="1"/>
  <c r="O249" i="7" s="1"/>
  <c r="O250" i="7" s="1"/>
  <c r="O251" i="7" s="1"/>
  <c r="O252" i="7" s="1"/>
  <c r="O253" i="7" s="1"/>
  <c r="O254" i="7" s="1"/>
  <c r="O255" i="7" s="1"/>
  <c r="O256" i="7" s="1"/>
  <c r="O257" i="7" s="1"/>
  <c r="O258" i="7" s="1"/>
  <c r="O259" i="7" s="1"/>
  <c r="O260" i="7" s="1"/>
  <c r="O261" i="7" s="1"/>
  <c r="O262" i="7" s="1"/>
  <c r="O263" i="7" s="1"/>
  <c r="O264" i="7" s="1"/>
  <c r="O265" i="7" s="1"/>
  <c r="O266" i="7" s="1"/>
  <c r="O267" i="7" s="1"/>
  <c r="O268" i="7" s="1"/>
  <c r="O269" i="7" s="1"/>
  <c r="O270" i="7" s="1"/>
  <c r="O271" i="7" s="1"/>
  <c r="O272" i="7" s="1"/>
  <c r="O273" i="7" s="1"/>
  <c r="O274" i="7" s="1"/>
  <c r="O275" i="7" s="1"/>
  <c r="O276" i="7" s="1"/>
  <c r="O277" i="7" s="1"/>
  <c r="O278" i="7" s="1"/>
  <c r="O279" i="7" s="1"/>
  <c r="O280" i="7" s="1"/>
  <c r="O281" i="7" s="1"/>
  <c r="O282" i="7" s="1"/>
  <c r="O283" i="7" s="1"/>
  <c r="O284" i="7" s="1"/>
  <c r="O285" i="7" s="1"/>
  <c r="O286" i="7" s="1"/>
  <c r="O287" i="7" s="1"/>
  <c r="O288" i="7" s="1"/>
  <c r="O289" i="7" s="1"/>
  <c r="O290" i="7" s="1"/>
  <c r="O291" i="7" s="1"/>
  <c r="O292" i="7" s="1"/>
  <c r="O293" i="7" s="1"/>
  <c r="O294" i="7" s="1"/>
  <c r="O295" i="7" s="1"/>
  <c r="O296" i="7" s="1"/>
  <c r="O297" i="7" s="1"/>
  <c r="O298" i="7" s="1"/>
  <c r="O299" i="7" s="1"/>
  <c r="O300" i="7" s="1"/>
  <c r="O301" i="7" s="1"/>
  <c r="O302" i="7" s="1"/>
  <c r="O303" i="7" s="1"/>
  <c r="O304" i="7" s="1"/>
  <c r="O305" i="7" s="1"/>
  <c r="O306" i="7" s="1"/>
  <c r="O307" i="7" s="1"/>
  <c r="O308" i="7" s="1"/>
  <c r="O309" i="7" s="1"/>
  <c r="O310" i="7" s="1"/>
  <c r="O311" i="7" s="1"/>
  <c r="O312" i="7" s="1"/>
  <c r="O313" i="7" s="1"/>
  <c r="O314" i="7" s="1"/>
  <c r="O315" i="7" s="1"/>
  <c r="O316" i="7" s="1"/>
  <c r="O317" i="7" s="1"/>
  <c r="O318" i="7" s="1"/>
  <c r="O319" i="7" s="1"/>
  <c r="O320" i="7" s="1"/>
  <c r="O321" i="7" s="1"/>
  <c r="O322" i="7" s="1"/>
  <c r="O323" i="7" s="1"/>
  <c r="O324" i="7" s="1"/>
  <c r="O325" i="7" s="1"/>
  <c r="O326" i="7" s="1"/>
  <c r="O327" i="7" s="1"/>
  <c r="O328" i="7" s="1"/>
  <c r="O329" i="7" s="1"/>
  <c r="O330" i="7" s="1"/>
  <c r="O331" i="7" s="1"/>
  <c r="O332" i="7" s="1"/>
  <c r="O333" i="7" s="1"/>
  <c r="O334" i="7" s="1"/>
  <c r="O335" i="7" s="1"/>
  <c r="O336" i="7" s="1"/>
  <c r="O337" i="7" s="1"/>
  <c r="O338" i="7" s="1"/>
  <c r="O339" i="7" s="1"/>
  <c r="O340" i="7" s="1"/>
  <c r="O341" i="7" s="1"/>
  <c r="O342" i="7" s="1"/>
  <c r="O343" i="7" s="1"/>
  <c r="O344" i="7" s="1"/>
  <c r="O345" i="7" s="1"/>
  <c r="O346" i="7" s="1"/>
  <c r="O347" i="7" s="1"/>
  <c r="O348" i="7" s="1"/>
  <c r="O349" i="7" s="1"/>
  <c r="O350" i="7" s="1"/>
  <c r="O351" i="7" s="1"/>
  <c r="O352" i="7" s="1"/>
  <c r="O353" i="7" s="1"/>
  <c r="O354" i="7" s="1"/>
  <c r="O355" i="7" s="1"/>
  <c r="O356" i="7" s="1"/>
  <c r="O357" i="7" s="1"/>
  <c r="O358" i="7" s="1"/>
  <c r="O359" i="7" s="1"/>
  <c r="O360" i="7" s="1"/>
  <c r="O361" i="7" s="1"/>
  <c r="O362" i="7" s="1"/>
  <c r="O363" i="7" s="1"/>
  <c r="O364" i="7" s="1"/>
  <c r="O365" i="7" s="1"/>
  <c r="O366" i="7" s="1"/>
  <c r="O367" i="7" s="1"/>
  <c r="O368" i="7" s="1"/>
  <c r="O369" i="7" s="1"/>
  <c r="O370" i="7" s="1"/>
  <c r="O371" i="7" s="1"/>
  <c r="O372" i="7" s="1"/>
  <c r="O373" i="7" s="1"/>
  <c r="O374" i="7" s="1"/>
  <c r="O375" i="7" s="1"/>
  <c r="O376" i="7" s="1"/>
  <c r="O377" i="7" s="1"/>
  <c r="O378" i="7" s="1"/>
  <c r="O379" i="7" s="1"/>
  <c r="O380" i="7" s="1"/>
  <c r="O381" i="7" s="1"/>
  <c r="O382" i="7" s="1"/>
  <c r="O383" i="7" s="1"/>
  <c r="O384" i="7" s="1"/>
  <c r="O385" i="7" s="1"/>
  <c r="O386" i="7" s="1"/>
  <c r="O387" i="7" s="1"/>
  <c r="O388" i="7" s="1"/>
  <c r="O389" i="7" s="1"/>
  <c r="O390" i="7" s="1"/>
  <c r="O391" i="7" s="1"/>
  <c r="O392" i="7" s="1"/>
  <c r="O393" i="7" s="1"/>
  <c r="O394" i="7" s="1"/>
  <c r="O395" i="7" s="1"/>
  <c r="O396" i="7" s="1"/>
  <c r="O397" i="7" s="1"/>
  <c r="O398" i="7" s="1"/>
  <c r="O399" i="7" s="1"/>
  <c r="O400" i="7" s="1"/>
  <c r="O401" i="7" s="1"/>
  <c r="O402" i="7" s="1"/>
  <c r="O403" i="7" s="1"/>
  <c r="O404" i="7" s="1"/>
  <c r="O405" i="7" s="1"/>
  <c r="O406" i="7" s="1"/>
  <c r="O407" i="7" s="1"/>
  <c r="O408" i="7" s="1"/>
  <c r="O409" i="7" s="1"/>
  <c r="O410" i="7" s="1"/>
  <c r="O411" i="7" s="1"/>
  <c r="O412" i="7" s="1"/>
  <c r="O413" i="7" s="1"/>
  <c r="O414" i="7" s="1"/>
  <c r="O415" i="7" s="1"/>
  <c r="O416" i="7" s="1"/>
  <c r="O417" i="7" s="1"/>
  <c r="O418" i="7" s="1"/>
  <c r="O419" i="7" s="1"/>
  <c r="O420" i="7" s="1"/>
  <c r="O421" i="7" s="1"/>
  <c r="O422" i="7" s="1"/>
  <c r="O423" i="7" s="1"/>
  <c r="O424" i="7" s="1"/>
  <c r="O425" i="7" s="1"/>
  <c r="O426" i="7" s="1"/>
  <c r="O427" i="7" s="1"/>
  <c r="O428" i="7" s="1"/>
  <c r="O429" i="7" s="1"/>
  <c r="O430" i="7" s="1"/>
  <c r="O431" i="7" s="1"/>
  <c r="O432" i="7" s="1"/>
  <c r="O433" i="7" s="1"/>
  <c r="O434" i="7" s="1"/>
  <c r="O435" i="7" s="1"/>
  <c r="O436" i="7" s="1"/>
  <c r="O437" i="7" s="1"/>
  <c r="O438" i="7" s="1"/>
  <c r="O439" i="7" s="1"/>
  <c r="O440" i="7" s="1"/>
  <c r="O441" i="7" s="1"/>
  <c r="O442" i="7" s="1"/>
  <c r="O443" i="7" s="1"/>
  <c r="O444" i="7" s="1"/>
  <c r="O445" i="7" s="1"/>
  <c r="O446" i="7" s="1"/>
  <c r="O447" i="7" s="1"/>
  <c r="O448" i="7" s="1"/>
  <c r="O449" i="7" s="1"/>
  <c r="O450" i="7" s="1"/>
  <c r="O451" i="7" s="1"/>
  <c r="O452" i="7" s="1"/>
  <c r="O453" i="7" s="1"/>
  <c r="O454" i="7" s="1"/>
  <c r="O455" i="7" s="1"/>
  <c r="O456" i="7" s="1"/>
  <c r="O457" i="7" s="1"/>
  <c r="O458" i="7" s="1"/>
  <c r="O459" i="7" s="1"/>
  <c r="O460" i="7" s="1"/>
  <c r="O461" i="7" s="1"/>
  <c r="O462" i="7" s="1"/>
  <c r="O463" i="7" s="1"/>
  <c r="O464" i="7" s="1"/>
  <c r="O465" i="7" s="1"/>
  <c r="O466" i="7" s="1"/>
  <c r="O467" i="7" s="1"/>
  <c r="O468" i="7" s="1"/>
  <c r="O469" i="7" s="1"/>
  <c r="O470" i="7" s="1"/>
  <c r="O471" i="7" s="1"/>
  <c r="O472" i="7" s="1"/>
  <c r="O473" i="7" s="1"/>
  <c r="O474" i="7" s="1"/>
  <c r="O475" i="7" s="1"/>
  <c r="O476" i="7" s="1"/>
  <c r="O477" i="7" s="1"/>
  <c r="O478" i="7" s="1"/>
  <c r="O479" i="7" s="1"/>
  <c r="O480" i="7" s="1"/>
  <c r="O481" i="7" s="1"/>
  <c r="O482" i="7" s="1"/>
  <c r="O483" i="7" s="1"/>
  <c r="O484" i="7" s="1"/>
  <c r="O485" i="7" s="1"/>
  <c r="O486" i="7" s="1"/>
  <c r="O487" i="7" s="1"/>
  <c r="O488" i="7" s="1"/>
  <c r="O489" i="7" s="1"/>
  <c r="O490" i="7" s="1"/>
  <c r="O491" i="7" s="1"/>
  <c r="O492" i="7" s="1"/>
  <c r="O493" i="7" s="1"/>
  <c r="O494" i="7" s="1"/>
  <c r="O495" i="7" s="1"/>
  <c r="O496" i="7" s="1"/>
  <c r="O497" i="7" s="1"/>
  <c r="O498" i="7" s="1"/>
  <c r="O499" i="7" s="1"/>
  <c r="O500" i="7" s="1"/>
  <c r="O501" i="7" s="1"/>
  <c r="O502" i="7" s="1"/>
  <c r="O503" i="7" s="1"/>
  <c r="O504" i="7" s="1"/>
  <c r="O505" i="7" s="1"/>
  <c r="O506" i="7" s="1"/>
  <c r="O507" i="7" s="1"/>
  <c r="O508" i="7" s="1"/>
  <c r="O509" i="7" s="1"/>
  <c r="O510" i="7" s="1"/>
  <c r="O511" i="7" s="1"/>
  <c r="O512" i="7" s="1"/>
  <c r="O513" i="7" s="1"/>
  <c r="O514" i="7" s="1"/>
  <c r="O515" i="7" s="1"/>
  <c r="O516" i="7" s="1"/>
  <c r="O517" i="7" s="1"/>
  <c r="O518" i="7" s="1"/>
  <c r="O519" i="7" s="1"/>
  <c r="O520" i="7" s="1"/>
  <c r="O521" i="7" s="1"/>
  <c r="O522" i="7" s="1"/>
  <c r="O523" i="7" s="1"/>
  <c r="O524" i="7" s="1"/>
  <c r="O525" i="7" s="1"/>
  <c r="O526" i="7" s="1"/>
  <c r="O527" i="7" s="1"/>
  <c r="O528" i="7" s="1"/>
  <c r="O529" i="7" s="1"/>
  <c r="O530" i="7" s="1"/>
  <c r="O531" i="7" s="1"/>
  <c r="O532" i="7" s="1"/>
  <c r="O533" i="7" s="1"/>
  <c r="O534" i="7" s="1"/>
  <c r="O535" i="7" s="1"/>
  <c r="O536" i="7" s="1"/>
  <c r="O537" i="7" s="1"/>
  <c r="O538" i="7" s="1"/>
  <c r="O539" i="7" s="1"/>
  <c r="O540" i="7" s="1"/>
  <c r="O541" i="7" s="1"/>
  <c r="O542" i="7" s="1"/>
  <c r="O543" i="7" s="1"/>
  <c r="O544" i="7" s="1"/>
  <c r="O545" i="7" s="1"/>
  <c r="O546" i="7" s="1"/>
  <c r="O547" i="7" s="1"/>
  <c r="O548" i="7" s="1"/>
  <c r="O549" i="7" s="1"/>
  <c r="O550" i="7" s="1"/>
  <c r="O551" i="7" s="1"/>
  <c r="O552" i="7" s="1"/>
  <c r="O553" i="7" s="1"/>
  <c r="O554" i="7" s="1"/>
  <c r="O555" i="7" s="1"/>
  <c r="O556" i="7" s="1"/>
  <c r="O557" i="7" s="1"/>
  <c r="O558" i="7" s="1"/>
  <c r="O559" i="7" s="1"/>
  <c r="O560" i="7" s="1"/>
  <c r="O561" i="7" s="1"/>
  <c r="O562" i="7" s="1"/>
  <c r="O563" i="7" s="1"/>
  <c r="O564" i="7" s="1"/>
  <c r="O565" i="7" s="1"/>
  <c r="O566" i="7" s="1"/>
  <c r="O567" i="7" s="1"/>
  <c r="O568" i="7" s="1"/>
  <c r="O569" i="7" s="1"/>
  <c r="O570" i="7" s="1"/>
  <c r="O571" i="7" s="1"/>
  <c r="O572" i="7" s="1"/>
  <c r="O573" i="7" s="1"/>
  <c r="O574" i="7" s="1"/>
  <c r="O575" i="7" s="1"/>
  <c r="O576" i="7" s="1"/>
  <c r="O577" i="7" s="1"/>
  <c r="O578" i="7" s="1"/>
  <c r="O579" i="7" s="1"/>
  <c r="O580" i="7" s="1"/>
  <c r="O581" i="7" s="1"/>
  <c r="O582" i="7" s="1"/>
  <c r="O583" i="7" s="1"/>
  <c r="O584" i="7" s="1"/>
  <c r="O585" i="7" s="1"/>
  <c r="O586" i="7" s="1"/>
  <c r="O587" i="7" s="1"/>
  <c r="O588" i="7" s="1"/>
  <c r="O589" i="7" s="1"/>
  <c r="O590" i="7" s="1"/>
  <c r="O591" i="7" s="1"/>
  <c r="O592" i="7" s="1"/>
  <c r="O593" i="7" s="1"/>
  <c r="O594" i="7" s="1"/>
  <c r="O595" i="7" s="1"/>
  <c r="O596" i="7" s="1"/>
  <c r="O597" i="7" s="1"/>
  <c r="O598" i="7" s="1"/>
  <c r="O599" i="7" s="1"/>
  <c r="O600" i="7" s="1"/>
  <c r="O601" i="7" s="1"/>
  <c r="O602" i="7" s="1"/>
  <c r="O603" i="7" s="1"/>
  <c r="O604" i="7" s="1"/>
  <c r="O605" i="7" s="1"/>
  <c r="O606" i="7" s="1"/>
  <c r="O607" i="7" s="1"/>
  <c r="O608" i="7" s="1"/>
  <c r="O609" i="7" s="1"/>
  <c r="O610" i="7" s="1"/>
  <c r="O611" i="7" s="1"/>
  <c r="O612" i="7" s="1"/>
  <c r="O613" i="7" s="1"/>
  <c r="O614" i="7" s="1"/>
  <c r="O615" i="7" s="1"/>
  <c r="O616" i="7" s="1"/>
  <c r="O617" i="7" s="1"/>
  <c r="O618" i="7" s="1"/>
  <c r="O619" i="7" s="1"/>
  <c r="O620" i="7" s="1"/>
  <c r="O621" i="7" s="1"/>
  <c r="O622" i="7" s="1"/>
  <c r="O623" i="7" s="1"/>
  <c r="O624" i="7" s="1"/>
  <c r="O625" i="7" s="1"/>
  <c r="O626" i="7" s="1"/>
  <c r="O627" i="7" s="1"/>
  <c r="O628" i="7" s="1"/>
  <c r="O629" i="7" s="1"/>
  <c r="O630" i="7" s="1"/>
  <c r="O631" i="7" s="1"/>
  <c r="O632" i="7" s="1"/>
  <c r="O633" i="7" s="1"/>
  <c r="O634" i="7" s="1"/>
  <c r="O635" i="7" s="1"/>
  <c r="O636" i="7" s="1"/>
  <c r="O637" i="7" s="1"/>
  <c r="O638" i="7" s="1"/>
  <c r="O639" i="7" s="1"/>
  <c r="O640" i="7" s="1"/>
  <c r="O641" i="7" s="1"/>
  <c r="O642" i="7" s="1"/>
  <c r="O643" i="7" s="1"/>
  <c r="O644" i="7" s="1"/>
  <c r="O645" i="7" s="1"/>
  <c r="O646" i="7" s="1"/>
  <c r="O647" i="7" s="1"/>
  <c r="O648" i="7" s="1"/>
  <c r="O649" i="7" s="1"/>
  <c r="O650" i="7" s="1"/>
  <c r="O651" i="7" s="1"/>
  <c r="O652" i="7" s="1"/>
  <c r="O653" i="7" s="1"/>
  <c r="O654" i="7" s="1"/>
  <c r="O655" i="7" s="1"/>
  <c r="O656" i="7" s="1"/>
  <c r="O657" i="7" s="1"/>
  <c r="O658" i="7" s="1"/>
  <c r="O659" i="7" s="1"/>
  <c r="O660" i="7" s="1"/>
  <c r="O661" i="7" s="1"/>
  <c r="O662" i="7" s="1"/>
  <c r="O663" i="7" s="1"/>
  <c r="O664" i="7" s="1"/>
  <c r="O665" i="7" s="1"/>
  <c r="O666" i="7" s="1"/>
  <c r="O667" i="7" s="1"/>
  <c r="O668" i="7" s="1"/>
  <c r="O669" i="7" s="1"/>
  <c r="O670" i="7" s="1"/>
  <c r="O671" i="7" s="1"/>
  <c r="O672" i="7" s="1"/>
  <c r="O673" i="7" s="1"/>
  <c r="O674" i="7" s="1"/>
  <c r="O675" i="7" s="1"/>
  <c r="O676" i="7" s="1"/>
  <c r="O677" i="7" s="1"/>
  <c r="O678" i="7" s="1"/>
  <c r="O679" i="7" s="1"/>
  <c r="O680" i="7" s="1"/>
  <c r="O681" i="7" s="1"/>
  <c r="O682" i="7" s="1"/>
  <c r="O683" i="7" s="1"/>
  <c r="O684" i="7" s="1"/>
  <c r="O685" i="7" s="1"/>
  <c r="O686" i="7" s="1"/>
  <c r="O687" i="7" s="1"/>
  <c r="O688" i="7" s="1"/>
  <c r="O689" i="7" s="1"/>
  <c r="O690" i="7" s="1"/>
  <c r="O691" i="7" s="1"/>
  <c r="O692" i="7" s="1"/>
  <c r="O693" i="7" s="1"/>
  <c r="O694" i="7" s="1"/>
  <c r="O695" i="7" s="1"/>
  <c r="O696" i="7" s="1"/>
  <c r="O697" i="7" s="1"/>
  <c r="O698" i="7" s="1"/>
  <c r="O699" i="7" s="1"/>
  <c r="O700" i="7" s="1"/>
  <c r="O701" i="7" s="1"/>
  <c r="O702" i="7" s="1"/>
  <c r="O703" i="7" s="1"/>
  <c r="O704" i="7" s="1"/>
  <c r="O705" i="7" s="1"/>
  <c r="O706" i="7" s="1"/>
  <c r="O707" i="7" s="1"/>
  <c r="O708" i="7" s="1"/>
  <c r="O709" i="7" s="1"/>
  <c r="O710" i="7" s="1"/>
  <c r="O711" i="7" s="1"/>
  <c r="O712" i="7" s="1"/>
  <c r="O713" i="7" s="1"/>
  <c r="O714" i="7" s="1"/>
  <c r="O715" i="7" s="1"/>
  <c r="O716" i="7" s="1"/>
  <c r="O717" i="7" s="1"/>
  <c r="O718" i="7" s="1"/>
  <c r="O719" i="7" s="1"/>
  <c r="O720" i="7" s="1"/>
  <c r="O721" i="7" s="1"/>
  <c r="O722" i="7" s="1"/>
  <c r="O723" i="7" s="1"/>
  <c r="O724" i="7" s="1"/>
  <c r="O725" i="7" s="1"/>
  <c r="O726" i="7" s="1"/>
  <c r="O727" i="7" s="1"/>
  <c r="O728" i="7" s="1"/>
  <c r="O729" i="7" s="1"/>
  <c r="O730" i="7" s="1"/>
  <c r="O731" i="7" s="1"/>
  <c r="O732" i="7" s="1"/>
  <c r="O733" i="7" s="1"/>
  <c r="O734" i="7" s="1"/>
  <c r="O735" i="7" s="1"/>
  <c r="O736" i="7" s="1"/>
  <c r="O737" i="7" s="1"/>
  <c r="O738" i="7" s="1"/>
  <c r="O739" i="7" s="1"/>
  <c r="O740" i="7" s="1"/>
  <c r="O741" i="7" s="1"/>
  <c r="O742" i="7" s="1"/>
  <c r="O743" i="7" s="1"/>
  <c r="O744" i="7" s="1"/>
  <c r="O745" i="7" s="1"/>
  <c r="O746" i="7" s="1"/>
  <c r="O747" i="7" s="1"/>
  <c r="O748" i="7" s="1"/>
  <c r="O749" i="7" s="1"/>
  <c r="O750" i="7" s="1"/>
  <c r="O751" i="7" s="1"/>
  <c r="O752" i="7" s="1"/>
  <c r="O753" i="7" s="1"/>
  <c r="O754" i="7" s="1"/>
  <c r="O755" i="7" s="1"/>
  <c r="O756" i="7" s="1"/>
  <c r="O757" i="7" s="1"/>
  <c r="O758" i="7" s="1"/>
  <c r="O759" i="7" s="1"/>
  <c r="O760" i="7" s="1"/>
  <c r="O761" i="7" s="1"/>
  <c r="O762" i="7" s="1"/>
  <c r="O763" i="7" s="1"/>
  <c r="O764" i="7" s="1"/>
  <c r="O765" i="7" s="1"/>
  <c r="O766" i="7" s="1"/>
  <c r="O767" i="7" s="1"/>
  <c r="O768" i="7" s="1"/>
  <c r="O769" i="7" s="1"/>
  <c r="O770" i="7" s="1"/>
  <c r="O771" i="7" s="1"/>
  <c r="O772" i="7" s="1"/>
  <c r="O773" i="7" s="1"/>
  <c r="O774" i="7" s="1"/>
  <c r="O775" i="7" s="1"/>
  <c r="O776" i="7" s="1"/>
  <c r="O777" i="7" s="1"/>
  <c r="O778" i="7" s="1"/>
  <c r="O779" i="7" s="1"/>
  <c r="O780" i="7" s="1"/>
  <c r="O781" i="7" s="1"/>
  <c r="O782" i="7" s="1"/>
  <c r="O783" i="7" s="1"/>
  <c r="O784" i="7" s="1"/>
  <c r="O785" i="7" s="1"/>
  <c r="O786" i="7" s="1"/>
  <c r="O787" i="7" s="1"/>
  <c r="O788" i="7" s="1"/>
  <c r="O789" i="7" s="1"/>
  <c r="O790" i="7" s="1"/>
  <c r="O791" i="7" s="1"/>
  <c r="O792" i="7" s="1"/>
  <c r="O793" i="7" s="1"/>
  <c r="O794" i="7" s="1"/>
  <c r="O795" i="7" s="1"/>
  <c r="O796" i="7" s="1"/>
  <c r="O797" i="7" s="1"/>
  <c r="O798" i="7" s="1"/>
  <c r="O799" i="7" s="1"/>
  <c r="O800" i="7" s="1"/>
  <c r="O801" i="7" s="1"/>
  <c r="O802" i="7" s="1"/>
  <c r="O803" i="7" s="1"/>
  <c r="O804" i="7" s="1"/>
  <c r="O805" i="7" s="1"/>
  <c r="O806" i="7" s="1"/>
  <c r="O807" i="7" s="1"/>
  <c r="O808" i="7" s="1"/>
  <c r="O809" i="7" s="1"/>
  <c r="O810" i="7" s="1"/>
  <c r="O811" i="7" s="1"/>
  <c r="O812" i="7" s="1"/>
  <c r="O813" i="7" s="1"/>
  <c r="O814" i="7" s="1"/>
  <c r="O815" i="7" s="1"/>
  <c r="O816" i="7" s="1"/>
  <c r="O817" i="7" s="1"/>
  <c r="O818" i="7" s="1"/>
  <c r="O819" i="7" s="1"/>
  <c r="O820" i="7" s="1"/>
  <c r="O821" i="7" s="1"/>
  <c r="O822" i="7" s="1"/>
  <c r="O823" i="7" s="1"/>
  <c r="O824" i="7" s="1"/>
  <c r="O825" i="7" s="1"/>
  <c r="O826" i="7" s="1"/>
  <c r="O827" i="7" s="1"/>
  <c r="O828" i="7" s="1"/>
  <c r="O829" i="7" s="1"/>
  <c r="O830" i="7" s="1"/>
  <c r="O831" i="7" s="1"/>
  <c r="O832" i="7" s="1"/>
  <c r="O833" i="7" s="1"/>
  <c r="O834" i="7" s="1"/>
  <c r="O835" i="7" s="1"/>
  <c r="O836" i="7" s="1"/>
  <c r="O837" i="7" s="1"/>
  <c r="O838" i="7" s="1"/>
  <c r="O839" i="7" s="1"/>
  <c r="O840" i="7" s="1"/>
  <c r="O841" i="7" s="1"/>
  <c r="O842" i="7" s="1"/>
  <c r="O843" i="7" s="1"/>
  <c r="O844" i="7" s="1"/>
  <c r="O845" i="7" s="1"/>
  <c r="O846" i="7" s="1"/>
  <c r="O847" i="7" s="1"/>
  <c r="O848" i="7" s="1"/>
  <c r="O849" i="7" s="1"/>
  <c r="O850" i="7" s="1"/>
  <c r="O851" i="7" s="1"/>
  <c r="O852" i="7" s="1"/>
  <c r="O853" i="7" s="1"/>
  <c r="O854" i="7" s="1"/>
  <c r="O855" i="7" s="1"/>
  <c r="O856" i="7" s="1"/>
  <c r="O857" i="7" s="1"/>
  <c r="O858" i="7" s="1"/>
  <c r="O859" i="7" s="1"/>
  <c r="O860" i="7" s="1"/>
  <c r="O861" i="7" s="1"/>
  <c r="O862" i="7" s="1"/>
  <c r="O863" i="7" s="1"/>
  <c r="O864" i="7" s="1"/>
  <c r="O865" i="7" s="1"/>
  <c r="O866" i="7" s="1"/>
  <c r="O867" i="7" s="1"/>
  <c r="O868" i="7" s="1"/>
  <c r="O869" i="7" s="1"/>
  <c r="O870" i="7" s="1"/>
  <c r="O871" i="7" s="1"/>
  <c r="O872" i="7" s="1"/>
  <c r="O873" i="7" s="1"/>
  <c r="O874" i="7" s="1"/>
  <c r="O875" i="7" s="1"/>
  <c r="O876" i="7" s="1"/>
  <c r="O877" i="7" s="1"/>
  <c r="O878" i="7" s="1"/>
  <c r="O879" i="7" s="1"/>
  <c r="O880" i="7" s="1"/>
  <c r="O881" i="7" s="1"/>
  <c r="O882" i="7" s="1"/>
  <c r="O883" i="7" s="1"/>
  <c r="O884" i="7" s="1"/>
  <c r="O885" i="7" s="1"/>
  <c r="O886" i="7" s="1"/>
  <c r="O887" i="7" s="1"/>
  <c r="O888" i="7" s="1"/>
  <c r="O889" i="7" s="1"/>
  <c r="O890" i="7" s="1"/>
  <c r="O891" i="7" s="1"/>
  <c r="O892" i="7" s="1"/>
  <c r="O893" i="7" s="1"/>
  <c r="O894" i="7" s="1"/>
  <c r="O895" i="7" s="1"/>
  <c r="O896" i="7" s="1"/>
  <c r="O897" i="7" s="1"/>
  <c r="O898" i="7" s="1"/>
  <c r="O899" i="7" s="1"/>
  <c r="O900" i="7" s="1"/>
  <c r="O901" i="7" s="1"/>
  <c r="O902" i="7" s="1"/>
  <c r="O903" i="7" s="1"/>
  <c r="O904" i="7" s="1"/>
  <c r="O905" i="7" s="1"/>
  <c r="O906" i="7" s="1"/>
  <c r="O907" i="7" s="1"/>
  <c r="O908" i="7" s="1"/>
  <c r="O909" i="7" s="1"/>
  <c r="O910" i="7" s="1"/>
  <c r="O911" i="7" s="1"/>
  <c r="O912" i="7" s="1"/>
  <c r="O913" i="7" s="1"/>
  <c r="O914" i="7" s="1"/>
  <c r="O915" i="7" s="1"/>
  <c r="O916" i="7" s="1"/>
  <c r="O917" i="7" s="1"/>
  <c r="O918" i="7" s="1"/>
  <c r="O919" i="7" s="1"/>
  <c r="O920" i="7" s="1"/>
  <c r="O921" i="7" s="1"/>
  <c r="O922" i="7" s="1"/>
  <c r="O923" i="7" s="1"/>
  <c r="O924" i="7" s="1"/>
  <c r="O925" i="7" s="1"/>
  <c r="O926" i="7" s="1"/>
  <c r="O927" i="7" s="1"/>
  <c r="O928" i="7" s="1"/>
  <c r="O929" i="7" s="1"/>
  <c r="O930" i="7" s="1"/>
  <c r="O931" i="7" s="1"/>
  <c r="O932" i="7" s="1"/>
  <c r="O933" i="7" s="1"/>
  <c r="O934" i="7" s="1"/>
  <c r="O935" i="7" s="1"/>
  <c r="O936" i="7" s="1"/>
  <c r="O937" i="7" s="1"/>
  <c r="O938" i="7" s="1"/>
  <c r="O939" i="7" s="1"/>
  <c r="O940" i="7" s="1"/>
  <c r="O941" i="7" s="1"/>
  <c r="O942" i="7" s="1"/>
  <c r="O943" i="7" s="1"/>
  <c r="O944" i="7" s="1"/>
  <c r="O945" i="7" s="1"/>
  <c r="O946" i="7" s="1"/>
  <c r="O947" i="7" s="1"/>
  <c r="O948" i="7" s="1"/>
  <c r="O949" i="7" s="1"/>
  <c r="O950" i="7" s="1"/>
  <c r="O951" i="7" s="1"/>
  <c r="O952" i="7" s="1"/>
  <c r="O953" i="7" s="1"/>
  <c r="O954" i="7" s="1"/>
  <c r="O955" i="7" s="1"/>
  <c r="O956" i="7" s="1"/>
  <c r="O957" i="7" s="1"/>
  <c r="O958" i="7" s="1"/>
  <c r="O959" i="7" s="1"/>
  <c r="O960" i="7" s="1"/>
  <c r="O961" i="7" s="1"/>
  <c r="O962" i="7" s="1"/>
  <c r="O963" i="7" s="1"/>
  <c r="O964" i="7" s="1"/>
  <c r="O965" i="7" s="1"/>
  <c r="O966" i="7" s="1"/>
  <c r="O967" i="7" s="1"/>
  <c r="O968" i="7" s="1"/>
  <c r="O969" i="7" s="1"/>
  <c r="O970" i="7" s="1"/>
  <c r="O971" i="7" s="1"/>
  <c r="O972" i="7" s="1"/>
  <c r="O973" i="7" s="1"/>
  <c r="O974" i="7" s="1"/>
  <c r="O975" i="7" s="1"/>
  <c r="O976" i="7" s="1"/>
  <c r="O977" i="7" s="1"/>
  <c r="O978" i="7" s="1"/>
  <c r="O979" i="7" s="1"/>
  <c r="O980" i="7" s="1"/>
  <c r="O981" i="7" s="1"/>
  <c r="O982" i="7" s="1"/>
  <c r="O983" i="7" s="1"/>
  <c r="O984" i="7" s="1"/>
  <c r="O985" i="7" s="1"/>
  <c r="O986" i="7" s="1"/>
  <c r="O987" i="7" s="1"/>
  <c r="O988" i="7" s="1"/>
  <c r="O989" i="7" s="1"/>
  <c r="O990" i="7" s="1"/>
  <c r="O991" i="7" s="1"/>
  <c r="O992" i="7" s="1"/>
  <c r="O993" i="7" s="1"/>
  <c r="O994" i="7" s="1"/>
  <c r="O995" i="7" s="1"/>
  <c r="O996" i="7" s="1"/>
  <c r="O997" i="7" s="1"/>
  <c r="O998" i="7" s="1"/>
  <c r="O999" i="7" s="1"/>
  <c r="O1000" i="7" s="1"/>
  <c r="O1001" i="7" s="1"/>
  <c r="O1002" i="7" s="1"/>
  <c r="O1003" i="7" s="1"/>
  <c r="O1004" i="7" s="1"/>
  <c r="O1005" i="7" s="1"/>
  <c r="O1006" i="7" s="1"/>
  <c r="O1007" i="7" s="1"/>
  <c r="O1008" i="7" s="1"/>
  <c r="O1009" i="7" s="1"/>
  <c r="O1010" i="7" s="1"/>
  <c r="O1011" i="7" s="1"/>
  <c r="O1012" i="7" s="1"/>
  <c r="O1013" i="7" s="1"/>
  <c r="O1014" i="7" s="1"/>
  <c r="O1015" i="7" s="1"/>
  <c r="O1016" i="7" s="1"/>
  <c r="O1017" i="7" s="1"/>
  <c r="O1018" i="7" s="1"/>
  <c r="O1019" i="7" s="1"/>
  <c r="O1020" i="7" s="1"/>
  <c r="O1021" i="7" s="1"/>
  <c r="O1022" i="7" s="1"/>
  <c r="O1023" i="7" s="1"/>
  <c r="O1024" i="7" s="1"/>
  <c r="O1025" i="7" s="1"/>
  <c r="O1026" i="7" s="1"/>
  <c r="O1027" i="7" s="1"/>
  <c r="O1028" i="7" s="1"/>
  <c r="O1029" i="7" s="1"/>
  <c r="O1030" i="7" s="1"/>
  <c r="O1031" i="7" s="1"/>
  <c r="O1032" i="7" s="1"/>
  <c r="O1033" i="7" s="1"/>
  <c r="O1034" i="7" s="1"/>
  <c r="O1035" i="7" s="1"/>
  <c r="O1036" i="7" s="1"/>
  <c r="O1037" i="7" s="1"/>
  <c r="O1038" i="7" s="1"/>
  <c r="O1039" i="7" s="1"/>
  <c r="O1040" i="7" s="1"/>
  <c r="O1041" i="7" s="1"/>
  <c r="O1042" i="7" s="1"/>
  <c r="O1043" i="7" s="1"/>
  <c r="O1044" i="7" s="1"/>
  <c r="O1045" i="7" s="1"/>
  <c r="O1046" i="7" s="1"/>
  <c r="O1047" i="7" s="1"/>
  <c r="O1048" i="7" s="1"/>
  <c r="O1049" i="7" s="1"/>
  <c r="O1050" i="7" s="1"/>
  <c r="O1051" i="7" s="1"/>
  <c r="O1052" i="7" s="1"/>
  <c r="O1053" i="7" s="1"/>
  <c r="O1054" i="7" s="1"/>
  <c r="O1055" i="7" s="1"/>
  <c r="O1056" i="7" s="1"/>
  <c r="O1057" i="7" s="1"/>
  <c r="O1058" i="7" s="1"/>
  <c r="O1059" i="7" s="1"/>
  <c r="O1060" i="7" s="1"/>
  <c r="O1061" i="7" s="1"/>
  <c r="O1062" i="7" s="1"/>
  <c r="O1063" i="7" s="1"/>
  <c r="O1064" i="7" s="1"/>
  <c r="O1065" i="7" s="1"/>
  <c r="O1066" i="7" s="1"/>
  <c r="O1067" i="7" s="1"/>
  <c r="O1068" i="7" s="1"/>
  <c r="O1069" i="7" s="1"/>
  <c r="O1070" i="7" s="1"/>
  <c r="O1071" i="7" s="1"/>
  <c r="O1072" i="7" s="1"/>
  <c r="O1073" i="7" s="1"/>
  <c r="O1074" i="7" s="1"/>
  <c r="O1075" i="7" s="1"/>
  <c r="O1076" i="7" s="1"/>
  <c r="O1077" i="7" s="1"/>
  <c r="O1078" i="7" s="1"/>
  <c r="O1079" i="7" s="1"/>
  <c r="O1080" i="7" s="1"/>
  <c r="O1081" i="7" s="1"/>
  <c r="O1082" i="7" s="1"/>
  <c r="O1083" i="7" s="1"/>
  <c r="O1084" i="7" s="1"/>
  <c r="O1085" i="7" s="1"/>
  <c r="O1086" i="7" s="1"/>
  <c r="O1087" i="7" s="1"/>
  <c r="O1088" i="7" s="1"/>
  <c r="O1089" i="7" s="1"/>
  <c r="O1090" i="7" s="1"/>
  <c r="O1091" i="7" s="1"/>
  <c r="O1092" i="7" s="1"/>
  <c r="O1093" i="7" s="1"/>
  <c r="O1094" i="7" s="1"/>
  <c r="O1095" i="7" s="1"/>
  <c r="O1096" i="7" s="1"/>
  <c r="O1097" i="7" s="1"/>
  <c r="O1098" i="7" s="1"/>
  <c r="O1099" i="7" s="1"/>
  <c r="O1100" i="7" s="1"/>
  <c r="O1101" i="7" s="1"/>
  <c r="O1102" i="7" s="1"/>
  <c r="O1103" i="7" s="1"/>
  <c r="O1104" i="7" s="1"/>
  <c r="O1105" i="7" s="1"/>
  <c r="O1106" i="7" s="1"/>
  <c r="O1107" i="7" s="1"/>
  <c r="O1108" i="7" s="1"/>
  <c r="O1109" i="7" s="1"/>
  <c r="O1110" i="7" s="1"/>
  <c r="O1111" i="7" s="1"/>
  <c r="O1112" i="7" s="1"/>
  <c r="O1113" i="7" s="1"/>
  <c r="O1114" i="7" s="1"/>
  <c r="O1115" i="7" s="1"/>
  <c r="O1116" i="7" s="1"/>
  <c r="O1117" i="7" s="1"/>
  <c r="O1118" i="7" s="1"/>
  <c r="O1119" i="7" s="1"/>
  <c r="O1120" i="7" s="1"/>
  <c r="O1121" i="7" s="1"/>
  <c r="O1122" i="7" s="1"/>
  <c r="O1123" i="7" s="1"/>
  <c r="O1124" i="7" s="1"/>
  <c r="O1125" i="7" s="1"/>
  <c r="O1126" i="7" s="1"/>
  <c r="O1127" i="7" s="1"/>
  <c r="O1128" i="7" s="1"/>
  <c r="O1129" i="7" s="1"/>
  <c r="O1130" i="7" s="1"/>
  <c r="O1131" i="7" s="1"/>
  <c r="O1132" i="7" s="1"/>
  <c r="O1133" i="7" s="1"/>
  <c r="O1134" i="7" s="1"/>
  <c r="O1135" i="7" s="1"/>
  <c r="O1136" i="7" s="1"/>
  <c r="O1137" i="7" s="1"/>
  <c r="O1138" i="7" s="1"/>
  <c r="O1139" i="7" s="1"/>
  <c r="O1140" i="7" s="1"/>
  <c r="O1141" i="7" s="1"/>
  <c r="O1142" i="7" s="1"/>
  <c r="O1143" i="7" s="1"/>
  <c r="O1144" i="7" s="1"/>
  <c r="O1145" i="7" s="1"/>
  <c r="O1146" i="7" s="1"/>
  <c r="O1147" i="7" s="1"/>
  <c r="O1148" i="7" s="1"/>
  <c r="O1149" i="7" s="1"/>
  <c r="O1150" i="7" s="1"/>
  <c r="O1151" i="7" s="1"/>
  <c r="O1152" i="7" s="1"/>
  <c r="O1153" i="7" s="1"/>
  <c r="O1154" i="7" s="1"/>
  <c r="O1155" i="7" s="1"/>
  <c r="O1156" i="7" s="1"/>
  <c r="O1157" i="7" s="1"/>
  <c r="O1158" i="7" s="1"/>
  <c r="O1159" i="7" s="1"/>
  <c r="O1160" i="7" s="1"/>
  <c r="O1161" i="7" s="1"/>
  <c r="O1162" i="7" s="1"/>
  <c r="O1163" i="7" s="1"/>
  <c r="O1164" i="7" s="1"/>
  <c r="O1165" i="7" s="1"/>
  <c r="O1166" i="7" s="1"/>
  <c r="O1167" i="7" s="1"/>
  <c r="O1168" i="7" s="1"/>
  <c r="O1169" i="7" s="1"/>
  <c r="O1170" i="7" s="1"/>
  <c r="O1171" i="7" s="1"/>
  <c r="O1172" i="7" s="1"/>
  <c r="O1173" i="7" s="1"/>
  <c r="O1174" i="7" s="1"/>
  <c r="O1175" i="7" s="1"/>
  <c r="O1176" i="7" s="1"/>
  <c r="O1177" i="7" s="1"/>
  <c r="O1178" i="7" s="1"/>
  <c r="O1179" i="7" s="1"/>
  <c r="O1180" i="7" s="1"/>
  <c r="O1181" i="7" s="1"/>
  <c r="O1182" i="7" s="1"/>
  <c r="O1183" i="7" s="1"/>
  <c r="O1184" i="7" s="1"/>
  <c r="O1185" i="7" s="1"/>
  <c r="O1186" i="7" s="1"/>
  <c r="O1187" i="7" s="1"/>
  <c r="O1188" i="7" s="1"/>
  <c r="O1189" i="7" s="1"/>
  <c r="O1190" i="7" s="1"/>
  <c r="O1191" i="7" s="1"/>
  <c r="O1192" i="7" s="1"/>
  <c r="O1193" i="7" s="1"/>
  <c r="O1194" i="7" s="1"/>
  <c r="O1195" i="7" s="1"/>
  <c r="O1196" i="7" s="1"/>
  <c r="O1197" i="7" s="1"/>
  <c r="O1198" i="7" s="1"/>
  <c r="O1199" i="7" s="1"/>
  <c r="O1200" i="7" s="1"/>
  <c r="O1201" i="7" s="1"/>
  <c r="O1202" i="7" s="1"/>
  <c r="O1203" i="7" s="1"/>
  <c r="O1204" i="7" s="1"/>
  <c r="O1205" i="7" s="1"/>
  <c r="O1206" i="7" s="1"/>
  <c r="O1207" i="7" s="1"/>
  <c r="O1208" i="7" s="1"/>
  <c r="O1209" i="7" s="1"/>
  <c r="O1210" i="7" s="1"/>
  <c r="O1211" i="7" s="1"/>
  <c r="O1212" i="7" s="1"/>
  <c r="O1213" i="7" s="1"/>
  <c r="O1214" i="7" s="1"/>
  <c r="O1215" i="7" s="1"/>
  <c r="O1216" i="7" s="1"/>
  <c r="O1217" i="7" s="1"/>
  <c r="O1218" i="7" s="1"/>
  <c r="O1219" i="7" s="1"/>
  <c r="O1220" i="7" s="1"/>
  <c r="O1221" i="7" s="1"/>
  <c r="O1222" i="7" s="1"/>
  <c r="O1223" i="7" s="1"/>
  <c r="O1224" i="7" s="1"/>
  <c r="O1225" i="7" s="1"/>
  <c r="O1226" i="7" s="1"/>
  <c r="O1227" i="7" s="1"/>
  <c r="O1228" i="7" s="1"/>
  <c r="O1229" i="7" s="1"/>
  <c r="O1230" i="7" s="1"/>
  <c r="O1231" i="7" s="1"/>
  <c r="O1232" i="7" s="1"/>
  <c r="O1233" i="7" s="1"/>
  <c r="O1234" i="7" s="1"/>
  <c r="O1235" i="7" s="1"/>
  <c r="O1236" i="7" s="1"/>
  <c r="O1237" i="7" s="1"/>
  <c r="O1238" i="7" s="1"/>
  <c r="O1239" i="7" s="1"/>
  <c r="O1240" i="7" s="1"/>
  <c r="O1241" i="7" s="1"/>
  <c r="O1242" i="7" s="1"/>
  <c r="O1243" i="7" s="1"/>
  <c r="O1244" i="7" s="1"/>
  <c r="O1245" i="7" s="1"/>
  <c r="O1246" i="7" s="1"/>
  <c r="O1247" i="7" s="1"/>
  <c r="O1248" i="7" s="1"/>
  <c r="O1249" i="7" s="1"/>
  <c r="O1250" i="7" s="1"/>
  <c r="O1251" i="7" s="1"/>
  <c r="O1252" i="7" s="1"/>
  <c r="O1253" i="7" s="1"/>
  <c r="O1254" i="7" s="1"/>
  <c r="O1255" i="7" s="1"/>
  <c r="O1256" i="7" s="1"/>
  <c r="O1257" i="7" s="1"/>
  <c r="O1258" i="7" s="1"/>
  <c r="O1259" i="7" s="1"/>
  <c r="O1260" i="7" s="1"/>
  <c r="O1261" i="7" s="1"/>
  <c r="O1262" i="7" s="1"/>
  <c r="O1263" i="7" s="1"/>
  <c r="O1264" i="7" s="1"/>
  <c r="O1265" i="7" s="1"/>
  <c r="O1266" i="7" s="1"/>
  <c r="O1267" i="7" s="1"/>
  <c r="O1268" i="7" s="1"/>
  <c r="O1269" i="7" s="1"/>
  <c r="O1270" i="7" s="1"/>
  <c r="O1271" i="7" s="1"/>
  <c r="O1272" i="7" s="1"/>
  <c r="O1273" i="7" s="1"/>
  <c r="O1274" i="7" s="1"/>
  <c r="O1275" i="7" s="1"/>
  <c r="O1276" i="7" s="1"/>
  <c r="O1277" i="7" s="1"/>
  <c r="O1278" i="7" s="1"/>
  <c r="O1279" i="7" s="1"/>
  <c r="O1280" i="7" s="1"/>
  <c r="O1281" i="7" s="1"/>
  <c r="O1282" i="7" s="1"/>
  <c r="O1283" i="7" s="1"/>
  <c r="O1284" i="7" s="1"/>
  <c r="O1285" i="7" s="1"/>
  <c r="O1286" i="7" s="1"/>
  <c r="O1287" i="7" s="1"/>
  <c r="O1288" i="7" s="1"/>
  <c r="O1289" i="7" s="1"/>
  <c r="O1290" i="7" s="1"/>
  <c r="O1291" i="7" s="1"/>
  <c r="O1292" i="7" s="1"/>
  <c r="O1293" i="7" s="1"/>
  <c r="O1294" i="7" s="1"/>
  <c r="O1295" i="7" s="1"/>
  <c r="O1296" i="7" s="1"/>
  <c r="O1297" i="7" s="1"/>
  <c r="O1298" i="7" s="1"/>
  <c r="O1299" i="7" s="1"/>
  <c r="O1300" i="7" s="1"/>
  <c r="O1301" i="7" s="1"/>
  <c r="O1302" i="7" s="1"/>
  <c r="O1303" i="7" s="1"/>
  <c r="O1304" i="7" s="1"/>
  <c r="O1305" i="7" s="1"/>
  <c r="O1306" i="7" s="1"/>
  <c r="O1307" i="7" s="1"/>
  <c r="O1308" i="7" s="1"/>
  <c r="O1309" i="7" s="1"/>
  <c r="O1310" i="7" s="1"/>
  <c r="O1311" i="7" s="1"/>
  <c r="O1312" i="7" s="1"/>
  <c r="O1313" i="7" s="1"/>
  <c r="O1314" i="7" s="1"/>
  <c r="O1315" i="7" s="1"/>
  <c r="O1316" i="7" s="1"/>
  <c r="O1317" i="7" s="1"/>
  <c r="O1318" i="7" s="1"/>
  <c r="O1319" i="7" s="1"/>
  <c r="O1320" i="7" s="1"/>
  <c r="O1321" i="7" s="1"/>
  <c r="O1322" i="7" s="1"/>
  <c r="O1323" i="7" s="1"/>
  <c r="O1324" i="7" s="1"/>
  <c r="O1325" i="7" s="1"/>
  <c r="O1326" i="7" s="1"/>
  <c r="O1327" i="7" s="1"/>
  <c r="O1328" i="7" s="1"/>
  <c r="O1329" i="7" s="1"/>
  <c r="O1330" i="7" s="1"/>
  <c r="O1331" i="7" s="1"/>
  <c r="O1332" i="7" s="1"/>
  <c r="O1333" i="7" s="1"/>
  <c r="O1334" i="7" s="1"/>
  <c r="O1335" i="7" s="1"/>
  <c r="O1336" i="7" s="1"/>
  <c r="O1337" i="7" s="1"/>
  <c r="O1338" i="7" s="1"/>
  <c r="O1339" i="7" s="1"/>
  <c r="O1340" i="7" s="1"/>
  <c r="O1341" i="7" s="1"/>
  <c r="O1342" i="7" s="1"/>
  <c r="O1343" i="7" s="1"/>
  <c r="O1344" i="7" s="1"/>
  <c r="O1345" i="7" s="1"/>
  <c r="O1346" i="7" s="1"/>
  <c r="O1347" i="7" s="1"/>
  <c r="O1348" i="7" s="1"/>
  <c r="O1349" i="7" s="1"/>
  <c r="O1350" i="7" s="1"/>
  <c r="O1351" i="7" s="1"/>
  <c r="O1352" i="7" s="1"/>
  <c r="O1353" i="7" s="1"/>
  <c r="O1354" i="7" s="1"/>
  <c r="O1355" i="7" s="1"/>
  <c r="O1356" i="7" s="1"/>
  <c r="O1357" i="7" s="1"/>
  <c r="O1358" i="7" s="1"/>
  <c r="O1359" i="7" s="1"/>
  <c r="O1360" i="7" s="1"/>
  <c r="O1361" i="7" s="1"/>
  <c r="O1362" i="7" s="1"/>
  <c r="O1363" i="7" s="1"/>
  <c r="O1364" i="7" s="1"/>
  <c r="O1365" i="7" s="1"/>
  <c r="O1366" i="7" s="1"/>
  <c r="O1367" i="7" s="1"/>
  <c r="O1368" i="7" s="1"/>
  <c r="O1369" i="7" s="1"/>
  <c r="O1370" i="7" s="1"/>
  <c r="O1371" i="7" s="1"/>
  <c r="O1372" i="7" s="1"/>
  <c r="O1373" i="7" s="1"/>
  <c r="O1374" i="7" s="1"/>
  <c r="O1375" i="7" s="1"/>
  <c r="O1376" i="7" s="1"/>
  <c r="O1377" i="7" s="1"/>
  <c r="O1378" i="7" s="1"/>
  <c r="O1379" i="7" s="1"/>
  <c r="O1380" i="7" s="1"/>
  <c r="O1381" i="7" s="1"/>
  <c r="O1382" i="7" s="1"/>
  <c r="O1383" i="7" s="1"/>
  <c r="O1384" i="7" s="1"/>
  <c r="O1385" i="7" s="1"/>
  <c r="O1386" i="7" s="1"/>
  <c r="O1387" i="7" s="1"/>
  <c r="O1388" i="7" s="1"/>
  <c r="O1389" i="7" s="1"/>
  <c r="O1390" i="7" s="1"/>
  <c r="O1391" i="7" s="1"/>
  <c r="O1392" i="7" s="1"/>
  <c r="O1393" i="7" s="1"/>
  <c r="O1394" i="7" s="1"/>
  <c r="O1395" i="7" s="1"/>
  <c r="O1396" i="7" s="1"/>
  <c r="O1397" i="7" s="1"/>
  <c r="O1398" i="7" s="1"/>
  <c r="O1399" i="7" s="1"/>
  <c r="O1400" i="7" s="1"/>
  <c r="O1401" i="7" s="1"/>
  <c r="O1402" i="7" s="1"/>
  <c r="O1403" i="7" s="1"/>
  <c r="O1404" i="7" s="1"/>
  <c r="O1405" i="7" s="1"/>
  <c r="O1406" i="7" s="1"/>
  <c r="O1407" i="7" s="1"/>
  <c r="O1408" i="7" s="1"/>
  <c r="O1409" i="7" s="1"/>
  <c r="O1410" i="7" s="1"/>
  <c r="O1411" i="7" s="1"/>
  <c r="O1412" i="7" s="1"/>
  <c r="O1413" i="7" s="1"/>
  <c r="O1414" i="7" s="1"/>
  <c r="O1415" i="7" s="1"/>
  <c r="O1416" i="7" s="1"/>
  <c r="O1417" i="7" s="1"/>
  <c r="O1418" i="7" s="1"/>
  <c r="O1419" i="7" s="1"/>
  <c r="O1420" i="7" s="1"/>
  <c r="O1421" i="7" s="1"/>
  <c r="O1422" i="7" s="1"/>
  <c r="O1423" i="7" s="1"/>
  <c r="O1424" i="7" s="1"/>
  <c r="O1425" i="7" s="1"/>
  <c r="O1426" i="7" s="1"/>
  <c r="O1427" i="7" s="1"/>
  <c r="O1428" i="7" s="1"/>
  <c r="O1429" i="7" s="1"/>
  <c r="O1430" i="7" s="1"/>
  <c r="O1431" i="7" s="1"/>
  <c r="O1432" i="7" s="1"/>
  <c r="O1433" i="7" s="1"/>
  <c r="O1434" i="7" s="1"/>
  <c r="O1435" i="7" s="1"/>
  <c r="O1436" i="7" s="1"/>
  <c r="O1437" i="7" s="1"/>
  <c r="O1438" i="7" s="1"/>
  <c r="O1439" i="7" s="1"/>
  <c r="O1440" i="7" s="1"/>
  <c r="O1441" i="7" s="1"/>
  <c r="O1442" i="7" s="1"/>
  <c r="O1443" i="7" s="1"/>
  <c r="O1444" i="7" s="1"/>
  <c r="O1445" i="7" s="1"/>
  <c r="O1446" i="7" s="1"/>
  <c r="O1447" i="7" s="1"/>
  <c r="O1448" i="7" s="1"/>
  <c r="O1449" i="7" s="1"/>
  <c r="O1450" i="7" s="1"/>
  <c r="O1451" i="7" s="1"/>
  <c r="O1452" i="7" s="1"/>
  <c r="O1453" i="7" s="1"/>
  <c r="O1454" i="7" s="1"/>
  <c r="O1455" i="7" s="1"/>
  <c r="O1456" i="7" s="1"/>
  <c r="O1457" i="7" s="1"/>
  <c r="O1458" i="7" s="1"/>
  <c r="O1459" i="7" s="1"/>
  <c r="O1460" i="7" s="1"/>
  <c r="O1461" i="7" s="1"/>
  <c r="O1462" i="7" s="1"/>
  <c r="O1463" i="7" s="1"/>
  <c r="O1464" i="7" s="1"/>
  <c r="O1465" i="7" s="1"/>
  <c r="O1466" i="7" s="1"/>
  <c r="O1467" i="7" s="1"/>
  <c r="O1468" i="7" s="1"/>
  <c r="O1469" i="7" s="1"/>
  <c r="O1470" i="7" s="1"/>
  <c r="O1471" i="7" s="1"/>
  <c r="O1472" i="7" s="1"/>
  <c r="O1473" i="7" s="1"/>
  <c r="O1474" i="7" s="1"/>
  <c r="O1475" i="7" s="1"/>
  <c r="O1476" i="7" s="1"/>
  <c r="O1477" i="7" s="1"/>
  <c r="O1478" i="7" s="1"/>
  <c r="O1479" i="7" s="1"/>
  <c r="O1480" i="7" s="1"/>
  <c r="O1481" i="7" s="1"/>
  <c r="O1482" i="7" s="1"/>
  <c r="O1483" i="7" s="1"/>
  <c r="O1484" i="7" s="1"/>
  <c r="O1485" i="7" s="1"/>
  <c r="O1486" i="7" s="1"/>
  <c r="O1487" i="7" s="1"/>
  <c r="O1488" i="7" s="1"/>
  <c r="O1489" i="7" s="1"/>
  <c r="O1490" i="7" s="1"/>
  <c r="O1491" i="7" s="1"/>
  <c r="O1492" i="7" s="1"/>
  <c r="O1493" i="7" s="1"/>
  <c r="O1494" i="7" s="1"/>
  <c r="O1495" i="7" s="1"/>
  <c r="O1496" i="7" s="1"/>
  <c r="O1497" i="7" s="1"/>
  <c r="O1498" i="7" s="1"/>
  <c r="O1499" i="7" s="1"/>
  <c r="O1500" i="7" s="1"/>
  <c r="O1501" i="7" s="1"/>
  <c r="O1502" i="7" s="1"/>
  <c r="O1503" i="7" s="1"/>
  <c r="O1504" i="7" s="1"/>
  <c r="O1505" i="7" s="1"/>
  <c r="O1506" i="7" s="1"/>
  <c r="O1507" i="7" s="1"/>
  <c r="O1508" i="7" s="1"/>
  <c r="O1509" i="7" s="1"/>
  <c r="O1510" i="7" s="1"/>
  <c r="O1511" i="7" s="1"/>
  <c r="O1512" i="7" s="1"/>
  <c r="O1513" i="7" s="1"/>
  <c r="O1514" i="7" s="1"/>
  <c r="O1515" i="7" s="1"/>
  <c r="O1516" i="7" s="1"/>
  <c r="O1517" i="7" s="1"/>
  <c r="O1518" i="7" s="1"/>
  <c r="O1519" i="7" s="1"/>
  <c r="O1520" i="7" s="1"/>
  <c r="O1521" i="7" s="1"/>
  <c r="O1522" i="7" s="1"/>
  <c r="O1523" i="7" s="1"/>
  <c r="O1524" i="7" s="1"/>
  <c r="O1525" i="7" s="1"/>
  <c r="O1526" i="7" s="1"/>
  <c r="O1527" i="7" s="1"/>
  <c r="O1528" i="7" s="1"/>
  <c r="O1529" i="7" s="1"/>
  <c r="O1530" i="7" s="1"/>
  <c r="O1531" i="7" s="1"/>
  <c r="O1532" i="7" s="1"/>
  <c r="O1533" i="7" s="1"/>
  <c r="O1534" i="7" s="1"/>
  <c r="O1535" i="7" s="1"/>
  <c r="O1536" i="7" s="1"/>
  <c r="O1537" i="7" s="1"/>
  <c r="O1538" i="7" s="1"/>
  <c r="O1539" i="7" s="1"/>
  <c r="O1540" i="7" s="1"/>
  <c r="O1541" i="7" s="1"/>
  <c r="O1542" i="7" s="1"/>
  <c r="O1543" i="7" s="1"/>
  <c r="O1544" i="7" s="1"/>
  <c r="O1545" i="7" s="1"/>
  <c r="O1546" i="7" s="1"/>
  <c r="O1547" i="7" s="1"/>
  <c r="O1548" i="7" s="1"/>
  <c r="O1549" i="7" s="1"/>
  <c r="O1550" i="7" s="1"/>
  <c r="O1551" i="7" s="1"/>
  <c r="O1552" i="7" s="1"/>
  <c r="O1553" i="7" s="1"/>
  <c r="O1554" i="7" s="1"/>
  <c r="O1555" i="7" s="1"/>
  <c r="O1556" i="7" s="1"/>
  <c r="O1557" i="7" s="1"/>
  <c r="O1558" i="7" s="1"/>
  <c r="O1559" i="7" s="1"/>
  <c r="O1560" i="7" s="1"/>
  <c r="O1561" i="7" s="1"/>
  <c r="O1562" i="7" s="1"/>
  <c r="O1563" i="7" s="1"/>
  <c r="O1564" i="7" s="1"/>
  <c r="O1565" i="7" s="1"/>
  <c r="O1566" i="7" s="1"/>
  <c r="O1567" i="7" s="1"/>
  <c r="O1568" i="7" s="1"/>
  <c r="O1569" i="7" s="1"/>
  <c r="O1570" i="7" s="1"/>
  <c r="O1571" i="7" s="1"/>
  <c r="O1572" i="7" s="1"/>
  <c r="O1573" i="7" s="1"/>
  <c r="O1574" i="7" s="1"/>
  <c r="O1575" i="7" s="1"/>
  <c r="O1576" i="7" s="1"/>
  <c r="O1577" i="7" s="1"/>
  <c r="O1578" i="7" s="1"/>
  <c r="O1579" i="7" s="1"/>
  <c r="O1580" i="7" s="1"/>
  <c r="O1581" i="7" s="1"/>
  <c r="O1582" i="7" s="1"/>
  <c r="O1583" i="7" s="1"/>
  <c r="O1584" i="7" s="1"/>
  <c r="O1585" i="7" s="1"/>
  <c r="O1586" i="7" s="1"/>
  <c r="O1587" i="7" s="1"/>
  <c r="O1588" i="7" s="1"/>
  <c r="O1589" i="7" s="1"/>
  <c r="O1590" i="7" s="1"/>
  <c r="O1591" i="7" s="1"/>
  <c r="O1592" i="7" s="1"/>
  <c r="O1593" i="7" s="1"/>
  <c r="O1594" i="7" s="1"/>
  <c r="O1595" i="7" s="1"/>
  <c r="O1596" i="7" s="1"/>
  <c r="O1597" i="7" s="1"/>
  <c r="O1598" i="7" s="1"/>
  <c r="O1599" i="7" s="1"/>
  <c r="O1600" i="7" s="1"/>
  <c r="O1601" i="7" s="1"/>
  <c r="O1602" i="7" s="1"/>
  <c r="O1603" i="7" s="1"/>
  <c r="O1604" i="7" s="1"/>
  <c r="O1605" i="7" s="1"/>
  <c r="O1606" i="7" s="1"/>
  <c r="O1607" i="7" s="1"/>
  <c r="O1608" i="7" s="1"/>
  <c r="O1609" i="7" s="1"/>
  <c r="O1610" i="7" s="1"/>
  <c r="O1611" i="7" s="1"/>
  <c r="O1612" i="7" s="1"/>
  <c r="O1613" i="7" s="1"/>
  <c r="O1614" i="7" s="1"/>
  <c r="O1615" i="7" s="1"/>
  <c r="O1616" i="7" s="1"/>
  <c r="O1617" i="7" s="1"/>
  <c r="O1618" i="7" s="1"/>
  <c r="O1619" i="7" s="1"/>
  <c r="O1620" i="7" s="1"/>
  <c r="O1621" i="7" s="1"/>
  <c r="O1622" i="7" s="1"/>
  <c r="O1623" i="7" s="1"/>
  <c r="O1624" i="7" s="1"/>
  <c r="O1625" i="7" s="1"/>
  <c r="O1626" i="7" s="1"/>
  <c r="O1627" i="7" s="1"/>
  <c r="O1628" i="7" s="1"/>
  <c r="O1629" i="7" s="1"/>
  <c r="O1630" i="7" s="1"/>
  <c r="O1631" i="7" s="1"/>
  <c r="O1632" i="7" s="1"/>
  <c r="O1633" i="7" s="1"/>
  <c r="O1634" i="7" s="1"/>
  <c r="O1635" i="7" s="1"/>
  <c r="O1636" i="7" s="1"/>
  <c r="O1637" i="7" s="1"/>
  <c r="O1638" i="7" s="1"/>
  <c r="O1639" i="7" s="1"/>
  <c r="O1640" i="7" s="1"/>
  <c r="O1641" i="7" s="1"/>
  <c r="O1642" i="7" s="1"/>
  <c r="O1643" i="7" s="1"/>
  <c r="O1644" i="7" s="1"/>
  <c r="O1645" i="7" s="1"/>
  <c r="O1646" i="7" s="1"/>
  <c r="O1647" i="7" s="1"/>
  <c r="O1648" i="7" s="1"/>
  <c r="O1649" i="7" s="1"/>
  <c r="O1650" i="7" s="1"/>
  <c r="O1651" i="7" s="1"/>
  <c r="O1652" i="7" s="1"/>
  <c r="O1653" i="7" s="1"/>
  <c r="O1654" i="7" s="1"/>
  <c r="O1655" i="7" s="1"/>
  <c r="O1656" i="7" s="1"/>
  <c r="O1657" i="7" s="1"/>
  <c r="O1658" i="7" s="1"/>
  <c r="O1659" i="7" s="1"/>
  <c r="O1660" i="7" s="1"/>
  <c r="O1661" i="7" s="1"/>
  <c r="O1662" i="7" s="1"/>
  <c r="O1663" i="7" s="1"/>
  <c r="O1664" i="7" s="1"/>
  <c r="O1665" i="7" s="1"/>
  <c r="O1666" i="7" s="1"/>
  <c r="O1667" i="7" s="1"/>
  <c r="O1668" i="7" s="1"/>
  <c r="O1669" i="7" s="1"/>
  <c r="O1670" i="7" s="1"/>
  <c r="O1671" i="7" s="1"/>
  <c r="O1672" i="7" s="1"/>
  <c r="O1673" i="7" s="1"/>
  <c r="O1674" i="7" s="1"/>
  <c r="O1675" i="7" s="1"/>
  <c r="O1676" i="7" s="1"/>
  <c r="O1677" i="7" s="1"/>
  <c r="O1678" i="7" s="1"/>
  <c r="O1679" i="7" s="1"/>
  <c r="O1680" i="7" s="1"/>
  <c r="O1681" i="7" s="1"/>
  <c r="O1682" i="7" s="1"/>
  <c r="O1683" i="7" s="1"/>
  <c r="O1684" i="7" s="1"/>
  <c r="O1685" i="7" s="1"/>
  <c r="O1686" i="7" s="1"/>
  <c r="O1687" i="7" s="1"/>
  <c r="O1688" i="7" s="1"/>
  <c r="O1689" i="7" s="1"/>
  <c r="O1690" i="7" s="1"/>
  <c r="O1691" i="7" s="1"/>
  <c r="O1692" i="7" s="1"/>
  <c r="O1693" i="7" s="1"/>
  <c r="O1694" i="7" s="1"/>
  <c r="O1695" i="7" s="1"/>
  <c r="O1696" i="7" s="1"/>
  <c r="O1697" i="7" s="1"/>
  <c r="O1698" i="7" s="1"/>
  <c r="O1699" i="7" s="1"/>
  <c r="O1700" i="7" s="1"/>
  <c r="O1701" i="7" s="1"/>
  <c r="O1702" i="7" s="1"/>
  <c r="O1703" i="7" s="1"/>
  <c r="O1704" i="7" s="1"/>
  <c r="O1705" i="7" s="1"/>
  <c r="O1706" i="7" s="1"/>
  <c r="O1707" i="7" s="1"/>
  <c r="O1708" i="7" s="1"/>
  <c r="O1709" i="7" s="1"/>
  <c r="O1710" i="7" s="1"/>
  <c r="O1711" i="7" s="1"/>
  <c r="O1712" i="7" s="1"/>
  <c r="O1713" i="7" s="1"/>
  <c r="O1714" i="7" s="1"/>
  <c r="O1715" i="7" s="1"/>
  <c r="O1716" i="7" s="1"/>
  <c r="O1717" i="7" s="1"/>
  <c r="O1718" i="7" s="1"/>
  <c r="O1719" i="7" s="1"/>
  <c r="O1720" i="7" s="1"/>
  <c r="O1721" i="7" s="1"/>
  <c r="O1722" i="7" s="1"/>
  <c r="O1723" i="7" s="1"/>
  <c r="O1724" i="7" s="1"/>
  <c r="O1725" i="7" s="1"/>
  <c r="O1726" i="7" s="1"/>
  <c r="O1727" i="7" s="1"/>
  <c r="O1728" i="7" s="1"/>
  <c r="O1729" i="7" s="1"/>
  <c r="O1730" i="7" s="1"/>
  <c r="O1731" i="7" s="1"/>
  <c r="O1732" i="7" s="1"/>
  <c r="O1733" i="7" s="1"/>
  <c r="O1734" i="7" s="1"/>
  <c r="O1735" i="7" s="1"/>
  <c r="O1736" i="7" s="1"/>
  <c r="O1737" i="7" s="1"/>
  <c r="O1738" i="7" s="1"/>
  <c r="O1739" i="7" s="1"/>
  <c r="O1740" i="7" s="1"/>
  <c r="O1741" i="7" s="1"/>
  <c r="O1742" i="7" s="1"/>
  <c r="O1743" i="7" s="1"/>
  <c r="O1744" i="7" s="1"/>
  <c r="O1745" i="7" s="1"/>
  <c r="O1746" i="7" s="1"/>
  <c r="O1747" i="7" s="1"/>
  <c r="O1748" i="7" s="1"/>
  <c r="O1749" i="7" s="1"/>
  <c r="O1750" i="7" s="1"/>
  <c r="O1751" i="7" s="1"/>
  <c r="O1752" i="7" s="1"/>
  <c r="O1753" i="7" s="1"/>
  <c r="O1754" i="7" s="1"/>
  <c r="O1755" i="7" s="1"/>
  <c r="O1756" i="7" s="1"/>
  <c r="O1757" i="7" s="1"/>
  <c r="O1758" i="7" s="1"/>
  <c r="O1759" i="7" s="1"/>
  <c r="O1760" i="7" s="1"/>
  <c r="O1761" i="7" s="1"/>
  <c r="O1762" i="7" s="1"/>
  <c r="O1763" i="7" s="1"/>
  <c r="O1764" i="7" s="1"/>
  <c r="O1765" i="7" s="1"/>
  <c r="O1766" i="7" s="1"/>
  <c r="O1767" i="7" s="1"/>
  <c r="O1768" i="7" s="1"/>
  <c r="O1769" i="7" s="1"/>
  <c r="O1770" i="7" s="1"/>
  <c r="O1771" i="7" s="1"/>
  <c r="O1772" i="7" s="1"/>
  <c r="O1773" i="7" s="1"/>
  <c r="O1774" i="7" s="1"/>
  <c r="O1775" i="7" s="1"/>
  <c r="O1776" i="7" s="1"/>
  <c r="O1777" i="7" s="1"/>
  <c r="O1778" i="7" s="1"/>
  <c r="O1779" i="7" s="1"/>
  <c r="O1780" i="7" s="1"/>
  <c r="O1781" i="7" s="1"/>
  <c r="O1782" i="7" s="1"/>
  <c r="O1783" i="7" s="1"/>
  <c r="O1784" i="7" s="1"/>
  <c r="O1785" i="7" s="1"/>
  <c r="O1786" i="7" s="1"/>
  <c r="O1787" i="7" s="1"/>
  <c r="O1788" i="7" s="1"/>
  <c r="O1789" i="7" s="1"/>
  <c r="O1790" i="7" s="1"/>
  <c r="O1791" i="7" s="1"/>
  <c r="O1792" i="7" s="1"/>
  <c r="O1793" i="7" s="1"/>
  <c r="O1794" i="7" s="1"/>
  <c r="O1795" i="7" s="1"/>
  <c r="O1796" i="7" s="1"/>
  <c r="O1797" i="7" s="1"/>
  <c r="O1798" i="7" s="1"/>
  <c r="O1799" i="7" s="1"/>
  <c r="O1800" i="7" s="1"/>
  <c r="O1801" i="7" s="1"/>
  <c r="O1802" i="7" s="1"/>
  <c r="O1803" i="7" s="1"/>
  <c r="O1804" i="7" s="1"/>
  <c r="O1805" i="7" s="1"/>
  <c r="O1806" i="7" s="1"/>
  <c r="O1807" i="7" s="1"/>
  <c r="O1808" i="7" s="1"/>
  <c r="O1809" i="7" s="1"/>
  <c r="O1810" i="7" s="1"/>
  <c r="O1811" i="7" s="1"/>
  <c r="O1812" i="7" s="1"/>
  <c r="O1813" i="7" s="1"/>
  <c r="O1814" i="7" s="1"/>
  <c r="O1815" i="7" s="1"/>
  <c r="O1816" i="7" s="1"/>
  <c r="O1817" i="7" s="1"/>
  <c r="O1818" i="7" s="1"/>
  <c r="O1819" i="7" s="1"/>
  <c r="O1820" i="7" s="1"/>
  <c r="O1821" i="7" s="1"/>
  <c r="O1822" i="7" s="1"/>
  <c r="O1823" i="7" s="1"/>
  <c r="O1824" i="7" s="1"/>
  <c r="O1825" i="7" s="1"/>
  <c r="O1826" i="7" s="1"/>
  <c r="O1827" i="7" s="1"/>
  <c r="O1828" i="7" s="1"/>
  <c r="O1829" i="7" s="1"/>
  <c r="O1830" i="7" s="1"/>
  <c r="O1831" i="7" s="1"/>
  <c r="O1832" i="7" s="1"/>
  <c r="O1833" i="7" s="1"/>
  <c r="O1834" i="7" s="1"/>
  <c r="O1835" i="7" s="1"/>
  <c r="O1836" i="7" s="1"/>
  <c r="O1837" i="7" s="1"/>
  <c r="O1838" i="7" s="1"/>
  <c r="O1839" i="7" s="1"/>
  <c r="O1840" i="7" s="1"/>
  <c r="O1841" i="7" s="1"/>
  <c r="O1842" i="7" s="1"/>
  <c r="O1843" i="7" s="1"/>
  <c r="O1844" i="7" s="1"/>
  <c r="O1845" i="7" s="1"/>
  <c r="O1846" i="7" s="1"/>
  <c r="O1847" i="7" s="1"/>
  <c r="O1848" i="7" s="1"/>
  <c r="O1849" i="7" s="1"/>
  <c r="O1850" i="7" s="1"/>
  <c r="O1851" i="7" s="1"/>
  <c r="O1852" i="7" s="1"/>
  <c r="O1853" i="7" s="1"/>
  <c r="O1854" i="7" s="1"/>
  <c r="O1855" i="7" s="1"/>
  <c r="O1856" i="7" s="1"/>
  <c r="O1857" i="7" s="1"/>
  <c r="O1858" i="7" s="1"/>
  <c r="O1859" i="7" s="1"/>
  <c r="O1860" i="7" s="1"/>
  <c r="O1861" i="7" s="1"/>
  <c r="O1862" i="7" s="1"/>
  <c r="O1863" i="7" s="1"/>
  <c r="O1864" i="7" s="1"/>
  <c r="O1865" i="7" s="1"/>
  <c r="O1866" i="7" s="1"/>
  <c r="O1867" i="7" s="1"/>
  <c r="O1868" i="7" s="1"/>
  <c r="O1869" i="7" s="1"/>
  <c r="O1870" i="7" s="1"/>
  <c r="O1871" i="7" s="1"/>
  <c r="O1872" i="7" s="1"/>
  <c r="O1873" i="7" s="1"/>
  <c r="O1874" i="7" s="1"/>
  <c r="O1875" i="7" s="1"/>
  <c r="O1876" i="7" s="1"/>
  <c r="O1877" i="7" s="1"/>
  <c r="O1878" i="7" s="1"/>
  <c r="O1879" i="7" s="1"/>
  <c r="O1880" i="7" s="1"/>
  <c r="O1881" i="7" s="1"/>
  <c r="O1882" i="7" s="1"/>
  <c r="O1883" i="7" s="1"/>
  <c r="O1884" i="7" s="1"/>
  <c r="O1885" i="7" s="1"/>
  <c r="O1886" i="7" s="1"/>
  <c r="O1887" i="7" s="1"/>
  <c r="O1888" i="7" s="1"/>
  <c r="O1889" i="7" s="1"/>
  <c r="O1890" i="7" s="1"/>
  <c r="O1891" i="7" s="1"/>
  <c r="O1892" i="7" s="1"/>
  <c r="O1893" i="7" s="1"/>
  <c r="O1894" i="7" s="1"/>
  <c r="O1895" i="7" s="1"/>
  <c r="O1896" i="7" s="1"/>
  <c r="O1897" i="7" s="1"/>
  <c r="O1898" i="7" s="1"/>
  <c r="O1899" i="7" s="1"/>
  <c r="O1900" i="7" s="1"/>
  <c r="O1901" i="7" s="1"/>
  <c r="O1902" i="7" s="1"/>
  <c r="O1903" i="7" s="1"/>
  <c r="O1904" i="7" s="1"/>
  <c r="O1905" i="7" s="1"/>
  <c r="O1906" i="7" s="1"/>
  <c r="O1907" i="7" s="1"/>
  <c r="O1908" i="7" s="1"/>
  <c r="O1909" i="7" s="1"/>
  <c r="O1910" i="7" s="1"/>
  <c r="O1911" i="7" s="1"/>
  <c r="O1912" i="7" s="1"/>
  <c r="O1913" i="7" s="1"/>
  <c r="O1914" i="7" s="1"/>
  <c r="O1915" i="7" s="1"/>
  <c r="O1916" i="7" s="1"/>
  <c r="O1917" i="7" s="1"/>
  <c r="O1918" i="7" s="1"/>
  <c r="O1919" i="7" s="1"/>
  <c r="O1920" i="7" s="1"/>
  <c r="O1921" i="7" s="1"/>
  <c r="O1922" i="7" s="1"/>
  <c r="O1923" i="7" s="1"/>
  <c r="O1924" i="7" s="1"/>
  <c r="O1925" i="7" s="1"/>
  <c r="O1926" i="7" s="1"/>
  <c r="O1927" i="7" s="1"/>
  <c r="O1928" i="7" s="1"/>
  <c r="O1929" i="7" s="1"/>
  <c r="O1930" i="7" s="1"/>
  <c r="O1931" i="7" s="1"/>
  <c r="O1932" i="7" s="1"/>
  <c r="O1933" i="7" s="1"/>
  <c r="O1934" i="7" s="1"/>
  <c r="O1935" i="7" s="1"/>
  <c r="O1936" i="7" s="1"/>
  <c r="O1937" i="7" s="1"/>
  <c r="O1938" i="7" s="1"/>
  <c r="O1939" i="7" s="1"/>
  <c r="O1940" i="7" s="1"/>
  <c r="O1941" i="7" s="1"/>
  <c r="O1942" i="7" s="1"/>
  <c r="O1943" i="7" s="1"/>
  <c r="O1944" i="7" s="1"/>
  <c r="O1945" i="7" s="1"/>
  <c r="O1946" i="7" s="1"/>
  <c r="O1947" i="7" s="1"/>
  <c r="O1948" i="7" s="1"/>
  <c r="O1949" i="7" s="1"/>
  <c r="O1950" i="7" s="1"/>
  <c r="O1951" i="7" s="1"/>
  <c r="O1952" i="7" s="1"/>
  <c r="O1953" i="7" s="1"/>
  <c r="O1954" i="7" s="1"/>
  <c r="O1955" i="7" s="1"/>
  <c r="O1956" i="7" s="1"/>
  <c r="O1957" i="7" s="1"/>
  <c r="O1958" i="7" s="1"/>
  <c r="O1959" i="7" s="1"/>
  <c r="O1960" i="7" s="1"/>
  <c r="O1961" i="7" s="1"/>
  <c r="O1962" i="7" s="1"/>
  <c r="O1963" i="7" s="1"/>
  <c r="O1964" i="7" s="1"/>
  <c r="O1965" i="7" s="1"/>
  <c r="O1966" i="7" s="1"/>
  <c r="O1967" i="7" s="1"/>
  <c r="O1968" i="7" s="1"/>
  <c r="O1969" i="7" s="1"/>
  <c r="O1970" i="7" s="1"/>
  <c r="O1971" i="7" s="1"/>
  <c r="O1972" i="7" s="1"/>
  <c r="O1973" i="7" s="1"/>
  <c r="O1974" i="7" s="1"/>
  <c r="O1975" i="7" s="1"/>
  <c r="O1976" i="7" s="1"/>
  <c r="O1977" i="7" s="1"/>
  <c r="O1978" i="7" s="1"/>
  <c r="O1979" i="7" s="1"/>
  <c r="O1980" i="7" s="1"/>
  <c r="O1981" i="7" s="1"/>
  <c r="O1982" i="7" s="1"/>
  <c r="O1983" i="7" s="1"/>
  <c r="O1984" i="7" s="1"/>
  <c r="O1985" i="7" s="1"/>
  <c r="O1986" i="7" s="1"/>
  <c r="O1987" i="7" s="1"/>
  <c r="O1988" i="7" s="1"/>
  <c r="O1989" i="7" s="1"/>
  <c r="O1990" i="7" s="1"/>
  <c r="O1991" i="7" s="1"/>
  <c r="O1992" i="7" s="1"/>
  <c r="O1993" i="7" s="1"/>
  <c r="O1994" i="7" s="1"/>
  <c r="O1995" i="7" s="1"/>
  <c r="O1996" i="7" s="1"/>
  <c r="O1997" i="7" s="1"/>
  <c r="O1998" i="7" s="1"/>
  <c r="O1999" i="7" s="1"/>
  <c r="O2000" i="7" s="1"/>
  <c r="O2001" i="7" s="1"/>
  <c r="O2002" i="7" s="1"/>
  <c r="O2003" i="7" s="1"/>
  <c r="O2004" i="7" s="1"/>
  <c r="O2005" i="7" s="1"/>
  <c r="O2006" i="7" s="1"/>
  <c r="O2007" i="7" s="1"/>
  <c r="O2008" i="7" s="1"/>
  <c r="O2009" i="7" s="1"/>
  <c r="O2010" i="7" s="1"/>
  <c r="O2011" i="7" s="1"/>
  <c r="O2012" i="7" s="1"/>
  <c r="O2013" i="7" s="1"/>
  <c r="O2014" i="7" s="1"/>
  <c r="O2015" i="7" s="1"/>
  <c r="O2016" i="7" s="1"/>
  <c r="O2017" i="7" s="1"/>
  <c r="O2018" i="7" s="1"/>
  <c r="O2019" i="7" s="1"/>
  <c r="O2020" i="7" s="1"/>
  <c r="O2021" i="7" s="1"/>
  <c r="O2022" i="7" s="1"/>
  <c r="O2023" i="7" s="1"/>
  <c r="O2024" i="7" s="1"/>
  <c r="O2025" i="7" s="1"/>
  <c r="O2026" i="7" s="1"/>
  <c r="O2027" i="7" s="1"/>
  <c r="O2028" i="7" s="1"/>
  <c r="O2029" i="7" s="1"/>
  <c r="O2030" i="7" s="1"/>
  <c r="O2031" i="7" s="1"/>
  <c r="O2032" i="7" s="1"/>
  <c r="O2033" i="7" s="1"/>
  <c r="O2034" i="7" s="1"/>
  <c r="O2035" i="7" s="1"/>
  <c r="O2036" i="7" s="1"/>
  <c r="O2037" i="7" s="1"/>
  <c r="O2038" i="7" s="1"/>
  <c r="O2039" i="7" s="1"/>
  <c r="O2040" i="7" s="1"/>
  <c r="O2041" i="7" s="1"/>
  <c r="O2042" i="7" s="1"/>
  <c r="O2043" i="7" s="1"/>
  <c r="O2044" i="7" s="1"/>
  <c r="O2045" i="7" s="1"/>
  <c r="O2046" i="7" s="1"/>
  <c r="O2047" i="7" s="1"/>
  <c r="O2048" i="7" s="1"/>
  <c r="O2049" i="7" s="1"/>
  <c r="O2050" i="7" s="1"/>
  <c r="O2051" i="7" s="1"/>
  <c r="O2052" i="7" s="1"/>
  <c r="O2053" i="7" s="1"/>
  <c r="O2054" i="7" s="1"/>
  <c r="O2055" i="7" s="1"/>
  <c r="O2056" i="7" s="1"/>
  <c r="O2057" i="7" s="1"/>
  <c r="O2058" i="7" s="1"/>
  <c r="O2059" i="7" s="1"/>
  <c r="O2060" i="7" s="1"/>
  <c r="O2061" i="7" s="1"/>
  <c r="O2062" i="7" s="1"/>
  <c r="O2063" i="7" s="1"/>
  <c r="O2064" i="7" s="1"/>
  <c r="O2065" i="7" s="1"/>
  <c r="O2066" i="7" s="1"/>
  <c r="O2067" i="7" s="1"/>
  <c r="O2068" i="7" s="1"/>
  <c r="O2069" i="7" s="1"/>
  <c r="O2070" i="7" s="1"/>
  <c r="O2071" i="7" s="1"/>
  <c r="O2072" i="7" s="1"/>
  <c r="O2073" i="7" s="1"/>
  <c r="O2074" i="7" s="1"/>
  <c r="O2075" i="7" s="1"/>
  <c r="O2076" i="7" s="1"/>
  <c r="O2077" i="7" s="1"/>
  <c r="O2078" i="7" s="1"/>
  <c r="O2079" i="7" s="1"/>
  <c r="O2080" i="7" s="1"/>
  <c r="O2081" i="7" s="1"/>
  <c r="O2082" i="7" s="1"/>
  <c r="O2083" i="7" s="1"/>
  <c r="O2084" i="7" s="1"/>
  <c r="O2085" i="7" s="1"/>
  <c r="O2086" i="7" s="1"/>
  <c r="O2087" i="7" s="1"/>
  <c r="O2088" i="7" s="1"/>
  <c r="O2089" i="7" s="1"/>
  <c r="O2090" i="7" s="1"/>
  <c r="O2091" i="7" s="1"/>
  <c r="O2092" i="7" s="1"/>
  <c r="O2093" i="7" s="1"/>
  <c r="O2094" i="7" s="1"/>
  <c r="O2095" i="7" s="1"/>
  <c r="O2096" i="7" s="1"/>
  <c r="O2097" i="7" s="1"/>
  <c r="O2098" i="7" s="1"/>
  <c r="O2099" i="7" s="1"/>
  <c r="O2100" i="7" s="1"/>
  <c r="O2101" i="7" s="1"/>
  <c r="O2102" i="7" s="1"/>
  <c r="O2103" i="7" s="1"/>
  <c r="O2104" i="7" s="1"/>
  <c r="O2105" i="7" s="1"/>
  <c r="O2106" i="7" s="1"/>
  <c r="O2107" i="7" s="1"/>
  <c r="O2108" i="7" s="1"/>
  <c r="O2109" i="7" s="1"/>
  <c r="O2110" i="7" s="1"/>
  <c r="O2111" i="7" s="1"/>
  <c r="O2112" i="7" s="1"/>
  <c r="O2113" i="7" s="1"/>
  <c r="O2114" i="7" s="1"/>
  <c r="O2115" i="7" s="1"/>
  <c r="O2116" i="7" s="1"/>
  <c r="O2117" i="7" s="1"/>
  <c r="O2118" i="7" s="1"/>
  <c r="O2119" i="7" s="1"/>
  <c r="O2120" i="7" s="1"/>
  <c r="O2121" i="7" s="1"/>
  <c r="O2122" i="7" s="1"/>
  <c r="O2123" i="7" s="1"/>
  <c r="O2124" i="7" s="1"/>
  <c r="O2125" i="7" s="1"/>
  <c r="O2126" i="7" s="1"/>
  <c r="O2127" i="7" s="1"/>
  <c r="O2128" i="7" s="1"/>
  <c r="O2129" i="7" s="1"/>
  <c r="O2130" i="7" s="1"/>
  <c r="O2131" i="7" s="1"/>
  <c r="O2132" i="7" s="1"/>
  <c r="O2133" i="7" s="1"/>
  <c r="O2134" i="7" s="1"/>
  <c r="O2135" i="7" s="1"/>
  <c r="O2136" i="7" s="1"/>
  <c r="O2137" i="7" s="1"/>
  <c r="O2138" i="7" s="1"/>
  <c r="O2139" i="7" s="1"/>
  <c r="O2140" i="7" s="1"/>
  <c r="O2141" i="7" s="1"/>
  <c r="O2142" i="7" s="1"/>
  <c r="O2143" i="7" s="1"/>
  <c r="O2144" i="7" s="1"/>
  <c r="O2145" i="7" s="1"/>
  <c r="O2146" i="7" s="1"/>
  <c r="O2147" i="7" s="1"/>
  <c r="O2148" i="7" s="1"/>
  <c r="O2149" i="7" s="1"/>
  <c r="U2" i="7" s="1"/>
  <c r="T4" i="7" s="1"/>
  <c r="K119" i="7"/>
  <c r="K503" i="7"/>
  <c r="K599" i="7"/>
  <c r="K647" i="7"/>
  <c r="K743" i="7"/>
  <c r="K791" i="7"/>
  <c r="K839" i="7"/>
  <c r="K887" i="7"/>
  <c r="K935" i="7"/>
  <c r="K1031" i="7"/>
  <c r="K1079" i="7"/>
  <c r="K1127" i="7"/>
  <c r="K1271" i="7"/>
  <c r="K1763" i="7"/>
  <c r="K2051" i="7"/>
  <c r="K2099" i="7"/>
  <c r="K120" i="7"/>
  <c r="K2124" i="7"/>
  <c r="K926" i="7"/>
  <c r="K1178" i="7"/>
  <c r="K1754" i="7"/>
  <c r="K16" i="7"/>
  <c r="K1510" i="7"/>
  <c r="K1525" i="7"/>
  <c r="K171" i="7"/>
  <c r="K363" i="7"/>
  <c r="K37" i="7"/>
  <c r="K2049" i="7"/>
  <c r="K257" i="7"/>
  <c r="K353" i="7"/>
  <c r="K641" i="7"/>
  <c r="K689" i="7"/>
  <c r="K785" i="7"/>
  <c r="K1397" i="7"/>
  <c r="K1493" i="7"/>
  <c r="K270" i="7"/>
  <c r="K366" i="7"/>
  <c r="K462" i="7"/>
  <c r="K558" i="7"/>
  <c r="K1086" i="7"/>
  <c r="K1386" i="7"/>
  <c r="K67" i="7"/>
  <c r="K211" i="7"/>
  <c r="K1879" i="7"/>
  <c r="K1927" i="7"/>
  <c r="K2053" i="7"/>
  <c r="K1184" i="7"/>
  <c r="K1604" i="7"/>
  <c r="K2024" i="7"/>
  <c r="K2072" i="7"/>
  <c r="K2120" i="7"/>
  <c r="K153" i="7"/>
  <c r="K249" i="7"/>
  <c r="K541" i="7"/>
  <c r="K1614" i="7"/>
  <c r="K442" i="7"/>
  <c r="K1522" i="7"/>
  <c r="K1223" i="7"/>
  <c r="K62" i="7"/>
  <c r="K302" i="7"/>
  <c r="K398" i="7"/>
  <c r="K446" i="7"/>
  <c r="K542" i="7"/>
  <c r="K1478" i="7"/>
  <c r="K1032" i="7"/>
  <c r="K1321" i="7"/>
  <c r="K207" i="7"/>
  <c r="K640" i="7"/>
  <c r="K528" i="7"/>
  <c r="K690" i="7"/>
  <c r="K1122" i="7"/>
  <c r="K1255" i="7"/>
  <c r="K1963" i="7"/>
  <c r="K1064" i="7"/>
  <c r="K814" i="7"/>
  <c r="K1786" i="7"/>
  <c r="K2087" i="7"/>
  <c r="K699" i="7"/>
  <c r="K75" i="7"/>
  <c r="K1591" i="7"/>
  <c r="K1908" i="7"/>
  <c r="K279" i="7"/>
  <c r="K423" i="7"/>
  <c r="K471" i="7"/>
  <c r="K519" i="7"/>
  <c r="K567" i="7"/>
  <c r="K1191" i="7"/>
  <c r="K2019" i="7"/>
  <c r="K2067" i="7"/>
  <c r="K2115" i="7"/>
  <c r="K1909" i="7"/>
  <c r="K88" i="7"/>
  <c r="K520" i="7"/>
  <c r="K760" i="7"/>
  <c r="K808" i="7"/>
  <c r="K856" i="7"/>
  <c r="K952" i="7"/>
  <c r="K1504" i="7"/>
  <c r="K1660" i="7"/>
  <c r="K1804" i="7"/>
  <c r="K1864" i="7"/>
  <c r="K1912" i="7"/>
  <c r="K768" i="7"/>
  <c r="K2040" i="7"/>
  <c r="K517" i="7"/>
  <c r="K985" i="7"/>
  <c r="K1465" i="7"/>
  <c r="K1981" i="7"/>
  <c r="K2065" i="7"/>
  <c r="K29" i="7"/>
  <c r="K77" i="7"/>
  <c r="K365" i="7"/>
  <c r="K413" i="7"/>
  <c r="K509" i="7"/>
  <c r="K605" i="7"/>
  <c r="K653" i="7"/>
  <c r="K797" i="7"/>
  <c r="K1133" i="7"/>
  <c r="K1601" i="7"/>
  <c r="K1649" i="7"/>
  <c r="K1793" i="7"/>
  <c r="K1949" i="7"/>
  <c r="K684" i="7"/>
  <c r="K1975" i="7"/>
  <c r="K42" i="7"/>
  <c r="K186" i="7"/>
  <c r="K282" i="7"/>
  <c r="K474" i="7"/>
  <c r="K522" i="7"/>
  <c r="K570" i="7"/>
  <c r="K618" i="7"/>
  <c r="K810" i="7"/>
  <c r="K858" i="7"/>
  <c r="K906" i="7"/>
  <c r="K954" i="7"/>
  <c r="K1002" i="7"/>
  <c r="K1050" i="7"/>
  <c r="K1302" i="7"/>
  <c r="K1446" i="7"/>
  <c r="K1710" i="7"/>
  <c r="K1902" i="7"/>
  <c r="K2010" i="7"/>
  <c r="K2058" i="7"/>
  <c r="K2106" i="7"/>
  <c r="K840" i="7"/>
  <c r="K2076" i="7"/>
  <c r="K1684" i="7"/>
  <c r="K115" i="7"/>
  <c r="K163" i="7"/>
  <c r="K259" i="7"/>
  <c r="K547" i="7"/>
  <c r="K595" i="7"/>
  <c r="K643" i="7"/>
  <c r="K691" i="7"/>
  <c r="K787" i="7"/>
  <c r="K835" i="7"/>
  <c r="K979" i="7"/>
  <c r="K1027" i="7"/>
  <c r="K1087" i="7"/>
  <c r="K1231" i="7"/>
  <c r="K1279" i="7"/>
  <c r="K1471" i="7"/>
  <c r="K1747" i="7"/>
  <c r="K1891" i="7"/>
  <c r="K1939" i="7"/>
  <c r="K1669" i="7"/>
  <c r="K20" i="7"/>
  <c r="K212" i="7"/>
  <c r="K356" i="7"/>
  <c r="K992" i="7"/>
  <c r="K1088" i="7"/>
  <c r="K1136" i="7"/>
  <c r="K1352" i="7"/>
  <c r="K1556" i="7"/>
  <c r="K1736" i="7"/>
  <c r="K1880" i="7"/>
  <c r="K1988" i="7"/>
  <c r="K600" i="7"/>
  <c r="K864" i="7"/>
  <c r="K1128" i="7"/>
  <c r="K1380" i="7"/>
  <c r="K2052" i="7"/>
  <c r="K1957" i="7"/>
  <c r="K261" i="7"/>
  <c r="K357" i="7"/>
  <c r="K405" i="7"/>
  <c r="K453" i="7"/>
  <c r="K501" i="7"/>
  <c r="K597" i="7"/>
  <c r="K645" i="7"/>
  <c r="K693" i="7"/>
  <c r="K741" i="7"/>
  <c r="K1437" i="7"/>
  <c r="K1404" i="7"/>
  <c r="K637" i="7"/>
  <c r="K1129" i="7"/>
  <c r="K1729" i="7"/>
  <c r="K70" i="7"/>
  <c r="K214" i="7"/>
  <c r="K262" i="7"/>
  <c r="K310" i="7"/>
  <c r="K406" i="7"/>
  <c r="K502" i="7"/>
  <c r="K646" i="7"/>
  <c r="K1030" i="7"/>
  <c r="K1138" i="7"/>
  <c r="K1486" i="7"/>
  <c r="K1534" i="7"/>
  <c r="K1642" i="7"/>
  <c r="K1906" i="7"/>
  <c r="K2014" i="7"/>
  <c r="K2062" i="7"/>
  <c r="K2110" i="7"/>
  <c r="K2089" i="7"/>
  <c r="K71" i="7"/>
  <c r="K263" i="7"/>
  <c r="K311" i="7"/>
  <c r="K455" i="7"/>
  <c r="K1187" i="7"/>
  <c r="K1343" i="7"/>
  <c r="K1595" i="7"/>
  <c r="K1835" i="7"/>
  <c r="K36" i="7"/>
  <c r="K228" i="7"/>
  <c r="K492" i="7"/>
  <c r="K769" i="7"/>
  <c r="K1393" i="7"/>
  <c r="K350" i="7"/>
  <c r="K638" i="7"/>
  <c r="K734" i="7"/>
  <c r="K782" i="7"/>
  <c r="K830" i="7"/>
  <c r="K878" i="7"/>
  <c r="K1130" i="7"/>
  <c r="K1238" i="7"/>
  <c r="K1298" i="7"/>
  <c r="K205" i="7"/>
  <c r="K529" i="7"/>
  <c r="K817" i="7"/>
  <c r="K1529" i="7"/>
  <c r="K920" i="7"/>
  <c r="K60" i="7"/>
  <c r="K63" i="7"/>
  <c r="K747" i="7"/>
  <c r="K913" i="7"/>
  <c r="K267" i="7"/>
  <c r="K1924" i="7"/>
  <c r="K135" i="7"/>
  <c r="K183" i="7"/>
  <c r="K231" i="7"/>
  <c r="K327" i="7"/>
  <c r="K375" i="7"/>
  <c r="K759" i="7"/>
  <c r="K1395" i="7"/>
  <c r="K1443" i="7"/>
  <c r="K1839" i="7"/>
  <c r="K1009" i="7"/>
  <c r="K1573" i="7"/>
  <c r="K472" i="7"/>
  <c r="K664" i="7"/>
  <c r="K904" i="7"/>
  <c r="K1312" i="7"/>
  <c r="K1360" i="7"/>
  <c r="K1564" i="7"/>
  <c r="K1732" i="7"/>
  <c r="K145" i="7"/>
  <c r="K701" i="7"/>
  <c r="K941" i="7"/>
  <c r="K1253" i="7"/>
  <c r="K1553" i="7"/>
  <c r="K1721" i="7"/>
  <c r="K1865" i="7"/>
  <c r="K1602" i="7"/>
  <c r="K90" i="7"/>
  <c r="K234" i="7"/>
  <c r="K378" i="7"/>
  <c r="K666" i="7"/>
  <c r="K714" i="7"/>
  <c r="K762" i="7"/>
  <c r="K1146" i="7"/>
  <c r="K1782" i="7"/>
  <c r="K1842" i="7"/>
  <c r="K31" i="7"/>
  <c r="K223" i="7"/>
  <c r="K463" i="7"/>
  <c r="K703" i="7"/>
  <c r="K847" i="7"/>
  <c r="K991" i="7"/>
  <c r="K1327" i="7"/>
  <c r="K1375" i="7"/>
  <c r="K1423" i="7"/>
  <c r="K1567" i="7"/>
  <c r="K1687" i="7"/>
  <c r="K1759" i="7"/>
  <c r="K1819" i="7"/>
  <c r="K2011" i="7"/>
  <c r="K2059" i="7"/>
  <c r="K2107" i="7"/>
  <c r="K2085" i="7"/>
  <c r="K128" i="7"/>
  <c r="K272" i="7"/>
  <c r="K368" i="7"/>
  <c r="K416" i="7"/>
  <c r="K512" i="7"/>
  <c r="K800" i="7"/>
  <c r="K848" i="7"/>
  <c r="K896" i="7"/>
  <c r="K1196" i="7"/>
  <c r="K1256" i="7"/>
  <c r="K1664" i="7"/>
  <c r="K373" i="7"/>
  <c r="K1261" i="7"/>
  <c r="K21" i="7"/>
  <c r="K69" i="7"/>
  <c r="K549" i="7"/>
  <c r="K837" i="7"/>
  <c r="K885" i="7"/>
  <c r="K1089" i="7"/>
  <c r="K1137" i="7"/>
  <c r="K1245" i="7"/>
  <c r="K1293" i="7"/>
  <c r="K1341" i="7"/>
  <c r="K1977" i="7"/>
  <c r="K265" i="7"/>
  <c r="K166" i="7"/>
  <c r="K790" i="7"/>
  <c r="K838" i="7"/>
  <c r="K886" i="7"/>
  <c r="K934" i="7"/>
  <c r="K982" i="7"/>
  <c r="K1390" i="7"/>
  <c r="K1594" i="7"/>
  <c r="K1654" i="7"/>
  <c r="K1871" i="7"/>
  <c r="K227" i="7"/>
  <c r="K323" i="7"/>
  <c r="K515" i="7"/>
  <c r="K611" i="7"/>
  <c r="K755" i="7"/>
  <c r="K899" i="7"/>
  <c r="K947" i="7"/>
  <c r="K1607" i="7"/>
  <c r="K2015" i="7"/>
  <c r="K2063" i="7"/>
  <c r="K2111" i="7"/>
  <c r="K84" i="7"/>
  <c r="K276" i="7"/>
  <c r="K576" i="7"/>
  <c r="K865" i="7"/>
  <c r="K26" i="7"/>
  <c r="K170" i="7"/>
  <c r="K314" i="7"/>
  <c r="K506" i="7"/>
  <c r="K554" i="7"/>
  <c r="K650" i="7"/>
  <c r="K698" i="7"/>
  <c r="K746" i="7"/>
  <c r="K794" i="7"/>
  <c r="K842" i="7"/>
  <c r="K890" i="7"/>
  <c r="K938" i="7"/>
  <c r="K1034" i="7"/>
  <c r="K589" i="7"/>
  <c r="K639" i="7"/>
  <c r="K882" i="7"/>
  <c r="K334" i="7"/>
  <c r="K1278" i="7"/>
  <c r="K436" i="7"/>
  <c r="K484" i="7"/>
  <c r="K532" i="7"/>
  <c r="K580" i="7"/>
  <c r="K724" i="7"/>
  <c r="K772" i="7"/>
  <c r="K868" i="7"/>
  <c r="K916" i="7"/>
  <c r="K1612" i="7"/>
  <c r="K1816" i="7"/>
  <c r="K1876" i="7"/>
  <c r="K2032" i="7"/>
  <c r="K2080" i="7"/>
  <c r="K2128" i="7"/>
  <c r="K876" i="7"/>
  <c r="K2097" i="7"/>
  <c r="K1097" i="7"/>
  <c r="K1145" i="7"/>
  <c r="K1361" i="7"/>
  <c r="K384" i="7"/>
  <c r="K744" i="7"/>
  <c r="K1410" i="7"/>
  <c r="K1554" i="7"/>
  <c r="K588" i="7"/>
  <c r="K1284" i="7"/>
  <c r="K217" i="7"/>
  <c r="K553" i="7"/>
  <c r="K79" i="7"/>
  <c r="K367" i="7"/>
  <c r="K559" i="7"/>
  <c r="K655" i="7"/>
  <c r="K1531" i="7"/>
  <c r="K1579" i="7"/>
  <c r="K1831" i="7"/>
  <c r="K32" i="7"/>
  <c r="K176" i="7"/>
  <c r="K320" i="7"/>
  <c r="K464" i="7"/>
  <c r="K656" i="7"/>
  <c r="K704" i="7"/>
  <c r="K1004" i="7"/>
  <c r="K1472" i="7"/>
  <c r="K1520" i="7"/>
  <c r="K1568" i="7"/>
  <c r="K1892" i="7"/>
  <c r="K1825" i="7"/>
  <c r="K801" i="7"/>
  <c r="K849" i="7"/>
  <c r="K945" i="7"/>
  <c r="K1197" i="7"/>
  <c r="K1401" i="7"/>
  <c r="K1449" i="7"/>
  <c r="K2112" i="7"/>
  <c r="K721" i="7"/>
  <c r="K898" i="7"/>
  <c r="K946" i="7"/>
  <c r="K1966" i="7"/>
  <c r="K1886" i="7"/>
  <c r="K275" i="7"/>
  <c r="K467" i="7"/>
  <c r="K851" i="7"/>
  <c r="K1043" i="7"/>
  <c r="K1511" i="7"/>
  <c r="K1739" i="7"/>
  <c r="K1919" i="7"/>
  <c r="K192" i="7"/>
  <c r="K288" i="7"/>
  <c r="K624" i="7"/>
  <c r="K1452" i="7"/>
  <c r="K1921" i="7"/>
  <c r="K1717" i="7"/>
  <c r="K362" i="7"/>
  <c r="K458" i="7"/>
  <c r="K1046" i="7"/>
  <c r="K1190" i="7"/>
  <c r="K1250" i="7"/>
  <c r="K1406" i="7"/>
  <c r="K1610" i="7"/>
  <c r="K1658" i="7"/>
  <c r="K1706" i="7"/>
  <c r="K2030" i="7"/>
  <c r="K2078" i="7"/>
  <c r="K2126" i="7"/>
  <c r="K780" i="7"/>
  <c r="K1140" i="7"/>
  <c r="K400" i="7"/>
  <c r="K1356" i="7"/>
  <c r="K293" i="7"/>
  <c r="K738" i="7"/>
  <c r="K45" i="7"/>
  <c r="K958" i="7"/>
  <c r="K1336" i="7"/>
  <c r="K723" i="7"/>
  <c r="K1347" i="7"/>
  <c r="K1353" i="7"/>
  <c r="K1901" i="7"/>
  <c r="K1295" i="7"/>
  <c r="K256" i="7"/>
  <c r="K1566" i="7"/>
  <c r="K1381" i="7"/>
  <c r="K1207" i="7"/>
  <c r="K1016" i="7"/>
  <c r="K1751" i="7"/>
  <c r="K12" i="7"/>
  <c r="K1971" i="7"/>
  <c r="K771" i="7"/>
  <c r="K1299" i="7"/>
  <c r="K51" i="7"/>
  <c r="K243" i="7"/>
  <c r="K435" i="7"/>
  <c r="K579" i="7"/>
  <c r="K627" i="7"/>
  <c r="K867" i="7"/>
  <c r="K963" i="7"/>
  <c r="K1215" i="7"/>
  <c r="K1263" i="7"/>
  <c r="K1311" i="7"/>
  <c r="K1359" i="7"/>
  <c r="K1455" i="7"/>
  <c r="K445" i="7"/>
  <c r="K1081" i="7"/>
  <c r="K1369" i="7"/>
  <c r="K1621" i="7"/>
  <c r="K292" i="7"/>
  <c r="K628" i="7"/>
  <c r="K676" i="7"/>
  <c r="K820" i="7"/>
  <c r="K976" i="7"/>
  <c r="K1120" i="7"/>
  <c r="K1168" i="7"/>
  <c r="K1576" i="7"/>
  <c r="K1624" i="7"/>
  <c r="K1744" i="7"/>
  <c r="K1984" i="7"/>
  <c r="K1272" i="7"/>
  <c r="K241" i="7"/>
  <c r="K1117" i="7"/>
  <c r="K41" i="7"/>
  <c r="K1001" i="7"/>
  <c r="K1157" i="7"/>
  <c r="K1205" i="7"/>
  <c r="K1469" i="7"/>
  <c r="K1733" i="7"/>
  <c r="K1296" i="7"/>
  <c r="K6" i="7"/>
  <c r="K150" i="7"/>
  <c r="K582" i="7"/>
  <c r="K726" i="7"/>
  <c r="K918" i="7"/>
  <c r="K1206" i="7"/>
  <c r="K1266" i="7"/>
  <c r="K1674" i="7"/>
  <c r="K1794" i="7"/>
  <c r="K1854" i="7"/>
  <c r="K1392" i="7"/>
  <c r="K805" i="7"/>
  <c r="K91" i="7"/>
  <c r="K283" i="7"/>
  <c r="K331" i="7"/>
  <c r="K427" i="7"/>
  <c r="K475" i="7"/>
  <c r="K523" i="7"/>
  <c r="K811" i="7"/>
  <c r="K955" i="7"/>
  <c r="K1099" i="7"/>
  <c r="K1339" i="7"/>
  <c r="K1387" i="7"/>
  <c r="K2023" i="7"/>
  <c r="K2071" i="7"/>
  <c r="K2119" i="7"/>
  <c r="K1944" i="7"/>
  <c r="K140" i="7"/>
  <c r="K332" i="7"/>
  <c r="K380" i="7"/>
  <c r="K476" i="7"/>
  <c r="K524" i="7"/>
  <c r="K620" i="7"/>
  <c r="K764" i="7"/>
  <c r="K908" i="7"/>
  <c r="K1052" i="7"/>
  <c r="K1148" i="7"/>
  <c r="K5" i="7"/>
  <c r="K660" i="7"/>
  <c r="K1333" i="7"/>
  <c r="K81" i="7"/>
  <c r="K129" i="7"/>
  <c r="K465" i="7"/>
  <c r="K609" i="7"/>
  <c r="K657" i="7"/>
  <c r="K753" i="7"/>
  <c r="K1053" i="7"/>
  <c r="K1257" i="7"/>
  <c r="K1461" i="7"/>
  <c r="K1929" i="7"/>
  <c r="K1989" i="7"/>
  <c r="K1152" i="7"/>
  <c r="K274" i="7"/>
  <c r="K514" i="7"/>
  <c r="K562" i="7"/>
  <c r="K850" i="7"/>
  <c r="K994" i="7"/>
  <c r="K1150" i="7"/>
  <c r="K1354" i="7"/>
  <c r="K1402" i="7"/>
  <c r="K1774" i="7"/>
  <c r="K1846" i="7"/>
  <c r="K1918" i="7"/>
  <c r="K1673" i="7"/>
  <c r="K2139" i="7"/>
  <c r="K191" i="7"/>
  <c r="K479" i="7"/>
  <c r="K527" i="7"/>
  <c r="K575" i="7"/>
  <c r="K863" i="7"/>
  <c r="K1055" i="7"/>
  <c r="K1307" i="7"/>
  <c r="K2027" i="7"/>
  <c r="K2075" i="7"/>
  <c r="K2123" i="7"/>
  <c r="K96" i="7"/>
  <c r="K240" i="7"/>
  <c r="K348" i="7"/>
  <c r="K504" i="7"/>
  <c r="K109" i="7"/>
  <c r="K925" i="7"/>
  <c r="K374" i="7"/>
  <c r="K422" i="7"/>
  <c r="K470" i="7"/>
  <c r="K614" i="7"/>
  <c r="K662" i="7"/>
  <c r="K710" i="7"/>
  <c r="K758" i="7"/>
  <c r="K806" i="7"/>
  <c r="K854" i="7"/>
  <c r="K902" i="7"/>
  <c r="K950" i="7"/>
  <c r="K1094" i="7"/>
  <c r="K1310" i="7"/>
  <c r="K1418" i="7"/>
  <c r="K1970" i="7"/>
  <c r="K85" i="7"/>
  <c r="K105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49F0D1-5B4F-4DE4-AC9A-D3D865C785F5}" name="telefony" type="6" refreshedVersion="8" background="1" saveData="1">
    <textPr codePage="852" sourceFile="C:\Users\domad\Desktop\Dane_2103\telefony.txt" decimal="," thousands=" " tab="0" space="1" consecutive="1">
      <textFields count="4">
        <textField/>
        <textField type="DMY"/>
        <textField/>
        <textField/>
      </textFields>
    </textPr>
  </connection>
  <connection id="2" xr16:uid="{74989D53-23D3-4831-B81F-CB05F6B5D6F3}" name="telefony1" type="6" refreshedVersion="8" background="1" saveData="1">
    <textPr codePage="852" sourceFile="C:\Users\domad\Desktop\Dane_2103\telefony.txt" decimal="," thousands=" " tab="0" space="1" consecutive="1">
      <textFields count="4">
        <textField/>
        <textField type="DMY"/>
        <textField/>
        <textField/>
      </textFields>
    </textPr>
  </connection>
  <connection id="3" xr16:uid="{2250AF4B-DD67-474D-8829-D745703DB182}" name="telefony2" type="6" refreshedVersion="8" background="1" saveData="1">
    <textPr codePage="852" sourceFile="C:\Users\domad\Desktop\Dane_2103\telefony.txt" decimal="," thousands=" " tab="0" space="1" consecutive="1">
      <textFields count="4">
        <textField/>
        <textField type="DMY"/>
        <textField/>
        <textField/>
      </textFields>
    </textPr>
  </connection>
  <connection id="4" xr16:uid="{97F79567-5E05-491C-91EB-04652D72DF46}" name="telefony3" type="6" refreshedVersion="8" background="1" saveData="1">
    <textPr codePage="852" sourceFile="C:\Users\domad\Desktop\Dane_2103\telefony.txt" decimal="," thousands=" " tab="0" space="1" consecutive="1">
      <textFields count="4">
        <textField/>
        <textField type="DMY"/>
        <textField/>
        <textField/>
      </textFields>
    </textPr>
  </connection>
  <connection id="5" xr16:uid="{3B45B128-BF53-4676-99E7-7D69A7C9B492}" name="telefony4" type="6" refreshedVersion="8" background="1" saveData="1">
    <textPr codePage="852" sourceFile="C:\Users\domad\Desktop\Dane_2103\telefony.txt" decimal="," thousands=" " tab="0" space="1" consecutive="1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<sst xmlns="http://schemas.openxmlformats.org/spreadsheetml/2006/main" count="69" uniqueCount="37">
  <si>
    <t>nr</t>
  </si>
  <si>
    <t>data</t>
  </si>
  <si>
    <t>rozpoczecie</t>
  </si>
  <si>
    <t>zakonczenie</t>
  </si>
  <si>
    <t>Etykiety wierszy</t>
  </si>
  <si>
    <t>Suma końcowa</t>
  </si>
  <si>
    <t>Liczba z nr</t>
  </si>
  <si>
    <t>ile</t>
  </si>
  <si>
    <t>rodzaj</t>
  </si>
  <si>
    <t>Liczba z rodzaj</t>
  </si>
  <si>
    <t>Etykiety kolumn</t>
  </si>
  <si>
    <t>komorkowy</t>
  </si>
  <si>
    <t>stacjonarny</t>
  </si>
  <si>
    <t>zagraniczny</t>
  </si>
  <si>
    <t>Data</t>
  </si>
  <si>
    <t>czas</t>
  </si>
  <si>
    <t>spelnia</t>
  </si>
  <si>
    <t>Liczba z czas</t>
  </si>
  <si>
    <t>godzina</t>
  </si>
  <si>
    <t>minuta</t>
  </si>
  <si>
    <t>sekunda</t>
  </si>
  <si>
    <t>ile minut ogółem</t>
  </si>
  <si>
    <t>minuty ogółem</t>
  </si>
  <si>
    <t>minuty z</t>
  </si>
  <si>
    <t>koszt zagraniczne</t>
  </si>
  <si>
    <t>pierwsze 800</t>
  </si>
  <si>
    <t>ile pakietow</t>
  </si>
  <si>
    <t>stacjo</t>
  </si>
  <si>
    <t>komor</t>
  </si>
  <si>
    <t>ogółem</t>
  </si>
  <si>
    <t>sekundy s</t>
  </si>
  <si>
    <t>sekundy ogółem</t>
  </si>
  <si>
    <t>sekundy k</t>
  </si>
  <si>
    <t>na minuty</t>
  </si>
  <si>
    <t>na setki</t>
  </si>
  <si>
    <t>mniej niż 800</t>
  </si>
  <si>
    <t>wiecej niż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</si>
</sst>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4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połączeń do telefonów stacjonarnych i komórkowych wykonanych w poszczególnych dniach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'2'!$Q$5</c:f>
              <c:strCache>
                <c:ptCount val="1"/>
                <c:pt idx="0">
                  <c:v>komorkowy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'2'!$P$6:$P$26</c:f>
              <c:numCache>
                <c:formatCode>m/d/yyyy</c:formatCode>
                <c:ptCount val="21"/>
                <c:pt idx="0">
                  <c:v>42919</c:v>
                </c:pt>
                <c:pt idx="1">
                  <c:v>42920</c:v>
                </c:pt>
                <c:pt idx="2">
                  <c:v>42921</c:v>
                </c:pt>
                <c:pt idx="3">
                  <c:v>42922</c:v>
                </c:pt>
                <c:pt idx="4">
                  <c:v>42923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>
                  <c:v>42930</c:v>
                </c:pt>
                <c:pt idx="10">
                  <c:v>42933</c:v>
                </c:pt>
                <c:pt idx="11">
                  <c:v>42934</c:v>
                </c:pt>
                <c:pt idx="12">
                  <c:v>42935</c:v>
                </c:pt>
                <c:pt idx="13">
                  <c:v>42936</c:v>
                </c:pt>
                <c:pt idx="14">
                  <c:v>42937</c:v>
                </c:pt>
                <c:pt idx="15">
                  <c:v>42940</c:v>
                </c:pt>
                <c:pt idx="16">
                  <c:v>42941</c:v>
                </c:pt>
                <c:pt idx="17">
                  <c:v>42942</c:v>
                </c:pt>
                <c:pt idx="18">
                  <c:v>42943</c:v>
                </c:pt>
                <c:pt idx="19">
                  <c:v>42944</c:v>
                </c:pt>
                <c:pt idx="20">
                  <c:v>42947</c:v>
                </c:pt>
              </c:numCache>
            </c:numRef>
          </c:cat>
          <c:val>
            <c:numRef>
              <c:f>'2'!$Q$6:$Q$26</c:f>
              <c:numCache>
                <c:formatCode>General</c:formatCode>
                <c:ptCount val="21"/>
                <c:pt idx="0">
                  <c:v>27</c:v>
                </c:pt>
                <c:pt idx="1">
                  <c:v>23</c:v>
                </c:pt>
                <c:pt idx="2">
                  <c:v>24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26</c:v>
                </c:pt>
                <c:pt idx="11">
                  <c:v>17</c:v>
                </c:pt>
                <c:pt idx="12">
                  <c:v>24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  <c:pt idx="16">
                  <c:v>27</c:v>
                </c:pt>
                <c:pt idx="17">
                  <c:v>24</c:v>
                </c:pt>
                <c:pt idx="18">
                  <c:v>22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F-4DE1-96A8-D602B9115904}"/>
            </c:ext>
          </c:extLst>
        </c:ser>
        <c:ser>
          <c:idx val="1"/>
          <c:order val="1"/>
          <c:tx>
            <c:strRef>
              <c:f>'2'!$R$5</c:f>
              <c:strCache>
                <c:ptCount val="1"/>
                <c:pt idx="0">
                  <c:v>stacjonarny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'2'!$P$6:$P$26</c:f>
              <c:numCache>
                <c:formatCode>m/d/yyyy</c:formatCode>
                <c:ptCount val="21"/>
                <c:pt idx="0">
                  <c:v>42919</c:v>
                </c:pt>
                <c:pt idx="1">
                  <c:v>42920</c:v>
                </c:pt>
                <c:pt idx="2">
                  <c:v>42921</c:v>
                </c:pt>
                <c:pt idx="3">
                  <c:v>42922</c:v>
                </c:pt>
                <c:pt idx="4">
                  <c:v>42923</c:v>
                </c:pt>
                <c:pt idx="5">
                  <c:v>42926</c:v>
                </c:pt>
                <c:pt idx="6">
                  <c:v>42927</c:v>
                </c:pt>
                <c:pt idx="7">
                  <c:v>42928</c:v>
                </c:pt>
                <c:pt idx="8">
                  <c:v>42929</c:v>
                </c:pt>
                <c:pt idx="9">
                  <c:v>42930</c:v>
                </c:pt>
                <c:pt idx="10">
                  <c:v>42933</c:v>
                </c:pt>
                <c:pt idx="11">
                  <c:v>42934</c:v>
                </c:pt>
                <c:pt idx="12">
                  <c:v>42935</c:v>
                </c:pt>
                <c:pt idx="13">
                  <c:v>42936</c:v>
                </c:pt>
                <c:pt idx="14">
                  <c:v>42937</c:v>
                </c:pt>
                <c:pt idx="15">
                  <c:v>42940</c:v>
                </c:pt>
                <c:pt idx="16">
                  <c:v>42941</c:v>
                </c:pt>
                <c:pt idx="17">
                  <c:v>42942</c:v>
                </c:pt>
                <c:pt idx="18">
                  <c:v>42943</c:v>
                </c:pt>
                <c:pt idx="19">
                  <c:v>42944</c:v>
                </c:pt>
                <c:pt idx="20">
                  <c:v>42947</c:v>
                </c:pt>
              </c:numCache>
            </c:numRef>
          </c:cat>
          <c:val>
            <c:numRef>
              <c:f>'2'!$R$6:$R$26</c:f>
              <c:numCache>
                <c:formatCode>General</c:formatCode>
                <c:ptCount val="21"/>
                <c:pt idx="0">
                  <c:v>67</c:v>
                </c:pt>
                <c:pt idx="1">
                  <c:v>68</c:v>
                </c:pt>
                <c:pt idx="2">
                  <c:v>79</c:v>
                </c:pt>
                <c:pt idx="3">
                  <c:v>78</c:v>
                </c:pt>
                <c:pt idx="4">
                  <c:v>69</c:v>
                </c:pt>
                <c:pt idx="5">
                  <c:v>73</c:v>
                </c:pt>
                <c:pt idx="6">
                  <c:v>60</c:v>
                </c:pt>
                <c:pt idx="7">
                  <c:v>70</c:v>
                </c:pt>
                <c:pt idx="8">
                  <c:v>67</c:v>
                </c:pt>
                <c:pt idx="9">
                  <c:v>74</c:v>
                </c:pt>
                <c:pt idx="10">
                  <c:v>76</c:v>
                </c:pt>
                <c:pt idx="11">
                  <c:v>74</c:v>
                </c:pt>
                <c:pt idx="12">
                  <c:v>67</c:v>
                </c:pt>
                <c:pt idx="13">
                  <c:v>75</c:v>
                </c:pt>
                <c:pt idx="14">
                  <c:v>73</c:v>
                </c:pt>
                <c:pt idx="15">
                  <c:v>77</c:v>
                </c:pt>
                <c:pt idx="16">
                  <c:v>79</c:v>
                </c:pt>
                <c:pt idx="17">
                  <c:v>78</c:v>
                </c:pt>
                <c:pt idx="18">
                  <c:v>70</c:v>
                </c:pt>
                <c:pt idx="19">
                  <c:v>68</c:v>
                </c:pt>
                <c:pt idx="2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F-4DE1-96A8-D602B911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919071"/>
        <c:axId val="1092915711"/>
      </c:barChart>
      <c:catAx>
        <c:axId val="109291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2915711"/>
        <c:crosses val="autoZero"/>
        <c:auto val="0"/>
        <c:lblAlgn val="ctr"/>
        <c:lblOffset val="100"/>
        <c:noMultiLvlLbl val="1"/>
      </c:catAx>
      <c:valAx>
        <c:axId val="10929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291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857250</xdr:colOff>
      <xdr:row>30</xdr:row>
      <xdr:rowOff>52386</xdr:rowOff>
    </xdr:from>
    <xdr:to>
      <xdr:col>19</xdr:col>
      <xdr:colOff>257175</xdr:colOff>
      <xdr:row>57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C8E5BA0-2679-4F0D-5E02-263DBA12E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6.677290856482" createdVersion="8" refreshedVersion="8" minRefreshableVersion="3" recordCount="2148" xr:uid="{5FD054CA-4070-478E-8BB2-AEA49FE4B424}">
  <cacheSource type="worksheet">
    <worksheetSource ref="A1:B2149" sheet="1"/>
  </cacheSource>
  <cacheFields count="2">
    <cacheField name="nr" numFmtId="0">
      <sharedItems containsSemiMixedTypes="0" containsString="0" containsNumber="1" containsInteger="1" minValue="1003402" maxValue="9967523741" count="1834">
        <n v="3539762"/>
        <n v="4546455"/>
        <n v="6900303"/>
        <n v="4250194"/>
        <n v="54586484"/>
        <n v="26204415"/>
        <n v="8596929"/>
        <n v="44937926"/>
        <n v="5816822"/>
        <n v="96191858"/>
        <n v="47261256"/>
        <n v="22747425"/>
        <n v="3352943"/>
        <n v="35634368"/>
        <n v="8313390"/>
        <n v="3954712"/>
        <n v="2109147679"/>
        <n v="1787732"/>
        <n v="7834807"/>
        <n v="33320202"/>
        <n v="1488369"/>
        <n v="2631285"/>
        <n v="7415603"/>
        <n v="96375379"/>
        <n v="6976431"/>
        <n v="4093292"/>
        <n v="6312575"/>
        <n v="38535407"/>
        <n v="9413315"/>
        <n v="8514016"/>
        <n v="40965486"/>
        <n v="1435049"/>
        <n v="85598139"/>
        <n v="1926053"/>
        <n v="82949156"/>
        <n v="73690742"/>
        <n v="5107477025"/>
        <n v="4787793"/>
        <n v="79381100"/>
        <n v="4146159"/>
        <n v="13484133"/>
        <n v="4657345"/>
        <n v="3697935"/>
        <n v="2668991"/>
        <n v="3520189"/>
        <n v="3897347"/>
        <n v="1867016"/>
        <n v="96949751"/>
        <n v="81613163"/>
        <n v="6050344"/>
        <n v="7727942"/>
        <n v="8249721"/>
        <n v="6894270"/>
        <n v="3095218"/>
        <n v="45081794"/>
        <n v="3533271"/>
        <n v="9088452"/>
        <n v="3379401"/>
        <n v="73350537"/>
        <n v="83707586"/>
        <n v="1480206"/>
        <n v="2028923"/>
        <n v="81880891"/>
        <n v="4274149"/>
        <n v="3505978"/>
        <n v="8504601"/>
        <n v="8214927"/>
        <n v="5913547"/>
        <n v="14783929"/>
        <n v="2915745"/>
        <n v="1100142"/>
        <n v="7795911"/>
        <n v="1709455"/>
        <n v="6674505"/>
        <n v="6920814"/>
        <n v="6161675"/>
        <n v="8498076"/>
        <n v="4174785"/>
        <n v="3776937"/>
        <n v="2636055"/>
        <n v="4555937"/>
        <n v="80306197"/>
        <n v="99162491"/>
        <n v="9422310"/>
        <n v="20679187"/>
        <n v="6087997"/>
        <n v="5253133"/>
        <n v="1508356"/>
        <n v="9171025"/>
        <n v="7191598"/>
        <n v="90533733"/>
        <n v="6859181"/>
        <n v="7207066"/>
        <n v="4230507"/>
        <n v="2235911"/>
        <n v="1611389"/>
        <n v="9052652"/>
        <n v="93611539"/>
        <n v="68966479"/>
        <n v="4697138"/>
        <n v="5786740"/>
        <n v="8384647"/>
        <n v="1858872516"/>
        <n v="5528648"/>
        <n v="2157195"/>
        <n v="7747085"/>
        <n v="6865106"/>
        <n v="8819206"/>
        <n v="3990337"/>
        <n v="4238684"/>
        <n v="86774913"/>
        <n v="93696449"/>
        <n v="1269611"/>
        <n v="4623731"/>
        <n v="3127402"/>
        <n v="1714791"/>
        <n v="7768277"/>
        <n v="4371394"/>
        <n v="9803545"/>
        <n v="4176704"/>
        <n v="90271112"/>
        <n v="8136309"/>
        <n v="3178616"/>
        <n v="27791497"/>
        <n v="4738129"/>
        <n v="54840810"/>
        <n v="8885606"/>
        <n v="6730442"/>
        <n v="3326913"/>
        <n v="9865716"/>
        <n v="73284745"/>
        <n v="1761255"/>
        <n v="48625903"/>
        <n v="18036364"/>
        <n v="38063903"/>
        <n v="16999529"/>
        <n v="8385222"/>
        <n v="8086847"/>
        <n v="5215912"/>
        <n v="1973826522"/>
        <n v="2255197"/>
        <n v="6719542"/>
        <n v="1837797"/>
        <n v="6772052"/>
        <n v="6495517"/>
        <n v="6275284312"/>
        <n v="5997385"/>
        <n v="8449157"/>
        <n v="1301099"/>
        <n v="1774304298"/>
        <n v="52165701"/>
        <n v="49158974"/>
        <n v="6231537"/>
        <n v="6965661375"/>
        <n v="8831940"/>
        <n v="7421868"/>
        <n v="5131341"/>
        <n v="3121850"/>
        <n v="6905863"/>
        <n v="2514802"/>
        <n v="3931464"/>
        <n v="1583683"/>
        <n v="1521041994"/>
        <n v="9187410"/>
        <n v="8228350"/>
        <n v="5508903"/>
        <n v="3102910"/>
        <n v="45948073"/>
        <n v="58037769"/>
        <n v="3434934"/>
        <n v="4963499"/>
        <n v="7904403"/>
        <n v="4389240"/>
        <n v="68647339"/>
        <n v="8461631"/>
        <n v="3087246"/>
        <n v="9321082"/>
        <n v="4941247888"/>
        <n v="9610703"/>
        <n v="7236035"/>
        <n v="2675422"/>
        <n v="99056276"/>
        <n v="1715377"/>
        <n v="6700458395"/>
        <n v="2211277198"/>
        <n v="9866373"/>
        <n v="4526057"/>
        <n v="70786056"/>
        <n v="9874705"/>
        <n v="2506618"/>
        <n v="9620895"/>
        <n v="8187780"/>
        <n v="4176999"/>
        <n v="9937257"/>
        <n v="4363716"/>
        <n v="96323047"/>
        <n v="2750193"/>
        <n v="7973319"/>
        <n v="1908394"/>
        <n v="19116274"/>
        <n v="1235622"/>
        <n v="1458287"/>
        <n v="3758539398"/>
        <n v="8471021"/>
        <n v="4039284"/>
        <n v="3177370"/>
        <n v="6689117"/>
        <n v="4824267"/>
        <n v="6978234"/>
        <n v="2158377"/>
        <n v="73970924"/>
        <n v="6927270"/>
        <n v="7318247385"/>
        <n v="1579531"/>
        <n v="9593481"/>
        <n v="6657074"/>
        <n v="1797960"/>
        <n v="65923776"/>
        <n v="3407358"/>
        <n v="1887758"/>
        <n v="9983997"/>
        <n v="58067439"/>
        <n v="6760428735"/>
        <n v="9803006"/>
        <n v="5312081"/>
        <n v="7114306"/>
        <n v="7594764"/>
        <n v="3004571"/>
        <n v="1081610"/>
        <n v="20220216"/>
        <n v="79890857"/>
        <n v="4600571814"/>
        <n v="7110850"/>
        <n v="6712006"/>
        <n v="5646830"/>
        <n v="66871690"/>
        <n v="7085993"/>
        <n v="2890720"/>
        <n v="8375968"/>
        <n v="1119740"/>
        <n v="3796958"/>
        <n v="8010775"/>
        <n v="46023878"/>
        <n v="3379007610"/>
        <n v="2890519255"/>
        <n v="27858818"/>
        <n v="5076649"/>
        <n v="70367818"/>
        <n v="9788998"/>
        <n v="1951101"/>
        <n v="12687991"/>
        <n v="4328583"/>
        <n v="2184116"/>
        <n v="24724570"/>
        <n v="4843076"/>
        <n v="42722517"/>
        <n v="9697189"/>
        <n v="4471203"/>
        <n v="1439114"/>
        <n v="5822881"/>
        <n v="6027120"/>
        <n v="2790475"/>
        <n v="30893038"/>
        <n v="5013602"/>
        <n v="5696056"/>
        <n v="11274735"/>
        <n v="1158631"/>
        <n v="6009110"/>
        <n v="6644360383"/>
        <n v="6045882"/>
        <n v="4113351"/>
        <n v="9777118"/>
        <n v="1659814"/>
        <n v="8471544"/>
        <n v="5912377607"/>
        <n v="77705897"/>
        <n v="5894865"/>
        <n v="7449832"/>
        <n v="49390412"/>
        <n v="6156594"/>
        <n v="5006675"/>
        <n v="2096180"/>
        <n v="9683894"/>
        <n v="2808052"/>
        <n v="18084593"/>
        <n v="1390402"/>
        <n v="44200961"/>
        <n v="5859235"/>
        <n v="51855396"/>
        <n v="8768896"/>
        <n v="9088045"/>
        <n v="9872216"/>
        <n v="8369815"/>
        <n v="3370151"/>
        <n v="4132754"/>
        <n v="66638685"/>
        <n v="6818507"/>
        <n v="66336445"/>
        <n v="9356324"/>
        <n v="5111892302"/>
        <n v="2435007"/>
        <n v="6694568"/>
        <n v="6420583"/>
        <n v="19835498"/>
        <n v="6663334"/>
        <n v="44765837"/>
        <n v="2469778"/>
        <n v="1959826"/>
        <n v="37032078"/>
        <n v="6516512"/>
        <n v="4726561"/>
        <n v="9685747"/>
        <n v="7507354"/>
        <n v="8605742"/>
        <n v="4681236"/>
        <n v="3590468"/>
        <n v="9878283"/>
        <n v="5991516"/>
        <n v="1240369"/>
        <n v="25133293"/>
        <n v="5036422"/>
        <n v="4283724"/>
        <n v="5856822"/>
        <n v="7880396"/>
        <n v="2201085"/>
        <n v="9319894"/>
        <n v="3211876"/>
        <n v="4736016"/>
        <n v="8063487"/>
        <n v="1319121"/>
        <n v="5026277"/>
        <n v="48661666"/>
        <n v="9304830"/>
        <n v="3040267"/>
        <n v="8405954"/>
        <n v="75873682"/>
        <n v="5984039"/>
        <n v="9807682"/>
        <n v="3029994"/>
        <n v="9415767851"/>
        <n v="2388040"/>
        <n v="41974998"/>
        <n v="8400710"/>
        <n v="1088377750"/>
        <n v="62016185"/>
        <n v="4002406"/>
        <n v="2394144"/>
        <n v="9763924"/>
        <n v="7977726"/>
        <n v="7219884"/>
        <n v="8211396842"/>
        <n v="4860618"/>
        <n v="6290575"/>
        <n v="13972929"/>
        <n v="7663988"/>
        <n v="90532439"/>
        <n v="5505912"/>
        <n v="70678482"/>
        <n v="6578914"/>
        <n v="3444629"/>
        <n v="95211263"/>
        <n v="9468070"/>
        <n v="31516318"/>
        <n v="8163790"/>
        <n v="18070008"/>
        <n v="94634526"/>
        <n v="67964973"/>
        <n v="8685299481"/>
        <n v="8863988"/>
        <n v="29121099"/>
        <n v="2814524"/>
        <n v="5341697748"/>
        <n v="4102482"/>
        <n v="5636281"/>
        <n v="7715424"/>
        <n v="3811342"/>
        <n v="8177683"/>
        <n v="51367705"/>
        <n v="7646265"/>
        <n v="37906881"/>
        <n v="9740908"/>
        <n v="8070345"/>
        <n v="52214055"/>
        <n v="8434044"/>
        <n v="4702334"/>
        <n v="1308483040"/>
        <n v="34556399"/>
        <n v="48676568"/>
        <n v="4405604"/>
        <n v="2327418"/>
        <n v="5205087"/>
        <n v="1936989939"/>
        <n v="2722706"/>
        <n v="3018218"/>
        <n v="3765658"/>
        <n v="43109897"/>
        <n v="71207090"/>
        <n v="3465997"/>
        <n v="17490780"/>
        <n v="9805082"/>
        <n v="6333547"/>
        <n v="8424969"/>
        <n v="41210751"/>
        <n v="80907155"/>
        <n v="16303399"/>
        <n v="7841442"/>
        <n v="5512237"/>
        <n v="2557668"/>
        <n v="4469748"/>
        <n v="7773546"/>
        <n v="9521805"/>
        <n v="1640140"/>
        <n v="5415372"/>
        <n v="23504109"/>
        <n v="7914439"/>
        <n v="3900921"/>
        <n v="9176754"/>
        <n v="1814327"/>
        <n v="87702896"/>
        <n v="4131448"/>
        <n v="97798921"/>
        <n v="3919087"/>
        <n v="2619219"/>
        <n v="54536153"/>
        <n v="6813775"/>
        <n v="72312196"/>
        <n v="9532678004"/>
        <n v="4653709"/>
        <n v="1734512"/>
        <n v="6741642"/>
        <n v="45862784"/>
        <n v="25147401"/>
        <n v="7432767"/>
        <n v="3599100"/>
        <n v="8251878"/>
        <n v="2826868"/>
        <n v="76099906"/>
        <n v="5147242"/>
        <n v="9600226"/>
        <n v="1337042"/>
        <n v="1223943"/>
        <n v="3525921"/>
        <n v="5094248"/>
        <n v="7275091"/>
        <n v="73042148"/>
        <n v="8570276"/>
        <n v="1775586"/>
        <n v="5162775"/>
        <n v="56115408"/>
        <n v="6766881"/>
        <n v="9502975"/>
        <n v="4212838"/>
        <n v="6952061"/>
        <n v="56127547"/>
        <n v="4952685"/>
        <n v="8632893"/>
        <n v="7320123"/>
        <n v="4901642"/>
        <n v="39669014"/>
        <n v="48919339"/>
        <n v="4960687"/>
        <n v="41156424"/>
        <n v="5087066"/>
        <n v="4636713"/>
        <n v="3944120"/>
        <n v="5960122"/>
        <n v="6795454"/>
        <n v="5013688"/>
        <n v="9487255"/>
        <n v="1592822"/>
        <n v="9084978"/>
        <n v="80038636"/>
        <n v="2021941339"/>
        <n v="7718350"/>
        <n v="3153283"/>
        <n v="6341482"/>
        <n v="8049834"/>
        <n v="6374704"/>
        <n v="99625315"/>
        <n v="9728932"/>
        <n v="9121149"/>
        <n v="4148520"/>
        <n v="55462392"/>
        <n v="8130722"/>
        <n v="5448890"/>
        <n v="6118241"/>
        <n v="98238772"/>
        <n v="9524588"/>
        <n v="4759206"/>
        <n v="9197309"/>
        <n v="8322522"/>
        <n v="4264808"/>
        <n v="5820632164"/>
        <n v="89814525"/>
        <n v="1223816"/>
        <n v="18503160"/>
        <n v="21677804"/>
        <n v="4144248"/>
        <n v="16392077"/>
        <n v="8865092"/>
        <n v="92597723"/>
        <n v="49840829"/>
        <n v="20354301"/>
        <n v="2731955"/>
        <n v="2304726"/>
        <n v="4848864"/>
        <n v="6709939"/>
        <n v="8870498"/>
        <n v="2947889"/>
        <n v="8270097"/>
        <n v="8183468"/>
        <n v="3263806"/>
        <n v="7792980"/>
        <n v="88929925"/>
        <n v="2478461"/>
        <n v="2838216"/>
        <n v="4853153"/>
        <n v="2985743"/>
        <n v="97596112"/>
        <n v="1247125"/>
        <n v="6982652"/>
        <n v="11209967"/>
        <n v="6251788"/>
        <n v="8679036"/>
        <n v="1288637"/>
        <n v="4825302"/>
        <n v="5349562"/>
        <n v="5893512"/>
        <n v="7138804596"/>
        <n v="6468376"/>
        <n v="3494192"/>
        <n v="8150086"/>
        <n v="3934931"/>
        <n v="2111996"/>
        <n v="6484436"/>
        <n v="97646706"/>
        <n v="9932676"/>
        <n v="6062869"/>
        <n v="2828759"/>
        <n v="7215284"/>
        <n v="1384299"/>
        <n v="2486941"/>
        <n v="6561564994"/>
        <n v="1207918"/>
        <n v="66800387"/>
        <n v="49093359"/>
        <n v="2252239"/>
        <n v="4925279"/>
        <n v="25459710"/>
        <n v="3943994"/>
        <n v="9967649"/>
        <n v="2947660"/>
        <n v="6492842"/>
        <n v="70730125"/>
        <n v="4056361"/>
        <n v="12721215"/>
        <n v="4566750"/>
        <n v="7279106"/>
        <n v="3824660"/>
        <n v="5815339"/>
        <n v="77946476"/>
        <n v="84589848"/>
        <n v="4501823"/>
        <n v="38244568"/>
        <n v="3613950"/>
        <n v="5750819"/>
        <n v="63291235"/>
        <n v="3198725"/>
        <n v="6248157784"/>
        <n v="6607648"/>
        <n v="5340881"/>
        <n v="3072421"/>
        <n v="1909553"/>
        <n v="62836073"/>
        <n v="9566647"/>
        <n v="5833452"/>
        <n v="10760583"/>
        <n v="5147651"/>
        <n v="41144838"/>
        <n v="1332513"/>
        <n v="7743548"/>
        <n v="7451541965"/>
        <n v="5022247"/>
        <n v="2920581"/>
        <n v="7126980"/>
        <n v="54006070"/>
        <n v="8672651"/>
        <n v="54136845"/>
        <n v="5223970"/>
        <n v="5790304"/>
        <n v="6269166"/>
        <n v="5089019"/>
        <n v="6994188"/>
        <n v="16883712"/>
        <n v="2781512"/>
        <n v="4273704"/>
        <n v="3707498"/>
        <n v="5251861"/>
        <n v="7473070"/>
        <n v="3596504"/>
        <n v="9620982"/>
        <n v="6833658"/>
        <n v="85422307"/>
        <n v="6191682"/>
        <n v="6461167"/>
        <n v="8982137"/>
        <n v="47677051"/>
        <n v="76139570"/>
        <n v="38047574"/>
        <n v="3184339"/>
        <n v="8126744698"/>
        <n v="52391912"/>
        <n v="14201334"/>
        <n v="1972250241"/>
        <n v="3028093"/>
        <n v="27487200"/>
        <n v="7377702"/>
        <n v="9294571"/>
        <n v="62086163"/>
        <n v="6367284"/>
        <n v="1811630"/>
        <n v="9346036178"/>
        <n v="1138033"/>
        <n v="2114812"/>
        <n v="4195677"/>
        <n v="3493348"/>
        <n v="6005020"/>
        <n v="2227803"/>
        <n v="4007464"/>
        <n v="54713807"/>
        <n v="7097883"/>
        <n v="48630026"/>
        <n v="1279245"/>
        <n v="2571251"/>
        <n v="1454555"/>
        <n v="21996267"/>
        <n v="8429072"/>
        <n v="9815754"/>
        <n v="2434652"/>
        <n v="4939683"/>
        <n v="6821027"/>
        <n v="3253368"/>
        <n v="91743317"/>
        <n v="5104536"/>
        <n v="7353916"/>
        <n v="4412771"/>
        <n v="7891185"/>
        <n v="90417363"/>
        <n v="4929499"/>
        <n v="3824371"/>
        <n v="1219073"/>
        <n v="94197168"/>
        <n v="8655825"/>
        <n v="47707639"/>
        <n v="5029329"/>
        <n v="8825868"/>
        <n v="76777492"/>
        <n v="71036125"/>
        <n v="2989192"/>
        <n v="9849071"/>
        <n v="47025160"/>
        <n v="2248131"/>
        <n v="6293367175"/>
        <n v="5092577"/>
        <n v="7937998"/>
        <n v="7269536"/>
        <n v="98939809"/>
        <n v="7766265"/>
        <n v="1233459"/>
        <n v="9398644"/>
        <n v="3390459"/>
        <n v="5252835"/>
        <n v="15643568"/>
        <n v="39921944"/>
        <n v="88664428"/>
        <n v="4111617"/>
        <n v="9804309"/>
        <n v="3382728"/>
        <n v="9091369"/>
        <n v="3981821518"/>
        <n v="6304174"/>
        <n v="8233999"/>
        <n v="97782375"/>
        <n v="93794133"/>
        <n v="85838361"/>
        <n v="1616328"/>
        <n v="9773176"/>
        <n v="8246306"/>
        <n v="2412611"/>
        <n v="68677362"/>
        <n v="6766787935"/>
        <n v="6158527"/>
        <n v="3456554"/>
        <n v="3437033"/>
        <n v="2128068"/>
        <n v="9259392564"/>
        <n v="7852624"/>
        <n v="8838584"/>
        <n v="2492731"/>
        <n v="8028777"/>
        <n v="7979313"/>
        <n v="23123600"/>
        <n v="9849476"/>
        <n v="27410048"/>
        <n v="6746757"/>
        <n v="9680416"/>
        <n v="9356216"/>
        <n v="28145499"/>
        <n v="61527800"/>
        <n v="4873703"/>
        <n v="43019885"/>
        <n v="7388260"/>
        <n v="4581715"/>
        <n v="58420185"/>
        <n v="4473835"/>
        <n v="7739841"/>
        <n v="1692981"/>
        <n v="9270571"/>
        <n v="6299545"/>
        <n v="67064385"/>
        <n v="4062215"/>
        <n v="2835355"/>
        <n v="9283739"/>
        <n v="7118082"/>
        <n v="30178521"/>
        <n v="5014399"/>
        <n v="3984696"/>
        <n v="53386383"/>
        <n v="8733120283"/>
        <n v="6934405"/>
        <n v="76310343"/>
        <n v="9005999"/>
        <n v="7763451"/>
        <n v="3765001"/>
        <n v="4995171"/>
        <n v="8929993"/>
        <n v="7473804"/>
        <n v="1816002"/>
        <n v="4133182"/>
        <n v="63141248"/>
        <n v="7384686"/>
        <n v="3150344"/>
        <n v="6786847"/>
        <n v="28961250"/>
        <n v="3328479"/>
        <n v="61322035"/>
        <n v="40308049"/>
        <n v="7066778"/>
        <n v="3017523"/>
        <n v="26699217"/>
        <n v="3192836"/>
        <n v="6979384"/>
        <n v="5277660"/>
        <n v="9543572"/>
        <n v="47855743"/>
        <n v="7933399"/>
        <n v="54821549"/>
        <n v="14919021"/>
        <n v="9175377"/>
        <n v="3656681"/>
        <n v="5741700"/>
        <n v="18816694"/>
        <n v="6177366"/>
        <n v="4221160"/>
        <n v="9339774"/>
        <n v="46255010"/>
        <n v="91208799"/>
        <n v="7211782"/>
        <n v="3429335"/>
        <n v="3206241"/>
        <n v="8750670"/>
        <n v="7792679"/>
        <n v="9287211"/>
        <n v="1997542"/>
        <n v="3558582"/>
        <n v="25240352"/>
        <n v="5829504"/>
        <n v="97317489"/>
        <n v="53762222"/>
        <n v="3363840"/>
        <n v="5542324"/>
        <n v="9853612"/>
        <n v="5392799"/>
        <n v="1089768"/>
        <n v="4274311"/>
        <n v="8276893"/>
        <n v="24724114"/>
        <n v="23580194"/>
        <n v="1775131"/>
        <n v="8001915"/>
        <n v="7508054"/>
        <n v="5854377"/>
        <n v="3478173"/>
        <n v="3999937"/>
        <n v="83559673"/>
        <n v="1355775"/>
        <n v="3463982286"/>
        <n v="9894998"/>
        <n v="8841955"/>
        <n v="7379567"/>
        <n v="2092198"/>
        <n v="6006309"/>
        <n v="6736331"/>
        <n v="7291318"/>
        <n v="3232376"/>
        <n v="7536048937"/>
        <n v="6026397"/>
        <n v="65621292"/>
        <n v="13898038"/>
        <n v="6018613"/>
        <n v="7741751"/>
        <n v="5512492"/>
        <n v="36332723"/>
        <n v="49342013"/>
        <n v="2329556"/>
        <n v="2969264"/>
        <n v="8498683"/>
        <n v="2341441"/>
        <n v="30270334"/>
        <n v="2145244"/>
        <n v="7627829"/>
        <n v="9182658"/>
        <n v="4191600"/>
        <n v="5492379"/>
        <n v="2861766"/>
        <n v="1309359"/>
        <n v="5272270"/>
        <n v="9266643"/>
        <n v="3460208"/>
        <n v="25545000"/>
        <n v="4471828"/>
        <n v="6516836"/>
        <n v="1197931"/>
        <n v="8750619"/>
        <n v="2076719"/>
        <n v="3131883"/>
        <n v="1552302"/>
        <n v="33708687"/>
        <n v="5913571"/>
        <n v="97953696"/>
        <n v="13588783"/>
        <n v="3300626"/>
        <n v="39697250"/>
        <n v="3826370863"/>
        <n v="8026912"/>
        <n v="24290062"/>
        <n v="6785899"/>
        <n v="75048005"/>
        <n v="97459926"/>
        <n v="9979899"/>
        <n v="4575865"/>
        <n v="1808444"/>
        <n v="1649912"/>
        <n v="6128500046"/>
        <n v="6580951"/>
        <n v="5536146"/>
        <n v="7396921"/>
        <n v="8331262"/>
        <n v="5146166"/>
        <n v="6729705"/>
        <n v="5372125"/>
        <n v="7880585"/>
        <n v="3652646"/>
        <n v="3691457"/>
        <n v="4344184930"/>
        <n v="5290460"/>
        <n v="6922037"/>
        <n v="7060245"/>
        <n v="5788783"/>
        <n v="8647144"/>
        <n v="24665933"/>
        <n v="3326329"/>
        <n v="3478111"/>
        <n v="82239478"/>
        <n v="2557643"/>
        <n v="4501726"/>
        <n v="1415198"/>
        <n v="23368531"/>
        <n v="5750549"/>
        <n v="3897850970"/>
        <n v="2573868"/>
        <n v="1701008"/>
        <n v="1617146"/>
        <n v="73460179"/>
        <n v="5983034"/>
        <n v="16724936"/>
        <n v="19343766"/>
        <n v="7439955"/>
        <n v="7224275"/>
        <n v="1679471"/>
        <n v="6270159"/>
        <n v="1482340"/>
        <n v="28185580"/>
        <n v="4222605"/>
        <n v="3785540"/>
        <n v="6151478"/>
        <n v="9926754"/>
        <n v="89098100"/>
        <n v="6460935"/>
        <n v="1661633"/>
        <n v="5809293"/>
        <n v="7088840"/>
        <n v="1302112"/>
        <n v="8299537"/>
        <n v="1519891"/>
        <n v="29771613"/>
        <n v="59864989"/>
        <n v="2741017"/>
        <n v="1092699"/>
        <n v="3284714"/>
        <n v="1822675725"/>
        <n v="9595194"/>
        <n v="5015921"/>
        <n v="1015521"/>
        <n v="4452201"/>
        <n v="6801890"/>
        <n v="19638469"/>
        <n v="43897696"/>
        <n v="8253162"/>
        <n v="42038927"/>
        <n v="5758962"/>
        <n v="77096634"/>
        <n v="8041809"/>
        <n v="6735390"/>
        <n v="93811207"/>
        <n v="8079505"/>
        <n v="3348581"/>
        <n v="5464497"/>
        <n v="5744567"/>
        <n v="1332884"/>
        <n v="38823305"/>
        <n v="7160339"/>
        <n v="43277353"/>
        <n v="8749135"/>
        <n v="16977213"/>
        <n v="13221411"/>
        <n v="2653312"/>
        <n v="4187727"/>
        <n v="4370146"/>
        <n v="5725773"/>
        <n v="6345014"/>
        <n v="7507831"/>
        <n v="1198407"/>
        <n v="4055319"/>
        <n v="45158089"/>
        <n v="8159631"/>
        <n v="2645518"/>
        <n v="5199929"/>
        <n v="1431491"/>
        <n v="39848401"/>
        <n v="9225807"/>
        <n v="7986409"/>
        <n v="54554135"/>
        <n v="1263080"/>
        <n v="9772824"/>
        <n v="1157434"/>
        <n v="8799928507"/>
        <n v="5372891"/>
        <n v="2663800"/>
        <n v="32779069"/>
        <n v="8261808"/>
        <n v="7321543"/>
        <n v="7513392"/>
        <n v="77036136"/>
        <n v="1700508"/>
        <n v="7872182"/>
        <n v="84513035"/>
        <n v="1225082"/>
        <n v="1586675"/>
        <n v="2672229"/>
        <n v="2443869"/>
        <n v="7166411"/>
        <n v="6070329"/>
        <n v="4845362"/>
        <n v="6333341"/>
        <n v="5060909"/>
        <n v="4673703944"/>
        <n v="2079170589"/>
        <n v="1117628"/>
        <n v="5487496"/>
        <n v="1472682"/>
        <n v="43885630"/>
        <n v="5543741"/>
        <n v="2590674"/>
        <n v="7836418"/>
        <n v="2844911"/>
        <n v="9655946"/>
        <n v="6050570"/>
        <n v="1607422"/>
        <n v="1192412"/>
        <n v="4959551431"/>
        <n v="9808221"/>
        <n v="8672623"/>
        <n v="3862016"/>
        <n v="16580449"/>
        <n v="2078150"/>
        <n v="2584185"/>
        <n v="3346801494"/>
        <n v="4535172"/>
        <n v="8723323"/>
        <n v="76845076"/>
        <n v="12063341"/>
        <n v="9866204"/>
        <n v="9364912"/>
        <n v="9975977"/>
        <n v="8802222"/>
        <n v="1552877"/>
        <n v="6516534288"/>
        <n v="68647777"/>
        <n v="3360951"/>
        <n v="9127211929"/>
        <n v="9647309"/>
        <n v="6024447"/>
        <n v="12919749"/>
        <n v="3287315"/>
        <n v="9953379"/>
        <n v="97558765"/>
        <n v="97876188"/>
        <n v="4068728"/>
        <n v="7624070"/>
        <n v="2419247"/>
        <n v="5244597"/>
        <n v="2005653"/>
        <n v="7203715"/>
        <n v="4520463"/>
        <n v="4454837"/>
        <n v="6999348"/>
        <n v="90884366"/>
        <n v="3121640"/>
        <n v="5912710"/>
        <n v="9100303"/>
        <n v="25581178"/>
        <n v="78976022"/>
        <n v="7781904"/>
        <n v="8474693946"/>
        <n v="8984769"/>
        <n v="40395856"/>
        <n v="8135542"/>
        <n v="10093488"/>
        <n v="4203418"/>
        <n v="2456290"/>
        <n v="27610972"/>
        <n v="3073815"/>
        <n v="9776810"/>
        <n v="6763741"/>
        <n v="2309436"/>
        <n v="69001821"/>
        <n v="2150051"/>
        <n v="9967523741"/>
        <n v="23300236"/>
        <n v="4714815"/>
        <n v="47596793"/>
        <n v="6574044"/>
        <n v="9475290"/>
        <n v="4458725"/>
        <n v="4785864"/>
        <n v="3109039"/>
        <n v="7340326"/>
        <n v="7865428"/>
        <n v="1467591"/>
        <n v="2475157"/>
        <n v="6023049"/>
        <n v="39210366"/>
        <n v="90880011"/>
        <n v="3931739393"/>
        <n v="4079013"/>
        <n v="7751076"/>
        <n v="27684909"/>
        <n v="1588418"/>
        <n v="5333653356"/>
        <n v="6305758"/>
        <n v="45373038"/>
        <n v="7589993"/>
        <n v="5588421"/>
        <n v="9662407"/>
        <n v="3422062"/>
        <n v="9305031"/>
        <n v="4911005"/>
        <n v="1391272"/>
        <n v="5027404"/>
        <n v="64900068"/>
        <n v="45015009"/>
        <n v="20424852"/>
        <n v="8250018"/>
        <n v="1161028310"/>
        <n v="66465215"/>
        <n v="6386788"/>
        <n v="3589291"/>
        <n v="9254070"/>
        <n v="6337931"/>
        <n v="3563037"/>
        <n v="2302227"/>
        <n v="24454566"/>
        <n v="6551880"/>
        <n v="6616163"/>
        <n v="96381896"/>
        <n v="6892980"/>
        <n v="52064221"/>
        <n v="7571642"/>
        <n v="9570286"/>
        <n v="7632647"/>
        <n v="81575080"/>
        <n v="7677384"/>
        <n v="6194112"/>
        <n v="67913744"/>
        <n v="9418587"/>
        <n v="3273221616"/>
        <n v="7364500"/>
        <n v="69273048"/>
        <n v="1345591"/>
        <n v="13674393"/>
        <n v="5273579381"/>
        <n v="2873323"/>
        <n v="2733008"/>
        <n v="7292887"/>
        <n v="6855900"/>
        <n v="2402827"/>
        <n v="6510330"/>
        <n v="4065787"/>
        <n v="4303543625"/>
        <n v="3858766"/>
        <n v="41852472"/>
        <n v="25574074"/>
        <n v="8690793"/>
        <n v="8487003"/>
        <n v="50583407"/>
        <n v="4983193"/>
        <n v="1316116"/>
        <n v="3574623"/>
        <n v="71218936"/>
        <n v="55621633"/>
        <n v="1898174"/>
        <n v="4844054"/>
        <n v="7701901"/>
        <n v="5900664"/>
        <n v="4698731"/>
        <n v="4606501"/>
        <n v="3851940"/>
        <n v="7972076"/>
        <n v="1911796"/>
        <n v="7362963"/>
        <n v="3086185"/>
        <n v="7622819"/>
        <n v="5610335"/>
        <n v="2089993"/>
        <n v="2635121"/>
        <n v="6725216"/>
        <n v="6530661"/>
        <n v="8691743"/>
        <n v="2771511"/>
        <n v="7471152"/>
        <n v="89691426"/>
        <n v="5305478"/>
        <n v="4305632"/>
        <n v="9526179"/>
        <n v="1268336"/>
        <n v="7288626"/>
        <n v="53117702"/>
        <n v="10201038"/>
        <n v="3153023"/>
        <n v="1747389"/>
        <n v="5526425146"/>
        <n v="93050839"/>
        <n v="1288318920"/>
        <n v="5613566"/>
        <n v="2406196"/>
        <n v="9046365"/>
        <n v="5019634"/>
        <n v="90993861"/>
        <n v="4034491"/>
        <n v="57395204"/>
        <n v="9156106"/>
        <n v="7076463"/>
        <n v="3136675"/>
        <n v="7826456"/>
        <n v="4094662"/>
        <n v="3134379"/>
        <n v="1119016"/>
        <n v="28601187"/>
        <n v="2841969"/>
        <n v="57957786"/>
        <n v="6068132"/>
        <n v="8195842"/>
        <n v="98737794"/>
        <n v="6523054"/>
        <n v="26895957"/>
        <n v="5254694"/>
        <n v="3979680"/>
        <n v="96424596"/>
        <n v="4923459"/>
        <n v="81218024"/>
        <n v="6552755"/>
        <n v="44017210"/>
        <n v="64733982"/>
        <n v="2289072"/>
        <n v="71730854"/>
        <n v="3757504"/>
        <n v="8501225"/>
        <n v="3704193"/>
        <n v="4577789"/>
        <n v="5730350"/>
        <n v="8953850"/>
        <n v="3109133"/>
        <n v="3382699"/>
        <n v="9132555"/>
        <n v="5016981"/>
        <n v="1294973"/>
        <n v="7769531"/>
        <n v="1068000"/>
        <n v="5980925"/>
        <n v="9905075"/>
        <n v="1043289"/>
        <n v="8252939"/>
        <n v="67748426"/>
        <n v="4376637"/>
        <n v="6426011"/>
        <n v="9137235"/>
        <n v="7151490"/>
        <n v="5138547"/>
        <n v="79212542"/>
        <n v="1507196"/>
        <n v="8362094"/>
        <n v="5379981"/>
        <n v="4960672"/>
        <n v="9052582"/>
        <n v="2054346"/>
        <n v="6070136"/>
        <n v="6949463"/>
        <n v="1626862"/>
        <n v="99905503"/>
        <n v="2753778"/>
        <n v="3508755"/>
        <n v="1409543"/>
        <n v="6891636"/>
        <n v="8541151"/>
        <n v="8322802"/>
        <n v="30678431"/>
        <n v="41837828"/>
        <n v="13639748"/>
        <n v="8972366"/>
        <n v="5233531"/>
        <n v="3691176"/>
        <n v="66377806"/>
        <n v="6357818"/>
        <n v="7123731"/>
        <n v="91907883"/>
        <n v="69734527"/>
        <n v="7536096"/>
        <n v="60158843"/>
        <n v="6942059"/>
        <n v="28282891"/>
        <n v="2186880"/>
        <n v="92461001"/>
        <n v="16775888"/>
        <n v="1166111"/>
        <n v="9225043"/>
        <n v="6408952"/>
        <n v="81010250"/>
        <n v="8596442"/>
        <n v="3804078"/>
        <n v="6312012"/>
        <n v="7322741"/>
        <n v="2354992"/>
        <n v="1766133"/>
        <n v="2922327"/>
        <n v="1469705"/>
        <n v="4661635"/>
        <n v="4497624"/>
        <n v="52468382"/>
        <n v="5687077"/>
        <n v="3914070"/>
        <n v="84684423"/>
        <n v="6493406"/>
        <n v="1563816"/>
        <n v="7779935"/>
        <n v="4429479"/>
        <n v="2963652"/>
        <n v="91032395"/>
        <n v="4424322"/>
        <n v="9500083"/>
        <n v="2912297"/>
        <n v="4303945"/>
        <n v="3264546470"/>
        <n v="9021766"/>
        <n v="1500342"/>
        <n v="7295667"/>
        <n v="22266436"/>
        <n v="60885211"/>
        <n v="4379415"/>
        <n v="1296262"/>
        <n v="6175467"/>
        <n v="6434255"/>
        <n v="2723614"/>
        <n v="92326393"/>
        <n v="5039266"/>
        <n v="3861280"/>
        <n v="3982833"/>
        <n v="5835972"/>
        <n v="98382147"/>
        <n v="9427353"/>
        <n v="9727873"/>
        <n v="4804872"/>
        <n v="22583033"/>
        <n v="4056070"/>
        <n v="2701816"/>
        <n v="20735440"/>
        <n v="9076015"/>
        <n v="11070759"/>
        <n v="22176115"/>
        <n v="7456918"/>
        <n v="6896787"/>
        <n v="8414788"/>
        <n v="7896629"/>
        <n v="5970183"/>
        <n v="57891628"/>
        <n v="53378457"/>
        <n v="88666908"/>
        <n v="9279730"/>
        <n v="2928766"/>
        <n v="4334364"/>
        <n v="8405292"/>
        <n v="9870841"/>
        <n v="9722484"/>
        <n v="1159432"/>
        <n v="25194612"/>
        <n v="3624713"/>
        <n v="5616210"/>
        <n v="3305212"/>
        <n v="72701808"/>
        <n v="4285095"/>
        <n v="2585298"/>
        <n v="2947035"/>
        <n v="6615729"/>
        <n v="2135609"/>
        <n v="2697566"/>
        <n v="2569721"/>
        <n v="3968528766"/>
        <n v="8133585"/>
        <n v="45232967"/>
        <n v="8900603"/>
        <n v="9781981"/>
        <n v="9527543"/>
        <n v="91626903"/>
        <n v="1475008"/>
        <n v="4767842"/>
        <n v="64586869"/>
        <n v="7066389"/>
        <n v="28791070"/>
        <n v="44882393"/>
        <n v="29391132"/>
        <n v="9892639"/>
        <n v="3979295"/>
        <n v="8471219"/>
        <n v="5631380"/>
        <n v="6309138"/>
        <n v="72287838"/>
        <n v="2515441"/>
        <n v="8056387"/>
        <n v="5489867"/>
        <n v="4293872"/>
        <n v="99625946"/>
        <n v="9827875"/>
        <n v="40120881"/>
        <n v="42373338"/>
        <n v="55464931"/>
        <n v="3616291"/>
        <n v="3473734"/>
        <n v="63492662"/>
        <n v="2104331"/>
        <n v="9555643"/>
        <n v="5220235"/>
        <n v="26254490"/>
        <n v="26463662"/>
        <n v="2853860"/>
        <n v="1829028"/>
        <n v="1365581"/>
        <n v="9282666"/>
        <n v="7994769"/>
        <n v="3638038"/>
        <n v="5221005"/>
        <n v="2780765"/>
        <n v="3720500"/>
        <n v="89419064"/>
        <n v="9961121"/>
        <n v="5303411"/>
        <n v="5850216"/>
        <n v="4927402"/>
        <n v="60113139"/>
        <n v="2644526"/>
        <n v="7226610"/>
        <n v="9328179"/>
        <n v="7457716"/>
        <n v="1739364"/>
        <n v="1677537"/>
        <n v="55614678"/>
        <n v="4272221"/>
        <n v="1740380"/>
        <n v="6005355"/>
        <n v="2400590"/>
        <n v="7918038"/>
        <n v="7969038"/>
        <n v="11425383"/>
        <n v="2900584"/>
        <n v="48497496"/>
        <n v="98695684"/>
        <n v="7712618"/>
        <n v="8872311"/>
        <n v="6056372"/>
        <n v="8936656"/>
        <n v="22966872"/>
        <n v="3908162"/>
        <n v="20485333"/>
        <n v="78709747"/>
        <n v="1859884"/>
        <n v="2866546"/>
        <n v="23715237"/>
        <n v="6013508"/>
        <n v="22416837"/>
        <n v="9065927"/>
        <n v="8849918"/>
        <n v="20349502"/>
        <n v="9894723"/>
        <n v="9458504"/>
        <n v="4824710"/>
        <n v="6465122"/>
        <n v="6940373"/>
        <n v="29555837"/>
        <n v="6890486"/>
        <n v="1992079"/>
        <n v="7599611"/>
        <n v="1418351"/>
        <n v="5883714"/>
        <n v="1457083"/>
        <n v="9948096"/>
        <n v="2567031"/>
        <n v="5952625"/>
        <n v="8284495"/>
        <n v="5354141"/>
        <n v="5713477"/>
        <n v="6865322"/>
        <n v="9007177570"/>
        <n v="49920930"/>
        <n v="2239958"/>
        <n v="3680149"/>
        <n v="3654212"/>
        <n v="3192053"/>
        <n v="2355456"/>
        <n v="64932677"/>
        <n v="9419117"/>
        <n v="2509631"/>
        <n v="4505950"/>
        <n v="39663331"/>
        <n v="36929553"/>
        <n v="74135093"/>
        <n v="4483996"/>
        <n v="6264844"/>
        <n v="92127966"/>
        <n v="5440420"/>
        <n v="8840288"/>
        <n v="24850212"/>
        <n v="7857206"/>
        <n v="6146223"/>
        <n v="7119239917"/>
        <n v="8622421"/>
        <n v="9183185"/>
        <n v="2185216"/>
        <n v="9664191"/>
        <n v="8743781"/>
        <n v="97997759"/>
        <n v="4100331"/>
        <n v="9474267"/>
        <n v="3200206"/>
        <n v="72014227"/>
        <n v="3976931"/>
        <n v="6717763"/>
        <n v="2117176"/>
        <n v="67688044"/>
        <n v="3025855"/>
        <n v="8773356"/>
        <n v="1211446"/>
        <n v="3607585"/>
        <n v="7622848"/>
        <n v="7883595"/>
        <n v="61812355"/>
        <n v="6493766"/>
        <n v="4965118"/>
        <n v="7973476"/>
        <n v="6642574"/>
        <n v="2325155"/>
        <n v="1340323"/>
        <n v="8957203"/>
        <n v="7894591002"/>
        <n v="26891502"/>
        <n v="71021004"/>
        <n v="17314583"/>
        <n v="3972159"/>
        <n v="94989369"/>
        <n v="4857453"/>
        <n v="7980513"/>
        <n v="6896175"/>
        <n v="1689993"/>
        <n v="1183006"/>
        <n v="9446278"/>
        <n v="2445944"/>
        <n v="4404713"/>
        <n v="6495153"/>
        <n v="2684831"/>
        <n v="8748493"/>
        <n v="7230252"/>
        <n v="5082463"/>
        <n v="1830054"/>
        <n v="8369071681"/>
        <n v="5582631"/>
        <n v="68043713"/>
        <n v="89263578"/>
        <n v="7511410"/>
        <n v="2128803"/>
        <n v="3135285"/>
        <n v="5231877"/>
        <n v="98391891"/>
        <n v="9865524"/>
        <n v="7988607"/>
        <n v="4599598"/>
        <n v="59984179"/>
        <n v="1531672"/>
        <n v="59723258"/>
        <n v="6878722"/>
        <n v="49278984"/>
        <n v="5672312"/>
        <n v="9716545"/>
        <n v="18636086"/>
        <n v="2071691"/>
        <n v="8023179"/>
        <n v="3533421"/>
        <n v="1160932"/>
        <n v="6320579"/>
        <n v="6021417"/>
        <n v="3638658"/>
        <n v="7595348"/>
        <n v="6637746981"/>
        <n v="8501947"/>
        <n v="85666950"/>
        <n v="72289518"/>
        <n v="4419123"/>
        <n v="75645195"/>
        <n v="4305960"/>
        <n v="21681406"/>
        <n v="6401011"/>
        <n v="1879412"/>
        <n v="6218089"/>
        <n v="3408462348"/>
        <n v="9535780"/>
        <n v="4945889"/>
        <n v="8985437"/>
        <n v="4154521"/>
        <n v="96977805"/>
        <n v="5465004"/>
        <n v="9560827"/>
        <n v="3443287"/>
        <n v="7551668"/>
        <n v="3189059"/>
        <n v="9061957"/>
        <n v="59508384"/>
        <n v="48529464"/>
        <n v="4082744"/>
        <n v="2395447"/>
        <n v="96620804"/>
        <n v="9489003225"/>
        <n v="6897893"/>
        <n v="9759222"/>
        <n v="39793981"/>
        <n v="3759991"/>
        <n v="37838778"/>
        <n v="9689833"/>
        <n v="1177203"/>
        <n v="6060835"/>
        <n v="8534481"/>
        <n v="4959594"/>
        <n v="1047809"/>
        <n v="2604004"/>
        <n v="4379524"/>
        <n v="12377650"/>
        <n v="77869622"/>
        <n v="3414247278"/>
        <n v="5839324907"/>
        <n v="4852863"/>
        <n v="3245936"/>
        <n v="9591892"/>
        <n v="96404523"/>
        <n v="1405478"/>
        <n v="5900506"/>
        <n v="8880275"/>
        <n v="57101974"/>
        <n v="2096100"/>
        <n v="2366545"/>
        <n v="2260131"/>
        <n v="75818182"/>
        <n v="3733011"/>
        <n v="6844342"/>
        <n v="1117708"/>
        <n v="6055986"/>
        <n v="4569864426"/>
        <n v="3093964"/>
        <n v="1890121"/>
        <n v="9906846123"/>
        <n v="27798660"/>
        <n v="37077953"/>
        <n v="70606958"/>
        <n v="21303266"/>
        <n v="88366261"/>
        <n v="9506446"/>
        <n v="6956143"/>
        <n v="1472253"/>
        <n v="4025325"/>
        <n v="6220398"/>
        <n v="6326108"/>
        <n v="88929709"/>
        <n v="3004967"/>
        <n v="1721264"/>
        <n v="92414932"/>
        <n v="3202610"/>
        <n v="2825289"/>
        <n v="7915936"/>
        <n v="3680072"/>
        <n v="6980867"/>
        <n v="4445684"/>
        <n v="9864502"/>
        <n v="5881130"/>
        <n v="2056567"/>
        <n v="62150310"/>
        <n v="9340299"/>
        <n v="3912924"/>
        <n v="8159466"/>
        <n v="7467198"/>
        <n v="4703748"/>
        <n v="1165705"/>
        <n v="90762334"/>
        <n v="16527855"/>
        <n v="1055495"/>
        <n v="9120318"/>
        <n v="4030817"/>
        <n v="1025756"/>
        <n v="29880225"/>
        <n v="4791902"/>
        <n v="5228419"/>
        <n v="8991671"/>
        <n v="8045338707"/>
        <n v="9192546"/>
        <n v="9664752"/>
        <n v="62653835"/>
        <n v="6087301"/>
        <n v="3864488"/>
        <n v="5604405"/>
        <n v="4774889"/>
        <n v="4017213"/>
        <n v="4720934"/>
        <n v="13494237"/>
        <n v="71807686"/>
        <n v="7865609"/>
        <n v="5318850"/>
        <n v="63613334"/>
        <n v="2256093"/>
        <n v="7421094"/>
        <n v="5376362"/>
        <n v="8967842"/>
        <n v="76644634"/>
        <n v="3524259"/>
        <n v="5550678"/>
        <n v="8799570155"/>
        <n v="9329226"/>
        <n v="9219408"/>
        <n v="2163209"/>
        <n v="98021540"/>
        <n v="2188847"/>
        <n v="2419817"/>
        <n v="8938444"/>
        <n v="8512255"/>
        <n v="7488966"/>
        <n v="6131743"/>
        <n v="71564278"/>
        <n v="4529192"/>
        <n v="2193730"/>
        <n v="3120387"/>
        <n v="5726531"/>
        <n v="4659808"/>
        <n v="55896338"/>
        <n v="9747403"/>
        <n v="5687447"/>
        <n v="78940032"/>
        <n v="1094486764"/>
        <n v="2611045"/>
        <n v="6047761"/>
        <n v="8895257"/>
        <n v="2199311"/>
        <n v="17864361"/>
        <n v="6943996503"/>
        <n v="9547712"/>
        <n v="3925701"/>
        <n v="78009874"/>
        <n v="8590206"/>
        <n v="7273239"/>
        <n v="9975967"/>
        <n v="2134315"/>
        <n v="6919928"/>
        <n v="1639829"/>
        <n v="8585321"/>
        <n v="1661643168"/>
        <n v="5136126"/>
        <n v="9747700"/>
        <n v="8387594"/>
        <n v="65166542"/>
        <n v="77607017"/>
        <n v="9028434625"/>
        <n v="7503173"/>
        <n v="9039872"/>
        <n v="45940361"/>
        <n v="6242177"/>
        <n v="60454232"/>
        <n v="4060894"/>
        <n v="8223406"/>
        <n v="95805020"/>
        <n v="2849439"/>
        <n v="9589060"/>
        <n v="2603125"/>
        <n v="8770898"/>
        <n v="3224960"/>
        <n v="4150421"/>
        <n v="44302763"/>
        <n v="1922212"/>
        <n v="9603024"/>
        <n v="1640513"/>
        <n v="16592072"/>
        <n v="4895290"/>
        <n v="8715278"/>
        <n v="1462418"/>
        <n v="8077806"/>
        <n v="5759409"/>
        <n v="6257971"/>
        <n v="91129571"/>
        <n v="6884037"/>
        <n v="26766818"/>
        <n v="9941776"/>
        <n v="9045402"/>
        <n v="7662302259"/>
        <n v="2756059784"/>
        <n v="8667012"/>
        <n v="34964547"/>
        <n v="9357185"/>
        <n v="12471534"/>
        <n v="1003402"/>
        <n v="4509550"/>
        <n v="5356824"/>
        <n v="5086182"/>
        <n v="2107985"/>
        <n v="9388066"/>
        <n v="4614100"/>
        <n v="8279741"/>
        <n v="9564752674"/>
        <n v="1451455"/>
        <n v="8156713"/>
        <n v="24024164"/>
        <n v="75122204"/>
        <n v="33166727"/>
        <n v="5087484"/>
        <n v="47615054"/>
        <n v="7775602353"/>
        <n v="9533304954"/>
        <n v="7564861"/>
        <n v="37930610"/>
        <n v="7518300"/>
        <n v="9233918039"/>
        <n v="5744555"/>
        <n v="17005785"/>
        <n v="35281950"/>
        <n v="3236046"/>
        <n v="20149106"/>
        <n v="6124638"/>
        <n v="1090396060"/>
        <n v="9355422"/>
        <n v="9950462"/>
        <n v="2474506"/>
        <n v="2462682"/>
        <n v="8159788"/>
        <n v="6384230"/>
        <n v="3263854"/>
        <n v="8489588"/>
        <n v="57211290"/>
        <n v="7225111"/>
        <n v="5418543"/>
        <n v="6439414"/>
        <n v="61228399"/>
        <n v="9282166"/>
        <n v="6426246"/>
        <n v="9791237"/>
        <n v="1830251"/>
        <n v="42603700"/>
        <n v="3983714"/>
        <n v="4520226"/>
        <n v="3767866"/>
        <n v="6051341"/>
        <n v="4326245"/>
        <n v="5356378"/>
        <n v="1302842"/>
        <n v="2025194"/>
        <n v="6703754"/>
        <n v="86965710"/>
        <n v="9797571"/>
        <n v="34628061"/>
        <n v="6716140"/>
        <n v="9709339"/>
        <n v="1331802"/>
        <n v="4824250"/>
        <n v="3931914"/>
        <n v="79698655"/>
        <n v="5387521845"/>
        <n v="1927908"/>
        <n v="7975900"/>
        <n v="1731500345"/>
        <n v="5926011"/>
        <n v="53370610"/>
        <n v="8060169"/>
        <n v="9147613"/>
        <n v="3537655"/>
        <n v="96302157"/>
        <n v="1809111"/>
        <n v="8493652"/>
        <n v="1026326"/>
        <n v="1475165"/>
        <n v="9861652"/>
        <n v="5446203"/>
        <n v="7762020"/>
        <n v="4045129075"/>
        <n v="96736796"/>
        <n v="1035023"/>
      </sharedItems>
    </cacheField>
    <cacheField name="data" numFmtId="14">
      <sharedItems containsSemiMixedTypes="0" containsNonDate="0" containsDate="1" containsString="0" minDate="2017-07-03T00:00:00" maxDate="2017-08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6.680317129627" createdVersion="8" refreshedVersion="8" minRefreshableVersion="3" recordCount="2148" xr:uid="{970F3023-7BAF-43D3-9FD7-9B187A7ED1C4}">
  <cacheSource type="worksheet">
    <worksheetSource ref="B1:C2149" sheet="2"/>
  </cacheSource>
  <cacheFields count="2">
    <cacheField name="rodzaj" numFmtId="0">
      <sharedItems count="3">
        <s v="stacjonarny"/>
        <s v="komorkowy"/>
        <s v="zagraniczny"/>
      </sharedItems>
    </cacheField>
    <cacheField name="data" numFmtId="14">
      <sharedItems containsSemiMixedTypes="0" containsNonDate="0" containsDate="1" containsString="0" minDate="2017-07-03T00:00:00" maxDate="2017-08-01T00:00:00" count="21"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406.716414930554" createdVersion="8" refreshedVersion="8" minRefreshableVersion="3" recordCount="2148" xr:uid="{A438F43E-420B-4FBD-A4DF-59D732B7D104}">
  <cacheSource type="worksheet">
    <worksheetSource ref="D1:H2149" sheet="3"/>
  </cacheSource>
  <cacheFields count="5">
    <cacheField name="spelnia" numFmtId="0">
      <sharedItems containsSemiMixedTypes="0" containsString="0" containsNumber="1" containsInteger="1" minValue="0" maxValue="1" count="2">
        <n v="0"/>
        <n v="1"/>
      </sharedItems>
    </cacheField>
    <cacheField name="data" numFmtId="14">
      <sharedItems containsSemiMixedTypes="0" containsNonDate="0" containsDate="1" containsString="0" minDate="2017-07-03T00:00:00" maxDate="2017-08-01T00:00:00"/>
    </cacheField>
    <cacheField name="rozpoczecie" numFmtId="21">
      <sharedItems containsSemiMixedTypes="0" containsNonDate="0" containsDate="1" containsString="0" minDate="1899-12-30T08:00:19" maxDate="1899-12-30T15:06:44"/>
    </cacheField>
    <cacheField name="zakonczenie" numFmtId="21">
      <sharedItems containsSemiMixedTypes="0" containsNonDate="0" containsDate="1" containsString="0" minDate="1899-12-30T08:04:55" maxDate="1899-12-30T15:18:49"/>
    </cacheField>
    <cacheField name="czas" numFmtId="21">
      <sharedItems containsSemiMixedTypes="0" containsNonDate="0" containsDate="1" containsString="0" minDate="1899-12-30T00:00:00" maxDate="1899-12-30T00:16: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x v="0"/>
    <d v="2017-07-03T00:00:00"/>
  </r>
  <r>
    <x v="1"/>
    <d v="2017-07-03T00:00:00"/>
  </r>
  <r>
    <x v="1"/>
    <d v="2017-07-03T00:00:00"/>
  </r>
  <r>
    <x v="2"/>
    <d v="2017-07-03T00:00:00"/>
  </r>
  <r>
    <x v="3"/>
    <d v="2017-07-03T00:00:00"/>
  </r>
  <r>
    <x v="4"/>
    <d v="2017-07-03T00:00:00"/>
  </r>
  <r>
    <x v="5"/>
    <d v="2017-07-03T00:00:00"/>
  </r>
  <r>
    <x v="6"/>
    <d v="2017-07-03T00:00:00"/>
  </r>
  <r>
    <x v="1"/>
    <d v="2017-07-03T00:00:00"/>
  </r>
  <r>
    <x v="7"/>
    <d v="2017-07-03T00:00:00"/>
  </r>
  <r>
    <x v="8"/>
    <d v="2017-07-03T00:00:00"/>
  </r>
  <r>
    <x v="9"/>
    <d v="2017-07-03T00:00:00"/>
  </r>
  <r>
    <x v="10"/>
    <d v="2017-07-03T00:00:00"/>
  </r>
  <r>
    <x v="5"/>
    <d v="2017-07-03T00:00:00"/>
  </r>
  <r>
    <x v="11"/>
    <d v="2017-07-03T00:00:00"/>
  </r>
  <r>
    <x v="9"/>
    <d v="2017-07-03T00:00:00"/>
  </r>
  <r>
    <x v="8"/>
    <d v="2017-07-03T00:00:00"/>
  </r>
  <r>
    <x v="12"/>
    <d v="2017-07-03T00:00:00"/>
  </r>
  <r>
    <x v="13"/>
    <d v="2017-07-03T00:00:00"/>
  </r>
  <r>
    <x v="14"/>
    <d v="2017-07-03T00:00:00"/>
  </r>
  <r>
    <x v="15"/>
    <d v="2017-07-03T00:00:00"/>
  </r>
  <r>
    <x v="16"/>
    <d v="2017-07-03T00:00:00"/>
  </r>
  <r>
    <x v="17"/>
    <d v="2017-07-03T00:00:00"/>
  </r>
  <r>
    <x v="18"/>
    <d v="2017-07-03T00:00:00"/>
  </r>
  <r>
    <x v="19"/>
    <d v="2017-07-03T00:00:00"/>
  </r>
  <r>
    <x v="20"/>
    <d v="2017-07-03T00:00:00"/>
  </r>
  <r>
    <x v="21"/>
    <d v="2017-07-03T00:00:00"/>
  </r>
  <r>
    <x v="22"/>
    <d v="2017-07-03T00:00:00"/>
  </r>
  <r>
    <x v="23"/>
    <d v="2017-07-03T00:00:00"/>
  </r>
  <r>
    <x v="24"/>
    <d v="2017-07-03T00:00:00"/>
  </r>
  <r>
    <x v="25"/>
    <d v="2017-07-03T00:00:00"/>
  </r>
  <r>
    <x v="26"/>
    <d v="2017-07-03T00:00:00"/>
  </r>
  <r>
    <x v="27"/>
    <d v="2017-07-03T00:00:00"/>
  </r>
  <r>
    <x v="27"/>
    <d v="2017-07-03T00:00:00"/>
  </r>
  <r>
    <x v="28"/>
    <d v="2017-07-03T00:00:00"/>
  </r>
  <r>
    <x v="29"/>
    <d v="2017-07-03T00:00:00"/>
  </r>
  <r>
    <x v="30"/>
    <d v="2017-07-03T00:00:00"/>
  </r>
  <r>
    <x v="1"/>
    <d v="2017-07-03T00:00:00"/>
  </r>
  <r>
    <x v="31"/>
    <d v="2017-07-03T00:00:00"/>
  </r>
  <r>
    <x v="32"/>
    <d v="2017-07-03T00:00:00"/>
  </r>
  <r>
    <x v="17"/>
    <d v="2017-07-03T00:00:00"/>
  </r>
  <r>
    <x v="33"/>
    <d v="2017-07-03T00:00:00"/>
  </r>
  <r>
    <x v="34"/>
    <d v="2017-07-03T00:00:00"/>
  </r>
  <r>
    <x v="35"/>
    <d v="2017-07-03T00:00:00"/>
  </r>
  <r>
    <x v="36"/>
    <d v="2017-07-03T00:00:00"/>
  </r>
  <r>
    <x v="37"/>
    <d v="2017-07-03T00:00:00"/>
  </r>
  <r>
    <x v="38"/>
    <d v="2017-07-03T00:00:00"/>
  </r>
  <r>
    <x v="39"/>
    <d v="2017-07-03T00:00:00"/>
  </r>
  <r>
    <x v="40"/>
    <d v="2017-07-03T00:00:00"/>
  </r>
  <r>
    <x v="41"/>
    <d v="2017-07-03T00:00:00"/>
  </r>
  <r>
    <x v="42"/>
    <d v="2017-07-03T00:00:00"/>
  </r>
  <r>
    <x v="43"/>
    <d v="2017-07-03T00:00:00"/>
  </r>
  <r>
    <x v="44"/>
    <d v="2017-07-03T00:00:00"/>
  </r>
  <r>
    <x v="1"/>
    <d v="2017-07-03T00:00:00"/>
  </r>
  <r>
    <x v="45"/>
    <d v="2017-07-03T00:00:00"/>
  </r>
  <r>
    <x v="46"/>
    <d v="2017-07-03T00:00:00"/>
  </r>
  <r>
    <x v="47"/>
    <d v="2017-07-03T00:00:00"/>
  </r>
  <r>
    <x v="48"/>
    <d v="2017-07-03T00:00:00"/>
  </r>
  <r>
    <x v="3"/>
    <d v="2017-07-03T00:00:00"/>
  </r>
  <r>
    <x v="49"/>
    <d v="2017-07-03T00:00:00"/>
  </r>
  <r>
    <x v="1"/>
    <d v="2017-07-03T00:00:00"/>
  </r>
  <r>
    <x v="50"/>
    <d v="2017-07-03T00:00:00"/>
  </r>
  <r>
    <x v="51"/>
    <d v="2017-07-03T00:00:00"/>
  </r>
  <r>
    <x v="52"/>
    <d v="2017-07-03T00:00:00"/>
  </r>
  <r>
    <x v="53"/>
    <d v="2017-07-03T00:00:00"/>
  </r>
  <r>
    <x v="54"/>
    <d v="2017-07-03T00:00:00"/>
  </r>
  <r>
    <x v="55"/>
    <d v="2017-07-03T00:00:00"/>
  </r>
  <r>
    <x v="22"/>
    <d v="2017-07-03T00:00:00"/>
  </r>
  <r>
    <x v="56"/>
    <d v="2017-07-03T00:00:00"/>
  </r>
  <r>
    <x v="57"/>
    <d v="2017-07-03T00:00:00"/>
  </r>
  <r>
    <x v="58"/>
    <d v="2017-07-03T00:00:00"/>
  </r>
  <r>
    <x v="59"/>
    <d v="2017-07-03T00:00:00"/>
  </r>
  <r>
    <x v="36"/>
    <d v="2017-07-03T00:00:00"/>
  </r>
  <r>
    <x v="60"/>
    <d v="2017-07-03T00:00:00"/>
  </r>
  <r>
    <x v="53"/>
    <d v="2017-07-03T00:00:00"/>
  </r>
  <r>
    <x v="61"/>
    <d v="2017-07-03T00:00:00"/>
  </r>
  <r>
    <x v="62"/>
    <d v="2017-07-03T00:00:00"/>
  </r>
  <r>
    <x v="63"/>
    <d v="2017-07-03T00:00:00"/>
  </r>
  <r>
    <x v="64"/>
    <d v="2017-07-03T00:00:00"/>
  </r>
  <r>
    <x v="65"/>
    <d v="2017-07-03T00:00:00"/>
  </r>
  <r>
    <x v="66"/>
    <d v="2017-07-03T00:00:00"/>
  </r>
  <r>
    <x v="67"/>
    <d v="2017-07-03T00:00:00"/>
  </r>
  <r>
    <x v="64"/>
    <d v="2017-07-03T00:00:00"/>
  </r>
  <r>
    <x v="68"/>
    <d v="2017-07-03T00:00:00"/>
  </r>
  <r>
    <x v="69"/>
    <d v="2017-07-03T00:00:00"/>
  </r>
  <r>
    <x v="70"/>
    <d v="2017-07-03T00:00:00"/>
  </r>
  <r>
    <x v="71"/>
    <d v="2017-07-03T00:00:00"/>
  </r>
  <r>
    <x v="72"/>
    <d v="2017-07-03T00:00:00"/>
  </r>
  <r>
    <x v="4"/>
    <d v="2017-07-03T00:00:00"/>
  </r>
  <r>
    <x v="73"/>
    <d v="2017-07-03T00:00:00"/>
  </r>
  <r>
    <x v="74"/>
    <d v="2017-07-03T00:00:00"/>
  </r>
  <r>
    <x v="75"/>
    <d v="2017-07-03T00:00:00"/>
  </r>
  <r>
    <x v="76"/>
    <d v="2017-07-03T00:00:00"/>
  </r>
  <r>
    <x v="77"/>
    <d v="2017-07-03T00:00:00"/>
  </r>
  <r>
    <x v="78"/>
    <d v="2017-07-03T00:00:00"/>
  </r>
  <r>
    <x v="79"/>
    <d v="2017-07-03T00:00:00"/>
  </r>
  <r>
    <x v="80"/>
    <d v="2017-07-03T00:00:00"/>
  </r>
  <r>
    <x v="81"/>
    <d v="2017-07-04T00:00:00"/>
  </r>
  <r>
    <x v="82"/>
    <d v="2017-07-04T00:00:00"/>
  </r>
  <r>
    <x v="16"/>
    <d v="2017-07-04T00:00:00"/>
  </r>
  <r>
    <x v="83"/>
    <d v="2017-07-04T00:00:00"/>
  </r>
  <r>
    <x v="84"/>
    <d v="2017-07-04T00:00:00"/>
  </r>
  <r>
    <x v="85"/>
    <d v="2017-07-04T00:00:00"/>
  </r>
  <r>
    <x v="84"/>
    <d v="2017-07-04T00:00:00"/>
  </r>
  <r>
    <x v="86"/>
    <d v="2017-07-04T00:00:00"/>
  </r>
  <r>
    <x v="47"/>
    <d v="2017-07-04T00:00:00"/>
  </r>
  <r>
    <x v="87"/>
    <d v="2017-07-04T00:00:00"/>
  </r>
  <r>
    <x v="88"/>
    <d v="2017-07-04T00:00:00"/>
  </r>
  <r>
    <x v="89"/>
    <d v="2017-07-04T00:00:00"/>
  </r>
  <r>
    <x v="64"/>
    <d v="2017-07-04T00:00:00"/>
  </r>
  <r>
    <x v="90"/>
    <d v="2017-07-04T00:00:00"/>
  </r>
  <r>
    <x v="91"/>
    <d v="2017-07-04T00:00:00"/>
  </r>
  <r>
    <x v="92"/>
    <d v="2017-07-04T00:00:00"/>
  </r>
  <r>
    <x v="93"/>
    <d v="2017-07-04T00:00:00"/>
  </r>
  <r>
    <x v="69"/>
    <d v="2017-07-04T00:00:00"/>
  </r>
  <r>
    <x v="94"/>
    <d v="2017-07-04T00:00:00"/>
  </r>
  <r>
    <x v="95"/>
    <d v="2017-07-04T00:00:00"/>
  </r>
  <r>
    <x v="96"/>
    <d v="2017-07-04T00:00:00"/>
  </r>
  <r>
    <x v="97"/>
    <d v="2017-07-04T00:00:00"/>
  </r>
  <r>
    <x v="98"/>
    <d v="2017-07-04T00:00:00"/>
  </r>
  <r>
    <x v="38"/>
    <d v="2017-07-04T00:00:00"/>
  </r>
  <r>
    <x v="99"/>
    <d v="2017-07-04T00:00:00"/>
  </r>
  <r>
    <x v="100"/>
    <d v="2017-07-04T00:00:00"/>
  </r>
  <r>
    <x v="50"/>
    <d v="2017-07-04T00:00:00"/>
  </r>
  <r>
    <x v="101"/>
    <d v="2017-07-04T00:00:00"/>
  </r>
  <r>
    <x v="102"/>
    <d v="2017-07-04T00:00:00"/>
  </r>
  <r>
    <x v="1"/>
    <d v="2017-07-04T00:00:00"/>
  </r>
  <r>
    <x v="43"/>
    <d v="2017-07-04T00:00:00"/>
  </r>
  <r>
    <x v="103"/>
    <d v="2017-07-04T00:00:00"/>
  </r>
  <r>
    <x v="104"/>
    <d v="2017-07-04T00:00:00"/>
  </r>
  <r>
    <x v="105"/>
    <d v="2017-07-04T00:00:00"/>
  </r>
  <r>
    <x v="106"/>
    <d v="2017-07-04T00:00:00"/>
  </r>
  <r>
    <x v="107"/>
    <d v="2017-07-04T00:00:00"/>
  </r>
  <r>
    <x v="108"/>
    <d v="2017-07-04T00:00:00"/>
  </r>
  <r>
    <x v="109"/>
    <d v="2017-07-04T00:00:00"/>
  </r>
  <r>
    <x v="110"/>
    <d v="2017-07-04T00:00:00"/>
  </r>
  <r>
    <x v="111"/>
    <d v="2017-07-04T00:00:00"/>
  </r>
  <r>
    <x v="112"/>
    <d v="2017-07-04T00:00:00"/>
  </r>
  <r>
    <x v="113"/>
    <d v="2017-07-04T00:00:00"/>
  </r>
  <r>
    <x v="113"/>
    <d v="2017-07-04T00:00:00"/>
  </r>
  <r>
    <x v="114"/>
    <d v="2017-07-04T00:00:00"/>
  </r>
  <r>
    <x v="115"/>
    <d v="2017-07-04T00:00:00"/>
  </r>
  <r>
    <x v="116"/>
    <d v="2017-07-04T00:00:00"/>
  </r>
  <r>
    <x v="117"/>
    <d v="2017-07-04T00:00:00"/>
  </r>
  <r>
    <x v="118"/>
    <d v="2017-07-04T00:00:00"/>
  </r>
  <r>
    <x v="119"/>
    <d v="2017-07-04T00:00:00"/>
  </r>
  <r>
    <x v="120"/>
    <d v="2017-07-04T00:00:00"/>
  </r>
  <r>
    <x v="121"/>
    <d v="2017-07-04T00:00:00"/>
  </r>
  <r>
    <x v="122"/>
    <d v="2017-07-04T00:00:00"/>
  </r>
  <r>
    <x v="123"/>
    <d v="2017-07-04T00:00:00"/>
  </r>
  <r>
    <x v="124"/>
    <d v="2017-07-04T00:00:00"/>
  </r>
  <r>
    <x v="125"/>
    <d v="2017-07-04T00:00:00"/>
  </r>
  <r>
    <x v="126"/>
    <d v="2017-07-04T00:00:00"/>
  </r>
  <r>
    <x v="127"/>
    <d v="2017-07-04T00:00:00"/>
  </r>
  <r>
    <x v="128"/>
    <d v="2017-07-04T00:00:00"/>
  </r>
  <r>
    <x v="129"/>
    <d v="2017-07-04T00:00:00"/>
  </r>
  <r>
    <x v="130"/>
    <d v="2017-07-04T00:00:00"/>
  </r>
  <r>
    <x v="131"/>
    <d v="2017-07-04T00:00:00"/>
  </r>
  <r>
    <x v="132"/>
    <d v="2017-07-04T00:00:00"/>
  </r>
  <r>
    <x v="94"/>
    <d v="2017-07-04T00:00:00"/>
  </r>
  <r>
    <x v="133"/>
    <d v="2017-07-04T00:00:00"/>
  </r>
  <r>
    <x v="134"/>
    <d v="2017-07-04T00:00:00"/>
  </r>
  <r>
    <x v="80"/>
    <d v="2017-07-04T00:00:00"/>
  </r>
  <r>
    <x v="83"/>
    <d v="2017-07-04T00:00:00"/>
  </r>
  <r>
    <x v="135"/>
    <d v="2017-07-04T00:00:00"/>
  </r>
  <r>
    <x v="136"/>
    <d v="2017-07-04T00:00:00"/>
  </r>
  <r>
    <x v="137"/>
    <d v="2017-07-04T00:00:00"/>
  </r>
  <r>
    <x v="138"/>
    <d v="2017-07-04T00:00:00"/>
  </r>
  <r>
    <x v="139"/>
    <d v="2017-07-04T00:00:00"/>
  </r>
  <r>
    <x v="140"/>
    <d v="2017-07-04T00:00:00"/>
  </r>
  <r>
    <x v="141"/>
    <d v="2017-07-04T00:00:00"/>
  </r>
  <r>
    <x v="142"/>
    <d v="2017-07-04T00:00:00"/>
  </r>
  <r>
    <x v="143"/>
    <d v="2017-07-04T00:00:00"/>
  </r>
  <r>
    <x v="144"/>
    <d v="2017-07-04T00:00:00"/>
  </r>
  <r>
    <x v="145"/>
    <d v="2017-07-04T00:00:00"/>
  </r>
  <r>
    <x v="146"/>
    <d v="2017-07-04T00:00:00"/>
  </r>
  <r>
    <x v="4"/>
    <d v="2017-07-04T00:00:00"/>
  </r>
  <r>
    <x v="147"/>
    <d v="2017-07-04T00:00:00"/>
  </r>
  <r>
    <x v="148"/>
    <d v="2017-07-04T00:00:00"/>
  </r>
  <r>
    <x v="149"/>
    <d v="2017-07-04T00:00:00"/>
  </r>
  <r>
    <x v="150"/>
    <d v="2017-07-04T00:00:00"/>
  </r>
  <r>
    <x v="151"/>
    <d v="2017-07-04T00:00:00"/>
  </r>
  <r>
    <x v="152"/>
    <d v="2017-07-04T00:00:00"/>
  </r>
  <r>
    <x v="153"/>
    <d v="2017-07-04T00:00:00"/>
  </r>
  <r>
    <x v="80"/>
    <d v="2017-07-04T00:00:00"/>
  </r>
  <r>
    <x v="154"/>
    <d v="2017-07-04T00:00:00"/>
  </r>
  <r>
    <x v="155"/>
    <d v="2017-07-04T00:00:00"/>
  </r>
  <r>
    <x v="156"/>
    <d v="2017-07-04T00:00:00"/>
  </r>
  <r>
    <x v="157"/>
    <d v="2017-07-04T00:00:00"/>
  </r>
  <r>
    <x v="158"/>
    <d v="2017-07-04T00:00:00"/>
  </r>
  <r>
    <x v="159"/>
    <d v="2017-07-04T00:00:00"/>
  </r>
  <r>
    <x v="111"/>
    <d v="2017-07-04T00:00:00"/>
  </r>
  <r>
    <x v="160"/>
    <d v="2017-07-04T00:00:00"/>
  </r>
  <r>
    <x v="161"/>
    <d v="2017-07-04T00:00:00"/>
  </r>
  <r>
    <x v="150"/>
    <d v="2017-07-05T00:00:00"/>
  </r>
  <r>
    <x v="162"/>
    <d v="2017-07-05T00:00:00"/>
  </r>
  <r>
    <x v="163"/>
    <d v="2017-07-05T00:00:00"/>
  </r>
  <r>
    <x v="164"/>
    <d v="2017-07-05T00:00:00"/>
  </r>
  <r>
    <x v="14"/>
    <d v="2017-07-05T00:00:00"/>
  </r>
  <r>
    <x v="165"/>
    <d v="2017-07-05T00:00:00"/>
  </r>
  <r>
    <x v="166"/>
    <d v="2017-07-05T00:00:00"/>
  </r>
  <r>
    <x v="167"/>
    <d v="2017-07-05T00:00:00"/>
  </r>
  <r>
    <x v="35"/>
    <d v="2017-07-05T00:00:00"/>
  </r>
  <r>
    <x v="168"/>
    <d v="2017-07-05T00:00:00"/>
  </r>
  <r>
    <x v="169"/>
    <d v="2017-07-05T00:00:00"/>
  </r>
  <r>
    <x v="170"/>
    <d v="2017-07-05T00:00:00"/>
  </r>
  <r>
    <x v="171"/>
    <d v="2017-07-05T00:00:00"/>
  </r>
  <r>
    <x v="172"/>
    <d v="2017-07-05T00:00:00"/>
  </r>
  <r>
    <x v="173"/>
    <d v="2017-07-05T00:00:00"/>
  </r>
  <r>
    <x v="174"/>
    <d v="2017-07-05T00:00:00"/>
  </r>
  <r>
    <x v="175"/>
    <d v="2017-07-05T00:00:00"/>
  </r>
  <r>
    <x v="176"/>
    <d v="2017-07-05T00:00:00"/>
  </r>
  <r>
    <x v="177"/>
    <d v="2017-07-05T00:00:00"/>
  </r>
  <r>
    <x v="40"/>
    <d v="2017-07-05T00:00:00"/>
  </r>
  <r>
    <x v="178"/>
    <d v="2017-07-05T00:00:00"/>
  </r>
  <r>
    <x v="179"/>
    <d v="2017-07-05T00:00:00"/>
  </r>
  <r>
    <x v="179"/>
    <d v="2017-07-05T00:00:00"/>
  </r>
  <r>
    <x v="180"/>
    <d v="2017-07-05T00:00:00"/>
  </r>
  <r>
    <x v="181"/>
    <d v="2017-07-05T00:00:00"/>
  </r>
  <r>
    <x v="182"/>
    <d v="2017-07-05T00:00:00"/>
  </r>
  <r>
    <x v="183"/>
    <d v="2017-07-05T00:00:00"/>
  </r>
  <r>
    <x v="184"/>
    <d v="2017-07-05T00:00:00"/>
  </r>
  <r>
    <x v="185"/>
    <d v="2017-07-05T00:00:00"/>
  </r>
  <r>
    <x v="186"/>
    <d v="2017-07-05T00:00:00"/>
  </r>
  <r>
    <x v="187"/>
    <d v="2017-07-05T00:00:00"/>
  </r>
  <r>
    <x v="188"/>
    <d v="2017-07-05T00:00:00"/>
  </r>
  <r>
    <x v="189"/>
    <d v="2017-07-05T00:00:00"/>
  </r>
  <r>
    <x v="26"/>
    <d v="2017-07-05T00:00:00"/>
  </r>
  <r>
    <x v="190"/>
    <d v="2017-07-05T00:00:00"/>
  </r>
  <r>
    <x v="191"/>
    <d v="2017-07-05T00:00:00"/>
  </r>
  <r>
    <x v="192"/>
    <d v="2017-07-05T00:00:00"/>
  </r>
  <r>
    <x v="193"/>
    <d v="2017-07-05T00:00:00"/>
  </r>
  <r>
    <x v="194"/>
    <d v="2017-07-05T00:00:00"/>
  </r>
  <r>
    <x v="195"/>
    <d v="2017-07-05T00:00:00"/>
  </r>
  <r>
    <x v="196"/>
    <d v="2017-07-05T00:00:00"/>
  </r>
  <r>
    <x v="197"/>
    <d v="2017-07-05T00:00:00"/>
  </r>
  <r>
    <x v="198"/>
    <d v="2017-07-05T00:00:00"/>
  </r>
  <r>
    <x v="199"/>
    <d v="2017-07-05T00:00:00"/>
  </r>
  <r>
    <x v="200"/>
    <d v="2017-07-05T00:00:00"/>
  </r>
  <r>
    <x v="33"/>
    <d v="2017-07-05T00:00:00"/>
  </r>
  <r>
    <x v="201"/>
    <d v="2017-07-05T00:00:00"/>
  </r>
  <r>
    <x v="202"/>
    <d v="2017-07-05T00:00:00"/>
  </r>
  <r>
    <x v="203"/>
    <d v="2017-07-05T00:00:00"/>
  </r>
  <r>
    <x v="204"/>
    <d v="2017-07-05T00:00:00"/>
  </r>
  <r>
    <x v="205"/>
    <d v="2017-07-05T00:00:00"/>
  </r>
  <r>
    <x v="179"/>
    <d v="2017-07-05T00:00:00"/>
  </r>
  <r>
    <x v="206"/>
    <d v="2017-07-05T00:00:00"/>
  </r>
  <r>
    <x v="207"/>
    <d v="2017-07-05T00:00:00"/>
  </r>
  <r>
    <x v="208"/>
    <d v="2017-07-05T00:00:00"/>
  </r>
  <r>
    <x v="209"/>
    <d v="2017-07-05T00:00:00"/>
  </r>
  <r>
    <x v="210"/>
    <d v="2017-07-05T00:00:00"/>
  </r>
  <r>
    <x v="211"/>
    <d v="2017-07-05T00:00:00"/>
  </r>
  <r>
    <x v="212"/>
    <d v="2017-07-05T00:00:00"/>
  </r>
  <r>
    <x v="213"/>
    <d v="2017-07-05T00:00:00"/>
  </r>
  <r>
    <x v="214"/>
    <d v="2017-07-05T00:00:00"/>
  </r>
  <r>
    <x v="215"/>
    <d v="2017-07-05T00:00:00"/>
  </r>
  <r>
    <x v="20"/>
    <d v="2017-07-05T00:00:00"/>
  </r>
  <r>
    <x v="216"/>
    <d v="2017-07-05T00:00:00"/>
  </r>
  <r>
    <x v="217"/>
    <d v="2017-07-05T00:00:00"/>
  </r>
  <r>
    <x v="218"/>
    <d v="2017-07-05T00:00:00"/>
  </r>
  <r>
    <x v="219"/>
    <d v="2017-07-05T00:00:00"/>
  </r>
  <r>
    <x v="220"/>
    <d v="2017-07-05T00:00:00"/>
  </r>
  <r>
    <x v="0"/>
    <d v="2017-07-05T00:00:00"/>
  </r>
  <r>
    <x v="221"/>
    <d v="2017-07-05T00:00:00"/>
  </r>
  <r>
    <x v="222"/>
    <d v="2017-07-05T00:00:00"/>
  </r>
  <r>
    <x v="223"/>
    <d v="2017-07-05T00:00:00"/>
  </r>
  <r>
    <x v="224"/>
    <d v="2017-07-05T00:00:00"/>
  </r>
  <r>
    <x v="225"/>
    <d v="2017-07-05T00:00:00"/>
  </r>
  <r>
    <x v="226"/>
    <d v="2017-07-05T00:00:00"/>
  </r>
  <r>
    <x v="227"/>
    <d v="2017-07-05T00:00:00"/>
  </r>
  <r>
    <x v="206"/>
    <d v="2017-07-05T00:00:00"/>
  </r>
  <r>
    <x v="228"/>
    <d v="2017-07-05T00:00:00"/>
  </r>
  <r>
    <x v="229"/>
    <d v="2017-07-05T00:00:00"/>
  </r>
  <r>
    <x v="230"/>
    <d v="2017-07-05T00:00:00"/>
  </r>
  <r>
    <x v="231"/>
    <d v="2017-07-05T00:00:00"/>
  </r>
  <r>
    <x v="213"/>
    <d v="2017-07-05T00:00:00"/>
  </r>
  <r>
    <x v="232"/>
    <d v="2017-07-05T00:00:00"/>
  </r>
  <r>
    <x v="133"/>
    <d v="2017-07-05T00:00:00"/>
  </r>
  <r>
    <x v="233"/>
    <d v="2017-07-05T00:00:00"/>
  </r>
  <r>
    <x v="234"/>
    <d v="2017-07-05T00:00:00"/>
  </r>
  <r>
    <x v="27"/>
    <d v="2017-07-05T00:00:00"/>
  </r>
  <r>
    <x v="235"/>
    <d v="2017-07-05T00:00:00"/>
  </r>
  <r>
    <x v="236"/>
    <d v="2017-07-05T00:00:00"/>
  </r>
  <r>
    <x v="237"/>
    <d v="2017-07-05T00:00:00"/>
  </r>
  <r>
    <x v="238"/>
    <d v="2017-07-05T00:00:00"/>
  </r>
  <r>
    <x v="239"/>
    <d v="2017-07-05T00:00:00"/>
  </r>
  <r>
    <x v="240"/>
    <d v="2017-07-05T00:00:00"/>
  </r>
  <r>
    <x v="241"/>
    <d v="2017-07-05T00:00:00"/>
  </r>
  <r>
    <x v="242"/>
    <d v="2017-07-05T00:00:00"/>
  </r>
  <r>
    <x v="243"/>
    <d v="2017-07-05T00:00:00"/>
  </r>
  <r>
    <x v="244"/>
    <d v="2017-07-05T00:00:00"/>
  </r>
  <r>
    <x v="245"/>
    <d v="2017-07-05T00:00:00"/>
  </r>
  <r>
    <x v="246"/>
    <d v="2017-07-05T00:00:00"/>
  </r>
  <r>
    <x v="247"/>
    <d v="2017-07-05T00:00:00"/>
  </r>
  <r>
    <x v="248"/>
    <d v="2017-07-05T00:00:00"/>
  </r>
  <r>
    <x v="249"/>
    <d v="2017-07-05T00:00:00"/>
  </r>
  <r>
    <x v="1"/>
    <d v="2017-07-05T00:00:00"/>
  </r>
  <r>
    <x v="250"/>
    <d v="2017-07-05T00:00:00"/>
  </r>
  <r>
    <x v="251"/>
    <d v="2017-07-05T00:00:00"/>
  </r>
  <r>
    <x v="252"/>
    <d v="2017-07-05T00:00:00"/>
  </r>
  <r>
    <x v="253"/>
    <d v="2017-07-05T00:00:00"/>
  </r>
  <r>
    <x v="254"/>
    <d v="2017-07-05T00:00:00"/>
  </r>
  <r>
    <x v="71"/>
    <d v="2017-07-05T00:00:00"/>
  </r>
  <r>
    <x v="255"/>
    <d v="2017-07-05T00:00:00"/>
  </r>
  <r>
    <x v="256"/>
    <d v="2017-07-05T00:00:00"/>
  </r>
  <r>
    <x v="257"/>
    <d v="2017-07-05T00:00:00"/>
  </r>
  <r>
    <x v="258"/>
    <d v="2017-07-05T00:00:00"/>
  </r>
  <r>
    <x v="259"/>
    <d v="2017-07-06T00:00:00"/>
  </r>
  <r>
    <x v="260"/>
    <d v="2017-07-06T00:00:00"/>
  </r>
  <r>
    <x v="261"/>
    <d v="2017-07-06T00:00:00"/>
  </r>
  <r>
    <x v="262"/>
    <d v="2017-07-06T00:00:00"/>
  </r>
  <r>
    <x v="246"/>
    <d v="2017-07-06T00:00:00"/>
  </r>
  <r>
    <x v="263"/>
    <d v="2017-07-06T00:00:00"/>
  </r>
  <r>
    <x v="264"/>
    <d v="2017-07-06T00:00:00"/>
  </r>
  <r>
    <x v="265"/>
    <d v="2017-07-06T00:00:00"/>
  </r>
  <r>
    <x v="266"/>
    <d v="2017-07-06T00:00:00"/>
  </r>
  <r>
    <x v="267"/>
    <d v="2017-07-06T00:00:00"/>
  </r>
  <r>
    <x v="268"/>
    <d v="2017-07-06T00:00:00"/>
  </r>
  <r>
    <x v="269"/>
    <d v="2017-07-06T00:00:00"/>
  </r>
  <r>
    <x v="270"/>
    <d v="2017-07-06T00:00:00"/>
  </r>
  <r>
    <x v="271"/>
    <d v="2017-07-06T00:00:00"/>
  </r>
  <r>
    <x v="272"/>
    <d v="2017-07-06T00:00:00"/>
  </r>
  <r>
    <x v="5"/>
    <d v="2017-07-06T00:00:00"/>
  </r>
  <r>
    <x v="273"/>
    <d v="2017-07-06T00:00:00"/>
  </r>
  <r>
    <x v="57"/>
    <d v="2017-07-06T00:00:00"/>
  </r>
  <r>
    <x v="274"/>
    <d v="2017-07-06T00:00:00"/>
  </r>
  <r>
    <x v="275"/>
    <d v="2017-07-06T00:00:00"/>
  </r>
  <r>
    <x v="276"/>
    <d v="2017-07-06T00:00:00"/>
  </r>
  <r>
    <x v="277"/>
    <d v="2017-07-06T00:00:00"/>
  </r>
  <r>
    <x v="278"/>
    <d v="2017-07-06T00:00:00"/>
  </r>
  <r>
    <x v="279"/>
    <d v="2017-07-06T00:00:00"/>
  </r>
  <r>
    <x v="280"/>
    <d v="2017-07-06T00:00:00"/>
  </r>
  <r>
    <x v="281"/>
    <d v="2017-07-06T00:00:00"/>
  </r>
  <r>
    <x v="66"/>
    <d v="2017-07-06T00:00:00"/>
  </r>
  <r>
    <x v="8"/>
    <d v="2017-07-06T00:00:00"/>
  </r>
  <r>
    <x v="282"/>
    <d v="2017-07-06T00:00:00"/>
  </r>
  <r>
    <x v="283"/>
    <d v="2017-07-06T00:00:00"/>
  </r>
  <r>
    <x v="284"/>
    <d v="2017-07-06T00:00:00"/>
  </r>
  <r>
    <x v="285"/>
    <d v="2017-07-06T00:00:00"/>
  </r>
  <r>
    <x v="286"/>
    <d v="2017-07-06T00:00:00"/>
  </r>
  <r>
    <x v="287"/>
    <d v="2017-07-06T00:00:00"/>
  </r>
  <r>
    <x v="288"/>
    <d v="2017-07-06T00:00:00"/>
  </r>
  <r>
    <x v="289"/>
    <d v="2017-07-06T00:00:00"/>
  </r>
  <r>
    <x v="290"/>
    <d v="2017-07-06T00:00:00"/>
  </r>
  <r>
    <x v="291"/>
    <d v="2017-07-06T00:00:00"/>
  </r>
  <r>
    <x v="292"/>
    <d v="2017-07-06T00:00:00"/>
  </r>
  <r>
    <x v="293"/>
    <d v="2017-07-06T00:00:00"/>
  </r>
  <r>
    <x v="20"/>
    <d v="2017-07-06T00:00:00"/>
  </r>
  <r>
    <x v="294"/>
    <d v="2017-07-06T00:00:00"/>
  </r>
  <r>
    <x v="295"/>
    <d v="2017-07-06T00:00:00"/>
  </r>
  <r>
    <x v="296"/>
    <d v="2017-07-06T00:00:00"/>
  </r>
  <r>
    <x v="97"/>
    <d v="2017-07-06T00:00:00"/>
  </r>
  <r>
    <x v="244"/>
    <d v="2017-07-06T00:00:00"/>
  </r>
  <r>
    <x v="297"/>
    <d v="2017-07-06T00:00:00"/>
  </r>
  <r>
    <x v="298"/>
    <d v="2017-07-06T00:00:00"/>
  </r>
  <r>
    <x v="299"/>
    <d v="2017-07-06T00:00:00"/>
  </r>
  <r>
    <x v="300"/>
    <d v="2017-07-06T00:00:00"/>
  </r>
  <r>
    <x v="301"/>
    <d v="2017-07-06T00:00:00"/>
  </r>
  <r>
    <x v="302"/>
    <d v="2017-07-06T00:00:00"/>
  </r>
  <r>
    <x v="303"/>
    <d v="2017-07-06T00:00:00"/>
  </r>
  <r>
    <x v="304"/>
    <d v="2017-07-06T00:00:00"/>
  </r>
  <r>
    <x v="305"/>
    <d v="2017-07-06T00:00:00"/>
  </r>
  <r>
    <x v="306"/>
    <d v="2017-07-06T00:00:00"/>
  </r>
  <r>
    <x v="307"/>
    <d v="2017-07-06T00:00:00"/>
  </r>
  <r>
    <x v="308"/>
    <d v="2017-07-06T00:00:00"/>
  </r>
  <r>
    <x v="309"/>
    <d v="2017-07-06T00:00:00"/>
  </r>
  <r>
    <x v="310"/>
    <d v="2017-07-06T00:00:00"/>
  </r>
  <r>
    <x v="311"/>
    <d v="2017-07-06T00:00:00"/>
  </r>
  <r>
    <x v="312"/>
    <d v="2017-07-06T00:00:00"/>
  </r>
  <r>
    <x v="313"/>
    <d v="2017-07-06T00:00:00"/>
  </r>
  <r>
    <x v="314"/>
    <d v="2017-07-06T00:00:00"/>
  </r>
  <r>
    <x v="315"/>
    <d v="2017-07-06T00:00:00"/>
  </r>
  <r>
    <x v="316"/>
    <d v="2017-07-06T00:00:00"/>
  </r>
  <r>
    <x v="317"/>
    <d v="2017-07-06T00:00:00"/>
  </r>
  <r>
    <x v="318"/>
    <d v="2017-07-06T00:00:00"/>
  </r>
  <r>
    <x v="319"/>
    <d v="2017-07-06T00:00:00"/>
  </r>
  <r>
    <x v="320"/>
    <d v="2017-07-06T00:00:00"/>
  </r>
  <r>
    <x v="321"/>
    <d v="2017-07-06T00:00:00"/>
  </r>
  <r>
    <x v="322"/>
    <d v="2017-07-06T00:00:00"/>
  </r>
  <r>
    <x v="323"/>
    <d v="2017-07-06T00:00:00"/>
  </r>
  <r>
    <x v="324"/>
    <d v="2017-07-06T00:00:00"/>
  </r>
  <r>
    <x v="262"/>
    <d v="2017-07-06T00:00:00"/>
  </r>
  <r>
    <x v="325"/>
    <d v="2017-07-06T00:00:00"/>
  </r>
  <r>
    <x v="326"/>
    <d v="2017-07-06T00:00:00"/>
  </r>
  <r>
    <x v="327"/>
    <d v="2017-07-06T00:00:00"/>
  </r>
  <r>
    <x v="328"/>
    <d v="2017-07-06T00:00:00"/>
  </r>
  <r>
    <x v="329"/>
    <d v="2017-07-06T00:00:00"/>
  </r>
  <r>
    <x v="330"/>
    <d v="2017-07-06T00:00:00"/>
  </r>
  <r>
    <x v="289"/>
    <d v="2017-07-06T00:00:00"/>
  </r>
  <r>
    <x v="331"/>
    <d v="2017-07-06T00:00:00"/>
  </r>
  <r>
    <x v="332"/>
    <d v="2017-07-06T00:00:00"/>
  </r>
  <r>
    <x v="333"/>
    <d v="2017-07-06T00:00:00"/>
  </r>
  <r>
    <x v="334"/>
    <d v="2017-07-06T00:00:00"/>
  </r>
  <r>
    <x v="335"/>
    <d v="2017-07-06T00:00:00"/>
  </r>
  <r>
    <x v="336"/>
    <d v="2017-07-06T00:00:00"/>
  </r>
  <r>
    <x v="337"/>
    <d v="2017-07-06T00:00:00"/>
  </r>
  <r>
    <x v="338"/>
    <d v="2017-07-06T00:00:00"/>
  </r>
  <r>
    <x v="339"/>
    <d v="2017-07-06T00:00:00"/>
  </r>
  <r>
    <x v="340"/>
    <d v="2017-07-06T00:00:00"/>
  </r>
  <r>
    <x v="341"/>
    <d v="2017-07-06T00:00:00"/>
  </r>
  <r>
    <x v="342"/>
    <d v="2017-07-06T00:00:00"/>
  </r>
  <r>
    <x v="343"/>
    <d v="2017-07-06T00:00:00"/>
  </r>
  <r>
    <x v="344"/>
    <d v="2017-07-06T00:00:00"/>
  </r>
  <r>
    <x v="345"/>
    <d v="2017-07-06T00:00:00"/>
  </r>
  <r>
    <x v="346"/>
    <d v="2017-07-06T00:00:00"/>
  </r>
  <r>
    <x v="347"/>
    <d v="2017-07-06T00:00:00"/>
  </r>
  <r>
    <x v="348"/>
    <d v="2017-07-06T00:00:00"/>
  </r>
  <r>
    <x v="349"/>
    <d v="2017-07-06T00:00:00"/>
  </r>
  <r>
    <x v="350"/>
    <d v="2017-07-06T00:00:00"/>
  </r>
  <r>
    <x v="351"/>
    <d v="2017-07-06T00:00:00"/>
  </r>
  <r>
    <x v="143"/>
    <d v="2017-07-06T00:00:00"/>
  </r>
  <r>
    <x v="352"/>
    <d v="2017-07-06T00:00:00"/>
  </r>
  <r>
    <x v="353"/>
    <d v="2017-07-07T00:00:00"/>
  </r>
  <r>
    <x v="354"/>
    <d v="2017-07-07T00:00:00"/>
  </r>
  <r>
    <x v="355"/>
    <d v="2017-07-07T00:00:00"/>
  </r>
  <r>
    <x v="356"/>
    <d v="2017-07-07T00:00:00"/>
  </r>
  <r>
    <x v="356"/>
    <d v="2017-07-07T00:00:00"/>
  </r>
  <r>
    <x v="357"/>
    <d v="2017-07-07T00:00:00"/>
  </r>
  <r>
    <x v="358"/>
    <d v="2017-07-07T00:00:00"/>
  </r>
  <r>
    <x v="359"/>
    <d v="2017-07-07T00:00:00"/>
  </r>
  <r>
    <x v="360"/>
    <d v="2017-07-07T00:00:00"/>
  </r>
  <r>
    <x v="361"/>
    <d v="2017-07-07T00:00:00"/>
  </r>
  <r>
    <x v="362"/>
    <d v="2017-07-07T00:00:00"/>
  </r>
  <r>
    <x v="129"/>
    <d v="2017-07-07T00:00:00"/>
  </r>
  <r>
    <x v="363"/>
    <d v="2017-07-07T00:00:00"/>
  </r>
  <r>
    <x v="364"/>
    <d v="2017-07-07T00:00:00"/>
  </r>
  <r>
    <x v="239"/>
    <d v="2017-07-07T00:00:00"/>
  </r>
  <r>
    <x v="365"/>
    <d v="2017-07-07T00:00:00"/>
  </r>
  <r>
    <x v="366"/>
    <d v="2017-07-07T00:00:00"/>
  </r>
  <r>
    <x v="64"/>
    <d v="2017-07-07T00:00:00"/>
  </r>
  <r>
    <x v="367"/>
    <d v="2017-07-07T00:00:00"/>
  </r>
  <r>
    <x v="368"/>
    <d v="2017-07-07T00:00:00"/>
  </r>
  <r>
    <x v="369"/>
    <d v="2017-07-07T00:00:00"/>
  </r>
  <r>
    <x v="370"/>
    <d v="2017-07-07T00:00:00"/>
  </r>
  <r>
    <x v="371"/>
    <d v="2017-07-07T00:00:00"/>
  </r>
  <r>
    <x v="372"/>
    <d v="2017-07-07T00:00:00"/>
  </r>
  <r>
    <x v="373"/>
    <d v="2017-07-07T00:00:00"/>
  </r>
  <r>
    <x v="374"/>
    <d v="2017-07-07T00:00:00"/>
  </r>
  <r>
    <x v="375"/>
    <d v="2017-07-07T00:00:00"/>
  </r>
  <r>
    <x v="376"/>
    <d v="2017-07-07T00:00:00"/>
  </r>
  <r>
    <x v="377"/>
    <d v="2017-07-07T00:00:00"/>
  </r>
  <r>
    <x v="378"/>
    <d v="2017-07-07T00:00:00"/>
  </r>
  <r>
    <x v="379"/>
    <d v="2017-07-07T00:00:00"/>
  </r>
  <r>
    <x v="380"/>
    <d v="2017-07-07T00:00:00"/>
  </r>
  <r>
    <x v="167"/>
    <d v="2017-07-07T00:00:00"/>
  </r>
  <r>
    <x v="381"/>
    <d v="2017-07-07T00:00:00"/>
  </r>
  <r>
    <x v="382"/>
    <d v="2017-07-07T00:00:00"/>
  </r>
  <r>
    <x v="383"/>
    <d v="2017-07-07T00:00:00"/>
  </r>
  <r>
    <x v="384"/>
    <d v="2017-07-07T00:00:00"/>
  </r>
  <r>
    <x v="385"/>
    <d v="2017-07-07T00:00:00"/>
  </r>
  <r>
    <x v="386"/>
    <d v="2017-07-07T00:00:00"/>
  </r>
  <r>
    <x v="387"/>
    <d v="2017-07-07T00:00:00"/>
  </r>
  <r>
    <x v="219"/>
    <d v="2017-07-07T00:00:00"/>
  </r>
  <r>
    <x v="64"/>
    <d v="2017-07-07T00:00:00"/>
  </r>
  <r>
    <x v="388"/>
    <d v="2017-07-07T00:00:00"/>
  </r>
  <r>
    <x v="389"/>
    <d v="2017-07-07T00:00:00"/>
  </r>
  <r>
    <x v="390"/>
    <d v="2017-07-07T00:00:00"/>
  </r>
  <r>
    <x v="391"/>
    <d v="2017-07-07T00:00:00"/>
  </r>
  <r>
    <x v="392"/>
    <d v="2017-07-07T00:00:00"/>
  </r>
  <r>
    <x v="393"/>
    <d v="2017-07-07T00:00:00"/>
  </r>
  <r>
    <x v="394"/>
    <d v="2017-07-07T00:00:00"/>
  </r>
  <r>
    <x v="395"/>
    <d v="2017-07-07T00:00:00"/>
  </r>
  <r>
    <x v="122"/>
    <d v="2017-07-07T00:00:00"/>
  </r>
  <r>
    <x v="396"/>
    <d v="2017-07-07T00:00:00"/>
  </r>
  <r>
    <x v="397"/>
    <d v="2017-07-07T00:00:00"/>
  </r>
  <r>
    <x v="398"/>
    <d v="2017-07-07T00:00:00"/>
  </r>
  <r>
    <x v="399"/>
    <d v="2017-07-07T00:00:00"/>
  </r>
  <r>
    <x v="400"/>
    <d v="2017-07-07T00:00:00"/>
  </r>
  <r>
    <x v="401"/>
    <d v="2017-07-07T00:00:00"/>
  </r>
  <r>
    <x v="402"/>
    <d v="2017-07-07T00:00:00"/>
  </r>
  <r>
    <x v="176"/>
    <d v="2017-07-07T00:00:00"/>
  </r>
  <r>
    <x v="403"/>
    <d v="2017-07-07T00:00:00"/>
  </r>
  <r>
    <x v="404"/>
    <d v="2017-07-07T00:00:00"/>
  </r>
  <r>
    <x v="405"/>
    <d v="2017-07-07T00:00:00"/>
  </r>
  <r>
    <x v="406"/>
    <d v="2017-07-07T00:00:00"/>
  </r>
  <r>
    <x v="407"/>
    <d v="2017-07-07T00:00:00"/>
  </r>
  <r>
    <x v="408"/>
    <d v="2017-07-07T00:00:00"/>
  </r>
  <r>
    <x v="409"/>
    <d v="2017-07-07T00:00:00"/>
  </r>
  <r>
    <x v="410"/>
    <d v="2017-07-07T00:00:00"/>
  </r>
  <r>
    <x v="411"/>
    <d v="2017-07-07T00:00:00"/>
  </r>
  <r>
    <x v="412"/>
    <d v="2017-07-07T00:00:00"/>
  </r>
  <r>
    <x v="413"/>
    <d v="2017-07-07T00:00:00"/>
  </r>
  <r>
    <x v="414"/>
    <d v="2017-07-07T00:00:00"/>
  </r>
  <r>
    <x v="415"/>
    <d v="2017-07-07T00:00:00"/>
  </r>
  <r>
    <x v="228"/>
    <d v="2017-07-07T00:00:00"/>
  </r>
  <r>
    <x v="416"/>
    <d v="2017-07-07T00:00:00"/>
  </r>
  <r>
    <x v="417"/>
    <d v="2017-07-07T00:00:00"/>
  </r>
  <r>
    <x v="418"/>
    <d v="2017-07-07T00:00:00"/>
  </r>
  <r>
    <x v="419"/>
    <d v="2017-07-07T00:00:00"/>
  </r>
  <r>
    <x v="420"/>
    <d v="2017-07-07T00:00:00"/>
  </r>
  <r>
    <x v="420"/>
    <d v="2017-07-07T00:00:00"/>
  </r>
  <r>
    <x v="421"/>
    <d v="2017-07-07T00:00:00"/>
  </r>
  <r>
    <x v="422"/>
    <d v="2017-07-07T00:00:00"/>
  </r>
  <r>
    <x v="423"/>
    <d v="2017-07-07T00:00:00"/>
  </r>
  <r>
    <x v="424"/>
    <d v="2017-07-07T00:00:00"/>
  </r>
  <r>
    <x v="425"/>
    <d v="2017-07-07T00:00:00"/>
  </r>
  <r>
    <x v="94"/>
    <d v="2017-07-07T00:00:00"/>
  </r>
  <r>
    <x v="426"/>
    <d v="2017-07-07T00:00:00"/>
  </r>
  <r>
    <x v="427"/>
    <d v="2017-07-07T00:00:00"/>
  </r>
  <r>
    <x v="428"/>
    <d v="2017-07-07T00:00:00"/>
  </r>
  <r>
    <x v="429"/>
    <d v="2017-07-07T00:00:00"/>
  </r>
  <r>
    <x v="430"/>
    <d v="2017-07-07T00:00:00"/>
  </r>
  <r>
    <x v="431"/>
    <d v="2017-07-07T00:00:00"/>
  </r>
  <r>
    <x v="170"/>
    <d v="2017-07-07T00:00:00"/>
  </r>
  <r>
    <x v="432"/>
    <d v="2017-07-07T00:00:00"/>
  </r>
  <r>
    <x v="433"/>
    <d v="2017-07-07T00:00:00"/>
  </r>
  <r>
    <x v="434"/>
    <d v="2017-07-07T00:00:00"/>
  </r>
  <r>
    <x v="435"/>
    <d v="2017-07-07T00:00:00"/>
  </r>
  <r>
    <x v="436"/>
    <d v="2017-07-07T00:00:00"/>
  </r>
  <r>
    <x v="437"/>
    <d v="2017-07-07T00:00:00"/>
  </r>
  <r>
    <x v="438"/>
    <d v="2017-07-07T00:00:00"/>
  </r>
  <r>
    <x v="439"/>
    <d v="2017-07-07T00:00:00"/>
  </r>
  <r>
    <x v="440"/>
    <d v="2017-07-07T00:00:00"/>
  </r>
  <r>
    <x v="441"/>
    <d v="2017-07-07T00:00:00"/>
  </r>
  <r>
    <x v="442"/>
    <d v="2017-07-07T00:00:00"/>
  </r>
  <r>
    <x v="443"/>
    <d v="2017-07-07T00:00:00"/>
  </r>
  <r>
    <x v="444"/>
    <d v="2017-07-07T00:00:00"/>
  </r>
  <r>
    <x v="445"/>
    <d v="2017-07-10T00:00:00"/>
  </r>
  <r>
    <x v="446"/>
    <d v="2017-07-10T00:00:00"/>
  </r>
  <r>
    <x v="123"/>
    <d v="2017-07-10T00:00:00"/>
  </r>
  <r>
    <x v="447"/>
    <d v="2017-07-10T00:00:00"/>
  </r>
  <r>
    <x v="448"/>
    <d v="2017-07-10T00:00:00"/>
  </r>
  <r>
    <x v="449"/>
    <d v="2017-07-10T00:00:00"/>
  </r>
  <r>
    <x v="450"/>
    <d v="2017-07-10T00:00:00"/>
  </r>
  <r>
    <x v="451"/>
    <d v="2017-07-10T00:00:00"/>
  </r>
  <r>
    <x v="452"/>
    <d v="2017-07-10T00:00:00"/>
  </r>
  <r>
    <x v="453"/>
    <d v="2017-07-10T00:00:00"/>
  </r>
  <r>
    <x v="454"/>
    <d v="2017-07-10T00:00:00"/>
  </r>
  <r>
    <x v="455"/>
    <d v="2017-07-10T00:00:00"/>
  </r>
  <r>
    <x v="456"/>
    <d v="2017-07-10T00:00:00"/>
  </r>
  <r>
    <x v="231"/>
    <d v="2017-07-10T00:00:00"/>
  </r>
  <r>
    <x v="134"/>
    <d v="2017-07-10T00:00:00"/>
  </r>
  <r>
    <x v="457"/>
    <d v="2017-07-10T00:00:00"/>
  </r>
  <r>
    <x v="458"/>
    <d v="2017-07-10T00:00:00"/>
  </r>
  <r>
    <x v="459"/>
    <d v="2017-07-10T00:00:00"/>
  </r>
  <r>
    <x v="460"/>
    <d v="2017-07-10T00:00:00"/>
  </r>
  <r>
    <x v="461"/>
    <d v="2017-07-10T00:00:00"/>
  </r>
  <r>
    <x v="462"/>
    <d v="2017-07-10T00:00:00"/>
  </r>
  <r>
    <x v="463"/>
    <d v="2017-07-10T00:00:00"/>
  </r>
  <r>
    <x v="464"/>
    <d v="2017-07-10T00:00:00"/>
  </r>
  <r>
    <x v="465"/>
    <d v="2017-07-10T00:00:00"/>
  </r>
  <r>
    <x v="466"/>
    <d v="2017-07-10T00:00:00"/>
  </r>
  <r>
    <x v="467"/>
    <d v="2017-07-10T00:00:00"/>
  </r>
  <r>
    <x v="468"/>
    <d v="2017-07-10T00:00:00"/>
  </r>
  <r>
    <x v="469"/>
    <d v="2017-07-10T00:00:00"/>
  </r>
  <r>
    <x v="470"/>
    <d v="2017-07-10T00:00:00"/>
  </r>
  <r>
    <x v="471"/>
    <d v="2017-07-10T00:00:00"/>
  </r>
  <r>
    <x v="472"/>
    <d v="2017-07-10T00:00:00"/>
  </r>
  <r>
    <x v="473"/>
    <d v="2017-07-10T00:00:00"/>
  </r>
  <r>
    <x v="474"/>
    <d v="2017-07-10T00:00:00"/>
  </r>
  <r>
    <x v="475"/>
    <d v="2017-07-10T00:00:00"/>
  </r>
  <r>
    <x v="366"/>
    <d v="2017-07-10T00:00:00"/>
  </r>
  <r>
    <x v="440"/>
    <d v="2017-07-10T00:00:00"/>
  </r>
  <r>
    <x v="476"/>
    <d v="2017-07-10T00:00:00"/>
  </r>
  <r>
    <x v="477"/>
    <d v="2017-07-10T00:00:00"/>
  </r>
  <r>
    <x v="478"/>
    <d v="2017-07-10T00:00:00"/>
  </r>
  <r>
    <x v="479"/>
    <d v="2017-07-10T00:00:00"/>
  </r>
  <r>
    <x v="480"/>
    <d v="2017-07-10T00:00:00"/>
  </r>
  <r>
    <x v="261"/>
    <d v="2017-07-10T00:00:00"/>
  </r>
  <r>
    <x v="481"/>
    <d v="2017-07-10T00:00:00"/>
  </r>
  <r>
    <x v="482"/>
    <d v="2017-07-10T00:00:00"/>
  </r>
  <r>
    <x v="483"/>
    <d v="2017-07-10T00:00:00"/>
  </r>
  <r>
    <x v="484"/>
    <d v="2017-07-10T00:00:00"/>
  </r>
  <r>
    <x v="485"/>
    <d v="2017-07-10T00:00:00"/>
  </r>
  <r>
    <x v="343"/>
    <d v="2017-07-10T00:00:00"/>
  </r>
  <r>
    <x v="486"/>
    <d v="2017-07-10T00:00:00"/>
  </r>
  <r>
    <x v="487"/>
    <d v="2017-07-10T00:00:00"/>
  </r>
  <r>
    <x v="23"/>
    <d v="2017-07-10T00:00:00"/>
  </r>
  <r>
    <x v="488"/>
    <d v="2017-07-10T00:00:00"/>
  </r>
  <r>
    <x v="489"/>
    <d v="2017-07-10T00:00:00"/>
  </r>
  <r>
    <x v="490"/>
    <d v="2017-07-10T00:00:00"/>
  </r>
  <r>
    <x v="491"/>
    <d v="2017-07-10T00:00:00"/>
  </r>
  <r>
    <x v="53"/>
    <d v="2017-07-10T00:00:00"/>
  </r>
  <r>
    <x v="492"/>
    <d v="2017-07-10T00:00:00"/>
  </r>
  <r>
    <x v="493"/>
    <d v="2017-07-10T00:00:00"/>
  </r>
  <r>
    <x v="494"/>
    <d v="2017-07-10T00:00:00"/>
  </r>
  <r>
    <x v="495"/>
    <d v="2017-07-10T00:00:00"/>
  </r>
  <r>
    <x v="496"/>
    <d v="2017-07-10T00:00:00"/>
  </r>
  <r>
    <x v="462"/>
    <d v="2017-07-10T00:00:00"/>
  </r>
  <r>
    <x v="158"/>
    <d v="2017-07-10T00:00:00"/>
  </r>
  <r>
    <x v="497"/>
    <d v="2017-07-10T00:00:00"/>
  </r>
  <r>
    <x v="498"/>
    <d v="2017-07-10T00:00:00"/>
  </r>
  <r>
    <x v="499"/>
    <d v="2017-07-10T00:00:00"/>
  </r>
  <r>
    <x v="500"/>
    <d v="2017-07-10T00:00:00"/>
  </r>
  <r>
    <x v="501"/>
    <d v="2017-07-10T00:00:00"/>
  </r>
  <r>
    <x v="502"/>
    <d v="2017-07-10T00:00:00"/>
  </r>
  <r>
    <x v="503"/>
    <d v="2017-07-10T00:00:00"/>
  </r>
  <r>
    <x v="504"/>
    <d v="2017-07-10T00:00:00"/>
  </r>
  <r>
    <x v="427"/>
    <d v="2017-07-10T00:00:00"/>
  </r>
  <r>
    <x v="505"/>
    <d v="2017-07-10T00:00:00"/>
  </r>
  <r>
    <x v="506"/>
    <d v="2017-07-10T00:00:00"/>
  </r>
  <r>
    <x v="507"/>
    <d v="2017-07-10T00:00:00"/>
  </r>
  <r>
    <x v="508"/>
    <d v="2017-07-10T00:00:00"/>
  </r>
  <r>
    <x v="509"/>
    <d v="2017-07-10T00:00:00"/>
  </r>
  <r>
    <x v="510"/>
    <d v="2017-07-10T00:00:00"/>
  </r>
  <r>
    <x v="511"/>
    <d v="2017-07-10T00:00:00"/>
  </r>
  <r>
    <x v="512"/>
    <d v="2017-07-10T00:00:00"/>
  </r>
  <r>
    <x v="513"/>
    <d v="2017-07-10T00:00:00"/>
  </r>
  <r>
    <x v="514"/>
    <d v="2017-07-10T00:00:00"/>
  </r>
  <r>
    <x v="515"/>
    <d v="2017-07-10T00:00:00"/>
  </r>
  <r>
    <x v="516"/>
    <d v="2017-07-10T00:00:00"/>
  </r>
  <r>
    <x v="517"/>
    <d v="2017-07-10T00:00:00"/>
  </r>
  <r>
    <x v="169"/>
    <d v="2017-07-10T00:00:00"/>
  </r>
  <r>
    <x v="518"/>
    <d v="2017-07-10T00:00:00"/>
  </r>
  <r>
    <x v="519"/>
    <d v="2017-07-10T00:00:00"/>
  </r>
  <r>
    <x v="520"/>
    <d v="2017-07-10T00:00:00"/>
  </r>
  <r>
    <x v="521"/>
    <d v="2017-07-10T00:00:00"/>
  </r>
  <r>
    <x v="522"/>
    <d v="2017-07-10T00:00:00"/>
  </r>
  <r>
    <x v="523"/>
    <d v="2017-07-10T00:00:00"/>
  </r>
  <r>
    <x v="524"/>
    <d v="2017-07-10T00:00:00"/>
  </r>
  <r>
    <x v="525"/>
    <d v="2017-07-10T00:00:00"/>
  </r>
  <r>
    <x v="526"/>
    <d v="2017-07-10T00:00:00"/>
  </r>
  <r>
    <x v="527"/>
    <d v="2017-07-10T00:00:00"/>
  </r>
  <r>
    <x v="528"/>
    <d v="2017-07-10T00:00:00"/>
  </r>
  <r>
    <x v="529"/>
    <d v="2017-07-10T00:00:00"/>
  </r>
  <r>
    <x v="246"/>
    <d v="2017-07-10T00:00:00"/>
  </r>
  <r>
    <x v="530"/>
    <d v="2017-07-10T00:00:00"/>
  </r>
  <r>
    <x v="531"/>
    <d v="2017-07-10T00:00:00"/>
  </r>
  <r>
    <x v="532"/>
    <d v="2017-07-11T00:00:00"/>
  </r>
  <r>
    <x v="533"/>
    <d v="2017-07-11T00:00:00"/>
  </r>
  <r>
    <x v="534"/>
    <d v="2017-07-11T00:00:00"/>
  </r>
  <r>
    <x v="535"/>
    <d v="2017-07-11T00:00:00"/>
  </r>
  <r>
    <x v="536"/>
    <d v="2017-07-11T00:00:00"/>
  </r>
  <r>
    <x v="537"/>
    <d v="2017-07-11T00:00:00"/>
  </r>
  <r>
    <x v="538"/>
    <d v="2017-07-11T00:00:00"/>
  </r>
  <r>
    <x v="539"/>
    <d v="2017-07-11T00:00:00"/>
  </r>
  <r>
    <x v="540"/>
    <d v="2017-07-11T00:00:00"/>
  </r>
  <r>
    <x v="541"/>
    <d v="2017-07-11T00:00:00"/>
  </r>
  <r>
    <x v="542"/>
    <d v="2017-07-11T00:00:00"/>
  </r>
  <r>
    <x v="543"/>
    <d v="2017-07-11T00:00:00"/>
  </r>
  <r>
    <x v="544"/>
    <d v="2017-07-11T00:00:00"/>
  </r>
  <r>
    <x v="545"/>
    <d v="2017-07-11T00:00:00"/>
  </r>
  <r>
    <x v="546"/>
    <d v="2017-07-11T00:00:00"/>
  </r>
  <r>
    <x v="547"/>
    <d v="2017-07-11T00:00:00"/>
  </r>
  <r>
    <x v="548"/>
    <d v="2017-07-11T00:00:00"/>
  </r>
  <r>
    <x v="549"/>
    <d v="2017-07-11T00:00:00"/>
  </r>
  <r>
    <x v="16"/>
    <d v="2017-07-11T00:00:00"/>
  </r>
  <r>
    <x v="550"/>
    <d v="2017-07-11T00:00:00"/>
  </r>
  <r>
    <x v="551"/>
    <d v="2017-07-11T00:00:00"/>
  </r>
  <r>
    <x v="552"/>
    <d v="2017-07-11T00:00:00"/>
  </r>
  <r>
    <x v="553"/>
    <d v="2017-07-11T00:00:00"/>
  </r>
  <r>
    <x v="554"/>
    <d v="2017-07-11T00:00:00"/>
  </r>
  <r>
    <x v="555"/>
    <d v="2017-07-11T00:00:00"/>
  </r>
  <r>
    <x v="556"/>
    <d v="2017-07-11T00:00:00"/>
  </r>
  <r>
    <x v="557"/>
    <d v="2017-07-11T00:00:00"/>
  </r>
  <r>
    <x v="558"/>
    <d v="2017-07-11T00:00:00"/>
  </r>
  <r>
    <x v="559"/>
    <d v="2017-07-11T00:00:00"/>
  </r>
  <r>
    <x v="560"/>
    <d v="2017-07-11T00:00:00"/>
  </r>
  <r>
    <x v="561"/>
    <d v="2017-07-11T00:00:00"/>
  </r>
  <r>
    <x v="562"/>
    <d v="2017-07-11T00:00:00"/>
  </r>
  <r>
    <x v="563"/>
    <d v="2017-07-11T00:00:00"/>
  </r>
  <r>
    <x v="564"/>
    <d v="2017-07-11T00:00:00"/>
  </r>
  <r>
    <x v="565"/>
    <d v="2017-07-11T00:00:00"/>
  </r>
  <r>
    <x v="566"/>
    <d v="2017-07-11T00:00:00"/>
  </r>
  <r>
    <x v="567"/>
    <d v="2017-07-11T00:00:00"/>
  </r>
  <r>
    <x v="568"/>
    <d v="2017-07-11T00:00:00"/>
  </r>
  <r>
    <x v="569"/>
    <d v="2017-07-11T00:00:00"/>
  </r>
  <r>
    <x v="570"/>
    <d v="2017-07-11T00:00:00"/>
  </r>
  <r>
    <x v="82"/>
    <d v="2017-07-11T00:00:00"/>
  </r>
  <r>
    <x v="571"/>
    <d v="2017-07-11T00:00:00"/>
  </r>
  <r>
    <x v="572"/>
    <d v="2017-07-11T00:00:00"/>
  </r>
  <r>
    <x v="573"/>
    <d v="2017-07-11T00:00:00"/>
  </r>
  <r>
    <x v="574"/>
    <d v="2017-07-11T00:00:00"/>
  </r>
  <r>
    <x v="575"/>
    <d v="2017-07-11T00:00:00"/>
  </r>
  <r>
    <x v="576"/>
    <d v="2017-07-11T00:00:00"/>
  </r>
  <r>
    <x v="458"/>
    <d v="2017-07-11T00:00:00"/>
  </r>
  <r>
    <x v="577"/>
    <d v="2017-07-11T00:00:00"/>
  </r>
  <r>
    <x v="578"/>
    <d v="2017-07-11T00:00:00"/>
  </r>
  <r>
    <x v="579"/>
    <d v="2017-07-11T00:00:00"/>
  </r>
  <r>
    <x v="580"/>
    <d v="2017-07-11T00:00:00"/>
  </r>
  <r>
    <x v="581"/>
    <d v="2017-07-11T00:00:00"/>
  </r>
  <r>
    <x v="16"/>
    <d v="2017-07-11T00:00:00"/>
  </r>
  <r>
    <x v="582"/>
    <d v="2017-07-11T00:00:00"/>
  </r>
  <r>
    <x v="583"/>
    <d v="2017-07-11T00:00:00"/>
  </r>
  <r>
    <x v="584"/>
    <d v="2017-07-11T00:00:00"/>
  </r>
  <r>
    <x v="585"/>
    <d v="2017-07-11T00:00:00"/>
  </r>
  <r>
    <x v="586"/>
    <d v="2017-07-11T00:00:00"/>
  </r>
  <r>
    <x v="587"/>
    <d v="2017-07-11T00:00:00"/>
  </r>
  <r>
    <x v="588"/>
    <d v="2017-07-11T00:00:00"/>
  </r>
  <r>
    <x v="491"/>
    <d v="2017-07-11T00:00:00"/>
  </r>
  <r>
    <x v="589"/>
    <d v="2017-07-11T00:00:00"/>
  </r>
  <r>
    <x v="40"/>
    <d v="2017-07-11T00:00:00"/>
  </r>
  <r>
    <x v="590"/>
    <d v="2017-07-11T00:00:00"/>
  </r>
  <r>
    <x v="591"/>
    <d v="2017-07-11T00:00:00"/>
  </r>
  <r>
    <x v="592"/>
    <d v="2017-07-11T00:00:00"/>
  </r>
  <r>
    <x v="593"/>
    <d v="2017-07-11T00:00:00"/>
  </r>
  <r>
    <x v="594"/>
    <d v="2017-07-11T00:00:00"/>
  </r>
  <r>
    <x v="595"/>
    <d v="2017-07-11T00:00:00"/>
  </r>
  <r>
    <x v="596"/>
    <d v="2017-07-11T00:00:00"/>
  </r>
  <r>
    <x v="218"/>
    <d v="2017-07-11T00:00:00"/>
  </r>
  <r>
    <x v="597"/>
    <d v="2017-07-11T00:00:00"/>
  </r>
  <r>
    <x v="598"/>
    <d v="2017-07-11T00:00:00"/>
  </r>
  <r>
    <x v="599"/>
    <d v="2017-07-11T00:00:00"/>
  </r>
  <r>
    <x v="600"/>
    <d v="2017-07-11T00:00:00"/>
  </r>
  <r>
    <x v="111"/>
    <d v="2017-07-11T00:00:00"/>
  </r>
  <r>
    <x v="601"/>
    <d v="2017-07-11T00:00:00"/>
  </r>
  <r>
    <x v="602"/>
    <d v="2017-07-11T00:00:00"/>
  </r>
  <r>
    <x v="603"/>
    <d v="2017-07-11T00:00:00"/>
  </r>
  <r>
    <x v="604"/>
    <d v="2017-07-11T00:00:00"/>
  </r>
  <r>
    <x v="509"/>
    <d v="2017-07-11T00:00:00"/>
  </r>
  <r>
    <x v="605"/>
    <d v="2017-07-11T00:00:00"/>
  </r>
  <r>
    <x v="606"/>
    <d v="2017-07-11T00:00:00"/>
  </r>
  <r>
    <x v="607"/>
    <d v="2017-07-11T00:00:00"/>
  </r>
  <r>
    <x v="344"/>
    <d v="2017-07-11T00:00:00"/>
  </r>
  <r>
    <x v="111"/>
    <d v="2017-07-11T00:00:00"/>
  </r>
  <r>
    <x v="414"/>
    <d v="2017-07-11T00:00:00"/>
  </r>
  <r>
    <x v="608"/>
    <d v="2017-07-11T00:00:00"/>
  </r>
  <r>
    <x v="609"/>
    <d v="2017-07-11T00:00:00"/>
  </r>
  <r>
    <x v="610"/>
    <d v="2017-07-11T00:00:00"/>
  </r>
  <r>
    <x v="611"/>
    <d v="2017-07-11T00:00:00"/>
  </r>
  <r>
    <x v="440"/>
    <d v="2017-07-11T00:00:00"/>
  </r>
  <r>
    <x v="612"/>
    <d v="2017-07-12T00:00:00"/>
  </r>
  <r>
    <x v="613"/>
    <d v="2017-07-12T00:00:00"/>
  </r>
  <r>
    <x v="614"/>
    <d v="2017-07-12T00:00:00"/>
  </r>
  <r>
    <x v="615"/>
    <d v="2017-07-12T00:00:00"/>
  </r>
  <r>
    <x v="616"/>
    <d v="2017-07-12T00:00:00"/>
  </r>
  <r>
    <x v="617"/>
    <d v="2017-07-12T00:00:00"/>
  </r>
  <r>
    <x v="106"/>
    <d v="2017-07-12T00:00:00"/>
  </r>
  <r>
    <x v="618"/>
    <d v="2017-07-12T00:00:00"/>
  </r>
  <r>
    <x v="619"/>
    <d v="2017-07-12T00:00:00"/>
  </r>
  <r>
    <x v="620"/>
    <d v="2017-07-12T00:00:00"/>
  </r>
  <r>
    <x v="621"/>
    <d v="2017-07-12T00:00:00"/>
  </r>
  <r>
    <x v="622"/>
    <d v="2017-07-12T00:00:00"/>
  </r>
  <r>
    <x v="623"/>
    <d v="2017-07-12T00:00:00"/>
  </r>
  <r>
    <x v="624"/>
    <d v="2017-07-12T00:00:00"/>
  </r>
  <r>
    <x v="625"/>
    <d v="2017-07-12T00:00:00"/>
  </r>
  <r>
    <x v="626"/>
    <d v="2017-07-12T00:00:00"/>
  </r>
  <r>
    <x v="155"/>
    <d v="2017-07-12T00:00:00"/>
  </r>
  <r>
    <x v="627"/>
    <d v="2017-07-12T00:00:00"/>
  </r>
  <r>
    <x v="628"/>
    <d v="2017-07-12T00:00:00"/>
  </r>
  <r>
    <x v="629"/>
    <d v="2017-07-12T00:00:00"/>
  </r>
  <r>
    <x v="630"/>
    <d v="2017-07-12T00:00:00"/>
  </r>
  <r>
    <x v="631"/>
    <d v="2017-07-12T00:00:00"/>
  </r>
  <r>
    <x v="632"/>
    <d v="2017-07-12T00:00:00"/>
  </r>
  <r>
    <x v="633"/>
    <d v="2017-07-12T00:00:00"/>
  </r>
  <r>
    <x v="574"/>
    <d v="2017-07-12T00:00:00"/>
  </r>
  <r>
    <x v="634"/>
    <d v="2017-07-12T00:00:00"/>
  </r>
  <r>
    <x v="635"/>
    <d v="2017-07-12T00:00:00"/>
  </r>
  <r>
    <x v="636"/>
    <d v="2017-07-12T00:00:00"/>
  </r>
  <r>
    <x v="637"/>
    <d v="2017-07-12T00:00:00"/>
  </r>
  <r>
    <x v="638"/>
    <d v="2017-07-12T00:00:00"/>
  </r>
  <r>
    <x v="639"/>
    <d v="2017-07-12T00:00:00"/>
  </r>
  <r>
    <x v="640"/>
    <d v="2017-07-12T00:00:00"/>
  </r>
  <r>
    <x v="641"/>
    <d v="2017-07-12T00:00:00"/>
  </r>
  <r>
    <x v="64"/>
    <d v="2017-07-12T00:00:00"/>
  </r>
  <r>
    <x v="642"/>
    <d v="2017-07-12T00:00:00"/>
  </r>
  <r>
    <x v="643"/>
    <d v="2017-07-12T00:00:00"/>
  </r>
  <r>
    <x v="644"/>
    <d v="2017-07-12T00:00:00"/>
  </r>
  <r>
    <x v="645"/>
    <d v="2017-07-12T00:00:00"/>
  </r>
  <r>
    <x v="506"/>
    <d v="2017-07-12T00:00:00"/>
  </r>
  <r>
    <x v="646"/>
    <d v="2017-07-12T00:00:00"/>
  </r>
  <r>
    <x v="647"/>
    <d v="2017-07-12T00:00:00"/>
  </r>
  <r>
    <x v="648"/>
    <d v="2017-07-12T00:00:00"/>
  </r>
  <r>
    <x v="649"/>
    <d v="2017-07-12T00:00:00"/>
  </r>
  <r>
    <x v="239"/>
    <d v="2017-07-12T00:00:00"/>
  </r>
  <r>
    <x v="650"/>
    <d v="2017-07-12T00:00:00"/>
  </r>
  <r>
    <x v="418"/>
    <d v="2017-07-12T00:00:00"/>
  </r>
  <r>
    <x v="651"/>
    <d v="2017-07-12T00:00:00"/>
  </r>
  <r>
    <x v="652"/>
    <d v="2017-07-12T00:00:00"/>
  </r>
  <r>
    <x v="653"/>
    <d v="2017-07-12T00:00:00"/>
  </r>
  <r>
    <x v="654"/>
    <d v="2017-07-12T00:00:00"/>
  </r>
  <r>
    <x v="655"/>
    <d v="2017-07-12T00:00:00"/>
  </r>
  <r>
    <x v="174"/>
    <d v="2017-07-12T00:00:00"/>
  </r>
  <r>
    <x v="656"/>
    <d v="2017-07-12T00:00:00"/>
  </r>
  <r>
    <x v="657"/>
    <d v="2017-07-12T00:00:00"/>
  </r>
  <r>
    <x v="658"/>
    <d v="2017-07-12T00:00:00"/>
  </r>
  <r>
    <x v="156"/>
    <d v="2017-07-12T00:00:00"/>
  </r>
  <r>
    <x v="435"/>
    <d v="2017-07-12T00:00:00"/>
  </r>
  <r>
    <x v="659"/>
    <d v="2017-07-12T00:00:00"/>
  </r>
  <r>
    <x v="660"/>
    <d v="2017-07-12T00:00:00"/>
  </r>
  <r>
    <x v="420"/>
    <d v="2017-07-12T00:00:00"/>
  </r>
  <r>
    <x v="661"/>
    <d v="2017-07-12T00:00:00"/>
  </r>
  <r>
    <x v="139"/>
    <d v="2017-07-12T00:00:00"/>
  </r>
  <r>
    <x v="662"/>
    <d v="2017-07-12T00:00:00"/>
  </r>
  <r>
    <x v="663"/>
    <d v="2017-07-12T00:00:00"/>
  </r>
  <r>
    <x v="618"/>
    <d v="2017-07-12T00:00:00"/>
  </r>
  <r>
    <x v="41"/>
    <d v="2017-07-12T00:00:00"/>
  </r>
  <r>
    <x v="664"/>
    <d v="2017-07-12T00:00:00"/>
  </r>
  <r>
    <x v="665"/>
    <d v="2017-07-12T00:00:00"/>
  </r>
  <r>
    <x v="666"/>
    <d v="2017-07-12T00:00:00"/>
  </r>
  <r>
    <x v="667"/>
    <d v="2017-07-12T00:00:00"/>
  </r>
  <r>
    <x v="616"/>
    <d v="2017-07-12T00:00:00"/>
  </r>
  <r>
    <x v="563"/>
    <d v="2017-07-12T00:00:00"/>
  </r>
  <r>
    <x v="442"/>
    <d v="2017-07-12T00:00:00"/>
  </r>
  <r>
    <x v="668"/>
    <d v="2017-07-12T00:00:00"/>
  </r>
  <r>
    <x v="669"/>
    <d v="2017-07-12T00:00:00"/>
  </r>
  <r>
    <x v="670"/>
    <d v="2017-07-12T00:00:00"/>
  </r>
  <r>
    <x v="671"/>
    <d v="2017-07-12T00:00:00"/>
  </r>
  <r>
    <x v="672"/>
    <d v="2017-07-12T00:00:00"/>
  </r>
  <r>
    <x v="673"/>
    <d v="2017-07-12T00:00:00"/>
  </r>
  <r>
    <x v="544"/>
    <d v="2017-07-12T00:00:00"/>
  </r>
  <r>
    <x v="674"/>
    <d v="2017-07-12T00:00:00"/>
  </r>
  <r>
    <x v="675"/>
    <d v="2017-07-12T00:00:00"/>
  </r>
  <r>
    <x v="676"/>
    <d v="2017-07-12T00:00:00"/>
  </r>
  <r>
    <x v="677"/>
    <d v="2017-07-12T00:00:00"/>
  </r>
  <r>
    <x v="678"/>
    <d v="2017-07-12T00:00:00"/>
  </r>
  <r>
    <x v="679"/>
    <d v="2017-07-12T00:00:00"/>
  </r>
  <r>
    <x v="680"/>
    <d v="2017-07-12T00:00:00"/>
  </r>
  <r>
    <x v="681"/>
    <d v="2017-07-12T00:00:00"/>
  </r>
  <r>
    <x v="682"/>
    <d v="2017-07-12T00:00:00"/>
  </r>
  <r>
    <x v="435"/>
    <d v="2017-07-12T00:00:00"/>
  </r>
  <r>
    <x v="683"/>
    <d v="2017-07-12T00:00:00"/>
  </r>
  <r>
    <x v="684"/>
    <d v="2017-07-12T00:00:00"/>
  </r>
  <r>
    <x v="685"/>
    <d v="2017-07-12T00:00:00"/>
  </r>
  <r>
    <x v="686"/>
    <d v="2017-07-12T00:00:00"/>
  </r>
  <r>
    <x v="687"/>
    <d v="2017-07-12T00:00:00"/>
  </r>
  <r>
    <x v="688"/>
    <d v="2017-07-12T00:00:00"/>
  </r>
  <r>
    <x v="71"/>
    <d v="2017-07-12T00:00:00"/>
  </r>
  <r>
    <x v="328"/>
    <d v="2017-07-12T00:00:00"/>
  </r>
  <r>
    <x v="689"/>
    <d v="2017-07-12T00:00:00"/>
  </r>
  <r>
    <x v="690"/>
    <d v="2017-07-12T00:00:00"/>
  </r>
  <r>
    <x v="123"/>
    <d v="2017-07-12T00:00:00"/>
  </r>
  <r>
    <x v="691"/>
    <d v="2017-07-12T00:00:00"/>
  </r>
  <r>
    <x v="692"/>
    <d v="2017-07-12T00:00:00"/>
  </r>
  <r>
    <x v="693"/>
    <d v="2017-07-13T00:00:00"/>
  </r>
  <r>
    <x v="694"/>
    <d v="2017-07-13T00:00:00"/>
  </r>
  <r>
    <x v="84"/>
    <d v="2017-07-13T00:00:00"/>
  </r>
  <r>
    <x v="695"/>
    <d v="2017-07-13T00:00:00"/>
  </r>
  <r>
    <x v="696"/>
    <d v="2017-07-13T00:00:00"/>
  </r>
  <r>
    <x v="697"/>
    <d v="2017-07-13T00:00:00"/>
  </r>
  <r>
    <x v="698"/>
    <d v="2017-07-13T00:00:00"/>
  </r>
  <r>
    <x v="699"/>
    <d v="2017-07-13T00:00:00"/>
  </r>
  <r>
    <x v="422"/>
    <d v="2017-07-13T00:00:00"/>
  </r>
  <r>
    <x v="189"/>
    <d v="2017-07-13T00:00:00"/>
  </r>
  <r>
    <x v="700"/>
    <d v="2017-07-13T00:00:00"/>
  </r>
  <r>
    <x v="701"/>
    <d v="2017-07-13T00:00:00"/>
  </r>
  <r>
    <x v="702"/>
    <d v="2017-07-13T00:00:00"/>
  </r>
  <r>
    <x v="703"/>
    <d v="2017-07-13T00:00:00"/>
  </r>
  <r>
    <x v="704"/>
    <d v="2017-07-13T00:00:00"/>
  </r>
  <r>
    <x v="462"/>
    <d v="2017-07-13T00:00:00"/>
  </r>
  <r>
    <x v="705"/>
    <d v="2017-07-13T00:00:00"/>
  </r>
  <r>
    <x v="706"/>
    <d v="2017-07-13T00:00:00"/>
  </r>
  <r>
    <x v="22"/>
    <d v="2017-07-13T00:00:00"/>
  </r>
  <r>
    <x v="707"/>
    <d v="2017-07-13T00:00:00"/>
  </r>
  <r>
    <x v="708"/>
    <d v="2017-07-13T00:00:00"/>
  </r>
  <r>
    <x v="709"/>
    <d v="2017-07-13T00:00:00"/>
  </r>
  <r>
    <x v="710"/>
    <d v="2017-07-13T00:00:00"/>
  </r>
  <r>
    <x v="711"/>
    <d v="2017-07-13T00:00:00"/>
  </r>
  <r>
    <x v="712"/>
    <d v="2017-07-13T00:00:00"/>
  </r>
  <r>
    <x v="713"/>
    <d v="2017-07-13T00:00:00"/>
  </r>
  <r>
    <x v="167"/>
    <d v="2017-07-13T00:00:00"/>
  </r>
  <r>
    <x v="714"/>
    <d v="2017-07-13T00:00:00"/>
  </r>
  <r>
    <x v="715"/>
    <d v="2017-07-13T00:00:00"/>
  </r>
  <r>
    <x v="145"/>
    <d v="2017-07-13T00:00:00"/>
  </r>
  <r>
    <x v="716"/>
    <d v="2017-07-13T00:00:00"/>
  </r>
  <r>
    <x v="717"/>
    <d v="2017-07-13T00:00:00"/>
  </r>
  <r>
    <x v="718"/>
    <d v="2017-07-13T00:00:00"/>
  </r>
  <r>
    <x v="719"/>
    <d v="2017-07-13T00:00:00"/>
  </r>
  <r>
    <x v="720"/>
    <d v="2017-07-13T00:00:00"/>
  </r>
  <r>
    <x v="721"/>
    <d v="2017-07-13T00:00:00"/>
  </r>
  <r>
    <x v="722"/>
    <d v="2017-07-13T00:00:00"/>
  </r>
  <r>
    <x v="723"/>
    <d v="2017-07-13T00:00:00"/>
  </r>
  <r>
    <x v="724"/>
    <d v="2017-07-13T00:00:00"/>
  </r>
  <r>
    <x v="725"/>
    <d v="2017-07-13T00:00:00"/>
  </r>
  <r>
    <x v="726"/>
    <d v="2017-07-13T00:00:00"/>
  </r>
  <r>
    <x v="727"/>
    <d v="2017-07-13T00:00:00"/>
  </r>
  <r>
    <x v="728"/>
    <d v="2017-07-13T00:00:00"/>
  </r>
  <r>
    <x v="729"/>
    <d v="2017-07-13T00:00:00"/>
  </r>
  <r>
    <x v="587"/>
    <d v="2017-07-13T00:00:00"/>
  </r>
  <r>
    <x v="730"/>
    <d v="2017-07-13T00:00:00"/>
  </r>
  <r>
    <x v="731"/>
    <d v="2017-07-13T00:00:00"/>
  </r>
  <r>
    <x v="732"/>
    <d v="2017-07-13T00:00:00"/>
  </r>
  <r>
    <x v="733"/>
    <d v="2017-07-13T00:00:00"/>
  </r>
  <r>
    <x v="76"/>
    <d v="2017-07-13T00:00:00"/>
  </r>
  <r>
    <x v="734"/>
    <d v="2017-07-13T00:00:00"/>
  </r>
  <r>
    <x v="735"/>
    <d v="2017-07-13T00:00:00"/>
  </r>
  <r>
    <x v="736"/>
    <d v="2017-07-13T00:00:00"/>
  </r>
  <r>
    <x v="737"/>
    <d v="2017-07-13T00:00:00"/>
  </r>
  <r>
    <x v="738"/>
    <d v="2017-07-13T00:00:00"/>
  </r>
  <r>
    <x v="739"/>
    <d v="2017-07-13T00:00:00"/>
  </r>
  <r>
    <x v="740"/>
    <d v="2017-07-13T00:00:00"/>
  </r>
  <r>
    <x v="741"/>
    <d v="2017-07-13T00:00:00"/>
  </r>
  <r>
    <x v="742"/>
    <d v="2017-07-13T00:00:00"/>
  </r>
  <r>
    <x v="508"/>
    <d v="2017-07-13T00:00:00"/>
  </r>
  <r>
    <x v="743"/>
    <d v="2017-07-13T00:00:00"/>
  </r>
  <r>
    <x v="744"/>
    <d v="2017-07-13T00:00:00"/>
  </r>
  <r>
    <x v="745"/>
    <d v="2017-07-13T00:00:00"/>
  </r>
  <r>
    <x v="746"/>
    <d v="2017-07-13T00:00:00"/>
  </r>
  <r>
    <x v="747"/>
    <d v="2017-07-13T00:00:00"/>
  </r>
  <r>
    <x v="169"/>
    <d v="2017-07-13T00:00:00"/>
  </r>
  <r>
    <x v="748"/>
    <d v="2017-07-13T00:00:00"/>
  </r>
  <r>
    <x v="749"/>
    <d v="2017-07-13T00:00:00"/>
  </r>
  <r>
    <x v="750"/>
    <d v="2017-07-13T00:00:00"/>
  </r>
  <r>
    <x v="751"/>
    <d v="2017-07-13T00:00:00"/>
  </r>
  <r>
    <x v="752"/>
    <d v="2017-07-13T00:00:00"/>
  </r>
  <r>
    <x v="753"/>
    <d v="2017-07-13T00:00:00"/>
  </r>
  <r>
    <x v="726"/>
    <d v="2017-07-13T00:00:00"/>
  </r>
  <r>
    <x v="754"/>
    <d v="2017-07-13T00:00:00"/>
  </r>
  <r>
    <x v="53"/>
    <d v="2017-07-13T00:00:00"/>
  </r>
  <r>
    <x v="755"/>
    <d v="2017-07-13T00:00:00"/>
  </r>
  <r>
    <x v="756"/>
    <d v="2017-07-13T00:00:00"/>
  </r>
  <r>
    <x v="757"/>
    <d v="2017-07-13T00:00:00"/>
  </r>
  <r>
    <x v="758"/>
    <d v="2017-07-13T00:00:00"/>
  </r>
  <r>
    <x v="759"/>
    <d v="2017-07-13T00:00:00"/>
  </r>
  <r>
    <x v="760"/>
    <d v="2017-07-13T00:00:00"/>
  </r>
  <r>
    <x v="761"/>
    <d v="2017-07-13T00:00:00"/>
  </r>
  <r>
    <x v="762"/>
    <d v="2017-07-13T00:00:00"/>
  </r>
  <r>
    <x v="763"/>
    <d v="2017-07-13T00:00:00"/>
  </r>
  <r>
    <x v="764"/>
    <d v="2017-07-13T00:00:00"/>
  </r>
  <r>
    <x v="765"/>
    <d v="2017-07-13T00:00:00"/>
  </r>
  <r>
    <x v="766"/>
    <d v="2017-07-13T00:00:00"/>
  </r>
  <r>
    <x v="767"/>
    <d v="2017-07-13T00:00:00"/>
  </r>
  <r>
    <x v="768"/>
    <d v="2017-07-13T00:00:00"/>
  </r>
  <r>
    <x v="769"/>
    <d v="2017-07-13T00:00:00"/>
  </r>
  <r>
    <x v="770"/>
    <d v="2017-07-13T00:00:00"/>
  </r>
  <r>
    <x v="771"/>
    <d v="2017-07-13T00:00:00"/>
  </r>
  <r>
    <x v="772"/>
    <d v="2017-07-13T00:00:00"/>
  </r>
  <r>
    <x v="773"/>
    <d v="2017-07-13T00:00:00"/>
  </r>
  <r>
    <x v="774"/>
    <d v="2017-07-14T00:00:00"/>
  </r>
  <r>
    <x v="775"/>
    <d v="2017-07-14T00:00:00"/>
  </r>
  <r>
    <x v="776"/>
    <d v="2017-07-14T00:00:00"/>
  </r>
  <r>
    <x v="777"/>
    <d v="2017-07-14T00:00:00"/>
  </r>
  <r>
    <x v="778"/>
    <d v="2017-07-14T00:00:00"/>
  </r>
  <r>
    <x v="779"/>
    <d v="2017-07-14T00:00:00"/>
  </r>
  <r>
    <x v="780"/>
    <d v="2017-07-14T00:00:00"/>
  </r>
  <r>
    <x v="781"/>
    <d v="2017-07-14T00:00:00"/>
  </r>
  <r>
    <x v="782"/>
    <d v="2017-07-14T00:00:00"/>
  </r>
  <r>
    <x v="783"/>
    <d v="2017-07-14T00:00:00"/>
  </r>
  <r>
    <x v="784"/>
    <d v="2017-07-14T00:00:00"/>
  </r>
  <r>
    <x v="785"/>
    <d v="2017-07-14T00:00:00"/>
  </r>
  <r>
    <x v="786"/>
    <d v="2017-07-14T00:00:00"/>
  </r>
  <r>
    <x v="787"/>
    <d v="2017-07-14T00:00:00"/>
  </r>
  <r>
    <x v="788"/>
    <d v="2017-07-14T00:00:00"/>
  </r>
  <r>
    <x v="789"/>
    <d v="2017-07-14T00:00:00"/>
  </r>
  <r>
    <x v="790"/>
    <d v="2017-07-14T00:00:00"/>
  </r>
  <r>
    <x v="791"/>
    <d v="2017-07-14T00:00:00"/>
  </r>
  <r>
    <x v="792"/>
    <d v="2017-07-14T00:00:00"/>
  </r>
  <r>
    <x v="793"/>
    <d v="2017-07-14T00:00:00"/>
  </r>
  <r>
    <x v="794"/>
    <d v="2017-07-14T00:00:00"/>
  </r>
  <r>
    <x v="795"/>
    <d v="2017-07-14T00:00:00"/>
  </r>
  <r>
    <x v="796"/>
    <d v="2017-07-14T00:00:00"/>
  </r>
  <r>
    <x v="507"/>
    <d v="2017-07-14T00:00:00"/>
  </r>
  <r>
    <x v="797"/>
    <d v="2017-07-14T00:00:00"/>
  </r>
  <r>
    <x v="798"/>
    <d v="2017-07-14T00:00:00"/>
  </r>
  <r>
    <x v="799"/>
    <d v="2017-07-14T00:00:00"/>
  </r>
  <r>
    <x v="800"/>
    <d v="2017-07-14T00:00:00"/>
  </r>
  <r>
    <x v="801"/>
    <d v="2017-07-14T00:00:00"/>
  </r>
  <r>
    <x v="802"/>
    <d v="2017-07-14T00:00:00"/>
  </r>
  <r>
    <x v="803"/>
    <d v="2017-07-14T00:00:00"/>
  </r>
  <r>
    <x v="724"/>
    <d v="2017-07-14T00:00:00"/>
  </r>
  <r>
    <x v="804"/>
    <d v="2017-07-14T00:00:00"/>
  </r>
  <r>
    <x v="805"/>
    <d v="2017-07-14T00:00:00"/>
  </r>
  <r>
    <x v="806"/>
    <d v="2017-07-14T00:00:00"/>
  </r>
  <r>
    <x v="756"/>
    <d v="2017-07-14T00:00:00"/>
  </r>
  <r>
    <x v="80"/>
    <d v="2017-07-14T00:00:00"/>
  </r>
  <r>
    <x v="807"/>
    <d v="2017-07-14T00:00:00"/>
  </r>
  <r>
    <x v="808"/>
    <d v="2017-07-14T00:00:00"/>
  </r>
  <r>
    <x v="809"/>
    <d v="2017-07-14T00:00:00"/>
  </r>
  <r>
    <x v="810"/>
    <d v="2017-07-14T00:00:00"/>
  </r>
  <r>
    <x v="811"/>
    <d v="2017-07-14T00:00:00"/>
  </r>
  <r>
    <x v="812"/>
    <d v="2017-07-14T00:00:00"/>
  </r>
  <r>
    <x v="743"/>
    <d v="2017-07-14T00:00:00"/>
  </r>
  <r>
    <x v="9"/>
    <d v="2017-07-14T00:00:00"/>
  </r>
  <r>
    <x v="813"/>
    <d v="2017-07-14T00:00:00"/>
  </r>
  <r>
    <x v="814"/>
    <d v="2017-07-14T00:00:00"/>
  </r>
  <r>
    <x v="815"/>
    <d v="2017-07-14T00:00:00"/>
  </r>
  <r>
    <x v="816"/>
    <d v="2017-07-14T00:00:00"/>
  </r>
  <r>
    <x v="817"/>
    <d v="2017-07-14T00:00:00"/>
  </r>
  <r>
    <x v="818"/>
    <d v="2017-07-14T00:00:00"/>
  </r>
  <r>
    <x v="41"/>
    <d v="2017-07-14T00:00:00"/>
  </r>
  <r>
    <x v="819"/>
    <d v="2017-07-14T00:00:00"/>
  </r>
  <r>
    <x v="820"/>
    <d v="2017-07-14T00:00:00"/>
  </r>
  <r>
    <x v="821"/>
    <d v="2017-07-14T00:00:00"/>
  </r>
  <r>
    <x v="822"/>
    <d v="2017-07-14T00:00:00"/>
  </r>
  <r>
    <x v="823"/>
    <d v="2017-07-14T00:00:00"/>
  </r>
  <r>
    <x v="824"/>
    <d v="2017-07-14T00:00:00"/>
  </r>
  <r>
    <x v="825"/>
    <d v="2017-07-14T00:00:00"/>
  </r>
  <r>
    <x v="826"/>
    <d v="2017-07-14T00:00:00"/>
  </r>
  <r>
    <x v="827"/>
    <d v="2017-07-14T00:00:00"/>
  </r>
  <r>
    <x v="828"/>
    <d v="2017-07-14T00:00:00"/>
  </r>
  <r>
    <x v="829"/>
    <d v="2017-07-14T00:00:00"/>
  </r>
  <r>
    <x v="543"/>
    <d v="2017-07-14T00:00:00"/>
  </r>
  <r>
    <x v="830"/>
    <d v="2017-07-14T00:00:00"/>
  </r>
  <r>
    <x v="831"/>
    <d v="2017-07-14T00:00:00"/>
  </r>
  <r>
    <x v="832"/>
    <d v="2017-07-14T00:00:00"/>
  </r>
  <r>
    <x v="833"/>
    <d v="2017-07-14T00:00:00"/>
  </r>
  <r>
    <x v="834"/>
    <d v="2017-07-14T00:00:00"/>
  </r>
  <r>
    <x v="835"/>
    <d v="2017-07-14T00:00:00"/>
  </r>
  <r>
    <x v="836"/>
    <d v="2017-07-14T00:00:00"/>
  </r>
  <r>
    <x v="837"/>
    <d v="2017-07-14T00:00:00"/>
  </r>
  <r>
    <x v="701"/>
    <d v="2017-07-14T00:00:00"/>
  </r>
  <r>
    <x v="838"/>
    <d v="2017-07-14T00:00:00"/>
  </r>
  <r>
    <x v="589"/>
    <d v="2017-07-14T00:00:00"/>
  </r>
  <r>
    <x v="839"/>
    <d v="2017-07-14T00:00:00"/>
  </r>
  <r>
    <x v="840"/>
    <d v="2017-07-14T00:00:00"/>
  </r>
  <r>
    <x v="841"/>
    <d v="2017-07-14T00:00:00"/>
  </r>
  <r>
    <x v="659"/>
    <d v="2017-07-14T00:00:00"/>
  </r>
  <r>
    <x v="842"/>
    <d v="2017-07-14T00:00:00"/>
  </r>
  <r>
    <x v="843"/>
    <d v="2017-07-14T00:00:00"/>
  </r>
  <r>
    <x v="56"/>
    <d v="2017-07-14T00:00:00"/>
  </r>
  <r>
    <x v="844"/>
    <d v="2017-07-14T00:00:00"/>
  </r>
  <r>
    <x v="845"/>
    <d v="2017-07-14T00:00:00"/>
  </r>
  <r>
    <x v="846"/>
    <d v="2017-07-14T00:00:00"/>
  </r>
  <r>
    <x v="847"/>
    <d v="2017-07-14T00:00:00"/>
  </r>
  <r>
    <x v="848"/>
    <d v="2017-07-14T00:00:00"/>
  </r>
  <r>
    <x v="438"/>
    <d v="2017-07-14T00:00:00"/>
  </r>
  <r>
    <x v="311"/>
    <d v="2017-07-14T00:00:00"/>
  </r>
  <r>
    <x v="122"/>
    <d v="2017-07-14T00:00:00"/>
  </r>
  <r>
    <x v="849"/>
    <d v="2017-07-14T00:00:00"/>
  </r>
  <r>
    <x v="850"/>
    <d v="2017-07-14T00:00:00"/>
  </r>
  <r>
    <x v="851"/>
    <d v="2017-07-14T00:00:00"/>
  </r>
  <r>
    <x v="852"/>
    <d v="2017-07-14T00:00:00"/>
  </r>
  <r>
    <x v="853"/>
    <d v="2017-07-14T00:00:00"/>
  </r>
  <r>
    <x v="854"/>
    <d v="2017-07-14T00:00:00"/>
  </r>
  <r>
    <x v="855"/>
    <d v="2017-07-14T00:00:00"/>
  </r>
  <r>
    <x v="856"/>
    <d v="2017-07-14T00:00:00"/>
  </r>
  <r>
    <x v="857"/>
    <d v="2017-07-14T00:00:00"/>
  </r>
  <r>
    <x v="858"/>
    <d v="2017-07-14T00:00:00"/>
  </r>
  <r>
    <x v="859"/>
    <d v="2017-07-14T00:00:00"/>
  </r>
  <r>
    <x v="860"/>
    <d v="2017-07-14T00:00:00"/>
  </r>
  <r>
    <x v="507"/>
    <d v="2017-07-17T00:00:00"/>
  </r>
  <r>
    <x v="861"/>
    <d v="2017-07-17T00:00:00"/>
  </r>
  <r>
    <x v="862"/>
    <d v="2017-07-17T00:00:00"/>
  </r>
  <r>
    <x v="863"/>
    <d v="2017-07-17T00:00:00"/>
  </r>
  <r>
    <x v="864"/>
    <d v="2017-07-17T00:00:00"/>
  </r>
  <r>
    <x v="865"/>
    <d v="2017-07-17T00:00:00"/>
  </r>
  <r>
    <x v="866"/>
    <d v="2017-07-17T00:00:00"/>
  </r>
  <r>
    <x v="867"/>
    <d v="2017-07-17T00:00:00"/>
  </r>
  <r>
    <x v="868"/>
    <d v="2017-07-17T00:00:00"/>
  </r>
  <r>
    <x v="869"/>
    <d v="2017-07-17T00:00:00"/>
  </r>
  <r>
    <x v="870"/>
    <d v="2017-07-17T00:00:00"/>
  </r>
  <r>
    <x v="871"/>
    <d v="2017-07-17T00:00:00"/>
  </r>
  <r>
    <x v="872"/>
    <d v="2017-07-17T00:00:00"/>
  </r>
  <r>
    <x v="664"/>
    <d v="2017-07-17T00:00:00"/>
  </r>
  <r>
    <x v="873"/>
    <d v="2017-07-17T00:00:00"/>
  </r>
  <r>
    <x v="874"/>
    <d v="2017-07-17T00:00:00"/>
  </r>
  <r>
    <x v="875"/>
    <d v="2017-07-17T00:00:00"/>
  </r>
  <r>
    <x v="876"/>
    <d v="2017-07-17T00:00:00"/>
  </r>
  <r>
    <x v="877"/>
    <d v="2017-07-17T00:00:00"/>
  </r>
  <r>
    <x v="878"/>
    <d v="2017-07-17T00:00:00"/>
  </r>
  <r>
    <x v="879"/>
    <d v="2017-07-17T00:00:00"/>
  </r>
  <r>
    <x v="880"/>
    <d v="2017-07-17T00:00:00"/>
  </r>
  <r>
    <x v="881"/>
    <d v="2017-07-17T00:00:00"/>
  </r>
  <r>
    <x v="882"/>
    <d v="2017-07-17T00:00:00"/>
  </r>
  <r>
    <x v="236"/>
    <d v="2017-07-17T00:00:00"/>
  </r>
  <r>
    <x v="883"/>
    <d v="2017-07-17T00:00:00"/>
  </r>
  <r>
    <x v="884"/>
    <d v="2017-07-17T00:00:00"/>
  </r>
  <r>
    <x v="885"/>
    <d v="2017-07-17T00:00:00"/>
  </r>
  <r>
    <x v="886"/>
    <d v="2017-07-17T00:00:00"/>
  </r>
  <r>
    <x v="887"/>
    <d v="2017-07-17T00:00:00"/>
  </r>
  <r>
    <x v="888"/>
    <d v="2017-07-17T00:00:00"/>
  </r>
  <r>
    <x v="889"/>
    <d v="2017-07-17T00:00:00"/>
  </r>
  <r>
    <x v="890"/>
    <d v="2017-07-17T00:00:00"/>
  </r>
  <r>
    <x v="891"/>
    <d v="2017-07-17T00:00:00"/>
  </r>
  <r>
    <x v="892"/>
    <d v="2017-07-17T00:00:00"/>
  </r>
  <r>
    <x v="893"/>
    <d v="2017-07-17T00:00:00"/>
  </r>
  <r>
    <x v="206"/>
    <d v="2017-07-17T00:00:00"/>
  </r>
  <r>
    <x v="894"/>
    <d v="2017-07-17T00:00:00"/>
  </r>
  <r>
    <x v="895"/>
    <d v="2017-07-17T00:00:00"/>
  </r>
  <r>
    <x v="896"/>
    <d v="2017-07-17T00:00:00"/>
  </r>
  <r>
    <x v="897"/>
    <d v="2017-07-17T00:00:00"/>
  </r>
  <r>
    <x v="898"/>
    <d v="2017-07-17T00:00:00"/>
  </r>
  <r>
    <x v="794"/>
    <d v="2017-07-17T00:00:00"/>
  </r>
  <r>
    <x v="899"/>
    <d v="2017-07-17T00:00:00"/>
  </r>
  <r>
    <x v="900"/>
    <d v="2017-07-17T00:00:00"/>
  </r>
  <r>
    <x v="589"/>
    <d v="2017-07-17T00:00:00"/>
  </r>
  <r>
    <x v="901"/>
    <d v="2017-07-17T00:00:00"/>
  </r>
  <r>
    <x v="902"/>
    <d v="2017-07-17T00:00:00"/>
  </r>
  <r>
    <x v="903"/>
    <d v="2017-07-17T00:00:00"/>
  </r>
  <r>
    <x v="904"/>
    <d v="2017-07-17T00:00:00"/>
  </r>
  <r>
    <x v="905"/>
    <d v="2017-07-17T00:00:00"/>
  </r>
  <r>
    <x v="290"/>
    <d v="2017-07-17T00:00:00"/>
  </r>
  <r>
    <x v="906"/>
    <d v="2017-07-17T00:00:00"/>
  </r>
  <r>
    <x v="907"/>
    <d v="2017-07-17T00:00:00"/>
  </r>
  <r>
    <x v="908"/>
    <d v="2017-07-17T00:00:00"/>
  </r>
  <r>
    <x v="909"/>
    <d v="2017-07-17T00:00:00"/>
  </r>
  <r>
    <x v="910"/>
    <d v="2017-07-17T00:00:00"/>
  </r>
  <r>
    <x v="911"/>
    <d v="2017-07-17T00:00:00"/>
  </r>
  <r>
    <x v="912"/>
    <d v="2017-07-17T00:00:00"/>
  </r>
  <r>
    <x v="913"/>
    <d v="2017-07-17T00:00:00"/>
  </r>
  <r>
    <x v="914"/>
    <d v="2017-07-17T00:00:00"/>
  </r>
  <r>
    <x v="915"/>
    <d v="2017-07-17T00:00:00"/>
  </r>
  <r>
    <x v="916"/>
    <d v="2017-07-17T00:00:00"/>
  </r>
  <r>
    <x v="917"/>
    <d v="2017-07-17T00:00:00"/>
  </r>
  <r>
    <x v="918"/>
    <d v="2017-07-17T00:00:00"/>
  </r>
  <r>
    <x v="919"/>
    <d v="2017-07-17T00:00:00"/>
  </r>
  <r>
    <x v="920"/>
    <d v="2017-07-17T00:00:00"/>
  </r>
  <r>
    <x v="921"/>
    <d v="2017-07-17T00:00:00"/>
  </r>
  <r>
    <x v="922"/>
    <d v="2017-07-17T00:00:00"/>
  </r>
  <r>
    <x v="923"/>
    <d v="2017-07-17T00:00:00"/>
  </r>
  <r>
    <x v="924"/>
    <d v="2017-07-17T00:00:00"/>
  </r>
  <r>
    <x v="925"/>
    <d v="2017-07-17T00:00:00"/>
  </r>
  <r>
    <x v="926"/>
    <d v="2017-07-17T00:00:00"/>
  </r>
  <r>
    <x v="40"/>
    <d v="2017-07-17T00:00:00"/>
  </r>
  <r>
    <x v="748"/>
    <d v="2017-07-17T00:00:00"/>
  </r>
  <r>
    <x v="927"/>
    <d v="2017-07-17T00:00:00"/>
  </r>
  <r>
    <x v="928"/>
    <d v="2017-07-17T00:00:00"/>
  </r>
  <r>
    <x v="36"/>
    <d v="2017-07-17T00:00:00"/>
  </r>
  <r>
    <x v="929"/>
    <d v="2017-07-17T00:00:00"/>
  </r>
  <r>
    <x v="930"/>
    <d v="2017-07-17T00:00:00"/>
  </r>
  <r>
    <x v="931"/>
    <d v="2017-07-17T00:00:00"/>
  </r>
  <r>
    <x v="932"/>
    <d v="2017-07-17T00:00:00"/>
  </r>
  <r>
    <x v="933"/>
    <d v="2017-07-17T00:00:00"/>
  </r>
  <r>
    <x v="934"/>
    <d v="2017-07-17T00:00:00"/>
  </r>
  <r>
    <x v="935"/>
    <d v="2017-07-17T00:00:00"/>
  </r>
  <r>
    <x v="936"/>
    <d v="2017-07-17T00:00:00"/>
  </r>
  <r>
    <x v="937"/>
    <d v="2017-07-17T00:00:00"/>
  </r>
  <r>
    <x v="938"/>
    <d v="2017-07-17T00:00:00"/>
  </r>
  <r>
    <x v="939"/>
    <d v="2017-07-17T00:00:00"/>
  </r>
  <r>
    <x v="940"/>
    <d v="2017-07-17T00:00:00"/>
  </r>
  <r>
    <x v="941"/>
    <d v="2017-07-17T00:00:00"/>
  </r>
  <r>
    <x v="942"/>
    <d v="2017-07-17T00:00:00"/>
  </r>
  <r>
    <x v="943"/>
    <d v="2017-07-17T00:00:00"/>
  </r>
  <r>
    <x v="553"/>
    <d v="2017-07-17T00:00:00"/>
  </r>
  <r>
    <x v="944"/>
    <d v="2017-07-17T00:00:00"/>
  </r>
  <r>
    <x v="945"/>
    <d v="2017-07-17T00:00:00"/>
  </r>
  <r>
    <x v="946"/>
    <d v="2017-07-17T00:00:00"/>
  </r>
  <r>
    <x v="947"/>
    <d v="2017-07-17T00:00:00"/>
  </r>
  <r>
    <x v="204"/>
    <d v="2017-07-17T00:00:00"/>
  </r>
  <r>
    <x v="948"/>
    <d v="2017-07-17T00:00:00"/>
  </r>
  <r>
    <x v="949"/>
    <d v="2017-07-17T00:00:00"/>
  </r>
  <r>
    <x v="950"/>
    <d v="2017-07-17T00:00:00"/>
  </r>
  <r>
    <x v="951"/>
    <d v="2017-07-17T00:00:00"/>
  </r>
  <r>
    <x v="952"/>
    <d v="2017-07-17T00:00:00"/>
  </r>
  <r>
    <x v="953"/>
    <d v="2017-07-17T00:00:00"/>
  </r>
  <r>
    <x v="839"/>
    <d v="2017-07-17T00:00:00"/>
  </r>
  <r>
    <x v="954"/>
    <d v="2017-07-18T00:00:00"/>
  </r>
  <r>
    <x v="955"/>
    <d v="2017-07-18T00:00:00"/>
  </r>
  <r>
    <x v="956"/>
    <d v="2017-07-18T00:00:00"/>
  </r>
  <r>
    <x v="957"/>
    <d v="2017-07-18T00:00:00"/>
  </r>
  <r>
    <x v="958"/>
    <d v="2017-07-18T00:00:00"/>
  </r>
  <r>
    <x v="959"/>
    <d v="2017-07-18T00:00:00"/>
  </r>
  <r>
    <x v="960"/>
    <d v="2017-07-18T00:00:00"/>
  </r>
  <r>
    <x v="961"/>
    <d v="2017-07-18T00:00:00"/>
  </r>
  <r>
    <x v="962"/>
    <d v="2017-07-18T00:00:00"/>
  </r>
  <r>
    <x v="963"/>
    <d v="2017-07-18T00:00:00"/>
  </r>
  <r>
    <x v="964"/>
    <d v="2017-07-18T00:00:00"/>
  </r>
  <r>
    <x v="965"/>
    <d v="2017-07-18T00:00:00"/>
  </r>
  <r>
    <x v="966"/>
    <d v="2017-07-18T00:00:00"/>
  </r>
  <r>
    <x v="446"/>
    <d v="2017-07-18T00:00:00"/>
  </r>
  <r>
    <x v="967"/>
    <d v="2017-07-18T00:00:00"/>
  </r>
  <r>
    <x v="968"/>
    <d v="2017-07-18T00:00:00"/>
  </r>
  <r>
    <x v="969"/>
    <d v="2017-07-18T00:00:00"/>
  </r>
  <r>
    <x v="970"/>
    <d v="2017-07-18T00:00:00"/>
  </r>
  <r>
    <x v="971"/>
    <d v="2017-07-18T00:00:00"/>
  </r>
  <r>
    <x v="41"/>
    <d v="2017-07-18T00:00:00"/>
  </r>
  <r>
    <x v="972"/>
    <d v="2017-07-18T00:00:00"/>
  </r>
  <r>
    <x v="973"/>
    <d v="2017-07-18T00:00:00"/>
  </r>
  <r>
    <x v="974"/>
    <d v="2017-07-18T00:00:00"/>
  </r>
  <r>
    <x v="975"/>
    <d v="2017-07-18T00:00:00"/>
  </r>
  <r>
    <x v="976"/>
    <d v="2017-07-18T00:00:00"/>
  </r>
  <r>
    <x v="122"/>
    <d v="2017-07-18T00:00:00"/>
  </r>
  <r>
    <x v="977"/>
    <d v="2017-07-18T00:00:00"/>
  </r>
  <r>
    <x v="637"/>
    <d v="2017-07-18T00:00:00"/>
  </r>
  <r>
    <x v="675"/>
    <d v="2017-07-18T00:00:00"/>
  </r>
  <r>
    <x v="978"/>
    <d v="2017-07-18T00:00:00"/>
  </r>
  <r>
    <x v="979"/>
    <d v="2017-07-18T00:00:00"/>
  </r>
  <r>
    <x v="980"/>
    <d v="2017-07-18T00:00:00"/>
  </r>
  <r>
    <x v="981"/>
    <d v="2017-07-18T00:00:00"/>
  </r>
  <r>
    <x v="982"/>
    <d v="2017-07-18T00:00:00"/>
  </r>
  <r>
    <x v="983"/>
    <d v="2017-07-18T00:00:00"/>
  </r>
  <r>
    <x v="451"/>
    <d v="2017-07-18T00:00:00"/>
  </r>
  <r>
    <x v="984"/>
    <d v="2017-07-18T00:00:00"/>
  </r>
  <r>
    <x v="985"/>
    <d v="2017-07-18T00:00:00"/>
  </r>
  <r>
    <x v="824"/>
    <d v="2017-07-18T00:00:00"/>
  </r>
  <r>
    <x v="986"/>
    <d v="2017-07-18T00:00:00"/>
  </r>
  <r>
    <x v="987"/>
    <d v="2017-07-18T00:00:00"/>
  </r>
  <r>
    <x v="988"/>
    <d v="2017-07-18T00:00:00"/>
  </r>
  <r>
    <x v="989"/>
    <d v="2017-07-18T00:00:00"/>
  </r>
  <r>
    <x v="990"/>
    <d v="2017-07-18T00:00:00"/>
  </r>
  <r>
    <x v="991"/>
    <d v="2017-07-18T00:00:00"/>
  </r>
  <r>
    <x v="992"/>
    <d v="2017-07-18T00:00:00"/>
  </r>
  <r>
    <x v="993"/>
    <d v="2017-07-18T00:00:00"/>
  </r>
  <r>
    <x v="994"/>
    <d v="2017-07-18T00:00:00"/>
  </r>
  <r>
    <x v="719"/>
    <d v="2017-07-18T00:00:00"/>
  </r>
  <r>
    <x v="995"/>
    <d v="2017-07-18T00:00:00"/>
  </r>
  <r>
    <x v="442"/>
    <d v="2017-07-18T00:00:00"/>
  </r>
  <r>
    <x v="996"/>
    <d v="2017-07-18T00:00:00"/>
  </r>
  <r>
    <x v="997"/>
    <d v="2017-07-18T00:00:00"/>
  </r>
  <r>
    <x v="998"/>
    <d v="2017-07-18T00:00:00"/>
  </r>
  <r>
    <x v="999"/>
    <d v="2017-07-18T00:00:00"/>
  </r>
  <r>
    <x v="1000"/>
    <d v="2017-07-18T00:00:00"/>
  </r>
  <r>
    <x v="1001"/>
    <d v="2017-07-18T00:00:00"/>
  </r>
  <r>
    <x v="1002"/>
    <d v="2017-07-18T00:00:00"/>
  </r>
  <r>
    <x v="1003"/>
    <d v="2017-07-18T00:00:00"/>
  </r>
  <r>
    <x v="1004"/>
    <d v="2017-07-18T00:00:00"/>
  </r>
  <r>
    <x v="1005"/>
    <d v="2017-07-18T00:00:00"/>
  </r>
  <r>
    <x v="1006"/>
    <d v="2017-07-18T00:00:00"/>
  </r>
  <r>
    <x v="1007"/>
    <d v="2017-07-18T00:00:00"/>
  </r>
  <r>
    <x v="1008"/>
    <d v="2017-07-18T00:00:00"/>
  </r>
  <r>
    <x v="1009"/>
    <d v="2017-07-18T00:00:00"/>
  </r>
  <r>
    <x v="1010"/>
    <d v="2017-07-18T00:00:00"/>
  </r>
  <r>
    <x v="1011"/>
    <d v="2017-07-18T00:00:00"/>
  </r>
  <r>
    <x v="1012"/>
    <d v="2017-07-18T00:00:00"/>
  </r>
  <r>
    <x v="1013"/>
    <d v="2017-07-18T00:00:00"/>
  </r>
  <r>
    <x v="1014"/>
    <d v="2017-07-18T00:00:00"/>
  </r>
  <r>
    <x v="1015"/>
    <d v="2017-07-18T00:00:00"/>
  </r>
  <r>
    <x v="1016"/>
    <d v="2017-07-18T00:00:00"/>
  </r>
  <r>
    <x v="392"/>
    <d v="2017-07-18T00:00:00"/>
  </r>
  <r>
    <x v="1017"/>
    <d v="2017-07-18T00:00:00"/>
  </r>
  <r>
    <x v="1018"/>
    <d v="2017-07-18T00:00:00"/>
  </r>
  <r>
    <x v="1019"/>
    <d v="2017-07-18T00:00:00"/>
  </r>
  <r>
    <x v="1020"/>
    <d v="2017-07-18T00:00:00"/>
  </r>
  <r>
    <x v="1021"/>
    <d v="2017-07-18T00:00:00"/>
  </r>
  <r>
    <x v="1022"/>
    <d v="2017-07-18T00:00:00"/>
  </r>
  <r>
    <x v="1023"/>
    <d v="2017-07-18T00:00:00"/>
  </r>
  <r>
    <x v="1024"/>
    <d v="2017-07-18T00:00:00"/>
  </r>
  <r>
    <x v="1025"/>
    <d v="2017-07-18T00:00:00"/>
  </r>
  <r>
    <x v="1026"/>
    <d v="2017-07-18T00:00:00"/>
  </r>
  <r>
    <x v="1027"/>
    <d v="2017-07-18T00:00:00"/>
  </r>
  <r>
    <x v="1028"/>
    <d v="2017-07-18T00:00:00"/>
  </r>
  <r>
    <x v="1029"/>
    <d v="2017-07-18T00:00:00"/>
  </r>
  <r>
    <x v="723"/>
    <d v="2017-07-18T00:00:00"/>
  </r>
  <r>
    <x v="1030"/>
    <d v="2017-07-18T00:00:00"/>
  </r>
  <r>
    <x v="1031"/>
    <d v="2017-07-18T00:00:00"/>
  </r>
  <r>
    <x v="1032"/>
    <d v="2017-07-18T00:00:00"/>
  </r>
  <r>
    <x v="1033"/>
    <d v="2017-07-18T00:00:00"/>
  </r>
  <r>
    <x v="736"/>
    <d v="2017-07-18T00:00:00"/>
  </r>
  <r>
    <x v="1034"/>
    <d v="2017-07-18T00:00:00"/>
  </r>
  <r>
    <x v="1035"/>
    <d v="2017-07-18T00:00:00"/>
  </r>
  <r>
    <x v="1036"/>
    <d v="2017-07-18T00:00:00"/>
  </r>
  <r>
    <x v="479"/>
    <d v="2017-07-18T00:00:00"/>
  </r>
  <r>
    <x v="1037"/>
    <d v="2017-07-18T00:00:00"/>
  </r>
  <r>
    <x v="1038"/>
    <d v="2017-07-18T00:00:00"/>
  </r>
  <r>
    <x v="1039"/>
    <d v="2017-07-18T00:00:00"/>
  </r>
  <r>
    <x v="1040"/>
    <d v="2017-07-19T00:00:00"/>
  </r>
  <r>
    <x v="1041"/>
    <d v="2017-07-19T00:00:00"/>
  </r>
  <r>
    <x v="1042"/>
    <d v="2017-07-19T00:00:00"/>
  </r>
  <r>
    <x v="1043"/>
    <d v="2017-07-19T00:00:00"/>
  </r>
  <r>
    <x v="1044"/>
    <d v="2017-07-19T00:00:00"/>
  </r>
  <r>
    <x v="1045"/>
    <d v="2017-07-19T00:00:00"/>
  </r>
  <r>
    <x v="835"/>
    <d v="2017-07-19T00:00:00"/>
  </r>
  <r>
    <x v="1046"/>
    <d v="2017-07-19T00:00:00"/>
  </r>
  <r>
    <x v="1047"/>
    <d v="2017-07-19T00:00:00"/>
  </r>
  <r>
    <x v="1048"/>
    <d v="2017-07-19T00:00:00"/>
  </r>
  <r>
    <x v="1049"/>
    <d v="2017-07-19T00:00:00"/>
  </r>
  <r>
    <x v="1050"/>
    <d v="2017-07-19T00:00:00"/>
  </r>
  <r>
    <x v="471"/>
    <d v="2017-07-19T00:00:00"/>
  </r>
  <r>
    <x v="1051"/>
    <d v="2017-07-19T00:00:00"/>
  </r>
  <r>
    <x v="1052"/>
    <d v="2017-07-19T00:00:00"/>
  </r>
  <r>
    <x v="1053"/>
    <d v="2017-07-19T00:00:00"/>
  </r>
  <r>
    <x v="1054"/>
    <d v="2017-07-19T00:00:00"/>
  </r>
  <r>
    <x v="1055"/>
    <d v="2017-07-19T00:00:00"/>
  </r>
  <r>
    <x v="1056"/>
    <d v="2017-07-19T00:00:00"/>
  </r>
  <r>
    <x v="1057"/>
    <d v="2017-07-19T00:00:00"/>
  </r>
  <r>
    <x v="1058"/>
    <d v="2017-07-19T00:00:00"/>
  </r>
  <r>
    <x v="1059"/>
    <d v="2017-07-19T00:00:00"/>
  </r>
  <r>
    <x v="1060"/>
    <d v="2017-07-19T00:00:00"/>
  </r>
  <r>
    <x v="1061"/>
    <d v="2017-07-19T00:00:00"/>
  </r>
  <r>
    <x v="1062"/>
    <d v="2017-07-19T00:00:00"/>
  </r>
  <r>
    <x v="1063"/>
    <d v="2017-07-19T00:00:00"/>
  </r>
  <r>
    <x v="408"/>
    <d v="2017-07-19T00:00:00"/>
  </r>
  <r>
    <x v="1064"/>
    <d v="2017-07-19T00:00:00"/>
  </r>
  <r>
    <x v="1065"/>
    <d v="2017-07-19T00:00:00"/>
  </r>
  <r>
    <x v="1066"/>
    <d v="2017-07-19T00:00:00"/>
  </r>
  <r>
    <x v="1067"/>
    <d v="2017-07-19T00:00:00"/>
  </r>
  <r>
    <x v="1068"/>
    <d v="2017-07-19T00:00:00"/>
  </r>
  <r>
    <x v="1069"/>
    <d v="2017-07-19T00:00:00"/>
  </r>
  <r>
    <x v="1070"/>
    <d v="2017-07-19T00:00:00"/>
  </r>
  <r>
    <x v="1071"/>
    <d v="2017-07-19T00:00:00"/>
  </r>
  <r>
    <x v="1072"/>
    <d v="2017-07-19T00:00:00"/>
  </r>
  <r>
    <x v="1073"/>
    <d v="2017-07-19T00:00:00"/>
  </r>
  <r>
    <x v="1074"/>
    <d v="2017-07-19T00:00:00"/>
  </r>
  <r>
    <x v="1075"/>
    <d v="2017-07-19T00:00:00"/>
  </r>
  <r>
    <x v="1076"/>
    <d v="2017-07-19T00:00:00"/>
  </r>
  <r>
    <x v="1077"/>
    <d v="2017-07-19T00:00:00"/>
  </r>
  <r>
    <x v="1078"/>
    <d v="2017-07-19T00:00:00"/>
  </r>
  <r>
    <x v="1079"/>
    <d v="2017-07-19T00:00:00"/>
  </r>
  <r>
    <x v="563"/>
    <d v="2017-07-19T00:00:00"/>
  </r>
  <r>
    <x v="1080"/>
    <d v="2017-07-19T00:00:00"/>
  </r>
  <r>
    <x v="1081"/>
    <d v="2017-07-19T00:00:00"/>
  </r>
  <r>
    <x v="1082"/>
    <d v="2017-07-19T00:00:00"/>
  </r>
  <r>
    <x v="257"/>
    <d v="2017-07-19T00:00:00"/>
  </r>
  <r>
    <x v="1083"/>
    <d v="2017-07-19T00:00:00"/>
  </r>
  <r>
    <x v="1084"/>
    <d v="2017-07-19T00:00:00"/>
  </r>
  <r>
    <x v="1085"/>
    <d v="2017-07-19T00:00:00"/>
  </r>
  <r>
    <x v="1086"/>
    <d v="2017-07-19T00:00:00"/>
  </r>
  <r>
    <x v="1087"/>
    <d v="2017-07-19T00:00:00"/>
  </r>
  <r>
    <x v="1088"/>
    <d v="2017-07-19T00:00:00"/>
  </r>
  <r>
    <x v="1089"/>
    <d v="2017-07-19T00:00:00"/>
  </r>
  <r>
    <x v="1090"/>
    <d v="2017-07-19T00:00:00"/>
  </r>
  <r>
    <x v="1091"/>
    <d v="2017-07-19T00:00:00"/>
  </r>
  <r>
    <x v="1092"/>
    <d v="2017-07-19T00:00:00"/>
  </r>
  <r>
    <x v="1093"/>
    <d v="2017-07-19T00:00:00"/>
  </r>
  <r>
    <x v="1094"/>
    <d v="2017-07-19T00:00:00"/>
  </r>
  <r>
    <x v="1095"/>
    <d v="2017-07-19T00:00:00"/>
  </r>
  <r>
    <x v="1096"/>
    <d v="2017-07-19T00:00:00"/>
  </r>
  <r>
    <x v="371"/>
    <d v="2017-07-19T00:00:00"/>
  </r>
  <r>
    <x v="1097"/>
    <d v="2017-07-19T00:00:00"/>
  </r>
  <r>
    <x v="299"/>
    <d v="2017-07-19T00:00:00"/>
  </r>
  <r>
    <x v="1098"/>
    <d v="2017-07-19T00:00:00"/>
  </r>
  <r>
    <x v="1099"/>
    <d v="2017-07-19T00:00:00"/>
  </r>
  <r>
    <x v="1100"/>
    <d v="2017-07-19T00:00:00"/>
  </r>
  <r>
    <x v="693"/>
    <d v="2017-07-19T00:00:00"/>
  </r>
  <r>
    <x v="1101"/>
    <d v="2017-07-19T00:00:00"/>
  </r>
  <r>
    <x v="1102"/>
    <d v="2017-07-19T00:00:00"/>
  </r>
  <r>
    <x v="1103"/>
    <d v="2017-07-19T00:00:00"/>
  </r>
  <r>
    <x v="1104"/>
    <d v="2017-07-19T00:00:00"/>
  </r>
  <r>
    <x v="1105"/>
    <d v="2017-07-19T00:00:00"/>
  </r>
  <r>
    <x v="1106"/>
    <d v="2017-07-19T00:00:00"/>
  </r>
  <r>
    <x v="1107"/>
    <d v="2017-07-19T00:00:00"/>
  </r>
  <r>
    <x v="1108"/>
    <d v="2017-07-19T00:00:00"/>
  </r>
  <r>
    <x v="1109"/>
    <d v="2017-07-19T00:00:00"/>
  </r>
  <r>
    <x v="1110"/>
    <d v="2017-07-19T00:00:00"/>
  </r>
  <r>
    <x v="1111"/>
    <d v="2017-07-19T00:00:00"/>
  </r>
  <r>
    <x v="589"/>
    <d v="2017-07-19T00:00:00"/>
  </r>
  <r>
    <x v="1093"/>
    <d v="2017-07-19T00:00:00"/>
  </r>
  <r>
    <x v="1112"/>
    <d v="2017-07-19T00:00:00"/>
  </r>
  <r>
    <x v="1113"/>
    <d v="2017-07-19T00:00:00"/>
  </r>
  <r>
    <x v="1114"/>
    <d v="2017-07-19T00:00:00"/>
  </r>
  <r>
    <x v="1115"/>
    <d v="2017-07-19T00:00:00"/>
  </r>
  <r>
    <x v="1116"/>
    <d v="2017-07-19T00:00:00"/>
  </r>
  <r>
    <x v="1117"/>
    <d v="2017-07-19T00:00:00"/>
  </r>
  <r>
    <x v="686"/>
    <d v="2017-07-19T00:00:00"/>
  </r>
  <r>
    <x v="1118"/>
    <d v="2017-07-19T00:00:00"/>
  </r>
  <r>
    <x v="1119"/>
    <d v="2017-07-19T00:00:00"/>
  </r>
  <r>
    <x v="1120"/>
    <d v="2017-07-19T00:00:00"/>
  </r>
  <r>
    <x v="1121"/>
    <d v="2017-07-19T00:00:00"/>
  </r>
  <r>
    <x v="1122"/>
    <d v="2017-07-19T00:00:00"/>
  </r>
  <r>
    <x v="1123"/>
    <d v="2017-07-19T00:00:00"/>
  </r>
  <r>
    <x v="1124"/>
    <d v="2017-07-19T00:00:00"/>
  </r>
  <r>
    <x v="1125"/>
    <d v="2017-07-19T00:00:00"/>
  </r>
  <r>
    <x v="1126"/>
    <d v="2017-07-19T00:00:00"/>
  </r>
  <r>
    <x v="1127"/>
    <d v="2017-07-19T00:00:00"/>
  </r>
  <r>
    <x v="264"/>
    <d v="2017-07-19T00:00:00"/>
  </r>
  <r>
    <x v="1128"/>
    <d v="2017-07-20T00:00:00"/>
  </r>
  <r>
    <x v="1129"/>
    <d v="2017-07-20T00:00:00"/>
  </r>
  <r>
    <x v="1130"/>
    <d v="2017-07-20T00:00:00"/>
  </r>
  <r>
    <x v="1131"/>
    <d v="2017-07-20T00:00:00"/>
  </r>
  <r>
    <x v="1132"/>
    <d v="2017-07-20T00:00:00"/>
  </r>
  <r>
    <x v="1133"/>
    <d v="2017-07-20T00:00:00"/>
  </r>
  <r>
    <x v="1134"/>
    <d v="2017-07-20T00:00:00"/>
  </r>
  <r>
    <x v="1135"/>
    <d v="2017-07-20T00:00:00"/>
  </r>
  <r>
    <x v="1136"/>
    <d v="2017-07-20T00:00:00"/>
  </r>
  <r>
    <x v="1137"/>
    <d v="2017-07-20T00:00:00"/>
  </r>
  <r>
    <x v="1138"/>
    <d v="2017-07-20T00:00:00"/>
  </r>
  <r>
    <x v="1139"/>
    <d v="2017-07-20T00:00:00"/>
  </r>
  <r>
    <x v="1140"/>
    <d v="2017-07-20T00:00:00"/>
  </r>
  <r>
    <x v="845"/>
    <d v="2017-07-20T00:00:00"/>
  </r>
  <r>
    <x v="1141"/>
    <d v="2017-07-20T00:00:00"/>
  </r>
  <r>
    <x v="1142"/>
    <d v="2017-07-20T00:00:00"/>
  </r>
  <r>
    <x v="1143"/>
    <d v="2017-07-20T00:00:00"/>
  </r>
  <r>
    <x v="839"/>
    <d v="2017-07-20T00:00:00"/>
  </r>
  <r>
    <x v="432"/>
    <d v="2017-07-20T00:00:00"/>
  </r>
  <r>
    <x v="1144"/>
    <d v="2017-07-20T00:00:00"/>
  </r>
  <r>
    <x v="1145"/>
    <d v="2017-07-20T00:00:00"/>
  </r>
  <r>
    <x v="1146"/>
    <d v="2017-07-20T00:00:00"/>
  </r>
  <r>
    <x v="1147"/>
    <d v="2017-07-20T00:00:00"/>
  </r>
  <r>
    <x v="1148"/>
    <d v="2017-07-20T00:00:00"/>
  </r>
  <r>
    <x v="1149"/>
    <d v="2017-07-20T00:00:00"/>
  </r>
  <r>
    <x v="1150"/>
    <d v="2017-07-20T00:00:00"/>
  </r>
  <r>
    <x v="1151"/>
    <d v="2017-07-20T00:00:00"/>
  </r>
  <r>
    <x v="1152"/>
    <d v="2017-07-20T00:00:00"/>
  </r>
  <r>
    <x v="1153"/>
    <d v="2017-07-20T00:00:00"/>
  </r>
  <r>
    <x v="1154"/>
    <d v="2017-07-20T00:00:00"/>
  </r>
  <r>
    <x v="1155"/>
    <d v="2017-07-20T00:00:00"/>
  </r>
  <r>
    <x v="1156"/>
    <d v="2017-07-20T00:00:00"/>
  </r>
  <r>
    <x v="1157"/>
    <d v="2017-07-20T00:00:00"/>
  </r>
  <r>
    <x v="1158"/>
    <d v="2017-07-20T00:00:00"/>
  </r>
  <r>
    <x v="124"/>
    <d v="2017-07-20T00:00:00"/>
  </r>
  <r>
    <x v="1159"/>
    <d v="2017-07-20T00:00:00"/>
  </r>
  <r>
    <x v="1160"/>
    <d v="2017-07-20T00:00:00"/>
  </r>
  <r>
    <x v="1161"/>
    <d v="2017-07-20T00:00:00"/>
  </r>
  <r>
    <x v="1162"/>
    <d v="2017-07-20T00:00:00"/>
  </r>
  <r>
    <x v="1163"/>
    <d v="2017-07-20T00:00:00"/>
  </r>
  <r>
    <x v="1164"/>
    <d v="2017-07-20T00:00:00"/>
  </r>
  <r>
    <x v="1165"/>
    <d v="2017-07-20T00:00:00"/>
  </r>
  <r>
    <x v="1166"/>
    <d v="2017-07-20T00:00:00"/>
  </r>
  <r>
    <x v="1167"/>
    <d v="2017-07-20T00:00:00"/>
  </r>
  <r>
    <x v="1168"/>
    <d v="2017-07-20T00:00:00"/>
  </r>
  <r>
    <x v="1169"/>
    <d v="2017-07-20T00:00:00"/>
  </r>
  <r>
    <x v="1170"/>
    <d v="2017-07-20T00:00:00"/>
  </r>
  <r>
    <x v="1171"/>
    <d v="2017-07-20T00:00:00"/>
  </r>
  <r>
    <x v="1172"/>
    <d v="2017-07-20T00:00:00"/>
  </r>
  <r>
    <x v="1173"/>
    <d v="2017-07-20T00:00:00"/>
  </r>
  <r>
    <x v="1174"/>
    <d v="2017-07-20T00:00:00"/>
  </r>
  <r>
    <x v="1175"/>
    <d v="2017-07-20T00:00:00"/>
  </r>
  <r>
    <x v="1176"/>
    <d v="2017-07-20T00:00:00"/>
  </r>
  <r>
    <x v="1177"/>
    <d v="2017-07-20T00:00:00"/>
  </r>
  <r>
    <x v="0"/>
    <d v="2017-07-20T00:00:00"/>
  </r>
  <r>
    <x v="1178"/>
    <d v="2017-07-20T00:00:00"/>
  </r>
  <r>
    <x v="1179"/>
    <d v="2017-07-20T00:00:00"/>
  </r>
  <r>
    <x v="1180"/>
    <d v="2017-07-20T00:00:00"/>
  </r>
  <r>
    <x v="1181"/>
    <d v="2017-07-20T00:00:00"/>
  </r>
  <r>
    <x v="1182"/>
    <d v="2017-07-20T00:00:00"/>
  </r>
  <r>
    <x v="1183"/>
    <d v="2017-07-20T00:00:00"/>
  </r>
  <r>
    <x v="1184"/>
    <d v="2017-07-20T00:00:00"/>
  </r>
  <r>
    <x v="1185"/>
    <d v="2017-07-20T00:00:00"/>
  </r>
  <r>
    <x v="1186"/>
    <d v="2017-07-20T00:00:00"/>
  </r>
  <r>
    <x v="1187"/>
    <d v="2017-07-20T00:00:00"/>
  </r>
  <r>
    <x v="1188"/>
    <d v="2017-07-20T00:00:00"/>
  </r>
  <r>
    <x v="1189"/>
    <d v="2017-07-20T00:00:00"/>
  </r>
  <r>
    <x v="141"/>
    <d v="2017-07-20T00:00:00"/>
  </r>
  <r>
    <x v="1190"/>
    <d v="2017-07-20T00:00:00"/>
  </r>
  <r>
    <x v="1191"/>
    <d v="2017-07-20T00:00:00"/>
  </r>
  <r>
    <x v="1192"/>
    <d v="2017-07-20T00:00:00"/>
  </r>
  <r>
    <x v="523"/>
    <d v="2017-07-20T00:00:00"/>
  </r>
  <r>
    <x v="1193"/>
    <d v="2017-07-20T00:00:00"/>
  </r>
  <r>
    <x v="1194"/>
    <d v="2017-07-20T00:00:00"/>
  </r>
  <r>
    <x v="1195"/>
    <d v="2017-07-20T00:00:00"/>
  </r>
  <r>
    <x v="1196"/>
    <d v="2017-07-20T00:00:00"/>
  </r>
  <r>
    <x v="1197"/>
    <d v="2017-07-20T00:00:00"/>
  </r>
  <r>
    <x v="1198"/>
    <d v="2017-07-20T00:00:00"/>
  </r>
  <r>
    <x v="1199"/>
    <d v="2017-07-20T00:00:00"/>
  </r>
  <r>
    <x v="1200"/>
    <d v="2017-07-20T00:00:00"/>
  </r>
  <r>
    <x v="1201"/>
    <d v="2017-07-20T00:00:00"/>
  </r>
  <r>
    <x v="1202"/>
    <d v="2017-07-20T00:00:00"/>
  </r>
  <r>
    <x v="1203"/>
    <d v="2017-07-20T00:00:00"/>
  </r>
  <r>
    <x v="1204"/>
    <d v="2017-07-20T00:00:00"/>
  </r>
  <r>
    <x v="1205"/>
    <d v="2017-07-20T00:00:00"/>
  </r>
  <r>
    <x v="1206"/>
    <d v="2017-07-20T00:00:00"/>
  </r>
  <r>
    <x v="1207"/>
    <d v="2017-07-20T00:00:00"/>
  </r>
  <r>
    <x v="1208"/>
    <d v="2017-07-20T00:00:00"/>
  </r>
  <r>
    <x v="1059"/>
    <d v="2017-07-20T00:00:00"/>
  </r>
  <r>
    <x v="1209"/>
    <d v="2017-07-20T00:00:00"/>
  </r>
  <r>
    <x v="1210"/>
    <d v="2017-07-20T00:00:00"/>
  </r>
  <r>
    <x v="1211"/>
    <d v="2017-07-20T00:00:00"/>
  </r>
  <r>
    <x v="1212"/>
    <d v="2017-07-20T00:00:00"/>
  </r>
  <r>
    <x v="1213"/>
    <d v="2017-07-20T00:00:00"/>
  </r>
  <r>
    <x v="1214"/>
    <d v="2017-07-20T00:00:00"/>
  </r>
  <r>
    <x v="1215"/>
    <d v="2017-07-20T00:00:00"/>
  </r>
  <r>
    <x v="1216"/>
    <d v="2017-07-20T00:00:00"/>
  </r>
  <r>
    <x v="923"/>
    <d v="2017-07-21T00:00:00"/>
  </r>
  <r>
    <x v="1217"/>
    <d v="2017-07-21T00:00:00"/>
  </r>
  <r>
    <x v="1218"/>
    <d v="2017-07-21T00:00:00"/>
  </r>
  <r>
    <x v="1219"/>
    <d v="2017-07-21T00:00:00"/>
  </r>
  <r>
    <x v="1220"/>
    <d v="2017-07-21T00:00:00"/>
  </r>
  <r>
    <x v="1221"/>
    <d v="2017-07-21T00:00:00"/>
  </r>
  <r>
    <x v="1222"/>
    <d v="2017-07-21T00:00:00"/>
  </r>
  <r>
    <x v="1223"/>
    <d v="2017-07-21T00:00:00"/>
  </r>
  <r>
    <x v="1224"/>
    <d v="2017-07-21T00:00:00"/>
  </r>
  <r>
    <x v="1225"/>
    <d v="2017-07-21T00:00:00"/>
  </r>
  <r>
    <x v="1226"/>
    <d v="2017-07-21T00:00:00"/>
  </r>
  <r>
    <x v="1141"/>
    <d v="2017-07-21T00:00:00"/>
  </r>
  <r>
    <x v="1227"/>
    <d v="2017-07-21T00:00:00"/>
  </r>
  <r>
    <x v="1228"/>
    <d v="2017-07-21T00:00:00"/>
  </r>
  <r>
    <x v="1229"/>
    <d v="2017-07-21T00:00:00"/>
  </r>
  <r>
    <x v="1230"/>
    <d v="2017-07-21T00:00:00"/>
  </r>
  <r>
    <x v="1231"/>
    <d v="2017-07-21T00:00:00"/>
  </r>
  <r>
    <x v="68"/>
    <d v="2017-07-21T00:00:00"/>
  </r>
  <r>
    <x v="1232"/>
    <d v="2017-07-21T00:00:00"/>
  </r>
  <r>
    <x v="1233"/>
    <d v="2017-07-21T00:00:00"/>
  </r>
  <r>
    <x v="1234"/>
    <d v="2017-07-21T00:00:00"/>
  </r>
  <r>
    <x v="1235"/>
    <d v="2017-07-21T00:00:00"/>
  </r>
  <r>
    <x v="1236"/>
    <d v="2017-07-21T00:00:00"/>
  </r>
  <r>
    <x v="1237"/>
    <d v="2017-07-21T00:00:00"/>
  </r>
  <r>
    <x v="1238"/>
    <d v="2017-07-21T00:00:00"/>
  </r>
  <r>
    <x v="1239"/>
    <d v="2017-07-21T00:00:00"/>
  </r>
  <r>
    <x v="1240"/>
    <d v="2017-07-21T00:00:00"/>
  </r>
  <r>
    <x v="1241"/>
    <d v="2017-07-21T00:00:00"/>
  </r>
  <r>
    <x v="1242"/>
    <d v="2017-07-21T00:00:00"/>
  </r>
  <r>
    <x v="1243"/>
    <d v="2017-07-21T00:00:00"/>
  </r>
  <r>
    <x v="1244"/>
    <d v="2017-07-21T00:00:00"/>
  </r>
  <r>
    <x v="1245"/>
    <d v="2017-07-21T00:00:00"/>
  </r>
  <r>
    <x v="1246"/>
    <d v="2017-07-21T00:00:00"/>
  </r>
  <r>
    <x v="1247"/>
    <d v="2017-07-21T00:00:00"/>
  </r>
  <r>
    <x v="1248"/>
    <d v="2017-07-21T00:00:00"/>
  </r>
  <r>
    <x v="1249"/>
    <d v="2017-07-21T00:00:00"/>
  </r>
  <r>
    <x v="1250"/>
    <d v="2017-07-21T00:00:00"/>
  </r>
  <r>
    <x v="882"/>
    <d v="2017-07-21T00:00:00"/>
  </r>
  <r>
    <x v="1251"/>
    <d v="2017-07-21T00:00:00"/>
  </r>
  <r>
    <x v="1252"/>
    <d v="2017-07-21T00:00:00"/>
  </r>
  <r>
    <x v="41"/>
    <d v="2017-07-21T00:00:00"/>
  </r>
  <r>
    <x v="1253"/>
    <d v="2017-07-21T00:00:00"/>
  </r>
  <r>
    <x v="839"/>
    <d v="2017-07-21T00:00:00"/>
  </r>
  <r>
    <x v="1254"/>
    <d v="2017-07-21T00:00:00"/>
  </r>
  <r>
    <x v="1245"/>
    <d v="2017-07-21T00:00:00"/>
  </r>
  <r>
    <x v="1255"/>
    <d v="2017-07-21T00:00:00"/>
  </r>
  <r>
    <x v="1256"/>
    <d v="2017-07-21T00:00:00"/>
  </r>
  <r>
    <x v="1257"/>
    <d v="2017-07-21T00:00:00"/>
  </r>
  <r>
    <x v="1258"/>
    <d v="2017-07-21T00:00:00"/>
  </r>
  <r>
    <x v="230"/>
    <d v="2017-07-21T00:00:00"/>
  </r>
  <r>
    <x v="1259"/>
    <d v="2017-07-21T00:00:00"/>
  </r>
  <r>
    <x v="1260"/>
    <d v="2017-07-21T00:00:00"/>
  </r>
  <r>
    <x v="1261"/>
    <d v="2017-07-21T00:00:00"/>
  </r>
  <r>
    <x v="1262"/>
    <d v="2017-07-21T00:00:00"/>
  </r>
  <r>
    <x v="1263"/>
    <d v="2017-07-21T00:00:00"/>
  </r>
  <r>
    <x v="1264"/>
    <d v="2017-07-21T00:00:00"/>
  </r>
  <r>
    <x v="523"/>
    <d v="2017-07-21T00:00:00"/>
  </r>
  <r>
    <x v="1265"/>
    <d v="2017-07-21T00:00:00"/>
  </r>
  <r>
    <x v="925"/>
    <d v="2017-07-21T00:00:00"/>
  </r>
  <r>
    <x v="1266"/>
    <d v="2017-07-21T00:00:00"/>
  </r>
  <r>
    <x v="1267"/>
    <d v="2017-07-21T00:00:00"/>
  </r>
  <r>
    <x v="1268"/>
    <d v="2017-07-21T00:00:00"/>
  </r>
  <r>
    <x v="1269"/>
    <d v="2017-07-21T00:00:00"/>
  </r>
  <r>
    <x v="1270"/>
    <d v="2017-07-21T00:00:00"/>
  </r>
  <r>
    <x v="1271"/>
    <d v="2017-07-21T00:00:00"/>
  </r>
  <r>
    <x v="1272"/>
    <d v="2017-07-21T00:00:00"/>
  </r>
  <r>
    <x v="1273"/>
    <d v="2017-07-21T00:00:00"/>
  </r>
  <r>
    <x v="1274"/>
    <d v="2017-07-21T00:00:00"/>
  </r>
  <r>
    <x v="1275"/>
    <d v="2017-07-21T00:00:00"/>
  </r>
  <r>
    <x v="1276"/>
    <d v="2017-07-21T00:00:00"/>
  </r>
  <r>
    <x v="1277"/>
    <d v="2017-07-21T00:00:00"/>
  </r>
  <r>
    <x v="1026"/>
    <d v="2017-07-21T00:00:00"/>
  </r>
  <r>
    <x v="1278"/>
    <d v="2017-07-21T00:00:00"/>
  </r>
  <r>
    <x v="1279"/>
    <d v="2017-07-21T00:00:00"/>
  </r>
  <r>
    <x v="1280"/>
    <d v="2017-07-21T00:00:00"/>
  </r>
  <r>
    <x v="1281"/>
    <d v="2017-07-21T00:00:00"/>
  </r>
  <r>
    <x v="1282"/>
    <d v="2017-07-21T00:00:00"/>
  </r>
  <r>
    <x v="443"/>
    <d v="2017-07-21T00:00:00"/>
  </r>
  <r>
    <x v="1283"/>
    <d v="2017-07-21T00:00:00"/>
  </r>
  <r>
    <x v="1284"/>
    <d v="2017-07-21T00:00:00"/>
  </r>
  <r>
    <x v="1285"/>
    <d v="2017-07-21T00:00:00"/>
  </r>
  <r>
    <x v="406"/>
    <d v="2017-07-21T00:00:00"/>
  </r>
  <r>
    <x v="1286"/>
    <d v="2017-07-21T00:00:00"/>
  </r>
  <r>
    <x v="1287"/>
    <d v="2017-07-21T00:00:00"/>
  </r>
  <r>
    <x v="1288"/>
    <d v="2017-07-21T00:00:00"/>
  </r>
  <r>
    <x v="11"/>
    <d v="2017-07-21T00:00:00"/>
  </r>
  <r>
    <x v="1120"/>
    <d v="2017-07-21T00:00:00"/>
  </r>
  <r>
    <x v="152"/>
    <d v="2017-07-21T00:00:00"/>
  </r>
  <r>
    <x v="1289"/>
    <d v="2017-07-21T00:00:00"/>
  </r>
  <r>
    <x v="1290"/>
    <d v="2017-07-21T00:00:00"/>
  </r>
  <r>
    <x v="1291"/>
    <d v="2017-07-21T00:00:00"/>
  </r>
  <r>
    <x v="1292"/>
    <d v="2017-07-21T00:00:00"/>
  </r>
  <r>
    <x v="1293"/>
    <d v="2017-07-21T00:00:00"/>
  </r>
  <r>
    <x v="1294"/>
    <d v="2017-07-21T00:00:00"/>
  </r>
  <r>
    <x v="1295"/>
    <d v="2017-07-21T00:00:00"/>
  </r>
  <r>
    <x v="1296"/>
    <d v="2017-07-21T00:00:00"/>
  </r>
  <r>
    <x v="1297"/>
    <d v="2017-07-21T00:00:00"/>
  </r>
  <r>
    <x v="1298"/>
    <d v="2017-07-21T00:00:00"/>
  </r>
  <r>
    <x v="1299"/>
    <d v="2017-07-21T00:00:00"/>
  </r>
  <r>
    <x v="265"/>
    <d v="2017-07-24T00:00:00"/>
  </r>
  <r>
    <x v="1300"/>
    <d v="2017-07-24T00:00:00"/>
  </r>
  <r>
    <x v="1301"/>
    <d v="2017-07-24T00:00:00"/>
  </r>
  <r>
    <x v="1302"/>
    <d v="2017-07-24T00:00:00"/>
  </r>
  <r>
    <x v="1303"/>
    <d v="2017-07-24T00:00:00"/>
  </r>
  <r>
    <x v="1304"/>
    <d v="2017-07-24T00:00:00"/>
  </r>
  <r>
    <x v="1305"/>
    <d v="2017-07-24T00:00:00"/>
  </r>
  <r>
    <x v="1306"/>
    <d v="2017-07-24T00:00:00"/>
  </r>
  <r>
    <x v="1307"/>
    <d v="2017-07-24T00:00:00"/>
  </r>
  <r>
    <x v="1308"/>
    <d v="2017-07-24T00:00:00"/>
  </r>
  <r>
    <x v="1309"/>
    <d v="2017-07-24T00:00:00"/>
  </r>
  <r>
    <x v="1310"/>
    <d v="2017-07-24T00:00:00"/>
  </r>
  <r>
    <x v="542"/>
    <d v="2017-07-24T00:00:00"/>
  </r>
  <r>
    <x v="1311"/>
    <d v="2017-07-24T00:00:00"/>
  </r>
  <r>
    <x v="1312"/>
    <d v="2017-07-24T00:00:00"/>
  </r>
  <r>
    <x v="1313"/>
    <d v="2017-07-24T00:00:00"/>
  </r>
  <r>
    <x v="1314"/>
    <d v="2017-07-24T00:00:00"/>
  </r>
  <r>
    <x v="1315"/>
    <d v="2017-07-24T00:00:00"/>
  </r>
  <r>
    <x v="1316"/>
    <d v="2017-07-24T00:00:00"/>
  </r>
  <r>
    <x v="1317"/>
    <d v="2017-07-24T00:00:00"/>
  </r>
  <r>
    <x v="1318"/>
    <d v="2017-07-24T00:00:00"/>
  </r>
  <r>
    <x v="1319"/>
    <d v="2017-07-24T00:00:00"/>
  </r>
  <r>
    <x v="1320"/>
    <d v="2017-07-24T00:00:00"/>
  </r>
  <r>
    <x v="1321"/>
    <d v="2017-07-24T00:00:00"/>
  </r>
  <r>
    <x v="1322"/>
    <d v="2017-07-24T00:00:00"/>
  </r>
  <r>
    <x v="1323"/>
    <d v="2017-07-24T00:00:00"/>
  </r>
  <r>
    <x v="1324"/>
    <d v="2017-07-24T00:00:00"/>
  </r>
  <r>
    <x v="978"/>
    <d v="2017-07-24T00:00:00"/>
  </r>
  <r>
    <x v="1325"/>
    <d v="2017-07-24T00:00:00"/>
  </r>
  <r>
    <x v="1326"/>
    <d v="2017-07-24T00:00:00"/>
  </r>
  <r>
    <x v="143"/>
    <d v="2017-07-24T00:00:00"/>
  </r>
  <r>
    <x v="1327"/>
    <d v="2017-07-24T00:00:00"/>
  </r>
  <r>
    <x v="1328"/>
    <d v="2017-07-24T00:00:00"/>
  </r>
  <r>
    <x v="1329"/>
    <d v="2017-07-24T00:00:00"/>
  </r>
  <r>
    <x v="1330"/>
    <d v="2017-07-24T00:00:00"/>
  </r>
  <r>
    <x v="1331"/>
    <d v="2017-07-24T00:00:00"/>
  </r>
  <r>
    <x v="1332"/>
    <d v="2017-07-24T00:00:00"/>
  </r>
  <r>
    <x v="1333"/>
    <d v="2017-07-24T00:00:00"/>
  </r>
  <r>
    <x v="1334"/>
    <d v="2017-07-24T00:00:00"/>
  </r>
  <r>
    <x v="1335"/>
    <d v="2017-07-24T00:00:00"/>
  </r>
  <r>
    <x v="23"/>
    <d v="2017-07-24T00:00:00"/>
  </r>
  <r>
    <x v="1336"/>
    <d v="2017-07-24T00:00:00"/>
  </r>
  <r>
    <x v="1337"/>
    <d v="2017-07-24T00:00:00"/>
  </r>
  <r>
    <x v="1338"/>
    <d v="2017-07-24T00:00:00"/>
  </r>
  <r>
    <x v="1339"/>
    <d v="2017-07-24T00:00:00"/>
  </r>
  <r>
    <x v="28"/>
    <d v="2017-07-24T00:00:00"/>
  </r>
  <r>
    <x v="1340"/>
    <d v="2017-07-24T00:00:00"/>
  </r>
  <r>
    <x v="1341"/>
    <d v="2017-07-24T00:00:00"/>
  </r>
  <r>
    <x v="1342"/>
    <d v="2017-07-24T00:00:00"/>
  </r>
  <r>
    <x v="1343"/>
    <d v="2017-07-24T00:00:00"/>
  </r>
  <r>
    <x v="1344"/>
    <d v="2017-07-24T00:00:00"/>
  </r>
  <r>
    <x v="1345"/>
    <d v="2017-07-24T00:00:00"/>
  </r>
  <r>
    <x v="1346"/>
    <d v="2017-07-24T00:00:00"/>
  </r>
  <r>
    <x v="1347"/>
    <d v="2017-07-24T00:00:00"/>
  </r>
  <r>
    <x v="442"/>
    <d v="2017-07-24T00:00:00"/>
  </r>
  <r>
    <x v="1348"/>
    <d v="2017-07-24T00:00:00"/>
  </r>
  <r>
    <x v="1349"/>
    <d v="2017-07-24T00:00:00"/>
  </r>
  <r>
    <x v="1350"/>
    <d v="2017-07-24T00:00:00"/>
  </r>
  <r>
    <x v="1351"/>
    <d v="2017-07-24T00:00:00"/>
  </r>
  <r>
    <x v="1352"/>
    <d v="2017-07-24T00:00:00"/>
  </r>
  <r>
    <x v="1353"/>
    <d v="2017-07-24T00:00:00"/>
  </r>
  <r>
    <x v="1354"/>
    <d v="2017-07-24T00:00:00"/>
  </r>
  <r>
    <x v="1355"/>
    <d v="2017-07-24T00:00:00"/>
  </r>
  <r>
    <x v="1356"/>
    <d v="2017-07-24T00:00:00"/>
  </r>
  <r>
    <x v="1357"/>
    <d v="2017-07-24T00:00:00"/>
  </r>
  <r>
    <x v="1358"/>
    <d v="2017-07-24T00:00:00"/>
  </r>
  <r>
    <x v="103"/>
    <d v="2017-07-24T00:00:00"/>
  </r>
  <r>
    <x v="1359"/>
    <d v="2017-07-24T00:00:00"/>
  </r>
  <r>
    <x v="1360"/>
    <d v="2017-07-24T00:00:00"/>
  </r>
  <r>
    <x v="1361"/>
    <d v="2017-07-24T00:00:00"/>
  </r>
  <r>
    <x v="1362"/>
    <d v="2017-07-24T00:00:00"/>
  </r>
  <r>
    <x v="1363"/>
    <d v="2017-07-24T00:00:00"/>
  </r>
  <r>
    <x v="842"/>
    <d v="2017-07-24T00:00:00"/>
  </r>
  <r>
    <x v="1364"/>
    <d v="2017-07-24T00:00:00"/>
  </r>
  <r>
    <x v="1365"/>
    <d v="2017-07-24T00:00:00"/>
  </r>
  <r>
    <x v="1366"/>
    <d v="2017-07-24T00:00:00"/>
  </r>
  <r>
    <x v="1367"/>
    <d v="2017-07-24T00:00:00"/>
  </r>
  <r>
    <x v="1368"/>
    <d v="2017-07-24T00:00:00"/>
  </r>
  <r>
    <x v="1369"/>
    <d v="2017-07-24T00:00:00"/>
  </r>
  <r>
    <x v="1370"/>
    <d v="2017-07-24T00:00:00"/>
  </r>
  <r>
    <x v="1371"/>
    <d v="2017-07-24T00:00:00"/>
  </r>
  <r>
    <x v="1372"/>
    <d v="2017-07-24T00:00:00"/>
  </r>
  <r>
    <x v="1373"/>
    <d v="2017-07-24T00:00:00"/>
  </r>
  <r>
    <x v="1374"/>
    <d v="2017-07-24T00:00:00"/>
  </r>
  <r>
    <x v="1375"/>
    <d v="2017-07-24T00:00:00"/>
  </r>
  <r>
    <x v="544"/>
    <d v="2017-07-24T00:00:00"/>
  </r>
  <r>
    <x v="1376"/>
    <d v="2017-07-24T00:00:00"/>
  </r>
  <r>
    <x v="1377"/>
    <d v="2017-07-24T00:00:00"/>
  </r>
  <r>
    <x v="1378"/>
    <d v="2017-07-24T00:00:00"/>
  </r>
  <r>
    <x v="1379"/>
    <d v="2017-07-24T00:00:00"/>
  </r>
  <r>
    <x v="741"/>
    <d v="2017-07-24T00:00:00"/>
  </r>
  <r>
    <x v="1380"/>
    <d v="2017-07-24T00:00:00"/>
  </r>
  <r>
    <x v="1381"/>
    <d v="2017-07-24T00:00:00"/>
  </r>
  <r>
    <x v="1382"/>
    <d v="2017-07-24T00:00:00"/>
  </r>
  <r>
    <x v="1383"/>
    <d v="2017-07-24T00:00:00"/>
  </r>
  <r>
    <x v="1384"/>
    <d v="2017-07-24T00:00:00"/>
  </r>
  <r>
    <x v="41"/>
    <d v="2017-07-24T00:00:00"/>
  </r>
  <r>
    <x v="1385"/>
    <d v="2017-07-24T00:00:00"/>
  </r>
  <r>
    <x v="1386"/>
    <d v="2017-07-24T00:00:00"/>
  </r>
  <r>
    <x v="1387"/>
    <d v="2017-07-24T00:00:00"/>
  </r>
  <r>
    <x v="1388"/>
    <d v="2017-07-24T00:00:00"/>
  </r>
  <r>
    <x v="1389"/>
    <d v="2017-07-24T00:00:00"/>
  </r>
  <r>
    <x v="1390"/>
    <d v="2017-07-24T00:00:00"/>
  </r>
  <r>
    <x v="1391"/>
    <d v="2017-07-24T00:00:00"/>
  </r>
  <r>
    <x v="1392"/>
    <d v="2017-07-24T00:00:00"/>
  </r>
  <r>
    <x v="1393"/>
    <d v="2017-07-24T00:00:00"/>
  </r>
  <r>
    <x v="1394"/>
    <d v="2017-07-24T00:00:00"/>
  </r>
  <r>
    <x v="1395"/>
    <d v="2017-07-24T00:00:00"/>
  </r>
  <r>
    <x v="1396"/>
    <d v="2017-07-24T00:00:00"/>
  </r>
  <r>
    <x v="1397"/>
    <d v="2017-07-25T00:00:00"/>
  </r>
  <r>
    <x v="1398"/>
    <d v="2017-07-25T00:00:00"/>
  </r>
  <r>
    <x v="1399"/>
    <d v="2017-07-25T00:00:00"/>
  </r>
  <r>
    <x v="1400"/>
    <d v="2017-07-25T00:00:00"/>
  </r>
  <r>
    <x v="575"/>
    <d v="2017-07-25T00:00:00"/>
  </r>
  <r>
    <x v="1401"/>
    <d v="2017-07-25T00:00:00"/>
  </r>
  <r>
    <x v="1402"/>
    <d v="2017-07-25T00:00:00"/>
  </r>
  <r>
    <x v="275"/>
    <d v="2017-07-25T00:00:00"/>
  </r>
  <r>
    <x v="1403"/>
    <d v="2017-07-25T00:00:00"/>
  </r>
  <r>
    <x v="1404"/>
    <d v="2017-07-25T00:00:00"/>
  </r>
  <r>
    <x v="1405"/>
    <d v="2017-07-25T00:00:00"/>
  </r>
  <r>
    <x v="1406"/>
    <d v="2017-07-25T00:00:00"/>
  </r>
  <r>
    <x v="1407"/>
    <d v="2017-07-25T00:00:00"/>
  </r>
  <r>
    <x v="1408"/>
    <d v="2017-07-25T00:00:00"/>
  </r>
  <r>
    <x v="1409"/>
    <d v="2017-07-25T00:00:00"/>
  </r>
  <r>
    <x v="1410"/>
    <d v="2017-07-25T00:00:00"/>
  </r>
  <r>
    <x v="1411"/>
    <d v="2017-07-25T00:00:00"/>
  </r>
  <r>
    <x v="1412"/>
    <d v="2017-07-25T00:00:00"/>
  </r>
  <r>
    <x v="1413"/>
    <d v="2017-07-25T00:00:00"/>
  </r>
  <r>
    <x v="1414"/>
    <d v="2017-07-25T00:00:00"/>
  </r>
  <r>
    <x v="1415"/>
    <d v="2017-07-25T00:00:00"/>
  </r>
  <r>
    <x v="1416"/>
    <d v="2017-07-25T00:00:00"/>
  </r>
  <r>
    <x v="1290"/>
    <d v="2017-07-25T00:00:00"/>
  </r>
  <r>
    <x v="1417"/>
    <d v="2017-07-25T00:00:00"/>
  </r>
  <r>
    <x v="1418"/>
    <d v="2017-07-25T00:00:00"/>
  </r>
  <r>
    <x v="1419"/>
    <d v="2017-07-25T00:00:00"/>
  </r>
  <r>
    <x v="1083"/>
    <d v="2017-07-25T00:00:00"/>
  </r>
  <r>
    <x v="1420"/>
    <d v="2017-07-25T00:00:00"/>
  </r>
  <r>
    <x v="1421"/>
    <d v="2017-07-25T00:00:00"/>
  </r>
  <r>
    <x v="1422"/>
    <d v="2017-07-25T00:00:00"/>
  </r>
  <r>
    <x v="429"/>
    <d v="2017-07-25T00:00:00"/>
  </r>
  <r>
    <x v="1423"/>
    <d v="2017-07-25T00:00:00"/>
  </r>
  <r>
    <x v="1424"/>
    <d v="2017-07-25T00:00:00"/>
  </r>
  <r>
    <x v="1425"/>
    <d v="2017-07-25T00:00:00"/>
  </r>
  <r>
    <x v="48"/>
    <d v="2017-07-25T00:00:00"/>
  </r>
  <r>
    <x v="797"/>
    <d v="2017-07-25T00:00:00"/>
  </r>
  <r>
    <x v="354"/>
    <d v="2017-07-25T00:00:00"/>
  </r>
  <r>
    <x v="1426"/>
    <d v="2017-07-25T00:00:00"/>
  </r>
  <r>
    <x v="1427"/>
    <d v="2017-07-25T00:00:00"/>
  </r>
  <r>
    <x v="1428"/>
    <d v="2017-07-25T00:00:00"/>
  </r>
  <r>
    <x v="1429"/>
    <d v="2017-07-25T00:00:00"/>
  </r>
  <r>
    <x v="1430"/>
    <d v="2017-07-25T00:00:00"/>
  </r>
  <r>
    <x v="1431"/>
    <d v="2017-07-25T00:00:00"/>
  </r>
  <r>
    <x v="1432"/>
    <d v="2017-07-25T00:00:00"/>
  </r>
  <r>
    <x v="1433"/>
    <d v="2017-07-25T00:00:00"/>
  </r>
  <r>
    <x v="1434"/>
    <d v="2017-07-25T00:00:00"/>
  </r>
  <r>
    <x v="1435"/>
    <d v="2017-07-25T00:00:00"/>
  </r>
  <r>
    <x v="1436"/>
    <d v="2017-07-25T00:00:00"/>
  </r>
  <r>
    <x v="1437"/>
    <d v="2017-07-25T00:00:00"/>
  </r>
  <r>
    <x v="1438"/>
    <d v="2017-07-25T00:00:00"/>
  </r>
  <r>
    <x v="1439"/>
    <d v="2017-07-25T00:00:00"/>
  </r>
  <r>
    <x v="1440"/>
    <d v="2017-07-25T00:00:00"/>
  </r>
  <r>
    <x v="1441"/>
    <d v="2017-07-25T00:00:00"/>
  </r>
  <r>
    <x v="1325"/>
    <d v="2017-07-25T00:00:00"/>
  </r>
  <r>
    <x v="949"/>
    <d v="2017-07-25T00:00:00"/>
  </r>
  <r>
    <x v="419"/>
    <d v="2017-07-25T00:00:00"/>
  </r>
  <r>
    <x v="1442"/>
    <d v="2017-07-25T00:00:00"/>
  </r>
  <r>
    <x v="1443"/>
    <d v="2017-07-25T00:00:00"/>
  </r>
  <r>
    <x v="1444"/>
    <d v="2017-07-25T00:00:00"/>
  </r>
  <r>
    <x v="1445"/>
    <d v="2017-07-25T00:00:00"/>
  </r>
  <r>
    <x v="1446"/>
    <d v="2017-07-25T00:00:00"/>
  </r>
  <r>
    <x v="1447"/>
    <d v="2017-07-25T00:00:00"/>
  </r>
  <r>
    <x v="1448"/>
    <d v="2017-07-25T00:00:00"/>
  </r>
  <r>
    <x v="1449"/>
    <d v="2017-07-25T00:00:00"/>
  </r>
  <r>
    <x v="1450"/>
    <d v="2017-07-25T00:00:00"/>
  </r>
  <r>
    <x v="1451"/>
    <d v="2017-07-25T00:00:00"/>
  </r>
  <r>
    <x v="58"/>
    <d v="2017-07-25T00:00:00"/>
  </r>
  <r>
    <x v="1452"/>
    <d v="2017-07-25T00:00:00"/>
  </r>
  <r>
    <x v="1453"/>
    <d v="2017-07-25T00:00:00"/>
  </r>
  <r>
    <x v="64"/>
    <d v="2017-07-25T00:00:00"/>
  </r>
  <r>
    <x v="1454"/>
    <d v="2017-07-25T00:00:00"/>
  </r>
  <r>
    <x v="1455"/>
    <d v="2017-07-25T00:00:00"/>
  </r>
  <r>
    <x v="1456"/>
    <d v="2017-07-25T00:00:00"/>
  </r>
  <r>
    <x v="644"/>
    <d v="2017-07-25T00:00:00"/>
  </r>
  <r>
    <x v="1457"/>
    <d v="2017-07-25T00:00:00"/>
  </r>
  <r>
    <x v="1458"/>
    <d v="2017-07-25T00:00:00"/>
  </r>
  <r>
    <x v="1440"/>
    <d v="2017-07-25T00:00:00"/>
  </r>
  <r>
    <x v="1459"/>
    <d v="2017-07-25T00:00:00"/>
  </r>
  <r>
    <x v="1460"/>
    <d v="2017-07-25T00:00:00"/>
  </r>
  <r>
    <x v="1440"/>
    <d v="2017-07-25T00:00:00"/>
  </r>
  <r>
    <x v="23"/>
    <d v="2017-07-25T00:00:00"/>
  </r>
  <r>
    <x v="1461"/>
    <d v="2017-07-25T00:00:00"/>
  </r>
  <r>
    <x v="1462"/>
    <d v="2017-07-25T00:00:00"/>
  </r>
  <r>
    <x v="1463"/>
    <d v="2017-07-25T00:00:00"/>
  </r>
  <r>
    <x v="504"/>
    <d v="2017-07-25T00:00:00"/>
  </r>
  <r>
    <x v="1464"/>
    <d v="2017-07-25T00:00:00"/>
  </r>
  <r>
    <x v="1465"/>
    <d v="2017-07-25T00:00:00"/>
  </r>
  <r>
    <x v="1466"/>
    <d v="2017-07-25T00:00:00"/>
  </r>
  <r>
    <x v="1467"/>
    <d v="2017-07-25T00:00:00"/>
  </r>
  <r>
    <x v="1468"/>
    <d v="2017-07-25T00:00:00"/>
  </r>
  <r>
    <x v="1469"/>
    <d v="2017-07-25T00:00:00"/>
  </r>
  <r>
    <x v="539"/>
    <d v="2017-07-25T00:00:00"/>
  </r>
  <r>
    <x v="1470"/>
    <d v="2017-07-25T00:00:00"/>
  </r>
  <r>
    <x v="1471"/>
    <d v="2017-07-25T00:00:00"/>
  </r>
  <r>
    <x v="1472"/>
    <d v="2017-07-25T00:00:00"/>
  </r>
  <r>
    <x v="1473"/>
    <d v="2017-07-25T00:00:00"/>
  </r>
  <r>
    <x v="1474"/>
    <d v="2017-07-25T00:00:00"/>
  </r>
  <r>
    <x v="1475"/>
    <d v="2017-07-25T00:00:00"/>
  </r>
  <r>
    <x v="1476"/>
    <d v="2017-07-25T00:00:00"/>
  </r>
  <r>
    <x v="649"/>
    <d v="2017-07-25T00:00:00"/>
  </r>
  <r>
    <x v="1477"/>
    <d v="2017-07-25T00:00:00"/>
  </r>
  <r>
    <x v="1478"/>
    <d v="2017-07-25T00:00:00"/>
  </r>
  <r>
    <x v="1479"/>
    <d v="2017-07-25T00:00:00"/>
  </r>
  <r>
    <x v="1480"/>
    <d v="2017-07-25T00:00:00"/>
  </r>
  <r>
    <x v="823"/>
    <d v="2017-07-25T00:00:00"/>
  </r>
  <r>
    <x v="561"/>
    <d v="2017-07-25T00:00:00"/>
  </r>
  <r>
    <x v="1481"/>
    <d v="2017-07-25T00:00:00"/>
  </r>
  <r>
    <x v="1482"/>
    <d v="2017-07-25T00:00:00"/>
  </r>
  <r>
    <x v="1301"/>
    <d v="2017-07-25T00:00:00"/>
  </r>
  <r>
    <x v="1483"/>
    <d v="2017-07-25T00:00:00"/>
  </r>
  <r>
    <x v="1484"/>
    <d v="2017-07-26T00:00:00"/>
  </r>
  <r>
    <x v="1485"/>
    <d v="2017-07-26T00:00:00"/>
  </r>
  <r>
    <x v="1486"/>
    <d v="2017-07-26T00:00:00"/>
  </r>
  <r>
    <x v="1487"/>
    <d v="2017-07-26T00:00:00"/>
  </r>
  <r>
    <x v="1488"/>
    <d v="2017-07-26T00:00:00"/>
  </r>
  <r>
    <x v="1489"/>
    <d v="2017-07-26T00:00:00"/>
  </r>
  <r>
    <x v="1490"/>
    <d v="2017-07-26T00:00:00"/>
  </r>
  <r>
    <x v="785"/>
    <d v="2017-07-26T00:00:00"/>
  </r>
  <r>
    <x v="1491"/>
    <d v="2017-07-26T00:00:00"/>
  </r>
  <r>
    <x v="1492"/>
    <d v="2017-07-26T00:00:00"/>
  </r>
  <r>
    <x v="1493"/>
    <d v="2017-07-26T00:00:00"/>
  </r>
  <r>
    <x v="1494"/>
    <d v="2017-07-26T00:00:00"/>
  </r>
  <r>
    <x v="1495"/>
    <d v="2017-07-26T00:00:00"/>
  </r>
  <r>
    <x v="1496"/>
    <d v="2017-07-26T00:00:00"/>
  </r>
  <r>
    <x v="1497"/>
    <d v="2017-07-26T00:00:00"/>
  </r>
  <r>
    <x v="1498"/>
    <d v="2017-07-26T00:00:00"/>
  </r>
  <r>
    <x v="1499"/>
    <d v="2017-07-26T00:00:00"/>
  </r>
  <r>
    <x v="1500"/>
    <d v="2017-07-26T00:00:00"/>
  </r>
  <r>
    <x v="1501"/>
    <d v="2017-07-26T00:00:00"/>
  </r>
  <r>
    <x v="1502"/>
    <d v="2017-07-26T00:00:00"/>
  </r>
  <r>
    <x v="1503"/>
    <d v="2017-07-26T00:00:00"/>
  </r>
  <r>
    <x v="1504"/>
    <d v="2017-07-26T00:00:00"/>
  </r>
  <r>
    <x v="1505"/>
    <d v="2017-07-26T00:00:00"/>
  </r>
  <r>
    <x v="1506"/>
    <d v="2017-07-26T00:00:00"/>
  </r>
  <r>
    <x v="1507"/>
    <d v="2017-07-26T00:00:00"/>
  </r>
  <r>
    <x v="1508"/>
    <d v="2017-07-26T00:00:00"/>
  </r>
  <r>
    <x v="1509"/>
    <d v="2017-07-26T00:00:00"/>
  </r>
  <r>
    <x v="1510"/>
    <d v="2017-07-26T00:00:00"/>
  </r>
  <r>
    <x v="588"/>
    <d v="2017-07-26T00:00:00"/>
  </r>
  <r>
    <x v="1511"/>
    <d v="2017-07-26T00:00:00"/>
  </r>
  <r>
    <x v="1512"/>
    <d v="2017-07-26T00:00:00"/>
  </r>
  <r>
    <x v="1513"/>
    <d v="2017-07-26T00:00:00"/>
  </r>
  <r>
    <x v="1514"/>
    <d v="2017-07-26T00:00:00"/>
  </r>
  <r>
    <x v="1515"/>
    <d v="2017-07-26T00:00:00"/>
  </r>
  <r>
    <x v="1516"/>
    <d v="2017-07-26T00:00:00"/>
  </r>
  <r>
    <x v="1517"/>
    <d v="2017-07-26T00:00:00"/>
  </r>
  <r>
    <x v="1518"/>
    <d v="2017-07-26T00:00:00"/>
  </r>
  <r>
    <x v="1519"/>
    <d v="2017-07-26T00:00:00"/>
  </r>
  <r>
    <x v="1520"/>
    <d v="2017-07-26T00:00:00"/>
  </r>
  <r>
    <x v="1521"/>
    <d v="2017-07-26T00:00:00"/>
  </r>
  <r>
    <x v="1522"/>
    <d v="2017-07-26T00:00:00"/>
  </r>
  <r>
    <x v="1523"/>
    <d v="2017-07-26T00:00:00"/>
  </r>
  <r>
    <x v="347"/>
    <d v="2017-07-26T00:00:00"/>
  </r>
  <r>
    <x v="1524"/>
    <d v="2017-07-26T00:00:00"/>
  </r>
  <r>
    <x v="1525"/>
    <d v="2017-07-26T00:00:00"/>
  </r>
  <r>
    <x v="1526"/>
    <d v="2017-07-26T00:00:00"/>
  </r>
  <r>
    <x v="1527"/>
    <d v="2017-07-26T00:00:00"/>
  </r>
  <r>
    <x v="1528"/>
    <d v="2017-07-26T00:00:00"/>
  </r>
  <r>
    <x v="1529"/>
    <d v="2017-07-26T00:00:00"/>
  </r>
  <r>
    <x v="839"/>
    <d v="2017-07-26T00:00:00"/>
  </r>
  <r>
    <x v="1530"/>
    <d v="2017-07-26T00:00:00"/>
  </r>
  <r>
    <x v="1531"/>
    <d v="2017-07-26T00:00:00"/>
  </r>
  <r>
    <x v="1532"/>
    <d v="2017-07-26T00:00:00"/>
  </r>
  <r>
    <x v="1533"/>
    <d v="2017-07-26T00:00:00"/>
  </r>
  <r>
    <x v="1534"/>
    <d v="2017-07-26T00:00:00"/>
  </r>
  <r>
    <x v="1535"/>
    <d v="2017-07-26T00:00:00"/>
  </r>
  <r>
    <x v="1536"/>
    <d v="2017-07-26T00:00:00"/>
  </r>
  <r>
    <x v="1537"/>
    <d v="2017-07-26T00:00:00"/>
  </r>
  <r>
    <x v="1538"/>
    <d v="2017-07-26T00:00:00"/>
  </r>
  <r>
    <x v="1539"/>
    <d v="2017-07-26T00:00:00"/>
  </r>
  <r>
    <x v="1540"/>
    <d v="2017-07-26T00:00:00"/>
  </r>
  <r>
    <x v="1541"/>
    <d v="2017-07-26T00:00:00"/>
  </r>
  <r>
    <x v="1542"/>
    <d v="2017-07-26T00:00:00"/>
  </r>
  <r>
    <x v="1543"/>
    <d v="2017-07-26T00:00:00"/>
  </r>
  <r>
    <x v="1544"/>
    <d v="2017-07-26T00:00:00"/>
  </r>
  <r>
    <x v="1545"/>
    <d v="2017-07-26T00:00:00"/>
  </r>
  <r>
    <x v="1546"/>
    <d v="2017-07-26T00:00:00"/>
  </r>
  <r>
    <x v="1547"/>
    <d v="2017-07-26T00:00:00"/>
  </r>
  <r>
    <x v="1548"/>
    <d v="2017-07-26T00:00:00"/>
  </r>
  <r>
    <x v="1549"/>
    <d v="2017-07-26T00:00:00"/>
  </r>
  <r>
    <x v="1550"/>
    <d v="2017-07-26T00:00:00"/>
  </r>
  <r>
    <x v="1551"/>
    <d v="2017-07-26T00:00:00"/>
  </r>
  <r>
    <x v="1552"/>
    <d v="2017-07-26T00:00:00"/>
  </r>
  <r>
    <x v="1553"/>
    <d v="2017-07-26T00:00:00"/>
  </r>
  <r>
    <x v="1314"/>
    <d v="2017-07-26T00:00:00"/>
  </r>
  <r>
    <x v="954"/>
    <d v="2017-07-26T00:00:00"/>
  </r>
  <r>
    <x v="1554"/>
    <d v="2017-07-26T00:00:00"/>
  </r>
  <r>
    <x v="1555"/>
    <d v="2017-07-26T00:00:00"/>
  </r>
  <r>
    <x v="870"/>
    <d v="2017-07-26T00:00:00"/>
  </r>
  <r>
    <x v="1556"/>
    <d v="2017-07-26T00:00:00"/>
  </r>
  <r>
    <x v="1557"/>
    <d v="2017-07-26T00:00:00"/>
  </r>
  <r>
    <x v="1558"/>
    <d v="2017-07-26T00:00:00"/>
  </r>
  <r>
    <x v="1559"/>
    <d v="2017-07-26T00:00:00"/>
  </r>
  <r>
    <x v="1560"/>
    <d v="2017-07-26T00:00:00"/>
  </r>
  <r>
    <x v="1561"/>
    <d v="2017-07-26T00:00:00"/>
  </r>
  <r>
    <x v="16"/>
    <d v="2017-07-26T00:00:00"/>
  </r>
  <r>
    <x v="1562"/>
    <d v="2017-07-26T00:00:00"/>
  </r>
  <r>
    <x v="1563"/>
    <d v="2017-07-26T00:00:00"/>
  </r>
  <r>
    <x v="1564"/>
    <d v="2017-07-26T00:00:00"/>
  </r>
  <r>
    <x v="1565"/>
    <d v="2017-07-26T00:00:00"/>
  </r>
  <r>
    <x v="1566"/>
    <d v="2017-07-26T00:00:00"/>
  </r>
  <r>
    <x v="1567"/>
    <d v="2017-07-26T00:00:00"/>
  </r>
  <r>
    <x v="1568"/>
    <d v="2017-07-26T00:00:00"/>
  </r>
  <r>
    <x v="1569"/>
    <d v="2017-07-26T00:00:00"/>
  </r>
  <r>
    <x v="1570"/>
    <d v="2017-07-26T00:00:00"/>
  </r>
  <r>
    <x v="1571"/>
    <d v="2017-07-26T00:00:00"/>
  </r>
  <r>
    <x v="1572"/>
    <d v="2017-07-26T00:00:00"/>
  </r>
  <r>
    <x v="894"/>
    <d v="2017-07-26T00:00:00"/>
  </r>
  <r>
    <x v="1573"/>
    <d v="2017-07-26T00:00:00"/>
  </r>
  <r>
    <x v="121"/>
    <d v="2017-07-26T00:00:00"/>
  </r>
  <r>
    <x v="1574"/>
    <d v="2017-07-26T00:00:00"/>
  </r>
  <r>
    <x v="1575"/>
    <d v="2017-07-26T00:00:00"/>
  </r>
  <r>
    <x v="1576"/>
    <d v="2017-07-26T00:00:00"/>
  </r>
  <r>
    <x v="1577"/>
    <d v="2017-07-26T00:00:00"/>
  </r>
  <r>
    <x v="1578"/>
    <d v="2017-07-26T00:00:00"/>
  </r>
  <r>
    <x v="693"/>
    <d v="2017-07-26T00:00:00"/>
  </r>
  <r>
    <x v="915"/>
    <d v="2017-07-26T00:00:00"/>
  </r>
  <r>
    <x v="1579"/>
    <d v="2017-07-26T00:00:00"/>
  </r>
  <r>
    <x v="1580"/>
    <d v="2017-07-27T00:00:00"/>
  </r>
  <r>
    <x v="1581"/>
    <d v="2017-07-27T00:00:00"/>
  </r>
  <r>
    <x v="1582"/>
    <d v="2017-07-27T00:00:00"/>
  </r>
  <r>
    <x v="1583"/>
    <d v="2017-07-27T00:00:00"/>
  </r>
  <r>
    <x v="1584"/>
    <d v="2017-07-27T00:00:00"/>
  </r>
  <r>
    <x v="1585"/>
    <d v="2017-07-27T00:00:00"/>
  </r>
  <r>
    <x v="1586"/>
    <d v="2017-07-27T00:00:00"/>
  </r>
  <r>
    <x v="73"/>
    <d v="2017-07-27T00:00:00"/>
  </r>
  <r>
    <x v="1587"/>
    <d v="2017-07-27T00:00:00"/>
  </r>
  <r>
    <x v="1588"/>
    <d v="2017-07-27T00:00:00"/>
  </r>
  <r>
    <x v="1589"/>
    <d v="2017-07-27T00:00:00"/>
  </r>
  <r>
    <x v="1590"/>
    <d v="2017-07-27T00:00:00"/>
  </r>
  <r>
    <x v="1575"/>
    <d v="2017-07-27T00:00:00"/>
  </r>
  <r>
    <x v="1591"/>
    <d v="2017-07-27T00:00:00"/>
  </r>
  <r>
    <x v="1592"/>
    <d v="2017-07-27T00:00:00"/>
  </r>
  <r>
    <x v="1593"/>
    <d v="2017-07-27T00:00:00"/>
  </r>
  <r>
    <x v="1594"/>
    <d v="2017-07-27T00:00:00"/>
  </r>
  <r>
    <x v="1595"/>
    <d v="2017-07-27T00:00:00"/>
  </r>
  <r>
    <x v="1596"/>
    <d v="2017-07-27T00:00:00"/>
  </r>
  <r>
    <x v="519"/>
    <d v="2017-07-27T00:00:00"/>
  </r>
  <r>
    <x v="1597"/>
    <d v="2017-07-27T00:00:00"/>
  </r>
  <r>
    <x v="1332"/>
    <d v="2017-07-27T00:00:00"/>
  </r>
  <r>
    <x v="1598"/>
    <d v="2017-07-27T00:00:00"/>
  </r>
  <r>
    <x v="292"/>
    <d v="2017-07-27T00:00:00"/>
  </r>
  <r>
    <x v="332"/>
    <d v="2017-07-27T00:00:00"/>
  </r>
  <r>
    <x v="1599"/>
    <d v="2017-07-27T00:00:00"/>
  </r>
  <r>
    <x v="1600"/>
    <d v="2017-07-27T00:00:00"/>
  </r>
  <r>
    <x v="1601"/>
    <d v="2017-07-27T00:00:00"/>
  </r>
  <r>
    <x v="594"/>
    <d v="2017-07-27T00:00:00"/>
  </r>
  <r>
    <x v="1602"/>
    <d v="2017-07-27T00:00:00"/>
  </r>
  <r>
    <x v="28"/>
    <d v="2017-07-27T00:00:00"/>
  </r>
  <r>
    <x v="1603"/>
    <d v="2017-07-27T00:00:00"/>
  </r>
  <r>
    <x v="1604"/>
    <d v="2017-07-27T00:00:00"/>
  </r>
  <r>
    <x v="1001"/>
    <d v="2017-07-27T00:00:00"/>
  </r>
  <r>
    <x v="1605"/>
    <d v="2017-07-27T00:00:00"/>
  </r>
  <r>
    <x v="1606"/>
    <d v="2017-07-27T00:00:00"/>
  </r>
  <r>
    <x v="1607"/>
    <d v="2017-07-27T00:00:00"/>
  </r>
  <r>
    <x v="1608"/>
    <d v="2017-07-27T00:00:00"/>
  </r>
  <r>
    <x v="235"/>
    <d v="2017-07-27T00:00:00"/>
  </r>
  <r>
    <x v="1609"/>
    <d v="2017-07-27T00:00:00"/>
  </r>
  <r>
    <x v="1610"/>
    <d v="2017-07-27T00:00:00"/>
  </r>
  <r>
    <x v="950"/>
    <d v="2017-07-27T00:00:00"/>
  </r>
  <r>
    <x v="1611"/>
    <d v="2017-07-27T00:00:00"/>
  </r>
  <r>
    <x v="1612"/>
    <d v="2017-07-27T00:00:00"/>
  </r>
  <r>
    <x v="1613"/>
    <d v="2017-07-27T00:00:00"/>
  </r>
  <r>
    <x v="1614"/>
    <d v="2017-07-27T00:00:00"/>
  </r>
  <r>
    <x v="1615"/>
    <d v="2017-07-27T00:00:00"/>
  </r>
  <r>
    <x v="1616"/>
    <d v="2017-07-27T00:00:00"/>
  </r>
  <r>
    <x v="1617"/>
    <d v="2017-07-27T00:00:00"/>
  </r>
  <r>
    <x v="1618"/>
    <d v="2017-07-27T00:00:00"/>
  </r>
  <r>
    <x v="1518"/>
    <d v="2017-07-27T00:00:00"/>
  </r>
  <r>
    <x v="1619"/>
    <d v="2017-07-27T00:00:00"/>
  </r>
  <r>
    <x v="1620"/>
    <d v="2017-07-27T00:00:00"/>
  </r>
  <r>
    <x v="1621"/>
    <d v="2017-07-27T00:00:00"/>
  </r>
  <r>
    <x v="1622"/>
    <d v="2017-07-27T00:00:00"/>
  </r>
  <r>
    <x v="1623"/>
    <d v="2017-07-27T00:00:00"/>
  </r>
  <r>
    <x v="1624"/>
    <d v="2017-07-27T00:00:00"/>
  </r>
  <r>
    <x v="759"/>
    <d v="2017-07-27T00:00:00"/>
  </r>
  <r>
    <x v="1625"/>
    <d v="2017-07-27T00:00:00"/>
  </r>
  <r>
    <x v="1626"/>
    <d v="2017-07-27T00:00:00"/>
  </r>
  <r>
    <x v="1627"/>
    <d v="2017-07-27T00:00:00"/>
  </r>
  <r>
    <x v="1628"/>
    <d v="2017-07-27T00:00:00"/>
  </r>
  <r>
    <x v="1629"/>
    <d v="2017-07-27T00:00:00"/>
  </r>
  <r>
    <x v="1630"/>
    <d v="2017-07-27T00:00:00"/>
  </r>
  <r>
    <x v="1631"/>
    <d v="2017-07-27T00:00:00"/>
  </r>
  <r>
    <x v="1632"/>
    <d v="2017-07-27T00:00:00"/>
  </r>
  <r>
    <x v="1633"/>
    <d v="2017-07-27T00:00:00"/>
  </r>
  <r>
    <x v="1634"/>
    <d v="2017-07-27T00:00:00"/>
  </r>
  <r>
    <x v="1635"/>
    <d v="2017-07-27T00:00:00"/>
  </r>
  <r>
    <x v="1636"/>
    <d v="2017-07-27T00:00:00"/>
  </r>
  <r>
    <x v="1637"/>
    <d v="2017-07-27T00:00:00"/>
  </r>
  <r>
    <x v="1638"/>
    <d v="2017-07-27T00:00:00"/>
  </r>
  <r>
    <x v="1639"/>
    <d v="2017-07-27T00:00:00"/>
  </r>
  <r>
    <x v="1640"/>
    <d v="2017-07-27T00:00:00"/>
  </r>
  <r>
    <x v="1641"/>
    <d v="2017-07-27T00:00:00"/>
  </r>
  <r>
    <x v="1642"/>
    <d v="2017-07-27T00:00:00"/>
  </r>
  <r>
    <x v="1643"/>
    <d v="2017-07-27T00:00:00"/>
  </r>
  <r>
    <x v="1644"/>
    <d v="2017-07-27T00:00:00"/>
  </r>
  <r>
    <x v="1645"/>
    <d v="2017-07-27T00:00:00"/>
  </r>
  <r>
    <x v="1646"/>
    <d v="2017-07-27T00:00:00"/>
  </r>
  <r>
    <x v="1647"/>
    <d v="2017-07-27T00:00:00"/>
  </r>
  <r>
    <x v="1648"/>
    <d v="2017-07-27T00:00:00"/>
  </r>
  <r>
    <x v="1649"/>
    <d v="2017-07-27T00:00:00"/>
  </r>
  <r>
    <x v="1650"/>
    <d v="2017-07-27T00:00:00"/>
  </r>
  <r>
    <x v="1651"/>
    <d v="2017-07-27T00:00:00"/>
  </r>
  <r>
    <x v="1652"/>
    <d v="2017-07-27T00:00:00"/>
  </r>
  <r>
    <x v="1653"/>
    <d v="2017-07-27T00:00:00"/>
  </r>
  <r>
    <x v="1654"/>
    <d v="2017-07-27T00:00:00"/>
  </r>
  <r>
    <x v="1655"/>
    <d v="2017-07-27T00:00:00"/>
  </r>
  <r>
    <x v="1656"/>
    <d v="2017-07-27T00:00:00"/>
  </r>
  <r>
    <x v="1657"/>
    <d v="2017-07-27T00:00:00"/>
  </r>
  <r>
    <x v="1658"/>
    <d v="2017-07-27T00:00:00"/>
  </r>
  <r>
    <x v="1659"/>
    <d v="2017-07-27T00:00:00"/>
  </r>
  <r>
    <x v="1660"/>
    <d v="2017-07-27T00:00:00"/>
  </r>
  <r>
    <x v="1661"/>
    <d v="2017-07-27T00:00:00"/>
  </r>
  <r>
    <x v="1662"/>
    <d v="2017-07-27T00:00:00"/>
  </r>
  <r>
    <x v="1663"/>
    <d v="2017-07-27T00:00:00"/>
  </r>
  <r>
    <x v="1664"/>
    <d v="2017-07-28T00:00:00"/>
  </r>
  <r>
    <x v="1665"/>
    <d v="2017-07-28T00:00:00"/>
  </r>
  <r>
    <x v="1142"/>
    <d v="2017-07-28T00:00:00"/>
  </r>
  <r>
    <x v="1666"/>
    <d v="2017-07-28T00:00:00"/>
  </r>
  <r>
    <x v="1667"/>
    <d v="2017-07-28T00:00:00"/>
  </r>
  <r>
    <x v="1121"/>
    <d v="2017-07-28T00:00:00"/>
  </r>
  <r>
    <x v="1668"/>
    <d v="2017-07-28T00:00:00"/>
  </r>
  <r>
    <x v="1669"/>
    <d v="2017-07-28T00:00:00"/>
  </r>
  <r>
    <x v="1670"/>
    <d v="2017-07-28T00:00:00"/>
  </r>
  <r>
    <x v="1671"/>
    <d v="2017-07-28T00:00:00"/>
  </r>
  <r>
    <x v="1672"/>
    <d v="2017-07-28T00:00:00"/>
  </r>
  <r>
    <x v="713"/>
    <d v="2017-07-28T00:00:00"/>
  </r>
  <r>
    <x v="1673"/>
    <d v="2017-07-28T00:00:00"/>
  </r>
  <r>
    <x v="1674"/>
    <d v="2017-07-28T00:00:00"/>
  </r>
  <r>
    <x v="1675"/>
    <d v="2017-07-28T00:00:00"/>
  </r>
  <r>
    <x v="1676"/>
    <d v="2017-07-28T00:00:00"/>
  </r>
  <r>
    <x v="1677"/>
    <d v="2017-07-28T00:00:00"/>
  </r>
  <r>
    <x v="1181"/>
    <d v="2017-07-28T00:00:00"/>
  </r>
  <r>
    <x v="1678"/>
    <d v="2017-07-28T00:00:00"/>
  </r>
  <r>
    <x v="1679"/>
    <d v="2017-07-28T00:00:00"/>
  </r>
  <r>
    <x v="1680"/>
    <d v="2017-07-28T00:00:00"/>
  </r>
  <r>
    <x v="1681"/>
    <d v="2017-07-28T00:00:00"/>
  </r>
  <r>
    <x v="1682"/>
    <d v="2017-07-28T00:00:00"/>
  </r>
  <r>
    <x v="1683"/>
    <d v="2017-07-28T00:00:00"/>
  </r>
  <r>
    <x v="246"/>
    <d v="2017-07-28T00:00:00"/>
  </r>
  <r>
    <x v="666"/>
    <d v="2017-07-28T00:00:00"/>
  </r>
  <r>
    <x v="1022"/>
    <d v="2017-07-28T00:00:00"/>
  </r>
  <r>
    <x v="1684"/>
    <d v="2017-07-28T00:00:00"/>
  </r>
  <r>
    <x v="1387"/>
    <d v="2017-07-28T00:00:00"/>
  </r>
  <r>
    <x v="1685"/>
    <d v="2017-07-28T00:00:00"/>
  </r>
  <r>
    <x v="1686"/>
    <d v="2017-07-28T00:00:00"/>
  </r>
  <r>
    <x v="1687"/>
    <d v="2017-07-28T00:00:00"/>
  </r>
  <r>
    <x v="1688"/>
    <d v="2017-07-28T00:00:00"/>
  </r>
  <r>
    <x v="1689"/>
    <d v="2017-07-28T00:00:00"/>
  </r>
  <r>
    <x v="1690"/>
    <d v="2017-07-28T00:00:00"/>
  </r>
  <r>
    <x v="1691"/>
    <d v="2017-07-28T00:00:00"/>
  </r>
  <r>
    <x v="1554"/>
    <d v="2017-07-28T00:00:00"/>
  </r>
  <r>
    <x v="1692"/>
    <d v="2017-07-28T00:00:00"/>
  </r>
  <r>
    <x v="1693"/>
    <d v="2017-07-28T00:00:00"/>
  </r>
  <r>
    <x v="1694"/>
    <d v="2017-07-28T00:00:00"/>
  </r>
  <r>
    <x v="1695"/>
    <d v="2017-07-28T00:00:00"/>
  </r>
  <r>
    <x v="1696"/>
    <d v="2017-07-28T00:00:00"/>
  </r>
  <r>
    <x v="1697"/>
    <d v="2017-07-28T00:00:00"/>
  </r>
  <r>
    <x v="777"/>
    <d v="2017-07-28T00:00:00"/>
  </r>
  <r>
    <x v="1698"/>
    <d v="2017-07-28T00:00:00"/>
  </r>
  <r>
    <x v="1699"/>
    <d v="2017-07-28T00:00:00"/>
  </r>
  <r>
    <x v="1700"/>
    <d v="2017-07-28T00:00:00"/>
  </r>
  <r>
    <x v="1701"/>
    <d v="2017-07-28T00:00:00"/>
  </r>
  <r>
    <x v="1702"/>
    <d v="2017-07-28T00:00:00"/>
  </r>
  <r>
    <x v="1703"/>
    <d v="2017-07-28T00:00:00"/>
  </r>
  <r>
    <x v="54"/>
    <d v="2017-07-28T00:00:00"/>
  </r>
  <r>
    <x v="899"/>
    <d v="2017-07-28T00:00:00"/>
  </r>
  <r>
    <x v="1704"/>
    <d v="2017-07-28T00:00:00"/>
  </r>
  <r>
    <x v="1705"/>
    <d v="2017-07-28T00:00:00"/>
  </r>
  <r>
    <x v="1706"/>
    <d v="2017-07-28T00:00:00"/>
  </r>
  <r>
    <x v="1707"/>
    <d v="2017-07-28T00:00:00"/>
  </r>
  <r>
    <x v="1708"/>
    <d v="2017-07-28T00:00:00"/>
  </r>
  <r>
    <x v="1709"/>
    <d v="2017-07-28T00:00:00"/>
  </r>
  <r>
    <x v="1710"/>
    <d v="2017-07-28T00:00:00"/>
  </r>
  <r>
    <x v="1711"/>
    <d v="2017-07-28T00:00:00"/>
  </r>
  <r>
    <x v="1712"/>
    <d v="2017-07-28T00:00:00"/>
  </r>
  <r>
    <x v="1713"/>
    <d v="2017-07-28T00:00:00"/>
  </r>
  <r>
    <x v="1714"/>
    <d v="2017-07-28T00:00:00"/>
  </r>
  <r>
    <x v="1715"/>
    <d v="2017-07-28T00:00:00"/>
  </r>
  <r>
    <x v="1716"/>
    <d v="2017-07-28T00:00:00"/>
  </r>
  <r>
    <x v="1717"/>
    <d v="2017-07-28T00:00:00"/>
  </r>
  <r>
    <x v="1718"/>
    <d v="2017-07-28T00:00:00"/>
  </r>
  <r>
    <x v="1719"/>
    <d v="2017-07-28T00:00:00"/>
  </r>
  <r>
    <x v="395"/>
    <d v="2017-07-28T00:00:00"/>
  </r>
  <r>
    <x v="1720"/>
    <d v="2017-07-28T00:00:00"/>
  </r>
  <r>
    <x v="1721"/>
    <d v="2017-07-28T00:00:00"/>
  </r>
  <r>
    <x v="1722"/>
    <d v="2017-07-28T00:00:00"/>
  </r>
  <r>
    <x v="1723"/>
    <d v="2017-07-28T00:00:00"/>
  </r>
  <r>
    <x v="1724"/>
    <d v="2017-07-28T00:00:00"/>
  </r>
  <r>
    <x v="1725"/>
    <d v="2017-07-28T00:00:00"/>
  </r>
  <r>
    <x v="1726"/>
    <d v="2017-07-28T00:00:00"/>
  </r>
  <r>
    <x v="1727"/>
    <d v="2017-07-28T00:00:00"/>
  </r>
  <r>
    <x v="1728"/>
    <d v="2017-07-28T00:00:00"/>
  </r>
  <r>
    <x v="1729"/>
    <d v="2017-07-28T00:00:00"/>
  </r>
  <r>
    <x v="1730"/>
    <d v="2017-07-28T00:00:00"/>
  </r>
  <r>
    <x v="1731"/>
    <d v="2017-07-28T00:00:00"/>
  </r>
  <r>
    <x v="1732"/>
    <d v="2017-07-28T00:00:00"/>
  </r>
  <r>
    <x v="752"/>
    <d v="2017-07-28T00:00:00"/>
  </r>
  <r>
    <x v="1733"/>
    <d v="2017-07-28T00:00:00"/>
  </r>
  <r>
    <x v="1734"/>
    <d v="2017-07-28T00:00:00"/>
  </r>
  <r>
    <x v="1735"/>
    <d v="2017-07-28T00:00:00"/>
  </r>
  <r>
    <x v="1736"/>
    <d v="2017-07-28T00:00:00"/>
  </r>
  <r>
    <x v="1737"/>
    <d v="2017-07-28T00:00:00"/>
  </r>
  <r>
    <x v="1738"/>
    <d v="2017-07-28T00:00:00"/>
  </r>
  <r>
    <x v="1739"/>
    <d v="2017-07-28T00:00:00"/>
  </r>
  <r>
    <x v="215"/>
    <d v="2017-07-28T00:00:00"/>
  </r>
  <r>
    <x v="184"/>
    <d v="2017-07-28T00:00:00"/>
  </r>
  <r>
    <x v="1740"/>
    <d v="2017-07-28T00:00:00"/>
  </r>
  <r>
    <x v="714"/>
    <d v="2017-07-28T00:00:00"/>
  </r>
  <r>
    <x v="1741"/>
    <d v="2017-07-28T00:00:00"/>
  </r>
  <r>
    <x v="1742"/>
    <d v="2017-07-28T00:00:00"/>
  </r>
  <r>
    <x v="1743"/>
    <d v="2017-07-28T00:00:00"/>
  </r>
  <r>
    <x v="1744"/>
    <d v="2017-07-28T00:00:00"/>
  </r>
  <r>
    <x v="1745"/>
    <d v="2017-07-28T00:00:00"/>
  </r>
  <r>
    <x v="1746"/>
    <d v="2017-07-28T00:00:00"/>
  </r>
  <r>
    <x v="1747"/>
    <d v="2017-07-31T00:00:00"/>
  </r>
  <r>
    <x v="1748"/>
    <d v="2017-07-31T00:00:00"/>
  </r>
  <r>
    <x v="1749"/>
    <d v="2017-07-31T00:00:00"/>
  </r>
  <r>
    <x v="1750"/>
    <d v="2017-07-31T00:00:00"/>
  </r>
  <r>
    <x v="1751"/>
    <d v="2017-07-31T00:00:00"/>
  </r>
  <r>
    <x v="1359"/>
    <d v="2017-07-31T00:00:00"/>
  </r>
  <r>
    <x v="1752"/>
    <d v="2017-07-31T00:00:00"/>
  </r>
  <r>
    <x v="1290"/>
    <d v="2017-07-31T00:00:00"/>
  </r>
  <r>
    <x v="1753"/>
    <d v="2017-07-31T00:00:00"/>
  </r>
  <r>
    <x v="1754"/>
    <d v="2017-07-31T00:00:00"/>
  </r>
  <r>
    <x v="1755"/>
    <d v="2017-07-31T00:00:00"/>
  </r>
  <r>
    <x v="1756"/>
    <d v="2017-07-31T00:00:00"/>
  </r>
  <r>
    <x v="1757"/>
    <d v="2017-07-31T00:00:00"/>
  </r>
  <r>
    <x v="1758"/>
    <d v="2017-07-31T00:00:00"/>
  </r>
  <r>
    <x v="1759"/>
    <d v="2017-07-31T00:00:00"/>
  </r>
  <r>
    <x v="1760"/>
    <d v="2017-07-31T00:00:00"/>
  </r>
  <r>
    <x v="1761"/>
    <d v="2017-07-31T00:00:00"/>
  </r>
  <r>
    <x v="1762"/>
    <d v="2017-07-31T00:00:00"/>
  </r>
  <r>
    <x v="1359"/>
    <d v="2017-07-31T00:00:00"/>
  </r>
  <r>
    <x v="748"/>
    <d v="2017-07-31T00:00:00"/>
  </r>
  <r>
    <x v="1763"/>
    <d v="2017-07-31T00:00:00"/>
  </r>
  <r>
    <x v="1764"/>
    <d v="2017-07-31T00:00:00"/>
  </r>
  <r>
    <x v="1765"/>
    <d v="2017-07-31T00:00:00"/>
  </r>
  <r>
    <x v="1766"/>
    <d v="2017-07-31T00:00:00"/>
  </r>
  <r>
    <x v="577"/>
    <d v="2017-07-31T00:00:00"/>
  </r>
  <r>
    <x v="1767"/>
    <d v="2017-07-31T00:00:00"/>
  </r>
  <r>
    <x v="363"/>
    <d v="2017-07-31T00:00:00"/>
  </r>
  <r>
    <x v="1768"/>
    <d v="2017-07-31T00:00:00"/>
  </r>
  <r>
    <x v="1769"/>
    <d v="2017-07-31T00:00:00"/>
  </r>
  <r>
    <x v="1770"/>
    <d v="2017-07-31T00:00:00"/>
  </r>
  <r>
    <x v="1771"/>
    <d v="2017-07-31T00:00:00"/>
  </r>
  <r>
    <x v="1772"/>
    <d v="2017-07-31T00:00:00"/>
  </r>
  <r>
    <x v="1773"/>
    <d v="2017-07-31T00:00:00"/>
  </r>
  <r>
    <x v="125"/>
    <d v="2017-07-31T00:00:00"/>
  </r>
  <r>
    <x v="1774"/>
    <d v="2017-07-31T00:00:00"/>
  </r>
  <r>
    <x v="1775"/>
    <d v="2017-07-31T00:00:00"/>
  </r>
  <r>
    <x v="1776"/>
    <d v="2017-07-31T00:00:00"/>
  </r>
  <r>
    <x v="1777"/>
    <d v="2017-07-31T00:00:00"/>
  </r>
  <r>
    <x v="1778"/>
    <d v="2017-07-31T00:00:00"/>
  </r>
  <r>
    <x v="1779"/>
    <d v="2017-07-31T00:00:00"/>
  </r>
  <r>
    <x v="1780"/>
    <d v="2017-07-31T00:00:00"/>
  </r>
  <r>
    <x v="1781"/>
    <d v="2017-07-31T00:00:00"/>
  </r>
  <r>
    <x v="1782"/>
    <d v="2017-07-31T00:00:00"/>
  </r>
  <r>
    <x v="1005"/>
    <d v="2017-07-31T00:00:00"/>
  </r>
  <r>
    <x v="1783"/>
    <d v="2017-07-31T00:00:00"/>
  </r>
  <r>
    <x v="387"/>
    <d v="2017-07-31T00:00:00"/>
  </r>
  <r>
    <x v="863"/>
    <d v="2017-07-31T00:00:00"/>
  </r>
  <r>
    <x v="1784"/>
    <d v="2017-07-31T00:00:00"/>
  </r>
  <r>
    <x v="1785"/>
    <d v="2017-07-31T00:00:00"/>
  </r>
  <r>
    <x v="1786"/>
    <d v="2017-07-31T00:00:00"/>
  </r>
  <r>
    <x v="1213"/>
    <d v="2017-07-31T00:00:00"/>
  </r>
  <r>
    <x v="1787"/>
    <d v="2017-07-31T00:00:00"/>
  </r>
  <r>
    <x v="1788"/>
    <d v="2017-07-31T00:00:00"/>
  </r>
  <r>
    <x v="1789"/>
    <d v="2017-07-31T00:00:00"/>
  </r>
  <r>
    <x v="792"/>
    <d v="2017-07-31T00:00:00"/>
  </r>
  <r>
    <x v="863"/>
    <d v="2017-07-31T00:00:00"/>
  </r>
  <r>
    <x v="1474"/>
    <d v="2017-07-31T00:00:00"/>
  </r>
  <r>
    <x v="1790"/>
    <d v="2017-07-31T00:00:00"/>
  </r>
  <r>
    <x v="1791"/>
    <d v="2017-07-31T00:00:00"/>
  </r>
  <r>
    <x v="1792"/>
    <d v="2017-07-31T00:00:00"/>
  </r>
  <r>
    <x v="1705"/>
    <d v="2017-07-31T00:00:00"/>
  </r>
  <r>
    <x v="1793"/>
    <d v="2017-07-31T00:00:00"/>
  </r>
  <r>
    <x v="1794"/>
    <d v="2017-07-31T00:00:00"/>
  </r>
  <r>
    <x v="1795"/>
    <d v="2017-07-31T00:00:00"/>
  </r>
  <r>
    <x v="1796"/>
    <d v="2017-07-31T00:00:00"/>
  </r>
  <r>
    <x v="1797"/>
    <d v="2017-07-31T00:00:00"/>
  </r>
  <r>
    <x v="1026"/>
    <d v="2017-07-31T00:00:00"/>
  </r>
  <r>
    <x v="1798"/>
    <d v="2017-07-31T00:00:00"/>
  </r>
  <r>
    <x v="813"/>
    <d v="2017-07-31T00:00:00"/>
  </r>
  <r>
    <x v="1799"/>
    <d v="2017-07-31T00:00:00"/>
  </r>
  <r>
    <x v="1800"/>
    <d v="2017-07-31T00:00:00"/>
  </r>
  <r>
    <x v="1801"/>
    <d v="2017-07-31T00:00:00"/>
  </r>
  <r>
    <x v="1802"/>
    <d v="2017-07-31T00:00:00"/>
  </r>
  <r>
    <x v="1803"/>
    <d v="2017-07-31T00:00:00"/>
  </r>
  <r>
    <x v="1804"/>
    <d v="2017-07-31T00:00:00"/>
  </r>
  <r>
    <x v="1805"/>
    <d v="2017-07-31T00:00:00"/>
  </r>
  <r>
    <x v="1806"/>
    <d v="2017-07-31T00:00:00"/>
  </r>
  <r>
    <x v="1807"/>
    <d v="2017-07-31T00:00:00"/>
  </r>
  <r>
    <x v="1808"/>
    <d v="2017-07-31T00:00:00"/>
  </r>
  <r>
    <x v="1809"/>
    <d v="2017-07-31T00:00:00"/>
  </r>
  <r>
    <x v="1810"/>
    <d v="2017-07-31T00:00:00"/>
  </r>
  <r>
    <x v="28"/>
    <d v="2017-07-31T00:00:00"/>
  </r>
  <r>
    <x v="1369"/>
    <d v="2017-07-31T00:00:00"/>
  </r>
  <r>
    <x v="1811"/>
    <d v="2017-07-31T00:00:00"/>
  </r>
  <r>
    <x v="1812"/>
    <d v="2017-07-31T00:00:00"/>
  </r>
  <r>
    <x v="1813"/>
    <d v="2017-07-31T00:00:00"/>
  </r>
  <r>
    <x v="1814"/>
    <d v="2017-07-31T00:00:00"/>
  </r>
  <r>
    <x v="561"/>
    <d v="2017-07-31T00:00:00"/>
  </r>
  <r>
    <x v="1815"/>
    <d v="2017-07-31T00:00:00"/>
  </r>
  <r>
    <x v="1816"/>
    <d v="2017-07-31T00:00:00"/>
  </r>
  <r>
    <x v="1817"/>
    <d v="2017-07-31T00:00:00"/>
  </r>
  <r>
    <x v="1818"/>
    <d v="2017-07-31T00:00:00"/>
  </r>
  <r>
    <x v="1256"/>
    <d v="2017-07-31T00:00:00"/>
  </r>
  <r>
    <x v="1819"/>
    <d v="2017-07-31T00:00:00"/>
  </r>
  <r>
    <x v="1820"/>
    <d v="2017-07-31T00:00:00"/>
  </r>
  <r>
    <x v="1821"/>
    <d v="2017-07-31T00:00:00"/>
  </r>
  <r>
    <x v="1450"/>
    <d v="2017-07-31T00:00:00"/>
  </r>
  <r>
    <x v="1822"/>
    <d v="2017-07-31T00:00:00"/>
  </r>
  <r>
    <x v="161"/>
    <d v="2017-07-31T00:00:00"/>
  </r>
  <r>
    <x v="1823"/>
    <d v="2017-07-31T00:00:00"/>
  </r>
  <r>
    <x v="1824"/>
    <d v="2017-07-31T00:00:00"/>
  </r>
  <r>
    <x v="1825"/>
    <d v="2017-07-31T00:00:00"/>
  </r>
  <r>
    <x v="1826"/>
    <d v="2017-07-31T00:00:00"/>
  </r>
  <r>
    <x v="1827"/>
    <d v="2017-07-31T00:00:00"/>
  </r>
  <r>
    <x v="1455"/>
    <d v="2017-07-31T00:00:00"/>
  </r>
  <r>
    <x v="1828"/>
    <d v="2017-07-31T00:00:00"/>
  </r>
  <r>
    <x v="1829"/>
    <d v="2017-07-31T00:00:00"/>
  </r>
  <r>
    <x v="1830"/>
    <d v="2017-07-31T00:00:00"/>
  </r>
  <r>
    <x v="1831"/>
    <d v="2017-07-31T00:00:00"/>
  </r>
  <r>
    <x v="1832"/>
    <d v="2017-07-31T00:00:00"/>
  </r>
  <r>
    <x v="1833"/>
    <d v="2017-07-31T00:00:00"/>
  </r>
  <r>
    <x v="1741"/>
    <d v="2017-07-31T00:00:00"/>
  </r>
  <r>
    <x v="1547"/>
    <d v="2017-07-3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2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2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2"/>
    <x v="1"/>
  </r>
  <r>
    <x v="0"/>
    <x v="1"/>
  </r>
  <r>
    <x v="0"/>
    <x v="1"/>
  </r>
  <r>
    <x v="0"/>
    <x v="1"/>
  </r>
  <r>
    <x v="0"/>
    <x v="1"/>
  </r>
  <r>
    <x v="0"/>
    <x v="1"/>
  </r>
  <r>
    <x v="2"/>
    <x v="1"/>
  </r>
  <r>
    <x v="0"/>
    <x v="1"/>
  </r>
  <r>
    <x v="1"/>
    <x v="1"/>
  </r>
  <r>
    <x v="0"/>
    <x v="1"/>
  </r>
  <r>
    <x v="0"/>
    <x v="1"/>
  </r>
  <r>
    <x v="2"/>
    <x v="1"/>
  </r>
  <r>
    <x v="1"/>
    <x v="1"/>
  </r>
  <r>
    <x v="1"/>
    <x v="1"/>
  </r>
  <r>
    <x v="0"/>
    <x v="1"/>
  </r>
  <r>
    <x v="2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2"/>
  </r>
  <r>
    <x v="2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1"/>
    <x v="2"/>
  </r>
  <r>
    <x v="1"/>
    <x v="2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2"/>
    <x v="2"/>
  </r>
  <r>
    <x v="1"/>
    <x v="2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2"/>
    <x v="2"/>
  </r>
  <r>
    <x v="2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2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2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2"/>
  </r>
  <r>
    <x v="1"/>
    <x v="2"/>
  </r>
  <r>
    <x v="2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1"/>
    <x v="2"/>
  </r>
  <r>
    <x v="2"/>
    <x v="2"/>
  </r>
  <r>
    <x v="0"/>
    <x v="2"/>
  </r>
  <r>
    <x v="0"/>
    <x v="2"/>
  </r>
  <r>
    <x v="1"/>
    <x v="2"/>
  </r>
  <r>
    <x v="0"/>
    <x v="2"/>
  </r>
  <r>
    <x v="0"/>
    <x v="2"/>
  </r>
  <r>
    <x v="1"/>
    <x v="2"/>
  </r>
  <r>
    <x v="1"/>
    <x v="2"/>
  </r>
  <r>
    <x v="0"/>
    <x v="2"/>
  </r>
  <r>
    <x v="0"/>
    <x v="2"/>
  </r>
  <r>
    <x v="0"/>
    <x v="2"/>
  </r>
  <r>
    <x v="0"/>
    <x v="2"/>
  </r>
  <r>
    <x v="0"/>
    <x v="2"/>
  </r>
  <r>
    <x v="0"/>
    <x v="2"/>
  </r>
  <r>
    <x v="1"/>
    <x v="2"/>
  </r>
  <r>
    <x v="2"/>
    <x v="2"/>
  </r>
  <r>
    <x v="2"/>
    <x v="2"/>
  </r>
  <r>
    <x v="1"/>
    <x v="2"/>
  </r>
  <r>
    <x v="0"/>
    <x v="2"/>
  </r>
  <r>
    <x v="1"/>
    <x v="2"/>
  </r>
  <r>
    <x v="0"/>
    <x v="2"/>
  </r>
  <r>
    <x v="0"/>
    <x v="2"/>
  </r>
  <r>
    <x v="0"/>
    <x v="2"/>
  </r>
  <r>
    <x v="1"/>
    <x v="2"/>
  </r>
  <r>
    <x v="0"/>
    <x v="2"/>
  </r>
  <r>
    <x v="0"/>
    <x v="2"/>
  </r>
  <r>
    <x v="1"/>
    <x v="2"/>
  </r>
  <r>
    <x v="0"/>
    <x v="2"/>
  </r>
  <r>
    <x v="0"/>
    <x v="2"/>
  </r>
  <r>
    <x v="1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2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2"/>
    <x v="3"/>
  </r>
  <r>
    <x v="1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1"/>
    <x v="3"/>
  </r>
  <r>
    <x v="0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1"/>
    <x v="3"/>
  </r>
  <r>
    <x v="2"/>
    <x v="3"/>
  </r>
  <r>
    <x v="1"/>
    <x v="3"/>
  </r>
  <r>
    <x v="0"/>
    <x v="3"/>
  </r>
  <r>
    <x v="2"/>
    <x v="3"/>
  </r>
  <r>
    <x v="0"/>
    <x v="3"/>
  </r>
  <r>
    <x v="0"/>
    <x v="3"/>
  </r>
  <r>
    <x v="0"/>
    <x v="3"/>
  </r>
  <r>
    <x v="1"/>
    <x v="3"/>
  </r>
  <r>
    <x v="0"/>
    <x v="3"/>
  </r>
  <r>
    <x v="1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2"/>
    <x v="3"/>
  </r>
  <r>
    <x v="0"/>
    <x v="3"/>
  </r>
  <r>
    <x v="1"/>
    <x v="3"/>
  </r>
  <r>
    <x v="0"/>
    <x v="3"/>
  </r>
  <r>
    <x v="2"/>
    <x v="3"/>
  </r>
  <r>
    <x v="1"/>
    <x v="3"/>
  </r>
  <r>
    <x v="0"/>
    <x v="3"/>
  </r>
  <r>
    <x v="0"/>
    <x v="3"/>
  </r>
  <r>
    <x v="0"/>
    <x v="3"/>
  </r>
  <r>
    <x v="0"/>
    <x v="3"/>
  </r>
  <r>
    <x v="0"/>
    <x v="3"/>
  </r>
  <r>
    <x v="2"/>
    <x v="3"/>
  </r>
  <r>
    <x v="0"/>
    <x v="3"/>
  </r>
  <r>
    <x v="0"/>
    <x v="3"/>
  </r>
  <r>
    <x v="0"/>
    <x v="3"/>
  </r>
  <r>
    <x v="1"/>
    <x v="4"/>
  </r>
  <r>
    <x v="0"/>
    <x v="4"/>
  </r>
  <r>
    <x v="1"/>
    <x v="4"/>
  </r>
  <r>
    <x v="0"/>
    <x v="4"/>
  </r>
  <r>
    <x v="0"/>
    <x v="4"/>
  </r>
  <r>
    <x v="1"/>
    <x v="4"/>
  </r>
  <r>
    <x v="0"/>
    <x v="4"/>
  </r>
  <r>
    <x v="0"/>
    <x v="4"/>
  </r>
  <r>
    <x v="1"/>
    <x v="4"/>
  </r>
  <r>
    <x v="0"/>
    <x v="4"/>
  </r>
  <r>
    <x v="1"/>
    <x v="4"/>
  </r>
  <r>
    <x v="0"/>
    <x v="4"/>
  </r>
  <r>
    <x v="0"/>
    <x v="4"/>
  </r>
  <r>
    <x v="1"/>
    <x v="4"/>
  </r>
  <r>
    <x v="0"/>
    <x v="4"/>
  </r>
  <r>
    <x v="1"/>
    <x v="4"/>
  </r>
  <r>
    <x v="1"/>
    <x v="4"/>
  </r>
  <r>
    <x v="0"/>
    <x v="4"/>
  </r>
  <r>
    <x v="2"/>
    <x v="4"/>
  </r>
  <r>
    <x v="0"/>
    <x v="4"/>
  </r>
  <r>
    <x v="1"/>
    <x v="4"/>
  </r>
  <r>
    <x v="0"/>
    <x v="4"/>
  </r>
  <r>
    <x v="2"/>
    <x v="4"/>
  </r>
  <r>
    <x v="0"/>
    <x v="4"/>
  </r>
  <r>
    <x v="0"/>
    <x v="4"/>
  </r>
  <r>
    <x v="0"/>
    <x v="4"/>
  </r>
  <r>
    <x v="0"/>
    <x v="4"/>
  </r>
  <r>
    <x v="0"/>
    <x v="4"/>
  </r>
  <r>
    <x v="1"/>
    <x v="4"/>
  </r>
  <r>
    <x v="0"/>
    <x v="4"/>
  </r>
  <r>
    <x v="1"/>
    <x v="4"/>
  </r>
  <r>
    <x v="0"/>
    <x v="4"/>
  </r>
  <r>
    <x v="1"/>
    <x v="4"/>
  </r>
  <r>
    <x v="0"/>
    <x v="4"/>
  </r>
  <r>
    <x v="1"/>
    <x v="4"/>
  </r>
  <r>
    <x v="0"/>
    <x v="4"/>
  </r>
  <r>
    <x v="0"/>
    <x v="4"/>
  </r>
  <r>
    <x v="2"/>
    <x v="4"/>
  </r>
  <r>
    <x v="1"/>
    <x v="4"/>
  </r>
  <r>
    <x v="1"/>
    <x v="4"/>
  </r>
  <r>
    <x v="0"/>
    <x v="4"/>
  </r>
  <r>
    <x v="0"/>
    <x v="4"/>
  </r>
  <r>
    <x v="0"/>
    <x v="4"/>
  </r>
  <r>
    <x v="0"/>
    <x v="4"/>
  </r>
  <r>
    <x v="0"/>
    <x v="4"/>
  </r>
  <r>
    <x v="2"/>
    <x v="4"/>
  </r>
  <r>
    <x v="0"/>
    <x v="4"/>
  </r>
  <r>
    <x v="0"/>
    <x v="4"/>
  </r>
  <r>
    <x v="0"/>
    <x v="4"/>
  </r>
  <r>
    <x v="1"/>
    <x v="4"/>
  </r>
  <r>
    <x v="0"/>
    <x v="4"/>
  </r>
  <r>
    <x v="1"/>
    <x v="4"/>
  </r>
  <r>
    <x v="0"/>
    <x v="4"/>
  </r>
  <r>
    <x v="1"/>
    <x v="4"/>
  </r>
  <r>
    <x v="0"/>
    <x v="4"/>
  </r>
  <r>
    <x v="0"/>
    <x v="4"/>
  </r>
  <r>
    <x v="0"/>
    <x v="4"/>
  </r>
  <r>
    <x v="1"/>
    <x v="4"/>
  </r>
  <r>
    <x v="0"/>
    <x v="4"/>
  </r>
  <r>
    <x v="1"/>
    <x v="4"/>
  </r>
  <r>
    <x v="1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1"/>
    <x v="4"/>
  </r>
  <r>
    <x v="0"/>
    <x v="4"/>
  </r>
  <r>
    <x v="0"/>
    <x v="4"/>
  </r>
  <r>
    <x v="0"/>
    <x v="4"/>
  </r>
  <r>
    <x v="0"/>
    <x v="4"/>
  </r>
  <r>
    <x v="0"/>
    <x v="4"/>
  </r>
  <r>
    <x v="1"/>
    <x v="4"/>
  </r>
  <r>
    <x v="0"/>
    <x v="4"/>
  </r>
  <r>
    <x v="1"/>
    <x v="4"/>
  </r>
  <r>
    <x v="1"/>
    <x v="4"/>
  </r>
  <r>
    <x v="0"/>
    <x v="4"/>
  </r>
  <r>
    <x v="0"/>
    <x v="4"/>
  </r>
  <r>
    <x v="1"/>
    <x v="4"/>
  </r>
  <r>
    <x v="0"/>
    <x v="4"/>
  </r>
  <r>
    <x v="1"/>
    <x v="4"/>
  </r>
  <r>
    <x v="0"/>
    <x v="4"/>
  </r>
  <r>
    <x v="2"/>
    <x v="4"/>
  </r>
  <r>
    <x v="0"/>
    <x v="4"/>
  </r>
  <r>
    <x v="0"/>
    <x v="4"/>
  </r>
  <r>
    <x v="0"/>
    <x v="4"/>
  </r>
  <r>
    <x v="1"/>
    <x v="4"/>
  </r>
  <r>
    <x v="1"/>
    <x v="4"/>
  </r>
  <r>
    <x v="0"/>
    <x v="4"/>
  </r>
  <r>
    <x v="0"/>
    <x v="4"/>
  </r>
  <r>
    <x v="0"/>
    <x v="4"/>
  </r>
  <r>
    <x v="0"/>
    <x v="4"/>
  </r>
  <r>
    <x v="0"/>
    <x v="4"/>
  </r>
  <r>
    <x v="1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1"/>
    <x v="4"/>
  </r>
  <r>
    <x v="0"/>
    <x v="5"/>
  </r>
  <r>
    <x v="0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2"/>
    <x v="5"/>
  </r>
  <r>
    <x v="1"/>
    <x v="5"/>
  </r>
  <r>
    <x v="0"/>
    <x v="5"/>
  </r>
  <r>
    <x v="1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1"/>
    <x v="5"/>
  </r>
  <r>
    <x v="2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2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2"/>
    <x v="5"/>
  </r>
  <r>
    <x v="1"/>
    <x v="5"/>
  </r>
  <r>
    <x v="0"/>
    <x v="5"/>
  </r>
  <r>
    <x v="1"/>
    <x v="5"/>
  </r>
  <r>
    <x v="1"/>
    <x v="5"/>
  </r>
  <r>
    <x v="0"/>
    <x v="5"/>
  </r>
  <r>
    <x v="0"/>
    <x v="5"/>
  </r>
  <r>
    <x v="0"/>
    <x v="5"/>
  </r>
  <r>
    <x v="1"/>
    <x v="5"/>
  </r>
  <r>
    <x v="0"/>
    <x v="5"/>
  </r>
  <r>
    <x v="1"/>
    <x v="5"/>
  </r>
  <r>
    <x v="1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2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2"/>
    <x v="6"/>
  </r>
  <r>
    <x v="0"/>
    <x v="6"/>
  </r>
  <r>
    <x v="1"/>
    <x v="6"/>
  </r>
  <r>
    <x v="1"/>
    <x v="6"/>
  </r>
  <r>
    <x v="0"/>
    <x v="6"/>
  </r>
  <r>
    <x v="0"/>
    <x v="6"/>
  </r>
  <r>
    <x v="1"/>
    <x v="6"/>
  </r>
  <r>
    <x v="0"/>
    <x v="6"/>
  </r>
  <r>
    <x v="2"/>
    <x v="6"/>
  </r>
  <r>
    <x v="0"/>
    <x v="6"/>
  </r>
  <r>
    <x v="0"/>
    <x v="6"/>
  </r>
  <r>
    <x v="0"/>
    <x v="6"/>
  </r>
  <r>
    <x v="1"/>
    <x v="6"/>
  </r>
  <r>
    <x v="0"/>
    <x v="6"/>
  </r>
  <r>
    <x v="1"/>
    <x v="6"/>
  </r>
  <r>
    <x v="0"/>
    <x v="6"/>
  </r>
  <r>
    <x v="0"/>
    <x v="6"/>
  </r>
  <r>
    <x v="0"/>
    <x v="6"/>
  </r>
  <r>
    <x v="0"/>
    <x v="6"/>
  </r>
  <r>
    <x v="1"/>
    <x v="6"/>
  </r>
  <r>
    <x v="1"/>
    <x v="6"/>
  </r>
  <r>
    <x v="0"/>
    <x v="6"/>
  </r>
  <r>
    <x v="1"/>
    <x v="6"/>
  </r>
  <r>
    <x v="0"/>
    <x v="6"/>
  </r>
  <r>
    <x v="0"/>
    <x v="6"/>
  </r>
  <r>
    <x v="1"/>
    <x v="6"/>
  </r>
  <r>
    <x v="0"/>
    <x v="6"/>
  </r>
  <r>
    <x v="2"/>
    <x v="6"/>
  </r>
  <r>
    <x v="0"/>
    <x v="6"/>
  </r>
  <r>
    <x v="0"/>
    <x v="6"/>
  </r>
  <r>
    <x v="1"/>
    <x v="6"/>
  </r>
  <r>
    <x v="0"/>
    <x v="6"/>
  </r>
  <r>
    <x v="0"/>
    <x v="6"/>
  </r>
  <r>
    <x v="1"/>
    <x v="6"/>
  </r>
  <r>
    <x v="0"/>
    <x v="6"/>
  </r>
  <r>
    <x v="0"/>
    <x v="6"/>
  </r>
  <r>
    <x v="1"/>
    <x v="6"/>
  </r>
  <r>
    <x v="1"/>
    <x v="6"/>
  </r>
  <r>
    <x v="0"/>
    <x v="6"/>
  </r>
  <r>
    <x v="1"/>
    <x v="6"/>
  </r>
  <r>
    <x v="0"/>
    <x v="6"/>
  </r>
  <r>
    <x v="0"/>
    <x v="6"/>
  </r>
  <r>
    <x v="2"/>
    <x v="6"/>
  </r>
  <r>
    <x v="2"/>
    <x v="6"/>
  </r>
  <r>
    <x v="0"/>
    <x v="6"/>
  </r>
  <r>
    <x v="0"/>
    <x v="6"/>
  </r>
  <r>
    <x v="0"/>
    <x v="6"/>
  </r>
  <r>
    <x v="1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0"/>
    <x v="6"/>
  </r>
  <r>
    <x v="1"/>
    <x v="6"/>
  </r>
  <r>
    <x v="0"/>
    <x v="6"/>
  </r>
  <r>
    <x v="1"/>
    <x v="6"/>
  </r>
  <r>
    <x v="0"/>
    <x v="6"/>
  </r>
  <r>
    <x v="0"/>
    <x v="6"/>
  </r>
  <r>
    <x v="0"/>
    <x v="6"/>
  </r>
  <r>
    <x v="0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0"/>
    <x v="6"/>
  </r>
  <r>
    <x v="2"/>
    <x v="6"/>
  </r>
  <r>
    <x v="1"/>
    <x v="6"/>
  </r>
  <r>
    <x v="0"/>
    <x v="6"/>
  </r>
  <r>
    <x v="1"/>
    <x v="7"/>
  </r>
  <r>
    <x v="2"/>
    <x v="7"/>
  </r>
  <r>
    <x v="0"/>
    <x v="7"/>
  </r>
  <r>
    <x v="1"/>
    <x v="7"/>
  </r>
  <r>
    <x v="0"/>
    <x v="7"/>
  </r>
  <r>
    <x v="0"/>
    <x v="7"/>
  </r>
  <r>
    <x v="0"/>
    <x v="7"/>
  </r>
  <r>
    <x v="1"/>
    <x v="7"/>
  </r>
  <r>
    <x v="0"/>
    <x v="7"/>
  </r>
  <r>
    <x v="0"/>
    <x v="7"/>
  </r>
  <r>
    <x v="2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0"/>
    <x v="7"/>
  </r>
  <r>
    <x v="1"/>
    <x v="7"/>
  </r>
  <r>
    <x v="0"/>
    <x v="7"/>
  </r>
  <r>
    <x v="0"/>
    <x v="7"/>
  </r>
  <r>
    <x v="0"/>
    <x v="7"/>
  </r>
  <r>
    <x v="0"/>
    <x v="7"/>
  </r>
  <r>
    <x v="1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0"/>
    <x v="7"/>
  </r>
  <r>
    <x v="0"/>
    <x v="7"/>
  </r>
  <r>
    <x v="0"/>
    <x v="7"/>
  </r>
  <r>
    <x v="0"/>
    <x v="7"/>
  </r>
  <r>
    <x v="1"/>
    <x v="7"/>
  </r>
  <r>
    <x v="1"/>
    <x v="7"/>
  </r>
  <r>
    <x v="0"/>
    <x v="7"/>
  </r>
  <r>
    <x v="1"/>
    <x v="7"/>
  </r>
  <r>
    <x v="0"/>
    <x v="7"/>
  </r>
  <r>
    <x v="0"/>
    <x v="7"/>
  </r>
  <r>
    <x v="0"/>
    <x v="7"/>
  </r>
  <r>
    <x v="1"/>
    <x v="7"/>
  </r>
  <r>
    <x v="1"/>
    <x v="7"/>
  </r>
  <r>
    <x v="0"/>
    <x v="7"/>
  </r>
  <r>
    <x v="0"/>
    <x v="7"/>
  </r>
  <r>
    <x v="0"/>
    <x v="7"/>
  </r>
  <r>
    <x v="0"/>
    <x v="7"/>
  </r>
  <r>
    <x v="1"/>
    <x v="7"/>
  </r>
  <r>
    <x v="1"/>
    <x v="7"/>
  </r>
  <r>
    <x v="0"/>
    <x v="7"/>
  </r>
  <r>
    <x v="2"/>
    <x v="7"/>
  </r>
  <r>
    <x v="2"/>
    <x v="7"/>
  </r>
  <r>
    <x v="0"/>
    <x v="7"/>
  </r>
  <r>
    <x v="1"/>
    <x v="7"/>
  </r>
  <r>
    <x v="0"/>
    <x v="7"/>
  </r>
  <r>
    <x v="0"/>
    <x v="7"/>
  </r>
  <r>
    <x v="0"/>
    <x v="7"/>
  </r>
  <r>
    <x v="1"/>
    <x v="7"/>
  </r>
  <r>
    <x v="0"/>
    <x v="7"/>
  </r>
  <r>
    <x v="0"/>
    <x v="7"/>
  </r>
  <r>
    <x v="1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1"/>
    <x v="7"/>
  </r>
  <r>
    <x v="1"/>
    <x v="7"/>
  </r>
  <r>
    <x v="1"/>
    <x v="7"/>
  </r>
  <r>
    <x v="0"/>
    <x v="7"/>
  </r>
  <r>
    <x v="0"/>
    <x v="7"/>
  </r>
  <r>
    <x v="0"/>
    <x v="7"/>
  </r>
  <r>
    <x v="0"/>
    <x v="7"/>
  </r>
  <r>
    <x v="2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2"/>
    <x v="7"/>
  </r>
  <r>
    <x v="1"/>
    <x v="7"/>
  </r>
  <r>
    <x v="0"/>
    <x v="7"/>
  </r>
  <r>
    <x v="0"/>
    <x v="7"/>
  </r>
  <r>
    <x v="0"/>
    <x v="8"/>
  </r>
  <r>
    <x v="0"/>
    <x v="8"/>
  </r>
  <r>
    <x v="1"/>
    <x v="8"/>
  </r>
  <r>
    <x v="2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1"/>
    <x v="8"/>
  </r>
  <r>
    <x v="0"/>
    <x v="8"/>
  </r>
  <r>
    <x v="1"/>
    <x v="8"/>
  </r>
  <r>
    <x v="0"/>
    <x v="8"/>
  </r>
  <r>
    <x v="0"/>
    <x v="8"/>
  </r>
  <r>
    <x v="0"/>
    <x v="8"/>
  </r>
  <r>
    <x v="0"/>
    <x v="8"/>
  </r>
  <r>
    <x v="0"/>
    <x v="8"/>
  </r>
  <r>
    <x v="1"/>
    <x v="8"/>
  </r>
  <r>
    <x v="1"/>
    <x v="8"/>
  </r>
  <r>
    <x v="0"/>
    <x v="8"/>
  </r>
  <r>
    <x v="1"/>
    <x v="8"/>
  </r>
  <r>
    <x v="0"/>
    <x v="8"/>
  </r>
  <r>
    <x v="0"/>
    <x v="8"/>
  </r>
  <r>
    <x v="1"/>
    <x v="8"/>
  </r>
  <r>
    <x v="1"/>
    <x v="8"/>
  </r>
  <r>
    <x v="0"/>
    <x v="8"/>
  </r>
  <r>
    <x v="0"/>
    <x v="8"/>
  </r>
  <r>
    <x v="2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1"/>
    <x v="8"/>
  </r>
  <r>
    <x v="2"/>
    <x v="8"/>
  </r>
  <r>
    <x v="0"/>
    <x v="8"/>
  </r>
  <r>
    <x v="1"/>
    <x v="8"/>
  </r>
  <r>
    <x v="1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0"/>
    <x v="8"/>
  </r>
  <r>
    <x v="0"/>
    <x v="8"/>
  </r>
  <r>
    <x v="1"/>
    <x v="8"/>
  </r>
  <r>
    <x v="0"/>
    <x v="8"/>
  </r>
  <r>
    <x v="1"/>
    <x v="8"/>
  </r>
  <r>
    <x v="1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1"/>
    <x v="8"/>
  </r>
  <r>
    <x v="1"/>
    <x v="8"/>
  </r>
  <r>
    <x v="0"/>
    <x v="8"/>
  </r>
  <r>
    <x v="0"/>
    <x v="8"/>
  </r>
  <r>
    <x v="0"/>
    <x v="8"/>
  </r>
  <r>
    <x v="1"/>
    <x v="8"/>
  </r>
  <r>
    <x v="0"/>
    <x v="8"/>
  </r>
  <r>
    <x v="0"/>
    <x v="8"/>
  </r>
  <r>
    <x v="0"/>
    <x v="8"/>
  </r>
  <r>
    <x v="1"/>
    <x v="8"/>
  </r>
  <r>
    <x v="1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8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2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2"/>
    <x v="9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0"/>
    <x v="9"/>
  </r>
  <r>
    <x v="0"/>
    <x v="9"/>
  </r>
  <r>
    <x v="1"/>
    <x v="9"/>
  </r>
  <r>
    <x v="1"/>
    <x v="9"/>
  </r>
  <r>
    <x v="1"/>
    <x v="9"/>
  </r>
  <r>
    <x v="1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1"/>
    <x v="9"/>
  </r>
  <r>
    <x v="0"/>
    <x v="9"/>
  </r>
  <r>
    <x v="0"/>
    <x v="9"/>
  </r>
  <r>
    <x v="1"/>
    <x v="9"/>
  </r>
  <r>
    <x v="1"/>
    <x v="9"/>
  </r>
  <r>
    <x v="0"/>
    <x v="9"/>
  </r>
  <r>
    <x v="0"/>
    <x v="9"/>
  </r>
  <r>
    <x v="1"/>
    <x v="9"/>
  </r>
  <r>
    <x v="2"/>
    <x v="9"/>
  </r>
  <r>
    <x v="0"/>
    <x v="9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2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10"/>
  </r>
  <r>
    <x v="0"/>
    <x v="10"/>
  </r>
  <r>
    <x v="0"/>
    <x v="10"/>
  </r>
  <r>
    <x v="0"/>
    <x v="10"/>
  </r>
  <r>
    <x v="2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0"/>
    <x v="10"/>
  </r>
  <r>
    <x v="0"/>
    <x v="10"/>
  </r>
  <r>
    <x v="1"/>
    <x v="10"/>
  </r>
  <r>
    <x v="0"/>
    <x v="10"/>
  </r>
  <r>
    <x v="0"/>
    <x v="10"/>
  </r>
  <r>
    <x v="0"/>
    <x v="10"/>
  </r>
  <r>
    <x v="1"/>
    <x v="10"/>
  </r>
  <r>
    <x v="0"/>
    <x v="10"/>
  </r>
  <r>
    <x v="2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1"/>
    <x v="10"/>
  </r>
  <r>
    <x v="1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1"/>
    <x v="10"/>
  </r>
  <r>
    <x v="0"/>
    <x v="10"/>
  </r>
  <r>
    <x v="0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1"/>
    <x v="10"/>
  </r>
  <r>
    <x v="0"/>
    <x v="10"/>
  </r>
  <r>
    <x v="0"/>
    <x v="10"/>
  </r>
  <r>
    <x v="0"/>
    <x v="10"/>
  </r>
  <r>
    <x v="2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0"/>
    <x v="10"/>
  </r>
  <r>
    <x v="0"/>
    <x v="10"/>
  </r>
  <r>
    <x v="1"/>
    <x v="10"/>
  </r>
  <r>
    <x v="0"/>
    <x v="10"/>
  </r>
  <r>
    <x v="0"/>
    <x v="10"/>
  </r>
  <r>
    <x v="1"/>
    <x v="10"/>
  </r>
  <r>
    <x v="0"/>
    <x v="10"/>
  </r>
  <r>
    <x v="0"/>
    <x v="10"/>
  </r>
  <r>
    <x v="0"/>
    <x v="10"/>
  </r>
  <r>
    <x v="2"/>
    <x v="10"/>
  </r>
  <r>
    <x v="0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0"/>
    <x v="10"/>
  </r>
  <r>
    <x v="0"/>
    <x v="10"/>
  </r>
  <r>
    <x v="0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1"/>
    <x v="10"/>
  </r>
  <r>
    <x v="0"/>
    <x v="10"/>
  </r>
  <r>
    <x v="0"/>
    <x v="10"/>
  </r>
  <r>
    <x v="0"/>
    <x v="10"/>
  </r>
  <r>
    <x v="0"/>
    <x v="10"/>
  </r>
  <r>
    <x v="0"/>
    <x v="10"/>
  </r>
  <r>
    <x v="1"/>
    <x v="10"/>
  </r>
  <r>
    <x v="0"/>
    <x v="10"/>
  </r>
  <r>
    <x v="0"/>
    <x v="10"/>
  </r>
  <r>
    <x v="1"/>
    <x v="10"/>
  </r>
  <r>
    <x v="0"/>
    <x v="10"/>
  </r>
  <r>
    <x v="1"/>
    <x v="10"/>
  </r>
  <r>
    <x v="0"/>
    <x v="11"/>
  </r>
  <r>
    <x v="0"/>
    <x v="11"/>
  </r>
  <r>
    <x v="2"/>
    <x v="11"/>
  </r>
  <r>
    <x v="0"/>
    <x v="11"/>
  </r>
  <r>
    <x v="0"/>
    <x v="11"/>
  </r>
  <r>
    <x v="1"/>
    <x v="11"/>
  </r>
  <r>
    <x v="0"/>
    <x v="11"/>
  </r>
  <r>
    <x v="0"/>
    <x v="11"/>
  </r>
  <r>
    <x v="0"/>
    <x v="11"/>
  </r>
  <r>
    <x v="1"/>
    <x v="11"/>
  </r>
  <r>
    <x v="0"/>
    <x v="11"/>
  </r>
  <r>
    <x v="0"/>
    <x v="11"/>
  </r>
  <r>
    <x v="1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2"/>
    <x v="11"/>
  </r>
  <r>
    <x v="0"/>
    <x v="11"/>
  </r>
  <r>
    <x v="2"/>
    <x v="11"/>
  </r>
  <r>
    <x v="0"/>
    <x v="11"/>
  </r>
  <r>
    <x v="0"/>
    <x v="11"/>
  </r>
  <r>
    <x v="0"/>
    <x v="11"/>
  </r>
  <r>
    <x v="0"/>
    <x v="11"/>
  </r>
  <r>
    <x v="0"/>
    <x v="11"/>
  </r>
  <r>
    <x v="1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2"/>
    <x v="11"/>
  </r>
  <r>
    <x v="0"/>
    <x v="11"/>
  </r>
  <r>
    <x v="0"/>
    <x v="11"/>
  </r>
  <r>
    <x v="0"/>
    <x v="11"/>
  </r>
  <r>
    <x v="1"/>
    <x v="11"/>
  </r>
  <r>
    <x v="1"/>
    <x v="11"/>
  </r>
  <r>
    <x v="0"/>
    <x v="11"/>
  </r>
  <r>
    <x v="0"/>
    <x v="11"/>
  </r>
  <r>
    <x v="0"/>
    <x v="11"/>
  </r>
  <r>
    <x v="2"/>
    <x v="11"/>
  </r>
  <r>
    <x v="0"/>
    <x v="11"/>
  </r>
  <r>
    <x v="0"/>
    <x v="11"/>
  </r>
  <r>
    <x v="1"/>
    <x v="11"/>
  </r>
  <r>
    <x v="1"/>
    <x v="11"/>
  </r>
  <r>
    <x v="0"/>
    <x v="11"/>
  </r>
  <r>
    <x v="0"/>
    <x v="11"/>
  </r>
  <r>
    <x v="0"/>
    <x v="11"/>
  </r>
  <r>
    <x v="0"/>
    <x v="11"/>
  </r>
  <r>
    <x v="0"/>
    <x v="11"/>
  </r>
  <r>
    <x v="2"/>
    <x v="11"/>
  </r>
  <r>
    <x v="1"/>
    <x v="11"/>
  </r>
  <r>
    <x v="0"/>
    <x v="11"/>
  </r>
  <r>
    <x v="2"/>
    <x v="11"/>
  </r>
  <r>
    <x v="0"/>
    <x v="11"/>
  </r>
  <r>
    <x v="0"/>
    <x v="11"/>
  </r>
  <r>
    <x v="1"/>
    <x v="11"/>
  </r>
  <r>
    <x v="0"/>
    <x v="11"/>
  </r>
  <r>
    <x v="0"/>
    <x v="11"/>
  </r>
  <r>
    <x v="1"/>
    <x v="11"/>
  </r>
  <r>
    <x v="0"/>
    <x v="11"/>
  </r>
  <r>
    <x v="1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1"/>
    <x v="11"/>
  </r>
  <r>
    <x v="0"/>
    <x v="11"/>
  </r>
  <r>
    <x v="0"/>
    <x v="11"/>
  </r>
  <r>
    <x v="0"/>
    <x v="11"/>
  </r>
  <r>
    <x v="0"/>
    <x v="11"/>
  </r>
  <r>
    <x v="1"/>
    <x v="11"/>
  </r>
  <r>
    <x v="1"/>
    <x v="11"/>
  </r>
  <r>
    <x v="0"/>
    <x v="11"/>
  </r>
  <r>
    <x v="0"/>
    <x v="11"/>
  </r>
  <r>
    <x v="2"/>
    <x v="11"/>
  </r>
  <r>
    <x v="0"/>
    <x v="11"/>
  </r>
  <r>
    <x v="1"/>
    <x v="11"/>
  </r>
  <r>
    <x v="0"/>
    <x v="11"/>
  </r>
  <r>
    <x v="0"/>
    <x v="11"/>
  </r>
  <r>
    <x v="1"/>
    <x v="11"/>
  </r>
  <r>
    <x v="0"/>
    <x v="11"/>
  </r>
  <r>
    <x v="0"/>
    <x v="12"/>
  </r>
  <r>
    <x v="1"/>
    <x v="12"/>
  </r>
  <r>
    <x v="0"/>
    <x v="12"/>
  </r>
  <r>
    <x v="0"/>
    <x v="12"/>
  </r>
  <r>
    <x v="0"/>
    <x v="12"/>
  </r>
  <r>
    <x v="0"/>
    <x v="12"/>
  </r>
  <r>
    <x v="0"/>
    <x v="12"/>
  </r>
  <r>
    <x v="1"/>
    <x v="12"/>
  </r>
  <r>
    <x v="0"/>
    <x v="12"/>
  </r>
  <r>
    <x v="2"/>
    <x v="12"/>
  </r>
  <r>
    <x v="1"/>
    <x v="12"/>
  </r>
  <r>
    <x v="0"/>
    <x v="12"/>
  </r>
  <r>
    <x v="1"/>
    <x v="12"/>
  </r>
  <r>
    <x v="1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1"/>
    <x v="12"/>
  </r>
  <r>
    <x v="1"/>
    <x v="12"/>
  </r>
  <r>
    <x v="0"/>
    <x v="12"/>
  </r>
  <r>
    <x v="2"/>
    <x v="12"/>
  </r>
  <r>
    <x v="0"/>
    <x v="12"/>
  </r>
  <r>
    <x v="0"/>
    <x v="12"/>
  </r>
  <r>
    <x v="1"/>
    <x v="12"/>
  </r>
  <r>
    <x v="0"/>
    <x v="12"/>
  </r>
  <r>
    <x v="2"/>
    <x v="12"/>
  </r>
  <r>
    <x v="0"/>
    <x v="12"/>
  </r>
  <r>
    <x v="1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1"/>
    <x v="12"/>
  </r>
  <r>
    <x v="1"/>
    <x v="12"/>
  </r>
  <r>
    <x v="1"/>
    <x v="12"/>
  </r>
  <r>
    <x v="1"/>
    <x v="12"/>
  </r>
  <r>
    <x v="0"/>
    <x v="12"/>
  </r>
  <r>
    <x v="0"/>
    <x v="12"/>
  </r>
  <r>
    <x v="2"/>
    <x v="12"/>
  </r>
  <r>
    <x v="1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1"/>
    <x v="12"/>
  </r>
  <r>
    <x v="0"/>
    <x v="12"/>
  </r>
  <r>
    <x v="0"/>
    <x v="12"/>
  </r>
  <r>
    <x v="1"/>
    <x v="12"/>
  </r>
  <r>
    <x v="0"/>
    <x v="12"/>
  </r>
  <r>
    <x v="2"/>
    <x v="12"/>
  </r>
  <r>
    <x v="1"/>
    <x v="12"/>
  </r>
  <r>
    <x v="2"/>
    <x v="12"/>
  </r>
  <r>
    <x v="0"/>
    <x v="12"/>
  </r>
  <r>
    <x v="0"/>
    <x v="12"/>
  </r>
  <r>
    <x v="0"/>
    <x v="12"/>
  </r>
  <r>
    <x v="0"/>
    <x v="12"/>
  </r>
  <r>
    <x v="1"/>
    <x v="12"/>
  </r>
  <r>
    <x v="0"/>
    <x v="12"/>
  </r>
  <r>
    <x v="0"/>
    <x v="12"/>
  </r>
  <r>
    <x v="1"/>
    <x v="12"/>
  </r>
  <r>
    <x v="0"/>
    <x v="12"/>
  </r>
  <r>
    <x v="2"/>
    <x v="12"/>
  </r>
  <r>
    <x v="0"/>
    <x v="12"/>
  </r>
  <r>
    <x v="1"/>
    <x v="12"/>
  </r>
  <r>
    <x v="0"/>
    <x v="12"/>
  </r>
  <r>
    <x v="1"/>
    <x v="12"/>
  </r>
  <r>
    <x v="2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2"/>
    <x v="12"/>
  </r>
  <r>
    <x v="0"/>
    <x v="12"/>
  </r>
  <r>
    <x v="1"/>
    <x v="12"/>
  </r>
  <r>
    <x v="1"/>
    <x v="12"/>
  </r>
  <r>
    <x v="0"/>
    <x v="12"/>
  </r>
  <r>
    <x v="0"/>
    <x v="12"/>
  </r>
  <r>
    <x v="1"/>
    <x v="12"/>
  </r>
  <r>
    <x v="0"/>
    <x v="12"/>
  </r>
  <r>
    <x v="0"/>
    <x v="12"/>
  </r>
  <r>
    <x v="0"/>
    <x v="12"/>
  </r>
  <r>
    <x v="0"/>
    <x v="13"/>
  </r>
  <r>
    <x v="1"/>
    <x v="13"/>
  </r>
  <r>
    <x v="1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0"/>
    <x v="13"/>
  </r>
  <r>
    <x v="0"/>
    <x v="13"/>
  </r>
  <r>
    <x v="1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0"/>
    <x v="13"/>
  </r>
  <r>
    <x v="0"/>
    <x v="13"/>
  </r>
  <r>
    <x v="0"/>
    <x v="13"/>
  </r>
  <r>
    <x v="0"/>
    <x v="13"/>
  </r>
  <r>
    <x v="1"/>
    <x v="13"/>
  </r>
  <r>
    <x v="1"/>
    <x v="13"/>
  </r>
  <r>
    <x v="0"/>
    <x v="13"/>
  </r>
  <r>
    <x v="0"/>
    <x v="13"/>
  </r>
  <r>
    <x v="0"/>
    <x v="13"/>
  </r>
  <r>
    <x v="2"/>
    <x v="13"/>
  </r>
  <r>
    <x v="1"/>
    <x v="13"/>
  </r>
  <r>
    <x v="2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1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1"/>
    <x v="13"/>
  </r>
  <r>
    <x v="0"/>
    <x v="13"/>
  </r>
  <r>
    <x v="0"/>
    <x v="13"/>
  </r>
  <r>
    <x v="1"/>
    <x v="13"/>
  </r>
  <r>
    <x v="0"/>
    <x v="13"/>
  </r>
  <r>
    <x v="1"/>
    <x v="13"/>
  </r>
  <r>
    <x v="0"/>
    <x v="13"/>
  </r>
  <r>
    <x v="0"/>
    <x v="13"/>
  </r>
  <r>
    <x v="1"/>
    <x v="13"/>
  </r>
  <r>
    <x v="0"/>
    <x v="13"/>
  </r>
  <r>
    <x v="0"/>
    <x v="13"/>
  </r>
  <r>
    <x v="1"/>
    <x v="13"/>
  </r>
  <r>
    <x v="0"/>
    <x v="13"/>
  </r>
  <r>
    <x v="1"/>
    <x v="13"/>
  </r>
  <r>
    <x v="0"/>
    <x v="13"/>
  </r>
  <r>
    <x v="1"/>
    <x v="13"/>
  </r>
  <r>
    <x v="0"/>
    <x v="13"/>
  </r>
  <r>
    <x v="1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0"/>
    <x v="13"/>
  </r>
  <r>
    <x v="0"/>
    <x v="13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1"/>
    <x v="14"/>
  </r>
  <r>
    <x v="1"/>
    <x v="14"/>
  </r>
  <r>
    <x v="1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0"/>
    <x v="14"/>
  </r>
  <r>
    <x v="0"/>
    <x v="14"/>
  </r>
  <r>
    <x v="1"/>
    <x v="14"/>
  </r>
  <r>
    <x v="0"/>
    <x v="14"/>
  </r>
  <r>
    <x v="1"/>
    <x v="14"/>
  </r>
  <r>
    <x v="1"/>
    <x v="14"/>
  </r>
  <r>
    <x v="0"/>
    <x v="14"/>
  </r>
  <r>
    <x v="1"/>
    <x v="14"/>
  </r>
  <r>
    <x v="0"/>
    <x v="14"/>
  </r>
  <r>
    <x v="0"/>
    <x v="14"/>
  </r>
  <r>
    <x v="1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0"/>
    <x v="14"/>
  </r>
  <r>
    <x v="2"/>
    <x v="14"/>
  </r>
  <r>
    <x v="0"/>
    <x v="14"/>
  </r>
  <r>
    <x v="0"/>
    <x v="14"/>
  </r>
  <r>
    <x v="0"/>
    <x v="14"/>
  </r>
  <r>
    <x v="0"/>
    <x v="14"/>
  </r>
  <r>
    <x v="0"/>
    <x v="14"/>
  </r>
  <r>
    <x v="1"/>
    <x v="14"/>
  </r>
  <r>
    <x v="1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0"/>
    <x v="14"/>
  </r>
  <r>
    <x v="1"/>
    <x v="14"/>
  </r>
  <r>
    <x v="0"/>
    <x v="14"/>
  </r>
  <r>
    <x v="1"/>
    <x v="15"/>
  </r>
  <r>
    <x v="0"/>
    <x v="15"/>
  </r>
  <r>
    <x v="0"/>
    <x v="15"/>
  </r>
  <r>
    <x v="1"/>
    <x v="15"/>
  </r>
  <r>
    <x v="0"/>
    <x v="15"/>
  </r>
  <r>
    <x v="0"/>
    <x v="15"/>
  </r>
  <r>
    <x v="1"/>
    <x v="15"/>
  </r>
  <r>
    <x v="0"/>
    <x v="15"/>
  </r>
  <r>
    <x v="1"/>
    <x v="15"/>
  </r>
  <r>
    <x v="1"/>
    <x v="15"/>
  </r>
  <r>
    <x v="0"/>
    <x v="15"/>
  </r>
  <r>
    <x v="0"/>
    <x v="15"/>
  </r>
  <r>
    <x v="2"/>
    <x v="15"/>
  </r>
  <r>
    <x v="0"/>
    <x v="15"/>
  </r>
  <r>
    <x v="0"/>
    <x v="15"/>
  </r>
  <r>
    <x v="0"/>
    <x v="15"/>
  </r>
  <r>
    <x v="1"/>
    <x v="15"/>
  </r>
  <r>
    <x v="1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2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1"/>
    <x v="15"/>
  </r>
  <r>
    <x v="1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1"/>
    <x v="16"/>
  </r>
  <r>
    <x v="1"/>
    <x v="16"/>
  </r>
  <r>
    <x v="0"/>
    <x v="16"/>
  </r>
  <r>
    <x v="0"/>
    <x v="16"/>
  </r>
  <r>
    <x v="1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2"/>
    <x v="16"/>
  </r>
  <r>
    <x v="1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1"/>
    <x v="16"/>
  </r>
  <r>
    <x v="1"/>
    <x v="16"/>
  </r>
  <r>
    <x v="1"/>
    <x v="16"/>
  </r>
  <r>
    <x v="1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2"/>
    <x v="16"/>
  </r>
  <r>
    <x v="1"/>
    <x v="16"/>
  </r>
  <r>
    <x v="0"/>
    <x v="16"/>
  </r>
  <r>
    <x v="2"/>
    <x v="16"/>
  </r>
  <r>
    <x v="1"/>
    <x v="16"/>
  </r>
  <r>
    <x v="0"/>
    <x v="16"/>
  </r>
  <r>
    <x v="2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0"/>
    <x v="16"/>
  </r>
  <r>
    <x v="0"/>
    <x v="16"/>
  </r>
  <r>
    <x v="1"/>
    <x v="16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2"/>
    <x v="17"/>
  </r>
  <r>
    <x v="1"/>
    <x v="17"/>
  </r>
  <r>
    <x v="1"/>
    <x v="17"/>
  </r>
  <r>
    <x v="1"/>
    <x v="17"/>
  </r>
  <r>
    <x v="0"/>
    <x v="17"/>
  </r>
  <r>
    <x v="1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2"/>
    <x v="17"/>
  </r>
  <r>
    <x v="0"/>
    <x v="17"/>
  </r>
  <r>
    <x v="1"/>
    <x v="17"/>
  </r>
  <r>
    <x v="1"/>
    <x v="17"/>
  </r>
  <r>
    <x v="0"/>
    <x v="17"/>
  </r>
  <r>
    <x v="0"/>
    <x v="17"/>
  </r>
  <r>
    <x v="0"/>
    <x v="17"/>
  </r>
  <r>
    <x v="0"/>
    <x v="17"/>
  </r>
  <r>
    <x v="1"/>
    <x v="17"/>
  </r>
  <r>
    <x v="0"/>
    <x v="17"/>
  </r>
  <r>
    <x v="0"/>
    <x v="17"/>
  </r>
  <r>
    <x v="0"/>
    <x v="17"/>
  </r>
  <r>
    <x v="1"/>
    <x v="17"/>
  </r>
  <r>
    <x v="0"/>
    <x v="17"/>
  </r>
  <r>
    <x v="0"/>
    <x v="17"/>
  </r>
  <r>
    <x v="1"/>
    <x v="17"/>
  </r>
  <r>
    <x v="0"/>
    <x v="17"/>
  </r>
  <r>
    <x v="1"/>
    <x v="17"/>
  </r>
  <r>
    <x v="0"/>
    <x v="17"/>
  </r>
  <r>
    <x v="0"/>
    <x v="17"/>
  </r>
  <r>
    <x v="1"/>
    <x v="17"/>
  </r>
  <r>
    <x v="1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2"/>
    <x v="17"/>
  </r>
  <r>
    <x v="0"/>
    <x v="17"/>
  </r>
  <r>
    <x v="1"/>
    <x v="17"/>
  </r>
  <r>
    <x v="1"/>
    <x v="17"/>
  </r>
  <r>
    <x v="0"/>
    <x v="17"/>
  </r>
  <r>
    <x v="1"/>
    <x v="17"/>
  </r>
  <r>
    <x v="0"/>
    <x v="17"/>
  </r>
  <r>
    <x v="1"/>
    <x v="17"/>
  </r>
  <r>
    <x v="0"/>
    <x v="17"/>
  </r>
  <r>
    <x v="0"/>
    <x v="17"/>
  </r>
  <r>
    <x v="0"/>
    <x v="17"/>
  </r>
  <r>
    <x v="2"/>
    <x v="17"/>
  </r>
  <r>
    <x v="0"/>
    <x v="17"/>
  </r>
  <r>
    <x v="0"/>
    <x v="17"/>
  </r>
  <r>
    <x v="0"/>
    <x v="17"/>
  </r>
  <r>
    <x v="1"/>
    <x v="17"/>
  </r>
  <r>
    <x v="0"/>
    <x v="17"/>
  </r>
  <r>
    <x v="0"/>
    <x v="17"/>
  </r>
  <r>
    <x v="1"/>
    <x v="17"/>
  </r>
  <r>
    <x v="1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2"/>
    <x v="17"/>
  </r>
  <r>
    <x v="1"/>
    <x v="17"/>
  </r>
  <r>
    <x v="1"/>
    <x v="17"/>
  </r>
  <r>
    <x v="0"/>
    <x v="17"/>
  </r>
  <r>
    <x v="0"/>
    <x v="17"/>
  </r>
  <r>
    <x v="1"/>
    <x v="17"/>
  </r>
  <r>
    <x v="2"/>
    <x v="17"/>
  </r>
  <r>
    <x v="0"/>
    <x v="17"/>
  </r>
  <r>
    <x v="0"/>
    <x v="17"/>
  </r>
  <r>
    <x v="1"/>
    <x v="17"/>
  </r>
  <r>
    <x v="0"/>
    <x v="17"/>
  </r>
  <r>
    <x v="1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7"/>
  </r>
  <r>
    <x v="0"/>
    <x v="18"/>
  </r>
  <r>
    <x v="1"/>
    <x v="18"/>
  </r>
  <r>
    <x v="1"/>
    <x v="18"/>
  </r>
  <r>
    <x v="2"/>
    <x v="18"/>
  </r>
  <r>
    <x v="2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2"/>
    <x v="18"/>
  </r>
  <r>
    <x v="0"/>
    <x v="18"/>
  </r>
  <r>
    <x v="0"/>
    <x v="18"/>
  </r>
  <r>
    <x v="0"/>
    <x v="18"/>
  </r>
  <r>
    <x v="0"/>
    <x v="18"/>
  </r>
  <r>
    <x v="2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2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0"/>
    <x v="18"/>
  </r>
  <r>
    <x v="0"/>
    <x v="18"/>
  </r>
  <r>
    <x v="1"/>
    <x v="18"/>
  </r>
  <r>
    <x v="0"/>
    <x v="18"/>
  </r>
  <r>
    <x v="0"/>
    <x v="18"/>
  </r>
  <r>
    <x v="0"/>
    <x v="18"/>
  </r>
  <r>
    <x v="0"/>
    <x v="19"/>
  </r>
  <r>
    <x v="1"/>
    <x v="19"/>
  </r>
  <r>
    <x v="0"/>
    <x v="19"/>
  </r>
  <r>
    <x v="0"/>
    <x v="19"/>
  </r>
  <r>
    <x v="0"/>
    <x v="19"/>
  </r>
  <r>
    <x v="1"/>
    <x v="19"/>
  </r>
  <r>
    <x v="2"/>
    <x v="19"/>
  </r>
  <r>
    <x v="0"/>
    <x v="19"/>
  </r>
  <r>
    <x v="0"/>
    <x v="19"/>
  </r>
  <r>
    <x v="0"/>
    <x v="19"/>
  </r>
  <r>
    <x v="1"/>
    <x v="19"/>
  </r>
  <r>
    <x v="1"/>
    <x v="19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1"/>
    <x v="19"/>
  </r>
  <r>
    <x v="1"/>
    <x v="19"/>
  </r>
  <r>
    <x v="0"/>
    <x v="19"/>
  </r>
  <r>
    <x v="0"/>
    <x v="19"/>
  </r>
  <r>
    <x v="1"/>
    <x v="19"/>
  </r>
  <r>
    <x v="2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2"/>
    <x v="19"/>
  </r>
  <r>
    <x v="0"/>
    <x v="19"/>
  </r>
  <r>
    <x v="0"/>
    <x v="19"/>
  </r>
  <r>
    <x v="1"/>
    <x v="19"/>
  </r>
  <r>
    <x v="1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0"/>
    <x v="19"/>
  </r>
  <r>
    <x v="2"/>
    <x v="19"/>
  </r>
  <r>
    <x v="0"/>
    <x v="19"/>
  </r>
  <r>
    <x v="0"/>
    <x v="19"/>
  </r>
  <r>
    <x v="0"/>
    <x v="19"/>
  </r>
  <r>
    <x v="1"/>
    <x v="19"/>
  </r>
  <r>
    <x v="1"/>
    <x v="19"/>
  </r>
  <r>
    <x v="2"/>
    <x v="19"/>
  </r>
  <r>
    <x v="0"/>
    <x v="19"/>
  </r>
  <r>
    <x v="0"/>
    <x v="19"/>
  </r>
  <r>
    <x v="1"/>
    <x v="19"/>
  </r>
  <r>
    <x v="0"/>
    <x v="19"/>
  </r>
  <r>
    <x v="1"/>
    <x v="19"/>
  </r>
  <r>
    <x v="0"/>
    <x v="19"/>
  </r>
  <r>
    <x v="0"/>
    <x v="19"/>
  </r>
  <r>
    <x v="1"/>
    <x v="19"/>
  </r>
  <r>
    <x v="1"/>
    <x v="19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0"/>
    <x v="19"/>
  </r>
  <r>
    <x v="2"/>
    <x v="19"/>
  </r>
  <r>
    <x v="1"/>
    <x v="19"/>
  </r>
  <r>
    <x v="0"/>
    <x v="19"/>
  </r>
  <r>
    <x v="0"/>
    <x v="19"/>
  </r>
  <r>
    <x v="0"/>
    <x v="19"/>
  </r>
  <r>
    <x v="2"/>
    <x v="19"/>
  </r>
  <r>
    <x v="2"/>
    <x v="19"/>
  </r>
  <r>
    <x v="0"/>
    <x v="19"/>
  </r>
  <r>
    <x v="1"/>
    <x v="19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2"/>
    <x v="20"/>
  </r>
  <r>
    <x v="0"/>
    <x v="20"/>
  </r>
  <r>
    <x v="0"/>
    <x v="20"/>
  </r>
  <r>
    <x v="1"/>
    <x v="20"/>
  </r>
  <r>
    <x v="1"/>
    <x v="20"/>
  </r>
  <r>
    <x v="1"/>
    <x v="20"/>
  </r>
  <r>
    <x v="0"/>
    <x v="20"/>
  </r>
  <r>
    <x v="0"/>
    <x v="20"/>
  </r>
  <r>
    <x v="0"/>
    <x v="20"/>
  </r>
  <r>
    <x v="1"/>
    <x v="20"/>
  </r>
  <r>
    <x v="2"/>
    <x v="20"/>
  </r>
  <r>
    <x v="2"/>
    <x v="20"/>
  </r>
  <r>
    <x v="0"/>
    <x v="20"/>
  </r>
  <r>
    <x v="0"/>
    <x v="20"/>
  </r>
  <r>
    <x v="0"/>
    <x v="20"/>
  </r>
  <r>
    <x v="1"/>
    <x v="20"/>
  </r>
  <r>
    <x v="0"/>
    <x v="20"/>
  </r>
  <r>
    <x v="2"/>
    <x v="20"/>
  </r>
  <r>
    <x v="0"/>
    <x v="20"/>
  </r>
  <r>
    <x v="1"/>
    <x v="20"/>
  </r>
  <r>
    <x v="1"/>
    <x v="20"/>
  </r>
  <r>
    <x v="1"/>
    <x v="20"/>
  </r>
  <r>
    <x v="0"/>
    <x v="20"/>
  </r>
  <r>
    <x v="1"/>
    <x v="20"/>
  </r>
  <r>
    <x v="0"/>
    <x v="20"/>
  </r>
  <r>
    <x v="2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1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2"/>
    <x v="20"/>
  </r>
  <r>
    <x v="1"/>
    <x v="20"/>
  </r>
  <r>
    <x v="0"/>
    <x v="20"/>
  </r>
  <r>
    <x v="0"/>
    <x v="20"/>
  </r>
  <r>
    <x v="2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2"/>
    <x v="20"/>
  </r>
  <r>
    <x v="1"/>
    <x v="20"/>
  </r>
  <r>
    <x v="0"/>
    <x v="20"/>
  </r>
  <r>
    <x v="0"/>
    <x v="20"/>
  </r>
  <r>
    <x v="0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8">
  <r>
    <x v="0"/>
    <d v="2017-07-03T00:00:00"/>
    <d v="1899-12-30T08:04:54"/>
    <d v="1899-12-30T08:21:26"/>
    <d v="1899-12-30T00:16:32"/>
  </r>
  <r>
    <x v="0"/>
    <d v="2017-07-03T00:00:00"/>
    <d v="1899-12-30T08:10:08"/>
    <d v="1899-12-30T08:23:46"/>
    <d v="1899-12-30T00:13:38"/>
  </r>
  <r>
    <x v="0"/>
    <d v="2017-07-03T00:00:00"/>
    <d v="1899-12-30T08:10:13"/>
    <d v="1899-12-30T08:24:40"/>
    <d v="1899-12-30T00:14:27"/>
  </r>
  <r>
    <x v="0"/>
    <d v="2017-07-03T00:00:00"/>
    <d v="1899-12-30T08:14:49"/>
    <d v="1899-12-30T08:21:33"/>
    <d v="1899-12-30T00:06:44"/>
  </r>
  <r>
    <x v="0"/>
    <d v="2017-07-03T00:00:00"/>
    <d v="1899-12-30T08:15:21"/>
    <d v="1899-12-30T08:22:10"/>
    <d v="1899-12-30T00:06:49"/>
  </r>
  <r>
    <x v="0"/>
    <d v="2017-07-03T00:00:00"/>
    <d v="1899-12-30T08:18:16"/>
    <d v="1899-12-30T08:23:34"/>
    <d v="1899-12-30T00:05:18"/>
  </r>
  <r>
    <x v="0"/>
    <d v="2017-07-03T00:00:00"/>
    <d v="1899-12-30T08:22:17"/>
    <d v="1899-12-30T08:24:20"/>
    <d v="1899-12-30T00:02:03"/>
  </r>
  <r>
    <x v="0"/>
    <d v="2017-07-03T00:00:00"/>
    <d v="1899-12-30T08:28:39"/>
    <d v="1899-12-30T08:37:57"/>
    <d v="1899-12-30T00:09:18"/>
  </r>
  <r>
    <x v="0"/>
    <d v="2017-07-03T00:00:00"/>
    <d v="1899-12-30T08:34:25"/>
    <d v="1899-12-30T08:48:28"/>
    <d v="1899-12-30T00:14:03"/>
  </r>
  <r>
    <x v="0"/>
    <d v="2017-07-03T00:00:00"/>
    <d v="1899-12-30T08:40:58"/>
    <d v="1899-12-30T08:56:33"/>
    <d v="1899-12-30T00:15:35"/>
  </r>
  <r>
    <x v="0"/>
    <d v="2017-07-03T00:00:00"/>
    <d v="1899-12-30T08:48:31"/>
    <d v="1899-12-30T09:00:59"/>
    <d v="1899-12-30T00:12:28"/>
  </r>
  <r>
    <x v="0"/>
    <d v="2017-07-03T00:00:00"/>
    <d v="1899-12-30T08:50:48"/>
    <d v="1899-12-30T09:00:47"/>
    <d v="1899-12-30T00:09:59"/>
  </r>
  <r>
    <x v="0"/>
    <d v="2017-07-03T00:00:00"/>
    <d v="1899-12-30T08:53:03"/>
    <d v="1899-12-30T08:57:32"/>
    <d v="1899-12-30T00:04:29"/>
  </r>
  <r>
    <x v="0"/>
    <d v="2017-07-03T00:00:00"/>
    <d v="1899-12-30T09:00:14"/>
    <d v="1899-12-30T09:13:19"/>
    <d v="1899-12-30T00:13:05"/>
  </r>
  <r>
    <x v="0"/>
    <d v="2017-07-03T00:00:00"/>
    <d v="1899-12-30T09:03:10"/>
    <d v="1899-12-30T09:14:36"/>
    <d v="1899-12-30T00:11:26"/>
  </r>
  <r>
    <x v="0"/>
    <d v="2017-07-03T00:00:00"/>
    <d v="1899-12-30T09:07:01"/>
    <d v="1899-12-30T09:18:45"/>
    <d v="1899-12-30T00:11:44"/>
  </r>
  <r>
    <x v="0"/>
    <d v="2017-07-03T00:00:00"/>
    <d v="1899-12-30T09:08:59"/>
    <d v="1899-12-30T09:12:49"/>
    <d v="1899-12-30T00:03:50"/>
  </r>
  <r>
    <x v="0"/>
    <d v="2017-07-03T00:00:00"/>
    <d v="1899-12-30T09:17:18"/>
    <d v="1899-12-30T09:27:51"/>
    <d v="1899-12-30T00:10:33"/>
  </r>
  <r>
    <x v="0"/>
    <d v="2017-07-03T00:00:00"/>
    <d v="1899-12-30T09:24:13"/>
    <d v="1899-12-30T09:40:49"/>
    <d v="1899-12-30T00:16:36"/>
  </r>
  <r>
    <x v="0"/>
    <d v="2017-07-03T00:00:00"/>
    <d v="1899-12-30T09:29:50"/>
    <d v="1899-12-30T09:33:46"/>
    <d v="1899-12-30T00:03:56"/>
  </r>
  <r>
    <x v="0"/>
    <d v="2017-07-03T00:00:00"/>
    <d v="1899-12-30T09:34:13"/>
    <d v="1899-12-30T09:38:59"/>
    <d v="1899-12-30T00:04:46"/>
  </r>
  <r>
    <x v="0"/>
    <d v="2017-07-03T00:00:00"/>
    <d v="1899-12-30T09:36:31"/>
    <d v="1899-12-30T09:52:48"/>
    <d v="1899-12-30T00:16:17"/>
  </r>
  <r>
    <x v="0"/>
    <d v="2017-07-03T00:00:00"/>
    <d v="1899-12-30T09:43:34"/>
    <d v="1899-12-30T09:51:06"/>
    <d v="1899-12-30T00:07:32"/>
  </r>
  <r>
    <x v="0"/>
    <d v="2017-07-03T00:00:00"/>
    <d v="1899-12-30T09:50:07"/>
    <d v="1899-12-30T09:50:55"/>
    <d v="1899-12-30T00:00:48"/>
  </r>
  <r>
    <x v="0"/>
    <d v="2017-07-03T00:00:00"/>
    <d v="1899-12-30T09:57:42"/>
    <d v="1899-12-30T10:13:45"/>
    <d v="1899-12-30T00:16:03"/>
  </r>
  <r>
    <x v="0"/>
    <d v="2017-07-03T00:00:00"/>
    <d v="1899-12-30T09:59:13"/>
    <d v="1899-12-30T10:01:18"/>
    <d v="1899-12-30T00:02:05"/>
  </r>
  <r>
    <x v="0"/>
    <d v="2017-07-03T00:00:00"/>
    <d v="1899-12-30T10:01:23"/>
    <d v="1899-12-30T10:10:12"/>
    <d v="1899-12-30T00:08:49"/>
  </r>
  <r>
    <x v="0"/>
    <d v="2017-07-03T00:00:00"/>
    <d v="1899-12-30T10:05:56"/>
    <d v="1899-12-30T10:22:19"/>
    <d v="1899-12-30T00:16:23"/>
  </r>
  <r>
    <x v="0"/>
    <d v="2017-07-03T00:00:00"/>
    <d v="1899-12-30T10:11:15"/>
    <d v="1899-12-30T10:14:19"/>
    <d v="1899-12-30T00:03:04"/>
  </r>
  <r>
    <x v="0"/>
    <d v="2017-07-03T00:00:00"/>
    <d v="1899-12-30T10:16:34"/>
    <d v="1899-12-30T10:29:10"/>
    <d v="1899-12-30T00:12:36"/>
  </r>
  <r>
    <x v="0"/>
    <d v="2017-07-03T00:00:00"/>
    <d v="1899-12-30T10:19:45"/>
    <d v="1899-12-30T10:26:19"/>
    <d v="1899-12-30T00:06:34"/>
  </r>
  <r>
    <x v="0"/>
    <d v="2017-07-03T00:00:00"/>
    <d v="1899-12-30T10:20:37"/>
    <d v="1899-12-30T10:29:59"/>
    <d v="1899-12-30T00:09:22"/>
  </r>
  <r>
    <x v="0"/>
    <d v="2017-07-03T00:00:00"/>
    <d v="1899-12-30T10:27:45"/>
    <d v="1899-12-30T10:39:37"/>
    <d v="1899-12-30T00:11:52"/>
  </r>
  <r>
    <x v="0"/>
    <d v="2017-07-03T00:00:00"/>
    <d v="1899-12-30T10:31:04"/>
    <d v="1899-12-30T10:32:21"/>
    <d v="1899-12-30T00:01:17"/>
  </r>
  <r>
    <x v="0"/>
    <d v="2017-07-03T00:00:00"/>
    <d v="1899-12-30T10:38:07"/>
    <d v="1899-12-30T10:52:20"/>
    <d v="1899-12-30T00:14:13"/>
  </r>
  <r>
    <x v="0"/>
    <d v="2017-07-03T00:00:00"/>
    <d v="1899-12-30T10:44:49"/>
    <d v="1899-12-30T10:47:59"/>
    <d v="1899-12-30T00:03:10"/>
  </r>
  <r>
    <x v="0"/>
    <d v="2017-07-03T00:00:00"/>
    <d v="1899-12-30T10:47:13"/>
    <d v="1899-12-30T11:02:34"/>
    <d v="1899-12-30T00:15:21"/>
  </r>
  <r>
    <x v="0"/>
    <d v="2017-07-03T00:00:00"/>
    <d v="1899-12-30T10:51:54"/>
    <d v="1899-12-30T10:56:56"/>
    <d v="1899-12-30T00:05:02"/>
  </r>
  <r>
    <x v="0"/>
    <d v="2017-07-03T00:00:00"/>
    <d v="1899-12-30T10:55:07"/>
    <d v="1899-12-30T10:56:10"/>
    <d v="1899-12-30T00:01:03"/>
  </r>
  <r>
    <x v="0"/>
    <d v="2017-07-03T00:00:00"/>
    <d v="1899-12-30T10:56:46"/>
    <d v="1899-12-30T11:06:56"/>
    <d v="1899-12-30T00:10:10"/>
  </r>
  <r>
    <x v="0"/>
    <d v="2017-07-03T00:00:00"/>
    <d v="1899-12-30T11:04:35"/>
    <d v="1899-12-30T11:10:16"/>
    <d v="1899-12-30T00:05:41"/>
  </r>
  <r>
    <x v="0"/>
    <d v="2017-07-03T00:00:00"/>
    <d v="1899-12-30T11:04:38"/>
    <d v="1899-12-30T11:13:26"/>
    <d v="1899-12-30T00:08:48"/>
  </r>
  <r>
    <x v="0"/>
    <d v="2017-07-03T00:00:00"/>
    <d v="1899-12-30T11:05:38"/>
    <d v="1899-12-30T11:08:01"/>
    <d v="1899-12-30T00:02:23"/>
  </r>
  <r>
    <x v="0"/>
    <d v="2017-07-03T00:00:00"/>
    <d v="1899-12-30T11:13:26"/>
    <d v="1899-12-30T11:26:35"/>
    <d v="1899-12-30T00:13:09"/>
  </r>
  <r>
    <x v="0"/>
    <d v="2017-07-03T00:00:00"/>
    <d v="1899-12-30T11:18:36"/>
    <d v="1899-12-30T11:29:21"/>
    <d v="1899-12-30T00:10:45"/>
  </r>
  <r>
    <x v="0"/>
    <d v="2017-07-03T00:00:00"/>
    <d v="1899-12-30T11:25:13"/>
    <d v="1899-12-30T11:38:40"/>
    <d v="1899-12-30T00:13:27"/>
  </r>
  <r>
    <x v="0"/>
    <d v="2017-07-03T00:00:00"/>
    <d v="1899-12-30T11:32:20"/>
    <d v="1899-12-30T11:39:08"/>
    <d v="1899-12-30T00:06:48"/>
  </r>
  <r>
    <x v="0"/>
    <d v="2017-07-03T00:00:00"/>
    <d v="1899-12-30T11:32:59"/>
    <d v="1899-12-30T11:49:22"/>
    <d v="1899-12-30T00:16:23"/>
  </r>
  <r>
    <x v="0"/>
    <d v="2017-07-03T00:00:00"/>
    <d v="1899-12-30T11:34:52"/>
    <d v="1899-12-30T11:41:51"/>
    <d v="1899-12-30T00:06:59"/>
  </r>
  <r>
    <x v="0"/>
    <d v="2017-07-03T00:00:00"/>
    <d v="1899-12-30T11:38:15"/>
    <d v="1899-12-30T11:41:47"/>
    <d v="1899-12-30T00:03:32"/>
  </r>
  <r>
    <x v="0"/>
    <d v="2017-07-03T00:00:00"/>
    <d v="1899-12-30T11:46:23"/>
    <d v="1899-12-30T11:49:13"/>
    <d v="1899-12-30T00:02:50"/>
  </r>
  <r>
    <x v="0"/>
    <d v="2017-07-03T00:00:00"/>
    <d v="1899-12-30T11:49:42"/>
    <d v="1899-12-30T12:05:06"/>
    <d v="1899-12-30T00:15:24"/>
  </r>
  <r>
    <x v="0"/>
    <d v="2017-07-03T00:00:00"/>
    <d v="1899-12-30T11:58:01"/>
    <d v="1899-12-30T12:04:08"/>
    <d v="1899-12-30T00:06:07"/>
  </r>
  <r>
    <x v="0"/>
    <d v="2017-07-03T00:00:00"/>
    <d v="1899-12-30T12:01:17"/>
    <d v="1899-12-30T12:12:37"/>
    <d v="1899-12-30T00:11:20"/>
  </r>
  <r>
    <x v="0"/>
    <d v="2017-07-03T00:00:00"/>
    <d v="1899-12-30T12:07:55"/>
    <d v="1899-12-30T12:14:26"/>
    <d v="1899-12-30T00:06:31"/>
  </r>
  <r>
    <x v="0"/>
    <d v="2017-07-03T00:00:00"/>
    <d v="1899-12-30T12:13:07"/>
    <d v="1899-12-30T12:13:24"/>
    <d v="1899-12-30T00:00:17"/>
  </r>
  <r>
    <x v="0"/>
    <d v="2017-07-03T00:00:00"/>
    <d v="1899-12-30T12:18:11"/>
    <d v="1899-12-30T12:20:32"/>
    <d v="1899-12-30T00:02:21"/>
  </r>
  <r>
    <x v="0"/>
    <d v="2017-07-03T00:00:00"/>
    <d v="1899-12-30T12:25:20"/>
    <d v="1899-12-30T12:29:07"/>
    <d v="1899-12-30T00:03:47"/>
  </r>
  <r>
    <x v="0"/>
    <d v="2017-07-03T00:00:00"/>
    <d v="1899-12-30T12:31:56"/>
    <d v="1899-12-30T12:42:02"/>
    <d v="1899-12-30T00:10:06"/>
  </r>
  <r>
    <x v="0"/>
    <d v="2017-07-03T00:00:00"/>
    <d v="1899-12-30T12:35:12"/>
    <d v="1899-12-30T12:38:37"/>
    <d v="1899-12-30T00:03:25"/>
  </r>
  <r>
    <x v="0"/>
    <d v="2017-07-03T00:00:00"/>
    <d v="1899-12-30T12:37:15"/>
    <d v="1899-12-30T12:50:51"/>
    <d v="1899-12-30T00:13:36"/>
  </r>
  <r>
    <x v="0"/>
    <d v="2017-07-03T00:00:00"/>
    <d v="1899-12-30T12:43:24"/>
    <d v="1899-12-30T12:53:23"/>
    <d v="1899-12-30T00:09:59"/>
  </r>
  <r>
    <x v="0"/>
    <d v="2017-07-03T00:00:00"/>
    <d v="1899-12-30T12:50:12"/>
    <d v="1899-12-30T12:54:06"/>
    <d v="1899-12-30T00:03:54"/>
  </r>
  <r>
    <x v="0"/>
    <d v="2017-07-03T00:00:00"/>
    <d v="1899-12-30T12:50:14"/>
    <d v="1899-12-30T12:50:44"/>
    <d v="1899-12-30T00:00:30"/>
  </r>
  <r>
    <x v="0"/>
    <d v="2017-07-03T00:00:00"/>
    <d v="1899-12-30T12:51:39"/>
    <d v="1899-12-30T13:02:21"/>
    <d v="1899-12-30T00:10:42"/>
  </r>
  <r>
    <x v="0"/>
    <d v="2017-07-03T00:00:00"/>
    <d v="1899-12-30T12:57:50"/>
    <d v="1899-12-30T13:01:53"/>
    <d v="1899-12-30T00:04:03"/>
  </r>
  <r>
    <x v="0"/>
    <d v="2017-07-03T00:00:00"/>
    <d v="1899-12-30T13:01:38"/>
    <d v="1899-12-30T13:04:29"/>
    <d v="1899-12-30T00:02:51"/>
  </r>
  <r>
    <x v="0"/>
    <d v="2017-07-03T00:00:00"/>
    <d v="1899-12-30T13:09:49"/>
    <d v="1899-12-30T13:23:21"/>
    <d v="1899-12-30T00:13:32"/>
  </r>
  <r>
    <x v="0"/>
    <d v="2017-07-03T00:00:00"/>
    <d v="1899-12-30T13:16:05"/>
    <d v="1899-12-30T13:22:54"/>
    <d v="1899-12-30T00:06:49"/>
  </r>
  <r>
    <x v="0"/>
    <d v="2017-07-03T00:00:00"/>
    <d v="1899-12-30T13:20:18"/>
    <d v="1899-12-30T13:31:20"/>
    <d v="1899-12-30T00:11:02"/>
  </r>
  <r>
    <x v="0"/>
    <d v="2017-07-03T00:00:00"/>
    <d v="1899-12-30T13:22:24"/>
    <d v="1899-12-30T13:23:20"/>
    <d v="1899-12-30T00:00:56"/>
  </r>
  <r>
    <x v="0"/>
    <d v="2017-07-03T00:00:00"/>
    <d v="1899-12-30T13:23:34"/>
    <d v="1899-12-30T13:28:55"/>
    <d v="1899-12-30T00:05:21"/>
  </r>
  <r>
    <x v="0"/>
    <d v="2017-07-03T00:00:00"/>
    <d v="1899-12-30T13:24:48"/>
    <d v="1899-12-30T13:37:08"/>
    <d v="1899-12-30T00:12:20"/>
  </r>
  <r>
    <x v="0"/>
    <d v="2017-07-03T00:00:00"/>
    <d v="1899-12-30T13:32:57"/>
    <d v="1899-12-30T13:33:00"/>
    <d v="1899-12-30T00:00:03"/>
  </r>
  <r>
    <x v="0"/>
    <d v="2017-07-03T00:00:00"/>
    <d v="1899-12-30T13:34:24"/>
    <d v="1899-12-30T13:34:26"/>
    <d v="1899-12-30T00:00:02"/>
  </r>
  <r>
    <x v="0"/>
    <d v="2017-07-03T00:00:00"/>
    <d v="1899-12-30T13:37:56"/>
    <d v="1899-12-30T13:42:09"/>
    <d v="1899-12-30T00:04:13"/>
  </r>
  <r>
    <x v="0"/>
    <d v="2017-07-03T00:00:00"/>
    <d v="1899-12-30T13:42:50"/>
    <d v="1899-12-30T13:48:41"/>
    <d v="1899-12-30T00:05:51"/>
  </r>
  <r>
    <x v="0"/>
    <d v="2017-07-03T00:00:00"/>
    <d v="1899-12-30T13:43:20"/>
    <d v="1899-12-30T13:56:09"/>
    <d v="1899-12-30T00:12:49"/>
  </r>
  <r>
    <x v="0"/>
    <d v="2017-07-03T00:00:00"/>
    <d v="1899-12-30T13:50:03"/>
    <d v="1899-12-30T13:55:06"/>
    <d v="1899-12-30T00:05:03"/>
  </r>
  <r>
    <x v="0"/>
    <d v="2017-07-03T00:00:00"/>
    <d v="1899-12-30T13:54:36"/>
    <d v="1899-12-30T13:56:01"/>
    <d v="1899-12-30T00:01:25"/>
  </r>
  <r>
    <x v="0"/>
    <d v="2017-07-03T00:00:00"/>
    <d v="1899-12-30T13:57:58"/>
    <d v="1899-12-30T14:11:08"/>
    <d v="1899-12-30T00:13:10"/>
  </r>
  <r>
    <x v="0"/>
    <d v="2017-07-03T00:00:00"/>
    <d v="1899-12-30T14:01:10"/>
    <d v="1899-12-30T14:04:04"/>
    <d v="1899-12-30T00:02:54"/>
  </r>
  <r>
    <x v="0"/>
    <d v="2017-07-03T00:00:00"/>
    <d v="1899-12-30T14:05:16"/>
    <d v="1899-12-30T14:10:28"/>
    <d v="1899-12-30T00:05:12"/>
  </r>
  <r>
    <x v="0"/>
    <d v="2017-07-03T00:00:00"/>
    <d v="1899-12-30T14:09:58"/>
    <d v="1899-12-30T14:17:02"/>
    <d v="1899-12-30T00:07:04"/>
  </r>
  <r>
    <x v="0"/>
    <d v="2017-07-03T00:00:00"/>
    <d v="1899-12-30T14:14:16"/>
    <d v="1899-12-30T14:28:13"/>
    <d v="1899-12-30T00:13:57"/>
  </r>
  <r>
    <x v="0"/>
    <d v="2017-07-03T00:00:00"/>
    <d v="1899-12-30T14:19:50"/>
    <d v="1899-12-30T14:24:29"/>
    <d v="1899-12-30T00:04:39"/>
  </r>
  <r>
    <x v="0"/>
    <d v="2017-07-03T00:00:00"/>
    <d v="1899-12-30T14:26:50"/>
    <d v="1899-12-30T14:42:08"/>
    <d v="1899-12-30T00:15:18"/>
  </r>
  <r>
    <x v="0"/>
    <d v="2017-07-03T00:00:00"/>
    <d v="1899-12-30T14:28:31"/>
    <d v="1899-12-30T14:35:01"/>
    <d v="1899-12-30T00:06:30"/>
  </r>
  <r>
    <x v="0"/>
    <d v="2017-07-03T00:00:00"/>
    <d v="1899-12-30T14:34:51"/>
    <d v="1899-12-30T14:40:08"/>
    <d v="1899-12-30T00:05:17"/>
  </r>
  <r>
    <x v="0"/>
    <d v="2017-07-03T00:00:00"/>
    <d v="1899-12-30T14:41:54"/>
    <d v="1899-12-30T14:56:39"/>
    <d v="1899-12-30T00:14:45"/>
  </r>
  <r>
    <x v="0"/>
    <d v="2017-07-03T00:00:00"/>
    <d v="1899-12-30T14:44:23"/>
    <d v="1899-12-30T14:44:45"/>
    <d v="1899-12-30T00:00:22"/>
  </r>
  <r>
    <x v="0"/>
    <d v="2017-07-03T00:00:00"/>
    <d v="1899-12-30T14:44:52"/>
    <d v="1899-12-30T14:58:47"/>
    <d v="1899-12-30T00:13:55"/>
  </r>
  <r>
    <x v="0"/>
    <d v="2017-07-03T00:00:00"/>
    <d v="1899-12-30T14:45:56"/>
    <d v="1899-12-30T14:56:01"/>
    <d v="1899-12-30T00:10:05"/>
  </r>
  <r>
    <x v="0"/>
    <d v="2017-07-03T00:00:00"/>
    <d v="1899-12-30T14:47:24"/>
    <d v="1899-12-30T15:02:55"/>
    <d v="1899-12-30T00:15:31"/>
  </r>
  <r>
    <x v="0"/>
    <d v="2017-07-03T00:00:00"/>
    <d v="1899-12-30T14:49:27"/>
    <d v="1899-12-30T14:57:43"/>
    <d v="1899-12-30T00:08:16"/>
  </r>
  <r>
    <x v="0"/>
    <d v="2017-07-03T00:00:00"/>
    <d v="1899-12-30T14:55:19"/>
    <d v="1899-12-30T14:55:46"/>
    <d v="1899-12-30T00:00:27"/>
  </r>
  <r>
    <x v="0"/>
    <d v="2017-07-03T00:00:00"/>
    <d v="1899-12-30T15:02:06"/>
    <d v="1899-12-30T15:18:37"/>
    <d v="1899-12-30T00:16:31"/>
  </r>
  <r>
    <x v="0"/>
    <d v="2017-07-04T00:00:00"/>
    <d v="1899-12-30T08:04:29"/>
    <d v="1899-12-30T08:07:56"/>
    <d v="1899-12-30T00:03:27"/>
  </r>
  <r>
    <x v="0"/>
    <d v="2017-07-04T00:00:00"/>
    <d v="1899-12-30T08:08:48"/>
    <d v="1899-12-30T08:25:14"/>
    <d v="1899-12-30T00:16:26"/>
  </r>
  <r>
    <x v="0"/>
    <d v="2017-07-04T00:00:00"/>
    <d v="1899-12-30T08:16:53"/>
    <d v="1899-12-30T08:29:42"/>
    <d v="1899-12-30T00:12:49"/>
  </r>
  <r>
    <x v="0"/>
    <d v="2017-07-04T00:00:00"/>
    <d v="1899-12-30T08:25:02"/>
    <d v="1899-12-30T08:41:22"/>
    <d v="1899-12-30T00:16:20"/>
  </r>
  <r>
    <x v="0"/>
    <d v="2017-07-04T00:00:00"/>
    <d v="1899-12-30T08:29:22"/>
    <d v="1899-12-30T08:37:49"/>
    <d v="1899-12-30T00:08:27"/>
  </r>
  <r>
    <x v="0"/>
    <d v="2017-07-04T00:00:00"/>
    <d v="1899-12-30T08:33:25"/>
    <d v="1899-12-30T08:39:18"/>
    <d v="1899-12-30T00:05:53"/>
  </r>
  <r>
    <x v="0"/>
    <d v="2017-07-04T00:00:00"/>
    <d v="1899-12-30T08:36:15"/>
    <d v="1899-12-30T08:43:45"/>
    <d v="1899-12-30T00:07:30"/>
  </r>
  <r>
    <x v="0"/>
    <d v="2017-07-04T00:00:00"/>
    <d v="1899-12-30T08:38:12"/>
    <d v="1899-12-30T08:52:15"/>
    <d v="1899-12-30T00:14:03"/>
  </r>
  <r>
    <x v="0"/>
    <d v="2017-07-04T00:00:00"/>
    <d v="1899-12-30T08:45:06"/>
    <d v="1899-12-30T08:45:58"/>
    <d v="1899-12-30T00:00:52"/>
  </r>
  <r>
    <x v="0"/>
    <d v="2017-07-04T00:00:00"/>
    <d v="1899-12-30T08:53:00"/>
    <d v="1899-12-30T09:07:41"/>
    <d v="1899-12-30T00:14:41"/>
  </r>
  <r>
    <x v="0"/>
    <d v="2017-07-04T00:00:00"/>
    <d v="1899-12-30T08:57:01"/>
    <d v="1899-12-30T09:12:49"/>
    <d v="1899-12-30T00:15:48"/>
  </r>
  <r>
    <x v="0"/>
    <d v="2017-07-04T00:00:00"/>
    <d v="1899-12-30T09:00:51"/>
    <d v="1899-12-30T09:07:00"/>
    <d v="1899-12-30T00:06:09"/>
  </r>
  <r>
    <x v="0"/>
    <d v="2017-07-04T00:00:00"/>
    <d v="1899-12-30T09:03:53"/>
    <d v="1899-12-30T09:10:15"/>
    <d v="1899-12-30T00:06:22"/>
  </r>
  <r>
    <x v="0"/>
    <d v="2017-07-04T00:00:00"/>
    <d v="1899-12-30T09:08:32"/>
    <d v="1899-12-30T09:19:41"/>
    <d v="1899-12-30T00:11:09"/>
  </r>
  <r>
    <x v="0"/>
    <d v="2017-07-04T00:00:00"/>
    <d v="1899-12-30T09:09:55"/>
    <d v="1899-12-30T09:15:03"/>
    <d v="1899-12-30T00:05:08"/>
  </r>
  <r>
    <x v="0"/>
    <d v="2017-07-04T00:00:00"/>
    <d v="1899-12-30T09:16:16"/>
    <d v="1899-12-30T09:19:13"/>
    <d v="1899-12-30T00:02:57"/>
  </r>
  <r>
    <x v="0"/>
    <d v="2017-07-04T00:00:00"/>
    <d v="1899-12-30T09:18:12"/>
    <d v="1899-12-30T09:26:10"/>
    <d v="1899-12-30T00:07:58"/>
  </r>
  <r>
    <x v="0"/>
    <d v="2017-07-04T00:00:00"/>
    <d v="1899-12-30T09:24:38"/>
    <d v="1899-12-30T09:25:36"/>
    <d v="1899-12-30T00:00:58"/>
  </r>
  <r>
    <x v="0"/>
    <d v="2017-07-04T00:00:00"/>
    <d v="1899-12-30T09:31:03"/>
    <d v="1899-12-30T09:39:24"/>
    <d v="1899-12-30T00:08:21"/>
  </r>
  <r>
    <x v="0"/>
    <d v="2017-07-04T00:00:00"/>
    <d v="1899-12-30T09:34:16"/>
    <d v="1899-12-30T09:50:53"/>
    <d v="1899-12-30T00:16:37"/>
  </r>
  <r>
    <x v="0"/>
    <d v="2017-07-04T00:00:00"/>
    <d v="1899-12-30T09:35:37"/>
    <d v="1899-12-30T09:42:42"/>
    <d v="1899-12-30T00:07:05"/>
  </r>
  <r>
    <x v="0"/>
    <d v="2017-07-04T00:00:00"/>
    <d v="1899-12-30T09:37:55"/>
    <d v="1899-12-30T09:49:53"/>
    <d v="1899-12-30T00:11:58"/>
  </r>
  <r>
    <x v="0"/>
    <d v="2017-07-04T00:00:00"/>
    <d v="1899-12-30T09:43:06"/>
    <d v="1899-12-30T09:44:54"/>
    <d v="1899-12-30T00:01:48"/>
  </r>
  <r>
    <x v="0"/>
    <d v="2017-07-04T00:00:00"/>
    <d v="1899-12-30T09:44:51"/>
    <d v="1899-12-30T10:01:22"/>
    <d v="1899-12-30T00:16:31"/>
  </r>
  <r>
    <x v="0"/>
    <d v="2017-07-04T00:00:00"/>
    <d v="1899-12-30T09:46:37"/>
    <d v="1899-12-30T09:50:48"/>
    <d v="1899-12-30T00:04:11"/>
  </r>
  <r>
    <x v="0"/>
    <d v="2017-07-04T00:00:00"/>
    <d v="1899-12-30T09:47:28"/>
    <d v="1899-12-30T09:57:32"/>
    <d v="1899-12-30T00:10:04"/>
  </r>
  <r>
    <x v="0"/>
    <d v="2017-07-04T00:00:00"/>
    <d v="1899-12-30T09:51:48"/>
    <d v="1899-12-30T09:59:14"/>
    <d v="1899-12-30T00:07:26"/>
  </r>
  <r>
    <x v="0"/>
    <d v="2017-07-04T00:00:00"/>
    <d v="1899-12-30T09:51:53"/>
    <d v="1899-12-30T10:07:08"/>
    <d v="1899-12-30T00:15:15"/>
  </r>
  <r>
    <x v="0"/>
    <d v="2017-07-04T00:00:00"/>
    <d v="1899-12-30T09:57:45"/>
    <d v="1899-12-30T10:00:02"/>
    <d v="1899-12-30T00:02:17"/>
  </r>
  <r>
    <x v="0"/>
    <d v="2017-07-04T00:00:00"/>
    <d v="1899-12-30T10:03:32"/>
    <d v="1899-12-30T10:05:15"/>
    <d v="1899-12-30T00:01:43"/>
  </r>
  <r>
    <x v="0"/>
    <d v="2017-07-04T00:00:00"/>
    <d v="1899-12-30T10:08:24"/>
    <d v="1899-12-30T10:16:49"/>
    <d v="1899-12-30T00:08:25"/>
  </r>
  <r>
    <x v="0"/>
    <d v="2017-07-04T00:00:00"/>
    <d v="1899-12-30T10:13:19"/>
    <d v="1899-12-30T10:26:12"/>
    <d v="1899-12-30T00:12:53"/>
  </r>
  <r>
    <x v="0"/>
    <d v="2017-07-04T00:00:00"/>
    <d v="1899-12-30T10:18:22"/>
    <d v="1899-12-30T10:26:17"/>
    <d v="1899-12-30T00:07:55"/>
  </r>
  <r>
    <x v="0"/>
    <d v="2017-07-04T00:00:00"/>
    <d v="1899-12-30T10:22:46"/>
    <d v="1899-12-30T10:28:02"/>
    <d v="1899-12-30T00:05:16"/>
  </r>
  <r>
    <x v="0"/>
    <d v="2017-07-04T00:00:00"/>
    <d v="1899-12-30T10:29:53"/>
    <d v="1899-12-30T10:45:49"/>
    <d v="1899-12-30T00:15:56"/>
  </r>
  <r>
    <x v="0"/>
    <d v="2017-07-04T00:00:00"/>
    <d v="1899-12-30T10:34:35"/>
    <d v="1899-12-30T10:46:44"/>
    <d v="1899-12-30T00:12:09"/>
  </r>
  <r>
    <x v="0"/>
    <d v="2017-07-04T00:00:00"/>
    <d v="1899-12-30T10:35:53"/>
    <d v="1899-12-30T10:43:46"/>
    <d v="1899-12-30T00:07:53"/>
  </r>
  <r>
    <x v="0"/>
    <d v="2017-07-04T00:00:00"/>
    <d v="1899-12-30T10:40:19"/>
    <d v="1899-12-30T10:53:09"/>
    <d v="1899-12-30T00:12:50"/>
  </r>
  <r>
    <x v="0"/>
    <d v="2017-07-04T00:00:00"/>
    <d v="1899-12-30T10:41:30"/>
    <d v="1899-12-30T10:54:02"/>
    <d v="1899-12-30T00:12:32"/>
  </r>
  <r>
    <x v="0"/>
    <d v="2017-07-04T00:00:00"/>
    <d v="1899-12-30T10:48:55"/>
    <d v="1899-12-30T10:56:22"/>
    <d v="1899-12-30T00:07:27"/>
  </r>
  <r>
    <x v="1"/>
    <d v="2017-07-04T00:00:00"/>
    <d v="1899-12-30T10:56:35"/>
    <d v="1899-12-30T11:02:33"/>
    <d v="1899-12-30T00:05:58"/>
  </r>
  <r>
    <x v="0"/>
    <d v="2017-07-04T00:00:00"/>
    <d v="1899-12-30T11:03:10"/>
    <d v="1899-12-30T11:18:42"/>
    <d v="1899-12-30T00:15:32"/>
  </r>
  <r>
    <x v="0"/>
    <d v="2017-07-04T00:00:00"/>
    <d v="1899-12-30T11:08:30"/>
    <d v="1899-12-30T11:14:32"/>
    <d v="1899-12-30T00:06:02"/>
  </r>
  <r>
    <x v="0"/>
    <d v="2017-07-04T00:00:00"/>
    <d v="1899-12-30T11:14:48"/>
    <d v="1899-12-30T11:27:34"/>
    <d v="1899-12-30T00:12:46"/>
  </r>
  <r>
    <x v="0"/>
    <d v="2017-07-04T00:00:00"/>
    <d v="1899-12-30T11:20:07"/>
    <d v="1899-12-30T11:20:57"/>
    <d v="1899-12-30T00:00:50"/>
  </r>
  <r>
    <x v="0"/>
    <d v="2017-07-04T00:00:00"/>
    <d v="1899-12-30T11:23:20"/>
    <d v="1899-12-30T11:31:16"/>
    <d v="1899-12-30T00:07:56"/>
  </r>
  <r>
    <x v="0"/>
    <d v="2017-07-04T00:00:00"/>
    <d v="1899-12-30T11:30:44"/>
    <d v="1899-12-30T11:34:36"/>
    <d v="1899-12-30T00:03:52"/>
  </r>
  <r>
    <x v="0"/>
    <d v="2017-07-04T00:00:00"/>
    <d v="1899-12-30T11:30:53"/>
    <d v="1899-12-30T11:47:24"/>
    <d v="1899-12-30T00:16:31"/>
  </r>
  <r>
    <x v="0"/>
    <d v="2017-07-04T00:00:00"/>
    <d v="1899-12-30T11:30:58"/>
    <d v="1899-12-30T11:44:52"/>
    <d v="1899-12-30T00:13:54"/>
  </r>
  <r>
    <x v="0"/>
    <d v="2017-07-04T00:00:00"/>
    <d v="1899-12-30T11:32:02"/>
    <d v="1899-12-30T11:41:14"/>
    <d v="1899-12-30T00:09:12"/>
  </r>
  <r>
    <x v="0"/>
    <d v="2017-07-04T00:00:00"/>
    <d v="1899-12-30T11:33:56"/>
    <d v="1899-12-30T11:47:16"/>
    <d v="1899-12-30T00:13:20"/>
  </r>
  <r>
    <x v="0"/>
    <d v="2017-07-04T00:00:00"/>
    <d v="1899-12-30T11:35:42"/>
    <d v="1899-12-30T11:47:36"/>
    <d v="1899-12-30T00:11:54"/>
  </r>
  <r>
    <x v="0"/>
    <d v="2017-07-04T00:00:00"/>
    <d v="1899-12-30T11:42:46"/>
    <d v="1899-12-30T11:55:26"/>
    <d v="1899-12-30T00:12:40"/>
  </r>
  <r>
    <x v="0"/>
    <d v="2017-07-04T00:00:00"/>
    <d v="1899-12-30T11:45:18"/>
    <d v="1899-12-30T12:00:40"/>
    <d v="1899-12-30T00:15:22"/>
  </r>
  <r>
    <x v="0"/>
    <d v="2017-07-04T00:00:00"/>
    <d v="1899-12-30T11:51:48"/>
    <d v="1899-12-30T12:03:20"/>
    <d v="1899-12-30T00:11:32"/>
  </r>
  <r>
    <x v="0"/>
    <d v="2017-07-04T00:00:00"/>
    <d v="1899-12-30T11:59:47"/>
    <d v="1899-12-30T12:13:50"/>
    <d v="1899-12-30T00:14:03"/>
  </r>
  <r>
    <x v="0"/>
    <d v="2017-07-04T00:00:00"/>
    <d v="1899-12-30T12:00:55"/>
    <d v="1899-12-30T12:12:37"/>
    <d v="1899-12-30T00:11:42"/>
  </r>
  <r>
    <x v="0"/>
    <d v="2017-07-04T00:00:00"/>
    <d v="1899-12-30T12:08:34"/>
    <d v="1899-12-30T12:22:11"/>
    <d v="1899-12-30T00:13:37"/>
  </r>
  <r>
    <x v="0"/>
    <d v="2017-07-04T00:00:00"/>
    <d v="1899-12-30T12:15:30"/>
    <d v="1899-12-30T12:27:13"/>
    <d v="1899-12-30T00:11:43"/>
  </r>
  <r>
    <x v="0"/>
    <d v="2017-07-04T00:00:00"/>
    <d v="1899-12-30T12:20:54"/>
    <d v="1899-12-30T12:26:45"/>
    <d v="1899-12-30T00:05:51"/>
  </r>
  <r>
    <x v="0"/>
    <d v="2017-07-04T00:00:00"/>
    <d v="1899-12-30T12:28:12"/>
    <d v="1899-12-30T12:32:38"/>
    <d v="1899-12-30T00:04:26"/>
  </r>
  <r>
    <x v="0"/>
    <d v="2017-07-04T00:00:00"/>
    <d v="1899-12-30T12:33:10"/>
    <d v="1899-12-30T12:34:25"/>
    <d v="1899-12-30T00:01:15"/>
  </r>
  <r>
    <x v="0"/>
    <d v="2017-07-04T00:00:00"/>
    <d v="1899-12-30T12:35:21"/>
    <d v="1899-12-30T12:51:04"/>
    <d v="1899-12-30T00:15:43"/>
  </r>
  <r>
    <x v="0"/>
    <d v="2017-07-04T00:00:00"/>
    <d v="1899-12-30T12:43:25"/>
    <d v="1899-12-30T12:47:10"/>
    <d v="1899-12-30T00:03:45"/>
  </r>
  <r>
    <x v="0"/>
    <d v="2017-07-04T00:00:00"/>
    <d v="1899-12-30T12:49:54"/>
    <d v="1899-12-30T12:56:32"/>
    <d v="1899-12-30T00:06:38"/>
  </r>
  <r>
    <x v="0"/>
    <d v="2017-07-04T00:00:00"/>
    <d v="1899-12-30T12:53:59"/>
    <d v="1899-12-30T13:08:46"/>
    <d v="1899-12-30T00:14:47"/>
  </r>
  <r>
    <x v="0"/>
    <d v="2017-07-04T00:00:00"/>
    <d v="1899-12-30T12:59:35"/>
    <d v="1899-12-30T13:12:58"/>
    <d v="1899-12-30T00:13:23"/>
  </r>
  <r>
    <x v="0"/>
    <d v="2017-07-04T00:00:00"/>
    <d v="1899-12-30T13:03:18"/>
    <d v="1899-12-30T13:04:06"/>
    <d v="1899-12-30T00:00:48"/>
  </r>
  <r>
    <x v="0"/>
    <d v="2017-07-04T00:00:00"/>
    <d v="1899-12-30T13:05:32"/>
    <d v="1899-12-30T13:08:23"/>
    <d v="1899-12-30T00:02:51"/>
  </r>
  <r>
    <x v="0"/>
    <d v="2017-07-04T00:00:00"/>
    <d v="1899-12-30T13:10:42"/>
    <d v="1899-12-30T13:15:34"/>
    <d v="1899-12-30T00:04:52"/>
  </r>
  <r>
    <x v="0"/>
    <d v="2017-07-04T00:00:00"/>
    <d v="1899-12-30T13:13:50"/>
    <d v="1899-12-30T13:18:16"/>
    <d v="1899-12-30T00:04:26"/>
  </r>
  <r>
    <x v="0"/>
    <d v="2017-07-04T00:00:00"/>
    <d v="1899-12-30T13:19:44"/>
    <d v="1899-12-30T13:24:00"/>
    <d v="1899-12-30T00:04:16"/>
  </r>
  <r>
    <x v="0"/>
    <d v="2017-07-04T00:00:00"/>
    <d v="1899-12-30T13:25:02"/>
    <d v="1899-12-30T13:31:20"/>
    <d v="1899-12-30T00:06:18"/>
  </r>
  <r>
    <x v="0"/>
    <d v="2017-07-04T00:00:00"/>
    <d v="1899-12-30T13:31:58"/>
    <d v="1899-12-30T13:32:32"/>
    <d v="1899-12-30T00:00:34"/>
  </r>
  <r>
    <x v="0"/>
    <d v="2017-07-04T00:00:00"/>
    <d v="1899-12-30T13:39:10"/>
    <d v="1899-12-30T13:48:21"/>
    <d v="1899-12-30T00:09:11"/>
  </r>
  <r>
    <x v="0"/>
    <d v="2017-07-04T00:00:00"/>
    <d v="1899-12-30T13:43:45"/>
    <d v="1899-12-30T13:46:09"/>
    <d v="1899-12-30T00:02:24"/>
  </r>
  <r>
    <x v="0"/>
    <d v="2017-07-04T00:00:00"/>
    <d v="1899-12-30T13:45:48"/>
    <d v="1899-12-30T14:01:15"/>
    <d v="1899-12-30T00:15:27"/>
  </r>
  <r>
    <x v="0"/>
    <d v="2017-07-04T00:00:00"/>
    <d v="1899-12-30T13:53:12"/>
    <d v="1899-12-30T13:59:28"/>
    <d v="1899-12-30T00:06:16"/>
  </r>
  <r>
    <x v="0"/>
    <d v="2017-07-04T00:00:00"/>
    <d v="1899-12-30T13:57:10"/>
    <d v="1899-12-30T13:57:27"/>
    <d v="1899-12-30T00:00:17"/>
  </r>
  <r>
    <x v="0"/>
    <d v="2017-07-04T00:00:00"/>
    <d v="1899-12-30T14:00:02"/>
    <d v="1899-12-30T14:01:09"/>
    <d v="1899-12-30T00:01:07"/>
  </r>
  <r>
    <x v="0"/>
    <d v="2017-07-04T00:00:00"/>
    <d v="1899-12-30T14:00:38"/>
    <d v="1899-12-30T14:12:17"/>
    <d v="1899-12-30T00:11:39"/>
  </r>
  <r>
    <x v="0"/>
    <d v="2017-07-04T00:00:00"/>
    <d v="1899-12-30T14:01:43"/>
    <d v="1899-12-30T14:07:37"/>
    <d v="1899-12-30T00:05:54"/>
  </r>
  <r>
    <x v="0"/>
    <d v="2017-07-04T00:00:00"/>
    <d v="1899-12-30T14:01:43"/>
    <d v="1899-12-30T14:10:52"/>
    <d v="1899-12-30T00:09:09"/>
  </r>
  <r>
    <x v="0"/>
    <d v="2017-07-04T00:00:00"/>
    <d v="1899-12-30T14:09:52"/>
    <d v="1899-12-30T14:24:41"/>
    <d v="1899-12-30T00:14:49"/>
  </r>
  <r>
    <x v="0"/>
    <d v="2017-07-04T00:00:00"/>
    <d v="1899-12-30T14:15:44"/>
    <d v="1899-12-30T14:22:22"/>
    <d v="1899-12-30T00:06:38"/>
  </r>
  <r>
    <x v="0"/>
    <d v="2017-07-04T00:00:00"/>
    <d v="1899-12-30T14:20:39"/>
    <d v="1899-12-30T14:27:47"/>
    <d v="1899-12-30T00:07:08"/>
  </r>
  <r>
    <x v="0"/>
    <d v="2017-07-04T00:00:00"/>
    <d v="1899-12-30T14:23:56"/>
    <d v="1899-12-30T14:30:22"/>
    <d v="1899-12-30T00:06:26"/>
  </r>
  <r>
    <x v="0"/>
    <d v="2017-07-04T00:00:00"/>
    <d v="1899-12-30T14:31:20"/>
    <d v="1899-12-30T14:31:20"/>
    <d v="1899-12-30T00:00:00"/>
  </r>
  <r>
    <x v="0"/>
    <d v="2017-07-04T00:00:00"/>
    <d v="1899-12-30T14:33:34"/>
    <d v="1899-12-30T14:40:19"/>
    <d v="1899-12-30T00:06:45"/>
  </r>
  <r>
    <x v="0"/>
    <d v="2017-07-04T00:00:00"/>
    <d v="1899-12-30T14:40:22"/>
    <d v="1899-12-30T14:47:34"/>
    <d v="1899-12-30T00:07:12"/>
  </r>
  <r>
    <x v="0"/>
    <d v="2017-07-04T00:00:00"/>
    <d v="1899-12-30T14:41:05"/>
    <d v="1899-12-30T14:51:19"/>
    <d v="1899-12-30T00:10:14"/>
  </r>
  <r>
    <x v="0"/>
    <d v="2017-07-04T00:00:00"/>
    <d v="1899-12-30T14:44:19"/>
    <d v="1899-12-30T14:55:12"/>
    <d v="1899-12-30T00:10:53"/>
  </r>
  <r>
    <x v="0"/>
    <d v="2017-07-04T00:00:00"/>
    <d v="1899-12-30T14:50:50"/>
    <d v="1899-12-30T14:57:04"/>
    <d v="1899-12-30T00:06:14"/>
  </r>
  <r>
    <x v="0"/>
    <d v="2017-07-04T00:00:00"/>
    <d v="1899-12-30T14:50:50"/>
    <d v="1899-12-30T15:02:17"/>
    <d v="1899-12-30T00:11:27"/>
  </r>
  <r>
    <x v="0"/>
    <d v="2017-07-04T00:00:00"/>
    <d v="1899-12-30T14:56:44"/>
    <d v="1899-12-30T15:08:01"/>
    <d v="1899-12-30T00:11:17"/>
  </r>
  <r>
    <x v="0"/>
    <d v="2017-07-04T00:00:00"/>
    <d v="1899-12-30T14:58:18"/>
    <d v="1899-12-30T15:10:23"/>
    <d v="1899-12-30T00:12:05"/>
  </r>
  <r>
    <x v="0"/>
    <d v="2017-07-04T00:00:00"/>
    <d v="1899-12-30T15:03:42"/>
    <d v="1899-12-30T15:10:18"/>
    <d v="1899-12-30T00:06:36"/>
  </r>
  <r>
    <x v="0"/>
    <d v="2017-07-05T00:00:00"/>
    <d v="1899-12-30T08:03:03"/>
    <d v="1899-12-30T08:14:41"/>
    <d v="1899-12-30T00:11:38"/>
  </r>
  <r>
    <x v="0"/>
    <d v="2017-07-05T00:00:00"/>
    <d v="1899-12-30T08:11:02"/>
    <d v="1899-12-30T08:20:24"/>
    <d v="1899-12-30T00:09:22"/>
  </r>
  <r>
    <x v="0"/>
    <d v="2017-07-05T00:00:00"/>
    <d v="1899-12-30T08:19:08"/>
    <d v="1899-12-30T08:22:41"/>
    <d v="1899-12-30T00:03:33"/>
  </r>
  <r>
    <x v="0"/>
    <d v="2017-07-05T00:00:00"/>
    <d v="1899-12-30T08:19:13"/>
    <d v="1899-12-30T08:20:08"/>
    <d v="1899-12-30T00:00:55"/>
  </r>
  <r>
    <x v="0"/>
    <d v="2017-07-05T00:00:00"/>
    <d v="1899-12-30T08:22:37"/>
    <d v="1899-12-30T08:29:30"/>
    <d v="1899-12-30T00:06:53"/>
  </r>
  <r>
    <x v="0"/>
    <d v="2017-07-05T00:00:00"/>
    <d v="1899-12-30T08:22:47"/>
    <d v="1899-12-30T08:39:15"/>
    <d v="1899-12-30T00:16:28"/>
  </r>
  <r>
    <x v="0"/>
    <d v="2017-07-05T00:00:00"/>
    <d v="1899-12-30T08:26:10"/>
    <d v="1899-12-30T08:33:41"/>
    <d v="1899-12-30T00:07:31"/>
  </r>
  <r>
    <x v="0"/>
    <d v="2017-07-05T00:00:00"/>
    <d v="1899-12-30T08:32:16"/>
    <d v="1899-12-30T08:40:44"/>
    <d v="1899-12-30T00:08:28"/>
  </r>
  <r>
    <x v="0"/>
    <d v="2017-07-05T00:00:00"/>
    <d v="1899-12-30T08:35:57"/>
    <d v="1899-12-30T08:50:18"/>
    <d v="1899-12-30T00:14:21"/>
  </r>
  <r>
    <x v="0"/>
    <d v="2017-07-05T00:00:00"/>
    <d v="1899-12-30T08:42:10"/>
    <d v="1899-12-30T08:48:55"/>
    <d v="1899-12-30T00:06:45"/>
  </r>
  <r>
    <x v="0"/>
    <d v="2017-07-05T00:00:00"/>
    <d v="1899-12-30T08:49:21"/>
    <d v="1899-12-30T09:05:06"/>
    <d v="1899-12-30T00:15:45"/>
  </r>
  <r>
    <x v="0"/>
    <d v="2017-07-05T00:00:00"/>
    <d v="1899-12-30T08:52:55"/>
    <d v="1899-12-30T08:55:20"/>
    <d v="1899-12-30T00:02:25"/>
  </r>
  <r>
    <x v="0"/>
    <d v="2017-07-05T00:00:00"/>
    <d v="1899-12-30T08:58:00"/>
    <d v="1899-12-30T09:03:17"/>
    <d v="1899-12-30T00:05:17"/>
  </r>
  <r>
    <x v="0"/>
    <d v="2017-07-05T00:00:00"/>
    <d v="1899-12-30T09:03:03"/>
    <d v="1899-12-30T09:05:34"/>
    <d v="1899-12-30T00:02:31"/>
  </r>
  <r>
    <x v="0"/>
    <d v="2017-07-05T00:00:00"/>
    <d v="1899-12-30T09:09:48"/>
    <d v="1899-12-30T09:25:51"/>
    <d v="1899-12-30T00:16:03"/>
  </r>
  <r>
    <x v="0"/>
    <d v="2017-07-05T00:00:00"/>
    <d v="1899-12-30T09:12:02"/>
    <d v="1899-12-30T09:13:42"/>
    <d v="1899-12-30T00:01:40"/>
  </r>
  <r>
    <x v="0"/>
    <d v="2017-07-05T00:00:00"/>
    <d v="1899-12-30T09:16:19"/>
    <d v="1899-12-30T09:27:14"/>
    <d v="1899-12-30T00:10:55"/>
  </r>
  <r>
    <x v="0"/>
    <d v="2017-07-05T00:00:00"/>
    <d v="1899-12-30T09:21:16"/>
    <d v="1899-12-30T09:37:18"/>
    <d v="1899-12-30T00:16:02"/>
  </r>
  <r>
    <x v="0"/>
    <d v="2017-07-05T00:00:00"/>
    <d v="1899-12-30T09:23:15"/>
    <d v="1899-12-30T09:34:08"/>
    <d v="1899-12-30T00:10:53"/>
  </r>
  <r>
    <x v="0"/>
    <d v="2017-07-05T00:00:00"/>
    <d v="1899-12-30T09:30:09"/>
    <d v="1899-12-30T09:33:25"/>
    <d v="1899-12-30T00:03:16"/>
  </r>
  <r>
    <x v="0"/>
    <d v="2017-07-05T00:00:00"/>
    <d v="1899-12-30T09:37:04"/>
    <d v="1899-12-30T09:47:02"/>
    <d v="1899-12-30T00:09:58"/>
  </r>
  <r>
    <x v="0"/>
    <d v="2017-07-05T00:00:00"/>
    <d v="1899-12-30T09:43:27"/>
    <d v="1899-12-30T09:53:08"/>
    <d v="1899-12-30T00:09:41"/>
  </r>
  <r>
    <x v="0"/>
    <d v="2017-07-05T00:00:00"/>
    <d v="1899-12-30T09:48:56"/>
    <d v="1899-12-30T10:03:45"/>
    <d v="1899-12-30T00:14:49"/>
  </r>
  <r>
    <x v="0"/>
    <d v="2017-07-05T00:00:00"/>
    <d v="1899-12-30T09:56:04"/>
    <d v="1899-12-30T10:05:53"/>
    <d v="1899-12-30T00:09:49"/>
  </r>
  <r>
    <x v="0"/>
    <d v="2017-07-05T00:00:00"/>
    <d v="1899-12-30T10:01:12"/>
    <d v="1899-12-30T10:17:38"/>
    <d v="1899-12-30T00:16:26"/>
  </r>
  <r>
    <x v="0"/>
    <d v="2017-07-05T00:00:00"/>
    <d v="1899-12-30T10:02:36"/>
    <d v="1899-12-30T10:16:48"/>
    <d v="1899-12-30T00:14:12"/>
  </r>
  <r>
    <x v="0"/>
    <d v="2017-07-05T00:00:00"/>
    <d v="1899-12-30T10:06:57"/>
    <d v="1899-12-30T10:14:34"/>
    <d v="1899-12-30T00:07:37"/>
  </r>
  <r>
    <x v="0"/>
    <d v="2017-07-05T00:00:00"/>
    <d v="1899-12-30T10:07:14"/>
    <d v="1899-12-30T10:09:30"/>
    <d v="1899-12-30T00:02:16"/>
  </r>
  <r>
    <x v="0"/>
    <d v="2017-07-05T00:00:00"/>
    <d v="1899-12-30T10:07:43"/>
    <d v="1899-12-30T10:17:50"/>
    <d v="1899-12-30T00:10:07"/>
  </r>
  <r>
    <x v="0"/>
    <d v="2017-07-05T00:00:00"/>
    <d v="1899-12-30T10:09:19"/>
    <d v="1899-12-30T10:12:07"/>
    <d v="1899-12-30T00:02:48"/>
  </r>
  <r>
    <x v="0"/>
    <d v="2017-07-05T00:00:00"/>
    <d v="1899-12-30T10:09:57"/>
    <d v="1899-12-30T10:12:31"/>
    <d v="1899-12-30T00:02:34"/>
  </r>
  <r>
    <x v="0"/>
    <d v="2017-07-05T00:00:00"/>
    <d v="1899-12-30T10:15:28"/>
    <d v="1899-12-30T10:25:05"/>
    <d v="1899-12-30T00:09:37"/>
  </r>
  <r>
    <x v="0"/>
    <d v="2017-07-05T00:00:00"/>
    <d v="1899-12-30T10:20:25"/>
    <d v="1899-12-30T10:29:50"/>
    <d v="1899-12-30T00:09:25"/>
  </r>
  <r>
    <x v="0"/>
    <d v="2017-07-05T00:00:00"/>
    <d v="1899-12-30T10:22:35"/>
    <d v="1899-12-30T10:36:58"/>
    <d v="1899-12-30T00:14:23"/>
  </r>
  <r>
    <x v="0"/>
    <d v="2017-07-05T00:00:00"/>
    <d v="1899-12-30T10:28:15"/>
    <d v="1899-12-30T10:43:53"/>
    <d v="1899-12-30T00:15:38"/>
  </r>
  <r>
    <x v="0"/>
    <d v="2017-07-05T00:00:00"/>
    <d v="1899-12-30T10:32:08"/>
    <d v="1899-12-30T10:45:08"/>
    <d v="1899-12-30T00:13:00"/>
  </r>
  <r>
    <x v="0"/>
    <d v="2017-07-05T00:00:00"/>
    <d v="1899-12-30T10:35:44"/>
    <d v="1899-12-30T10:51:12"/>
    <d v="1899-12-30T00:15:28"/>
  </r>
  <r>
    <x v="0"/>
    <d v="2017-07-05T00:00:00"/>
    <d v="1899-12-30T10:39:07"/>
    <d v="1899-12-30T10:43:39"/>
    <d v="1899-12-30T00:04:32"/>
  </r>
  <r>
    <x v="0"/>
    <d v="2017-07-05T00:00:00"/>
    <d v="1899-12-30T10:39:53"/>
    <d v="1899-12-30T10:49:32"/>
    <d v="1899-12-30T00:09:39"/>
  </r>
  <r>
    <x v="0"/>
    <d v="2017-07-05T00:00:00"/>
    <d v="1899-12-30T10:47:28"/>
    <d v="1899-12-30T10:52:55"/>
    <d v="1899-12-30T00:05:27"/>
  </r>
  <r>
    <x v="0"/>
    <d v="2017-07-05T00:00:00"/>
    <d v="1899-12-30T10:54:25"/>
    <d v="1899-12-30T10:56:06"/>
    <d v="1899-12-30T00:01:41"/>
  </r>
  <r>
    <x v="0"/>
    <d v="2017-07-05T00:00:00"/>
    <d v="1899-12-30T10:56:09"/>
    <d v="1899-12-30T11:03:42"/>
    <d v="1899-12-30T00:07:33"/>
  </r>
  <r>
    <x v="0"/>
    <d v="2017-07-05T00:00:00"/>
    <d v="1899-12-30T10:59:53"/>
    <d v="1899-12-30T11:14:11"/>
    <d v="1899-12-30T00:14:18"/>
  </r>
  <r>
    <x v="0"/>
    <d v="2017-07-05T00:00:00"/>
    <d v="1899-12-30T11:02:52"/>
    <d v="1899-12-30T11:13:53"/>
    <d v="1899-12-30T00:11:01"/>
  </r>
  <r>
    <x v="1"/>
    <d v="2017-07-05T00:00:00"/>
    <d v="1899-12-30T11:09:02"/>
    <d v="1899-12-30T11:18:04"/>
    <d v="1899-12-30T00:09:02"/>
  </r>
  <r>
    <x v="0"/>
    <d v="2017-07-05T00:00:00"/>
    <d v="1899-12-30T11:13:13"/>
    <d v="1899-12-30T11:15:04"/>
    <d v="1899-12-30T00:01:51"/>
  </r>
  <r>
    <x v="0"/>
    <d v="2017-07-05T00:00:00"/>
    <d v="1899-12-30T11:17:40"/>
    <d v="1899-12-30T11:25:13"/>
    <d v="1899-12-30T00:07:33"/>
  </r>
  <r>
    <x v="0"/>
    <d v="2017-07-05T00:00:00"/>
    <d v="1899-12-30T11:21:04"/>
    <d v="1899-12-30T11:24:06"/>
    <d v="1899-12-30T00:03:02"/>
  </r>
  <r>
    <x v="0"/>
    <d v="2017-07-05T00:00:00"/>
    <d v="1899-12-30T11:23:01"/>
    <d v="1899-12-30T11:27:33"/>
    <d v="1899-12-30T00:04:32"/>
  </r>
  <r>
    <x v="0"/>
    <d v="2017-07-05T00:00:00"/>
    <d v="1899-12-30T11:26:39"/>
    <d v="1899-12-30T11:34:40"/>
    <d v="1899-12-30T00:08:01"/>
  </r>
  <r>
    <x v="0"/>
    <d v="2017-07-05T00:00:00"/>
    <d v="1899-12-30T11:30:48"/>
    <d v="1899-12-30T11:40:43"/>
    <d v="1899-12-30T00:09:55"/>
  </r>
  <r>
    <x v="0"/>
    <d v="2017-07-05T00:00:00"/>
    <d v="1899-12-30T11:33:21"/>
    <d v="1899-12-30T11:39:35"/>
    <d v="1899-12-30T00:06:14"/>
  </r>
  <r>
    <x v="0"/>
    <d v="2017-07-05T00:00:00"/>
    <d v="1899-12-30T11:39:11"/>
    <d v="1899-12-30T11:53:34"/>
    <d v="1899-12-30T00:14:23"/>
  </r>
  <r>
    <x v="0"/>
    <d v="2017-07-05T00:00:00"/>
    <d v="1899-12-30T11:41:33"/>
    <d v="1899-12-30T11:52:56"/>
    <d v="1899-12-30T00:11:23"/>
  </r>
  <r>
    <x v="0"/>
    <d v="2017-07-05T00:00:00"/>
    <d v="1899-12-30T11:43:47"/>
    <d v="1899-12-30T11:47:30"/>
    <d v="1899-12-30T00:03:43"/>
  </r>
  <r>
    <x v="0"/>
    <d v="2017-07-05T00:00:00"/>
    <d v="1899-12-30T11:47:45"/>
    <d v="1899-12-30T11:49:41"/>
    <d v="1899-12-30T00:01:56"/>
  </r>
  <r>
    <x v="0"/>
    <d v="2017-07-05T00:00:00"/>
    <d v="1899-12-30T11:50:27"/>
    <d v="1899-12-30T11:51:25"/>
    <d v="1899-12-30T00:00:58"/>
  </r>
  <r>
    <x v="0"/>
    <d v="2017-07-05T00:00:00"/>
    <d v="1899-12-30T11:53:50"/>
    <d v="1899-12-30T12:07:26"/>
    <d v="1899-12-30T00:13:36"/>
  </r>
  <r>
    <x v="0"/>
    <d v="2017-07-05T00:00:00"/>
    <d v="1899-12-30T11:54:11"/>
    <d v="1899-12-30T11:58:22"/>
    <d v="1899-12-30T00:04:11"/>
  </r>
  <r>
    <x v="0"/>
    <d v="2017-07-05T00:00:00"/>
    <d v="1899-12-30T12:01:56"/>
    <d v="1899-12-30T12:12:35"/>
    <d v="1899-12-30T00:10:39"/>
  </r>
  <r>
    <x v="0"/>
    <d v="2017-07-05T00:00:00"/>
    <d v="1899-12-30T12:02:35"/>
    <d v="1899-12-30T12:03:35"/>
    <d v="1899-12-30T00:01:00"/>
  </r>
  <r>
    <x v="0"/>
    <d v="2017-07-05T00:00:00"/>
    <d v="1899-12-30T12:04:09"/>
    <d v="1899-12-30T12:17:59"/>
    <d v="1899-12-30T00:13:50"/>
  </r>
  <r>
    <x v="0"/>
    <d v="2017-07-05T00:00:00"/>
    <d v="1899-12-30T12:06:35"/>
    <d v="1899-12-30T12:22:05"/>
    <d v="1899-12-30T00:15:30"/>
  </r>
  <r>
    <x v="0"/>
    <d v="2017-07-05T00:00:00"/>
    <d v="1899-12-30T12:14:47"/>
    <d v="1899-12-30T12:22:26"/>
    <d v="1899-12-30T00:07:39"/>
  </r>
  <r>
    <x v="0"/>
    <d v="2017-07-05T00:00:00"/>
    <d v="1899-12-30T12:20:00"/>
    <d v="1899-12-30T12:24:06"/>
    <d v="1899-12-30T00:04:06"/>
  </r>
  <r>
    <x v="0"/>
    <d v="2017-07-05T00:00:00"/>
    <d v="1899-12-30T12:26:19"/>
    <d v="1899-12-30T12:28:36"/>
    <d v="1899-12-30T00:02:17"/>
  </r>
  <r>
    <x v="0"/>
    <d v="2017-07-05T00:00:00"/>
    <d v="1899-12-30T12:27:08"/>
    <d v="1899-12-30T12:37:59"/>
    <d v="1899-12-30T00:10:51"/>
  </r>
  <r>
    <x v="0"/>
    <d v="2017-07-05T00:00:00"/>
    <d v="1899-12-30T12:34:51"/>
    <d v="1899-12-30T12:49:43"/>
    <d v="1899-12-30T00:14:52"/>
  </r>
  <r>
    <x v="0"/>
    <d v="2017-07-05T00:00:00"/>
    <d v="1899-12-30T12:36:02"/>
    <d v="1899-12-30T12:38:07"/>
    <d v="1899-12-30T00:02:05"/>
  </r>
  <r>
    <x v="0"/>
    <d v="2017-07-05T00:00:00"/>
    <d v="1899-12-30T12:37:33"/>
    <d v="1899-12-30T12:38:20"/>
    <d v="1899-12-30T00:00:47"/>
  </r>
  <r>
    <x v="0"/>
    <d v="2017-07-05T00:00:00"/>
    <d v="1899-12-30T12:40:29"/>
    <d v="1899-12-30T12:46:01"/>
    <d v="1899-12-30T00:05:32"/>
  </r>
  <r>
    <x v="0"/>
    <d v="2017-07-05T00:00:00"/>
    <d v="1899-12-30T12:46:34"/>
    <d v="1899-12-30T12:59:17"/>
    <d v="1899-12-30T00:12:43"/>
  </r>
  <r>
    <x v="0"/>
    <d v="2017-07-05T00:00:00"/>
    <d v="1899-12-30T12:48:34"/>
    <d v="1899-12-30T12:57:29"/>
    <d v="1899-12-30T00:08:55"/>
  </r>
  <r>
    <x v="0"/>
    <d v="2017-07-05T00:00:00"/>
    <d v="1899-12-30T12:51:57"/>
    <d v="1899-12-30T12:59:06"/>
    <d v="1899-12-30T00:07:09"/>
  </r>
  <r>
    <x v="0"/>
    <d v="2017-07-05T00:00:00"/>
    <d v="1899-12-30T12:55:27"/>
    <d v="1899-12-30T12:56:48"/>
    <d v="1899-12-30T00:01:21"/>
  </r>
  <r>
    <x v="0"/>
    <d v="2017-07-05T00:00:00"/>
    <d v="1899-12-30T13:00:24"/>
    <d v="1899-12-30T13:07:12"/>
    <d v="1899-12-30T00:06:48"/>
  </r>
  <r>
    <x v="0"/>
    <d v="2017-07-05T00:00:00"/>
    <d v="1899-12-30T13:06:23"/>
    <d v="1899-12-30T13:18:16"/>
    <d v="1899-12-30T00:11:53"/>
  </r>
  <r>
    <x v="0"/>
    <d v="2017-07-05T00:00:00"/>
    <d v="1899-12-30T13:09:15"/>
    <d v="1899-12-30T13:20:11"/>
    <d v="1899-12-30T00:10:56"/>
  </r>
  <r>
    <x v="0"/>
    <d v="2017-07-05T00:00:00"/>
    <d v="1899-12-30T13:09:57"/>
    <d v="1899-12-30T13:24:40"/>
    <d v="1899-12-30T00:14:43"/>
  </r>
  <r>
    <x v="0"/>
    <d v="2017-07-05T00:00:00"/>
    <d v="1899-12-30T13:09:59"/>
    <d v="1899-12-30T13:26:16"/>
    <d v="1899-12-30T00:16:17"/>
  </r>
  <r>
    <x v="0"/>
    <d v="2017-07-05T00:00:00"/>
    <d v="1899-12-30T13:14:24"/>
    <d v="1899-12-30T13:24:28"/>
    <d v="1899-12-30T00:10:04"/>
  </r>
  <r>
    <x v="0"/>
    <d v="2017-07-05T00:00:00"/>
    <d v="1899-12-30T13:15:50"/>
    <d v="1899-12-30T13:32:14"/>
    <d v="1899-12-30T00:16:24"/>
  </r>
  <r>
    <x v="0"/>
    <d v="2017-07-05T00:00:00"/>
    <d v="1899-12-30T13:15:53"/>
    <d v="1899-12-30T13:31:31"/>
    <d v="1899-12-30T00:15:38"/>
  </r>
  <r>
    <x v="0"/>
    <d v="2017-07-05T00:00:00"/>
    <d v="1899-12-30T13:24:12"/>
    <d v="1899-12-30T13:28:48"/>
    <d v="1899-12-30T00:04:36"/>
  </r>
  <r>
    <x v="0"/>
    <d v="2017-07-05T00:00:00"/>
    <d v="1899-12-30T13:27:56"/>
    <d v="1899-12-30T13:36:43"/>
    <d v="1899-12-30T00:08:47"/>
  </r>
  <r>
    <x v="0"/>
    <d v="2017-07-05T00:00:00"/>
    <d v="1899-12-30T13:31:36"/>
    <d v="1899-12-30T13:47:34"/>
    <d v="1899-12-30T00:15:58"/>
  </r>
  <r>
    <x v="0"/>
    <d v="2017-07-05T00:00:00"/>
    <d v="1899-12-30T13:34:35"/>
    <d v="1899-12-30T13:40:32"/>
    <d v="1899-12-30T00:05:57"/>
  </r>
  <r>
    <x v="0"/>
    <d v="2017-07-05T00:00:00"/>
    <d v="1899-12-30T13:36:32"/>
    <d v="1899-12-30T13:50:22"/>
    <d v="1899-12-30T00:13:50"/>
  </r>
  <r>
    <x v="0"/>
    <d v="2017-07-05T00:00:00"/>
    <d v="1899-12-30T13:43:34"/>
    <d v="1899-12-30T13:48:06"/>
    <d v="1899-12-30T00:04:32"/>
  </r>
  <r>
    <x v="0"/>
    <d v="2017-07-05T00:00:00"/>
    <d v="1899-12-30T13:49:17"/>
    <d v="1899-12-30T13:50:08"/>
    <d v="1899-12-30T00:00:51"/>
  </r>
  <r>
    <x v="0"/>
    <d v="2017-07-05T00:00:00"/>
    <d v="1899-12-30T13:53:15"/>
    <d v="1899-12-30T13:54:33"/>
    <d v="1899-12-30T00:01:18"/>
  </r>
  <r>
    <x v="0"/>
    <d v="2017-07-05T00:00:00"/>
    <d v="1899-12-30T13:53:25"/>
    <d v="1899-12-30T13:56:52"/>
    <d v="1899-12-30T00:03:27"/>
  </r>
  <r>
    <x v="0"/>
    <d v="2017-07-05T00:00:00"/>
    <d v="1899-12-30T13:53:47"/>
    <d v="1899-12-30T14:08:45"/>
    <d v="1899-12-30T00:14:58"/>
  </r>
  <r>
    <x v="0"/>
    <d v="2017-07-05T00:00:00"/>
    <d v="1899-12-30T13:59:10"/>
    <d v="1899-12-30T14:02:46"/>
    <d v="1899-12-30T00:03:36"/>
  </r>
  <r>
    <x v="0"/>
    <d v="2017-07-05T00:00:00"/>
    <d v="1899-12-30T14:07:09"/>
    <d v="1899-12-30T14:18:50"/>
    <d v="1899-12-30T00:11:41"/>
  </r>
  <r>
    <x v="0"/>
    <d v="2017-07-05T00:00:00"/>
    <d v="1899-12-30T14:13:39"/>
    <d v="1899-12-30T14:22:09"/>
    <d v="1899-12-30T00:08:30"/>
  </r>
  <r>
    <x v="0"/>
    <d v="2017-07-05T00:00:00"/>
    <d v="1899-12-30T14:17:38"/>
    <d v="1899-12-30T14:23:00"/>
    <d v="1899-12-30T00:05:22"/>
  </r>
  <r>
    <x v="0"/>
    <d v="2017-07-05T00:00:00"/>
    <d v="1899-12-30T14:19:57"/>
    <d v="1899-12-30T14:34:15"/>
    <d v="1899-12-30T00:14:18"/>
  </r>
  <r>
    <x v="0"/>
    <d v="2017-07-05T00:00:00"/>
    <d v="1899-12-30T14:21:10"/>
    <d v="1899-12-30T14:27:13"/>
    <d v="1899-12-30T00:06:03"/>
  </r>
  <r>
    <x v="0"/>
    <d v="2017-07-05T00:00:00"/>
    <d v="1899-12-30T14:21:27"/>
    <d v="1899-12-30T14:25:07"/>
    <d v="1899-12-30T00:03:40"/>
  </r>
  <r>
    <x v="0"/>
    <d v="2017-07-05T00:00:00"/>
    <d v="1899-12-30T14:25:01"/>
    <d v="1899-12-30T14:34:54"/>
    <d v="1899-12-30T00:09:53"/>
  </r>
  <r>
    <x v="0"/>
    <d v="2017-07-05T00:00:00"/>
    <d v="1899-12-30T14:29:28"/>
    <d v="1899-12-30T14:44:09"/>
    <d v="1899-12-30T00:14:41"/>
  </r>
  <r>
    <x v="0"/>
    <d v="2017-07-05T00:00:00"/>
    <d v="1899-12-30T14:29:52"/>
    <d v="1899-12-30T14:41:01"/>
    <d v="1899-12-30T00:11:09"/>
  </r>
  <r>
    <x v="0"/>
    <d v="2017-07-05T00:00:00"/>
    <d v="1899-12-30T14:33:31"/>
    <d v="1899-12-30T14:36:31"/>
    <d v="1899-12-30T00:03:00"/>
  </r>
  <r>
    <x v="0"/>
    <d v="2017-07-05T00:00:00"/>
    <d v="1899-12-30T14:37:21"/>
    <d v="1899-12-30T14:40:14"/>
    <d v="1899-12-30T00:02:53"/>
  </r>
  <r>
    <x v="0"/>
    <d v="2017-07-05T00:00:00"/>
    <d v="1899-12-30T14:42:01"/>
    <d v="1899-12-30T14:52:47"/>
    <d v="1899-12-30T00:10:46"/>
  </r>
  <r>
    <x v="0"/>
    <d v="2017-07-05T00:00:00"/>
    <d v="1899-12-30T14:44:36"/>
    <d v="1899-12-30T14:50:33"/>
    <d v="1899-12-30T00:05:57"/>
  </r>
  <r>
    <x v="0"/>
    <d v="2017-07-05T00:00:00"/>
    <d v="1899-12-30T14:52:11"/>
    <d v="1899-12-30T14:56:17"/>
    <d v="1899-12-30T00:04:06"/>
  </r>
  <r>
    <x v="0"/>
    <d v="2017-07-05T00:00:00"/>
    <d v="1899-12-30T14:53:29"/>
    <d v="1899-12-30T15:03:06"/>
    <d v="1899-12-30T00:09:37"/>
  </r>
  <r>
    <x v="0"/>
    <d v="2017-07-05T00:00:00"/>
    <d v="1899-12-30T14:54:10"/>
    <d v="1899-12-30T15:02:42"/>
    <d v="1899-12-30T00:08:32"/>
  </r>
  <r>
    <x v="0"/>
    <d v="2017-07-05T00:00:00"/>
    <d v="1899-12-30T14:56:25"/>
    <d v="1899-12-30T14:57:43"/>
    <d v="1899-12-30T00:01:18"/>
  </r>
  <r>
    <x v="0"/>
    <d v="2017-07-05T00:00:00"/>
    <d v="1899-12-30T14:58:37"/>
    <d v="1899-12-30T15:06:17"/>
    <d v="1899-12-30T00:07:40"/>
  </r>
  <r>
    <x v="0"/>
    <d v="2017-07-05T00:00:00"/>
    <d v="1899-12-30T15:01:17"/>
    <d v="1899-12-30T15:03:57"/>
    <d v="1899-12-30T00:02:40"/>
  </r>
  <r>
    <x v="0"/>
    <d v="2017-07-06T00:00:00"/>
    <d v="1899-12-30T08:03:12"/>
    <d v="1899-12-30T08:11:35"/>
    <d v="1899-12-30T00:08:23"/>
  </r>
  <r>
    <x v="0"/>
    <d v="2017-07-06T00:00:00"/>
    <d v="1899-12-30T08:06:56"/>
    <d v="1899-12-30T08:12:57"/>
    <d v="1899-12-30T00:06:01"/>
  </r>
  <r>
    <x v="0"/>
    <d v="2017-07-06T00:00:00"/>
    <d v="1899-12-30T08:14:38"/>
    <d v="1899-12-30T08:23:30"/>
    <d v="1899-12-30T00:08:52"/>
  </r>
  <r>
    <x v="0"/>
    <d v="2017-07-06T00:00:00"/>
    <d v="1899-12-30T08:19:48"/>
    <d v="1899-12-30T08:22:44"/>
    <d v="1899-12-30T00:02:56"/>
  </r>
  <r>
    <x v="0"/>
    <d v="2017-07-06T00:00:00"/>
    <d v="1899-12-30T08:26:21"/>
    <d v="1899-12-30T08:33:39"/>
    <d v="1899-12-30T00:07:18"/>
  </r>
  <r>
    <x v="0"/>
    <d v="2017-07-06T00:00:00"/>
    <d v="1899-12-30T08:31:39"/>
    <d v="1899-12-30T08:42:51"/>
    <d v="1899-12-30T00:11:12"/>
  </r>
  <r>
    <x v="0"/>
    <d v="2017-07-06T00:00:00"/>
    <d v="1899-12-30T08:39:48"/>
    <d v="1899-12-30T08:46:06"/>
    <d v="1899-12-30T00:06:18"/>
  </r>
  <r>
    <x v="0"/>
    <d v="2017-07-06T00:00:00"/>
    <d v="1899-12-30T08:47:18"/>
    <d v="1899-12-30T08:53:21"/>
    <d v="1899-12-30T00:06:03"/>
  </r>
  <r>
    <x v="0"/>
    <d v="2017-07-06T00:00:00"/>
    <d v="1899-12-30T08:47:40"/>
    <d v="1899-12-30T09:02:07"/>
    <d v="1899-12-30T00:14:27"/>
  </r>
  <r>
    <x v="0"/>
    <d v="2017-07-06T00:00:00"/>
    <d v="1899-12-30T08:54:08"/>
    <d v="1899-12-30T08:55:35"/>
    <d v="1899-12-30T00:01:27"/>
  </r>
  <r>
    <x v="0"/>
    <d v="2017-07-06T00:00:00"/>
    <d v="1899-12-30T08:57:36"/>
    <d v="1899-12-30T09:06:45"/>
    <d v="1899-12-30T00:09:09"/>
  </r>
  <r>
    <x v="0"/>
    <d v="2017-07-06T00:00:00"/>
    <d v="1899-12-30T09:04:19"/>
    <d v="1899-12-30T09:12:38"/>
    <d v="1899-12-30T00:08:19"/>
  </r>
  <r>
    <x v="0"/>
    <d v="2017-07-06T00:00:00"/>
    <d v="1899-12-30T09:05:57"/>
    <d v="1899-12-30T09:07:13"/>
    <d v="1899-12-30T00:01:16"/>
  </r>
  <r>
    <x v="0"/>
    <d v="2017-07-06T00:00:00"/>
    <d v="1899-12-30T09:09:27"/>
    <d v="1899-12-30T09:18:28"/>
    <d v="1899-12-30T00:09:01"/>
  </r>
  <r>
    <x v="0"/>
    <d v="2017-07-06T00:00:00"/>
    <d v="1899-12-30T09:13:12"/>
    <d v="1899-12-30T09:29:35"/>
    <d v="1899-12-30T00:16:23"/>
  </r>
  <r>
    <x v="0"/>
    <d v="2017-07-06T00:00:00"/>
    <d v="1899-12-30T09:18:49"/>
    <d v="1899-12-30T09:23:41"/>
    <d v="1899-12-30T00:04:52"/>
  </r>
  <r>
    <x v="0"/>
    <d v="2017-07-06T00:00:00"/>
    <d v="1899-12-30T09:21:02"/>
    <d v="1899-12-30T09:28:47"/>
    <d v="1899-12-30T00:07:45"/>
  </r>
  <r>
    <x v="0"/>
    <d v="2017-07-06T00:00:00"/>
    <d v="1899-12-30T09:28:19"/>
    <d v="1899-12-30T09:43:13"/>
    <d v="1899-12-30T00:14:54"/>
  </r>
  <r>
    <x v="0"/>
    <d v="2017-07-06T00:00:00"/>
    <d v="1899-12-30T09:30:26"/>
    <d v="1899-12-30T09:34:06"/>
    <d v="1899-12-30T00:03:40"/>
  </r>
  <r>
    <x v="0"/>
    <d v="2017-07-06T00:00:00"/>
    <d v="1899-12-30T09:35:22"/>
    <d v="1899-12-30T09:36:22"/>
    <d v="1899-12-30T00:01:00"/>
  </r>
  <r>
    <x v="0"/>
    <d v="2017-07-06T00:00:00"/>
    <d v="1899-12-30T09:39:41"/>
    <d v="1899-12-30T09:43:59"/>
    <d v="1899-12-30T00:04:18"/>
  </r>
  <r>
    <x v="0"/>
    <d v="2017-07-06T00:00:00"/>
    <d v="1899-12-30T09:44:03"/>
    <d v="1899-12-30T09:56:32"/>
    <d v="1899-12-30T00:12:29"/>
  </r>
  <r>
    <x v="0"/>
    <d v="2017-07-06T00:00:00"/>
    <d v="1899-12-30T09:45:18"/>
    <d v="1899-12-30T09:59:01"/>
    <d v="1899-12-30T00:13:43"/>
  </r>
  <r>
    <x v="0"/>
    <d v="2017-07-06T00:00:00"/>
    <d v="1899-12-30T09:52:27"/>
    <d v="1899-12-30T10:07:14"/>
    <d v="1899-12-30T00:14:47"/>
  </r>
  <r>
    <x v="0"/>
    <d v="2017-07-06T00:00:00"/>
    <d v="1899-12-30T09:54:43"/>
    <d v="1899-12-30T10:04:08"/>
    <d v="1899-12-30T00:09:25"/>
  </r>
  <r>
    <x v="0"/>
    <d v="2017-07-06T00:00:00"/>
    <d v="1899-12-30T09:55:28"/>
    <d v="1899-12-30T10:00:03"/>
    <d v="1899-12-30T00:04:35"/>
  </r>
  <r>
    <x v="0"/>
    <d v="2017-07-06T00:00:00"/>
    <d v="1899-12-30T09:59:36"/>
    <d v="1899-12-30T10:06:29"/>
    <d v="1899-12-30T00:06:53"/>
  </r>
  <r>
    <x v="0"/>
    <d v="2017-07-06T00:00:00"/>
    <d v="1899-12-30T10:00:15"/>
    <d v="1899-12-30T10:09:15"/>
    <d v="1899-12-30T00:09:00"/>
  </r>
  <r>
    <x v="0"/>
    <d v="2017-07-06T00:00:00"/>
    <d v="1899-12-30T10:05:28"/>
    <d v="1899-12-30T10:06:03"/>
    <d v="1899-12-30T00:00:35"/>
  </r>
  <r>
    <x v="0"/>
    <d v="2017-07-06T00:00:00"/>
    <d v="1899-12-30T10:06:53"/>
    <d v="1899-12-30T10:20:21"/>
    <d v="1899-12-30T00:13:28"/>
  </r>
  <r>
    <x v="0"/>
    <d v="2017-07-06T00:00:00"/>
    <d v="1899-12-30T10:11:45"/>
    <d v="1899-12-30T10:23:25"/>
    <d v="1899-12-30T00:11:40"/>
  </r>
  <r>
    <x v="0"/>
    <d v="2017-07-06T00:00:00"/>
    <d v="1899-12-30T10:17:29"/>
    <d v="1899-12-30T10:34:06"/>
    <d v="1899-12-30T00:16:37"/>
  </r>
  <r>
    <x v="0"/>
    <d v="2017-07-06T00:00:00"/>
    <d v="1899-12-30T10:18:03"/>
    <d v="1899-12-30T10:26:52"/>
    <d v="1899-12-30T00:08:49"/>
  </r>
  <r>
    <x v="0"/>
    <d v="2017-07-06T00:00:00"/>
    <d v="1899-12-30T10:19:44"/>
    <d v="1899-12-30T10:25:38"/>
    <d v="1899-12-30T00:05:54"/>
  </r>
  <r>
    <x v="0"/>
    <d v="2017-07-06T00:00:00"/>
    <d v="1899-12-30T10:23:02"/>
    <d v="1899-12-30T10:38:51"/>
    <d v="1899-12-30T00:15:49"/>
  </r>
  <r>
    <x v="0"/>
    <d v="2017-07-06T00:00:00"/>
    <d v="1899-12-30T10:27:42"/>
    <d v="1899-12-30T10:35:26"/>
    <d v="1899-12-30T00:07:44"/>
  </r>
  <r>
    <x v="0"/>
    <d v="2017-07-06T00:00:00"/>
    <d v="1899-12-30T10:34:31"/>
    <d v="1899-12-30T10:37:43"/>
    <d v="1899-12-30T00:03:12"/>
  </r>
  <r>
    <x v="0"/>
    <d v="2017-07-06T00:00:00"/>
    <d v="1899-12-30T10:36:29"/>
    <d v="1899-12-30T10:46:22"/>
    <d v="1899-12-30T00:09:53"/>
  </r>
  <r>
    <x v="0"/>
    <d v="2017-07-06T00:00:00"/>
    <d v="1899-12-30T10:38:39"/>
    <d v="1899-12-30T10:41:13"/>
    <d v="1899-12-30T00:02:34"/>
  </r>
  <r>
    <x v="0"/>
    <d v="2017-07-06T00:00:00"/>
    <d v="1899-12-30T10:40:07"/>
    <d v="1899-12-30T10:46:54"/>
    <d v="1899-12-30T00:06:47"/>
  </r>
  <r>
    <x v="0"/>
    <d v="2017-07-06T00:00:00"/>
    <d v="1899-12-30T10:46:09"/>
    <d v="1899-12-30T10:57:02"/>
    <d v="1899-12-30T00:10:53"/>
  </r>
  <r>
    <x v="0"/>
    <d v="2017-07-06T00:00:00"/>
    <d v="1899-12-30T10:52:03"/>
    <d v="1899-12-30T10:53:24"/>
    <d v="1899-12-30T00:01:21"/>
  </r>
  <r>
    <x v="0"/>
    <d v="2017-07-06T00:00:00"/>
    <d v="1899-12-30T10:53:47"/>
    <d v="1899-12-30T11:08:15"/>
    <d v="1899-12-30T00:14:28"/>
  </r>
  <r>
    <x v="0"/>
    <d v="2017-07-06T00:00:00"/>
    <d v="1899-12-30T11:00:08"/>
    <d v="1899-12-30T11:07:53"/>
    <d v="1899-12-30T00:07:45"/>
  </r>
  <r>
    <x v="0"/>
    <d v="2017-07-06T00:00:00"/>
    <d v="1899-12-30T11:00:17"/>
    <d v="1899-12-30T11:12:07"/>
    <d v="1899-12-30T00:11:50"/>
  </r>
  <r>
    <x v="0"/>
    <d v="2017-07-06T00:00:00"/>
    <d v="1899-12-30T11:04:24"/>
    <d v="1899-12-30T11:14:27"/>
    <d v="1899-12-30T00:10:03"/>
  </r>
  <r>
    <x v="0"/>
    <d v="2017-07-06T00:00:00"/>
    <d v="1899-12-30T11:07:03"/>
    <d v="1899-12-30T11:08:27"/>
    <d v="1899-12-30T00:01:24"/>
  </r>
  <r>
    <x v="0"/>
    <d v="2017-07-06T00:00:00"/>
    <d v="1899-12-30T11:07:17"/>
    <d v="1899-12-30T11:22:56"/>
    <d v="1899-12-30T00:15:39"/>
  </r>
  <r>
    <x v="0"/>
    <d v="2017-07-06T00:00:00"/>
    <d v="1899-12-30T11:14:57"/>
    <d v="1899-12-30T11:21:24"/>
    <d v="1899-12-30T00:06:27"/>
  </r>
  <r>
    <x v="0"/>
    <d v="2017-07-06T00:00:00"/>
    <d v="1899-12-30T11:22:30"/>
    <d v="1899-12-30T11:22:54"/>
    <d v="1899-12-30T00:00:24"/>
  </r>
  <r>
    <x v="0"/>
    <d v="2017-07-06T00:00:00"/>
    <d v="1899-12-30T11:29:16"/>
    <d v="1899-12-30T11:44:30"/>
    <d v="1899-12-30T00:15:14"/>
  </r>
  <r>
    <x v="0"/>
    <d v="2017-07-06T00:00:00"/>
    <d v="1899-12-30T11:31:12"/>
    <d v="1899-12-30T11:38:58"/>
    <d v="1899-12-30T00:07:46"/>
  </r>
  <r>
    <x v="0"/>
    <d v="2017-07-06T00:00:00"/>
    <d v="1899-12-30T11:38:05"/>
    <d v="1899-12-30T11:48:58"/>
    <d v="1899-12-30T00:10:53"/>
  </r>
  <r>
    <x v="0"/>
    <d v="2017-07-06T00:00:00"/>
    <d v="1899-12-30T11:39:55"/>
    <d v="1899-12-30T11:51:06"/>
    <d v="1899-12-30T00:11:11"/>
  </r>
  <r>
    <x v="0"/>
    <d v="2017-07-06T00:00:00"/>
    <d v="1899-12-30T11:43:44"/>
    <d v="1899-12-30T11:50:33"/>
    <d v="1899-12-30T00:06:49"/>
  </r>
  <r>
    <x v="0"/>
    <d v="2017-07-06T00:00:00"/>
    <d v="1899-12-30T11:49:00"/>
    <d v="1899-12-30T11:56:50"/>
    <d v="1899-12-30T00:07:50"/>
  </r>
  <r>
    <x v="0"/>
    <d v="2017-07-06T00:00:00"/>
    <d v="1899-12-30T11:50:58"/>
    <d v="1899-12-30T12:06:17"/>
    <d v="1899-12-30T00:15:19"/>
  </r>
  <r>
    <x v="0"/>
    <d v="2017-07-06T00:00:00"/>
    <d v="1899-12-30T11:51:11"/>
    <d v="1899-12-30T12:06:03"/>
    <d v="1899-12-30T00:14:52"/>
  </r>
  <r>
    <x v="0"/>
    <d v="2017-07-06T00:00:00"/>
    <d v="1899-12-30T11:51:55"/>
    <d v="1899-12-30T11:58:42"/>
    <d v="1899-12-30T00:06:47"/>
  </r>
  <r>
    <x v="0"/>
    <d v="2017-07-06T00:00:00"/>
    <d v="1899-12-30T11:58:43"/>
    <d v="1899-12-30T12:01:25"/>
    <d v="1899-12-30T00:02:42"/>
  </r>
  <r>
    <x v="0"/>
    <d v="2017-07-06T00:00:00"/>
    <d v="1899-12-30T12:04:56"/>
    <d v="1899-12-30T12:20:03"/>
    <d v="1899-12-30T00:15:07"/>
  </r>
  <r>
    <x v="0"/>
    <d v="2017-07-06T00:00:00"/>
    <d v="1899-12-30T12:10:05"/>
    <d v="1899-12-30T12:17:05"/>
    <d v="1899-12-30T00:07:00"/>
  </r>
  <r>
    <x v="0"/>
    <d v="2017-07-06T00:00:00"/>
    <d v="1899-12-30T12:17:09"/>
    <d v="1899-12-30T12:32:57"/>
    <d v="1899-12-30T00:15:48"/>
  </r>
  <r>
    <x v="0"/>
    <d v="2017-07-06T00:00:00"/>
    <d v="1899-12-30T12:20:55"/>
    <d v="1899-12-30T12:22:37"/>
    <d v="1899-12-30T00:01:42"/>
  </r>
  <r>
    <x v="0"/>
    <d v="2017-07-06T00:00:00"/>
    <d v="1899-12-30T12:22:25"/>
    <d v="1899-12-30T12:37:03"/>
    <d v="1899-12-30T00:14:38"/>
  </r>
  <r>
    <x v="0"/>
    <d v="2017-07-06T00:00:00"/>
    <d v="1899-12-30T12:26:46"/>
    <d v="1899-12-30T12:39:59"/>
    <d v="1899-12-30T00:13:13"/>
  </r>
  <r>
    <x v="0"/>
    <d v="2017-07-06T00:00:00"/>
    <d v="1899-12-30T12:31:56"/>
    <d v="1899-12-30T12:45:42"/>
    <d v="1899-12-30T00:13:46"/>
  </r>
  <r>
    <x v="1"/>
    <d v="2017-07-06T00:00:00"/>
    <d v="1899-12-30T12:39:51"/>
    <d v="1899-12-30T12:41:03"/>
    <d v="1899-12-30T00:01:12"/>
  </r>
  <r>
    <x v="0"/>
    <d v="2017-07-06T00:00:00"/>
    <d v="1899-12-30T12:41:37"/>
    <d v="1899-12-30T12:53:52"/>
    <d v="1899-12-30T00:12:15"/>
  </r>
  <r>
    <x v="0"/>
    <d v="2017-07-06T00:00:00"/>
    <d v="1899-12-30T12:43:00"/>
    <d v="1899-12-30T12:43:53"/>
    <d v="1899-12-30T00:00:53"/>
  </r>
  <r>
    <x v="0"/>
    <d v="2017-07-06T00:00:00"/>
    <d v="1899-12-30T12:45:08"/>
    <d v="1899-12-30T12:53:50"/>
    <d v="1899-12-30T00:08:42"/>
  </r>
  <r>
    <x v="0"/>
    <d v="2017-07-06T00:00:00"/>
    <d v="1899-12-30T12:48:23"/>
    <d v="1899-12-30T12:49:58"/>
    <d v="1899-12-30T00:01:35"/>
  </r>
  <r>
    <x v="0"/>
    <d v="2017-07-06T00:00:00"/>
    <d v="1899-12-30T12:54:40"/>
    <d v="1899-12-30T13:04:30"/>
    <d v="1899-12-30T00:09:50"/>
  </r>
  <r>
    <x v="0"/>
    <d v="2017-07-06T00:00:00"/>
    <d v="1899-12-30T12:58:39"/>
    <d v="1899-12-30T13:04:07"/>
    <d v="1899-12-30T00:05:28"/>
  </r>
  <r>
    <x v="0"/>
    <d v="2017-07-06T00:00:00"/>
    <d v="1899-12-30T12:58:47"/>
    <d v="1899-12-30T13:11:56"/>
    <d v="1899-12-30T00:13:09"/>
  </r>
  <r>
    <x v="0"/>
    <d v="2017-07-06T00:00:00"/>
    <d v="1899-12-30T13:00:35"/>
    <d v="1899-12-30T13:11:20"/>
    <d v="1899-12-30T00:10:45"/>
  </r>
  <r>
    <x v="0"/>
    <d v="2017-07-06T00:00:00"/>
    <d v="1899-12-30T13:07:35"/>
    <d v="1899-12-30T13:08:51"/>
    <d v="1899-12-30T00:01:16"/>
  </r>
  <r>
    <x v="0"/>
    <d v="2017-07-06T00:00:00"/>
    <d v="1899-12-30T13:13:40"/>
    <d v="1899-12-30T13:15:35"/>
    <d v="1899-12-30T00:01:55"/>
  </r>
  <r>
    <x v="0"/>
    <d v="2017-07-06T00:00:00"/>
    <d v="1899-12-30T13:15:53"/>
    <d v="1899-12-30T13:26:39"/>
    <d v="1899-12-30T00:10:46"/>
  </r>
  <r>
    <x v="0"/>
    <d v="2017-07-06T00:00:00"/>
    <d v="1899-12-30T13:21:24"/>
    <d v="1899-12-30T13:21:50"/>
    <d v="1899-12-30T00:00:26"/>
  </r>
  <r>
    <x v="0"/>
    <d v="2017-07-06T00:00:00"/>
    <d v="1899-12-30T13:25:58"/>
    <d v="1899-12-30T13:34:22"/>
    <d v="1899-12-30T00:08:24"/>
  </r>
  <r>
    <x v="0"/>
    <d v="2017-07-06T00:00:00"/>
    <d v="1899-12-30T13:26:09"/>
    <d v="1899-12-30T13:41:22"/>
    <d v="1899-12-30T00:15:13"/>
  </r>
  <r>
    <x v="0"/>
    <d v="2017-07-06T00:00:00"/>
    <d v="1899-12-30T13:28:11"/>
    <d v="1899-12-30T13:31:49"/>
    <d v="1899-12-30T00:03:38"/>
  </r>
  <r>
    <x v="0"/>
    <d v="2017-07-06T00:00:00"/>
    <d v="1899-12-30T13:36:04"/>
    <d v="1899-12-30T13:38:23"/>
    <d v="1899-12-30T00:02:19"/>
  </r>
  <r>
    <x v="0"/>
    <d v="2017-07-06T00:00:00"/>
    <d v="1899-12-30T13:37:02"/>
    <d v="1899-12-30T13:53:10"/>
    <d v="1899-12-30T00:16:08"/>
  </r>
  <r>
    <x v="0"/>
    <d v="2017-07-06T00:00:00"/>
    <d v="1899-12-30T13:43:10"/>
    <d v="1899-12-30T13:48:25"/>
    <d v="1899-12-30T00:05:15"/>
  </r>
  <r>
    <x v="0"/>
    <d v="2017-07-06T00:00:00"/>
    <d v="1899-12-30T13:46:33"/>
    <d v="1899-12-30T14:01:01"/>
    <d v="1899-12-30T00:14:28"/>
  </r>
  <r>
    <x v="0"/>
    <d v="2017-07-06T00:00:00"/>
    <d v="1899-12-30T13:49:15"/>
    <d v="1899-12-30T13:54:56"/>
    <d v="1899-12-30T00:05:41"/>
  </r>
  <r>
    <x v="0"/>
    <d v="2017-07-06T00:00:00"/>
    <d v="1899-12-30T13:49:20"/>
    <d v="1899-12-30T13:54:07"/>
    <d v="1899-12-30T00:04:47"/>
  </r>
  <r>
    <x v="0"/>
    <d v="2017-07-06T00:00:00"/>
    <d v="1899-12-30T13:51:25"/>
    <d v="1899-12-30T14:00:50"/>
    <d v="1899-12-30T00:09:25"/>
  </r>
  <r>
    <x v="0"/>
    <d v="2017-07-06T00:00:00"/>
    <d v="1899-12-30T13:59:09"/>
    <d v="1899-12-30T13:59:39"/>
    <d v="1899-12-30T00:00:30"/>
  </r>
  <r>
    <x v="0"/>
    <d v="2017-07-06T00:00:00"/>
    <d v="1899-12-30T14:02:21"/>
    <d v="1899-12-30T14:14:25"/>
    <d v="1899-12-30T00:12:04"/>
  </r>
  <r>
    <x v="0"/>
    <d v="2017-07-06T00:00:00"/>
    <d v="1899-12-30T14:08:01"/>
    <d v="1899-12-30T14:18:27"/>
    <d v="1899-12-30T00:10:26"/>
  </r>
  <r>
    <x v="0"/>
    <d v="2017-07-06T00:00:00"/>
    <d v="1899-12-30T14:12:14"/>
    <d v="1899-12-30T14:15:01"/>
    <d v="1899-12-30T00:02:47"/>
  </r>
  <r>
    <x v="0"/>
    <d v="2017-07-06T00:00:00"/>
    <d v="1899-12-30T14:19:12"/>
    <d v="1899-12-30T14:20:28"/>
    <d v="1899-12-30T00:01:16"/>
  </r>
  <r>
    <x v="0"/>
    <d v="2017-07-06T00:00:00"/>
    <d v="1899-12-30T14:26:07"/>
    <d v="1899-12-30T14:37:26"/>
    <d v="1899-12-30T00:11:19"/>
  </r>
  <r>
    <x v="0"/>
    <d v="2017-07-06T00:00:00"/>
    <d v="1899-12-30T14:27:34"/>
    <d v="1899-12-30T14:35:16"/>
    <d v="1899-12-30T00:07:42"/>
  </r>
  <r>
    <x v="0"/>
    <d v="2017-07-06T00:00:00"/>
    <d v="1899-12-30T14:35:09"/>
    <d v="1899-12-30T14:42:41"/>
    <d v="1899-12-30T00:07:32"/>
  </r>
  <r>
    <x v="0"/>
    <d v="2017-07-06T00:00:00"/>
    <d v="1899-12-30T14:40:53"/>
    <d v="1899-12-30T14:55:56"/>
    <d v="1899-12-30T00:15:03"/>
  </r>
  <r>
    <x v="0"/>
    <d v="2017-07-06T00:00:00"/>
    <d v="1899-12-30T14:44:09"/>
    <d v="1899-12-30T14:58:03"/>
    <d v="1899-12-30T00:13:54"/>
  </r>
  <r>
    <x v="0"/>
    <d v="2017-07-06T00:00:00"/>
    <d v="1899-12-30T14:50:57"/>
    <d v="1899-12-30T14:59:24"/>
    <d v="1899-12-30T00:08:27"/>
  </r>
  <r>
    <x v="0"/>
    <d v="2017-07-06T00:00:00"/>
    <d v="1899-12-30T14:58:14"/>
    <d v="1899-12-30T15:11:31"/>
    <d v="1899-12-30T00:13:17"/>
  </r>
  <r>
    <x v="0"/>
    <d v="2017-07-06T00:00:00"/>
    <d v="1899-12-30T14:58:31"/>
    <d v="1899-12-30T15:02:47"/>
    <d v="1899-12-30T00:04:16"/>
  </r>
  <r>
    <x v="0"/>
    <d v="2017-07-06T00:00:00"/>
    <d v="1899-12-30T14:59:53"/>
    <d v="1899-12-30T15:11:01"/>
    <d v="1899-12-30T00:11:08"/>
  </r>
  <r>
    <x v="0"/>
    <d v="2017-07-06T00:00:00"/>
    <d v="1899-12-30T15:01:39"/>
    <d v="1899-12-30T15:09:50"/>
    <d v="1899-12-30T00:08:11"/>
  </r>
  <r>
    <x v="0"/>
    <d v="2017-07-07T00:00:00"/>
    <d v="1899-12-30T08:04:57"/>
    <d v="1899-12-30T08:19:41"/>
    <d v="1899-12-30T00:14:44"/>
  </r>
  <r>
    <x v="0"/>
    <d v="2017-07-07T00:00:00"/>
    <d v="1899-12-30T08:10:56"/>
    <d v="1899-12-30T08:16:32"/>
    <d v="1899-12-30T00:05:36"/>
  </r>
  <r>
    <x v="0"/>
    <d v="2017-07-07T00:00:00"/>
    <d v="1899-12-30T08:13:45"/>
    <d v="1899-12-30T08:16:54"/>
    <d v="1899-12-30T00:03:09"/>
  </r>
  <r>
    <x v="0"/>
    <d v="2017-07-07T00:00:00"/>
    <d v="1899-12-30T08:16:18"/>
    <d v="1899-12-30T08:21:24"/>
    <d v="1899-12-30T00:05:06"/>
  </r>
  <r>
    <x v="0"/>
    <d v="2017-07-07T00:00:00"/>
    <d v="1899-12-30T08:21:49"/>
    <d v="1899-12-30T08:24:13"/>
    <d v="1899-12-30T00:02:24"/>
  </r>
  <r>
    <x v="0"/>
    <d v="2017-07-07T00:00:00"/>
    <d v="1899-12-30T08:25:53"/>
    <d v="1899-12-30T08:36:57"/>
    <d v="1899-12-30T00:11:04"/>
  </r>
  <r>
    <x v="0"/>
    <d v="2017-07-07T00:00:00"/>
    <d v="1899-12-30T08:34:04"/>
    <d v="1899-12-30T08:46:16"/>
    <d v="1899-12-30T00:12:12"/>
  </r>
  <r>
    <x v="0"/>
    <d v="2017-07-07T00:00:00"/>
    <d v="1899-12-30T08:38:37"/>
    <d v="1899-12-30T08:47:51"/>
    <d v="1899-12-30T00:09:14"/>
  </r>
  <r>
    <x v="0"/>
    <d v="2017-07-07T00:00:00"/>
    <d v="1899-12-30T08:39:24"/>
    <d v="1899-12-30T08:46:39"/>
    <d v="1899-12-30T00:07:15"/>
  </r>
  <r>
    <x v="0"/>
    <d v="2017-07-07T00:00:00"/>
    <d v="1899-12-30T08:41:39"/>
    <d v="1899-12-30T08:43:39"/>
    <d v="1899-12-30T00:02:00"/>
  </r>
  <r>
    <x v="0"/>
    <d v="2017-07-07T00:00:00"/>
    <d v="1899-12-30T08:42:15"/>
    <d v="1899-12-30T08:47:22"/>
    <d v="1899-12-30T00:05:07"/>
  </r>
  <r>
    <x v="0"/>
    <d v="2017-07-07T00:00:00"/>
    <d v="1899-12-30T08:46:49"/>
    <d v="1899-12-30T09:03:01"/>
    <d v="1899-12-30T00:16:12"/>
  </r>
  <r>
    <x v="0"/>
    <d v="2017-07-07T00:00:00"/>
    <d v="1899-12-30T08:51:09"/>
    <d v="1899-12-30T08:51:50"/>
    <d v="1899-12-30T00:00:41"/>
  </r>
  <r>
    <x v="0"/>
    <d v="2017-07-07T00:00:00"/>
    <d v="1899-12-30T08:52:45"/>
    <d v="1899-12-30T08:54:57"/>
    <d v="1899-12-30T00:02:12"/>
  </r>
  <r>
    <x v="0"/>
    <d v="2017-07-07T00:00:00"/>
    <d v="1899-12-30T08:54:25"/>
    <d v="1899-12-30T09:00:30"/>
    <d v="1899-12-30T00:06:05"/>
  </r>
  <r>
    <x v="0"/>
    <d v="2017-07-07T00:00:00"/>
    <d v="1899-12-30T08:55:58"/>
    <d v="1899-12-30T09:06:34"/>
    <d v="1899-12-30T00:10:36"/>
  </r>
  <r>
    <x v="0"/>
    <d v="2017-07-07T00:00:00"/>
    <d v="1899-12-30T08:59:13"/>
    <d v="1899-12-30T09:09:18"/>
    <d v="1899-12-30T00:10:05"/>
  </r>
  <r>
    <x v="0"/>
    <d v="2017-07-07T00:00:00"/>
    <d v="1899-12-30T09:02:31"/>
    <d v="1899-12-30T09:09:58"/>
    <d v="1899-12-30T00:07:27"/>
  </r>
  <r>
    <x v="0"/>
    <d v="2017-07-07T00:00:00"/>
    <d v="1899-12-30T09:04:02"/>
    <d v="1899-12-30T09:06:09"/>
    <d v="1899-12-30T00:02:07"/>
  </r>
  <r>
    <x v="0"/>
    <d v="2017-07-07T00:00:00"/>
    <d v="1899-12-30T09:07:11"/>
    <d v="1899-12-30T09:13:27"/>
    <d v="1899-12-30T00:06:16"/>
  </r>
  <r>
    <x v="0"/>
    <d v="2017-07-07T00:00:00"/>
    <d v="1899-12-30T09:12:21"/>
    <d v="1899-12-30T09:21:06"/>
    <d v="1899-12-30T00:08:45"/>
  </r>
  <r>
    <x v="0"/>
    <d v="2017-07-07T00:00:00"/>
    <d v="1899-12-30T09:20:29"/>
    <d v="1899-12-30T09:22:59"/>
    <d v="1899-12-30T00:02:30"/>
  </r>
  <r>
    <x v="0"/>
    <d v="2017-07-07T00:00:00"/>
    <d v="1899-12-30T09:22:55"/>
    <d v="1899-12-30T09:30:32"/>
    <d v="1899-12-30T00:07:37"/>
  </r>
  <r>
    <x v="0"/>
    <d v="2017-07-07T00:00:00"/>
    <d v="1899-12-30T09:24:26"/>
    <d v="1899-12-30T09:28:36"/>
    <d v="1899-12-30T00:04:10"/>
  </r>
  <r>
    <x v="0"/>
    <d v="2017-07-07T00:00:00"/>
    <d v="1899-12-30T09:32:08"/>
    <d v="1899-12-30T09:45:55"/>
    <d v="1899-12-30T00:13:47"/>
  </r>
  <r>
    <x v="0"/>
    <d v="2017-07-07T00:00:00"/>
    <d v="1899-12-30T09:40:05"/>
    <d v="1899-12-30T09:51:43"/>
    <d v="1899-12-30T00:11:38"/>
  </r>
  <r>
    <x v="0"/>
    <d v="2017-07-07T00:00:00"/>
    <d v="1899-12-30T09:41:44"/>
    <d v="1899-12-30T09:53:27"/>
    <d v="1899-12-30T00:11:43"/>
  </r>
  <r>
    <x v="0"/>
    <d v="2017-07-07T00:00:00"/>
    <d v="1899-12-30T09:43:42"/>
    <d v="1899-12-30T09:48:47"/>
    <d v="1899-12-30T00:05:05"/>
  </r>
  <r>
    <x v="0"/>
    <d v="2017-07-07T00:00:00"/>
    <d v="1899-12-30T09:50:46"/>
    <d v="1899-12-30T09:51:20"/>
    <d v="1899-12-30T00:00:34"/>
  </r>
  <r>
    <x v="0"/>
    <d v="2017-07-07T00:00:00"/>
    <d v="1899-12-30T09:50:54"/>
    <d v="1899-12-30T09:58:44"/>
    <d v="1899-12-30T00:07:50"/>
  </r>
  <r>
    <x v="0"/>
    <d v="2017-07-07T00:00:00"/>
    <d v="1899-12-30T09:53:59"/>
    <d v="1899-12-30T09:55:08"/>
    <d v="1899-12-30T00:01:09"/>
  </r>
  <r>
    <x v="0"/>
    <d v="2017-07-07T00:00:00"/>
    <d v="1899-12-30T09:54:09"/>
    <d v="1899-12-30T09:57:54"/>
    <d v="1899-12-30T00:03:45"/>
  </r>
  <r>
    <x v="0"/>
    <d v="2017-07-07T00:00:00"/>
    <d v="1899-12-30T10:00:12"/>
    <d v="1899-12-30T10:11:07"/>
    <d v="1899-12-30T00:10:55"/>
  </r>
  <r>
    <x v="0"/>
    <d v="2017-07-07T00:00:00"/>
    <d v="1899-12-30T10:02:21"/>
    <d v="1899-12-30T10:14:58"/>
    <d v="1899-12-30T00:12:37"/>
  </r>
  <r>
    <x v="0"/>
    <d v="2017-07-07T00:00:00"/>
    <d v="1899-12-30T10:04:40"/>
    <d v="1899-12-30T10:09:57"/>
    <d v="1899-12-30T00:05:17"/>
  </r>
  <r>
    <x v="0"/>
    <d v="2017-07-07T00:00:00"/>
    <d v="1899-12-30T10:06:57"/>
    <d v="1899-12-30T10:15:24"/>
    <d v="1899-12-30T00:08:27"/>
  </r>
  <r>
    <x v="0"/>
    <d v="2017-07-07T00:00:00"/>
    <d v="1899-12-30T10:12:51"/>
    <d v="1899-12-30T10:25:53"/>
    <d v="1899-12-30T00:13:02"/>
  </r>
  <r>
    <x v="0"/>
    <d v="2017-07-07T00:00:00"/>
    <d v="1899-12-30T10:19:26"/>
    <d v="1899-12-30T10:35:23"/>
    <d v="1899-12-30T00:15:57"/>
  </r>
  <r>
    <x v="0"/>
    <d v="2017-07-07T00:00:00"/>
    <d v="1899-12-30T10:21:19"/>
    <d v="1899-12-30T10:21:58"/>
    <d v="1899-12-30T00:00:39"/>
  </r>
  <r>
    <x v="0"/>
    <d v="2017-07-07T00:00:00"/>
    <d v="1899-12-30T10:23:43"/>
    <d v="1899-12-30T10:30:53"/>
    <d v="1899-12-30T00:07:10"/>
  </r>
  <r>
    <x v="0"/>
    <d v="2017-07-07T00:00:00"/>
    <d v="1899-12-30T10:30:02"/>
    <d v="1899-12-30T10:45:13"/>
    <d v="1899-12-30T00:15:11"/>
  </r>
  <r>
    <x v="0"/>
    <d v="2017-07-07T00:00:00"/>
    <d v="1899-12-30T10:36:15"/>
    <d v="1899-12-30T10:41:59"/>
    <d v="1899-12-30T00:05:44"/>
  </r>
  <r>
    <x v="0"/>
    <d v="2017-07-07T00:00:00"/>
    <d v="1899-12-30T10:41:26"/>
    <d v="1899-12-30T10:51:55"/>
    <d v="1899-12-30T00:10:29"/>
  </r>
  <r>
    <x v="0"/>
    <d v="2017-07-07T00:00:00"/>
    <d v="1899-12-30T10:44:46"/>
    <d v="1899-12-30T10:54:29"/>
    <d v="1899-12-30T00:09:43"/>
  </r>
  <r>
    <x v="0"/>
    <d v="2017-07-07T00:00:00"/>
    <d v="1899-12-30T10:46:57"/>
    <d v="1899-12-30T10:57:36"/>
    <d v="1899-12-30T00:10:39"/>
  </r>
  <r>
    <x v="0"/>
    <d v="2017-07-07T00:00:00"/>
    <d v="1899-12-30T10:49:19"/>
    <d v="1899-12-30T11:00:28"/>
    <d v="1899-12-30T00:11:09"/>
  </r>
  <r>
    <x v="0"/>
    <d v="2017-07-07T00:00:00"/>
    <d v="1899-12-30T10:54:00"/>
    <d v="1899-12-30T11:04:38"/>
    <d v="1899-12-30T00:10:38"/>
  </r>
  <r>
    <x v="0"/>
    <d v="2017-07-07T00:00:00"/>
    <d v="1899-12-30T11:01:41"/>
    <d v="1899-12-30T11:03:43"/>
    <d v="1899-12-30T00:02:02"/>
  </r>
  <r>
    <x v="0"/>
    <d v="2017-07-07T00:00:00"/>
    <d v="1899-12-30T11:02:08"/>
    <d v="1899-12-30T11:04:32"/>
    <d v="1899-12-30T00:02:24"/>
  </r>
  <r>
    <x v="0"/>
    <d v="2017-07-07T00:00:00"/>
    <d v="1899-12-30T11:07:33"/>
    <d v="1899-12-30T11:14:02"/>
    <d v="1899-12-30T00:06:29"/>
  </r>
  <r>
    <x v="0"/>
    <d v="2017-07-07T00:00:00"/>
    <d v="1899-12-30T11:15:14"/>
    <d v="1899-12-30T11:19:49"/>
    <d v="1899-12-30T00:04:35"/>
  </r>
  <r>
    <x v="0"/>
    <d v="2017-07-07T00:00:00"/>
    <d v="1899-12-30T11:18:38"/>
    <d v="1899-12-30T11:23:39"/>
    <d v="1899-12-30T00:05:01"/>
  </r>
  <r>
    <x v="0"/>
    <d v="2017-07-07T00:00:00"/>
    <d v="1899-12-30T11:20:55"/>
    <d v="1899-12-30T11:23:42"/>
    <d v="1899-12-30T00:02:47"/>
  </r>
  <r>
    <x v="0"/>
    <d v="2017-07-07T00:00:00"/>
    <d v="1899-12-30T11:22:42"/>
    <d v="1899-12-30T11:38:54"/>
    <d v="1899-12-30T00:16:12"/>
  </r>
  <r>
    <x v="0"/>
    <d v="2017-07-07T00:00:00"/>
    <d v="1899-12-30T11:24:53"/>
    <d v="1899-12-30T11:30:29"/>
    <d v="1899-12-30T00:05:36"/>
  </r>
  <r>
    <x v="0"/>
    <d v="2017-07-07T00:00:00"/>
    <d v="1899-12-30T11:29:32"/>
    <d v="1899-12-30T11:41:04"/>
    <d v="1899-12-30T00:11:32"/>
  </r>
  <r>
    <x v="0"/>
    <d v="2017-07-07T00:00:00"/>
    <d v="1899-12-30T11:36:41"/>
    <d v="1899-12-30T11:49:27"/>
    <d v="1899-12-30T00:12:46"/>
  </r>
  <r>
    <x v="0"/>
    <d v="2017-07-07T00:00:00"/>
    <d v="1899-12-30T11:41:16"/>
    <d v="1899-12-30T11:43:56"/>
    <d v="1899-12-30T00:02:40"/>
  </r>
  <r>
    <x v="0"/>
    <d v="2017-07-07T00:00:00"/>
    <d v="1899-12-30T11:48:34"/>
    <d v="1899-12-30T12:01:15"/>
    <d v="1899-12-30T00:12:41"/>
  </r>
  <r>
    <x v="0"/>
    <d v="2017-07-07T00:00:00"/>
    <d v="1899-12-30T11:55:14"/>
    <d v="1899-12-30T12:03:50"/>
    <d v="1899-12-30T00:08:36"/>
  </r>
  <r>
    <x v="0"/>
    <d v="2017-07-07T00:00:00"/>
    <d v="1899-12-30T12:03:21"/>
    <d v="1899-12-30T12:05:04"/>
    <d v="1899-12-30T00:01:43"/>
  </r>
  <r>
    <x v="0"/>
    <d v="2017-07-07T00:00:00"/>
    <d v="1899-12-30T12:07:11"/>
    <d v="1899-12-30T12:11:38"/>
    <d v="1899-12-30T00:04:27"/>
  </r>
  <r>
    <x v="0"/>
    <d v="2017-07-07T00:00:00"/>
    <d v="1899-12-30T12:12:43"/>
    <d v="1899-12-30T12:14:23"/>
    <d v="1899-12-30T00:01:40"/>
  </r>
  <r>
    <x v="0"/>
    <d v="2017-07-07T00:00:00"/>
    <d v="1899-12-30T12:18:03"/>
    <d v="1899-12-30T12:28:26"/>
    <d v="1899-12-30T00:10:23"/>
  </r>
  <r>
    <x v="0"/>
    <d v="2017-07-07T00:00:00"/>
    <d v="1899-12-30T12:25:07"/>
    <d v="1899-12-30T12:31:04"/>
    <d v="1899-12-30T00:05:57"/>
  </r>
  <r>
    <x v="0"/>
    <d v="2017-07-07T00:00:00"/>
    <d v="1899-12-30T12:27:07"/>
    <d v="1899-12-30T12:36:39"/>
    <d v="1899-12-30T00:09:32"/>
  </r>
  <r>
    <x v="0"/>
    <d v="2017-07-07T00:00:00"/>
    <d v="1899-12-30T12:33:57"/>
    <d v="1899-12-30T12:44:35"/>
    <d v="1899-12-30T00:10:38"/>
  </r>
  <r>
    <x v="0"/>
    <d v="2017-07-07T00:00:00"/>
    <d v="1899-12-30T12:35:47"/>
    <d v="1899-12-30T12:47:58"/>
    <d v="1899-12-30T00:12:11"/>
  </r>
  <r>
    <x v="0"/>
    <d v="2017-07-07T00:00:00"/>
    <d v="1899-12-30T12:38:45"/>
    <d v="1899-12-30T12:47:02"/>
    <d v="1899-12-30T00:08:17"/>
  </r>
  <r>
    <x v="0"/>
    <d v="2017-07-07T00:00:00"/>
    <d v="1899-12-30T12:42:04"/>
    <d v="1899-12-30T12:53:22"/>
    <d v="1899-12-30T00:11:18"/>
  </r>
  <r>
    <x v="0"/>
    <d v="2017-07-07T00:00:00"/>
    <d v="1899-12-30T12:42:41"/>
    <d v="1899-12-30T12:51:57"/>
    <d v="1899-12-30T00:09:16"/>
  </r>
  <r>
    <x v="0"/>
    <d v="2017-07-07T00:00:00"/>
    <d v="1899-12-30T12:42:45"/>
    <d v="1899-12-30T12:55:40"/>
    <d v="1899-12-30T00:12:55"/>
  </r>
  <r>
    <x v="0"/>
    <d v="2017-07-07T00:00:00"/>
    <d v="1899-12-30T12:48:34"/>
    <d v="1899-12-30T12:58:47"/>
    <d v="1899-12-30T00:10:13"/>
  </r>
  <r>
    <x v="0"/>
    <d v="2017-07-07T00:00:00"/>
    <d v="1899-12-30T12:49:48"/>
    <d v="1899-12-30T13:05:16"/>
    <d v="1899-12-30T00:15:28"/>
  </r>
  <r>
    <x v="0"/>
    <d v="2017-07-07T00:00:00"/>
    <d v="1899-12-30T12:55:30"/>
    <d v="1899-12-30T12:55:44"/>
    <d v="1899-12-30T00:00:14"/>
  </r>
  <r>
    <x v="0"/>
    <d v="2017-07-07T00:00:00"/>
    <d v="1899-12-30T12:59:35"/>
    <d v="1899-12-30T13:15:39"/>
    <d v="1899-12-30T00:16:04"/>
  </r>
  <r>
    <x v="0"/>
    <d v="2017-07-07T00:00:00"/>
    <d v="1899-12-30T13:02:00"/>
    <d v="1899-12-30T13:04:00"/>
    <d v="1899-12-30T00:02:00"/>
  </r>
  <r>
    <x v="0"/>
    <d v="2017-07-07T00:00:00"/>
    <d v="1899-12-30T13:02:35"/>
    <d v="1899-12-30T13:12:03"/>
    <d v="1899-12-30T00:09:28"/>
  </r>
  <r>
    <x v="0"/>
    <d v="2017-07-07T00:00:00"/>
    <d v="1899-12-30T13:02:58"/>
    <d v="1899-12-30T13:09:56"/>
    <d v="1899-12-30T00:06:58"/>
  </r>
  <r>
    <x v="0"/>
    <d v="2017-07-07T00:00:00"/>
    <d v="1899-12-30T13:03:04"/>
    <d v="1899-12-30T13:07:23"/>
    <d v="1899-12-30T00:04:19"/>
  </r>
  <r>
    <x v="0"/>
    <d v="2017-07-07T00:00:00"/>
    <d v="1899-12-30T13:08:26"/>
    <d v="1899-12-30T13:10:06"/>
    <d v="1899-12-30T00:01:40"/>
  </r>
  <r>
    <x v="0"/>
    <d v="2017-07-07T00:00:00"/>
    <d v="1899-12-30T13:09:58"/>
    <d v="1899-12-30T13:22:25"/>
    <d v="1899-12-30T00:12:27"/>
  </r>
  <r>
    <x v="0"/>
    <d v="2017-07-07T00:00:00"/>
    <d v="1899-12-30T13:17:14"/>
    <d v="1899-12-30T13:23:48"/>
    <d v="1899-12-30T00:06:34"/>
  </r>
  <r>
    <x v="0"/>
    <d v="2017-07-07T00:00:00"/>
    <d v="1899-12-30T13:19:40"/>
    <d v="1899-12-30T13:35:01"/>
    <d v="1899-12-30T00:15:21"/>
  </r>
  <r>
    <x v="0"/>
    <d v="2017-07-07T00:00:00"/>
    <d v="1899-12-30T13:26:41"/>
    <d v="1899-12-30T13:37:41"/>
    <d v="1899-12-30T00:11:00"/>
  </r>
  <r>
    <x v="0"/>
    <d v="2017-07-07T00:00:00"/>
    <d v="1899-12-30T13:31:24"/>
    <d v="1899-12-30T13:43:04"/>
    <d v="1899-12-30T00:11:40"/>
  </r>
  <r>
    <x v="0"/>
    <d v="2017-07-07T00:00:00"/>
    <d v="1899-12-30T13:37:51"/>
    <d v="1899-12-30T13:49:23"/>
    <d v="1899-12-30T00:11:32"/>
  </r>
  <r>
    <x v="0"/>
    <d v="2017-07-07T00:00:00"/>
    <d v="1899-12-30T13:42:09"/>
    <d v="1899-12-30T13:50:13"/>
    <d v="1899-12-30T00:08:04"/>
  </r>
  <r>
    <x v="0"/>
    <d v="2017-07-07T00:00:00"/>
    <d v="1899-12-30T13:48:20"/>
    <d v="1899-12-30T13:48:31"/>
    <d v="1899-12-30T00:00:11"/>
  </r>
  <r>
    <x v="0"/>
    <d v="2017-07-07T00:00:00"/>
    <d v="1899-12-30T13:51:52"/>
    <d v="1899-12-30T14:04:22"/>
    <d v="1899-12-30T00:12:30"/>
  </r>
  <r>
    <x v="0"/>
    <d v="2017-07-07T00:00:00"/>
    <d v="1899-12-30T13:54:05"/>
    <d v="1899-12-30T14:07:02"/>
    <d v="1899-12-30T00:12:57"/>
  </r>
  <r>
    <x v="0"/>
    <d v="2017-07-07T00:00:00"/>
    <d v="1899-12-30T14:02:11"/>
    <d v="1899-12-30T14:05:10"/>
    <d v="1899-12-30T00:02:59"/>
  </r>
  <r>
    <x v="0"/>
    <d v="2017-07-07T00:00:00"/>
    <d v="1899-12-30T14:02:31"/>
    <d v="1899-12-30T14:04:21"/>
    <d v="1899-12-30T00:01:50"/>
  </r>
  <r>
    <x v="0"/>
    <d v="2017-07-07T00:00:00"/>
    <d v="1899-12-30T14:07:11"/>
    <d v="1899-12-30T14:13:36"/>
    <d v="1899-12-30T00:06:25"/>
  </r>
  <r>
    <x v="0"/>
    <d v="2017-07-07T00:00:00"/>
    <d v="1899-12-30T14:13:39"/>
    <d v="1899-12-30T14:15:00"/>
    <d v="1899-12-30T00:01:21"/>
  </r>
  <r>
    <x v="0"/>
    <d v="2017-07-07T00:00:00"/>
    <d v="1899-12-30T14:19:17"/>
    <d v="1899-12-30T14:30:16"/>
    <d v="1899-12-30T00:10:59"/>
  </r>
  <r>
    <x v="0"/>
    <d v="2017-07-07T00:00:00"/>
    <d v="1899-12-30T14:24:43"/>
    <d v="1899-12-30T14:39:56"/>
    <d v="1899-12-30T00:15:13"/>
  </r>
  <r>
    <x v="0"/>
    <d v="2017-07-07T00:00:00"/>
    <d v="1899-12-30T14:29:30"/>
    <d v="1899-12-30T14:32:29"/>
    <d v="1899-12-30T00:02:59"/>
  </r>
  <r>
    <x v="0"/>
    <d v="2017-07-07T00:00:00"/>
    <d v="1899-12-30T14:34:55"/>
    <d v="1899-12-30T14:38:31"/>
    <d v="1899-12-30T00:03:36"/>
  </r>
  <r>
    <x v="0"/>
    <d v="2017-07-07T00:00:00"/>
    <d v="1899-12-30T14:37:24"/>
    <d v="1899-12-30T14:54:02"/>
    <d v="1899-12-30T00:16:38"/>
  </r>
  <r>
    <x v="1"/>
    <d v="2017-07-07T00:00:00"/>
    <d v="1899-12-30T14:44:20"/>
    <d v="1899-12-30T14:57:44"/>
    <d v="1899-12-30T00:13:24"/>
  </r>
  <r>
    <x v="0"/>
    <d v="2017-07-07T00:00:00"/>
    <d v="1899-12-30T14:46:26"/>
    <d v="1899-12-30T14:52:02"/>
    <d v="1899-12-30T00:05:36"/>
  </r>
  <r>
    <x v="0"/>
    <d v="2017-07-07T00:00:00"/>
    <d v="1899-12-30T14:51:23"/>
    <d v="1899-12-30T15:05:12"/>
    <d v="1899-12-30T00:13:49"/>
  </r>
  <r>
    <x v="0"/>
    <d v="2017-07-07T00:00:00"/>
    <d v="1899-12-30T14:57:13"/>
    <d v="1899-12-30T15:11:56"/>
    <d v="1899-12-30T00:14:43"/>
  </r>
  <r>
    <x v="0"/>
    <d v="2017-07-07T00:00:00"/>
    <d v="1899-12-30T15:00:32"/>
    <d v="1899-12-30T15:14:23"/>
    <d v="1899-12-30T00:13:51"/>
  </r>
  <r>
    <x v="0"/>
    <d v="2017-07-10T00:00:00"/>
    <d v="1899-12-30T08:06:08"/>
    <d v="1899-12-30T08:22:17"/>
    <d v="1899-12-30T00:16:09"/>
  </r>
  <r>
    <x v="0"/>
    <d v="2017-07-10T00:00:00"/>
    <d v="1899-12-30T08:09:50"/>
    <d v="1899-12-30T08:23:18"/>
    <d v="1899-12-30T00:13:28"/>
  </r>
  <r>
    <x v="0"/>
    <d v="2017-07-10T00:00:00"/>
    <d v="1899-12-30T08:14:06"/>
    <d v="1899-12-30T08:14:59"/>
    <d v="1899-12-30T00:00:53"/>
  </r>
  <r>
    <x v="0"/>
    <d v="2017-07-10T00:00:00"/>
    <d v="1899-12-30T08:14:51"/>
    <d v="1899-12-30T08:22:58"/>
    <d v="1899-12-30T00:08:07"/>
  </r>
  <r>
    <x v="0"/>
    <d v="2017-07-10T00:00:00"/>
    <d v="1899-12-30T08:21:04"/>
    <d v="1899-12-30T08:34:29"/>
    <d v="1899-12-30T00:13:25"/>
  </r>
  <r>
    <x v="0"/>
    <d v="2017-07-10T00:00:00"/>
    <d v="1899-12-30T08:27:36"/>
    <d v="1899-12-30T08:28:01"/>
    <d v="1899-12-30T00:00:25"/>
  </r>
  <r>
    <x v="0"/>
    <d v="2017-07-10T00:00:00"/>
    <d v="1899-12-30T08:30:58"/>
    <d v="1899-12-30T08:34:04"/>
    <d v="1899-12-30T00:03:06"/>
  </r>
  <r>
    <x v="0"/>
    <d v="2017-07-10T00:00:00"/>
    <d v="1899-12-30T08:34:57"/>
    <d v="1899-12-30T08:37:42"/>
    <d v="1899-12-30T00:02:45"/>
  </r>
  <r>
    <x v="0"/>
    <d v="2017-07-10T00:00:00"/>
    <d v="1899-12-30T08:42:28"/>
    <d v="1899-12-30T08:54:09"/>
    <d v="1899-12-30T00:11:41"/>
  </r>
  <r>
    <x v="0"/>
    <d v="2017-07-10T00:00:00"/>
    <d v="1899-12-30T08:49:58"/>
    <d v="1899-12-30T09:00:57"/>
    <d v="1899-12-30T00:10:59"/>
  </r>
  <r>
    <x v="0"/>
    <d v="2017-07-10T00:00:00"/>
    <d v="1899-12-30T08:51:18"/>
    <d v="1899-12-30T09:02:14"/>
    <d v="1899-12-30T00:10:56"/>
  </r>
  <r>
    <x v="0"/>
    <d v="2017-07-10T00:00:00"/>
    <d v="1899-12-30T08:52:45"/>
    <d v="1899-12-30T09:07:02"/>
    <d v="1899-12-30T00:14:17"/>
  </r>
  <r>
    <x v="0"/>
    <d v="2017-07-10T00:00:00"/>
    <d v="1899-12-30T08:53:01"/>
    <d v="1899-12-30T09:00:25"/>
    <d v="1899-12-30T00:07:24"/>
  </r>
  <r>
    <x v="0"/>
    <d v="2017-07-10T00:00:00"/>
    <d v="1899-12-30T08:53:46"/>
    <d v="1899-12-30T09:01:03"/>
    <d v="1899-12-30T00:07:17"/>
  </r>
  <r>
    <x v="0"/>
    <d v="2017-07-10T00:00:00"/>
    <d v="1899-12-30T08:55:47"/>
    <d v="1899-12-30T08:57:35"/>
    <d v="1899-12-30T00:01:48"/>
  </r>
  <r>
    <x v="0"/>
    <d v="2017-07-10T00:00:00"/>
    <d v="1899-12-30T09:03:34"/>
    <d v="1899-12-30T09:15:59"/>
    <d v="1899-12-30T00:12:25"/>
  </r>
  <r>
    <x v="0"/>
    <d v="2017-07-10T00:00:00"/>
    <d v="1899-12-30T09:06:12"/>
    <d v="1899-12-30T09:17:05"/>
    <d v="1899-12-30T00:10:53"/>
  </r>
  <r>
    <x v="0"/>
    <d v="2017-07-10T00:00:00"/>
    <d v="1899-12-30T09:07:47"/>
    <d v="1899-12-30T09:14:11"/>
    <d v="1899-12-30T00:06:24"/>
  </r>
  <r>
    <x v="0"/>
    <d v="2017-07-10T00:00:00"/>
    <d v="1899-12-30T09:12:20"/>
    <d v="1899-12-30T09:27:31"/>
    <d v="1899-12-30T00:15:11"/>
  </r>
  <r>
    <x v="0"/>
    <d v="2017-07-10T00:00:00"/>
    <d v="1899-12-30T09:17:30"/>
    <d v="1899-12-30T09:25:50"/>
    <d v="1899-12-30T00:08:20"/>
  </r>
  <r>
    <x v="0"/>
    <d v="2017-07-10T00:00:00"/>
    <d v="1899-12-30T09:20:45"/>
    <d v="1899-12-30T09:34:07"/>
    <d v="1899-12-30T00:13:22"/>
  </r>
  <r>
    <x v="0"/>
    <d v="2017-07-10T00:00:00"/>
    <d v="1899-12-30T09:24:23"/>
    <d v="1899-12-30T09:31:52"/>
    <d v="1899-12-30T00:07:29"/>
  </r>
  <r>
    <x v="0"/>
    <d v="2017-07-10T00:00:00"/>
    <d v="1899-12-30T09:26:02"/>
    <d v="1899-12-30T09:27:05"/>
    <d v="1899-12-30T00:01:03"/>
  </r>
  <r>
    <x v="0"/>
    <d v="2017-07-10T00:00:00"/>
    <d v="1899-12-30T09:33:45"/>
    <d v="1899-12-30T09:47:33"/>
    <d v="1899-12-30T00:13:48"/>
  </r>
  <r>
    <x v="0"/>
    <d v="2017-07-10T00:00:00"/>
    <d v="1899-12-30T09:39:49"/>
    <d v="1899-12-30T09:40:06"/>
    <d v="1899-12-30T00:00:17"/>
  </r>
  <r>
    <x v="0"/>
    <d v="2017-07-10T00:00:00"/>
    <d v="1899-12-30T09:45:32"/>
    <d v="1899-12-30T09:52:52"/>
    <d v="1899-12-30T00:07:20"/>
  </r>
  <r>
    <x v="0"/>
    <d v="2017-07-10T00:00:00"/>
    <d v="1899-12-30T09:50:22"/>
    <d v="1899-12-30T10:04:03"/>
    <d v="1899-12-30T00:13:41"/>
  </r>
  <r>
    <x v="0"/>
    <d v="2017-07-10T00:00:00"/>
    <d v="1899-12-30T09:56:29"/>
    <d v="1899-12-30T10:12:43"/>
    <d v="1899-12-30T00:16:14"/>
  </r>
  <r>
    <x v="0"/>
    <d v="2017-07-10T00:00:00"/>
    <d v="1899-12-30T09:58:22"/>
    <d v="1899-12-30T10:13:21"/>
    <d v="1899-12-30T00:14:59"/>
  </r>
  <r>
    <x v="0"/>
    <d v="2017-07-10T00:00:00"/>
    <d v="1899-12-30T10:00:59"/>
    <d v="1899-12-30T10:16:39"/>
    <d v="1899-12-30T00:15:40"/>
  </r>
  <r>
    <x v="0"/>
    <d v="2017-07-10T00:00:00"/>
    <d v="1899-12-30T10:02:50"/>
    <d v="1899-12-30T10:17:26"/>
    <d v="1899-12-30T00:14:36"/>
  </r>
  <r>
    <x v="0"/>
    <d v="2017-07-10T00:00:00"/>
    <d v="1899-12-30T10:04:50"/>
    <d v="1899-12-30T10:14:53"/>
    <d v="1899-12-30T00:10:03"/>
  </r>
  <r>
    <x v="0"/>
    <d v="2017-07-10T00:00:00"/>
    <d v="1899-12-30T10:10:31"/>
    <d v="1899-12-30T10:24:02"/>
    <d v="1899-12-30T00:13:31"/>
  </r>
  <r>
    <x v="0"/>
    <d v="2017-07-10T00:00:00"/>
    <d v="1899-12-30T10:18:05"/>
    <d v="1899-12-30T10:32:51"/>
    <d v="1899-12-30T00:14:46"/>
  </r>
  <r>
    <x v="0"/>
    <d v="2017-07-10T00:00:00"/>
    <d v="1899-12-30T10:26:03"/>
    <d v="1899-12-30T10:27:42"/>
    <d v="1899-12-30T00:01:39"/>
  </r>
  <r>
    <x v="1"/>
    <d v="2017-07-10T00:00:00"/>
    <d v="1899-12-30T10:33:03"/>
    <d v="1899-12-30T10:49:16"/>
    <d v="1899-12-30T00:16:13"/>
  </r>
  <r>
    <x v="0"/>
    <d v="2017-07-10T00:00:00"/>
    <d v="1899-12-30T10:36:38"/>
    <d v="1899-12-30T10:38:55"/>
    <d v="1899-12-30T00:02:17"/>
  </r>
  <r>
    <x v="0"/>
    <d v="2017-07-10T00:00:00"/>
    <d v="1899-12-30T10:41:51"/>
    <d v="1899-12-30T10:55:01"/>
    <d v="1899-12-30T00:13:10"/>
  </r>
  <r>
    <x v="0"/>
    <d v="2017-07-10T00:00:00"/>
    <d v="1899-12-30T10:42:08"/>
    <d v="1899-12-30T10:48:23"/>
    <d v="1899-12-30T00:06:15"/>
  </r>
  <r>
    <x v="0"/>
    <d v="2017-07-10T00:00:00"/>
    <d v="1899-12-30T10:42:50"/>
    <d v="1899-12-30T10:49:17"/>
    <d v="1899-12-30T00:06:27"/>
  </r>
  <r>
    <x v="0"/>
    <d v="2017-07-10T00:00:00"/>
    <d v="1899-12-30T10:49:32"/>
    <d v="1899-12-30T10:56:41"/>
    <d v="1899-12-30T00:07:09"/>
  </r>
  <r>
    <x v="0"/>
    <d v="2017-07-10T00:00:00"/>
    <d v="1899-12-30T10:57:33"/>
    <d v="1899-12-30T11:09:51"/>
    <d v="1899-12-30T00:12:18"/>
  </r>
  <r>
    <x v="0"/>
    <d v="2017-07-10T00:00:00"/>
    <d v="1899-12-30T11:03:58"/>
    <d v="1899-12-30T11:16:39"/>
    <d v="1899-12-30T00:12:41"/>
  </r>
  <r>
    <x v="0"/>
    <d v="2017-07-10T00:00:00"/>
    <d v="1899-12-30T11:11:00"/>
    <d v="1899-12-30T11:12:57"/>
    <d v="1899-12-30T00:01:57"/>
  </r>
  <r>
    <x v="0"/>
    <d v="2017-07-10T00:00:00"/>
    <d v="1899-12-30T11:11:45"/>
    <d v="1899-12-30T11:27:08"/>
    <d v="1899-12-30T00:15:23"/>
  </r>
  <r>
    <x v="0"/>
    <d v="2017-07-10T00:00:00"/>
    <d v="1899-12-30T11:16:11"/>
    <d v="1899-12-30T11:20:22"/>
    <d v="1899-12-30T00:04:11"/>
  </r>
  <r>
    <x v="0"/>
    <d v="2017-07-10T00:00:00"/>
    <d v="1899-12-30T11:23:28"/>
    <d v="1899-12-30T11:28:53"/>
    <d v="1899-12-30T00:05:25"/>
  </r>
  <r>
    <x v="0"/>
    <d v="2017-07-10T00:00:00"/>
    <d v="1899-12-30T11:24:31"/>
    <d v="1899-12-30T11:37:45"/>
    <d v="1899-12-30T00:13:14"/>
  </r>
  <r>
    <x v="0"/>
    <d v="2017-07-10T00:00:00"/>
    <d v="1899-12-30T11:31:03"/>
    <d v="1899-12-30T11:33:12"/>
    <d v="1899-12-30T00:02:09"/>
  </r>
  <r>
    <x v="0"/>
    <d v="2017-07-10T00:00:00"/>
    <d v="1899-12-30T11:37:56"/>
    <d v="1899-12-30T11:53:32"/>
    <d v="1899-12-30T00:15:36"/>
  </r>
  <r>
    <x v="0"/>
    <d v="2017-07-10T00:00:00"/>
    <d v="1899-12-30T11:42:58"/>
    <d v="1899-12-30T11:56:41"/>
    <d v="1899-12-30T00:13:43"/>
  </r>
  <r>
    <x v="0"/>
    <d v="2017-07-10T00:00:00"/>
    <d v="1899-12-30T11:46:24"/>
    <d v="1899-12-30T11:52:04"/>
    <d v="1899-12-30T00:05:40"/>
  </r>
  <r>
    <x v="0"/>
    <d v="2017-07-10T00:00:00"/>
    <d v="1899-12-30T11:52:38"/>
    <d v="1899-12-30T12:08:30"/>
    <d v="1899-12-30T00:15:52"/>
  </r>
  <r>
    <x v="0"/>
    <d v="2017-07-10T00:00:00"/>
    <d v="1899-12-30T11:55:19"/>
    <d v="1899-12-30T12:11:28"/>
    <d v="1899-12-30T00:16:09"/>
  </r>
  <r>
    <x v="0"/>
    <d v="2017-07-10T00:00:00"/>
    <d v="1899-12-30T12:01:17"/>
    <d v="1899-12-30T12:01:35"/>
    <d v="1899-12-30T00:00:18"/>
  </r>
  <r>
    <x v="0"/>
    <d v="2017-07-10T00:00:00"/>
    <d v="1899-12-30T12:09:09"/>
    <d v="1899-12-30T12:24:43"/>
    <d v="1899-12-30T00:15:34"/>
  </r>
  <r>
    <x v="0"/>
    <d v="2017-07-10T00:00:00"/>
    <d v="1899-12-30T12:14:33"/>
    <d v="1899-12-30T12:27:04"/>
    <d v="1899-12-30T00:12:31"/>
  </r>
  <r>
    <x v="0"/>
    <d v="2017-07-10T00:00:00"/>
    <d v="1899-12-30T12:15:42"/>
    <d v="1899-12-30T12:16:56"/>
    <d v="1899-12-30T00:01:14"/>
  </r>
  <r>
    <x v="1"/>
    <d v="2017-07-10T00:00:00"/>
    <d v="1899-12-30T12:16:05"/>
    <d v="1899-12-30T12:24:45"/>
    <d v="1899-12-30T00:08:40"/>
  </r>
  <r>
    <x v="0"/>
    <d v="2017-07-10T00:00:00"/>
    <d v="1899-12-30T12:16:40"/>
    <d v="1899-12-30T12:23:57"/>
    <d v="1899-12-30T00:07:17"/>
  </r>
  <r>
    <x v="0"/>
    <d v="2017-07-10T00:00:00"/>
    <d v="1899-12-30T12:19:08"/>
    <d v="1899-12-30T12:26:14"/>
    <d v="1899-12-30T00:07:06"/>
  </r>
  <r>
    <x v="0"/>
    <d v="2017-07-10T00:00:00"/>
    <d v="1899-12-30T12:23:05"/>
    <d v="1899-12-30T12:38:52"/>
    <d v="1899-12-30T00:15:47"/>
  </r>
  <r>
    <x v="0"/>
    <d v="2017-07-10T00:00:00"/>
    <d v="1899-12-30T12:30:35"/>
    <d v="1899-12-30T12:43:19"/>
    <d v="1899-12-30T00:12:44"/>
  </r>
  <r>
    <x v="0"/>
    <d v="2017-07-10T00:00:00"/>
    <d v="1899-12-30T12:30:44"/>
    <d v="1899-12-30T12:46:28"/>
    <d v="1899-12-30T00:15:44"/>
  </r>
  <r>
    <x v="0"/>
    <d v="2017-07-10T00:00:00"/>
    <d v="1899-12-30T12:32:28"/>
    <d v="1899-12-30T12:32:36"/>
    <d v="1899-12-30T00:00:08"/>
  </r>
  <r>
    <x v="0"/>
    <d v="2017-07-10T00:00:00"/>
    <d v="1899-12-30T12:34:27"/>
    <d v="1899-12-30T12:48:39"/>
    <d v="1899-12-30T00:14:12"/>
  </r>
  <r>
    <x v="0"/>
    <d v="2017-07-10T00:00:00"/>
    <d v="1899-12-30T12:40:52"/>
    <d v="1899-12-30T12:44:25"/>
    <d v="1899-12-30T00:03:33"/>
  </r>
  <r>
    <x v="0"/>
    <d v="2017-07-10T00:00:00"/>
    <d v="1899-12-30T12:46:09"/>
    <d v="1899-12-30T12:53:49"/>
    <d v="1899-12-30T00:07:40"/>
  </r>
  <r>
    <x v="0"/>
    <d v="2017-07-10T00:00:00"/>
    <d v="1899-12-30T12:47:24"/>
    <d v="1899-12-30T12:54:07"/>
    <d v="1899-12-30T00:06:43"/>
  </r>
  <r>
    <x v="0"/>
    <d v="2017-07-10T00:00:00"/>
    <d v="1899-12-30T12:55:21"/>
    <d v="1899-12-30T13:01:41"/>
    <d v="1899-12-30T00:06:20"/>
  </r>
  <r>
    <x v="0"/>
    <d v="2017-07-10T00:00:00"/>
    <d v="1899-12-30T13:00:27"/>
    <d v="1899-12-30T13:10:05"/>
    <d v="1899-12-30T00:09:38"/>
  </r>
  <r>
    <x v="0"/>
    <d v="2017-07-10T00:00:00"/>
    <d v="1899-12-30T13:01:49"/>
    <d v="1899-12-30T13:04:00"/>
    <d v="1899-12-30T00:02:11"/>
  </r>
  <r>
    <x v="0"/>
    <d v="2017-07-10T00:00:00"/>
    <d v="1899-12-30T13:03:50"/>
    <d v="1899-12-30T13:13:18"/>
    <d v="1899-12-30T00:09:28"/>
  </r>
  <r>
    <x v="0"/>
    <d v="2017-07-10T00:00:00"/>
    <d v="1899-12-30T13:07:34"/>
    <d v="1899-12-30T13:12:00"/>
    <d v="1899-12-30T00:04:26"/>
  </r>
  <r>
    <x v="0"/>
    <d v="2017-07-10T00:00:00"/>
    <d v="1899-12-30T13:12:40"/>
    <d v="1899-12-30T13:26:12"/>
    <d v="1899-12-30T00:13:32"/>
  </r>
  <r>
    <x v="0"/>
    <d v="2017-07-10T00:00:00"/>
    <d v="1899-12-30T13:15:33"/>
    <d v="1899-12-30T13:31:13"/>
    <d v="1899-12-30T00:15:40"/>
  </r>
  <r>
    <x v="0"/>
    <d v="2017-07-10T00:00:00"/>
    <d v="1899-12-30T13:21:22"/>
    <d v="1899-12-30T13:24:15"/>
    <d v="1899-12-30T00:02:53"/>
  </r>
  <r>
    <x v="0"/>
    <d v="2017-07-10T00:00:00"/>
    <d v="1899-12-30T13:23:59"/>
    <d v="1899-12-30T13:30:13"/>
    <d v="1899-12-30T00:06:14"/>
  </r>
  <r>
    <x v="0"/>
    <d v="2017-07-10T00:00:00"/>
    <d v="1899-12-30T13:24:27"/>
    <d v="1899-12-30T13:31:55"/>
    <d v="1899-12-30T00:07:28"/>
  </r>
  <r>
    <x v="0"/>
    <d v="2017-07-10T00:00:00"/>
    <d v="1899-12-30T13:29:47"/>
    <d v="1899-12-30T13:46:15"/>
    <d v="1899-12-30T00:16:28"/>
  </r>
  <r>
    <x v="0"/>
    <d v="2017-07-10T00:00:00"/>
    <d v="1899-12-30T13:36:19"/>
    <d v="1899-12-30T13:45:44"/>
    <d v="1899-12-30T00:09:25"/>
  </r>
  <r>
    <x v="0"/>
    <d v="2017-07-10T00:00:00"/>
    <d v="1899-12-30T13:40:31"/>
    <d v="1899-12-30T13:49:07"/>
    <d v="1899-12-30T00:08:36"/>
  </r>
  <r>
    <x v="0"/>
    <d v="2017-07-10T00:00:00"/>
    <d v="1899-12-30T13:48:48"/>
    <d v="1899-12-30T13:51:25"/>
    <d v="1899-12-30T00:02:37"/>
  </r>
  <r>
    <x v="0"/>
    <d v="2017-07-10T00:00:00"/>
    <d v="1899-12-30T13:55:46"/>
    <d v="1899-12-30T13:57:57"/>
    <d v="1899-12-30T00:02:11"/>
  </r>
  <r>
    <x v="0"/>
    <d v="2017-07-10T00:00:00"/>
    <d v="1899-12-30T13:57:56"/>
    <d v="1899-12-30T14:10:37"/>
    <d v="1899-12-30T00:12:41"/>
  </r>
  <r>
    <x v="0"/>
    <d v="2017-07-10T00:00:00"/>
    <d v="1899-12-30T13:58:52"/>
    <d v="1899-12-30T14:03:52"/>
    <d v="1899-12-30T00:05:00"/>
  </r>
  <r>
    <x v="0"/>
    <d v="2017-07-10T00:00:00"/>
    <d v="1899-12-30T14:00:16"/>
    <d v="1899-12-30T14:14:54"/>
    <d v="1899-12-30T00:14:38"/>
  </r>
  <r>
    <x v="1"/>
    <d v="2017-07-10T00:00:00"/>
    <d v="1899-12-30T14:03:29"/>
    <d v="1899-12-30T14:14:41"/>
    <d v="1899-12-30T00:11:12"/>
  </r>
  <r>
    <x v="0"/>
    <d v="2017-07-10T00:00:00"/>
    <d v="1899-12-30T14:04:57"/>
    <d v="1899-12-30T14:06:08"/>
    <d v="1899-12-30T00:01:11"/>
  </r>
  <r>
    <x v="0"/>
    <d v="2017-07-10T00:00:00"/>
    <d v="1899-12-30T14:07:50"/>
    <d v="1899-12-30T14:10:00"/>
    <d v="1899-12-30T00:02:10"/>
  </r>
  <r>
    <x v="0"/>
    <d v="2017-07-10T00:00:00"/>
    <d v="1899-12-30T14:08:19"/>
    <d v="1899-12-30T14:15:49"/>
    <d v="1899-12-30T00:07:30"/>
  </r>
  <r>
    <x v="0"/>
    <d v="2017-07-10T00:00:00"/>
    <d v="1899-12-30T14:09:16"/>
    <d v="1899-12-30T14:25:04"/>
    <d v="1899-12-30T00:15:48"/>
  </r>
  <r>
    <x v="1"/>
    <d v="2017-07-10T00:00:00"/>
    <d v="1899-12-30T14:13:36"/>
    <d v="1899-12-30T14:14:52"/>
    <d v="1899-12-30T00:01:16"/>
  </r>
  <r>
    <x v="0"/>
    <d v="2017-07-10T00:00:00"/>
    <d v="1899-12-30T14:19:15"/>
    <d v="1899-12-30T14:19:42"/>
    <d v="1899-12-30T00:00:27"/>
  </r>
  <r>
    <x v="0"/>
    <d v="2017-07-10T00:00:00"/>
    <d v="1899-12-30T14:24:36"/>
    <d v="1899-12-30T14:37:49"/>
    <d v="1899-12-30T00:13:13"/>
  </r>
  <r>
    <x v="0"/>
    <d v="2017-07-10T00:00:00"/>
    <d v="1899-12-30T14:31:27"/>
    <d v="1899-12-30T14:39:19"/>
    <d v="1899-12-30T00:07:52"/>
  </r>
  <r>
    <x v="0"/>
    <d v="2017-07-10T00:00:00"/>
    <d v="1899-12-30T14:32:20"/>
    <d v="1899-12-30T14:45:01"/>
    <d v="1899-12-30T00:12:41"/>
  </r>
  <r>
    <x v="0"/>
    <d v="2017-07-10T00:00:00"/>
    <d v="1899-12-30T14:40:25"/>
    <d v="1899-12-30T14:52:07"/>
    <d v="1899-12-30T00:11:42"/>
  </r>
  <r>
    <x v="0"/>
    <d v="2017-07-10T00:00:00"/>
    <d v="1899-12-30T14:48:28"/>
    <d v="1899-12-30T14:55:09"/>
    <d v="1899-12-30T00:06:41"/>
  </r>
  <r>
    <x v="0"/>
    <d v="2017-07-10T00:00:00"/>
    <d v="1899-12-30T14:55:55"/>
    <d v="1899-12-30T14:57:00"/>
    <d v="1899-12-30T00:01:05"/>
  </r>
  <r>
    <x v="0"/>
    <d v="2017-07-10T00:00:00"/>
    <d v="1899-12-30T15:03:16"/>
    <d v="1899-12-30T15:14:03"/>
    <d v="1899-12-30T00:10:47"/>
  </r>
  <r>
    <x v="0"/>
    <d v="2017-07-11T00:00:00"/>
    <d v="1899-12-30T08:02:20"/>
    <d v="1899-12-30T08:06:42"/>
    <d v="1899-12-30T00:04:22"/>
  </r>
  <r>
    <x v="0"/>
    <d v="2017-07-11T00:00:00"/>
    <d v="1899-12-30T08:05:22"/>
    <d v="1899-12-30T08:07:48"/>
    <d v="1899-12-30T00:02:26"/>
  </r>
  <r>
    <x v="0"/>
    <d v="2017-07-11T00:00:00"/>
    <d v="1899-12-30T08:09:42"/>
    <d v="1899-12-30T08:13:34"/>
    <d v="1899-12-30T00:03:52"/>
  </r>
  <r>
    <x v="0"/>
    <d v="2017-07-11T00:00:00"/>
    <d v="1899-12-30T08:13:59"/>
    <d v="1899-12-30T08:14:04"/>
    <d v="1899-12-30T00:00:05"/>
  </r>
  <r>
    <x v="0"/>
    <d v="2017-07-11T00:00:00"/>
    <d v="1899-12-30T08:20:49"/>
    <d v="1899-12-30T08:30:50"/>
    <d v="1899-12-30T00:10:01"/>
  </r>
  <r>
    <x v="0"/>
    <d v="2017-07-11T00:00:00"/>
    <d v="1899-12-30T08:25:56"/>
    <d v="1899-12-30T08:31:17"/>
    <d v="1899-12-30T00:05:21"/>
  </r>
  <r>
    <x v="0"/>
    <d v="2017-07-11T00:00:00"/>
    <d v="1899-12-30T08:32:17"/>
    <d v="1899-12-30T08:36:16"/>
    <d v="1899-12-30T00:03:59"/>
  </r>
  <r>
    <x v="0"/>
    <d v="2017-07-11T00:00:00"/>
    <d v="1899-12-30T08:37:56"/>
    <d v="1899-12-30T08:43:38"/>
    <d v="1899-12-30T00:05:42"/>
  </r>
  <r>
    <x v="0"/>
    <d v="2017-07-11T00:00:00"/>
    <d v="1899-12-30T08:41:20"/>
    <d v="1899-12-30T08:55:02"/>
    <d v="1899-12-30T00:13:42"/>
  </r>
  <r>
    <x v="0"/>
    <d v="2017-07-11T00:00:00"/>
    <d v="1899-12-30T08:44:05"/>
    <d v="1899-12-30T08:44:29"/>
    <d v="1899-12-30T00:00:24"/>
  </r>
  <r>
    <x v="0"/>
    <d v="2017-07-11T00:00:00"/>
    <d v="1899-12-30T08:51:48"/>
    <d v="1899-12-30T08:53:33"/>
    <d v="1899-12-30T00:01:45"/>
  </r>
  <r>
    <x v="1"/>
    <d v="2017-07-11T00:00:00"/>
    <d v="1899-12-30T08:58:43"/>
    <d v="1899-12-30T09:02:30"/>
    <d v="1899-12-30T00:03:47"/>
  </r>
  <r>
    <x v="0"/>
    <d v="2017-07-11T00:00:00"/>
    <d v="1899-12-30T09:02:39"/>
    <d v="1899-12-30T09:08:15"/>
    <d v="1899-12-30T00:05:36"/>
  </r>
  <r>
    <x v="0"/>
    <d v="2017-07-11T00:00:00"/>
    <d v="1899-12-30T09:02:49"/>
    <d v="1899-12-30T09:09:12"/>
    <d v="1899-12-30T00:06:23"/>
  </r>
  <r>
    <x v="0"/>
    <d v="2017-07-11T00:00:00"/>
    <d v="1899-12-30T09:10:34"/>
    <d v="1899-12-30T09:22:06"/>
    <d v="1899-12-30T00:11:32"/>
  </r>
  <r>
    <x v="0"/>
    <d v="2017-07-11T00:00:00"/>
    <d v="1899-12-30T09:14:32"/>
    <d v="1899-12-30T09:20:35"/>
    <d v="1899-12-30T00:06:03"/>
  </r>
  <r>
    <x v="0"/>
    <d v="2017-07-11T00:00:00"/>
    <d v="1899-12-30T09:18:41"/>
    <d v="1899-12-30T09:28:12"/>
    <d v="1899-12-30T00:09:31"/>
  </r>
  <r>
    <x v="0"/>
    <d v="2017-07-11T00:00:00"/>
    <d v="1899-12-30T09:24:28"/>
    <d v="1899-12-30T09:35:03"/>
    <d v="1899-12-30T00:10:35"/>
  </r>
  <r>
    <x v="0"/>
    <d v="2017-07-11T00:00:00"/>
    <d v="1899-12-30T09:25:21"/>
    <d v="1899-12-30T09:40:39"/>
    <d v="1899-12-30T00:15:18"/>
  </r>
  <r>
    <x v="0"/>
    <d v="2017-07-11T00:00:00"/>
    <d v="1899-12-30T09:31:06"/>
    <d v="1899-12-30T09:42:10"/>
    <d v="1899-12-30T00:11:04"/>
  </r>
  <r>
    <x v="0"/>
    <d v="2017-07-11T00:00:00"/>
    <d v="1899-12-30T09:33:22"/>
    <d v="1899-12-30T09:42:29"/>
    <d v="1899-12-30T00:09:07"/>
  </r>
  <r>
    <x v="0"/>
    <d v="2017-07-11T00:00:00"/>
    <d v="1899-12-30T09:41:28"/>
    <d v="1899-12-30T09:50:28"/>
    <d v="1899-12-30T00:09:00"/>
  </r>
  <r>
    <x v="0"/>
    <d v="2017-07-11T00:00:00"/>
    <d v="1899-12-30T09:47:12"/>
    <d v="1899-12-30T10:02:09"/>
    <d v="1899-12-30T00:14:57"/>
  </r>
  <r>
    <x v="0"/>
    <d v="2017-07-11T00:00:00"/>
    <d v="1899-12-30T09:53:51"/>
    <d v="1899-12-30T10:02:34"/>
    <d v="1899-12-30T00:08:43"/>
  </r>
  <r>
    <x v="0"/>
    <d v="2017-07-11T00:00:00"/>
    <d v="1899-12-30T09:56:37"/>
    <d v="1899-12-30T10:04:36"/>
    <d v="1899-12-30T00:07:59"/>
  </r>
  <r>
    <x v="0"/>
    <d v="2017-07-11T00:00:00"/>
    <d v="1899-12-30T10:00:00"/>
    <d v="1899-12-30T10:07:33"/>
    <d v="1899-12-30T00:07:33"/>
  </r>
  <r>
    <x v="0"/>
    <d v="2017-07-11T00:00:00"/>
    <d v="1899-12-30T10:03:52"/>
    <d v="1899-12-30T10:19:14"/>
    <d v="1899-12-30T00:15:22"/>
  </r>
  <r>
    <x v="0"/>
    <d v="2017-07-11T00:00:00"/>
    <d v="1899-12-30T10:10:20"/>
    <d v="1899-12-30T10:22:21"/>
    <d v="1899-12-30T00:12:01"/>
  </r>
  <r>
    <x v="0"/>
    <d v="2017-07-11T00:00:00"/>
    <d v="1899-12-30T10:16:35"/>
    <d v="1899-12-30T10:23:08"/>
    <d v="1899-12-30T00:06:33"/>
  </r>
  <r>
    <x v="0"/>
    <d v="2017-07-11T00:00:00"/>
    <d v="1899-12-30T10:19:08"/>
    <d v="1899-12-30T10:19:33"/>
    <d v="1899-12-30T00:00:25"/>
  </r>
  <r>
    <x v="0"/>
    <d v="2017-07-11T00:00:00"/>
    <d v="1899-12-30T10:26:58"/>
    <d v="1899-12-30T10:30:12"/>
    <d v="1899-12-30T00:03:14"/>
  </r>
  <r>
    <x v="0"/>
    <d v="2017-07-11T00:00:00"/>
    <d v="1899-12-30T10:33:48"/>
    <d v="1899-12-30T10:43:33"/>
    <d v="1899-12-30T00:09:45"/>
  </r>
  <r>
    <x v="0"/>
    <d v="2017-07-11T00:00:00"/>
    <d v="1899-12-30T10:39:06"/>
    <d v="1899-12-30T10:50:52"/>
    <d v="1899-12-30T00:11:46"/>
  </r>
  <r>
    <x v="0"/>
    <d v="2017-07-11T00:00:00"/>
    <d v="1899-12-30T10:43:04"/>
    <d v="1899-12-30T10:44:45"/>
    <d v="1899-12-30T00:01:41"/>
  </r>
  <r>
    <x v="0"/>
    <d v="2017-07-11T00:00:00"/>
    <d v="1899-12-30T10:44:25"/>
    <d v="1899-12-30T10:52:06"/>
    <d v="1899-12-30T00:07:41"/>
  </r>
  <r>
    <x v="0"/>
    <d v="2017-07-11T00:00:00"/>
    <d v="1899-12-30T10:49:19"/>
    <d v="1899-12-30T10:54:11"/>
    <d v="1899-12-30T00:04:52"/>
  </r>
  <r>
    <x v="0"/>
    <d v="2017-07-11T00:00:00"/>
    <d v="1899-12-30T10:50:16"/>
    <d v="1899-12-30T10:58:38"/>
    <d v="1899-12-30T00:08:22"/>
  </r>
  <r>
    <x v="0"/>
    <d v="2017-07-11T00:00:00"/>
    <d v="1899-12-30T10:54:51"/>
    <d v="1899-12-30T10:57:38"/>
    <d v="1899-12-30T00:02:47"/>
  </r>
  <r>
    <x v="0"/>
    <d v="2017-07-11T00:00:00"/>
    <d v="1899-12-30T11:00:35"/>
    <d v="1899-12-30T11:16:36"/>
    <d v="1899-12-30T00:16:01"/>
  </r>
  <r>
    <x v="0"/>
    <d v="2017-07-11T00:00:00"/>
    <d v="1899-12-30T11:08:21"/>
    <d v="1899-12-30T11:10:50"/>
    <d v="1899-12-30T00:02:29"/>
  </r>
  <r>
    <x v="0"/>
    <d v="2017-07-11T00:00:00"/>
    <d v="1899-12-30T11:13:02"/>
    <d v="1899-12-30T11:13:56"/>
    <d v="1899-12-30T00:00:54"/>
  </r>
  <r>
    <x v="0"/>
    <d v="2017-07-11T00:00:00"/>
    <d v="1899-12-30T11:15:58"/>
    <d v="1899-12-30T11:27:50"/>
    <d v="1899-12-30T00:11:52"/>
  </r>
  <r>
    <x v="0"/>
    <d v="2017-07-11T00:00:00"/>
    <d v="1899-12-30T11:19:35"/>
    <d v="1899-12-30T11:27:48"/>
    <d v="1899-12-30T00:08:13"/>
  </r>
  <r>
    <x v="0"/>
    <d v="2017-07-11T00:00:00"/>
    <d v="1899-12-30T11:27:27"/>
    <d v="1899-12-30T11:33:38"/>
    <d v="1899-12-30T00:06:11"/>
  </r>
  <r>
    <x v="0"/>
    <d v="2017-07-11T00:00:00"/>
    <d v="1899-12-30T11:31:17"/>
    <d v="1899-12-30T11:45:11"/>
    <d v="1899-12-30T00:13:54"/>
  </r>
  <r>
    <x v="0"/>
    <d v="2017-07-11T00:00:00"/>
    <d v="1899-12-30T11:38:34"/>
    <d v="1899-12-30T11:52:50"/>
    <d v="1899-12-30T00:14:16"/>
  </r>
  <r>
    <x v="0"/>
    <d v="2017-07-11T00:00:00"/>
    <d v="1899-12-30T11:45:31"/>
    <d v="1899-12-30T11:47:40"/>
    <d v="1899-12-30T00:02:09"/>
  </r>
  <r>
    <x v="0"/>
    <d v="2017-07-11T00:00:00"/>
    <d v="1899-12-30T11:46:07"/>
    <d v="1899-12-30T11:46:47"/>
    <d v="1899-12-30T00:00:40"/>
  </r>
  <r>
    <x v="0"/>
    <d v="2017-07-11T00:00:00"/>
    <d v="1899-12-30T11:51:21"/>
    <d v="1899-12-30T11:54:06"/>
    <d v="1899-12-30T00:02:45"/>
  </r>
  <r>
    <x v="0"/>
    <d v="2017-07-11T00:00:00"/>
    <d v="1899-12-30T11:59:16"/>
    <d v="1899-12-30T12:13:25"/>
    <d v="1899-12-30T00:14:09"/>
  </r>
  <r>
    <x v="0"/>
    <d v="2017-07-11T00:00:00"/>
    <d v="1899-12-30T12:04:42"/>
    <d v="1899-12-30T12:05:52"/>
    <d v="1899-12-30T00:01:10"/>
  </r>
  <r>
    <x v="0"/>
    <d v="2017-07-11T00:00:00"/>
    <d v="1899-12-30T12:05:25"/>
    <d v="1899-12-30T12:13:04"/>
    <d v="1899-12-30T00:07:39"/>
  </r>
  <r>
    <x v="0"/>
    <d v="2017-07-11T00:00:00"/>
    <d v="1899-12-30T12:12:29"/>
    <d v="1899-12-30T12:19:04"/>
    <d v="1899-12-30T00:06:35"/>
  </r>
  <r>
    <x v="0"/>
    <d v="2017-07-11T00:00:00"/>
    <d v="1899-12-30T12:18:28"/>
    <d v="1899-12-30T12:24:00"/>
    <d v="1899-12-30T00:05:32"/>
  </r>
  <r>
    <x v="0"/>
    <d v="2017-07-11T00:00:00"/>
    <d v="1899-12-30T12:26:42"/>
    <d v="1899-12-30T12:40:28"/>
    <d v="1899-12-30T00:13:46"/>
  </r>
  <r>
    <x v="0"/>
    <d v="2017-07-11T00:00:00"/>
    <d v="1899-12-30T12:34:33"/>
    <d v="1899-12-30T12:44:56"/>
    <d v="1899-12-30T00:10:23"/>
  </r>
  <r>
    <x v="0"/>
    <d v="2017-07-11T00:00:00"/>
    <d v="1899-12-30T12:37:20"/>
    <d v="1899-12-30T12:50:37"/>
    <d v="1899-12-30T00:13:17"/>
  </r>
  <r>
    <x v="0"/>
    <d v="2017-07-11T00:00:00"/>
    <d v="1899-12-30T12:45:34"/>
    <d v="1899-12-30T12:47:52"/>
    <d v="1899-12-30T00:02:18"/>
  </r>
  <r>
    <x v="0"/>
    <d v="2017-07-11T00:00:00"/>
    <d v="1899-12-30T12:48:59"/>
    <d v="1899-12-30T13:04:16"/>
    <d v="1899-12-30T00:15:17"/>
  </r>
  <r>
    <x v="0"/>
    <d v="2017-07-11T00:00:00"/>
    <d v="1899-12-30T12:56:27"/>
    <d v="1899-12-30T12:58:56"/>
    <d v="1899-12-30T00:02:29"/>
  </r>
  <r>
    <x v="0"/>
    <d v="2017-07-11T00:00:00"/>
    <d v="1899-12-30T12:56:27"/>
    <d v="1899-12-30T13:12:40"/>
    <d v="1899-12-30T00:16:13"/>
  </r>
  <r>
    <x v="0"/>
    <d v="2017-07-11T00:00:00"/>
    <d v="1899-12-30T12:56:53"/>
    <d v="1899-12-30T13:13:02"/>
    <d v="1899-12-30T00:16:09"/>
  </r>
  <r>
    <x v="0"/>
    <d v="2017-07-11T00:00:00"/>
    <d v="1899-12-30T12:56:55"/>
    <d v="1899-12-30T12:57:58"/>
    <d v="1899-12-30T00:01:03"/>
  </r>
  <r>
    <x v="0"/>
    <d v="2017-07-11T00:00:00"/>
    <d v="1899-12-30T12:59:35"/>
    <d v="1899-12-30T13:05:55"/>
    <d v="1899-12-30T00:06:20"/>
  </r>
  <r>
    <x v="0"/>
    <d v="2017-07-11T00:00:00"/>
    <d v="1899-12-30T13:03:29"/>
    <d v="1899-12-30T13:17:07"/>
    <d v="1899-12-30T00:13:38"/>
  </r>
  <r>
    <x v="0"/>
    <d v="2017-07-11T00:00:00"/>
    <d v="1899-12-30T13:03:49"/>
    <d v="1899-12-30T13:10:52"/>
    <d v="1899-12-30T00:07:03"/>
  </r>
  <r>
    <x v="0"/>
    <d v="2017-07-11T00:00:00"/>
    <d v="1899-12-30T13:09:05"/>
    <d v="1899-12-30T13:19:56"/>
    <d v="1899-12-30T00:10:51"/>
  </r>
  <r>
    <x v="0"/>
    <d v="2017-07-11T00:00:00"/>
    <d v="1899-12-30T13:13:01"/>
    <d v="1899-12-30T13:21:32"/>
    <d v="1899-12-30T00:08:31"/>
  </r>
  <r>
    <x v="0"/>
    <d v="2017-07-11T00:00:00"/>
    <d v="1899-12-30T13:17:24"/>
    <d v="1899-12-30T13:30:54"/>
    <d v="1899-12-30T00:13:30"/>
  </r>
  <r>
    <x v="0"/>
    <d v="2017-07-11T00:00:00"/>
    <d v="1899-12-30T13:18:05"/>
    <d v="1899-12-30T13:29:35"/>
    <d v="1899-12-30T00:11:30"/>
  </r>
  <r>
    <x v="0"/>
    <d v="2017-07-11T00:00:00"/>
    <d v="1899-12-30T13:26:09"/>
    <d v="1899-12-30T13:37:57"/>
    <d v="1899-12-30T00:11:48"/>
  </r>
  <r>
    <x v="0"/>
    <d v="2017-07-11T00:00:00"/>
    <d v="1899-12-30T13:34:28"/>
    <d v="1899-12-30T13:36:09"/>
    <d v="1899-12-30T00:01:41"/>
  </r>
  <r>
    <x v="0"/>
    <d v="2017-07-11T00:00:00"/>
    <d v="1899-12-30T13:39:57"/>
    <d v="1899-12-30T13:42:57"/>
    <d v="1899-12-30T00:03:00"/>
  </r>
  <r>
    <x v="0"/>
    <d v="2017-07-11T00:00:00"/>
    <d v="1899-12-30T13:43:28"/>
    <d v="1899-12-30T13:59:35"/>
    <d v="1899-12-30T00:16:07"/>
  </r>
  <r>
    <x v="0"/>
    <d v="2017-07-11T00:00:00"/>
    <d v="1899-12-30T13:49:20"/>
    <d v="1899-12-30T13:59:33"/>
    <d v="1899-12-30T00:10:13"/>
  </r>
  <r>
    <x v="0"/>
    <d v="2017-07-11T00:00:00"/>
    <d v="1899-12-30T13:49:21"/>
    <d v="1899-12-30T13:59:40"/>
    <d v="1899-12-30T00:10:19"/>
  </r>
  <r>
    <x v="0"/>
    <d v="2017-07-11T00:00:00"/>
    <d v="1899-12-30T13:54:20"/>
    <d v="1899-12-30T13:54:35"/>
    <d v="1899-12-30T00:00:15"/>
  </r>
  <r>
    <x v="0"/>
    <d v="2017-07-11T00:00:00"/>
    <d v="1899-12-30T13:58:38"/>
    <d v="1899-12-30T14:02:06"/>
    <d v="1899-12-30T00:03:28"/>
  </r>
  <r>
    <x v="0"/>
    <d v="2017-07-11T00:00:00"/>
    <d v="1899-12-30T14:04:39"/>
    <d v="1899-12-30T14:09:43"/>
    <d v="1899-12-30T00:05:04"/>
  </r>
  <r>
    <x v="0"/>
    <d v="2017-07-11T00:00:00"/>
    <d v="1899-12-30T14:05:27"/>
    <d v="1899-12-30T14:20:15"/>
    <d v="1899-12-30T00:14:48"/>
  </r>
  <r>
    <x v="0"/>
    <d v="2017-07-11T00:00:00"/>
    <d v="1899-12-30T14:08:07"/>
    <d v="1899-12-30T14:15:30"/>
    <d v="1899-12-30T00:07:23"/>
  </r>
  <r>
    <x v="0"/>
    <d v="2017-07-11T00:00:00"/>
    <d v="1899-12-30T14:09:39"/>
    <d v="1899-12-30T14:12:44"/>
    <d v="1899-12-30T00:03:05"/>
  </r>
  <r>
    <x v="0"/>
    <d v="2017-07-11T00:00:00"/>
    <d v="1899-12-30T14:09:45"/>
    <d v="1899-12-30T14:22:03"/>
    <d v="1899-12-30T00:12:18"/>
  </r>
  <r>
    <x v="0"/>
    <d v="2017-07-11T00:00:00"/>
    <d v="1899-12-30T14:14:56"/>
    <d v="1899-12-30T14:29:43"/>
    <d v="1899-12-30T00:14:47"/>
  </r>
  <r>
    <x v="0"/>
    <d v="2017-07-11T00:00:00"/>
    <d v="1899-12-30T14:18:09"/>
    <d v="1899-12-30T14:24:43"/>
    <d v="1899-12-30T00:06:34"/>
  </r>
  <r>
    <x v="0"/>
    <d v="2017-07-11T00:00:00"/>
    <d v="1899-12-30T14:24:32"/>
    <d v="1899-12-30T14:34:22"/>
    <d v="1899-12-30T00:09:50"/>
  </r>
  <r>
    <x v="0"/>
    <d v="2017-07-11T00:00:00"/>
    <d v="1899-12-30T14:25:07"/>
    <d v="1899-12-30T14:36:17"/>
    <d v="1899-12-30T00:11:10"/>
  </r>
  <r>
    <x v="0"/>
    <d v="2017-07-11T00:00:00"/>
    <d v="1899-12-30T14:28:37"/>
    <d v="1899-12-30T14:45:01"/>
    <d v="1899-12-30T00:16:24"/>
  </r>
  <r>
    <x v="0"/>
    <d v="2017-07-11T00:00:00"/>
    <d v="1899-12-30T14:34:23"/>
    <d v="1899-12-30T14:45:28"/>
    <d v="1899-12-30T00:11:05"/>
  </r>
  <r>
    <x v="0"/>
    <d v="2017-07-11T00:00:00"/>
    <d v="1899-12-30T14:40:59"/>
    <d v="1899-12-30T14:42:09"/>
    <d v="1899-12-30T00:01:10"/>
  </r>
  <r>
    <x v="0"/>
    <d v="2017-07-11T00:00:00"/>
    <d v="1899-12-30T14:47:58"/>
    <d v="1899-12-30T14:50:44"/>
    <d v="1899-12-30T00:02:46"/>
  </r>
  <r>
    <x v="0"/>
    <d v="2017-07-11T00:00:00"/>
    <d v="1899-12-30T14:53:46"/>
    <d v="1899-12-30T14:59:39"/>
    <d v="1899-12-30T00:05:53"/>
  </r>
  <r>
    <x v="1"/>
    <d v="2017-07-11T00:00:00"/>
    <d v="1899-12-30T15:00:19"/>
    <d v="1899-12-30T15:10:28"/>
    <d v="1899-12-30T00:10:09"/>
  </r>
  <r>
    <x v="0"/>
    <d v="2017-07-12T00:00:00"/>
    <d v="1899-12-30T08:03:23"/>
    <d v="1899-12-30T08:11:24"/>
    <d v="1899-12-30T00:08:01"/>
  </r>
  <r>
    <x v="0"/>
    <d v="2017-07-12T00:00:00"/>
    <d v="1899-12-30T08:05:31"/>
    <d v="1899-12-30T08:06:25"/>
    <d v="1899-12-30T00:00:54"/>
  </r>
  <r>
    <x v="0"/>
    <d v="2017-07-12T00:00:00"/>
    <d v="1899-12-30T08:12:16"/>
    <d v="1899-12-30T08:15:00"/>
    <d v="1899-12-30T00:02:44"/>
  </r>
  <r>
    <x v="0"/>
    <d v="2017-07-12T00:00:00"/>
    <d v="1899-12-30T08:18:55"/>
    <d v="1899-12-30T08:31:16"/>
    <d v="1899-12-30T00:12:21"/>
  </r>
  <r>
    <x v="0"/>
    <d v="2017-07-12T00:00:00"/>
    <d v="1899-12-30T08:20:00"/>
    <d v="1899-12-30T08:28:45"/>
    <d v="1899-12-30T00:08:45"/>
  </r>
  <r>
    <x v="0"/>
    <d v="2017-07-12T00:00:00"/>
    <d v="1899-12-30T08:25:40"/>
    <d v="1899-12-30T08:30:27"/>
    <d v="1899-12-30T00:04:47"/>
  </r>
  <r>
    <x v="0"/>
    <d v="2017-07-12T00:00:00"/>
    <d v="1899-12-30T08:33:10"/>
    <d v="1899-12-30T08:45:46"/>
    <d v="1899-12-30T00:12:36"/>
  </r>
  <r>
    <x v="0"/>
    <d v="2017-07-12T00:00:00"/>
    <d v="1899-12-30T08:39:16"/>
    <d v="1899-12-30T08:42:54"/>
    <d v="1899-12-30T00:03:38"/>
  </r>
  <r>
    <x v="0"/>
    <d v="2017-07-12T00:00:00"/>
    <d v="1899-12-30T08:45:53"/>
    <d v="1899-12-30T08:49:13"/>
    <d v="1899-12-30T00:03:20"/>
  </r>
  <r>
    <x v="0"/>
    <d v="2017-07-12T00:00:00"/>
    <d v="1899-12-30T08:49:44"/>
    <d v="1899-12-30T08:50:43"/>
    <d v="1899-12-30T00:00:59"/>
  </r>
  <r>
    <x v="0"/>
    <d v="2017-07-12T00:00:00"/>
    <d v="1899-12-30T08:53:03"/>
    <d v="1899-12-30T09:07:43"/>
    <d v="1899-12-30T00:14:40"/>
  </r>
  <r>
    <x v="0"/>
    <d v="2017-07-12T00:00:00"/>
    <d v="1899-12-30T09:00:04"/>
    <d v="1899-12-30T09:03:20"/>
    <d v="1899-12-30T00:03:16"/>
  </r>
  <r>
    <x v="0"/>
    <d v="2017-07-12T00:00:00"/>
    <d v="1899-12-30T09:01:40"/>
    <d v="1899-12-30T09:09:29"/>
    <d v="1899-12-30T00:07:49"/>
  </r>
  <r>
    <x v="0"/>
    <d v="2017-07-12T00:00:00"/>
    <d v="1899-12-30T09:02:05"/>
    <d v="1899-12-30T09:09:58"/>
    <d v="1899-12-30T00:07:53"/>
  </r>
  <r>
    <x v="0"/>
    <d v="2017-07-12T00:00:00"/>
    <d v="1899-12-30T09:06:15"/>
    <d v="1899-12-30T09:20:32"/>
    <d v="1899-12-30T00:14:17"/>
  </r>
  <r>
    <x v="0"/>
    <d v="2017-07-12T00:00:00"/>
    <d v="1899-12-30T09:07:52"/>
    <d v="1899-12-30T09:17:51"/>
    <d v="1899-12-30T00:09:59"/>
  </r>
  <r>
    <x v="0"/>
    <d v="2017-07-12T00:00:00"/>
    <d v="1899-12-30T09:11:25"/>
    <d v="1899-12-30T09:16:02"/>
    <d v="1899-12-30T00:04:37"/>
  </r>
  <r>
    <x v="0"/>
    <d v="2017-07-12T00:00:00"/>
    <d v="1899-12-30T09:11:46"/>
    <d v="1899-12-30T09:23:52"/>
    <d v="1899-12-30T00:12:06"/>
  </r>
  <r>
    <x v="0"/>
    <d v="2017-07-12T00:00:00"/>
    <d v="1899-12-30T09:18:15"/>
    <d v="1899-12-30T09:19:25"/>
    <d v="1899-12-30T00:01:10"/>
  </r>
  <r>
    <x v="0"/>
    <d v="2017-07-12T00:00:00"/>
    <d v="1899-12-30T09:21:09"/>
    <d v="1899-12-30T09:23:48"/>
    <d v="1899-12-30T00:02:39"/>
  </r>
  <r>
    <x v="0"/>
    <d v="2017-07-12T00:00:00"/>
    <d v="1899-12-30T09:24:34"/>
    <d v="1899-12-30T09:27:53"/>
    <d v="1899-12-30T00:03:19"/>
  </r>
  <r>
    <x v="0"/>
    <d v="2017-07-12T00:00:00"/>
    <d v="1899-12-30T09:31:49"/>
    <d v="1899-12-30T09:45:23"/>
    <d v="1899-12-30T00:13:34"/>
  </r>
  <r>
    <x v="1"/>
    <d v="2017-07-12T00:00:00"/>
    <d v="1899-12-30T09:39:34"/>
    <d v="1899-12-30T09:47:58"/>
    <d v="1899-12-30T00:08:24"/>
  </r>
  <r>
    <x v="0"/>
    <d v="2017-07-12T00:00:00"/>
    <d v="1899-12-30T09:47:51"/>
    <d v="1899-12-30T09:58:51"/>
    <d v="1899-12-30T00:11:00"/>
  </r>
  <r>
    <x v="0"/>
    <d v="2017-07-12T00:00:00"/>
    <d v="1899-12-30T09:48:42"/>
    <d v="1899-12-30T09:49:41"/>
    <d v="1899-12-30T00:00:59"/>
  </r>
  <r>
    <x v="0"/>
    <d v="2017-07-12T00:00:00"/>
    <d v="1899-12-30T09:51:32"/>
    <d v="1899-12-30T09:51:32"/>
    <d v="1899-12-30T00:00:00"/>
  </r>
  <r>
    <x v="0"/>
    <d v="2017-07-12T00:00:00"/>
    <d v="1899-12-30T09:53:33"/>
    <d v="1899-12-30T09:54:26"/>
    <d v="1899-12-30T00:00:53"/>
  </r>
  <r>
    <x v="0"/>
    <d v="2017-07-12T00:00:00"/>
    <d v="1899-12-30T09:56:22"/>
    <d v="1899-12-30T10:05:01"/>
    <d v="1899-12-30T00:08:39"/>
  </r>
  <r>
    <x v="0"/>
    <d v="2017-07-12T00:00:00"/>
    <d v="1899-12-30T10:02:41"/>
    <d v="1899-12-30T10:05:20"/>
    <d v="1899-12-30T00:02:39"/>
  </r>
  <r>
    <x v="0"/>
    <d v="2017-07-12T00:00:00"/>
    <d v="1899-12-30T10:10:08"/>
    <d v="1899-12-30T10:25:08"/>
    <d v="1899-12-30T00:15:00"/>
  </r>
  <r>
    <x v="0"/>
    <d v="2017-07-12T00:00:00"/>
    <d v="1899-12-30T10:14:10"/>
    <d v="1899-12-30T10:25:13"/>
    <d v="1899-12-30T00:11:03"/>
  </r>
  <r>
    <x v="0"/>
    <d v="2017-07-12T00:00:00"/>
    <d v="1899-12-30T10:15:50"/>
    <d v="1899-12-30T10:26:53"/>
    <d v="1899-12-30T00:11:03"/>
  </r>
  <r>
    <x v="0"/>
    <d v="2017-07-12T00:00:00"/>
    <d v="1899-12-30T10:19:48"/>
    <d v="1899-12-30T10:21:34"/>
    <d v="1899-12-30T00:01:46"/>
  </r>
  <r>
    <x v="0"/>
    <d v="2017-07-12T00:00:00"/>
    <d v="1899-12-30T10:24:42"/>
    <d v="1899-12-30T10:41:01"/>
    <d v="1899-12-30T00:16:19"/>
  </r>
  <r>
    <x v="0"/>
    <d v="2017-07-12T00:00:00"/>
    <d v="1899-12-30T10:29:32"/>
    <d v="1899-12-30T10:43:37"/>
    <d v="1899-12-30T00:14:05"/>
  </r>
  <r>
    <x v="0"/>
    <d v="2017-07-12T00:00:00"/>
    <d v="1899-12-30T10:35:43"/>
    <d v="1899-12-30T10:39:32"/>
    <d v="1899-12-30T00:03:49"/>
  </r>
  <r>
    <x v="0"/>
    <d v="2017-07-12T00:00:00"/>
    <d v="1899-12-30T10:43:09"/>
    <d v="1899-12-30T10:53:27"/>
    <d v="1899-12-30T00:10:18"/>
  </r>
  <r>
    <x v="0"/>
    <d v="2017-07-12T00:00:00"/>
    <d v="1899-12-30T10:45:15"/>
    <d v="1899-12-30T10:51:42"/>
    <d v="1899-12-30T00:06:27"/>
  </r>
  <r>
    <x v="0"/>
    <d v="2017-07-12T00:00:00"/>
    <d v="1899-12-30T10:45:22"/>
    <d v="1899-12-30T10:48:53"/>
    <d v="1899-12-30T00:03:31"/>
  </r>
  <r>
    <x v="0"/>
    <d v="2017-07-12T00:00:00"/>
    <d v="1899-12-30T10:48:09"/>
    <d v="1899-12-30T11:04:37"/>
    <d v="1899-12-30T00:16:28"/>
  </r>
  <r>
    <x v="0"/>
    <d v="2017-07-12T00:00:00"/>
    <d v="1899-12-30T10:55:16"/>
    <d v="1899-12-30T11:03:26"/>
    <d v="1899-12-30T00:08:10"/>
  </r>
  <r>
    <x v="0"/>
    <d v="2017-07-12T00:00:00"/>
    <d v="1899-12-30T10:57:42"/>
    <d v="1899-12-30T11:00:28"/>
    <d v="1899-12-30T00:02:46"/>
  </r>
  <r>
    <x v="0"/>
    <d v="2017-07-12T00:00:00"/>
    <d v="1899-12-30T11:05:32"/>
    <d v="1899-12-30T11:18:58"/>
    <d v="1899-12-30T00:13:26"/>
  </r>
  <r>
    <x v="0"/>
    <d v="2017-07-12T00:00:00"/>
    <d v="1899-12-30T11:11:57"/>
    <d v="1899-12-30T11:24:28"/>
    <d v="1899-12-30T00:12:31"/>
  </r>
  <r>
    <x v="1"/>
    <d v="2017-07-12T00:00:00"/>
    <d v="1899-12-30T11:14:56"/>
    <d v="1899-12-30T11:21:25"/>
    <d v="1899-12-30T00:06:29"/>
  </r>
  <r>
    <x v="0"/>
    <d v="2017-07-12T00:00:00"/>
    <d v="1899-12-30T11:21:58"/>
    <d v="1899-12-30T11:29:27"/>
    <d v="1899-12-30T00:07:29"/>
  </r>
  <r>
    <x v="0"/>
    <d v="2017-07-12T00:00:00"/>
    <d v="1899-12-30T11:28:36"/>
    <d v="1899-12-30T11:37:34"/>
    <d v="1899-12-30T00:08:58"/>
  </r>
  <r>
    <x v="0"/>
    <d v="2017-07-12T00:00:00"/>
    <d v="1899-12-30T11:34:49"/>
    <d v="1899-12-30T11:41:45"/>
    <d v="1899-12-30T00:06:56"/>
  </r>
  <r>
    <x v="0"/>
    <d v="2017-07-12T00:00:00"/>
    <d v="1899-12-30T11:43:07"/>
    <d v="1899-12-30T11:51:50"/>
    <d v="1899-12-30T00:08:43"/>
  </r>
  <r>
    <x v="0"/>
    <d v="2017-07-12T00:00:00"/>
    <d v="1899-12-30T11:46:30"/>
    <d v="1899-12-30T11:53:19"/>
    <d v="1899-12-30T00:06:49"/>
  </r>
  <r>
    <x v="0"/>
    <d v="2017-07-12T00:00:00"/>
    <d v="1899-12-30T11:53:33"/>
    <d v="1899-12-30T12:03:48"/>
    <d v="1899-12-30T00:10:15"/>
  </r>
  <r>
    <x v="0"/>
    <d v="2017-07-12T00:00:00"/>
    <d v="1899-12-30T12:00:22"/>
    <d v="1899-12-30T12:04:58"/>
    <d v="1899-12-30T00:04:36"/>
  </r>
  <r>
    <x v="0"/>
    <d v="2017-07-12T00:00:00"/>
    <d v="1899-12-30T12:01:02"/>
    <d v="1899-12-30T12:12:21"/>
    <d v="1899-12-30T00:11:19"/>
  </r>
  <r>
    <x v="0"/>
    <d v="2017-07-12T00:00:00"/>
    <d v="1899-12-30T12:08:36"/>
    <d v="1899-12-30T12:23:31"/>
    <d v="1899-12-30T00:14:55"/>
  </r>
  <r>
    <x v="0"/>
    <d v="2017-07-12T00:00:00"/>
    <d v="1899-12-30T12:12:40"/>
    <d v="1899-12-30T12:19:26"/>
    <d v="1899-12-30T00:06:46"/>
  </r>
  <r>
    <x v="0"/>
    <d v="2017-07-12T00:00:00"/>
    <d v="1899-12-30T12:14:02"/>
    <d v="1899-12-30T12:15:27"/>
    <d v="1899-12-30T00:01:25"/>
  </r>
  <r>
    <x v="0"/>
    <d v="2017-07-12T00:00:00"/>
    <d v="1899-12-30T12:22:19"/>
    <d v="1899-12-30T12:22:20"/>
    <d v="1899-12-30T00:00:01"/>
  </r>
  <r>
    <x v="0"/>
    <d v="2017-07-12T00:00:00"/>
    <d v="1899-12-30T12:22:29"/>
    <d v="1899-12-30T12:31:16"/>
    <d v="1899-12-30T00:08:47"/>
  </r>
  <r>
    <x v="0"/>
    <d v="2017-07-12T00:00:00"/>
    <d v="1899-12-30T12:28:56"/>
    <d v="1899-12-30T12:43:01"/>
    <d v="1899-12-30T00:14:05"/>
  </r>
  <r>
    <x v="0"/>
    <d v="2017-07-12T00:00:00"/>
    <d v="1899-12-30T12:31:17"/>
    <d v="1899-12-30T12:37:32"/>
    <d v="1899-12-30T00:06:15"/>
  </r>
  <r>
    <x v="0"/>
    <d v="2017-07-12T00:00:00"/>
    <d v="1899-12-30T12:33:06"/>
    <d v="1899-12-30T12:46:48"/>
    <d v="1899-12-30T00:13:42"/>
  </r>
  <r>
    <x v="0"/>
    <d v="2017-07-12T00:00:00"/>
    <d v="1899-12-30T12:33:44"/>
    <d v="1899-12-30T12:33:51"/>
    <d v="1899-12-30T00:00:07"/>
  </r>
  <r>
    <x v="0"/>
    <d v="2017-07-12T00:00:00"/>
    <d v="1899-12-30T12:38:09"/>
    <d v="1899-12-30T12:44:59"/>
    <d v="1899-12-30T00:06:50"/>
  </r>
  <r>
    <x v="0"/>
    <d v="2017-07-12T00:00:00"/>
    <d v="1899-12-30T12:40:49"/>
    <d v="1899-12-30T12:47:03"/>
    <d v="1899-12-30T00:06:14"/>
  </r>
  <r>
    <x v="0"/>
    <d v="2017-07-12T00:00:00"/>
    <d v="1899-12-30T12:45:01"/>
    <d v="1899-12-30T12:46:58"/>
    <d v="1899-12-30T00:01:57"/>
  </r>
  <r>
    <x v="0"/>
    <d v="2017-07-12T00:00:00"/>
    <d v="1899-12-30T12:51:58"/>
    <d v="1899-12-30T12:52:18"/>
    <d v="1899-12-30T00:00:20"/>
  </r>
  <r>
    <x v="0"/>
    <d v="2017-07-12T00:00:00"/>
    <d v="1899-12-30T12:54:42"/>
    <d v="1899-12-30T12:57:46"/>
    <d v="1899-12-30T00:03:04"/>
  </r>
  <r>
    <x v="0"/>
    <d v="2017-07-12T00:00:00"/>
    <d v="1899-12-30T12:55:07"/>
    <d v="1899-12-30T13:02:03"/>
    <d v="1899-12-30T00:06:56"/>
  </r>
  <r>
    <x v="0"/>
    <d v="2017-07-12T00:00:00"/>
    <d v="1899-12-30T12:55:47"/>
    <d v="1899-12-30T12:58:49"/>
    <d v="1899-12-30T00:03:02"/>
  </r>
  <r>
    <x v="0"/>
    <d v="2017-07-12T00:00:00"/>
    <d v="1899-12-30T13:03:14"/>
    <d v="1899-12-30T13:05:21"/>
    <d v="1899-12-30T00:02:07"/>
  </r>
  <r>
    <x v="0"/>
    <d v="2017-07-12T00:00:00"/>
    <d v="1899-12-30T13:07:32"/>
    <d v="1899-12-30T13:11:16"/>
    <d v="1899-12-30T00:03:44"/>
  </r>
  <r>
    <x v="0"/>
    <d v="2017-07-12T00:00:00"/>
    <d v="1899-12-30T13:09:30"/>
    <d v="1899-12-30T13:10:51"/>
    <d v="1899-12-30T00:01:21"/>
  </r>
  <r>
    <x v="0"/>
    <d v="2017-07-12T00:00:00"/>
    <d v="1899-12-30T13:13:42"/>
    <d v="1899-12-30T13:26:27"/>
    <d v="1899-12-30T00:12:45"/>
  </r>
  <r>
    <x v="1"/>
    <d v="2017-07-12T00:00:00"/>
    <d v="1899-12-30T13:20:09"/>
    <d v="1899-12-30T13:21:43"/>
    <d v="1899-12-30T00:01:34"/>
  </r>
  <r>
    <x v="0"/>
    <d v="2017-07-12T00:00:00"/>
    <d v="1899-12-30T13:22:20"/>
    <d v="1899-12-30T13:37:15"/>
    <d v="1899-12-30T00:14:55"/>
  </r>
  <r>
    <x v="0"/>
    <d v="2017-07-12T00:00:00"/>
    <d v="1899-12-30T13:24:31"/>
    <d v="1899-12-30T13:25:17"/>
    <d v="1899-12-30T00:00:46"/>
  </r>
  <r>
    <x v="0"/>
    <d v="2017-07-12T00:00:00"/>
    <d v="1899-12-30T13:25:04"/>
    <d v="1899-12-30T13:39:54"/>
    <d v="1899-12-30T00:14:50"/>
  </r>
  <r>
    <x v="0"/>
    <d v="2017-07-12T00:00:00"/>
    <d v="1899-12-30T13:27:28"/>
    <d v="1899-12-30T13:30:29"/>
    <d v="1899-12-30T00:03:01"/>
  </r>
  <r>
    <x v="0"/>
    <d v="2017-07-12T00:00:00"/>
    <d v="1899-12-30T13:32:08"/>
    <d v="1899-12-30T13:46:23"/>
    <d v="1899-12-30T00:14:15"/>
  </r>
  <r>
    <x v="0"/>
    <d v="2017-07-12T00:00:00"/>
    <d v="1899-12-30T13:33:44"/>
    <d v="1899-12-30T13:34:23"/>
    <d v="1899-12-30T00:00:39"/>
  </r>
  <r>
    <x v="0"/>
    <d v="2017-07-12T00:00:00"/>
    <d v="1899-12-30T13:34:00"/>
    <d v="1899-12-30T13:38:08"/>
    <d v="1899-12-30T00:04:08"/>
  </r>
  <r>
    <x v="0"/>
    <d v="2017-07-12T00:00:00"/>
    <d v="1899-12-30T13:34:24"/>
    <d v="1899-12-30T13:40:23"/>
    <d v="1899-12-30T00:05:59"/>
  </r>
  <r>
    <x v="0"/>
    <d v="2017-07-12T00:00:00"/>
    <d v="1899-12-30T13:39:38"/>
    <d v="1899-12-30T13:52:56"/>
    <d v="1899-12-30T00:13:18"/>
  </r>
  <r>
    <x v="0"/>
    <d v="2017-07-12T00:00:00"/>
    <d v="1899-12-30T13:40:08"/>
    <d v="1899-12-30T13:46:35"/>
    <d v="1899-12-30T00:06:27"/>
  </r>
  <r>
    <x v="0"/>
    <d v="2017-07-12T00:00:00"/>
    <d v="1899-12-30T13:44:08"/>
    <d v="1899-12-30T13:46:37"/>
    <d v="1899-12-30T00:02:29"/>
  </r>
  <r>
    <x v="0"/>
    <d v="2017-07-12T00:00:00"/>
    <d v="1899-12-30T13:47:13"/>
    <d v="1899-12-30T13:50:56"/>
    <d v="1899-12-30T00:03:43"/>
  </r>
  <r>
    <x v="0"/>
    <d v="2017-07-12T00:00:00"/>
    <d v="1899-12-30T13:47:13"/>
    <d v="1899-12-30T14:02:35"/>
    <d v="1899-12-30T00:15:22"/>
  </r>
  <r>
    <x v="0"/>
    <d v="2017-07-12T00:00:00"/>
    <d v="1899-12-30T13:52:44"/>
    <d v="1899-12-30T14:07:13"/>
    <d v="1899-12-30T00:14:29"/>
  </r>
  <r>
    <x v="0"/>
    <d v="2017-07-12T00:00:00"/>
    <d v="1899-12-30T13:55:59"/>
    <d v="1899-12-30T13:58:02"/>
    <d v="1899-12-30T00:02:03"/>
  </r>
  <r>
    <x v="0"/>
    <d v="2017-07-12T00:00:00"/>
    <d v="1899-12-30T13:59:02"/>
    <d v="1899-12-30T14:14:37"/>
    <d v="1899-12-30T00:15:35"/>
  </r>
  <r>
    <x v="0"/>
    <d v="2017-07-12T00:00:00"/>
    <d v="1899-12-30T14:03:44"/>
    <d v="1899-12-30T14:10:09"/>
    <d v="1899-12-30T00:06:25"/>
  </r>
  <r>
    <x v="0"/>
    <d v="2017-07-12T00:00:00"/>
    <d v="1899-12-30T14:08:18"/>
    <d v="1899-12-30T14:23:04"/>
    <d v="1899-12-30T00:14:46"/>
  </r>
  <r>
    <x v="0"/>
    <d v="2017-07-12T00:00:00"/>
    <d v="1899-12-30T14:14:42"/>
    <d v="1899-12-30T14:22:24"/>
    <d v="1899-12-30T00:07:42"/>
  </r>
  <r>
    <x v="0"/>
    <d v="2017-07-12T00:00:00"/>
    <d v="1899-12-30T14:22:11"/>
    <d v="1899-12-30T14:25:50"/>
    <d v="1899-12-30T00:03:39"/>
  </r>
  <r>
    <x v="0"/>
    <d v="2017-07-12T00:00:00"/>
    <d v="1899-12-30T14:22:58"/>
    <d v="1899-12-30T14:26:38"/>
    <d v="1899-12-30T00:03:40"/>
  </r>
  <r>
    <x v="0"/>
    <d v="2017-07-12T00:00:00"/>
    <d v="1899-12-30T14:24:57"/>
    <d v="1899-12-30T14:37:00"/>
    <d v="1899-12-30T00:12:03"/>
  </r>
  <r>
    <x v="0"/>
    <d v="2017-07-12T00:00:00"/>
    <d v="1899-12-30T14:31:37"/>
    <d v="1899-12-30T14:35:36"/>
    <d v="1899-12-30T00:03:59"/>
  </r>
  <r>
    <x v="0"/>
    <d v="2017-07-12T00:00:00"/>
    <d v="1899-12-30T14:38:49"/>
    <d v="1899-12-30T14:48:13"/>
    <d v="1899-12-30T00:09:24"/>
  </r>
  <r>
    <x v="0"/>
    <d v="2017-07-12T00:00:00"/>
    <d v="1899-12-30T14:46:06"/>
    <d v="1899-12-30T14:46:23"/>
    <d v="1899-12-30T00:00:17"/>
  </r>
  <r>
    <x v="0"/>
    <d v="2017-07-12T00:00:00"/>
    <d v="1899-12-30T14:53:55"/>
    <d v="1899-12-30T15:03:00"/>
    <d v="1899-12-30T00:09:05"/>
  </r>
  <r>
    <x v="0"/>
    <d v="2017-07-12T00:00:00"/>
    <d v="1899-12-30T14:58:10"/>
    <d v="1899-12-30T15:10:41"/>
    <d v="1899-12-30T00:12:31"/>
  </r>
  <r>
    <x v="0"/>
    <d v="2017-07-12T00:00:00"/>
    <d v="1899-12-30T14:59:16"/>
    <d v="1899-12-30T15:02:13"/>
    <d v="1899-12-30T00:02:57"/>
  </r>
  <r>
    <x v="0"/>
    <d v="2017-07-12T00:00:00"/>
    <d v="1899-12-30T15:01:40"/>
    <d v="1899-12-30T15:14:17"/>
    <d v="1899-12-30T00:12:37"/>
  </r>
  <r>
    <x v="0"/>
    <d v="2017-07-13T00:00:00"/>
    <d v="1899-12-30T08:06:54"/>
    <d v="1899-12-30T08:16:11"/>
    <d v="1899-12-30T00:09:17"/>
  </r>
  <r>
    <x v="0"/>
    <d v="2017-07-13T00:00:00"/>
    <d v="1899-12-30T08:13:19"/>
    <d v="1899-12-30T08:17:52"/>
    <d v="1899-12-30T00:04:33"/>
  </r>
  <r>
    <x v="0"/>
    <d v="2017-07-13T00:00:00"/>
    <d v="1899-12-30T08:21:36"/>
    <d v="1899-12-30T08:26:58"/>
    <d v="1899-12-30T00:05:22"/>
  </r>
  <r>
    <x v="0"/>
    <d v="2017-07-13T00:00:00"/>
    <d v="1899-12-30T08:28:29"/>
    <d v="1899-12-30T08:36:48"/>
    <d v="1899-12-30T00:08:19"/>
  </r>
  <r>
    <x v="0"/>
    <d v="2017-07-13T00:00:00"/>
    <d v="1899-12-30T08:36:45"/>
    <d v="1899-12-30T08:51:33"/>
    <d v="1899-12-30T00:14:48"/>
  </r>
  <r>
    <x v="0"/>
    <d v="2017-07-13T00:00:00"/>
    <d v="1899-12-30T08:41:21"/>
    <d v="1899-12-30T08:56:07"/>
    <d v="1899-12-30T00:14:46"/>
  </r>
  <r>
    <x v="0"/>
    <d v="2017-07-13T00:00:00"/>
    <d v="1899-12-30T08:43:19"/>
    <d v="1899-12-30T08:45:42"/>
    <d v="1899-12-30T00:02:23"/>
  </r>
  <r>
    <x v="0"/>
    <d v="2017-07-13T00:00:00"/>
    <d v="1899-12-30T08:45:41"/>
    <d v="1899-12-30T08:55:45"/>
    <d v="1899-12-30T00:10:04"/>
  </r>
  <r>
    <x v="0"/>
    <d v="2017-07-13T00:00:00"/>
    <d v="1899-12-30T08:46:51"/>
    <d v="1899-12-30T08:49:41"/>
    <d v="1899-12-30T00:02:50"/>
  </r>
  <r>
    <x v="0"/>
    <d v="2017-07-13T00:00:00"/>
    <d v="1899-12-30T08:48:33"/>
    <d v="1899-12-30T09:04:05"/>
    <d v="1899-12-30T00:15:32"/>
  </r>
  <r>
    <x v="0"/>
    <d v="2017-07-13T00:00:00"/>
    <d v="1899-12-30T08:53:52"/>
    <d v="1899-12-30T09:01:28"/>
    <d v="1899-12-30T00:07:36"/>
  </r>
  <r>
    <x v="0"/>
    <d v="2017-07-13T00:00:00"/>
    <d v="1899-12-30T08:57:37"/>
    <d v="1899-12-30T08:58:41"/>
    <d v="1899-12-30T00:01:04"/>
  </r>
  <r>
    <x v="0"/>
    <d v="2017-07-13T00:00:00"/>
    <d v="1899-12-30T09:02:13"/>
    <d v="1899-12-30T09:03:01"/>
    <d v="1899-12-30T00:00:48"/>
  </r>
  <r>
    <x v="0"/>
    <d v="2017-07-13T00:00:00"/>
    <d v="1899-12-30T09:03:35"/>
    <d v="1899-12-30T09:03:48"/>
    <d v="1899-12-30T00:00:13"/>
  </r>
  <r>
    <x v="0"/>
    <d v="2017-07-13T00:00:00"/>
    <d v="1899-12-30T09:05:47"/>
    <d v="1899-12-30T09:08:59"/>
    <d v="1899-12-30T00:03:12"/>
  </r>
  <r>
    <x v="0"/>
    <d v="2017-07-13T00:00:00"/>
    <d v="1899-12-30T09:07:28"/>
    <d v="1899-12-30T09:12:05"/>
    <d v="1899-12-30T00:04:37"/>
  </r>
  <r>
    <x v="0"/>
    <d v="2017-07-13T00:00:00"/>
    <d v="1899-12-30T09:14:07"/>
    <d v="1899-12-30T09:22:26"/>
    <d v="1899-12-30T00:08:19"/>
  </r>
  <r>
    <x v="0"/>
    <d v="2017-07-13T00:00:00"/>
    <d v="1899-12-30T09:21:07"/>
    <d v="1899-12-30T09:37:30"/>
    <d v="1899-12-30T00:16:23"/>
  </r>
  <r>
    <x v="0"/>
    <d v="2017-07-13T00:00:00"/>
    <d v="1899-12-30T09:24:24"/>
    <d v="1899-12-30T09:29:19"/>
    <d v="1899-12-30T00:04:55"/>
  </r>
  <r>
    <x v="0"/>
    <d v="2017-07-13T00:00:00"/>
    <d v="1899-12-30T09:32:00"/>
    <d v="1899-12-30T09:37:13"/>
    <d v="1899-12-30T00:05:13"/>
  </r>
  <r>
    <x v="0"/>
    <d v="2017-07-13T00:00:00"/>
    <d v="1899-12-30T09:35:50"/>
    <d v="1899-12-30T09:50:28"/>
    <d v="1899-12-30T00:14:38"/>
  </r>
  <r>
    <x v="0"/>
    <d v="2017-07-13T00:00:00"/>
    <d v="1899-12-30T09:43:46"/>
    <d v="1899-12-30T09:56:41"/>
    <d v="1899-12-30T00:12:55"/>
  </r>
  <r>
    <x v="0"/>
    <d v="2017-07-13T00:00:00"/>
    <d v="1899-12-30T09:45:20"/>
    <d v="1899-12-30T09:59:29"/>
    <d v="1899-12-30T00:14:09"/>
  </r>
  <r>
    <x v="0"/>
    <d v="2017-07-13T00:00:00"/>
    <d v="1899-12-30T09:52:33"/>
    <d v="1899-12-30T10:03:46"/>
    <d v="1899-12-30T00:11:13"/>
  </r>
  <r>
    <x v="0"/>
    <d v="2017-07-13T00:00:00"/>
    <d v="1899-12-30T09:52:53"/>
    <d v="1899-12-30T10:06:55"/>
    <d v="1899-12-30T00:14:02"/>
  </r>
  <r>
    <x v="0"/>
    <d v="2017-07-13T00:00:00"/>
    <d v="1899-12-30T10:00:54"/>
    <d v="1899-12-30T10:06:34"/>
    <d v="1899-12-30T00:05:40"/>
  </r>
  <r>
    <x v="0"/>
    <d v="2017-07-13T00:00:00"/>
    <d v="1899-12-30T10:04:30"/>
    <d v="1899-12-30T10:13:15"/>
    <d v="1899-12-30T00:08:45"/>
  </r>
  <r>
    <x v="0"/>
    <d v="2017-07-13T00:00:00"/>
    <d v="1899-12-30T10:06:07"/>
    <d v="1899-12-30T10:13:35"/>
    <d v="1899-12-30T00:07:28"/>
  </r>
  <r>
    <x v="0"/>
    <d v="2017-07-13T00:00:00"/>
    <d v="1899-12-30T10:10:50"/>
    <d v="1899-12-30T10:13:25"/>
    <d v="1899-12-30T00:02:35"/>
  </r>
  <r>
    <x v="0"/>
    <d v="2017-07-13T00:00:00"/>
    <d v="1899-12-30T10:17:59"/>
    <d v="1899-12-30T10:24:52"/>
    <d v="1899-12-30T00:06:53"/>
  </r>
  <r>
    <x v="0"/>
    <d v="2017-07-13T00:00:00"/>
    <d v="1899-12-30T10:23:29"/>
    <d v="1899-12-30T10:25:19"/>
    <d v="1899-12-30T00:01:50"/>
  </r>
  <r>
    <x v="0"/>
    <d v="2017-07-13T00:00:00"/>
    <d v="1899-12-30T10:30:28"/>
    <d v="1899-12-30T10:41:40"/>
    <d v="1899-12-30T00:11:12"/>
  </r>
  <r>
    <x v="0"/>
    <d v="2017-07-13T00:00:00"/>
    <d v="1899-12-30T10:33:24"/>
    <d v="1899-12-30T10:37:54"/>
    <d v="1899-12-30T00:04:30"/>
  </r>
  <r>
    <x v="0"/>
    <d v="2017-07-13T00:00:00"/>
    <d v="1899-12-30T10:37:37"/>
    <d v="1899-12-30T10:40:31"/>
    <d v="1899-12-30T00:02:54"/>
  </r>
  <r>
    <x v="0"/>
    <d v="2017-07-13T00:00:00"/>
    <d v="1899-12-30T10:44:09"/>
    <d v="1899-12-30T10:54:43"/>
    <d v="1899-12-30T00:10:34"/>
  </r>
  <r>
    <x v="0"/>
    <d v="2017-07-13T00:00:00"/>
    <d v="1899-12-30T10:49:54"/>
    <d v="1899-12-30T10:57:56"/>
    <d v="1899-12-30T00:08:02"/>
  </r>
  <r>
    <x v="0"/>
    <d v="2017-07-13T00:00:00"/>
    <d v="1899-12-30T10:55:03"/>
    <d v="1899-12-30T11:08:54"/>
    <d v="1899-12-30T00:13:51"/>
  </r>
  <r>
    <x v="0"/>
    <d v="2017-07-13T00:00:00"/>
    <d v="1899-12-30T10:57:50"/>
    <d v="1899-12-30T11:11:43"/>
    <d v="1899-12-30T00:13:53"/>
  </r>
  <r>
    <x v="0"/>
    <d v="2017-07-13T00:00:00"/>
    <d v="1899-12-30T11:01:57"/>
    <d v="1899-12-30T11:09:54"/>
    <d v="1899-12-30T00:07:57"/>
  </r>
  <r>
    <x v="0"/>
    <d v="2017-07-13T00:00:00"/>
    <d v="1899-12-30T11:08:48"/>
    <d v="1899-12-30T11:13:44"/>
    <d v="1899-12-30T00:04:56"/>
  </r>
  <r>
    <x v="0"/>
    <d v="2017-07-13T00:00:00"/>
    <d v="1899-12-30T11:10:46"/>
    <d v="1899-12-30T11:10:53"/>
    <d v="1899-12-30T00:00:07"/>
  </r>
  <r>
    <x v="0"/>
    <d v="2017-07-13T00:00:00"/>
    <d v="1899-12-30T11:18:14"/>
    <d v="1899-12-30T11:19:20"/>
    <d v="1899-12-30T00:01:06"/>
  </r>
  <r>
    <x v="0"/>
    <d v="2017-07-13T00:00:00"/>
    <d v="1899-12-30T11:18:44"/>
    <d v="1899-12-30T11:26:18"/>
    <d v="1899-12-30T00:07:34"/>
  </r>
  <r>
    <x v="0"/>
    <d v="2017-07-13T00:00:00"/>
    <d v="1899-12-30T11:21:26"/>
    <d v="1899-12-30T11:31:19"/>
    <d v="1899-12-30T00:09:53"/>
  </r>
  <r>
    <x v="0"/>
    <d v="2017-07-13T00:00:00"/>
    <d v="1899-12-30T11:29:37"/>
    <d v="1899-12-30T11:31:49"/>
    <d v="1899-12-30T00:02:12"/>
  </r>
  <r>
    <x v="0"/>
    <d v="2017-07-13T00:00:00"/>
    <d v="1899-12-30T11:35:42"/>
    <d v="1899-12-30T11:44:03"/>
    <d v="1899-12-30T00:08:21"/>
  </r>
  <r>
    <x v="0"/>
    <d v="2017-07-13T00:00:00"/>
    <d v="1899-12-30T11:42:31"/>
    <d v="1899-12-30T11:54:23"/>
    <d v="1899-12-30T00:11:52"/>
  </r>
  <r>
    <x v="0"/>
    <d v="2017-07-13T00:00:00"/>
    <d v="1899-12-30T11:47:13"/>
    <d v="1899-12-30T11:57:59"/>
    <d v="1899-12-30T00:10:46"/>
  </r>
  <r>
    <x v="0"/>
    <d v="2017-07-13T00:00:00"/>
    <d v="1899-12-30T11:49:41"/>
    <d v="1899-12-30T12:05:43"/>
    <d v="1899-12-30T00:16:02"/>
  </r>
  <r>
    <x v="0"/>
    <d v="2017-07-13T00:00:00"/>
    <d v="1899-12-30T11:52:42"/>
    <d v="1899-12-30T11:58:32"/>
    <d v="1899-12-30T00:05:50"/>
  </r>
  <r>
    <x v="0"/>
    <d v="2017-07-13T00:00:00"/>
    <d v="1899-12-30T12:00:52"/>
    <d v="1899-12-30T12:05:36"/>
    <d v="1899-12-30T00:04:44"/>
  </r>
  <r>
    <x v="0"/>
    <d v="2017-07-13T00:00:00"/>
    <d v="1899-12-30T12:02:30"/>
    <d v="1899-12-30T12:10:24"/>
    <d v="1899-12-30T00:07:54"/>
  </r>
  <r>
    <x v="0"/>
    <d v="2017-07-13T00:00:00"/>
    <d v="1899-12-30T12:09:44"/>
    <d v="1899-12-30T12:19:54"/>
    <d v="1899-12-30T00:10:10"/>
  </r>
  <r>
    <x v="0"/>
    <d v="2017-07-13T00:00:00"/>
    <d v="1899-12-30T12:10:33"/>
    <d v="1899-12-30T12:14:29"/>
    <d v="1899-12-30T00:03:56"/>
  </r>
  <r>
    <x v="0"/>
    <d v="2017-07-13T00:00:00"/>
    <d v="1899-12-30T12:15:17"/>
    <d v="1899-12-30T12:17:02"/>
    <d v="1899-12-30T00:01:45"/>
  </r>
  <r>
    <x v="0"/>
    <d v="2017-07-13T00:00:00"/>
    <d v="1899-12-30T12:17:38"/>
    <d v="1899-12-30T12:24:55"/>
    <d v="1899-12-30T00:07:17"/>
  </r>
  <r>
    <x v="0"/>
    <d v="2017-07-13T00:00:00"/>
    <d v="1899-12-30T12:23:17"/>
    <d v="1899-12-30T12:35:27"/>
    <d v="1899-12-30T00:12:10"/>
  </r>
  <r>
    <x v="0"/>
    <d v="2017-07-13T00:00:00"/>
    <d v="1899-12-30T12:24:37"/>
    <d v="1899-12-30T12:38:39"/>
    <d v="1899-12-30T00:14:02"/>
  </r>
  <r>
    <x v="0"/>
    <d v="2017-07-13T00:00:00"/>
    <d v="1899-12-30T12:28:36"/>
    <d v="1899-12-30T12:42:07"/>
    <d v="1899-12-30T00:13:31"/>
  </r>
  <r>
    <x v="0"/>
    <d v="2017-07-13T00:00:00"/>
    <d v="1899-12-30T12:33:26"/>
    <d v="1899-12-30T12:42:42"/>
    <d v="1899-12-30T00:09:16"/>
  </r>
  <r>
    <x v="0"/>
    <d v="2017-07-13T00:00:00"/>
    <d v="1899-12-30T12:33:53"/>
    <d v="1899-12-30T12:44:36"/>
    <d v="1899-12-30T00:10:43"/>
  </r>
  <r>
    <x v="0"/>
    <d v="2017-07-13T00:00:00"/>
    <d v="1899-12-30T12:38:26"/>
    <d v="1899-12-30T12:51:46"/>
    <d v="1899-12-30T00:13:20"/>
  </r>
  <r>
    <x v="0"/>
    <d v="2017-07-13T00:00:00"/>
    <d v="1899-12-30T12:41:51"/>
    <d v="1899-12-30T12:42:24"/>
    <d v="1899-12-30T00:00:33"/>
  </r>
  <r>
    <x v="0"/>
    <d v="2017-07-13T00:00:00"/>
    <d v="1899-12-30T12:43:53"/>
    <d v="1899-12-30T12:54:41"/>
    <d v="1899-12-30T00:10:48"/>
  </r>
  <r>
    <x v="0"/>
    <d v="2017-07-13T00:00:00"/>
    <d v="1899-12-30T12:50:11"/>
    <d v="1899-12-30T12:55:35"/>
    <d v="1899-12-30T00:05:24"/>
  </r>
  <r>
    <x v="0"/>
    <d v="2017-07-13T00:00:00"/>
    <d v="1899-12-30T12:58:10"/>
    <d v="1899-12-30T13:12:34"/>
    <d v="1899-12-30T00:14:24"/>
  </r>
  <r>
    <x v="0"/>
    <d v="2017-07-13T00:00:00"/>
    <d v="1899-12-30T13:02:32"/>
    <d v="1899-12-30T13:11:35"/>
    <d v="1899-12-30T00:09:03"/>
  </r>
  <r>
    <x v="0"/>
    <d v="2017-07-13T00:00:00"/>
    <d v="1899-12-30T13:07:56"/>
    <d v="1899-12-30T13:24:33"/>
    <d v="1899-12-30T00:16:37"/>
  </r>
  <r>
    <x v="0"/>
    <d v="2017-07-13T00:00:00"/>
    <d v="1899-12-30T13:09:13"/>
    <d v="1899-12-30T13:09:30"/>
    <d v="1899-12-30T00:00:17"/>
  </r>
  <r>
    <x v="0"/>
    <d v="2017-07-13T00:00:00"/>
    <d v="1899-12-30T13:16:33"/>
    <d v="1899-12-30T13:30:02"/>
    <d v="1899-12-30T00:13:29"/>
  </r>
  <r>
    <x v="0"/>
    <d v="2017-07-13T00:00:00"/>
    <d v="1899-12-30T13:19:50"/>
    <d v="1899-12-30T13:31:18"/>
    <d v="1899-12-30T00:11:28"/>
  </r>
  <r>
    <x v="0"/>
    <d v="2017-07-13T00:00:00"/>
    <d v="1899-12-30T13:20:01"/>
    <d v="1899-12-30T13:31:22"/>
    <d v="1899-12-30T00:11:21"/>
  </r>
  <r>
    <x v="0"/>
    <d v="2017-07-13T00:00:00"/>
    <d v="1899-12-30T13:25:18"/>
    <d v="1899-12-30T13:35:47"/>
    <d v="1899-12-30T00:10:29"/>
  </r>
  <r>
    <x v="0"/>
    <d v="2017-07-13T00:00:00"/>
    <d v="1899-12-30T13:31:45"/>
    <d v="1899-12-30T13:45:46"/>
    <d v="1899-12-30T00:14:01"/>
  </r>
  <r>
    <x v="0"/>
    <d v="2017-07-13T00:00:00"/>
    <d v="1899-12-30T13:34:46"/>
    <d v="1899-12-30T13:50:48"/>
    <d v="1899-12-30T00:16:02"/>
  </r>
  <r>
    <x v="0"/>
    <d v="2017-07-13T00:00:00"/>
    <d v="1899-12-30T13:41:35"/>
    <d v="1899-12-30T13:46:24"/>
    <d v="1899-12-30T00:04:49"/>
  </r>
  <r>
    <x v="0"/>
    <d v="2017-07-13T00:00:00"/>
    <d v="1899-12-30T13:44:56"/>
    <d v="1899-12-30T13:50:21"/>
    <d v="1899-12-30T00:05:25"/>
  </r>
  <r>
    <x v="0"/>
    <d v="2017-07-13T00:00:00"/>
    <d v="1899-12-30T13:45:34"/>
    <d v="1899-12-30T13:48:41"/>
    <d v="1899-12-30T00:03:07"/>
  </r>
  <r>
    <x v="0"/>
    <d v="2017-07-13T00:00:00"/>
    <d v="1899-12-30T13:50:08"/>
    <d v="1899-12-30T13:54:00"/>
    <d v="1899-12-30T00:03:52"/>
  </r>
  <r>
    <x v="0"/>
    <d v="2017-07-13T00:00:00"/>
    <d v="1899-12-30T13:56:10"/>
    <d v="1899-12-30T14:11:45"/>
    <d v="1899-12-30T00:15:35"/>
  </r>
  <r>
    <x v="0"/>
    <d v="2017-07-13T00:00:00"/>
    <d v="1899-12-30T14:04:29"/>
    <d v="1899-12-30T14:20:54"/>
    <d v="1899-12-30T00:16:25"/>
  </r>
  <r>
    <x v="0"/>
    <d v="2017-07-13T00:00:00"/>
    <d v="1899-12-30T14:12:11"/>
    <d v="1899-12-30T14:24:47"/>
    <d v="1899-12-30T00:12:36"/>
  </r>
  <r>
    <x v="0"/>
    <d v="2017-07-13T00:00:00"/>
    <d v="1899-12-30T14:13:26"/>
    <d v="1899-12-30T14:19:17"/>
    <d v="1899-12-30T00:05:51"/>
  </r>
  <r>
    <x v="0"/>
    <d v="2017-07-13T00:00:00"/>
    <d v="1899-12-30T14:15:54"/>
    <d v="1899-12-30T14:29:02"/>
    <d v="1899-12-30T00:13:08"/>
  </r>
  <r>
    <x v="0"/>
    <d v="2017-07-13T00:00:00"/>
    <d v="1899-12-30T14:20:20"/>
    <d v="1899-12-30T14:34:07"/>
    <d v="1899-12-30T00:13:47"/>
  </r>
  <r>
    <x v="0"/>
    <d v="2017-07-13T00:00:00"/>
    <d v="1899-12-30T14:24:07"/>
    <d v="1899-12-30T14:26:38"/>
    <d v="1899-12-30T00:02:31"/>
  </r>
  <r>
    <x v="0"/>
    <d v="2017-07-13T00:00:00"/>
    <d v="1899-12-30T14:28:29"/>
    <d v="1899-12-30T14:39:06"/>
    <d v="1899-12-30T00:10:37"/>
  </r>
  <r>
    <x v="0"/>
    <d v="2017-07-13T00:00:00"/>
    <d v="1899-12-30T14:35:08"/>
    <d v="1899-12-30T14:35:31"/>
    <d v="1899-12-30T00:00:23"/>
  </r>
  <r>
    <x v="0"/>
    <d v="2017-07-13T00:00:00"/>
    <d v="1899-12-30T14:43:23"/>
    <d v="1899-12-30T14:59:33"/>
    <d v="1899-12-30T00:16:10"/>
  </r>
  <r>
    <x v="0"/>
    <d v="2017-07-13T00:00:00"/>
    <d v="1899-12-30T14:47:15"/>
    <d v="1899-12-30T15:03:24"/>
    <d v="1899-12-30T00:16:09"/>
  </r>
  <r>
    <x v="0"/>
    <d v="2017-07-13T00:00:00"/>
    <d v="1899-12-30T14:48:17"/>
    <d v="1899-12-30T14:49:21"/>
    <d v="1899-12-30T00:01:04"/>
  </r>
  <r>
    <x v="0"/>
    <d v="2017-07-13T00:00:00"/>
    <d v="1899-12-30T14:53:28"/>
    <d v="1899-12-30T14:53:50"/>
    <d v="1899-12-30T00:00:22"/>
  </r>
  <r>
    <x v="0"/>
    <d v="2017-07-13T00:00:00"/>
    <d v="1899-12-30T14:55:22"/>
    <d v="1899-12-30T15:00:35"/>
    <d v="1899-12-30T00:05:13"/>
  </r>
  <r>
    <x v="0"/>
    <d v="2017-07-13T00:00:00"/>
    <d v="1899-12-30T15:03:36"/>
    <d v="1899-12-30T15:09:19"/>
    <d v="1899-12-30T00:05:43"/>
  </r>
  <r>
    <x v="0"/>
    <d v="2017-07-14T00:00:00"/>
    <d v="1899-12-30T08:04:41"/>
    <d v="1899-12-30T08:15:08"/>
    <d v="1899-12-30T00:10:27"/>
  </r>
  <r>
    <x v="0"/>
    <d v="2017-07-14T00:00:00"/>
    <d v="1899-12-30T08:05:10"/>
    <d v="1899-12-30T08:16:21"/>
    <d v="1899-12-30T00:11:11"/>
  </r>
  <r>
    <x v="0"/>
    <d v="2017-07-14T00:00:00"/>
    <d v="1899-12-30T08:06:45"/>
    <d v="1899-12-30T08:12:58"/>
    <d v="1899-12-30T00:06:13"/>
  </r>
  <r>
    <x v="0"/>
    <d v="2017-07-14T00:00:00"/>
    <d v="1899-12-30T08:10:30"/>
    <d v="1899-12-30T08:14:24"/>
    <d v="1899-12-30T00:03:54"/>
  </r>
  <r>
    <x v="0"/>
    <d v="2017-07-14T00:00:00"/>
    <d v="1899-12-30T08:13:23"/>
    <d v="1899-12-30T08:21:28"/>
    <d v="1899-12-30T00:08:05"/>
  </r>
  <r>
    <x v="0"/>
    <d v="2017-07-14T00:00:00"/>
    <d v="1899-12-30T08:15:49"/>
    <d v="1899-12-30T08:18:19"/>
    <d v="1899-12-30T00:02:30"/>
  </r>
  <r>
    <x v="0"/>
    <d v="2017-07-14T00:00:00"/>
    <d v="1899-12-30T08:17:13"/>
    <d v="1899-12-30T08:29:58"/>
    <d v="1899-12-30T00:12:45"/>
  </r>
  <r>
    <x v="0"/>
    <d v="2017-07-14T00:00:00"/>
    <d v="1899-12-30T08:21:49"/>
    <d v="1899-12-30T08:37:21"/>
    <d v="1899-12-30T00:15:32"/>
  </r>
  <r>
    <x v="0"/>
    <d v="2017-07-14T00:00:00"/>
    <d v="1899-12-30T08:27:54"/>
    <d v="1899-12-30T08:42:04"/>
    <d v="1899-12-30T00:14:10"/>
  </r>
  <r>
    <x v="0"/>
    <d v="2017-07-14T00:00:00"/>
    <d v="1899-12-30T08:31:10"/>
    <d v="1899-12-30T08:45:30"/>
    <d v="1899-12-30T00:14:20"/>
  </r>
  <r>
    <x v="0"/>
    <d v="2017-07-14T00:00:00"/>
    <d v="1899-12-30T08:34:04"/>
    <d v="1899-12-30T08:46:23"/>
    <d v="1899-12-30T00:12:19"/>
  </r>
  <r>
    <x v="0"/>
    <d v="2017-07-14T00:00:00"/>
    <d v="1899-12-30T08:39:13"/>
    <d v="1899-12-30T08:51:47"/>
    <d v="1899-12-30T00:12:34"/>
  </r>
  <r>
    <x v="0"/>
    <d v="2017-07-14T00:00:00"/>
    <d v="1899-12-30T08:41:28"/>
    <d v="1899-12-30T08:43:20"/>
    <d v="1899-12-30T00:01:52"/>
  </r>
  <r>
    <x v="0"/>
    <d v="2017-07-14T00:00:00"/>
    <d v="1899-12-30T08:45:50"/>
    <d v="1899-12-30T09:01:23"/>
    <d v="1899-12-30T00:15:33"/>
  </r>
  <r>
    <x v="0"/>
    <d v="2017-07-14T00:00:00"/>
    <d v="1899-12-30T08:51:41"/>
    <d v="1899-12-30T08:52:43"/>
    <d v="1899-12-30T00:01:02"/>
  </r>
  <r>
    <x v="0"/>
    <d v="2017-07-14T00:00:00"/>
    <d v="1899-12-30T08:54:32"/>
    <d v="1899-12-30T09:08:08"/>
    <d v="1899-12-30T00:13:36"/>
  </r>
  <r>
    <x v="0"/>
    <d v="2017-07-14T00:00:00"/>
    <d v="1899-12-30T08:59:43"/>
    <d v="1899-12-30T09:10:06"/>
    <d v="1899-12-30T00:10:23"/>
  </r>
  <r>
    <x v="0"/>
    <d v="2017-07-14T00:00:00"/>
    <d v="1899-12-30T09:00:06"/>
    <d v="1899-12-30T09:04:45"/>
    <d v="1899-12-30T00:04:39"/>
  </r>
  <r>
    <x v="0"/>
    <d v="2017-07-14T00:00:00"/>
    <d v="1899-12-30T09:06:22"/>
    <d v="1899-12-30T09:12:48"/>
    <d v="1899-12-30T00:06:26"/>
  </r>
  <r>
    <x v="0"/>
    <d v="2017-07-14T00:00:00"/>
    <d v="1899-12-30T09:13:39"/>
    <d v="1899-12-30T09:22:35"/>
    <d v="1899-12-30T00:08:56"/>
  </r>
  <r>
    <x v="0"/>
    <d v="2017-07-14T00:00:00"/>
    <d v="1899-12-30T09:15:26"/>
    <d v="1899-12-30T09:30:41"/>
    <d v="1899-12-30T00:15:15"/>
  </r>
  <r>
    <x v="0"/>
    <d v="2017-07-14T00:00:00"/>
    <d v="1899-12-30T09:20:46"/>
    <d v="1899-12-30T09:22:06"/>
    <d v="1899-12-30T00:01:20"/>
  </r>
  <r>
    <x v="0"/>
    <d v="2017-07-14T00:00:00"/>
    <d v="1899-12-30T09:28:54"/>
    <d v="1899-12-30T09:39:46"/>
    <d v="1899-12-30T00:10:52"/>
  </r>
  <r>
    <x v="0"/>
    <d v="2017-07-14T00:00:00"/>
    <d v="1899-12-30T09:36:15"/>
    <d v="1899-12-30T09:38:38"/>
    <d v="1899-12-30T00:02:23"/>
  </r>
  <r>
    <x v="0"/>
    <d v="2017-07-14T00:00:00"/>
    <d v="1899-12-30T09:40:52"/>
    <d v="1899-12-30T09:52:23"/>
    <d v="1899-12-30T00:11:31"/>
  </r>
  <r>
    <x v="0"/>
    <d v="2017-07-14T00:00:00"/>
    <d v="1899-12-30T09:45:09"/>
    <d v="1899-12-30T09:45:15"/>
    <d v="1899-12-30T00:00:06"/>
  </r>
  <r>
    <x v="0"/>
    <d v="2017-07-14T00:00:00"/>
    <d v="1899-12-30T09:50:08"/>
    <d v="1899-12-30T09:59:25"/>
    <d v="1899-12-30T00:09:17"/>
  </r>
  <r>
    <x v="0"/>
    <d v="2017-07-14T00:00:00"/>
    <d v="1899-12-30T09:51:23"/>
    <d v="1899-12-30T09:54:33"/>
    <d v="1899-12-30T00:03:10"/>
  </r>
  <r>
    <x v="0"/>
    <d v="2017-07-14T00:00:00"/>
    <d v="1899-12-30T09:59:04"/>
    <d v="1899-12-30T10:01:49"/>
    <d v="1899-12-30T00:02:45"/>
  </r>
  <r>
    <x v="0"/>
    <d v="2017-07-14T00:00:00"/>
    <d v="1899-12-30T09:59:17"/>
    <d v="1899-12-30T10:05:05"/>
    <d v="1899-12-30T00:05:48"/>
  </r>
  <r>
    <x v="0"/>
    <d v="2017-07-14T00:00:00"/>
    <d v="1899-12-30T10:01:39"/>
    <d v="1899-12-30T10:17:34"/>
    <d v="1899-12-30T00:15:55"/>
  </r>
  <r>
    <x v="0"/>
    <d v="2017-07-14T00:00:00"/>
    <d v="1899-12-30T10:08:14"/>
    <d v="1899-12-30T10:10:24"/>
    <d v="1899-12-30T00:02:10"/>
  </r>
  <r>
    <x v="0"/>
    <d v="2017-07-14T00:00:00"/>
    <d v="1899-12-30T10:13:13"/>
    <d v="1899-12-30T10:26:35"/>
    <d v="1899-12-30T00:13:22"/>
  </r>
  <r>
    <x v="0"/>
    <d v="2017-07-14T00:00:00"/>
    <d v="1899-12-30T10:20:52"/>
    <d v="1899-12-30T10:33:28"/>
    <d v="1899-12-30T00:12:36"/>
  </r>
  <r>
    <x v="0"/>
    <d v="2017-07-14T00:00:00"/>
    <d v="1899-12-30T10:24:25"/>
    <d v="1899-12-30T10:40:03"/>
    <d v="1899-12-30T00:15:38"/>
  </r>
  <r>
    <x v="0"/>
    <d v="2017-07-14T00:00:00"/>
    <d v="1899-12-30T10:26:39"/>
    <d v="1899-12-30T10:43:07"/>
    <d v="1899-12-30T00:16:28"/>
  </r>
  <r>
    <x v="0"/>
    <d v="2017-07-14T00:00:00"/>
    <d v="1899-12-30T10:32:58"/>
    <d v="1899-12-30T10:37:15"/>
    <d v="1899-12-30T00:04:17"/>
  </r>
  <r>
    <x v="0"/>
    <d v="2017-07-14T00:00:00"/>
    <d v="1899-12-30T10:34:28"/>
    <d v="1899-12-30T10:43:02"/>
    <d v="1899-12-30T00:08:34"/>
  </r>
  <r>
    <x v="0"/>
    <d v="2017-07-14T00:00:00"/>
    <d v="1899-12-30T10:34:39"/>
    <d v="1899-12-30T10:47:29"/>
    <d v="1899-12-30T00:12:50"/>
  </r>
  <r>
    <x v="0"/>
    <d v="2017-07-14T00:00:00"/>
    <d v="1899-12-30T10:37:51"/>
    <d v="1899-12-30T10:41:27"/>
    <d v="1899-12-30T00:03:36"/>
  </r>
  <r>
    <x v="0"/>
    <d v="2017-07-14T00:00:00"/>
    <d v="1899-12-30T10:40:56"/>
    <d v="1899-12-30T10:46:24"/>
    <d v="1899-12-30T00:05:28"/>
  </r>
  <r>
    <x v="0"/>
    <d v="2017-07-14T00:00:00"/>
    <d v="1899-12-30T10:41:21"/>
    <d v="1899-12-30T10:51:44"/>
    <d v="1899-12-30T00:10:23"/>
  </r>
  <r>
    <x v="0"/>
    <d v="2017-07-14T00:00:00"/>
    <d v="1899-12-30T10:42:09"/>
    <d v="1899-12-30T10:47:23"/>
    <d v="1899-12-30T00:05:14"/>
  </r>
  <r>
    <x v="0"/>
    <d v="2017-07-14T00:00:00"/>
    <d v="1899-12-30T10:44:58"/>
    <d v="1899-12-30T10:45:12"/>
    <d v="1899-12-30T00:00:14"/>
  </r>
  <r>
    <x v="0"/>
    <d v="2017-07-14T00:00:00"/>
    <d v="1899-12-30T10:46:48"/>
    <d v="1899-12-30T11:02:44"/>
    <d v="1899-12-30T00:15:56"/>
  </r>
  <r>
    <x v="0"/>
    <d v="2017-07-14T00:00:00"/>
    <d v="1899-12-30T10:51:22"/>
    <d v="1899-12-30T10:57:21"/>
    <d v="1899-12-30T00:05:59"/>
  </r>
  <r>
    <x v="0"/>
    <d v="2017-07-14T00:00:00"/>
    <d v="1899-12-30T10:57:37"/>
    <d v="1899-12-30T10:57:47"/>
    <d v="1899-12-30T00:00:10"/>
  </r>
  <r>
    <x v="0"/>
    <d v="2017-07-14T00:00:00"/>
    <d v="1899-12-30T11:01:24"/>
    <d v="1899-12-30T11:07:21"/>
    <d v="1899-12-30T00:05:57"/>
  </r>
  <r>
    <x v="0"/>
    <d v="2017-07-14T00:00:00"/>
    <d v="1899-12-30T11:01:41"/>
    <d v="1899-12-30T11:04:57"/>
    <d v="1899-12-30T00:03:16"/>
  </r>
  <r>
    <x v="0"/>
    <d v="2017-07-14T00:00:00"/>
    <d v="1899-12-30T11:07:12"/>
    <d v="1899-12-30T11:08:18"/>
    <d v="1899-12-30T00:01:06"/>
  </r>
  <r>
    <x v="0"/>
    <d v="2017-07-14T00:00:00"/>
    <d v="1899-12-30T11:10:52"/>
    <d v="1899-12-30T11:13:17"/>
    <d v="1899-12-30T00:02:25"/>
  </r>
  <r>
    <x v="0"/>
    <d v="2017-07-14T00:00:00"/>
    <d v="1899-12-30T11:16:38"/>
    <d v="1899-12-30T11:27:11"/>
    <d v="1899-12-30T00:10:33"/>
  </r>
  <r>
    <x v="0"/>
    <d v="2017-07-14T00:00:00"/>
    <d v="1899-12-30T11:17:13"/>
    <d v="1899-12-30T11:17:33"/>
    <d v="1899-12-30T00:00:20"/>
  </r>
  <r>
    <x v="0"/>
    <d v="2017-07-14T00:00:00"/>
    <d v="1899-12-30T11:22:58"/>
    <d v="1899-12-30T11:38:57"/>
    <d v="1899-12-30T00:15:59"/>
  </r>
  <r>
    <x v="0"/>
    <d v="2017-07-14T00:00:00"/>
    <d v="1899-12-30T11:25:22"/>
    <d v="1899-12-30T11:26:02"/>
    <d v="1899-12-30T00:00:40"/>
  </r>
  <r>
    <x v="0"/>
    <d v="2017-07-14T00:00:00"/>
    <d v="1899-12-30T11:28:19"/>
    <d v="1899-12-30T11:29:50"/>
    <d v="1899-12-30T00:01:31"/>
  </r>
  <r>
    <x v="0"/>
    <d v="2017-07-14T00:00:00"/>
    <d v="1899-12-30T11:28:41"/>
    <d v="1899-12-30T11:38:26"/>
    <d v="1899-12-30T00:09:45"/>
  </r>
  <r>
    <x v="0"/>
    <d v="2017-07-14T00:00:00"/>
    <d v="1899-12-30T11:33:12"/>
    <d v="1899-12-30T11:39:28"/>
    <d v="1899-12-30T00:06:16"/>
  </r>
  <r>
    <x v="0"/>
    <d v="2017-07-14T00:00:00"/>
    <d v="1899-12-30T11:37:17"/>
    <d v="1899-12-30T11:39:18"/>
    <d v="1899-12-30T00:02:01"/>
  </r>
  <r>
    <x v="0"/>
    <d v="2017-07-14T00:00:00"/>
    <d v="1899-12-30T11:39:33"/>
    <d v="1899-12-30T11:51:18"/>
    <d v="1899-12-30T00:11:45"/>
  </r>
  <r>
    <x v="0"/>
    <d v="2017-07-14T00:00:00"/>
    <d v="1899-12-30T11:43:11"/>
    <d v="1899-12-30T11:45:41"/>
    <d v="1899-12-30T00:02:30"/>
  </r>
  <r>
    <x v="0"/>
    <d v="2017-07-14T00:00:00"/>
    <d v="1899-12-30T11:49:57"/>
    <d v="1899-12-30T12:03:31"/>
    <d v="1899-12-30T00:13:34"/>
  </r>
  <r>
    <x v="0"/>
    <d v="2017-07-14T00:00:00"/>
    <d v="1899-12-30T11:54:12"/>
    <d v="1899-12-30T12:06:30"/>
    <d v="1899-12-30T00:12:18"/>
  </r>
  <r>
    <x v="1"/>
    <d v="2017-07-14T00:00:00"/>
    <d v="1899-12-30T12:01:49"/>
    <d v="1899-12-30T12:17:03"/>
    <d v="1899-12-30T00:15:14"/>
  </r>
  <r>
    <x v="0"/>
    <d v="2017-07-14T00:00:00"/>
    <d v="1899-12-30T12:05:27"/>
    <d v="1899-12-30T12:15:02"/>
    <d v="1899-12-30T00:09:35"/>
  </r>
  <r>
    <x v="0"/>
    <d v="2017-07-14T00:00:00"/>
    <d v="1899-12-30T12:11:42"/>
    <d v="1899-12-30T12:12:25"/>
    <d v="1899-12-30T00:00:43"/>
  </r>
  <r>
    <x v="0"/>
    <d v="2017-07-14T00:00:00"/>
    <d v="1899-12-30T12:16:59"/>
    <d v="1899-12-30T12:17:44"/>
    <d v="1899-12-30T00:00:45"/>
  </r>
  <r>
    <x v="0"/>
    <d v="2017-07-14T00:00:00"/>
    <d v="1899-12-30T12:23:42"/>
    <d v="1899-12-30T12:24:30"/>
    <d v="1899-12-30T00:00:48"/>
  </r>
  <r>
    <x v="0"/>
    <d v="2017-07-14T00:00:00"/>
    <d v="1899-12-30T12:29:37"/>
    <d v="1899-12-30T12:40:35"/>
    <d v="1899-12-30T00:10:58"/>
  </r>
  <r>
    <x v="0"/>
    <d v="2017-07-14T00:00:00"/>
    <d v="1899-12-30T12:34:57"/>
    <d v="1899-12-30T12:40:35"/>
    <d v="1899-12-30T00:05:38"/>
  </r>
  <r>
    <x v="0"/>
    <d v="2017-07-14T00:00:00"/>
    <d v="1899-12-30T12:42:32"/>
    <d v="1899-12-30T12:58:44"/>
    <d v="1899-12-30T00:16:12"/>
  </r>
  <r>
    <x v="0"/>
    <d v="2017-07-14T00:00:00"/>
    <d v="1899-12-30T12:46:37"/>
    <d v="1899-12-30T12:49:09"/>
    <d v="1899-12-30T00:02:32"/>
  </r>
  <r>
    <x v="0"/>
    <d v="2017-07-14T00:00:00"/>
    <d v="1899-12-30T12:47:04"/>
    <d v="1899-12-30T12:59:33"/>
    <d v="1899-12-30T00:12:29"/>
  </r>
  <r>
    <x v="0"/>
    <d v="2017-07-14T00:00:00"/>
    <d v="1899-12-30T12:53:52"/>
    <d v="1899-12-30T13:10:28"/>
    <d v="1899-12-30T00:16:36"/>
  </r>
  <r>
    <x v="0"/>
    <d v="2017-07-14T00:00:00"/>
    <d v="1899-12-30T12:54:16"/>
    <d v="1899-12-30T12:54:18"/>
    <d v="1899-12-30T00:00:02"/>
  </r>
  <r>
    <x v="0"/>
    <d v="2017-07-14T00:00:00"/>
    <d v="1899-12-30T12:56:18"/>
    <d v="1899-12-30T13:05:23"/>
    <d v="1899-12-30T00:09:05"/>
  </r>
  <r>
    <x v="0"/>
    <d v="2017-07-14T00:00:00"/>
    <d v="1899-12-30T12:59:18"/>
    <d v="1899-12-30T13:10:29"/>
    <d v="1899-12-30T00:11:11"/>
  </r>
  <r>
    <x v="0"/>
    <d v="2017-07-14T00:00:00"/>
    <d v="1899-12-30T13:03:35"/>
    <d v="1899-12-30T13:14:15"/>
    <d v="1899-12-30T00:10:40"/>
  </r>
  <r>
    <x v="0"/>
    <d v="2017-07-14T00:00:00"/>
    <d v="1899-12-30T13:04:47"/>
    <d v="1899-12-30T13:10:16"/>
    <d v="1899-12-30T00:05:29"/>
  </r>
  <r>
    <x v="0"/>
    <d v="2017-07-14T00:00:00"/>
    <d v="1899-12-30T13:06:29"/>
    <d v="1899-12-30T13:14:13"/>
    <d v="1899-12-30T00:07:44"/>
  </r>
  <r>
    <x v="0"/>
    <d v="2017-07-14T00:00:00"/>
    <d v="1899-12-30T13:14:14"/>
    <d v="1899-12-30T13:22:13"/>
    <d v="1899-12-30T00:07:59"/>
  </r>
  <r>
    <x v="0"/>
    <d v="2017-07-14T00:00:00"/>
    <d v="1899-12-30T13:18:49"/>
    <d v="1899-12-30T13:30:03"/>
    <d v="1899-12-30T00:11:14"/>
  </r>
  <r>
    <x v="0"/>
    <d v="2017-07-14T00:00:00"/>
    <d v="1899-12-30T13:20:50"/>
    <d v="1899-12-30T13:31:41"/>
    <d v="1899-12-30T00:10:51"/>
  </r>
  <r>
    <x v="0"/>
    <d v="2017-07-14T00:00:00"/>
    <d v="1899-12-30T13:28:26"/>
    <d v="1899-12-30T13:41:36"/>
    <d v="1899-12-30T00:13:10"/>
  </r>
  <r>
    <x v="0"/>
    <d v="2017-07-14T00:00:00"/>
    <d v="1899-12-30T13:35:46"/>
    <d v="1899-12-30T13:48:29"/>
    <d v="1899-12-30T00:12:43"/>
  </r>
  <r>
    <x v="0"/>
    <d v="2017-07-14T00:00:00"/>
    <d v="1899-12-30T13:43:39"/>
    <d v="1899-12-30T13:56:22"/>
    <d v="1899-12-30T00:12:43"/>
  </r>
  <r>
    <x v="0"/>
    <d v="2017-07-14T00:00:00"/>
    <d v="1899-12-30T13:44:35"/>
    <d v="1899-12-30T13:55:05"/>
    <d v="1899-12-30T00:10:30"/>
  </r>
  <r>
    <x v="0"/>
    <d v="2017-07-14T00:00:00"/>
    <d v="1899-12-30T13:47:18"/>
    <d v="1899-12-30T13:53:00"/>
    <d v="1899-12-30T00:05:42"/>
  </r>
  <r>
    <x v="0"/>
    <d v="2017-07-14T00:00:00"/>
    <d v="1899-12-30T13:52:28"/>
    <d v="1899-12-30T14:06:52"/>
    <d v="1899-12-30T00:14:24"/>
  </r>
  <r>
    <x v="0"/>
    <d v="2017-07-14T00:00:00"/>
    <d v="1899-12-30T13:58:34"/>
    <d v="1899-12-30T14:05:47"/>
    <d v="1899-12-30T00:07:13"/>
  </r>
  <r>
    <x v="0"/>
    <d v="2017-07-14T00:00:00"/>
    <d v="1899-12-30T14:06:52"/>
    <d v="1899-12-30T14:11:32"/>
    <d v="1899-12-30T00:04:40"/>
  </r>
  <r>
    <x v="0"/>
    <d v="2017-07-14T00:00:00"/>
    <d v="1899-12-30T14:09:01"/>
    <d v="1899-12-30T14:11:07"/>
    <d v="1899-12-30T00:02:06"/>
  </r>
  <r>
    <x v="0"/>
    <d v="2017-07-14T00:00:00"/>
    <d v="1899-12-30T14:13:42"/>
    <d v="1899-12-30T14:19:08"/>
    <d v="1899-12-30T00:05:26"/>
  </r>
  <r>
    <x v="0"/>
    <d v="2017-07-14T00:00:00"/>
    <d v="1899-12-30T14:16:20"/>
    <d v="1899-12-30T14:29:39"/>
    <d v="1899-12-30T00:13:19"/>
  </r>
  <r>
    <x v="0"/>
    <d v="2017-07-14T00:00:00"/>
    <d v="1899-12-30T14:21:20"/>
    <d v="1899-12-30T14:31:24"/>
    <d v="1899-12-30T00:10:04"/>
  </r>
  <r>
    <x v="0"/>
    <d v="2017-07-14T00:00:00"/>
    <d v="1899-12-30T14:24:17"/>
    <d v="1899-12-30T14:24:20"/>
    <d v="1899-12-30T00:00:03"/>
  </r>
  <r>
    <x v="0"/>
    <d v="2017-07-14T00:00:00"/>
    <d v="1899-12-30T14:26:57"/>
    <d v="1899-12-30T14:28:36"/>
    <d v="1899-12-30T00:01:39"/>
  </r>
  <r>
    <x v="0"/>
    <d v="2017-07-14T00:00:00"/>
    <d v="1899-12-30T14:35:10"/>
    <d v="1899-12-30T14:47:15"/>
    <d v="1899-12-30T00:12:05"/>
  </r>
  <r>
    <x v="0"/>
    <d v="2017-07-14T00:00:00"/>
    <d v="1899-12-30T14:40:55"/>
    <d v="1899-12-30T14:48:27"/>
    <d v="1899-12-30T00:07:32"/>
  </r>
  <r>
    <x v="0"/>
    <d v="2017-07-14T00:00:00"/>
    <d v="1899-12-30T14:46:16"/>
    <d v="1899-12-30T14:55:28"/>
    <d v="1899-12-30T00:09:12"/>
  </r>
  <r>
    <x v="0"/>
    <d v="2017-07-14T00:00:00"/>
    <d v="1899-12-30T14:54:24"/>
    <d v="1899-12-30T15:04:32"/>
    <d v="1899-12-30T00:10:08"/>
  </r>
  <r>
    <x v="0"/>
    <d v="2017-07-14T00:00:00"/>
    <d v="1899-12-30T15:00:15"/>
    <d v="1899-12-30T15:00:16"/>
    <d v="1899-12-30T00:00:01"/>
  </r>
  <r>
    <x v="0"/>
    <d v="2017-07-17T00:00:00"/>
    <d v="1899-12-30T08:05:19"/>
    <d v="1899-12-30T08:16:19"/>
    <d v="1899-12-30T00:11:00"/>
  </r>
  <r>
    <x v="0"/>
    <d v="2017-07-17T00:00:00"/>
    <d v="1899-12-30T08:10:40"/>
    <d v="1899-12-30T08:23:35"/>
    <d v="1899-12-30T00:12:55"/>
  </r>
  <r>
    <x v="0"/>
    <d v="2017-07-17T00:00:00"/>
    <d v="1899-12-30T08:12:58"/>
    <d v="1899-12-30T08:17:48"/>
    <d v="1899-12-30T00:04:50"/>
  </r>
  <r>
    <x v="0"/>
    <d v="2017-07-17T00:00:00"/>
    <d v="1899-12-30T08:19:31"/>
    <d v="1899-12-30T08:35:40"/>
    <d v="1899-12-30T00:16:09"/>
  </r>
  <r>
    <x v="0"/>
    <d v="2017-07-17T00:00:00"/>
    <d v="1899-12-30T08:22:05"/>
    <d v="1899-12-30T08:35:13"/>
    <d v="1899-12-30T00:13:08"/>
  </r>
  <r>
    <x v="0"/>
    <d v="2017-07-17T00:00:00"/>
    <d v="1899-12-30T08:27:41"/>
    <d v="1899-12-30T08:43:23"/>
    <d v="1899-12-30T00:15:42"/>
  </r>
  <r>
    <x v="0"/>
    <d v="2017-07-17T00:00:00"/>
    <d v="1899-12-30T08:32:12"/>
    <d v="1899-12-30T08:35:28"/>
    <d v="1899-12-30T00:03:16"/>
  </r>
  <r>
    <x v="0"/>
    <d v="2017-07-17T00:00:00"/>
    <d v="1899-12-30T08:37:15"/>
    <d v="1899-12-30T08:43:00"/>
    <d v="1899-12-30T00:05:45"/>
  </r>
  <r>
    <x v="0"/>
    <d v="2017-07-17T00:00:00"/>
    <d v="1899-12-30T08:40:03"/>
    <d v="1899-12-30T08:47:28"/>
    <d v="1899-12-30T00:07:25"/>
  </r>
  <r>
    <x v="0"/>
    <d v="2017-07-17T00:00:00"/>
    <d v="1899-12-30T08:41:24"/>
    <d v="1899-12-30T08:42:28"/>
    <d v="1899-12-30T00:01:04"/>
  </r>
  <r>
    <x v="0"/>
    <d v="2017-07-17T00:00:00"/>
    <d v="1899-12-30T08:43:47"/>
    <d v="1899-12-30T08:51:18"/>
    <d v="1899-12-30T00:07:31"/>
  </r>
  <r>
    <x v="0"/>
    <d v="2017-07-17T00:00:00"/>
    <d v="1899-12-30T08:51:46"/>
    <d v="1899-12-30T08:54:56"/>
    <d v="1899-12-30T00:03:10"/>
  </r>
  <r>
    <x v="0"/>
    <d v="2017-07-17T00:00:00"/>
    <d v="1899-12-30T08:54:53"/>
    <d v="1899-12-30T08:56:42"/>
    <d v="1899-12-30T00:01:49"/>
  </r>
  <r>
    <x v="0"/>
    <d v="2017-07-17T00:00:00"/>
    <d v="1899-12-30T09:01:50"/>
    <d v="1899-12-30T09:04:21"/>
    <d v="1899-12-30T00:02:31"/>
  </r>
  <r>
    <x v="0"/>
    <d v="2017-07-17T00:00:00"/>
    <d v="1899-12-30T09:09:46"/>
    <d v="1899-12-30T09:16:32"/>
    <d v="1899-12-30T00:06:46"/>
  </r>
  <r>
    <x v="0"/>
    <d v="2017-07-17T00:00:00"/>
    <d v="1899-12-30T09:16:10"/>
    <d v="1899-12-30T09:20:59"/>
    <d v="1899-12-30T00:04:49"/>
  </r>
  <r>
    <x v="0"/>
    <d v="2017-07-17T00:00:00"/>
    <d v="1899-12-30T09:18:04"/>
    <d v="1899-12-30T09:25:21"/>
    <d v="1899-12-30T00:07:17"/>
  </r>
  <r>
    <x v="0"/>
    <d v="2017-07-17T00:00:00"/>
    <d v="1899-12-30T09:21:29"/>
    <d v="1899-12-30T09:37:03"/>
    <d v="1899-12-30T00:15:34"/>
  </r>
  <r>
    <x v="0"/>
    <d v="2017-07-17T00:00:00"/>
    <d v="1899-12-30T09:23:05"/>
    <d v="1899-12-30T09:24:47"/>
    <d v="1899-12-30T00:01:42"/>
  </r>
  <r>
    <x v="0"/>
    <d v="2017-07-17T00:00:00"/>
    <d v="1899-12-30T09:28:37"/>
    <d v="1899-12-30T09:28:52"/>
    <d v="1899-12-30T00:00:15"/>
  </r>
  <r>
    <x v="0"/>
    <d v="2017-07-17T00:00:00"/>
    <d v="1899-12-30T09:29:03"/>
    <d v="1899-12-30T09:31:39"/>
    <d v="1899-12-30T00:02:36"/>
  </r>
  <r>
    <x v="0"/>
    <d v="2017-07-17T00:00:00"/>
    <d v="1899-12-30T09:35:28"/>
    <d v="1899-12-30T09:49:30"/>
    <d v="1899-12-30T00:14:02"/>
  </r>
  <r>
    <x v="0"/>
    <d v="2017-07-17T00:00:00"/>
    <d v="1899-12-30T09:37:30"/>
    <d v="1899-12-30T09:48:04"/>
    <d v="1899-12-30T00:10:34"/>
  </r>
  <r>
    <x v="0"/>
    <d v="2017-07-17T00:00:00"/>
    <d v="1899-12-30T09:44:17"/>
    <d v="1899-12-30T09:54:21"/>
    <d v="1899-12-30T00:10:04"/>
  </r>
  <r>
    <x v="0"/>
    <d v="2017-07-17T00:00:00"/>
    <d v="1899-12-30T09:46:22"/>
    <d v="1899-12-30T09:58:44"/>
    <d v="1899-12-30T00:12:22"/>
  </r>
  <r>
    <x v="0"/>
    <d v="2017-07-17T00:00:00"/>
    <d v="1899-12-30T09:51:16"/>
    <d v="1899-12-30T09:55:13"/>
    <d v="1899-12-30T00:03:57"/>
  </r>
  <r>
    <x v="0"/>
    <d v="2017-07-17T00:00:00"/>
    <d v="1899-12-30T09:54:03"/>
    <d v="1899-12-30T10:01:15"/>
    <d v="1899-12-30T00:07:12"/>
  </r>
  <r>
    <x v="0"/>
    <d v="2017-07-17T00:00:00"/>
    <d v="1899-12-30T09:54:58"/>
    <d v="1899-12-30T09:57:07"/>
    <d v="1899-12-30T00:02:09"/>
  </r>
  <r>
    <x v="0"/>
    <d v="2017-07-17T00:00:00"/>
    <d v="1899-12-30T09:58:39"/>
    <d v="1899-12-30T10:02:17"/>
    <d v="1899-12-30T00:03:38"/>
  </r>
  <r>
    <x v="0"/>
    <d v="2017-07-17T00:00:00"/>
    <d v="1899-12-30T10:00:43"/>
    <d v="1899-12-30T10:17:00"/>
    <d v="1899-12-30T00:16:17"/>
  </r>
  <r>
    <x v="0"/>
    <d v="2017-07-17T00:00:00"/>
    <d v="1899-12-30T10:03:21"/>
    <d v="1899-12-30T10:04:21"/>
    <d v="1899-12-30T00:01:00"/>
  </r>
  <r>
    <x v="0"/>
    <d v="2017-07-17T00:00:00"/>
    <d v="1899-12-30T10:10:22"/>
    <d v="1899-12-30T10:17:33"/>
    <d v="1899-12-30T00:07:11"/>
  </r>
  <r>
    <x v="0"/>
    <d v="2017-07-17T00:00:00"/>
    <d v="1899-12-30T10:14:22"/>
    <d v="1899-12-30T10:14:51"/>
    <d v="1899-12-30T00:00:29"/>
  </r>
  <r>
    <x v="0"/>
    <d v="2017-07-17T00:00:00"/>
    <d v="1899-12-30T10:18:58"/>
    <d v="1899-12-30T10:33:15"/>
    <d v="1899-12-30T00:14:17"/>
  </r>
  <r>
    <x v="0"/>
    <d v="2017-07-17T00:00:00"/>
    <d v="1899-12-30T10:20:27"/>
    <d v="1899-12-30T10:24:48"/>
    <d v="1899-12-30T00:04:21"/>
  </r>
  <r>
    <x v="0"/>
    <d v="2017-07-17T00:00:00"/>
    <d v="1899-12-30T10:24:36"/>
    <d v="1899-12-30T10:27:44"/>
    <d v="1899-12-30T00:03:08"/>
  </r>
  <r>
    <x v="0"/>
    <d v="2017-07-17T00:00:00"/>
    <d v="1899-12-30T10:27:04"/>
    <d v="1899-12-30T10:28:44"/>
    <d v="1899-12-30T00:01:40"/>
  </r>
  <r>
    <x v="0"/>
    <d v="2017-07-17T00:00:00"/>
    <d v="1899-12-30T10:27:24"/>
    <d v="1899-12-30T10:28:08"/>
    <d v="1899-12-30T00:00:44"/>
  </r>
  <r>
    <x v="0"/>
    <d v="2017-07-17T00:00:00"/>
    <d v="1899-12-30T10:35:05"/>
    <d v="1899-12-30T10:45:14"/>
    <d v="1899-12-30T00:10:09"/>
  </r>
  <r>
    <x v="0"/>
    <d v="2017-07-17T00:00:00"/>
    <d v="1899-12-30T10:39:40"/>
    <d v="1899-12-30T10:44:15"/>
    <d v="1899-12-30T00:04:35"/>
  </r>
  <r>
    <x v="0"/>
    <d v="2017-07-17T00:00:00"/>
    <d v="1899-12-30T10:42:23"/>
    <d v="1899-12-30T10:47:42"/>
    <d v="1899-12-30T00:05:19"/>
  </r>
  <r>
    <x v="0"/>
    <d v="2017-07-17T00:00:00"/>
    <d v="1899-12-30T10:49:46"/>
    <d v="1899-12-30T10:54:55"/>
    <d v="1899-12-30T00:05:09"/>
  </r>
  <r>
    <x v="0"/>
    <d v="2017-07-17T00:00:00"/>
    <d v="1899-12-30T10:56:59"/>
    <d v="1899-12-30T11:03:18"/>
    <d v="1899-12-30T00:06:19"/>
  </r>
  <r>
    <x v="0"/>
    <d v="2017-07-17T00:00:00"/>
    <d v="1899-12-30T11:04:04"/>
    <d v="1899-12-30T11:07:46"/>
    <d v="1899-12-30T00:03:42"/>
  </r>
  <r>
    <x v="0"/>
    <d v="2017-07-17T00:00:00"/>
    <d v="1899-12-30T11:09:20"/>
    <d v="1899-12-30T11:22:56"/>
    <d v="1899-12-30T00:13:36"/>
  </r>
  <r>
    <x v="0"/>
    <d v="2017-07-17T00:00:00"/>
    <d v="1899-12-30T11:11:50"/>
    <d v="1899-12-30T11:21:57"/>
    <d v="1899-12-30T00:10:07"/>
  </r>
  <r>
    <x v="0"/>
    <d v="2017-07-17T00:00:00"/>
    <d v="1899-12-30T11:12:39"/>
    <d v="1899-12-30T11:29:08"/>
    <d v="1899-12-30T00:16:29"/>
  </r>
  <r>
    <x v="0"/>
    <d v="2017-07-17T00:00:00"/>
    <d v="1899-12-30T11:15:56"/>
    <d v="1899-12-30T11:17:29"/>
    <d v="1899-12-30T00:01:33"/>
  </r>
  <r>
    <x v="0"/>
    <d v="2017-07-17T00:00:00"/>
    <d v="1899-12-30T11:21:09"/>
    <d v="1899-12-30T11:30:20"/>
    <d v="1899-12-30T00:09:11"/>
  </r>
  <r>
    <x v="0"/>
    <d v="2017-07-17T00:00:00"/>
    <d v="1899-12-30T11:25:30"/>
    <d v="1899-12-30T11:41:29"/>
    <d v="1899-12-30T00:15:59"/>
  </r>
  <r>
    <x v="0"/>
    <d v="2017-07-17T00:00:00"/>
    <d v="1899-12-30T11:26:58"/>
    <d v="1899-12-30T11:29:30"/>
    <d v="1899-12-30T00:02:32"/>
  </r>
  <r>
    <x v="0"/>
    <d v="2017-07-17T00:00:00"/>
    <d v="1899-12-30T11:27:05"/>
    <d v="1899-12-30T11:27:17"/>
    <d v="1899-12-30T00:00:12"/>
  </r>
  <r>
    <x v="0"/>
    <d v="2017-07-17T00:00:00"/>
    <d v="1899-12-30T11:32:55"/>
    <d v="1899-12-30T11:46:09"/>
    <d v="1899-12-30T00:13:14"/>
  </r>
  <r>
    <x v="0"/>
    <d v="2017-07-17T00:00:00"/>
    <d v="1899-12-30T11:36:44"/>
    <d v="1899-12-30T11:47:09"/>
    <d v="1899-12-30T00:10:25"/>
  </r>
  <r>
    <x v="0"/>
    <d v="2017-07-17T00:00:00"/>
    <d v="1899-12-30T11:37:24"/>
    <d v="1899-12-30T11:50:58"/>
    <d v="1899-12-30T00:13:34"/>
  </r>
  <r>
    <x v="0"/>
    <d v="2017-07-17T00:00:00"/>
    <d v="1899-12-30T11:38:53"/>
    <d v="1899-12-30T11:55:32"/>
    <d v="1899-12-30T00:16:39"/>
  </r>
  <r>
    <x v="0"/>
    <d v="2017-07-17T00:00:00"/>
    <d v="1899-12-30T11:39:01"/>
    <d v="1899-12-30T11:47:11"/>
    <d v="1899-12-30T00:08:10"/>
  </r>
  <r>
    <x v="0"/>
    <d v="2017-07-17T00:00:00"/>
    <d v="1899-12-30T11:43:12"/>
    <d v="1899-12-30T11:59:26"/>
    <d v="1899-12-30T00:16:14"/>
  </r>
  <r>
    <x v="0"/>
    <d v="2017-07-17T00:00:00"/>
    <d v="1899-12-30T11:50:49"/>
    <d v="1899-12-30T11:57:59"/>
    <d v="1899-12-30T00:07:10"/>
  </r>
  <r>
    <x v="0"/>
    <d v="2017-07-17T00:00:00"/>
    <d v="1899-12-30T11:55:05"/>
    <d v="1899-12-30T11:58:05"/>
    <d v="1899-12-30T00:03:00"/>
  </r>
  <r>
    <x v="0"/>
    <d v="2017-07-17T00:00:00"/>
    <d v="1899-12-30T11:56:33"/>
    <d v="1899-12-30T12:03:36"/>
    <d v="1899-12-30T00:07:03"/>
  </r>
  <r>
    <x v="0"/>
    <d v="2017-07-17T00:00:00"/>
    <d v="1899-12-30T12:04:06"/>
    <d v="1899-12-30T12:10:36"/>
    <d v="1899-12-30T00:06:30"/>
  </r>
  <r>
    <x v="0"/>
    <d v="2017-07-17T00:00:00"/>
    <d v="1899-12-30T12:11:04"/>
    <d v="1899-12-30T12:26:10"/>
    <d v="1899-12-30T00:15:06"/>
  </r>
  <r>
    <x v="0"/>
    <d v="2017-07-17T00:00:00"/>
    <d v="1899-12-30T12:18:19"/>
    <d v="1899-12-30T12:23:17"/>
    <d v="1899-12-30T00:04:58"/>
  </r>
  <r>
    <x v="0"/>
    <d v="2017-07-17T00:00:00"/>
    <d v="1899-12-30T12:21:09"/>
    <d v="1899-12-30T12:29:23"/>
    <d v="1899-12-30T00:08:14"/>
  </r>
  <r>
    <x v="0"/>
    <d v="2017-07-17T00:00:00"/>
    <d v="1899-12-30T12:27:17"/>
    <d v="1899-12-30T12:33:39"/>
    <d v="1899-12-30T00:06:22"/>
  </r>
  <r>
    <x v="0"/>
    <d v="2017-07-17T00:00:00"/>
    <d v="1899-12-30T12:35:26"/>
    <d v="1899-12-30T12:47:25"/>
    <d v="1899-12-30T00:11:59"/>
  </r>
  <r>
    <x v="0"/>
    <d v="2017-07-17T00:00:00"/>
    <d v="1899-12-30T12:36:00"/>
    <d v="1899-12-30T12:44:14"/>
    <d v="1899-12-30T00:08:14"/>
  </r>
  <r>
    <x v="0"/>
    <d v="2017-07-17T00:00:00"/>
    <d v="1899-12-30T12:36:07"/>
    <d v="1899-12-30T12:46:38"/>
    <d v="1899-12-30T00:10:31"/>
  </r>
  <r>
    <x v="0"/>
    <d v="2017-07-17T00:00:00"/>
    <d v="1899-12-30T12:37:37"/>
    <d v="1899-12-30T12:41:02"/>
    <d v="1899-12-30T00:03:25"/>
  </r>
  <r>
    <x v="0"/>
    <d v="2017-07-17T00:00:00"/>
    <d v="1899-12-30T12:38:59"/>
    <d v="1899-12-30T12:49:50"/>
    <d v="1899-12-30T00:10:51"/>
  </r>
  <r>
    <x v="0"/>
    <d v="2017-07-17T00:00:00"/>
    <d v="1899-12-30T12:40:09"/>
    <d v="1899-12-30T12:41:53"/>
    <d v="1899-12-30T00:01:44"/>
  </r>
  <r>
    <x v="0"/>
    <d v="2017-07-17T00:00:00"/>
    <d v="1899-12-30T12:45:22"/>
    <d v="1899-12-30T13:00:36"/>
    <d v="1899-12-30T00:15:14"/>
  </r>
  <r>
    <x v="0"/>
    <d v="2017-07-17T00:00:00"/>
    <d v="1899-12-30T12:45:43"/>
    <d v="1899-12-30T12:56:37"/>
    <d v="1899-12-30T00:10:54"/>
  </r>
  <r>
    <x v="0"/>
    <d v="2017-07-17T00:00:00"/>
    <d v="1899-12-30T12:46:41"/>
    <d v="1899-12-30T12:57:46"/>
    <d v="1899-12-30T00:11:05"/>
  </r>
  <r>
    <x v="0"/>
    <d v="2017-07-17T00:00:00"/>
    <d v="1899-12-30T12:51:58"/>
    <d v="1899-12-30T12:52:40"/>
    <d v="1899-12-30T00:00:42"/>
  </r>
  <r>
    <x v="0"/>
    <d v="2017-07-17T00:00:00"/>
    <d v="1899-12-30T12:58:18"/>
    <d v="1899-12-30T13:11:21"/>
    <d v="1899-12-30T00:13:03"/>
  </r>
  <r>
    <x v="0"/>
    <d v="2017-07-17T00:00:00"/>
    <d v="1899-12-30T13:04:44"/>
    <d v="1899-12-30T13:07:56"/>
    <d v="1899-12-30T00:03:12"/>
  </r>
  <r>
    <x v="0"/>
    <d v="2017-07-17T00:00:00"/>
    <d v="1899-12-30T13:06:50"/>
    <d v="1899-12-30T13:09:33"/>
    <d v="1899-12-30T00:02:43"/>
  </r>
  <r>
    <x v="0"/>
    <d v="2017-07-17T00:00:00"/>
    <d v="1899-12-30T13:10:40"/>
    <d v="1899-12-30T13:25:58"/>
    <d v="1899-12-30T00:15:18"/>
  </r>
  <r>
    <x v="0"/>
    <d v="2017-07-17T00:00:00"/>
    <d v="1899-12-30T13:18:34"/>
    <d v="1899-12-30T13:32:31"/>
    <d v="1899-12-30T00:13:57"/>
  </r>
  <r>
    <x v="0"/>
    <d v="2017-07-17T00:00:00"/>
    <d v="1899-12-30T13:19:29"/>
    <d v="1899-12-30T13:23:39"/>
    <d v="1899-12-30T00:04:10"/>
  </r>
  <r>
    <x v="0"/>
    <d v="2017-07-17T00:00:00"/>
    <d v="1899-12-30T13:27:36"/>
    <d v="1899-12-30T13:32:23"/>
    <d v="1899-12-30T00:04:47"/>
  </r>
  <r>
    <x v="0"/>
    <d v="2017-07-17T00:00:00"/>
    <d v="1899-12-30T13:33:04"/>
    <d v="1899-12-30T13:38:31"/>
    <d v="1899-12-30T00:05:27"/>
  </r>
  <r>
    <x v="0"/>
    <d v="2017-07-17T00:00:00"/>
    <d v="1899-12-30T13:33:46"/>
    <d v="1899-12-30T13:47:59"/>
    <d v="1899-12-30T00:14:13"/>
  </r>
  <r>
    <x v="0"/>
    <d v="2017-07-17T00:00:00"/>
    <d v="1899-12-30T13:39:16"/>
    <d v="1899-12-30T13:44:58"/>
    <d v="1899-12-30T00:05:42"/>
  </r>
  <r>
    <x v="0"/>
    <d v="2017-07-17T00:00:00"/>
    <d v="1899-12-30T13:41:21"/>
    <d v="1899-12-30T13:45:43"/>
    <d v="1899-12-30T00:04:22"/>
  </r>
  <r>
    <x v="0"/>
    <d v="2017-07-17T00:00:00"/>
    <d v="1899-12-30T13:43:15"/>
    <d v="1899-12-30T13:58:16"/>
    <d v="1899-12-30T00:15:01"/>
  </r>
  <r>
    <x v="0"/>
    <d v="2017-07-17T00:00:00"/>
    <d v="1899-12-30T13:47:31"/>
    <d v="1899-12-30T14:02:57"/>
    <d v="1899-12-30T00:15:26"/>
  </r>
  <r>
    <x v="0"/>
    <d v="2017-07-17T00:00:00"/>
    <d v="1899-12-30T13:55:21"/>
    <d v="1899-12-30T13:57:36"/>
    <d v="1899-12-30T00:02:15"/>
  </r>
  <r>
    <x v="0"/>
    <d v="2017-07-17T00:00:00"/>
    <d v="1899-12-30T14:03:03"/>
    <d v="1899-12-30T14:12:41"/>
    <d v="1899-12-30T00:09:38"/>
  </r>
  <r>
    <x v="0"/>
    <d v="2017-07-17T00:00:00"/>
    <d v="1899-12-30T14:09:40"/>
    <d v="1899-12-30T14:21:07"/>
    <d v="1899-12-30T00:11:27"/>
  </r>
  <r>
    <x v="0"/>
    <d v="2017-07-17T00:00:00"/>
    <d v="1899-12-30T14:16:23"/>
    <d v="1899-12-30T14:33:00"/>
    <d v="1899-12-30T00:16:37"/>
  </r>
  <r>
    <x v="0"/>
    <d v="2017-07-17T00:00:00"/>
    <d v="1899-12-30T14:17:56"/>
    <d v="1899-12-30T14:19:16"/>
    <d v="1899-12-30T00:01:20"/>
  </r>
  <r>
    <x v="0"/>
    <d v="2017-07-17T00:00:00"/>
    <d v="1899-12-30T14:18:37"/>
    <d v="1899-12-30T14:20:50"/>
    <d v="1899-12-30T00:02:13"/>
  </r>
  <r>
    <x v="0"/>
    <d v="2017-07-17T00:00:00"/>
    <d v="1899-12-30T14:18:58"/>
    <d v="1899-12-30T14:26:05"/>
    <d v="1899-12-30T00:07:07"/>
  </r>
  <r>
    <x v="0"/>
    <d v="2017-07-17T00:00:00"/>
    <d v="1899-12-30T14:24:22"/>
    <d v="1899-12-30T14:34:04"/>
    <d v="1899-12-30T00:09:42"/>
  </r>
  <r>
    <x v="0"/>
    <d v="2017-07-17T00:00:00"/>
    <d v="1899-12-30T14:25:12"/>
    <d v="1899-12-30T14:37:59"/>
    <d v="1899-12-30T00:12:47"/>
  </r>
  <r>
    <x v="0"/>
    <d v="2017-07-17T00:00:00"/>
    <d v="1899-12-30T14:27:07"/>
    <d v="1899-12-30T14:33:10"/>
    <d v="1899-12-30T00:06:03"/>
  </r>
  <r>
    <x v="0"/>
    <d v="2017-07-17T00:00:00"/>
    <d v="1899-12-30T14:31:08"/>
    <d v="1899-12-30T14:40:37"/>
    <d v="1899-12-30T00:09:29"/>
  </r>
  <r>
    <x v="0"/>
    <d v="2017-07-17T00:00:00"/>
    <d v="1899-12-30T14:35:17"/>
    <d v="1899-12-30T14:36:11"/>
    <d v="1899-12-30T00:00:54"/>
  </r>
  <r>
    <x v="0"/>
    <d v="2017-07-17T00:00:00"/>
    <d v="1899-12-30T14:42:10"/>
    <d v="1899-12-30T14:53:30"/>
    <d v="1899-12-30T00:11:20"/>
  </r>
  <r>
    <x v="0"/>
    <d v="2017-07-17T00:00:00"/>
    <d v="1899-12-30T14:45:13"/>
    <d v="1899-12-30T14:47:55"/>
    <d v="1899-12-30T00:02:42"/>
  </r>
  <r>
    <x v="0"/>
    <d v="2017-07-17T00:00:00"/>
    <d v="1899-12-30T14:51:59"/>
    <d v="1899-12-30T14:54:15"/>
    <d v="1899-12-30T00:02:16"/>
  </r>
  <r>
    <x v="1"/>
    <d v="2017-07-17T00:00:00"/>
    <d v="1899-12-30T14:57:01"/>
    <d v="1899-12-30T15:12:22"/>
    <d v="1899-12-30T00:15:21"/>
  </r>
  <r>
    <x v="0"/>
    <d v="2017-07-17T00:00:00"/>
    <d v="1899-12-30T15:02:16"/>
    <d v="1899-12-30T15:04:35"/>
    <d v="1899-12-30T00:02:19"/>
  </r>
  <r>
    <x v="0"/>
    <d v="2017-07-18T00:00:00"/>
    <d v="1899-12-30T08:00:19"/>
    <d v="1899-12-30T08:07:35"/>
    <d v="1899-12-30T00:07:16"/>
  </r>
  <r>
    <x v="0"/>
    <d v="2017-07-18T00:00:00"/>
    <d v="1899-12-30T08:03:35"/>
    <d v="1899-12-30T08:19:25"/>
    <d v="1899-12-30T00:15:50"/>
  </r>
  <r>
    <x v="0"/>
    <d v="2017-07-18T00:00:00"/>
    <d v="1899-12-30T08:11:32"/>
    <d v="1899-12-30T08:23:01"/>
    <d v="1899-12-30T00:11:29"/>
  </r>
  <r>
    <x v="0"/>
    <d v="2017-07-18T00:00:00"/>
    <d v="1899-12-30T08:18:03"/>
    <d v="1899-12-30T08:19:27"/>
    <d v="1899-12-30T00:01:24"/>
  </r>
  <r>
    <x v="0"/>
    <d v="2017-07-18T00:00:00"/>
    <d v="1899-12-30T08:25:06"/>
    <d v="1899-12-30T08:36:26"/>
    <d v="1899-12-30T00:11:20"/>
  </r>
  <r>
    <x v="0"/>
    <d v="2017-07-18T00:00:00"/>
    <d v="1899-12-30T08:30:12"/>
    <d v="1899-12-30T08:42:59"/>
    <d v="1899-12-30T00:12:47"/>
  </r>
  <r>
    <x v="0"/>
    <d v="2017-07-18T00:00:00"/>
    <d v="1899-12-30T08:34:21"/>
    <d v="1899-12-30T08:48:15"/>
    <d v="1899-12-30T00:13:54"/>
  </r>
  <r>
    <x v="0"/>
    <d v="2017-07-18T00:00:00"/>
    <d v="1899-12-30T08:40:35"/>
    <d v="1899-12-30T08:54:32"/>
    <d v="1899-12-30T00:13:57"/>
  </r>
  <r>
    <x v="0"/>
    <d v="2017-07-18T00:00:00"/>
    <d v="1899-12-30T08:44:28"/>
    <d v="1899-12-30T08:47:37"/>
    <d v="1899-12-30T00:03:09"/>
  </r>
  <r>
    <x v="0"/>
    <d v="2017-07-18T00:00:00"/>
    <d v="1899-12-30T08:51:54"/>
    <d v="1899-12-30T09:01:14"/>
    <d v="1899-12-30T00:09:20"/>
  </r>
  <r>
    <x v="0"/>
    <d v="2017-07-18T00:00:00"/>
    <d v="1899-12-30T08:55:23"/>
    <d v="1899-12-30T09:11:15"/>
    <d v="1899-12-30T00:15:52"/>
  </r>
  <r>
    <x v="0"/>
    <d v="2017-07-18T00:00:00"/>
    <d v="1899-12-30T09:03:17"/>
    <d v="1899-12-30T09:12:40"/>
    <d v="1899-12-30T00:09:23"/>
  </r>
  <r>
    <x v="0"/>
    <d v="2017-07-18T00:00:00"/>
    <d v="1899-12-30T09:07:27"/>
    <d v="1899-12-30T09:11:24"/>
    <d v="1899-12-30T00:03:57"/>
  </r>
  <r>
    <x v="0"/>
    <d v="2017-07-18T00:00:00"/>
    <d v="1899-12-30T09:13:43"/>
    <d v="1899-12-30T09:21:17"/>
    <d v="1899-12-30T00:07:34"/>
  </r>
  <r>
    <x v="1"/>
    <d v="2017-07-18T00:00:00"/>
    <d v="1899-12-30T09:14:38"/>
    <d v="1899-12-30T09:16:37"/>
    <d v="1899-12-30T00:01:59"/>
  </r>
  <r>
    <x v="0"/>
    <d v="2017-07-18T00:00:00"/>
    <d v="1899-12-30T09:22:57"/>
    <d v="1899-12-30T09:32:56"/>
    <d v="1899-12-30T00:09:59"/>
  </r>
  <r>
    <x v="0"/>
    <d v="2017-07-18T00:00:00"/>
    <d v="1899-12-30T09:29:33"/>
    <d v="1899-12-30T09:37:02"/>
    <d v="1899-12-30T00:07:29"/>
  </r>
  <r>
    <x v="0"/>
    <d v="2017-07-18T00:00:00"/>
    <d v="1899-12-30T09:35:29"/>
    <d v="1899-12-30T09:46:45"/>
    <d v="1899-12-30T00:11:16"/>
  </r>
  <r>
    <x v="0"/>
    <d v="2017-07-18T00:00:00"/>
    <d v="1899-12-30T09:39:48"/>
    <d v="1899-12-30T09:48:11"/>
    <d v="1899-12-30T00:08:23"/>
  </r>
  <r>
    <x v="0"/>
    <d v="2017-07-18T00:00:00"/>
    <d v="1899-12-30T09:40:44"/>
    <d v="1899-12-30T09:56:15"/>
    <d v="1899-12-30T00:15:31"/>
  </r>
  <r>
    <x v="0"/>
    <d v="2017-07-18T00:00:00"/>
    <d v="1899-12-30T09:40:52"/>
    <d v="1899-12-30T09:56:38"/>
    <d v="1899-12-30T00:15:46"/>
  </r>
  <r>
    <x v="0"/>
    <d v="2017-07-18T00:00:00"/>
    <d v="1899-12-30T09:40:58"/>
    <d v="1899-12-30T09:41:21"/>
    <d v="1899-12-30T00:00:23"/>
  </r>
  <r>
    <x v="0"/>
    <d v="2017-07-18T00:00:00"/>
    <d v="1899-12-30T09:45:57"/>
    <d v="1899-12-30T09:50:54"/>
    <d v="1899-12-30T00:04:57"/>
  </r>
  <r>
    <x v="0"/>
    <d v="2017-07-18T00:00:00"/>
    <d v="1899-12-30T09:46:04"/>
    <d v="1899-12-30T09:55:42"/>
    <d v="1899-12-30T00:09:38"/>
  </r>
  <r>
    <x v="0"/>
    <d v="2017-07-18T00:00:00"/>
    <d v="1899-12-30T09:47:51"/>
    <d v="1899-12-30T09:51:42"/>
    <d v="1899-12-30T00:03:51"/>
  </r>
  <r>
    <x v="0"/>
    <d v="2017-07-18T00:00:00"/>
    <d v="1899-12-30T09:50:02"/>
    <d v="1899-12-30T09:52:57"/>
    <d v="1899-12-30T00:02:55"/>
  </r>
  <r>
    <x v="0"/>
    <d v="2017-07-18T00:00:00"/>
    <d v="1899-12-30T09:52:08"/>
    <d v="1899-12-30T10:01:29"/>
    <d v="1899-12-30T00:09:21"/>
  </r>
  <r>
    <x v="0"/>
    <d v="2017-07-18T00:00:00"/>
    <d v="1899-12-30T09:54:09"/>
    <d v="1899-12-30T10:00:19"/>
    <d v="1899-12-30T00:06:10"/>
  </r>
  <r>
    <x v="0"/>
    <d v="2017-07-18T00:00:00"/>
    <d v="1899-12-30T09:56:53"/>
    <d v="1899-12-30T09:58:40"/>
    <d v="1899-12-30T00:01:47"/>
  </r>
  <r>
    <x v="0"/>
    <d v="2017-07-18T00:00:00"/>
    <d v="1899-12-30T09:59:48"/>
    <d v="1899-12-30T10:11:11"/>
    <d v="1899-12-30T00:11:23"/>
  </r>
  <r>
    <x v="0"/>
    <d v="2017-07-18T00:00:00"/>
    <d v="1899-12-30T10:06:27"/>
    <d v="1899-12-30T10:09:15"/>
    <d v="1899-12-30T00:02:48"/>
  </r>
  <r>
    <x v="0"/>
    <d v="2017-07-18T00:00:00"/>
    <d v="1899-12-30T10:12:29"/>
    <d v="1899-12-30T10:21:37"/>
    <d v="1899-12-30T00:09:08"/>
  </r>
  <r>
    <x v="0"/>
    <d v="2017-07-18T00:00:00"/>
    <d v="1899-12-30T10:19:02"/>
    <d v="1899-12-30T10:25:19"/>
    <d v="1899-12-30T00:06:17"/>
  </r>
  <r>
    <x v="0"/>
    <d v="2017-07-18T00:00:00"/>
    <d v="1899-12-30T10:19:10"/>
    <d v="1899-12-30T10:27:42"/>
    <d v="1899-12-30T00:08:32"/>
  </r>
  <r>
    <x v="0"/>
    <d v="2017-07-18T00:00:00"/>
    <d v="1899-12-30T10:19:34"/>
    <d v="1899-12-30T10:28:57"/>
    <d v="1899-12-30T00:09:23"/>
  </r>
  <r>
    <x v="0"/>
    <d v="2017-07-18T00:00:00"/>
    <d v="1899-12-30T10:25:15"/>
    <d v="1899-12-30T10:33:13"/>
    <d v="1899-12-30T00:07:58"/>
  </r>
  <r>
    <x v="0"/>
    <d v="2017-07-18T00:00:00"/>
    <d v="1899-12-30T10:27:03"/>
    <d v="1899-12-30T10:29:56"/>
    <d v="1899-12-30T00:02:53"/>
  </r>
  <r>
    <x v="0"/>
    <d v="2017-07-18T00:00:00"/>
    <d v="1899-12-30T10:31:02"/>
    <d v="1899-12-30T10:47:34"/>
    <d v="1899-12-30T00:16:32"/>
  </r>
  <r>
    <x v="0"/>
    <d v="2017-07-18T00:00:00"/>
    <d v="1899-12-30T10:34:03"/>
    <d v="1899-12-30T10:46:42"/>
    <d v="1899-12-30T00:12:39"/>
  </r>
  <r>
    <x v="0"/>
    <d v="2017-07-18T00:00:00"/>
    <d v="1899-12-30T10:39:09"/>
    <d v="1899-12-30T10:50:47"/>
    <d v="1899-12-30T00:11:38"/>
  </r>
  <r>
    <x v="0"/>
    <d v="2017-07-18T00:00:00"/>
    <d v="1899-12-30T10:44:19"/>
    <d v="1899-12-30T10:58:49"/>
    <d v="1899-12-30T00:14:30"/>
  </r>
  <r>
    <x v="0"/>
    <d v="2017-07-18T00:00:00"/>
    <d v="1899-12-30T10:51:26"/>
    <d v="1899-12-30T11:01:30"/>
    <d v="1899-12-30T00:10:04"/>
  </r>
  <r>
    <x v="0"/>
    <d v="2017-07-18T00:00:00"/>
    <d v="1899-12-30T10:54:01"/>
    <d v="1899-12-30T11:08:43"/>
    <d v="1899-12-30T00:14:42"/>
  </r>
  <r>
    <x v="0"/>
    <d v="2017-07-18T00:00:00"/>
    <d v="1899-12-30T10:54:18"/>
    <d v="1899-12-30T10:59:06"/>
    <d v="1899-12-30T00:04:48"/>
  </r>
  <r>
    <x v="0"/>
    <d v="2017-07-18T00:00:00"/>
    <d v="1899-12-30T10:57:48"/>
    <d v="1899-12-30T11:07:41"/>
    <d v="1899-12-30T00:09:53"/>
  </r>
  <r>
    <x v="0"/>
    <d v="2017-07-18T00:00:00"/>
    <d v="1899-12-30T11:01:39"/>
    <d v="1899-12-30T11:09:02"/>
    <d v="1899-12-30T00:07:23"/>
  </r>
  <r>
    <x v="0"/>
    <d v="2017-07-18T00:00:00"/>
    <d v="1899-12-30T11:04:14"/>
    <d v="1899-12-30T11:12:52"/>
    <d v="1899-12-30T00:08:38"/>
  </r>
  <r>
    <x v="0"/>
    <d v="2017-07-18T00:00:00"/>
    <d v="1899-12-30T11:04:17"/>
    <d v="1899-12-30T11:20:04"/>
    <d v="1899-12-30T00:15:47"/>
  </r>
  <r>
    <x v="0"/>
    <d v="2017-07-18T00:00:00"/>
    <d v="1899-12-30T11:10:40"/>
    <d v="1899-12-30T11:23:56"/>
    <d v="1899-12-30T00:13:16"/>
  </r>
  <r>
    <x v="0"/>
    <d v="2017-07-18T00:00:00"/>
    <d v="1899-12-30T11:14:58"/>
    <d v="1899-12-30T11:20:19"/>
    <d v="1899-12-30T00:05:21"/>
  </r>
  <r>
    <x v="0"/>
    <d v="2017-07-18T00:00:00"/>
    <d v="1899-12-30T11:17:52"/>
    <d v="1899-12-30T11:22:42"/>
    <d v="1899-12-30T00:04:50"/>
  </r>
  <r>
    <x v="0"/>
    <d v="2017-07-18T00:00:00"/>
    <d v="1899-12-30T11:19:48"/>
    <d v="1899-12-30T11:35:18"/>
    <d v="1899-12-30T00:15:30"/>
  </r>
  <r>
    <x v="0"/>
    <d v="2017-07-18T00:00:00"/>
    <d v="1899-12-30T11:22:29"/>
    <d v="1899-12-30T11:33:39"/>
    <d v="1899-12-30T00:11:10"/>
  </r>
  <r>
    <x v="0"/>
    <d v="2017-07-18T00:00:00"/>
    <d v="1899-12-30T11:24:04"/>
    <d v="1899-12-30T11:25:20"/>
    <d v="1899-12-30T00:01:16"/>
  </r>
  <r>
    <x v="0"/>
    <d v="2017-07-18T00:00:00"/>
    <d v="1899-12-30T11:24:05"/>
    <d v="1899-12-30T11:35:47"/>
    <d v="1899-12-30T00:11:42"/>
  </r>
  <r>
    <x v="0"/>
    <d v="2017-07-18T00:00:00"/>
    <d v="1899-12-30T11:30:28"/>
    <d v="1899-12-30T11:36:02"/>
    <d v="1899-12-30T00:05:34"/>
  </r>
  <r>
    <x v="0"/>
    <d v="2017-07-18T00:00:00"/>
    <d v="1899-12-30T11:36:39"/>
    <d v="1899-12-30T11:41:01"/>
    <d v="1899-12-30T00:04:22"/>
  </r>
  <r>
    <x v="0"/>
    <d v="2017-07-18T00:00:00"/>
    <d v="1899-12-30T11:36:40"/>
    <d v="1899-12-30T11:45:52"/>
    <d v="1899-12-30T00:09:12"/>
  </r>
  <r>
    <x v="0"/>
    <d v="2017-07-18T00:00:00"/>
    <d v="1899-12-30T11:41:30"/>
    <d v="1899-12-30T11:54:03"/>
    <d v="1899-12-30T00:12:33"/>
  </r>
  <r>
    <x v="0"/>
    <d v="2017-07-18T00:00:00"/>
    <d v="1899-12-30T11:41:37"/>
    <d v="1899-12-30T11:47:40"/>
    <d v="1899-12-30T00:06:03"/>
  </r>
  <r>
    <x v="0"/>
    <d v="2017-07-18T00:00:00"/>
    <d v="1899-12-30T11:44:09"/>
    <d v="1899-12-30T11:52:10"/>
    <d v="1899-12-30T00:08:01"/>
  </r>
  <r>
    <x v="0"/>
    <d v="2017-07-18T00:00:00"/>
    <d v="1899-12-30T11:49:36"/>
    <d v="1899-12-30T11:54:15"/>
    <d v="1899-12-30T00:04:39"/>
  </r>
  <r>
    <x v="0"/>
    <d v="2017-07-18T00:00:00"/>
    <d v="1899-12-30T11:52:18"/>
    <d v="1899-12-30T11:58:33"/>
    <d v="1899-12-30T00:06:15"/>
  </r>
  <r>
    <x v="0"/>
    <d v="2017-07-18T00:00:00"/>
    <d v="1899-12-30T11:59:33"/>
    <d v="1899-12-30T12:09:58"/>
    <d v="1899-12-30T00:10:25"/>
  </r>
  <r>
    <x v="0"/>
    <d v="2017-07-18T00:00:00"/>
    <d v="1899-12-30T12:05:32"/>
    <d v="1899-12-30T12:12:30"/>
    <d v="1899-12-30T00:06:58"/>
  </r>
  <r>
    <x v="0"/>
    <d v="2017-07-18T00:00:00"/>
    <d v="1899-12-30T12:09:20"/>
    <d v="1899-12-30T12:15:01"/>
    <d v="1899-12-30T00:05:41"/>
  </r>
  <r>
    <x v="0"/>
    <d v="2017-07-18T00:00:00"/>
    <d v="1899-12-30T12:14:06"/>
    <d v="1899-12-30T12:21:22"/>
    <d v="1899-12-30T00:07:16"/>
  </r>
  <r>
    <x v="0"/>
    <d v="2017-07-18T00:00:00"/>
    <d v="1899-12-30T12:16:46"/>
    <d v="1899-12-30T12:28:27"/>
    <d v="1899-12-30T00:11:41"/>
  </r>
  <r>
    <x v="0"/>
    <d v="2017-07-18T00:00:00"/>
    <d v="1899-12-30T12:23:15"/>
    <d v="1899-12-30T12:31:59"/>
    <d v="1899-12-30T00:08:44"/>
  </r>
  <r>
    <x v="0"/>
    <d v="2017-07-18T00:00:00"/>
    <d v="1899-12-30T12:23:26"/>
    <d v="1899-12-30T12:26:34"/>
    <d v="1899-12-30T00:03:08"/>
  </r>
  <r>
    <x v="0"/>
    <d v="2017-07-18T00:00:00"/>
    <d v="1899-12-30T12:29:41"/>
    <d v="1899-12-30T12:36:53"/>
    <d v="1899-12-30T00:07:12"/>
  </r>
  <r>
    <x v="0"/>
    <d v="2017-07-18T00:00:00"/>
    <d v="1899-12-30T12:37:22"/>
    <d v="1899-12-30T12:49:32"/>
    <d v="1899-12-30T00:12:10"/>
  </r>
  <r>
    <x v="0"/>
    <d v="2017-07-18T00:00:00"/>
    <d v="1899-12-30T12:43:34"/>
    <d v="1899-12-30T12:46:20"/>
    <d v="1899-12-30T00:02:46"/>
  </r>
  <r>
    <x v="0"/>
    <d v="2017-07-18T00:00:00"/>
    <d v="1899-12-30T12:49:08"/>
    <d v="1899-12-30T12:49:56"/>
    <d v="1899-12-30T00:00:48"/>
  </r>
  <r>
    <x v="0"/>
    <d v="2017-07-18T00:00:00"/>
    <d v="1899-12-30T12:54:09"/>
    <d v="1899-12-30T13:06:50"/>
    <d v="1899-12-30T00:12:41"/>
  </r>
  <r>
    <x v="0"/>
    <d v="2017-07-18T00:00:00"/>
    <d v="1899-12-30T13:02:26"/>
    <d v="1899-12-30T13:17:43"/>
    <d v="1899-12-30T00:15:17"/>
  </r>
  <r>
    <x v="0"/>
    <d v="2017-07-18T00:00:00"/>
    <d v="1899-12-30T13:07:29"/>
    <d v="1899-12-30T13:08:52"/>
    <d v="1899-12-30T00:01:23"/>
  </r>
  <r>
    <x v="0"/>
    <d v="2017-07-18T00:00:00"/>
    <d v="1899-12-30T13:12:07"/>
    <d v="1899-12-30T13:22:31"/>
    <d v="1899-12-30T00:10:24"/>
  </r>
  <r>
    <x v="0"/>
    <d v="2017-07-18T00:00:00"/>
    <d v="1899-12-30T13:12:34"/>
    <d v="1899-12-30T13:22:27"/>
    <d v="1899-12-30T00:09:53"/>
  </r>
  <r>
    <x v="0"/>
    <d v="2017-07-18T00:00:00"/>
    <d v="1899-12-30T13:18:27"/>
    <d v="1899-12-30T13:31:11"/>
    <d v="1899-12-30T00:12:44"/>
  </r>
  <r>
    <x v="0"/>
    <d v="2017-07-18T00:00:00"/>
    <d v="1899-12-30T13:21:18"/>
    <d v="1899-12-30T13:21:20"/>
    <d v="1899-12-30T00:00:02"/>
  </r>
  <r>
    <x v="0"/>
    <d v="2017-07-18T00:00:00"/>
    <d v="1899-12-30T13:29:34"/>
    <d v="1899-12-30T13:31:29"/>
    <d v="1899-12-30T00:01:55"/>
  </r>
  <r>
    <x v="0"/>
    <d v="2017-07-18T00:00:00"/>
    <d v="1899-12-30T13:36:41"/>
    <d v="1899-12-30T13:38:55"/>
    <d v="1899-12-30T00:02:14"/>
  </r>
  <r>
    <x v="0"/>
    <d v="2017-07-18T00:00:00"/>
    <d v="1899-12-30T13:44:47"/>
    <d v="1899-12-30T13:55:08"/>
    <d v="1899-12-30T00:10:21"/>
  </r>
  <r>
    <x v="0"/>
    <d v="2017-07-18T00:00:00"/>
    <d v="1899-12-30T13:52:55"/>
    <d v="1899-12-30T14:00:27"/>
    <d v="1899-12-30T00:07:32"/>
  </r>
  <r>
    <x v="0"/>
    <d v="2017-07-18T00:00:00"/>
    <d v="1899-12-30T13:55:02"/>
    <d v="1899-12-30T14:08:34"/>
    <d v="1899-12-30T00:13:32"/>
  </r>
  <r>
    <x v="0"/>
    <d v="2017-07-18T00:00:00"/>
    <d v="1899-12-30T14:02:45"/>
    <d v="1899-12-30T14:11:37"/>
    <d v="1899-12-30T00:08:52"/>
  </r>
  <r>
    <x v="0"/>
    <d v="2017-07-18T00:00:00"/>
    <d v="1899-12-30T14:03:02"/>
    <d v="1899-12-30T14:08:35"/>
    <d v="1899-12-30T00:05:33"/>
  </r>
  <r>
    <x v="0"/>
    <d v="2017-07-18T00:00:00"/>
    <d v="1899-12-30T14:08:46"/>
    <d v="1899-12-30T14:20:11"/>
    <d v="1899-12-30T00:11:25"/>
  </r>
  <r>
    <x v="0"/>
    <d v="2017-07-18T00:00:00"/>
    <d v="1899-12-30T14:16:44"/>
    <d v="1899-12-30T14:19:03"/>
    <d v="1899-12-30T00:02:19"/>
  </r>
  <r>
    <x v="0"/>
    <d v="2017-07-18T00:00:00"/>
    <d v="1899-12-30T14:23:29"/>
    <d v="1899-12-30T14:30:24"/>
    <d v="1899-12-30T00:06:55"/>
  </r>
  <r>
    <x v="0"/>
    <d v="2017-07-18T00:00:00"/>
    <d v="1899-12-30T14:27:52"/>
    <d v="1899-12-30T14:37:23"/>
    <d v="1899-12-30T00:09:31"/>
  </r>
  <r>
    <x v="0"/>
    <d v="2017-07-18T00:00:00"/>
    <d v="1899-12-30T14:30:06"/>
    <d v="1899-12-30T14:46:07"/>
    <d v="1899-12-30T00:16:01"/>
  </r>
  <r>
    <x v="0"/>
    <d v="2017-07-18T00:00:00"/>
    <d v="1899-12-30T14:37:26"/>
    <d v="1899-12-30T14:40:12"/>
    <d v="1899-12-30T00:02:46"/>
  </r>
  <r>
    <x v="0"/>
    <d v="2017-07-18T00:00:00"/>
    <d v="1899-12-30T14:43:40"/>
    <d v="1899-12-30T14:50:21"/>
    <d v="1899-12-30T00:06:41"/>
  </r>
  <r>
    <x v="0"/>
    <d v="2017-07-18T00:00:00"/>
    <d v="1899-12-30T14:48:08"/>
    <d v="1899-12-30T14:49:47"/>
    <d v="1899-12-30T00:01:39"/>
  </r>
  <r>
    <x v="0"/>
    <d v="2017-07-18T00:00:00"/>
    <d v="1899-12-30T14:55:27"/>
    <d v="1899-12-30T15:10:53"/>
    <d v="1899-12-30T00:15:26"/>
  </r>
  <r>
    <x v="0"/>
    <d v="2017-07-18T00:00:00"/>
    <d v="1899-12-30T14:55:39"/>
    <d v="1899-12-30T14:56:14"/>
    <d v="1899-12-30T00:00:35"/>
  </r>
  <r>
    <x v="0"/>
    <d v="2017-07-18T00:00:00"/>
    <d v="1899-12-30T15:00:49"/>
    <d v="1899-12-30T15:14:17"/>
    <d v="1899-12-30T00:13:28"/>
  </r>
  <r>
    <x v="0"/>
    <d v="2017-07-19T00:00:00"/>
    <d v="1899-12-30T08:03:44"/>
    <d v="1899-12-30T08:19:24"/>
    <d v="1899-12-30T00:15:40"/>
  </r>
  <r>
    <x v="0"/>
    <d v="2017-07-19T00:00:00"/>
    <d v="1899-12-30T08:08:00"/>
    <d v="1899-12-30T08:24:24"/>
    <d v="1899-12-30T00:16:24"/>
  </r>
  <r>
    <x v="0"/>
    <d v="2017-07-19T00:00:00"/>
    <d v="1899-12-30T08:14:03"/>
    <d v="1899-12-30T08:21:06"/>
    <d v="1899-12-30T00:07:03"/>
  </r>
  <r>
    <x v="0"/>
    <d v="2017-07-19T00:00:00"/>
    <d v="1899-12-30T08:19:45"/>
    <d v="1899-12-30T08:29:34"/>
    <d v="1899-12-30T00:09:49"/>
  </r>
  <r>
    <x v="0"/>
    <d v="2017-07-19T00:00:00"/>
    <d v="1899-12-30T08:24:35"/>
    <d v="1899-12-30T08:32:39"/>
    <d v="1899-12-30T00:08:04"/>
  </r>
  <r>
    <x v="0"/>
    <d v="2017-07-19T00:00:00"/>
    <d v="1899-12-30T08:28:23"/>
    <d v="1899-12-30T08:35:26"/>
    <d v="1899-12-30T00:07:03"/>
  </r>
  <r>
    <x v="0"/>
    <d v="2017-07-19T00:00:00"/>
    <d v="1899-12-30T08:34:16"/>
    <d v="1899-12-30T08:41:54"/>
    <d v="1899-12-30T00:07:38"/>
  </r>
  <r>
    <x v="0"/>
    <d v="2017-07-19T00:00:00"/>
    <d v="1899-12-30T08:36:02"/>
    <d v="1899-12-30T08:48:40"/>
    <d v="1899-12-30T00:12:38"/>
  </r>
  <r>
    <x v="0"/>
    <d v="2017-07-19T00:00:00"/>
    <d v="1899-12-30T08:42:52"/>
    <d v="1899-12-30T08:48:49"/>
    <d v="1899-12-30T00:05:57"/>
  </r>
  <r>
    <x v="0"/>
    <d v="2017-07-19T00:00:00"/>
    <d v="1899-12-30T08:51:10"/>
    <d v="1899-12-30T08:57:28"/>
    <d v="1899-12-30T00:06:18"/>
  </r>
  <r>
    <x v="0"/>
    <d v="2017-07-19T00:00:00"/>
    <d v="1899-12-30T08:54:10"/>
    <d v="1899-12-30T09:00:15"/>
    <d v="1899-12-30T00:06:05"/>
  </r>
  <r>
    <x v="0"/>
    <d v="2017-07-19T00:00:00"/>
    <d v="1899-12-30T08:59:47"/>
    <d v="1899-12-30T09:09:16"/>
    <d v="1899-12-30T00:09:29"/>
  </r>
  <r>
    <x v="0"/>
    <d v="2017-07-19T00:00:00"/>
    <d v="1899-12-30T09:07:37"/>
    <d v="1899-12-30T09:10:39"/>
    <d v="1899-12-30T00:03:02"/>
  </r>
  <r>
    <x v="0"/>
    <d v="2017-07-19T00:00:00"/>
    <d v="1899-12-30T09:08:03"/>
    <d v="1899-12-30T09:11:14"/>
    <d v="1899-12-30T00:03:11"/>
  </r>
  <r>
    <x v="0"/>
    <d v="2017-07-19T00:00:00"/>
    <d v="1899-12-30T09:09:42"/>
    <d v="1899-12-30T09:20:23"/>
    <d v="1899-12-30T00:10:41"/>
  </r>
  <r>
    <x v="0"/>
    <d v="2017-07-19T00:00:00"/>
    <d v="1899-12-30T09:14:35"/>
    <d v="1899-12-30T09:28:24"/>
    <d v="1899-12-30T00:13:49"/>
  </r>
  <r>
    <x v="0"/>
    <d v="2017-07-19T00:00:00"/>
    <d v="1899-12-30T09:14:53"/>
    <d v="1899-12-30T09:29:07"/>
    <d v="1899-12-30T00:14:14"/>
  </r>
  <r>
    <x v="0"/>
    <d v="2017-07-19T00:00:00"/>
    <d v="1899-12-30T09:19:12"/>
    <d v="1899-12-30T09:22:36"/>
    <d v="1899-12-30T00:03:24"/>
  </r>
  <r>
    <x v="0"/>
    <d v="2017-07-19T00:00:00"/>
    <d v="1899-12-30T09:21:18"/>
    <d v="1899-12-30T09:24:04"/>
    <d v="1899-12-30T00:02:46"/>
  </r>
  <r>
    <x v="0"/>
    <d v="2017-07-19T00:00:00"/>
    <d v="1899-12-30T09:21:24"/>
    <d v="1899-12-30T09:22:34"/>
    <d v="1899-12-30T00:01:10"/>
  </r>
  <r>
    <x v="0"/>
    <d v="2017-07-19T00:00:00"/>
    <d v="1899-12-30T09:27:38"/>
    <d v="1899-12-30T09:43:38"/>
    <d v="1899-12-30T00:16:00"/>
  </r>
  <r>
    <x v="0"/>
    <d v="2017-07-19T00:00:00"/>
    <d v="1899-12-30T09:30:21"/>
    <d v="1899-12-30T09:42:22"/>
    <d v="1899-12-30T00:12:01"/>
  </r>
  <r>
    <x v="0"/>
    <d v="2017-07-19T00:00:00"/>
    <d v="1899-12-30T09:35:06"/>
    <d v="1899-12-30T09:40:47"/>
    <d v="1899-12-30T00:05:41"/>
  </r>
  <r>
    <x v="0"/>
    <d v="2017-07-19T00:00:00"/>
    <d v="1899-12-30T09:35:25"/>
    <d v="1899-12-30T09:51:50"/>
    <d v="1899-12-30T00:16:25"/>
  </r>
  <r>
    <x v="0"/>
    <d v="2017-07-19T00:00:00"/>
    <d v="1899-12-30T09:39:23"/>
    <d v="1899-12-30T09:42:46"/>
    <d v="1899-12-30T00:03:23"/>
  </r>
  <r>
    <x v="0"/>
    <d v="2017-07-19T00:00:00"/>
    <d v="1899-12-30T09:46:42"/>
    <d v="1899-12-30T09:54:05"/>
    <d v="1899-12-30T00:07:23"/>
  </r>
  <r>
    <x v="0"/>
    <d v="2017-07-19T00:00:00"/>
    <d v="1899-12-30T09:52:09"/>
    <d v="1899-12-30T09:57:22"/>
    <d v="1899-12-30T00:05:13"/>
  </r>
  <r>
    <x v="0"/>
    <d v="2017-07-19T00:00:00"/>
    <d v="1899-12-30T09:54:23"/>
    <d v="1899-12-30T10:07:26"/>
    <d v="1899-12-30T00:13:03"/>
  </r>
  <r>
    <x v="0"/>
    <d v="2017-07-19T00:00:00"/>
    <d v="1899-12-30T09:59:17"/>
    <d v="1899-12-30T10:00:44"/>
    <d v="1899-12-30T00:01:27"/>
  </r>
  <r>
    <x v="0"/>
    <d v="2017-07-19T00:00:00"/>
    <d v="1899-12-30T10:04:45"/>
    <d v="1899-12-30T10:15:50"/>
    <d v="1899-12-30T00:11:05"/>
  </r>
  <r>
    <x v="0"/>
    <d v="2017-07-19T00:00:00"/>
    <d v="1899-12-30T10:07:12"/>
    <d v="1899-12-30T10:20:48"/>
    <d v="1899-12-30T00:13:36"/>
  </r>
  <r>
    <x v="0"/>
    <d v="2017-07-19T00:00:00"/>
    <d v="1899-12-30T10:10:53"/>
    <d v="1899-12-30T10:26:35"/>
    <d v="1899-12-30T00:15:42"/>
  </r>
  <r>
    <x v="0"/>
    <d v="2017-07-19T00:00:00"/>
    <d v="1899-12-30T10:14:39"/>
    <d v="1899-12-30T10:22:11"/>
    <d v="1899-12-30T00:07:32"/>
  </r>
  <r>
    <x v="0"/>
    <d v="2017-07-19T00:00:00"/>
    <d v="1899-12-30T10:17:56"/>
    <d v="1899-12-30T10:25:20"/>
    <d v="1899-12-30T00:07:24"/>
  </r>
  <r>
    <x v="0"/>
    <d v="2017-07-19T00:00:00"/>
    <d v="1899-12-30T10:21:48"/>
    <d v="1899-12-30T10:36:08"/>
    <d v="1899-12-30T00:14:20"/>
  </r>
  <r>
    <x v="0"/>
    <d v="2017-07-19T00:00:00"/>
    <d v="1899-12-30T10:21:52"/>
    <d v="1899-12-30T10:31:06"/>
    <d v="1899-12-30T00:09:14"/>
  </r>
  <r>
    <x v="0"/>
    <d v="2017-07-19T00:00:00"/>
    <d v="1899-12-30T10:24:28"/>
    <d v="1899-12-30T10:33:05"/>
    <d v="1899-12-30T00:08:37"/>
  </r>
  <r>
    <x v="0"/>
    <d v="2017-07-19T00:00:00"/>
    <d v="1899-12-30T10:26:32"/>
    <d v="1899-12-30T10:38:51"/>
    <d v="1899-12-30T00:12:19"/>
  </r>
  <r>
    <x v="0"/>
    <d v="2017-07-19T00:00:00"/>
    <d v="1899-12-30T10:29:47"/>
    <d v="1899-12-30T10:34:38"/>
    <d v="1899-12-30T00:04:51"/>
  </r>
  <r>
    <x v="0"/>
    <d v="2017-07-19T00:00:00"/>
    <d v="1899-12-30T10:31:07"/>
    <d v="1899-12-30T10:47:33"/>
    <d v="1899-12-30T00:16:26"/>
  </r>
  <r>
    <x v="0"/>
    <d v="2017-07-19T00:00:00"/>
    <d v="1899-12-30T10:38:00"/>
    <d v="1899-12-30T10:48:06"/>
    <d v="1899-12-30T00:10:06"/>
  </r>
  <r>
    <x v="0"/>
    <d v="2017-07-19T00:00:00"/>
    <d v="1899-12-30T10:43:10"/>
    <d v="1899-12-30T10:58:27"/>
    <d v="1899-12-30T00:15:17"/>
  </r>
  <r>
    <x v="0"/>
    <d v="2017-07-19T00:00:00"/>
    <d v="1899-12-30T10:51:03"/>
    <d v="1899-12-30T11:02:13"/>
    <d v="1899-12-30T00:11:10"/>
  </r>
  <r>
    <x v="0"/>
    <d v="2017-07-19T00:00:00"/>
    <d v="1899-12-30T10:59:04"/>
    <d v="1899-12-30T11:00:04"/>
    <d v="1899-12-30T00:01:00"/>
  </r>
  <r>
    <x v="0"/>
    <d v="2017-07-19T00:00:00"/>
    <d v="1899-12-30T11:05:32"/>
    <d v="1899-12-30T11:06:12"/>
    <d v="1899-12-30T00:00:40"/>
  </r>
  <r>
    <x v="0"/>
    <d v="2017-07-19T00:00:00"/>
    <d v="1899-12-30T11:10:16"/>
    <d v="1899-12-30T11:22:38"/>
    <d v="1899-12-30T00:12:22"/>
  </r>
  <r>
    <x v="0"/>
    <d v="2017-07-19T00:00:00"/>
    <d v="1899-12-30T11:13:32"/>
    <d v="1899-12-30T11:17:35"/>
    <d v="1899-12-30T00:04:03"/>
  </r>
  <r>
    <x v="0"/>
    <d v="2017-07-19T00:00:00"/>
    <d v="1899-12-30T11:21:06"/>
    <d v="1899-12-30T11:34:46"/>
    <d v="1899-12-30T00:13:40"/>
  </r>
  <r>
    <x v="0"/>
    <d v="2017-07-19T00:00:00"/>
    <d v="1899-12-30T11:28:57"/>
    <d v="1899-12-30T11:44:54"/>
    <d v="1899-12-30T00:15:57"/>
  </r>
  <r>
    <x v="0"/>
    <d v="2017-07-19T00:00:00"/>
    <d v="1899-12-30T11:28:57"/>
    <d v="1899-12-30T11:43:52"/>
    <d v="1899-12-30T00:14:55"/>
  </r>
  <r>
    <x v="0"/>
    <d v="2017-07-19T00:00:00"/>
    <d v="1899-12-30T11:36:42"/>
    <d v="1899-12-30T11:52:53"/>
    <d v="1899-12-30T00:16:11"/>
  </r>
  <r>
    <x v="0"/>
    <d v="2017-07-19T00:00:00"/>
    <d v="1899-12-30T11:43:03"/>
    <d v="1899-12-30T11:53:23"/>
    <d v="1899-12-30T00:10:20"/>
  </r>
  <r>
    <x v="0"/>
    <d v="2017-07-19T00:00:00"/>
    <d v="1899-12-30T11:45:02"/>
    <d v="1899-12-30T11:57:32"/>
    <d v="1899-12-30T00:12:30"/>
  </r>
  <r>
    <x v="0"/>
    <d v="2017-07-19T00:00:00"/>
    <d v="1899-12-30T11:49:30"/>
    <d v="1899-12-30T11:56:45"/>
    <d v="1899-12-30T00:07:15"/>
  </r>
  <r>
    <x v="0"/>
    <d v="2017-07-19T00:00:00"/>
    <d v="1899-12-30T11:54:36"/>
    <d v="1899-12-30T12:08:25"/>
    <d v="1899-12-30T00:13:49"/>
  </r>
  <r>
    <x v="0"/>
    <d v="2017-07-19T00:00:00"/>
    <d v="1899-12-30T12:02:30"/>
    <d v="1899-12-30T12:18:48"/>
    <d v="1899-12-30T00:16:18"/>
  </r>
  <r>
    <x v="0"/>
    <d v="2017-07-19T00:00:00"/>
    <d v="1899-12-30T12:03:10"/>
    <d v="1899-12-30T12:11:35"/>
    <d v="1899-12-30T00:08:25"/>
  </r>
  <r>
    <x v="0"/>
    <d v="2017-07-19T00:00:00"/>
    <d v="1899-12-30T12:10:48"/>
    <d v="1899-12-30T12:18:35"/>
    <d v="1899-12-30T00:07:47"/>
  </r>
  <r>
    <x v="0"/>
    <d v="2017-07-19T00:00:00"/>
    <d v="1899-12-30T12:10:54"/>
    <d v="1899-12-30T12:16:13"/>
    <d v="1899-12-30T00:05:19"/>
  </r>
  <r>
    <x v="0"/>
    <d v="2017-07-19T00:00:00"/>
    <d v="1899-12-30T12:19:05"/>
    <d v="1899-12-30T12:23:26"/>
    <d v="1899-12-30T00:04:21"/>
  </r>
  <r>
    <x v="0"/>
    <d v="2017-07-19T00:00:00"/>
    <d v="1899-12-30T12:25:01"/>
    <d v="1899-12-30T12:29:36"/>
    <d v="1899-12-30T00:04:35"/>
  </r>
  <r>
    <x v="0"/>
    <d v="2017-07-19T00:00:00"/>
    <d v="1899-12-30T12:32:57"/>
    <d v="1899-12-30T12:39:12"/>
    <d v="1899-12-30T00:06:15"/>
  </r>
  <r>
    <x v="0"/>
    <d v="2017-07-19T00:00:00"/>
    <d v="1899-12-30T12:33:50"/>
    <d v="1899-12-30T12:48:25"/>
    <d v="1899-12-30T00:14:35"/>
  </r>
  <r>
    <x v="0"/>
    <d v="2017-07-19T00:00:00"/>
    <d v="1899-12-30T12:39:50"/>
    <d v="1899-12-30T12:56:25"/>
    <d v="1899-12-30T00:16:35"/>
  </r>
  <r>
    <x v="0"/>
    <d v="2017-07-19T00:00:00"/>
    <d v="1899-12-30T12:46:13"/>
    <d v="1899-12-30T12:56:37"/>
    <d v="1899-12-30T00:10:24"/>
  </r>
  <r>
    <x v="0"/>
    <d v="2017-07-19T00:00:00"/>
    <d v="1899-12-30T12:50:59"/>
    <d v="1899-12-30T12:50:59"/>
    <d v="1899-12-30T00:00:00"/>
  </r>
  <r>
    <x v="0"/>
    <d v="2017-07-19T00:00:00"/>
    <d v="1899-12-30T12:51:46"/>
    <d v="1899-12-30T13:06:01"/>
    <d v="1899-12-30T00:14:15"/>
  </r>
  <r>
    <x v="0"/>
    <d v="2017-07-19T00:00:00"/>
    <d v="1899-12-30T12:58:21"/>
    <d v="1899-12-30T13:00:25"/>
    <d v="1899-12-30T00:02:04"/>
  </r>
  <r>
    <x v="0"/>
    <d v="2017-07-19T00:00:00"/>
    <d v="1899-12-30T13:03:56"/>
    <d v="1899-12-30T13:09:08"/>
    <d v="1899-12-30T00:05:12"/>
  </r>
  <r>
    <x v="0"/>
    <d v="2017-07-19T00:00:00"/>
    <d v="1899-12-30T13:11:57"/>
    <d v="1899-12-30T13:15:17"/>
    <d v="1899-12-30T00:03:20"/>
  </r>
  <r>
    <x v="0"/>
    <d v="2017-07-19T00:00:00"/>
    <d v="1899-12-30T13:13:45"/>
    <d v="1899-12-30T13:19:46"/>
    <d v="1899-12-30T00:06:01"/>
  </r>
  <r>
    <x v="0"/>
    <d v="2017-07-19T00:00:00"/>
    <d v="1899-12-30T13:14:31"/>
    <d v="1899-12-30T13:22:48"/>
    <d v="1899-12-30T00:08:17"/>
  </r>
  <r>
    <x v="0"/>
    <d v="2017-07-19T00:00:00"/>
    <d v="1899-12-30T13:17:35"/>
    <d v="1899-12-30T13:32:57"/>
    <d v="1899-12-30T00:15:22"/>
  </r>
  <r>
    <x v="0"/>
    <d v="2017-07-19T00:00:00"/>
    <d v="1899-12-30T13:25:12"/>
    <d v="1899-12-30T13:27:28"/>
    <d v="1899-12-30T00:02:16"/>
  </r>
  <r>
    <x v="0"/>
    <d v="2017-07-19T00:00:00"/>
    <d v="1899-12-30T13:30:23"/>
    <d v="1899-12-30T13:37:49"/>
    <d v="1899-12-30T00:07:26"/>
  </r>
  <r>
    <x v="0"/>
    <d v="2017-07-19T00:00:00"/>
    <d v="1899-12-30T13:38:18"/>
    <d v="1899-12-30T13:54:50"/>
    <d v="1899-12-30T00:16:32"/>
  </r>
  <r>
    <x v="0"/>
    <d v="2017-07-19T00:00:00"/>
    <d v="1899-12-30T13:38:36"/>
    <d v="1899-12-30T13:52:08"/>
    <d v="1899-12-30T00:13:32"/>
  </r>
  <r>
    <x v="0"/>
    <d v="2017-07-19T00:00:00"/>
    <d v="1899-12-30T13:41:15"/>
    <d v="1899-12-30T13:50:56"/>
    <d v="1899-12-30T00:09:41"/>
  </r>
  <r>
    <x v="0"/>
    <d v="2017-07-19T00:00:00"/>
    <d v="1899-12-30T13:45:19"/>
    <d v="1899-12-30T13:48:51"/>
    <d v="1899-12-30T00:03:32"/>
  </r>
  <r>
    <x v="0"/>
    <d v="2017-07-19T00:00:00"/>
    <d v="1899-12-30T13:48:22"/>
    <d v="1899-12-30T13:56:28"/>
    <d v="1899-12-30T00:08:06"/>
  </r>
  <r>
    <x v="0"/>
    <d v="2017-07-19T00:00:00"/>
    <d v="1899-12-30T13:54:50"/>
    <d v="1899-12-30T14:09:15"/>
    <d v="1899-12-30T00:14:25"/>
  </r>
  <r>
    <x v="0"/>
    <d v="2017-07-19T00:00:00"/>
    <d v="1899-12-30T13:56:14"/>
    <d v="1899-12-30T14:09:38"/>
    <d v="1899-12-30T00:13:24"/>
  </r>
  <r>
    <x v="0"/>
    <d v="2017-07-19T00:00:00"/>
    <d v="1899-12-30T14:04:10"/>
    <d v="1899-12-30T14:12:43"/>
    <d v="1899-12-30T00:08:33"/>
  </r>
  <r>
    <x v="0"/>
    <d v="2017-07-19T00:00:00"/>
    <d v="1899-12-30T14:06:42"/>
    <d v="1899-12-30T14:11:05"/>
    <d v="1899-12-30T00:04:23"/>
  </r>
  <r>
    <x v="0"/>
    <d v="2017-07-19T00:00:00"/>
    <d v="1899-12-30T14:06:52"/>
    <d v="1899-12-30T14:12:31"/>
    <d v="1899-12-30T00:05:39"/>
  </r>
  <r>
    <x v="0"/>
    <d v="2017-07-19T00:00:00"/>
    <d v="1899-12-30T14:10:54"/>
    <d v="1899-12-30T14:13:02"/>
    <d v="1899-12-30T00:02:08"/>
  </r>
  <r>
    <x v="0"/>
    <d v="2017-07-19T00:00:00"/>
    <d v="1899-12-30T14:19:06"/>
    <d v="1899-12-30T14:28:45"/>
    <d v="1899-12-30T00:09:39"/>
  </r>
  <r>
    <x v="0"/>
    <d v="2017-07-19T00:00:00"/>
    <d v="1899-12-30T14:19:55"/>
    <d v="1899-12-30T14:31:45"/>
    <d v="1899-12-30T00:11:50"/>
  </r>
  <r>
    <x v="0"/>
    <d v="2017-07-19T00:00:00"/>
    <d v="1899-12-30T14:19:58"/>
    <d v="1899-12-30T14:31:02"/>
    <d v="1899-12-30T00:11:04"/>
  </r>
  <r>
    <x v="0"/>
    <d v="2017-07-19T00:00:00"/>
    <d v="1899-12-30T14:27:07"/>
    <d v="1899-12-30T14:43:10"/>
    <d v="1899-12-30T00:16:03"/>
  </r>
  <r>
    <x v="0"/>
    <d v="2017-07-19T00:00:00"/>
    <d v="1899-12-30T14:28:12"/>
    <d v="1899-12-30T14:39:39"/>
    <d v="1899-12-30T00:11:27"/>
  </r>
  <r>
    <x v="0"/>
    <d v="2017-07-19T00:00:00"/>
    <d v="1899-12-30T14:33:00"/>
    <d v="1899-12-30T14:36:05"/>
    <d v="1899-12-30T00:03:05"/>
  </r>
  <r>
    <x v="0"/>
    <d v="2017-07-19T00:00:00"/>
    <d v="1899-12-30T14:36:30"/>
    <d v="1899-12-30T14:38:41"/>
    <d v="1899-12-30T00:02:11"/>
  </r>
  <r>
    <x v="0"/>
    <d v="2017-07-19T00:00:00"/>
    <d v="1899-12-30T14:39:34"/>
    <d v="1899-12-30T14:54:30"/>
    <d v="1899-12-30T00:14:56"/>
  </r>
  <r>
    <x v="0"/>
    <d v="2017-07-19T00:00:00"/>
    <d v="1899-12-30T14:41:23"/>
    <d v="1899-12-30T14:47:14"/>
    <d v="1899-12-30T00:05:51"/>
  </r>
  <r>
    <x v="0"/>
    <d v="2017-07-19T00:00:00"/>
    <d v="1899-12-30T14:47:44"/>
    <d v="1899-12-30T15:01:17"/>
    <d v="1899-12-30T00:13:33"/>
  </r>
  <r>
    <x v="0"/>
    <d v="2017-07-19T00:00:00"/>
    <d v="1899-12-30T14:54:47"/>
    <d v="1899-12-30T15:10:21"/>
    <d v="1899-12-30T00:15:34"/>
  </r>
  <r>
    <x v="0"/>
    <d v="2017-07-19T00:00:00"/>
    <d v="1899-12-30T14:56:57"/>
    <d v="1899-12-30T15:11:53"/>
    <d v="1899-12-30T00:14:56"/>
  </r>
  <r>
    <x v="0"/>
    <d v="2017-07-19T00:00:00"/>
    <d v="1899-12-30T14:58:29"/>
    <d v="1899-12-30T14:59:27"/>
    <d v="1899-12-30T00:00:58"/>
  </r>
  <r>
    <x v="0"/>
    <d v="2017-07-19T00:00:00"/>
    <d v="1899-12-30T15:06:44"/>
    <d v="1899-12-30T15:11:12"/>
    <d v="1899-12-30T00:04:28"/>
  </r>
  <r>
    <x v="0"/>
    <d v="2017-07-20T00:00:00"/>
    <d v="1899-12-30T08:01:39"/>
    <d v="1899-12-30T08:05:35"/>
    <d v="1899-12-30T00:03:56"/>
  </r>
  <r>
    <x v="0"/>
    <d v="2017-07-20T00:00:00"/>
    <d v="1899-12-30T08:09:47"/>
    <d v="1899-12-30T08:12:22"/>
    <d v="1899-12-30T00:02:35"/>
  </r>
  <r>
    <x v="0"/>
    <d v="2017-07-20T00:00:00"/>
    <d v="1899-12-30T08:11:15"/>
    <d v="1899-12-30T08:27:41"/>
    <d v="1899-12-30T00:16:26"/>
  </r>
  <r>
    <x v="0"/>
    <d v="2017-07-20T00:00:00"/>
    <d v="1899-12-30T08:14:57"/>
    <d v="1899-12-30T08:18:23"/>
    <d v="1899-12-30T00:03:26"/>
  </r>
  <r>
    <x v="0"/>
    <d v="2017-07-20T00:00:00"/>
    <d v="1899-12-30T08:21:57"/>
    <d v="1899-12-30T08:23:59"/>
    <d v="1899-12-30T00:02:02"/>
  </r>
  <r>
    <x v="0"/>
    <d v="2017-07-20T00:00:00"/>
    <d v="1899-12-30T08:28:46"/>
    <d v="1899-12-30T08:32:02"/>
    <d v="1899-12-30T00:03:16"/>
  </r>
  <r>
    <x v="0"/>
    <d v="2017-07-20T00:00:00"/>
    <d v="1899-12-30T08:32:29"/>
    <d v="1899-12-30T08:46:20"/>
    <d v="1899-12-30T00:13:51"/>
  </r>
  <r>
    <x v="0"/>
    <d v="2017-07-20T00:00:00"/>
    <d v="1899-12-30T08:36:53"/>
    <d v="1899-12-30T08:51:16"/>
    <d v="1899-12-30T00:14:23"/>
  </r>
  <r>
    <x v="0"/>
    <d v="2017-07-20T00:00:00"/>
    <d v="1899-12-30T08:41:36"/>
    <d v="1899-12-30T08:46:18"/>
    <d v="1899-12-30T00:04:42"/>
  </r>
  <r>
    <x v="0"/>
    <d v="2017-07-20T00:00:00"/>
    <d v="1899-12-30T08:45:13"/>
    <d v="1899-12-30T08:47:29"/>
    <d v="1899-12-30T00:02:16"/>
  </r>
  <r>
    <x v="0"/>
    <d v="2017-07-20T00:00:00"/>
    <d v="1899-12-30T08:52:58"/>
    <d v="1899-12-30T09:06:10"/>
    <d v="1899-12-30T00:13:12"/>
  </r>
  <r>
    <x v="0"/>
    <d v="2017-07-20T00:00:00"/>
    <d v="1899-12-30T09:00:06"/>
    <d v="1899-12-30T09:09:15"/>
    <d v="1899-12-30T00:09:09"/>
  </r>
  <r>
    <x v="0"/>
    <d v="2017-07-20T00:00:00"/>
    <d v="1899-12-30T09:02:17"/>
    <d v="1899-12-30T09:06:17"/>
    <d v="1899-12-30T00:04:00"/>
  </r>
  <r>
    <x v="0"/>
    <d v="2017-07-20T00:00:00"/>
    <d v="1899-12-30T09:07:53"/>
    <d v="1899-12-30T09:23:39"/>
    <d v="1899-12-30T00:15:46"/>
  </r>
  <r>
    <x v="0"/>
    <d v="2017-07-20T00:00:00"/>
    <d v="1899-12-30T09:12:53"/>
    <d v="1899-12-30T09:29:29"/>
    <d v="1899-12-30T00:16:36"/>
  </r>
  <r>
    <x v="0"/>
    <d v="2017-07-20T00:00:00"/>
    <d v="1899-12-30T09:15:50"/>
    <d v="1899-12-30T09:27:55"/>
    <d v="1899-12-30T00:12:05"/>
  </r>
  <r>
    <x v="0"/>
    <d v="2017-07-20T00:00:00"/>
    <d v="1899-12-30T09:22:24"/>
    <d v="1899-12-30T09:23:04"/>
    <d v="1899-12-30T00:00:40"/>
  </r>
  <r>
    <x v="0"/>
    <d v="2017-07-20T00:00:00"/>
    <d v="1899-12-30T09:26:59"/>
    <d v="1899-12-30T09:40:13"/>
    <d v="1899-12-30T00:13:14"/>
  </r>
  <r>
    <x v="0"/>
    <d v="2017-07-20T00:00:00"/>
    <d v="1899-12-30T09:28:02"/>
    <d v="1899-12-30T09:33:43"/>
    <d v="1899-12-30T00:05:41"/>
  </r>
  <r>
    <x v="0"/>
    <d v="2017-07-20T00:00:00"/>
    <d v="1899-12-30T09:33:16"/>
    <d v="1899-12-30T09:34:13"/>
    <d v="1899-12-30T00:00:57"/>
  </r>
  <r>
    <x v="0"/>
    <d v="2017-07-20T00:00:00"/>
    <d v="1899-12-30T09:34:39"/>
    <d v="1899-12-30T09:43:01"/>
    <d v="1899-12-30T00:08:22"/>
  </r>
  <r>
    <x v="0"/>
    <d v="2017-07-20T00:00:00"/>
    <d v="1899-12-30T09:38:45"/>
    <d v="1899-12-30T09:46:18"/>
    <d v="1899-12-30T00:07:33"/>
  </r>
  <r>
    <x v="0"/>
    <d v="2017-07-20T00:00:00"/>
    <d v="1899-12-30T09:46:13"/>
    <d v="1899-12-30T09:47:27"/>
    <d v="1899-12-30T00:01:14"/>
  </r>
  <r>
    <x v="0"/>
    <d v="2017-07-20T00:00:00"/>
    <d v="1899-12-30T09:53:41"/>
    <d v="1899-12-30T10:07:53"/>
    <d v="1899-12-30T00:14:12"/>
  </r>
  <r>
    <x v="0"/>
    <d v="2017-07-20T00:00:00"/>
    <d v="1899-12-30T09:54:19"/>
    <d v="1899-12-30T09:57:25"/>
    <d v="1899-12-30T00:03:06"/>
  </r>
  <r>
    <x v="0"/>
    <d v="2017-07-20T00:00:00"/>
    <d v="1899-12-30T09:56:58"/>
    <d v="1899-12-30T09:57:32"/>
    <d v="1899-12-30T00:00:34"/>
  </r>
  <r>
    <x v="0"/>
    <d v="2017-07-20T00:00:00"/>
    <d v="1899-12-30T10:00:09"/>
    <d v="1899-12-30T10:07:34"/>
    <d v="1899-12-30T00:07:25"/>
  </r>
  <r>
    <x v="0"/>
    <d v="2017-07-20T00:00:00"/>
    <d v="1899-12-30T10:04:31"/>
    <d v="1899-12-30T10:18:35"/>
    <d v="1899-12-30T00:14:04"/>
  </r>
  <r>
    <x v="0"/>
    <d v="2017-07-20T00:00:00"/>
    <d v="1899-12-30T10:12:30"/>
    <d v="1899-12-30T10:28:20"/>
    <d v="1899-12-30T00:15:50"/>
  </r>
  <r>
    <x v="0"/>
    <d v="2017-07-20T00:00:00"/>
    <d v="1899-12-30T10:15:46"/>
    <d v="1899-12-30T10:21:15"/>
    <d v="1899-12-30T00:05:29"/>
  </r>
  <r>
    <x v="1"/>
    <d v="2017-07-20T00:00:00"/>
    <d v="1899-12-30T10:21:41"/>
    <d v="1899-12-30T10:35:49"/>
    <d v="1899-12-30T00:14:08"/>
  </r>
  <r>
    <x v="0"/>
    <d v="2017-07-20T00:00:00"/>
    <d v="1899-12-30T10:27:56"/>
    <d v="1899-12-30T10:42:23"/>
    <d v="1899-12-30T00:14:27"/>
  </r>
  <r>
    <x v="0"/>
    <d v="2017-07-20T00:00:00"/>
    <d v="1899-12-30T10:36:03"/>
    <d v="1899-12-30T10:46:37"/>
    <d v="1899-12-30T00:10:34"/>
  </r>
  <r>
    <x v="0"/>
    <d v="2017-07-20T00:00:00"/>
    <d v="1899-12-30T10:42:28"/>
    <d v="1899-12-30T10:48:17"/>
    <d v="1899-12-30T00:05:49"/>
  </r>
  <r>
    <x v="0"/>
    <d v="2017-07-20T00:00:00"/>
    <d v="1899-12-30T10:48:34"/>
    <d v="1899-12-30T11:02:56"/>
    <d v="1899-12-30T00:14:22"/>
  </r>
  <r>
    <x v="0"/>
    <d v="2017-07-20T00:00:00"/>
    <d v="1899-12-30T10:55:15"/>
    <d v="1899-12-30T11:00:37"/>
    <d v="1899-12-30T00:05:22"/>
  </r>
  <r>
    <x v="0"/>
    <d v="2017-07-20T00:00:00"/>
    <d v="1899-12-30T10:59:27"/>
    <d v="1899-12-30T11:02:28"/>
    <d v="1899-12-30T00:03:01"/>
  </r>
  <r>
    <x v="0"/>
    <d v="2017-07-20T00:00:00"/>
    <d v="1899-12-30T11:04:46"/>
    <d v="1899-12-30T11:05:15"/>
    <d v="1899-12-30T00:00:29"/>
  </r>
  <r>
    <x v="0"/>
    <d v="2017-07-20T00:00:00"/>
    <d v="1899-12-30T11:05:39"/>
    <d v="1899-12-30T11:10:55"/>
    <d v="1899-12-30T00:05:16"/>
  </r>
  <r>
    <x v="0"/>
    <d v="2017-07-20T00:00:00"/>
    <d v="1899-12-30T11:11:08"/>
    <d v="1899-12-30T11:22:12"/>
    <d v="1899-12-30T00:11:04"/>
  </r>
  <r>
    <x v="0"/>
    <d v="2017-07-20T00:00:00"/>
    <d v="1899-12-30T11:18:19"/>
    <d v="1899-12-30T11:18:55"/>
    <d v="1899-12-30T00:00:36"/>
  </r>
  <r>
    <x v="0"/>
    <d v="2017-07-20T00:00:00"/>
    <d v="1899-12-30T11:20:19"/>
    <d v="1899-12-30T11:33:02"/>
    <d v="1899-12-30T00:12:43"/>
  </r>
  <r>
    <x v="0"/>
    <d v="2017-07-20T00:00:00"/>
    <d v="1899-12-30T11:24:27"/>
    <d v="1899-12-30T11:26:39"/>
    <d v="1899-12-30T00:02:12"/>
  </r>
  <r>
    <x v="0"/>
    <d v="2017-07-20T00:00:00"/>
    <d v="1899-12-30T11:31:40"/>
    <d v="1899-12-30T11:47:59"/>
    <d v="1899-12-30T00:16:19"/>
  </r>
  <r>
    <x v="0"/>
    <d v="2017-07-20T00:00:00"/>
    <d v="1899-12-30T11:35:14"/>
    <d v="1899-12-30T11:42:42"/>
    <d v="1899-12-30T00:07:28"/>
  </r>
  <r>
    <x v="0"/>
    <d v="2017-07-20T00:00:00"/>
    <d v="1899-12-30T11:42:55"/>
    <d v="1899-12-30T11:47:17"/>
    <d v="1899-12-30T00:04:22"/>
  </r>
  <r>
    <x v="0"/>
    <d v="2017-07-20T00:00:00"/>
    <d v="1899-12-30T11:45:49"/>
    <d v="1899-12-30T11:52:10"/>
    <d v="1899-12-30T00:06:21"/>
  </r>
  <r>
    <x v="0"/>
    <d v="2017-07-20T00:00:00"/>
    <d v="1899-12-30T11:47:05"/>
    <d v="1899-12-30T11:50:56"/>
    <d v="1899-12-30T00:03:51"/>
  </r>
  <r>
    <x v="0"/>
    <d v="2017-07-20T00:00:00"/>
    <d v="1899-12-30T11:53:05"/>
    <d v="1899-12-30T11:53:16"/>
    <d v="1899-12-30T00:00:11"/>
  </r>
  <r>
    <x v="0"/>
    <d v="2017-07-20T00:00:00"/>
    <d v="1899-12-30T11:57:36"/>
    <d v="1899-12-30T12:13:34"/>
    <d v="1899-12-30T00:15:58"/>
  </r>
  <r>
    <x v="0"/>
    <d v="2017-07-20T00:00:00"/>
    <d v="1899-12-30T12:04:18"/>
    <d v="1899-12-30T12:04:30"/>
    <d v="1899-12-30T00:00:12"/>
  </r>
  <r>
    <x v="0"/>
    <d v="2017-07-20T00:00:00"/>
    <d v="1899-12-30T12:08:22"/>
    <d v="1899-12-30T12:20:46"/>
    <d v="1899-12-30T00:12:24"/>
  </r>
  <r>
    <x v="0"/>
    <d v="2017-07-20T00:00:00"/>
    <d v="1899-12-30T12:11:55"/>
    <d v="1899-12-30T12:23:48"/>
    <d v="1899-12-30T00:11:53"/>
  </r>
  <r>
    <x v="0"/>
    <d v="2017-07-20T00:00:00"/>
    <d v="1899-12-30T12:12:41"/>
    <d v="1899-12-30T12:20:18"/>
    <d v="1899-12-30T00:07:37"/>
  </r>
  <r>
    <x v="0"/>
    <d v="2017-07-20T00:00:00"/>
    <d v="1899-12-30T12:14:49"/>
    <d v="1899-12-30T12:30:05"/>
    <d v="1899-12-30T00:15:16"/>
  </r>
  <r>
    <x v="0"/>
    <d v="2017-07-20T00:00:00"/>
    <d v="1899-12-30T12:21:46"/>
    <d v="1899-12-30T12:25:44"/>
    <d v="1899-12-30T00:03:58"/>
  </r>
  <r>
    <x v="0"/>
    <d v="2017-07-20T00:00:00"/>
    <d v="1899-12-30T12:21:47"/>
    <d v="1899-12-30T12:22:25"/>
    <d v="1899-12-30T00:00:38"/>
  </r>
  <r>
    <x v="0"/>
    <d v="2017-07-20T00:00:00"/>
    <d v="1899-12-30T12:27:46"/>
    <d v="1899-12-30T12:43:38"/>
    <d v="1899-12-30T00:15:52"/>
  </r>
  <r>
    <x v="0"/>
    <d v="2017-07-20T00:00:00"/>
    <d v="1899-12-30T12:32:03"/>
    <d v="1899-12-30T12:34:04"/>
    <d v="1899-12-30T00:02:01"/>
  </r>
  <r>
    <x v="0"/>
    <d v="2017-07-20T00:00:00"/>
    <d v="1899-12-30T12:32:16"/>
    <d v="1899-12-30T12:44:16"/>
    <d v="1899-12-30T00:12:00"/>
  </r>
  <r>
    <x v="0"/>
    <d v="2017-07-20T00:00:00"/>
    <d v="1899-12-30T12:34:16"/>
    <d v="1899-12-30T12:41:31"/>
    <d v="1899-12-30T00:07:15"/>
  </r>
  <r>
    <x v="0"/>
    <d v="2017-07-20T00:00:00"/>
    <d v="1899-12-30T12:40:31"/>
    <d v="1899-12-30T12:55:50"/>
    <d v="1899-12-30T00:15:19"/>
  </r>
  <r>
    <x v="0"/>
    <d v="2017-07-20T00:00:00"/>
    <d v="1899-12-30T12:44:24"/>
    <d v="1899-12-30T12:50:34"/>
    <d v="1899-12-30T00:06:10"/>
  </r>
  <r>
    <x v="0"/>
    <d v="2017-07-20T00:00:00"/>
    <d v="1899-12-30T12:47:36"/>
    <d v="1899-12-30T12:58:19"/>
    <d v="1899-12-30T00:10:43"/>
  </r>
  <r>
    <x v="0"/>
    <d v="2017-07-20T00:00:00"/>
    <d v="1899-12-30T12:55:01"/>
    <d v="1899-12-30T13:02:55"/>
    <d v="1899-12-30T00:07:54"/>
  </r>
  <r>
    <x v="0"/>
    <d v="2017-07-20T00:00:00"/>
    <d v="1899-12-30T12:57:05"/>
    <d v="1899-12-30T13:03:42"/>
    <d v="1899-12-30T00:06:37"/>
  </r>
  <r>
    <x v="0"/>
    <d v="2017-07-20T00:00:00"/>
    <d v="1899-12-30T13:04:05"/>
    <d v="1899-12-30T13:17:51"/>
    <d v="1899-12-30T00:13:46"/>
  </r>
  <r>
    <x v="0"/>
    <d v="2017-07-20T00:00:00"/>
    <d v="1899-12-30T13:05:37"/>
    <d v="1899-12-30T13:10:29"/>
    <d v="1899-12-30T00:04:52"/>
  </r>
  <r>
    <x v="0"/>
    <d v="2017-07-20T00:00:00"/>
    <d v="1899-12-30T13:11:14"/>
    <d v="1899-12-30T13:20:24"/>
    <d v="1899-12-30T00:09:10"/>
  </r>
  <r>
    <x v="0"/>
    <d v="2017-07-20T00:00:00"/>
    <d v="1899-12-30T13:16:25"/>
    <d v="1899-12-30T13:30:47"/>
    <d v="1899-12-30T00:14:22"/>
  </r>
  <r>
    <x v="0"/>
    <d v="2017-07-20T00:00:00"/>
    <d v="1899-12-30T13:18:52"/>
    <d v="1899-12-30T13:34:59"/>
    <d v="1899-12-30T00:16:07"/>
  </r>
  <r>
    <x v="0"/>
    <d v="2017-07-20T00:00:00"/>
    <d v="1899-12-30T13:23:55"/>
    <d v="1899-12-30T13:24:27"/>
    <d v="1899-12-30T00:00:32"/>
  </r>
  <r>
    <x v="0"/>
    <d v="2017-07-20T00:00:00"/>
    <d v="1899-12-30T13:29:00"/>
    <d v="1899-12-30T13:32:10"/>
    <d v="1899-12-30T00:03:10"/>
  </r>
  <r>
    <x v="0"/>
    <d v="2017-07-20T00:00:00"/>
    <d v="1899-12-30T13:31:01"/>
    <d v="1899-12-30T13:41:06"/>
    <d v="1899-12-30T00:10:05"/>
  </r>
  <r>
    <x v="0"/>
    <d v="2017-07-20T00:00:00"/>
    <d v="1899-12-30T13:34:08"/>
    <d v="1899-12-30T13:49:36"/>
    <d v="1899-12-30T00:15:28"/>
  </r>
  <r>
    <x v="0"/>
    <d v="2017-07-20T00:00:00"/>
    <d v="1899-12-30T13:42:19"/>
    <d v="1899-12-30T13:47:30"/>
    <d v="1899-12-30T00:05:11"/>
  </r>
  <r>
    <x v="0"/>
    <d v="2017-07-20T00:00:00"/>
    <d v="1899-12-30T13:48:15"/>
    <d v="1899-12-30T13:52:06"/>
    <d v="1899-12-30T00:03:51"/>
  </r>
  <r>
    <x v="0"/>
    <d v="2017-07-20T00:00:00"/>
    <d v="1899-12-30T13:50:28"/>
    <d v="1899-12-30T14:02:58"/>
    <d v="1899-12-30T00:12:30"/>
  </r>
  <r>
    <x v="0"/>
    <d v="2017-07-20T00:00:00"/>
    <d v="1899-12-30T13:52:03"/>
    <d v="1899-12-30T13:54:32"/>
    <d v="1899-12-30T00:02:29"/>
  </r>
  <r>
    <x v="0"/>
    <d v="2017-07-20T00:00:00"/>
    <d v="1899-12-30T13:58:10"/>
    <d v="1899-12-30T14:10:08"/>
    <d v="1899-12-30T00:11:58"/>
  </r>
  <r>
    <x v="0"/>
    <d v="2017-07-20T00:00:00"/>
    <d v="1899-12-30T13:59:56"/>
    <d v="1899-12-30T14:12:29"/>
    <d v="1899-12-30T00:12:33"/>
  </r>
  <r>
    <x v="0"/>
    <d v="2017-07-20T00:00:00"/>
    <d v="1899-12-30T14:03:20"/>
    <d v="1899-12-30T14:09:05"/>
    <d v="1899-12-30T00:05:45"/>
  </r>
  <r>
    <x v="0"/>
    <d v="2017-07-20T00:00:00"/>
    <d v="1899-12-30T14:10:22"/>
    <d v="1899-12-30T14:14:11"/>
    <d v="1899-12-30T00:03:49"/>
  </r>
  <r>
    <x v="0"/>
    <d v="2017-07-20T00:00:00"/>
    <d v="1899-12-30T14:18:33"/>
    <d v="1899-12-30T14:22:39"/>
    <d v="1899-12-30T00:04:06"/>
  </r>
  <r>
    <x v="0"/>
    <d v="2017-07-20T00:00:00"/>
    <d v="1899-12-30T14:19:35"/>
    <d v="1899-12-30T14:20:18"/>
    <d v="1899-12-30T00:00:43"/>
  </r>
  <r>
    <x v="1"/>
    <d v="2017-07-20T00:00:00"/>
    <d v="1899-12-30T14:20:53"/>
    <d v="1899-12-30T14:34:18"/>
    <d v="1899-12-30T00:13:25"/>
  </r>
  <r>
    <x v="0"/>
    <d v="2017-07-20T00:00:00"/>
    <d v="1899-12-30T14:24:42"/>
    <d v="1899-12-30T14:29:21"/>
    <d v="1899-12-30T00:04:39"/>
  </r>
  <r>
    <x v="0"/>
    <d v="2017-07-20T00:00:00"/>
    <d v="1899-12-30T14:27:37"/>
    <d v="1899-12-30T14:32:46"/>
    <d v="1899-12-30T00:05:09"/>
  </r>
  <r>
    <x v="0"/>
    <d v="2017-07-20T00:00:00"/>
    <d v="1899-12-30T14:28:00"/>
    <d v="1899-12-30T14:41:36"/>
    <d v="1899-12-30T00:13:36"/>
  </r>
  <r>
    <x v="0"/>
    <d v="2017-07-20T00:00:00"/>
    <d v="1899-12-30T14:28:04"/>
    <d v="1899-12-30T14:39:00"/>
    <d v="1899-12-30T00:10:56"/>
  </r>
  <r>
    <x v="0"/>
    <d v="2017-07-20T00:00:00"/>
    <d v="1899-12-30T14:33:59"/>
    <d v="1899-12-30T14:38:25"/>
    <d v="1899-12-30T00:04:26"/>
  </r>
  <r>
    <x v="0"/>
    <d v="2017-07-20T00:00:00"/>
    <d v="1899-12-30T14:38:16"/>
    <d v="1899-12-30T14:43:55"/>
    <d v="1899-12-30T00:05:39"/>
  </r>
  <r>
    <x v="0"/>
    <d v="2017-07-20T00:00:00"/>
    <d v="1899-12-30T14:43:01"/>
    <d v="1899-12-30T14:54:28"/>
    <d v="1899-12-30T00:11:27"/>
  </r>
  <r>
    <x v="0"/>
    <d v="2017-07-20T00:00:00"/>
    <d v="1899-12-30T14:46:07"/>
    <d v="1899-12-30T15:00:03"/>
    <d v="1899-12-30T00:13:56"/>
  </r>
  <r>
    <x v="0"/>
    <d v="2017-07-20T00:00:00"/>
    <d v="1899-12-30T14:46:27"/>
    <d v="1899-12-30T15:00:28"/>
    <d v="1899-12-30T00:14:01"/>
  </r>
  <r>
    <x v="0"/>
    <d v="2017-07-20T00:00:00"/>
    <d v="1899-12-30T14:53:56"/>
    <d v="1899-12-30T15:05:14"/>
    <d v="1899-12-30T00:11:18"/>
  </r>
  <r>
    <x v="0"/>
    <d v="2017-07-20T00:00:00"/>
    <d v="1899-12-30T15:00:21"/>
    <d v="1899-12-30T15:04:59"/>
    <d v="1899-12-30T00:04:38"/>
  </r>
  <r>
    <x v="0"/>
    <d v="2017-07-21T00:00:00"/>
    <d v="1899-12-30T08:01:16"/>
    <d v="1899-12-30T08:04:55"/>
    <d v="1899-12-30T00:03:39"/>
  </r>
  <r>
    <x v="0"/>
    <d v="2017-07-21T00:00:00"/>
    <d v="1899-12-30T08:02:36"/>
    <d v="1899-12-30T08:06:32"/>
    <d v="1899-12-30T00:03:56"/>
  </r>
  <r>
    <x v="0"/>
    <d v="2017-07-21T00:00:00"/>
    <d v="1899-12-30T08:04:27"/>
    <d v="1899-12-30T08:06:25"/>
    <d v="1899-12-30T00:01:58"/>
  </r>
  <r>
    <x v="0"/>
    <d v="2017-07-21T00:00:00"/>
    <d v="1899-12-30T08:11:52"/>
    <d v="1899-12-30T08:19:27"/>
    <d v="1899-12-30T00:07:35"/>
  </r>
  <r>
    <x v="0"/>
    <d v="2017-07-21T00:00:00"/>
    <d v="1899-12-30T08:12:27"/>
    <d v="1899-12-30T08:18:17"/>
    <d v="1899-12-30T00:05:50"/>
  </r>
  <r>
    <x v="0"/>
    <d v="2017-07-21T00:00:00"/>
    <d v="1899-12-30T08:17:46"/>
    <d v="1899-12-30T08:20:20"/>
    <d v="1899-12-30T00:02:34"/>
  </r>
  <r>
    <x v="0"/>
    <d v="2017-07-21T00:00:00"/>
    <d v="1899-12-30T08:19:33"/>
    <d v="1899-12-30T08:26:58"/>
    <d v="1899-12-30T00:07:25"/>
  </r>
  <r>
    <x v="0"/>
    <d v="2017-07-21T00:00:00"/>
    <d v="1899-12-30T08:20:20"/>
    <d v="1899-12-30T08:27:47"/>
    <d v="1899-12-30T00:07:27"/>
  </r>
  <r>
    <x v="0"/>
    <d v="2017-07-21T00:00:00"/>
    <d v="1899-12-30T08:23:27"/>
    <d v="1899-12-30T08:29:05"/>
    <d v="1899-12-30T00:05:38"/>
  </r>
  <r>
    <x v="0"/>
    <d v="2017-07-21T00:00:00"/>
    <d v="1899-12-30T08:24:03"/>
    <d v="1899-12-30T08:31:47"/>
    <d v="1899-12-30T00:07:44"/>
  </r>
  <r>
    <x v="0"/>
    <d v="2017-07-21T00:00:00"/>
    <d v="1899-12-30T08:26:15"/>
    <d v="1899-12-30T08:28:19"/>
    <d v="1899-12-30T00:02:04"/>
  </r>
  <r>
    <x v="0"/>
    <d v="2017-07-21T00:00:00"/>
    <d v="1899-12-30T08:29:47"/>
    <d v="1899-12-30T08:37:36"/>
    <d v="1899-12-30T00:07:49"/>
  </r>
  <r>
    <x v="0"/>
    <d v="2017-07-21T00:00:00"/>
    <d v="1899-12-30T08:37:08"/>
    <d v="1899-12-30T08:42:59"/>
    <d v="1899-12-30T00:05:51"/>
  </r>
  <r>
    <x v="0"/>
    <d v="2017-07-21T00:00:00"/>
    <d v="1899-12-30T08:40:38"/>
    <d v="1899-12-30T08:43:31"/>
    <d v="1899-12-30T00:02:53"/>
  </r>
  <r>
    <x v="0"/>
    <d v="2017-07-21T00:00:00"/>
    <d v="1899-12-30T08:47:30"/>
    <d v="1899-12-30T08:58:13"/>
    <d v="1899-12-30T00:10:43"/>
  </r>
  <r>
    <x v="0"/>
    <d v="2017-07-21T00:00:00"/>
    <d v="1899-12-30T08:54:43"/>
    <d v="1899-12-30T09:08:17"/>
    <d v="1899-12-30T00:13:34"/>
  </r>
  <r>
    <x v="0"/>
    <d v="2017-07-21T00:00:00"/>
    <d v="1899-12-30T09:01:00"/>
    <d v="1899-12-30T09:16:00"/>
    <d v="1899-12-30T00:15:00"/>
  </r>
  <r>
    <x v="0"/>
    <d v="2017-07-21T00:00:00"/>
    <d v="1899-12-30T09:05:38"/>
    <d v="1899-12-30T09:13:35"/>
    <d v="1899-12-30T00:07:57"/>
  </r>
  <r>
    <x v="0"/>
    <d v="2017-07-21T00:00:00"/>
    <d v="1899-12-30T09:08:27"/>
    <d v="1899-12-30T09:20:26"/>
    <d v="1899-12-30T00:11:59"/>
  </r>
  <r>
    <x v="0"/>
    <d v="2017-07-21T00:00:00"/>
    <d v="1899-12-30T09:16:19"/>
    <d v="1899-12-30T09:20:30"/>
    <d v="1899-12-30T00:04:11"/>
  </r>
  <r>
    <x v="0"/>
    <d v="2017-07-21T00:00:00"/>
    <d v="1899-12-30T09:19:25"/>
    <d v="1899-12-30T09:34:12"/>
    <d v="1899-12-30T00:14:47"/>
  </r>
  <r>
    <x v="0"/>
    <d v="2017-07-21T00:00:00"/>
    <d v="1899-12-30T09:22:53"/>
    <d v="1899-12-30T09:30:32"/>
    <d v="1899-12-30T00:07:39"/>
  </r>
  <r>
    <x v="0"/>
    <d v="2017-07-21T00:00:00"/>
    <d v="1899-12-30T09:28:22"/>
    <d v="1899-12-30T09:38:02"/>
    <d v="1899-12-30T00:09:40"/>
  </r>
  <r>
    <x v="0"/>
    <d v="2017-07-21T00:00:00"/>
    <d v="1899-12-30T09:35:20"/>
    <d v="1899-12-30T09:36:33"/>
    <d v="1899-12-30T00:01:13"/>
  </r>
  <r>
    <x v="0"/>
    <d v="2017-07-21T00:00:00"/>
    <d v="1899-12-30T09:41:28"/>
    <d v="1899-12-30T09:47:51"/>
    <d v="1899-12-30T00:06:23"/>
  </r>
  <r>
    <x v="0"/>
    <d v="2017-07-21T00:00:00"/>
    <d v="1899-12-30T09:42:40"/>
    <d v="1899-12-30T09:48:36"/>
    <d v="1899-12-30T00:05:56"/>
  </r>
  <r>
    <x v="0"/>
    <d v="2017-07-21T00:00:00"/>
    <d v="1899-12-30T09:42:42"/>
    <d v="1899-12-30T09:48:47"/>
    <d v="1899-12-30T00:06:05"/>
  </r>
  <r>
    <x v="0"/>
    <d v="2017-07-21T00:00:00"/>
    <d v="1899-12-30T09:43:17"/>
    <d v="1899-12-30T09:44:05"/>
    <d v="1899-12-30T00:00:48"/>
  </r>
  <r>
    <x v="0"/>
    <d v="2017-07-21T00:00:00"/>
    <d v="1899-12-30T09:46:00"/>
    <d v="1899-12-30T09:50:17"/>
    <d v="1899-12-30T00:04:17"/>
  </r>
  <r>
    <x v="0"/>
    <d v="2017-07-21T00:00:00"/>
    <d v="1899-12-30T09:53:41"/>
    <d v="1899-12-30T09:59:44"/>
    <d v="1899-12-30T00:06:03"/>
  </r>
  <r>
    <x v="0"/>
    <d v="2017-07-21T00:00:00"/>
    <d v="1899-12-30T09:57:31"/>
    <d v="1899-12-30T09:59:38"/>
    <d v="1899-12-30T00:02:07"/>
  </r>
  <r>
    <x v="0"/>
    <d v="2017-07-21T00:00:00"/>
    <d v="1899-12-30T10:05:35"/>
    <d v="1899-12-30T10:15:11"/>
    <d v="1899-12-30T00:09:36"/>
  </r>
  <r>
    <x v="0"/>
    <d v="2017-07-21T00:00:00"/>
    <d v="1899-12-30T10:06:01"/>
    <d v="1899-12-30T10:21:37"/>
    <d v="1899-12-30T00:15:36"/>
  </r>
  <r>
    <x v="0"/>
    <d v="2017-07-21T00:00:00"/>
    <d v="1899-12-30T10:09:57"/>
    <d v="1899-12-30T10:22:28"/>
    <d v="1899-12-30T00:12:31"/>
  </r>
  <r>
    <x v="0"/>
    <d v="2017-07-21T00:00:00"/>
    <d v="1899-12-30T10:16:32"/>
    <d v="1899-12-30T10:30:30"/>
    <d v="1899-12-30T00:13:58"/>
  </r>
  <r>
    <x v="0"/>
    <d v="2017-07-21T00:00:00"/>
    <d v="1899-12-30T10:19:14"/>
    <d v="1899-12-30T10:19:38"/>
    <d v="1899-12-30T00:00:24"/>
  </r>
  <r>
    <x v="0"/>
    <d v="2017-07-21T00:00:00"/>
    <d v="1899-12-30T10:20:17"/>
    <d v="1899-12-30T10:35:27"/>
    <d v="1899-12-30T00:15:10"/>
  </r>
  <r>
    <x v="0"/>
    <d v="2017-07-21T00:00:00"/>
    <d v="1899-12-30T10:24:58"/>
    <d v="1899-12-30T10:34:12"/>
    <d v="1899-12-30T00:09:14"/>
  </r>
  <r>
    <x v="0"/>
    <d v="2017-07-21T00:00:00"/>
    <d v="1899-12-30T10:27:35"/>
    <d v="1899-12-30T10:41:32"/>
    <d v="1899-12-30T00:13:57"/>
  </r>
  <r>
    <x v="0"/>
    <d v="2017-07-21T00:00:00"/>
    <d v="1899-12-30T10:29:43"/>
    <d v="1899-12-30T10:46:07"/>
    <d v="1899-12-30T00:16:24"/>
  </r>
  <r>
    <x v="0"/>
    <d v="2017-07-21T00:00:00"/>
    <d v="1899-12-30T10:37:48"/>
    <d v="1899-12-30T10:51:42"/>
    <d v="1899-12-30T00:13:54"/>
  </r>
  <r>
    <x v="0"/>
    <d v="2017-07-21T00:00:00"/>
    <d v="1899-12-30T10:44:52"/>
    <d v="1899-12-30T10:55:54"/>
    <d v="1899-12-30T00:11:02"/>
  </r>
  <r>
    <x v="0"/>
    <d v="2017-07-21T00:00:00"/>
    <d v="1899-12-30T10:50:42"/>
    <d v="1899-12-30T11:01:20"/>
    <d v="1899-12-30T00:10:38"/>
  </r>
  <r>
    <x v="0"/>
    <d v="2017-07-21T00:00:00"/>
    <d v="1899-12-30T10:54:36"/>
    <d v="1899-12-30T11:06:39"/>
    <d v="1899-12-30T00:12:03"/>
  </r>
  <r>
    <x v="0"/>
    <d v="2017-07-21T00:00:00"/>
    <d v="1899-12-30T10:57:56"/>
    <d v="1899-12-30T10:58:44"/>
    <d v="1899-12-30T00:00:48"/>
  </r>
  <r>
    <x v="0"/>
    <d v="2017-07-21T00:00:00"/>
    <d v="1899-12-30T11:04:11"/>
    <d v="1899-12-30T11:06:31"/>
    <d v="1899-12-30T00:02:20"/>
  </r>
  <r>
    <x v="0"/>
    <d v="2017-07-21T00:00:00"/>
    <d v="1899-12-30T11:10:22"/>
    <d v="1899-12-30T11:20:11"/>
    <d v="1899-12-30T00:09:49"/>
  </r>
  <r>
    <x v="0"/>
    <d v="2017-07-21T00:00:00"/>
    <d v="1899-12-30T11:17:53"/>
    <d v="1899-12-30T11:20:15"/>
    <d v="1899-12-30T00:02:22"/>
  </r>
  <r>
    <x v="0"/>
    <d v="2017-07-21T00:00:00"/>
    <d v="1899-12-30T11:18:19"/>
    <d v="1899-12-30T11:31:22"/>
    <d v="1899-12-30T00:13:03"/>
  </r>
  <r>
    <x v="0"/>
    <d v="2017-07-21T00:00:00"/>
    <d v="1899-12-30T11:20:55"/>
    <d v="1899-12-30T11:28:59"/>
    <d v="1899-12-30T00:08:04"/>
  </r>
  <r>
    <x v="0"/>
    <d v="2017-07-21T00:00:00"/>
    <d v="1899-12-30T11:21:07"/>
    <d v="1899-12-30T11:34:42"/>
    <d v="1899-12-30T00:13:35"/>
  </r>
  <r>
    <x v="0"/>
    <d v="2017-07-21T00:00:00"/>
    <d v="1899-12-30T11:26:51"/>
    <d v="1899-12-30T11:40:58"/>
    <d v="1899-12-30T00:14:07"/>
  </r>
  <r>
    <x v="0"/>
    <d v="2017-07-21T00:00:00"/>
    <d v="1899-12-30T11:28:48"/>
    <d v="1899-12-30T11:45:27"/>
    <d v="1899-12-30T00:16:39"/>
  </r>
  <r>
    <x v="0"/>
    <d v="2017-07-21T00:00:00"/>
    <d v="1899-12-30T11:35:19"/>
    <d v="1899-12-30T11:35:27"/>
    <d v="1899-12-30T00:00:08"/>
  </r>
  <r>
    <x v="0"/>
    <d v="2017-07-21T00:00:00"/>
    <d v="1899-12-30T11:37:32"/>
    <d v="1899-12-30T11:42:31"/>
    <d v="1899-12-30T00:04:59"/>
  </r>
  <r>
    <x v="0"/>
    <d v="2017-07-21T00:00:00"/>
    <d v="1899-12-30T11:41:09"/>
    <d v="1899-12-30T11:55:11"/>
    <d v="1899-12-30T00:14:02"/>
  </r>
  <r>
    <x v="0"/>
    <d v="2017-07-21T00:00:00"/>
    <d v="1899-12-30T11:49:05"/>
    <d v="1899-12-30T11:51:06"/>
    <d v="1899-12-30T00:02:01"/>
  </r>
  <r>
    <x v="0"/>
    <d v="2017-07-21T00:00:00"/>
    <d v="1899-12-30T11:50:19"/>
    <d v="1899-12-30T12:05:04"/>
    <d v="1899-12-30T00:14:45"/>
  </r>
  <r>
    <x v="0"/>
    <d v="2017-07-21T00:00:00"/>
    <d v="1899-12-30T11:57:17"/>
    <d v="1899-12-30T12:09:24"/>
    <d v="1899-12-30T00:12:07"/>
  </r>
  <r>
    <x v="0"/>
    <d v="2017-07-21T00:00:00"/>
    <d v="1899-12-30T12:00:14"/>
    <d v="1899-12-30T12:07:18"/>
    <d v="1899-12-30T00:07:04"/>
  </r>
  <r>
    <x v="0"/>
    <d v="2017-07-21T00:00:00"/>
    <d v="1899-12-30T12:04:06"/>
    <d v="1899-12-30T12:20:38"/>
    <d v="1899-12-30T00:16:32"/>
  </r>
  <r>
    <x v="0"/>
    <d v="2017-07-21T00:00:00"/>
    <d v="1899-12-30T12:12:06"/>
    <d v="1899-12-30T12:13:57"/>
    <d v="1899-12-30T00:01:51"/>
  </r>
  <r>
    <x v="0"/>
    <d v="2017-07-21T00:00:00"/>
    <d v="1899-12-30T12:17:17"/>
    <d v="1899-12-30T12:32:27"/>
    <d v="1899-12-30T00:15:10"/>
  </r>
  <r>
    <x v="0"/>
    <d v="2017-07-21T00:00:00"/>
    <d v="1899-12-30T12:18:00"/>
    <d v="1899-12-30T12:20:14"/>
    <d v="1899-12-30T00:02:14"/>
  </r>
  <r>
    <x v="0"/>
    <d v="2017-07-21T00:00:00"/>
    <d v="1899-12-30T12:21:54"/>
    <d v="1899-12-30T12:27:38"/>
    <d v="1899-12-30T00:05:44"/>
  </r>
  <r>
    <x v="0"/>
    <d v="2017-07-21T00:00:00"/>
    <d v="1899-12-30T12:27:53"/>
    <d v="1899-12-30T12:36:51"/>
    <d v="1899-12-30T00:08:58"/>
  </r>
  <r>
    <x v="0"/>
    <d v="2017-07-21T00:00:00"/>
    <d v="1899-12-30T12:32:18"/>
    <d v="1899-12-30T12:38:37"/>
    <d v="1899-12-30T00:06:19"/>
  </r>
  <r>
    <x v="0"/>
    <d v="2017-07-21T00:00:00"/>
    <d v="1899-12-30T12:35:34"/>
    <d v="1899-12-30T12:46:21"/>
    <d v="1899-12-30T00:10:47"/>
  </r>
  <r>
    <x v="0"/>
    <d v="2017-07-21T00:00:00"/>
    <d v="1899-12-30T12:39:36"/>
    <d v="1899-12-30T12:43:42"/>
    <d v="1899-12-30T00:04:06"/>
  </r>
  <r>
    <x v="0"/>
    <d v="2017-07-21T00:00:00"/>
    <d v="1899-12-30T12:46:40"/>
    <d v="1899-12-30T12:54:31"/>
    <d v="1899-12-30T00:07:51"/>
  </r>
  <r>
    <x v="0"/>
    <d v="2017-07-21T00:00:00"/>
    <d v="1899-12-30T12:54:53"/>
    <d v="1899-12-30T13:02:52"/>
    <d v="1899-12-30T00:07:59"/>
  </r>
  <r>
    <x v="0"/>
    <d v="2017-07-21T00:00:00"/>
    <d v="1899-12-30T12:55:10"/>
    <d v="1899-12-30T12:57:35"/>
    <d v="1899-12-30T00:02:25"/>
  </r>
  <r>
    <x v="0"/>
    <d v="2017-07-21T00:00:00"/>
    <d v="1899-12-30T13:00:58"/>
    <d v="1899-12-30T13:14:08"/>
    <d v="1899-12-30T00:13:10"/>
  </r>
  <r>
    <x v="0"/>
    <d v="2017-07-21T00:00:00"/>
    <d v="1899-12-30T13:06:42"/>
    <d v="1899-12-30T13:21:24"/>
    <d v="1899-12-30T00:14:42"/>
  </r>
  <r>
    <x v="0"/>
    <d v="2017-07-21T00:00:00"/>
    <d v="1899-12-30T13:08:34"/>
    <d v="1899-12-30T13:18:23"/>
    <d v="1899-12-30T00:09:49"/>
  </r>
  <r>
    <x v="0"/>
    <d v="2017-07-21T00:00:00"/>
    <d v="1899-12-30T13:11:20"/>
    <d v="1899-12-30T13:23:17"/>
    <d v="1899-12-30T00:11:57"/>
  </r>
  <r>
    <x v="0"/>
    <d v="2017-07-21T00:00:00"/>
    <d v="1899-12-30T13:16:29"/>
    <d v="1899-12-30T13:18:46"/>
    <d v="1899-12-30T00:02:17"/>
  </r>
  <r>
    <x v="0"/>
    <d v="2017-07-21T00:00:00"/>
    <d v="1899-12-30T13:21:24"/>
    <d v="1899-12-30T13:35:52"/>
    <d v="1899-12-30T00:14:28"/>
  </r>
  <r>
    <x v="0"/>
    <d v="2017-07-21T00:00:00"/>
    <d v="1899-12-30T13:22:48"/>
    <d v="1899-12-30T13:32:26"/>
    <d v="1899-12-30T00:09:38"/>
  </r>
  <r>
    <x v="0"/>
    <d v="2017-07-21T00:00:00"/>
    <d v="1899-12-30T13:30:41"/>
    <d v="1899-12-30T13:37:14"/>
    <d v="1899-12-30T00:06:33"/>
  </r>
  <r>
    <x v="0"/>
    <d v="2017-07-21T00:00:00"/>
    <d v="1899-12-30T13:34:44"/>
    <d v="1899-12-30T13:48:16"/>
    <d v="1899-12-30T00:13:32"/>
  </r>
  <r>
    <x v="0"/>
    <d v="2017-07-21T00:00:00"/>
    <d v="1899-12-30T13:42:47"/>
    <d v="1899-12-30T13:56:45"/>
    <d v="1899-12-30T00:13:58"/>
  </r>
  <r>
    <x v="0"/>
    <d v="2017-07-21T00:00:00"/>
    <d v="1899-12-30T13:48:43"/>
    <d v="1899-12-30T13:54:08"/>
    <d v="1899-12-30T00:05:25"/>
  </r>
  <r>
    <x v="0"/>
    <d v="2017-07-21T00:00:00"/>
    <d v="1899-12-30T13:52:44"/>
    <d v="1899-12-30T14:08:45"/>
    <d v="1899-12-30T00:16:01"/>
  </r>
  <r>
    <x v="0"/>
    <d v="2017-07-21T00:00:00"/>
    <d v="1899-12-30T13:54:58"/>
    <d v="1899-12-30T14:06:06"/>
    <d v="1899-12-30T00:11:08"/>
  </r>
  <r>
    <x v="0"/>
    <d v="2017-07-21T00:00:00"/>
    <d v="1899-12-30T14:02:42"/>
    <d v="1899-12-30T14:18:55"/>
    <d v="1899-12-30T00:16:13"/>
  </r>
  <r>
    <x v="0"/>
    <d v="2017-07-21T00:00:00"/>
    <d v="1899-12-30T14:09:59"/>
    <d v="1899-12-30T14:19:00"/>
    <d v="1899-12-30T00:09:01"/>
  </r>
  <r>
    <x v="0"/>
    <d v="2017-07-21T00:00:00"/>
    <d v="1899-12-30T14:15:23"/>
    <d v="1899-12-30T14:24:11"/>
    <d v="1899-12-30T00:08:48"/>
  </r>
  <r>
    <x v="1"/>
    <d v="2017-07-21T00:00:00"/>
    <d v="1899-12-30T14:19:52"/>
    <d v="1899-12-30T14:27:47"/>
    <d v="1899-12-30T00:07:55"/>
  </r>
  <r>
    <x v="0"/>
    <d v="2017-07-21T00:00:00"/>
    <d v="1899-12-30T14:26:40"/>
    <d v="1899-12-30T14:38:43"/>
    <d v="1899-12-30T00:12:03"/>
  </r>
  <r>
    <x v="0"/>
    <d v="2017-07-21T00:00:00"/>
    <d v="1899-12-30T14:26:50"/>
    <d v="1899-12-30T14:29:08"/>
    <d v="1899-12-30T00:02:18"/>
  </r>
  <r>
    <x v="0"/>
    <d v="2017-07-21T00:00:00"/>
    <d v="1899-12-30T14:30:42"/>
    <d v="1899-12-30T14:36:46"/>
    <d v="1899-12-30T00:06:04"/>
  </r>
  <r>
    <x v="0"/>
    <d v="2017-07-21T00:00:00"/>
    <d v="1899-12-30T14:35:16"/>
    <d v="1899-12-30T14:43:10"/>
    <d v="1899-12-30T00:07:54"/>
  </r>
  <r>
    <x v="0"/>
    <d v="2017-07-21T00:00:00"/>
    <d v="1899-12-30T14:41:33"/>
    <d v="1899-12-30T14:50:10"/>
    <d v="1899-12-30T00:08:37"/>
  </r>
  <r>
    <x v="0"/>
    <d v="2017-07-21T00:00:00"/>
    <d v="1899-12-30T14:45:15"/>
    <d v="1899-12-30T14:58:51"/>
    <d v="1899-12-30T00:13:36"/>
  </r>
  <r>
    <x v="0"/>
    <d v="2017-07-21T00:00:00"/>
    <d v="1899-12-30T14:48:21"/>
    <d v="1899-12-30T14:56:59"/>
    <d v="1899-12-30T00:08:38"/>
  </r>
  <r>
    <x v="0"/>
    <d v="2017-07-21T00:00:00"/>
    <d v="1899-12-30T14:53:47"/>
    <d v="1899-12-30T14:57:00"/>
    <d v="1899-12-30T00:03:13"/>
  </r>
  <r>
    <x v="0"/>
    <d v="2017-07-21T00:00:00"/>
    <d v="1899-12-30T14:59:47"/>
    <d v="1899-12-30T15:05:01"/>
    <d v="1899-12-30T00:05:14"/>
  </r>
  <r>
    <x v="0"/>
    <d v="2017-07-21T00:00:00"/>
    <d v="1899-12-30T15:01:37"/>
    <d v="1899-12-30T15:04:50"/>
    <d v="1899-12-30T00:03:13"/>
  </r>
  <r>
    <x v="0"/>
    <d v="2017-07-24T00:00:00"/>
    <d v="1899-12-30T08:04:12"/>
    <d v="1899-12-30T08:19:15"/>
    <d v="1899-12-30T00:15:03"/>
  </r>
  <r>
    <x v="0"/>
    <d v="2017-07-24T00:00:00"/>
    <d v="1899-12-30T08:05:41"/>
    <d v="1899-12-30T08:13:48"/>
    <d v="1899-12-30T00:08:07"/>
  </r>
  <r>
    <x v="0"/>
    <d v="2017-07-24T00:00:00"/>
    <d v="1899-12-30T08:09:59"/>
    <d v="1899-12-30T08:13:12"/>
    <d v="1899-12-30T00:03:13"/>
  </r>
  <r>
    <x v="0"/>
    <d v="2017-07-24T00:00:00"/>
    <d v="1899-12-30T08:16:44"/>
    <d v="1899-12-30T08:19:22"/>
    <d v="1899-12-30T00:02:38"/>
  </r>
  <r>
    <x v="0"/>
    <d v="2017-07-24T00:00:00"/>
    <d v="1899-12-30T08:21:14"/>
    <d v="1899-12-30T08:29:57"/>
    <d v="1899-12-30T00:08:43"/>
  </r>
  <r>
    <x v="0"/>
    <d v="2017-07-24T00:00:00"/>
    <d v="1899-12-30T08:22:16"/>
    <d v="1899-12-30T08:34:04"/>
    <d v="1899-12-30T00:11:48"/>
  </r>
  <r>
    <x v="0"/>
    <d v="2017-07-24T00:00:00"/>
    <d v="1899-12-30T08:24:36"/>
    <d v="1899-12-30T08:36:01"/>
    <d v="1899-12-30T00:11:25"/>
  </r>
  <r>
    <x v="0"/>
    <d v="2017-07-24T00:00:00"/>
    <d v="1899-12-30T08:25:52"/>
    <d v="1899-12-30T08:33:01"/>
    <d v="1899-12-30T00:07:09"/>
  </r>
  <r>
    <x v="0"/>
    <d v="2017-07-24T00:00:00"/>
    <d v="1899-12-30T08:33:25"/>
    <d v="1899-12-30T08:36:27"/>
    <d v="1899-12-30T00:03:02"/>
  </r>
  <r>
    <x v="0"/>
    <d v="2017-07-24T00:00:00"/>
    <d v="1899-12-30T08:38:17"/>
    <d v="1899-12-30T08:51:05"/>
    <d v="1899-12-30T00:12:48"/>
  </r>
  <r>
    <x v="0"/>
    <d v="2017-07-24T00:00:00"/>
    <d v="1899-12-30T08:39:17"/>
    <d v="1899-12-30T08:48:01"/>
    <d v="1899-12-30T00:08:44"/>
  </r>
  <r>
    <x v="0"/>
    <d v="2017-07-24T00:00:00"/>
    <d v="1899-12-30T08:41:54"/>
    <d v="1899-12-30T08:52:42"/>
    <d v="1899-12-30T00:10:48"/>
  </r>
  <r>
    <x v="0"/>
    <d v="2017-07-24T00:00:00"/>
    <d v="1899-12-30T08:43:13"/>
    <d v="1899-12-30T08:52:21"/>
    <d v="1899-12-30T00:09:08"/>
  </r>
  <r>
    <x v="0"/>
    <d v="2017-07-24T00:00:00"/>
    <d v="1899-12-30T08:51:11"/>
    <d v="1899-12-30T08:59:11"/>
    <d v="1899-12-30T00:08:00"/>
  </r>
  <r>
    <x v="0"/>
    <d v="2017-07-24T00:00:00"/>
    <d v="1899-12-30T08:53:10"/>
    <d v="1899-12-30T09:05:08"/>
    <d v="1899-12-30T00:11:58"/>
  </r>
  <r>
    <x v="0"/>
    <d v="2017-07-24T00:00:00"/>
    <d v="1899-12-30T08:54:58"/>
    <d v="1899-12-30T08:56:21"/>
    <d v="1899-12-30T00:01:23"/>
  </r>
  <r>
    <x v="0"/>
    <d v="2017-07-24T00:00:00"/>
    <d v="1899-12-30T08:57:04"/>
    <d v="1899-12-30T09:13:09"/>
    <d v="1899-12-30T00:16:05"/>
  </r>
  <r>
    <x v="0"/>
    <d v="2017-07-24T00:00:00"/>
    <d v="1899-12-30T09:03:56"/>
    <d v="1899-12-30T09:17:00"/>
    <d v="1899-12-30T00:13:04"/>
  </r>
  <r>
    <x v="0"/>
    <d v="2017-07-24T00:00:00"/>
    <d v="1899-12-30T09:06:58"/>
    <d v="1899-12-30T09:20:35"/>
    <d v="1899-12-30T00:13:37"/>
  </r>
  <r>
    <x v="0"/>
    <d v="2017-07-24T00:00:00"/>
    <d v="1899-12-30T09:07:52"/>
    <d v="1899-12-30T09:19:15"/>
    <d v="1899-12-30T00:11:23"/>
  </r>
  <r>
    <x v="0"/>
    <d v="2017-07-24T00:00:00"/>
    <d v="1899-12-30T09:09:27"/>
    <d v="1899-12-30T09:20:39"/>
    <d v="1899-12-30T00:11:12"/>
  </r>
  <r>
    <x v="0"/>
    <d v="2017-07-24T00:00:00"/>
    <d v="1899-12-30T09:12:40"/>
    <d v="1899-12-30T09:27:09"/>
    <d v="1899-12-30T00:14:29"/>
  </r>
  <r>
    <x v="0"/>
    <d v="2017-07-24T00:00:00"/>
    <d v="1899-12-30T09:16:21"/>
    <d v="1899-12-30T09:27:03"/>
    <d v="1899-12-30T00:10:42"/>
  </r>
  <r>
    <x v="0"/>
    <d v="2017-07-24T00:00:00"/>
    <d v="1899-12-30T09:24:37"/>
    <d v="1899-12-30T09:31:17"/>
    <d v="1899-12-30T00:06:40"/>
  </r>
  <r>
    <x v="0"/>
    <d v="2017-07-24T00:00:00"/>
    <d v="1899-12-30T09:27:07"/>
    <d v="1899-12-30T09:30:41"/>
    <d v="1899-12-30T00:03:34"/>
  </r>
  <r>
    <x v="0"/>
    <d v="2017-07-24T00:00:00"/>
    <d v="1899-12-30T09:27:14"/>
    <d v="1899-12-30T09:28:29"/>
    <d v="1899-12-30T00:01:15"/>
  </r>
  <r>
    <x v="0"/>
    <d v="2017-07-24T00:00:00"/>
    <d v="1899-12-30T09:29:02"/>
    <d v="1899-12-30T09:44:21"/>
    <d v="1899-12-30T00:15:19"/>
  </r>
  <r>
    <x v="0"/>
    <d v="2017-07-24T00:00:00"/>
    <d v="1899-12-30T09:30:27"/>
    <d v="1899-12-30T09:35:40"/>
    <d v="1899-12-30T00:05:13"/>
  </r>
  <r>
    <x v="0"/>
    <d v="2017-07-24T00:00:00"/>
    <d v="1899-12-30T09:34:03"/>
    <d v="1899-12-30T09:42:21"/>
    <d v="1899-12-30T00:08:18"/>
  </r>
  <r>
    <x v="0"/>
    <d v="2017-07-24T00:00:00"/>
    <d v="1899-12-30T09:35:22"/>
    <d v="1899-12-30T09:47:34"/>
    <d v="1899-12-30T00:12:12"/>
  </r>
  <r>
    <x v="0"/>
    <d v="2017-07-24T00:00:00"/>
    <d v="1899-12-30T09:39:48"/>
    <d v="1899-12-30T09:47:53"/>
    <d v="1899-12-30T00:08:05"/>
  </r>
  <r>
    <x v="0"/>
    <d v="2017-07-24T00:00:00"/>
    <d v="1899-12-30T09:45:14"/>
    <d v="1899-12-30T09:53:06"/>
    <d v="1899-12-30T00:07:52"/>
  </r>
  <r>
    <x v="0"/>
    <d v="2017-07-24T00:00:00"/>
    <d v="1899-12-30T09:49:24"/>
    <d v="1899-12-30T10:04:21"/>
    <d v="1899-12-30T00:14:57"/>
  </r>
  <r>
    <x v="0"/>
    <d v="2017-07-24T00:00:00"/>
    <d v="1899-12-30T09:55:28"/>
    <d v="1899-12-30T10:01:47"/>
    <d v="1899-12-30T00:06:19"/>
  </r>
  <r>
    <x v="0"/>
    <d v="2017-07-24T00:00:00"/>
    <d v="1899-12-30T10:02:41"/>
    <d v="1899-12-30T10:08:26"/>
    <d v="1899-12-30T00:05:45"/>
  </r>
  <r>
    <x v="0"/>
    <d v="2017-07-24T00:00:00"/>
    <d v="1899-12-30T10:08:17"/>
    <d v="1899-12-30T10:17:14"/>
    <d v="1899-12-30T00:08:57"/>
  </r>
  <r>
    <x v="0"/>
    <d v="2017-07-24T00:00:00"/>
    <d v="1899-12-30T10:12:53"/>
    <d v="1899-12-30T10:16:19"/>
    <d v="1899-12-30T00:03:26"/>
  </r>
  <r>
    <x v="0"/>
    <d v="2017-07-24T00:00:00"/>
    <d v="1899-12-30T10:12:55"/>
    <d v="1899-12-30T10:14:27"/>
    <d v="1899-12-30T00:01:32"/>
  </r>
  <r>
    <x v="0"/>
    <d v="2017-07-24T00:00:00"/>
    <d v="1899-12-30T10:18:30"/>
    <d v="1899-12-30T10:34:27"/>
    <d v="1899-12-30T00:15:57"/>
  </r>
  <r>
    <x v="0"/>
    <d v="2017-07-24T00:00:00"/>
    <d v="1899-12-30T10:21:07"/>
    <d v="1899-12-30T10:30:11"/>
    <d v="1899-12-30T00:09:04"/>
  </r>
  <r>
    <x v="0"/>
    <d v="2017-07-24T00:00:00"/>
    <d v="1899-12-30T10:28:23"/>
    <d v="1899-12-30T10:41:11"/>
    <d v="1899-12-30T00:12:48"/>
  </r>
  <r>
    <x v="0"/>
    <d v="2017-07-24T00:00:00"/>
    <d v="1899-12-30T10:34:46"/>
    <d v="1899-12-30T10:44:39"/>
    <d v="1899-12-30T00:09:53"/>
  </r>
  <r>
    <x v="0"/>
    <d v="2017-07-24T00:00:00"/>
    <d v="1899-12-30T10:36:16"/>
    <d v="1899-12-30T10:42:44"/>
    <d v="1899-12-30T00:06:28"/>
  </r>
  <r>
    <x v="0"/>
    <d v="2017-07-24T00:00:00"/>
    <d v="1899-12-30T10:42:40"/>
    <d v="1899-12-30T10:44:27"/>
    <d v="1899-12-30T00:01:47"/>
  </r>
  <r>
    <x v="0"/>
    <d v="2017-07-24T00:00:00"/>
    <d v="1899-12-30T10:43:24"/>
    <d v="1899-12-30T10:55:28"/>
    <d v="1899-12-30T00:12:04"/>
  </r>
  <r>
    <x v="0"/>
    <d v="2017-07-24T00:00:00"/>
    <d v="1899-12-30T10:46:36"/>
    <d v="1899-12-30T11:02:11"/>
    <d v="1899-12-30T00:15:35"/>
  </r>
  <r>
    <x v="0"/>
    <d v="2017-07-24T00:00:00"/>
    <d v="1899-12-30T10:53:39"/>
    <d v="1899-12-30T10:59:49"/>
    <d v="1899-12-30T00:06:10"/>
  </r>
  <r>
    <x v="0"/>
    <d v="2017-07-24T00:00:00"/>
    <d v="1899-12-30T10:54:56"/>
    <d v="1899-12-30T11:00:26"/>
    <d v="1899-12-30T00:05:30"/>
  </r>
  <r>
    <x v="0"/>
    <d v="2017-07-24T00:00:00"/>
    <d v="1899-12-30T11:01:24"/>
    <d v="1899-12-30T11:15:09"/>
    <d v="1899-12-30T00:13:45"/>
  </r>
  <r>
    <x v="0"/>
    <d v="2017-07-24T00:00:00"/>
    <d v="1899-12-30T11:09:27"/>
    <d v="1899-12-30T11:24:26"/>
    <d v="1899-12-30T00:14:59"/>
  </r>
  <r>
    <x v="0"/>
    <d v="2017-07-24T00:00:00"/>
    <d v="1899-12-30T11:16:23"/>
    <d v="1899-12-30T11:18:29"/>
    <d v="1899-12-30T00:02:06"/>
  </r>
  <r>
    <x v="0"/>
    <d v="2017-07-24T00:00:00"/>
    <d v="1899-12-30T11:19:31"/>
    <d v="1899-12-30T11:20:33"/>
    <d v="1899-12-30T00:01:02"/>
  </r>
  <r>
    <x v="0"/>
    <d v="2017-07-24T00:00:00"/>
    <d v="1899-12-30T11:25:18"/>
    <d v="1899-12-30T11:25:45"/>
    <d v="1899-12-30T00:00:27"/>
  </r>
  <r>
    <x v="0"/>
    <d v="2017-07-24T00:00:00"/>
    <d v="1899-12-30T11:32:23"/>
    <d v="1899-12-30T11:47:33"/>
    <d v="1899-12-30T00:15:10"/>
  </r>
  <r>
    <x v="0"/>
    <d v="2017-07-24T00:00:00"/>
    <d v="1899-12-30T11:36:22"/>
    <d v="1899-12-30T11:45:06"/>
    <d v="1899-12-30T00:08:44"/>
  </r>
  <r>
    <x v="0"/>
    <d v="2017-07-24T00:00:00"/>
    <d v="1899-12-30T11:40:47"/>
    <d v="1899-12-30T11:53:13"/>
    <d v="1899-12-30T00:12:26"/>
  </r>
  <r>
    <x v="0"/>
    <d v="2017-07-24T00:00:00"/>
    <d v="1899-12-30T11:42:18"/>
    <d v="1899-12-30T11:54:26"/>
    <d v="1899-12-30T00:12:08"/>
  </r>
  <r>
    <x v="0"/>
    <d v="2017-07-24T00:00:00"/>
    <d v="1899-12-30T11:43:15"/>
    <d v="1899-12-30T11:44:04"/>
    <d v="1899-12-30T00:00:49"/>
  </r>
  <r>
    <x v="0"/>
    <d v="2017-07-24T00:00:00"/>
    <d v="1899-12-30T11:46:30"/>
    <d v="1899-12-30T11:56:39"/>
    <d v="1899-12-30T00:10:09"/>
  </r>
  <r>
    <x v="0"/>
    <d v="2017-07-24T00:00:00"/>
    <d v="1899-12-30T11:48:54"/>
    <d v="1899-12-30T11:53:35"/>
    <d v="1899-12-30T00:04:41"/>
  </r>
  <r>
    <x v="0"/>
    <d v="2017-07-24T00:00:00"/>
    <d v="1899-12-30T11:49:33"/>
    <d v="1899-12-30T12:04:33"/>
    <d v="1899-12-30T00:15:00"/>
  </r>
  <r>
    <x v="0"/>
    <d v="2017-07-24T00:00:00"/>
    <d v="1899-12-30T11:51:36"/>
    <d v="1899-12-30T11:52:18"/>
    <d v="1899-12-30T00:00:42"/>
  </r>
  <r>
    <x v="0"/>
    <d v="2017-07-24T00:00:00"/>
    <d v="1899-12-30T11:54:43"/>
    <d v="1899-12-30T12:03:01"/>
    <d v="1899-12-30T00:08:18"/>
  </r>
  <r>
    <x v="0"/>
    <d v="2017-07-24T00:00:00"/>
    <d v="1899-12-30T11:57:57"/>
    <d v="1899-12-30T12:02:49"/>
    <d v="1899-12-30T00:04:52"/>
  </r>
  <r>
    <x v="0"/>
    <d v="2017-07-24T00:00:00"/>
    <d v="1899-12-30T12:04:25"/>
    <d v="1899-12-30T12:19:12"/>
    <d v="1899-12-30T00:14:47"/>
  </r>
  <r>
    <x v="0"/>
    <d v="2017-07-24T00:00:00"/>
    <d v="1899-12-30T12:08:24"/>
    <d v="1899-12-30T12:20:16"/>
    <d v="1899-12-30T00:11:52"/>
  </r>
  <r>
    <x v="0"/>
    <d v="2017-07-24T00:00:00"/>
    <d v="1899-12-30T12:08:48"/>
    <d v="1899-12-30T12:19:30"/>
    <d v="1899-12-30T00:10:42"/>
  </r>
  <r>
    <x v="0"/>
    <d v="2017-07-24T00:00:00"/>
    <d v="1899-12-30T12:10:17"/>
    <d v="1899-12-30T12:17:45"/>
    <d v="1899-12-30T00:07:28"/>
  </r>
  <r>
    <x v="0"/>
    <d v="2017-07-24T00:00:00"/>
    <d v="1899-12-30T12:18:18"/>
    <d v="1899-12-30T12:34:40"/>
    <d v="1899-12-30T00:16:22"/>
  </r>
  <r>
    <x v="0"/>
    <d v="2017-07-24T00:00:00"/>
    <d v="1899-12-30T12:21:47"/>
    <d v="1899-12-30T12:28:09"/>
    <d v="1899-12-30T00:06:22"/>
  </r>
  <r>
    <x v="0"/>
    <d v="2017-07-24T00:00:00"/>
    <d v="1899-12-30T12:25:09"/>
    <d v="1899-12-30T12:38:41"/>
    <d v="1899-12-30T00:13:32"/>
  </r>
  <r>
    <x v="0"/>
    <d v="2017-07-24T00:00:00"/>
    <d v="1899-12-30T12:28:16"/>
    <d v="1899-12-30T12:43:38"/>
    <d v="1899-12-30T00:15:22"/>
  </r>
  <r>
    <x v="0"/>
    <d v="2017-07-24T00:00:00"/>
    <d v="1899-12-30T12:36:18"/>
    <d v="1899-12-30T12:41:17"/>
    <d v="1899-12-30T00:04:59"/>
  </r>
  <r>
    <x v="0"/>
    <d v="2017-07-24T00:00:00"/>
    <d v="1899-12-30T12:41:04"/>
    <d v="1899-12-30T12:48:14"/>
    <d v="1899-12-30T00:07:10"/>
  </r>
  <r>
    <x v="0"/>
    <d v="2017-07-24T00:00:00"/>
    <d v="1899-12-30T12:49:01"/>
    <d v="1899-12-30T13:05:21"/>
    <d v="1899-12-30T00:16:20"/>
  </r>
  <r>
    <x v="0"/>
    <d v="2017-07-24T00:00:00"/>
    <d v="1899-12-30T12:56:52"/>
    <d v="1899-12-30T13:09:46"/>
    <d v="1899-12-30T00:12:54"/>
  </r>
  <r>
    <x v="0"/>
    <d v="2017-07-24T00:00:00"/>
    <d v="1899-12-30T12:58:28"/>
    <d v="1899-12-30T13:01:04"/>
    <d v="1899-12-30T00:02:36"/>
  </r>
  <r>
    <x v="0"/>
    <d v="2017-07-24T00:00:00"/>
    <d v="1899-12-30T13:03:31"/>
    <d v="1899-12-30T13:14:59"/>
    <d v="1899-12-30T00:11:28"/>
  </r>
  <r>
    <x v="0"/>
    <d v="2017-07-24T00:00:00"/>
    <d v="1899-12-30T13:04:29"/>
    <d v="1899-12-30T13:13:32"/>
    <d v="1899-12-30T00:09:03"/>
  </r>
  <r>
    <x v="0"/>
    <d v="2017-07-24T00:00:00"/>
    <d v="1899-12-30T13:08:17"/>
    <d v="1899-12-30T13:10:47"/>
    <d v="1899-12-30T00:02:30"/>
  </r>
  <r>
    <x v="0"/>
    <d v="2017-07-24T00:00:00"/>
    <d v="1899-12-30T13:08:44"/>
    <d v="1899-12-30T13:13:04"/>
    <d v="1899-12-30T00:04:20"/>
  </r>
  <r>
    <x v="0"/>
    <d v="2017-07-24T00:00:00"/>
    <d v="1899-12-30T13:14:13"/>
    <d v="1899-12-30T13:27:42"/>
    <d v="1899-12-30T00:13:29"/>
  </r>
  <r>
    <x v="0"/>
    <d v="2017-07-24T00:00:00"/>
    <d v="1899-12-30T13:19:05"/>
    <d v="1899-12-30T13:23:20"/>
    <d v="1899-12-30T00:04:15"/>
  </r>
  <r>
    <x v="0"/>
    <d v="2017-07-24T00:00:00"/>
    <d v="1899-12-30T13:26:49"/>
    <d v="1899-12-30T13:42:39"/>
    <d v="1899-12-30T00:15:50"/>
  </r>
  <r>
    <x v="0"/>
    <d v="2017-07-24T00:00:00"/>
    <d v="1899-12-30T13:29:14"/>
    <d v="1899-12-30T13:41:05"/>
    <d v="1899-12-30T00:11:51"/>
  </r>
  <r>
    <x v="0"/>
    <d v="2017-07-24T00:00:00"/>
    <d v="1899-12-30T13:31:25"/>
    <d v="1899-12-30T13:37:24"/>
    <d v="1899-12-30T00:05:59"/>
  </r>
  <r>
    <x v="0"/>
    <d v="2017-07-24T00:00:00"/>
    <d v="1899-12-30T13:39:04"/>
    <d v="1899-12-30T13:39:51"/>
    <d v="1899-12-30T00:00:47"/>
  </r>
  <r>
    <x v="0"/>
    <d v="2017-07-24T00:00:00"/>
    <d v="1899-12-30T13:40:31"/>
    <d v="1899-12-30T13:52:42"/>
    <d v="1899-12-30T00:12:11"/>
  </r>
  <r>
    <x v="0"/>
    <d v="2017-07-24T00:00:00"/>
    <d v="1899-12-30T13:44:35"/>
    <d v="1899-12-30T13:52:59"/>
    <d v="1899-12-30T00:08:24"/>
  </r>
  <r>
    <x v="0"/>
    <d v="2017-07-24T00:00:00"/>
    <d v="1899-12-30T13:45:26"/>
    <d v="1899-12-30T13:47:27"/>
    <d v="1899-12-30T00:02:01"/>
  </r>
  <r>
    <x v="0"/>
    <d v="2017-07-24T00:00:00"/>
    <d v="1899-12-30T13:45:27"/>
    <d v="1899-12-30T13:56:29"/>
    <d v="1899-12-30T00:11:02"/>
  </r>
  <r>
    <x v="0"/>
    <d v="2017-07-24T00:00:00"/>
    <d v="1899-12-30T13:49:11"/>
    <d v="1899-12-30T13:50:47"/>
    <d v="1899-12-30T00:01:36"/>
  </r>
  <r>
    <x v="0"/>
    <d v="2017-07-24T00:00:00"/>
    <d v="1899-12-30T13:50:19"/>
    <d v="1899-12-30T13:58:48"/>
    <d v="1899-12-30T00:08:29"/>
  </r>
  <r>
    <x v="0"/>
    <d v="2017-07-24T00:00:00"/>
    <d v="1899-12-30T13:53:03"/>
    <d v="1899-12-30T14:01:46"/>
    <d v="1899-12-30T00:08:43"/>
  </r>
  <r>
    <x v="0"/>
    <d v="2017-07-24T00:00:00"/>
    <d v="1899-12-30T13:59:35"/>
    <d v="1899-12-30T14:02:40"/>
    <d v="1899-12-30T00:03:05"/>
  </r>
  <r>
    <x v="0"/>
    <d v="2017-07-24T00:00:00"/>
    <d v="1899-12-30T14:04:36"/>
    <d v="1899-12-30T14:12:10"/>
    <d v="1899-12-30T00:07:34"/>
  </r>
  <r>
    <x v="0"/>
    <d v="2017-07-24T00:00:00"/>
    <d v="1899-12-30T14:09:20"/>
    <d v="1899-12-30T14:10:08"/>
    <d v="1899-12-30T00:00:48"/>
  </r>
  <r>
    <x v="0"/>
    <d v="2017-07-24T00:00:00"/>
    <d v="1899-12-30T14:14:17"/>
    <d v="1899-12-30T14:22:05"/>
    <d v="1899-12-30T00:07:48"/>
  </r>
  <r>
    <x v="0"/>
    <d v="2017-07-24T00:00:00"/>
    <d v="1899-12-30T14:14:40"/>
    <d v="1899-12-30T14:26:21"/>
    <d v="1899-12-30T00:11:41"/>
  </r>
  <r>
    <x v="0"/>
    <d v="2017-07-24T00:00:00"/>
    <d v="1899-12-30T14:19:09"/>
    <d v="1899-12-30T14:29:11"/>
    <d v="1899-12-30T00:10:02"/>
  </r>
  <r>
    <x v="0"/>
    <d v="2017-07-24T00:00:00"/>
    <d v="1899-12-30T14:22:03"/>
    <d v="1899-12-30T14:32:09"/>
    <d v="1899-12-30T00:10:06"/>
  </r>
  <r>
    <x v="0"/>
    <d v="2017-07-24T00:00:00"/>
    <d v="1899-12-30T14:24:50"/>
    <d v="1899-12-30T14:39:28"/>
    <d v="1899-12-30T00:14:38"/>
  </r>
  <r>
    <x v="0"/>
    <d v="2017-07-24T00:00:00"/>
    <d v="1899-12-30T14:27:03"/>
    <d v="1899-12-30T14:28:04"/>
    <d v="1899-12-30T00:01:01"/>
  </r>
  <r>
    <x v="0"/>
    <d v="2017-07-24T00:00:00"/>
    <d v="1899-12-30T14:33:53"/>
    <d v="1899-12-30T14:40:36"/>
    <d v="1899-12-30T00:06:43"/>
  </r>
  <r>
    <x v="0"/>
    <d v="2017-07-24T00:00:00"/>
    <d v="1899-12-30T14:39:51"/>
    <d v="1899-12-30T14:53:50"/>
    <d v="1899-12-30T00:13:59"/>
  </r>
  <r>
    <x v="0"/>
    <d v="2017-07-24T00:00:00"/>
    <d v="1899-12-30T14:45:11"/>
    <d v="1899-12-30T14:56:09"/>
    <d v="1899-12-30T00:10:58"/>
  </r>
  <r>
    <x v="0"/>
    <d v="2017-07-24T00:00:00"/>
    <d v="1899-12-30T14:50:18"/>
    <d v="1899-12-30T14:54:07"/>
    <d v="1899-12-30T00:03:49"/>
  </r>
  <r>
    <x v="0"/>
    <d v="2017-07-24T00:00:00"/>
    <d v="1899-12-30T14:55:00"/>
    <d v="1899-12-30T15:01:03"/>
    <d v="1899-12-30T00:06:03"/>
  </r>
  <r>
    <x v="0"/>
    <d v="2017-07-24T00:00:00"/>
    <d v="1899-12-30T15:01:31"/>
    <d v="1899-12-30T15:16:38"/>
    <d v="1899-12-30T00:15:07"/>
  </r>
  <r>
    <x v="0"/>
    <d v="2017-07-25T00:00:00"/>
    <d v="1899-12-30T08:05:07"/>
    <d v="1899-12-30T08:16:07"/>
    <d v="1899-12-30T00:11:00"/>
  </r>
  <r>
    <x v="0"/>
    <d v="2017-07-25T00:00:00"/>
    <d v="1899-12-30T08:11:42"/>
    <d v="1899-12-30T08:18:54"/>
    <d v="1899-12-30T00:07:12"/>
  </r>
  <r>
    <x v="0"/>
    <d v="2017-07-25T00:00:00"/>
    <d v="1899-12-30T08:13:37"/>
    <d v="1899-12-30T08:14:56"/>
    <d v="1899-12-30T00:01:19"/>
  </r>
  <r>
    <x v="0"/>
    <d v="2017-07-25T00:00:00"/>
    <d v="1899-12-30T08:18:19"/>
    <d v="1899-12-30T08:34:43"/>
    <d v="1899-12-30T00:16:24"/>
  </r>
  <r>
    <x v="0"/>
    <d v="2017-07-25T00:00:00"/>
    <d v="1899-12-30T08:23:51"/>
    <d v="1899-12-30T08:27:05"/>
    <d v="1899-12-30T00:03:14"/>
  </r>
  <r>
    <x v="0"/>
    <d v="2017-07-25T00:00:00"/>
    <d v="1899-12-30T08:27:51"/>
    <d v="1899-12-30T08:40:52"/>
    <d v="1899-12-30T00:13:01"/>
  </r>
  <r>
    <x v="0"/>
    <d v="2017-07-25T00:00:00"/>
    <d v="1899-12-30T08:28:50"/>
    <d v="1899-12-30T08:43:09"/>
    <d v="1899-12-30T00:14:19"/>
  </r>
  <r>
    <x v="0"/>
    <d v="2017-07-25T00:00:00"/>
    <d v="1899-12-30T08:32:41"/>
    <d v="1899-12-30T08:37:22"/>
    <d v="1899-12-30T00:04:41"/>
  </r>
  <r>
    <x v="0"/>
    <d v="2017-07-25T00:00:00"/>
    <d v="1899-12-30T08:36:42"/>
    <d v="1899-12-30T08:43:52"/>
    <d v="1899-12-30T00:07:10"/>
  </r>
  <r>
    <x v="0"/>
    <d v="2017-07-25T00:00:00"/>
    <d v="1899-12-30T08:43:24"/>
    <d v="1899-12-30T08:59:59"/>
    <d v="1899-12-30T00:16:35"/>
  </r>
  <r>
    <x v="0"/>
    <d v="2017-07-25T00:00:00"/>
    <d v="1899-12-30T08:49:32"/>
    <d v="1899-12-30T08:54:30"/>
    <d v="1899-12-30T00:04:58"/>
  </r>
  <r>
    <x v="0"/>
    <d v="2017-07-25T00:00:00"/>
    <d v="1899-12-30T08:50:42"/>
    <d v="1899-12-30T08:53:51"/>
    <d v="1899-12-30T00:03:09"/>
  </r>
  <r>
    <x v="0"/>
    <d v="2017-07-25T00:00:00"/>
    <d v="1899-12-30T08:51:48"/>
    <d v="1899-12-30T09:01:40"/>
    <d v="1899-12-30T00:09:52"/>
  </r>
  <r>
    <x v="0"/>
    <d v="2017-07-25T00:00:00"/>
    <d v="1899-12-30T08:56:00"/>
    <d v="1899-12-30T09:05:31"/>
    <d v="1899-12-30T00:09:31"/>
  </r>
  <r>
    <x v="0"/>
    <d v="2017-07-25T00:00:00"/>
    <d v="1899-12-30T08:56:48"/>
    <d v="1899-12-30T09:04:12"/>
    <d v="1899-12-30T00:07:24"/>
  </r>
  <r>
    <x v="0"/>
    <d v="2017-07-25T00:00:00"/>
    <d v="1899-12-30T09:04:24"/>
    <d v="1899-12-30T09:18:18"/>
    <d v="1899-12-30T00:13:54"/>
  </r>
  <r>
    <x v="0"/>
    <d v="2017-07-25T00:00:00"/>
    <d v="1899-12-30T09:10:31"/>
    <d v="1899-12-30T09:25:50"/>
    <d v="1899-12-30T00:15:19"/>
  </r>
  <r>
    <x v="0"/>
    <d v="2017-07-25T00:00:00"/>
    <d v="1899-12-30T09:16:24"/>
    <d v="1899-12-30T09:21:22"/>
    <d v="1899-12-30T00:04:58"/>
  </r>
  <r>
    <x v="0"/>
    <d v="2017-07-25T00:00:00"/>
    <d v="1899-12-30T09:16:50"/>
    <d v="1899-12-30T09:23:35"/>
    <d v="1899-12-30T00:06:45"/>
  </r>
  <r>
    <x v="0"/>
    <d v="2017-07-25T00:00:00"/>
    <d v="1899-12-30T09:22:09"/>
    <d v="1899-12-30T09:33:05"/>
    <d v="1899-12-30T00:10:56"/>
  </r>
  <r>
    <x v="0"/>
    <d v="2017-07-25T00:00:00"/>
    <d v="1899-12-30T09:23:48"/>
    <d v="1899-12-30T09:29:39"/>
    <d v="1899-12-30T00:05:51"/>
  </r>
  <r>
    <x v="0"/>
    <d v="2017-07-25T00:00:00"/>
    <d v="1899-12-30T09:24:25"/>
    <d v="1899-12-30T09:27:23"/>
    <d v="1899-12-30T00:02:58"/>
  </r>
  <r>
    <x v="0"/>
    <d v="2017-07-25T00:00:00"/>
    <d v="1899-12-30T09:32:27"/>
    <d v="1899-12-30T09:42:07"/>
    <d v="1899-12-30T00:09:40"/>
  </r>
  <r>
    <x v="0"/>
    <d v="2017-07-25T00:00:00"/>
    <d v="1899-12-30T09:34:18"/>
    <d v="1899-12-30T09:39:31"/>
    <d v="1899-12-30T00:05:13"/>
  </r>
  <r>
    <x v="0"/>
    <d v="2017-07-25T00:00:00"/>
    <d v="1899-12-30T09:34:50"/>
    <d v="1899-12-30T09:49:27"/>
    <d v="1899-12-30T00:14:37"/>
  </r>
  <r>
    <x v="0"/>
    <d v="2017-07-25T00:00:00"/>
    <d v="1899-12-30T09:39:48"/>
    <d v="1899-12-30T09:45:10"/>
    <d v="1899-12-30T00:05:22"/>
  </r>
  <r>
    <x v="0"/>
    <d v="2017-07-25T00:00:00"/>
    <d v="1899-12-30T09:43:57"/>
    <d v="1899-12-30T09:51:54"/>
    <d v="1899-12-30T00:07:57"/>
  </r>
  <r>
    <x v="0"/>
    <d v="2017-07-25T00:00:00"/>
    <d v="1899-12-30T09:50:06"/>
    <d v="1899-12-30T09:54:02"/>
    <d v="1899-12-30T00:03:56"/>
  </r>
  <r>
    <x v="0"/>
    <d v="2017-07-25T00:00:00"/>
    <d v="1899-12-30T09:50:14"/>
    <d v="1899-12-30T09:52:40"/>
    <d v="1899-12-30T00:02:26"/>
  </r>
  <r>
    <x v="0"/>
    <d v="2017-07-25T00:00:00"/>
    <d v="1899-12-30T09:51:11"/>
    <d v="1899-12-30T09:59:20"/>
    <d v="1899-12-30T00:08:09"/>
  </r>
  <r>
    <x v="0"/>
    <d v="2017-07-25T00:00:00"/>
    <d v="1899-12-30T09:56:52"/>
    <d v="1899-12-30T10:10:09"/>
    <d v="1899-12-30T00:13:17"/>
  </r>
  <r>
    <x v="0"/>
    <d v="2017-07-25T00:00:00"/>
    <d v="1899-12-30T10:04:55"/>
    <d v="1899-12-30T10:05:45"/>
    <d v="1899-12-30T00:00:50"/>
  </r>
  <r>
    <x v="0"/>
    <d v="2017-07-25T00:00:00"/>
    <d v="1899-12-30T10:07:31"/>
    <d v="1899-12-30T10:21:12"/>
    <d v="1899-12-30T00:13:41"/>
  </r>
  <r>
    <x v="0"/>
    <d v="2017-07-25T00:00:00"/>
    <d v="1899-12-30T10:15:03"/>
    <d v="1899-12-30T10:25:41"/>
    <d v="1899-12-30T00:10:38"/>
  </r>
  <r>
    <x v="0"/>
    <d v="2017-07-25T00:00:00"/>
    <d v="1899-12-30T10:19:16"/>
    <d v="1899-12-30T10:31:31"/>
    <d v="1899-12-30T00:12:15"/>
  </r>
  <r>
    <x v="0"/>
    <d v="2017-07-25T00:00:00"/>
    <d v="1899-12-30T10:25:38"/>
    <d v="1899-12-30T10:39:58"/>
    <d v="1899-12-30T00:14:20"/>
  </r>
  <r>
    <x v="0"/>
    <d v="2017-07-25T00:00:00"/>
    <d v="1899-12-30T10:31:56"/>
    <d v="1899-12-30T10:40:17"/>
    <d v="1899-12-30T00:08:21"/>
  </r>
  <r>
    <x v="0"/>
    <d v="2017-07-25T00:00:00"/>
    <d v="1899-12-30T10:36:56"/>
    <d v="1899-12-30T10:50:40"/>
    <d v="1899-12-30T00:13:44"/>
  </r>
  <r>
    <x v="0"/>
    <d v="2017-07-25T00:00:00"/>
    <d v="1899-12-30T10:42:10"/>
    <d v="1899-12-30T10:49:26"/>
    <d v="1899-12-30T00:07:16"/>
  </r>
  <r>
    <x v="0"/>
    <d v="2017-07-25T00:00:00"/>
    <d v="1899-12-30T10:48:04"/>
    <d v="1899-12-30T10:56:11"/>
    <d v="1899-12-30T00:08:07"/>
  </r>
  <r>
    <x v="0"/>
    <d v="2017-07-25T00:00:00"/>
    <d v="1899-12-30T10:51:08"/>
    <d v="1899-12-30T10:57:51"/>
    <d v="1899-12-30T00:06:43"/>
  </r>
  <r>
    <x v="0"/>
    <d v="2017-07-25T00:00:00"/>
    <d v="1899-12-30T10:53:26"/>
    <d v="1899-12-30T10:53:54"/>
    <d v="1899-12-30T00:00:28"/>
  </r>
  <r>
    <x v="0"/>
    <d v="2017-07-25T00:00:00"/>
    <d v="1899-12-30T11:00:46"/>
    <d v="1899-12-30T11:11:29"/>
    <d v="1899-12-30T00:10:43"/>
  </r>
  <r>
    <x v="0"/>
    <d v="2017-07-25T00:00:00"/>
    <d v="1899-12-30T11:07:54"/>
    <d v="1899-12-30T11:24:18"/>
    <d v="1899-12-30T00:16:24"/>
  </r>
  <r>
    <x v="0"/>
    <d v="2017-07-25T00:00:00"/>
    <d v="1899-12-30T11:10:32"/>
    <d v="1899-12-30T11:17:13"/>
    <d v="1899-12-30T00:06:41"/>
  </r>
  <r>
    <x v="0"/>
    <d v="2017-07-25T00:00:00"/>
    <d v="1899-12-30T11:17:55"/>
    <d v="1899-12-30T11:24:33"/>
    <d v="1899-12-30T00:06:38"/>
  </r>
  <r>
    <x v="0"/>
    <d v="2017-07-25T00:00:00"/>
    <d v="1899-12-30T11:21:07"/>
    <d v="1899-12-30T11:24:46"/>
    <d v="1899-12-30T00:03:39"/>
  </r>
  <r>
    <x v="0"/>
    <d v="2017-07-25T00:00:00"/>
    <d v="1899-12-30T11:22:21"/>
    <d v="1899-12-30T11:24:05"/>
    <d v="1899-12-30T00:01:44"/>
  </r>
  <r>
    <x v="0"/>
    <d v="2017-07-25T00:00:00"/>
    <d v="1899-12-30T11:25:19"/>
    <d v="1899-12-30T11:27:23"/>
    <d v="1899-12-30T00:02:04"/>
  </r>
  <r>
    <x v="0"/>
    <d v="2017-07-25T00:00:00"/>
    <d v="1899-12-30T11:26:54"/>
    <d v="1899-12-30T11:41:04"/>
    <d v="1899-12-30T00:14:10"/>
  </r>
  <r>
    <x v="0"/>
    <d v="2017-07-25T00:00:00"/>
    <d v="1899-12-30T11:28:03"/>
    <d v="1899-12-30T11:37:20"/>
    <d v="1899-12-30T00:09:17"/>
  </r>
  <r>
    <x v="0"/>
    <d v="2017-07-25T00:00:00"/>
    <d v="1899-12-30T11:30:35"/>
    <d v="1899-12-30T11:34:52"/>
    <d v="1899-12-30T00:04:17"/>
  </r>
  <r>
    <x v="0"/>
    <d v="2017-07-25T00:00:00"/>
    <d v="1899-12-30T11:37:47"/>
    <d v="1899-12-30T11:43:28"/>
    <d v="1899-12-30T00:05:41"/>
  </r>
  <r>
    <x v="0"/>
    <d v="2017-07-25T00:00:00"/>
    <d v="1899-12-30T11:39:19"/>
    <d v="1899-12-30T11:55:30"/>
    <d v="1899-12-30T00:16:11"/>
  </r>
  <r>
    <x v="0"/>
    <d v="2017-07-25T00:00:00"/>
    <d v="1899-12-30T11:40:04"/>
    <d v="1899-12-30T11:52:29"/>
    <d v="1899-12-30T00:12:25"/>
  </r>
  <r>
    <x v="0"/>
    <d v="2017-07-25T00:00:00"/>
    <d v="1899-12-30T11:45:15"/>
    <d v="1899-12-30T11:53:14"/>
    <d v="1899-12-30T00:07:59"/>
  </r>
  <r>
    <x v="0"/>
    <d v="2017-07-25T00:00:00"/>
    <d v="1899-12-30T11:53:08"/>
    <d v="1899-12-30T11:59:28"/>
    <d v="1899-12-30T00:06:20"/>
  </r>
  <r>
    <x v="0"/>
    <d v="2017-07-25T00:00:00"/>
    <d v="1899-12-30T11:53:37"/>
    <d v="1899-12-30T11:58:57"/>
    <d v="1899-12-30T00:05:20"/>
  </r>
  <r>
    <x v="0"/>
    <d v="2017-07-25T00:00:00"/>
    <d v="1899-12-30T11:56:15"/>
    <d v="1899-12-30T11:56:56"/>
    <d v="1899-12-30T00:00:41"/>
  </r>
  <r>
    <x v="0"/>
    <d v="2017-07-25T00:00:00"/>
    <d v="1899-12-30T11:57:04"/>
    <d v="1899-12-30T12:07:38"/>
    <d v="1899-12-30T00:10:34"/>
  </r>
  <r>
    <x v="0"/>
    <d v="2017-07-25T00:00:00"/>
    <d v="1899-12-30T12:00:24"/>
    <d v="1899-12-30T12:14:10"/>
    <d v="1899-12-30T00:13:46"/>
  </r>
  <r>
    <x v="0"/>
    <d v="2017-07-25T00:00:00"/>
    <d v="1899-12-30T12:06:17"/>
    <d v="1899-12-30T12:19:17"/>
    <d v="1899-12-30T00:13:00"/>
  </r>
  <r>
    <x v="0"/>
    <d v="2017-07-25T00:00:00"/>
    <d v="1899-12-30T12:07:51"/>
    <d v="1899-12-30T12:10:58"/>
    <d v="1899-12-30T00:03:07"/>
  </r>
  <r>
    <x v="0"/>
    <d v="2017-07-25T00:00:00"/>
    <d v="1899-12-30T12:14:46"/>
    <d v="1899-12-30T12:30:44"/>
    <d v="1899-12-30T00:15:58"/>
  </r>
  <r>
    <x v="0"/>
    <d v="2017-07-25T00:00:00"/>
    <d v="1899-12-30T12:19:47"/>
    <d v="1899-12-30T12:33:11"/>
    <d v="1899-12-30T00:13:24"/>
  </r>
  <r>
    <x v="0"/>
    <d v="2017-07-25T00:00:00"/>
    <d v="1899-12-30T12:20:51"/>
    <d v="1899-12-30T12:25:56"/>
    <d v="1899-12-30T00:05:05"/>
  </r>
  <r>
    <x v="0"/>
    <d v="2017-07-25T00:00:00"/>
    <d v="1899-12-30T12:26:36"/>
    <d v="1899-12-30T12:38:33"/>
    <d v="1899-12-30T00:11:57"/>
  </r>
  <r>
    <x v="0"/>
    <d v="2017-07-25T00:00:00"/>
    <d v="1899-12-30T12:31:02"/>
    <d v="1899-12-30T12:38:25"/>
    <d v="1899-12-30T00:07:23"/>
  </r>
  <r>
    <x v="0"/>
    <d v="2017-07-25T00:00:00"/>
    <d v="1899-12-30T12:32:09"/>
    <d v="1899-12-30T12:38:24"/>
    <d v="1899-12-30T00:06:15"/>
  </r>
  <r>
    <x v="0"/>
    <d v="2017-07-25T00:00:00"/>
    <d v="1899-12-30T12:34:28"/>
    <d v="1899-12-30T12:50:06"/>
    <d v="1899-12-30T00:15:38"/>
  </r>
  <r>
    <x v="0"/>
    <d v="2017-07-25T00:00:00"/>
    <d v="1899-12-30T12:37:13"/>
    <d v="1899-12-30T12:52:43"/>
    <d v="1899-12-30T00:15:30"/>
  </r>
  <r>
    <x v="0"/>
    <d v="2017-07-25T00:00:00"/>
    <d v="1899-12-30T12:38:14"/>
    <d v="1899-12-30T12:38:56"/>
    <d v="1899-12-30T00:00:42"/>
  </r>
  <r>
    <x v="0"/>
    <d v="2017-07-25T00:00:00"/>
    <d v="1899-12-30T12:45:45"/>
    <d v="1899-12-30T12:53:38"/>
    <d v="1899-12-30T00:07:53"/>
  </r>
  <r>
    <x v="0"/>
    <d v="2017-07-25T00:00:00"/>
    <d v="1899-12-30T12:49:46"/>
    <d v="1899-12-30T12:53:33"/>
    <d v="1899-12-30T00:03:47"/>
  </r>
  <r>
    <x v="0"/>
    <d v="2017-07-25T00:00:00"/>
    <d v="1899-12-30T12:50:55"/>
    <d v="1899-12-30T13:00:46"/>
    <d v="1899-12-30T00:09:51"/>
  </r>
  <r>
    <x v="0"/>
    <d v="2017-07-25T00:00:00"/>
    <d v="1899-12-30T12:57:05"/>
    <d v="1899-12-30T12:59:04"/>
    <d v="1899-12-30T00:01:59"/>
  </r>
  <r>
    <x v="0"/>
    <d v="2017-07-25T00:00:00"/>
    <d v="1899-12-30T13:02:16"/>
    <d v="1899-12-30T13:11:22"/>
    <d v="1899-12-30T00:09:06"/>
  </r>
  <r>
    <x v="0"/>
    <d v="2017-07-25T00:00:00"/>
    <d v="1899-12-30T13:02:39"/>
    <d v="1899-12-30T13:08:39"/>
    <d v="1899-12-30T00:06:00"/>
  </r>
  <r>
    <x v="0"/>
    <d v="2017-07-25T00:00:00"/>
    <d v="1899-12-30T13:09:58"/>
    <d v="1899-12-30T13:13:07"/>
    <d v="1899-12-30T00:03:09"/>
  </r>
  <r>
    <x v="0"/>
    <d v="2017-07-25T00:00:00"/>
    <d v="1899-12-30T13:14:49"/>
    <d v="1899-12-30T13:21:00"/>
    <d v="1899-12-30T00:06:11"/>
  </r>
  <r>
    <x v="0"/>
    <d v="2017-07-25T00:00:00"/>
    <d v="1899-12-30T13:16:37"/>
    <d v="1899-12-30T13:20:12"/>
    <d v="1899-12-30T00:03:35"/>
  </r>
  <r>
    <x v="0"/>
    <d v="2017-07-25T00:00:00"/>
    <d v="1899-12-30T13:19:27"/>
    <d v="1899-12-30T13:26:36"/>
    <d v="1899-12-30T00:07:09"/>
  </r>
  <r>
    <x v="0"/>
    <d v="2017-07-25T00:00:00"/>
    <d v="1899-12-30T13:26:53"/>
    <d v="1899-12-30T13:34:37"/>
    <d v="1899-12-30T00:07:44"/>
  </r>
  <r>
    <x v="0"/>
    <d v="2017-07-25T00:00:00"/>
    <d v="1899-12-30T13:33:01"/>
    <d v="1899-12-30T13:35:36"/>
    <d v="1899-12-30T00:02:35"/>
  </r>
  <r>
    <x v="0"/>
    <d v="2017-07-25T00:00:00"/>
    <d v="1899-12-30T13:35:20"/>
    <d v="1899-12-30T13:44:04"/>
    <d v="1899-12-30T00:08:44"/>
  </r>
  <r>
    <x v="0"/>
    <d v="2017-07-25T00:00:00"/>
    <d v="1899-12-30T13:35:40"/>
    <d v="1899-12-30T13:38:58"/>
    <d v="1899-12-30T00:03:18"/>
  </r>
  <r>
    <x v="0"/>
    <d v="2017-07-25T00:00:00"/>
    <d v="1899-12-30T13:40:13"/>
    <d v="1899-12-30T13:54:09"/>
    <d v="1899-12-30T00:13:56"/>
  </r>
  <r>
    <x v="0"/>
    <d v="2017-07-25T00:00:00"/>
    <d v="1899-12-30T13:40:26"/>
    <d v="1899-12-30T13:41:01"/>
    <d v="1899-12-30T00:00:35"/>
  </r>
  <r>
    <x v="0"/>
    <d v="2017-07-25T00:00:00"/>
    <d v="1899-12-30T13:44:54"/>
    <d v="1899-12-30T13:57:21"/>
    <d v="1899-12-30T00:12:27"/>
  </r>
  <r>
    <x v="0"/>
    <d v="2017-07-25T00:00:00"/>
    <d v="1899-12-30T13:45:38"/>
    <d v="1899-12-30T13:45:51"/>
    <d v="1899-12-30T00:00:13"/>
  </r>
  <r>
    <x v="0"/>
    <d v="2017-07-25T00:00:00"/>
    <d v="1899-12-30T13:53:14"/>
    <d v="1899-12-30T13:55:38"/>
    <d v="1899-12-30T00:02:24"/>
  </r>
  <r>
    <x v="0"/>
    <d v="2017-07-25T00:00:00"/>
    <d v="1899-12-30T13:54:50"/>
    <d v="1899-12-30T14:10:48"/>
    <d v="1899-12-30T00:15:58"/>
  </r>
  <r>
    <x v="0"/>
    <d v="2017-07-25T00:00:00"/>
    <d v="1899-12-30T14:01:18"/>
    <d v="1899-12-30T14:15:15"/>
    <d v="1899-12-30T00:13:57"/>
  </r>
  <r>
    <x v="0"/>
    <d v="2017-07-25T00:00:00"/>
    <d v="1899-12-30T14:06:30"/>
    <d v="1899-12-30T14:22:29"/>
    <d v="1899-12-30T00:15:59"/>
  </r>
  <r>
    <x v="0"/>
    <d v="2017-07-25T00:00:00"/>
    <d v="1899-12-30T14:08:09"/>
    <d v="1899-12-30T14:11:17"/>
    <d v="1899-12-30T00:03:08"/>
  </r>
  <r>
    <x v="0"/>
    <d v="2017-07-25T00:00:00"/>
    <d v="1899-12-30T14:14:39"/>
    <d v="1899-12-30T14:21:17"/>
    <d v="1899-12-30T00:06:38"/>
  </r>
  <r>
    <x v="0"/>
    <d v="2017-07-25T00:00:00"/>
    <d v="1899-12-30T14:18:23"/>
    <d v="1899-12-30T14:25:00"/>
    <d v="1899-12-30T00:06:37"/>
  </r>
  <r>
    <x v="0"/>
    <d v="2017-07-25T00:00:00"/>
    <d v="1899-12-30T14:23:18"/>
    <d v="1899-12-30T14:28:39"/>
    <d v="1899-12-30T00:05:21"/>
  </r>
  <r>
    <x v="0"/>
    <d v="2017-07-25T00:00:00"/>
    <d v="1899-12-30T14:28:55"/>
    <d v="1899-12-30T14:30:06"/>
    <d v="1899-12-30T00:01:11"/>
  </r>
  <r>
    <x v="0"/>
    <d v="2017-07-25T00:00:00"/>
    <d v="1899-12-30T14:30:22"/>
    <d v="1899-12-30T14:42:14"/>
    <d v="1899-12-30T00:11:52"/>
  </r>
  <r>
    <x v="0"/>
    <d v="2017-07-25T00:00:00"/>
    <d v="1899-12-30T14:32:40"/>
    <d v="1899-12-30T14:35:16"/>
    <d v="1899-12-30T00:02:36"/>
  </r>
  <r>
    <x v="0"/>
    <d v="2017-07-25T00:00:00"/>
    <d v="1899-12-30T14:36:40"/>
    <d v="1899-12-30T14:39:56"/>
    <d v="1899-12-30T00:03:16"/>
  </r>
  <r>
    <x v="1"/>
    <d v="2017-07-25T00:00:00"/>
    <d v="1899-12-30T14:41:19"/>
    <d v="1899-12-30T14:54:45"/>
    <d v="1899-12-30T00:13:26"/>
  </r>
  <r>
    <x v="0"/>
    <d v="2017-07-25T00:00:00"/>
    <d v="1899-12-30T14:45:02"/>
    <d v="1899-12-30T14:54:29"/>
    <d v="1899-12-30T00:09:27"/>
  </r>
  <r>
    <x v="0"/>
    <d v="2017-07-25T00:00:00"/>
    <d v="1899-12-30T14:51:18"/>
    <d v="1899-12-30T14:52:23"/>
    <d v="1899-12-30T00:01:05"/>
  </r>
  <r>
    <x v="0"/>
    <d v="2017-07-25T00:00:00"/>
    <d v="1899-12-30T14:52:23"/>
    <d v="1899-12-30T14:57:37"/>
    <d v="1899-12-30T00:05:14"/>
  </r>
  <r>
    <x v="0"/>
    <d v="2017-07-25T00:00:00"/>
    <d v="1899-12-30T14:52:55"/>
    <d v="1899-12-30T15:03:59"/>
    <d v="1899-12-30T00:11:04"/>
  </r>
  <r>
    <x v="0"/>
    <d v="2017-07-25T00:00:00"/>
    <d v="1899-12-30T14:54:57"/>
    <d v="1899-12-30T14:59:20"/>
    <d v="1899-12-30T00:04:23"/>
  </r>
  <r>
    <x v="0"/>
    <d v="2017-07-25T00:00:00"/>
    <d v="1899-12-30T14:59:36"/>
    <d v="1899-12-30T15:15:51"/>
    <d v="1899-12-30T00:16:15"/>
  </r>
  <r>
    <x v="0"/>
    <d v="2017-07-25T00:00:00"/>
    <d v="1899-12-30T15:06:08"/>
    <d v="1899-12-30T15:18:49"/>
    <d v="1899-12-30T00:12:41"/>
  </r>
  <r>
    <x v="0"/>
    <d v="2017-07-26T00:00:00"/>
    <d v="1899-12-30T08:03:37"/>
    <d v="1899-12-30T08:04:57"/>
    <d v="1899-12-30T00:01:20"/>
  </r>
  <r>
    <x v="0"/>
    <d v="2017-07-26T00:00:00"/>
    <d v="1899-12-30T08:05:26"/>
    <d v="1899-12-30T08:20:32"/>
    <d v="1899-12-30T00:15:06"/>
  </r>
  <r>
    <x v="0"/>
    <d v="2017-07-26T00:00:00"/>
    <d v="1899-12-30T08:13:12"/>
    <d v="1899-12-30T08:24:03"/>
    <d v="1899-12-30T00:10:51"/>
  </r>
  <r>
    <x v="0"/>
    <d v="2017-07-26T00:00:00"/>
    <d v="1899-12-30T08:17:53"/>
    <d v="1899-12-30T08:33:18"/>
    <d v="1899-12-30T00:15:25"/>
  </r>
  <r>
    <x v="0"/>
    <d v="2017-07-26T00:00:00"/>
    <d v="1899-12-30T08:20:32"/>
    <d v="1899-12-30T08:31:22"/>
    <d v="1899-12-30T00:10:50"/>
  </r>
  <r>
    <x v="0"/>
    <d v="2017-07-26T00:00:00"/>
    <d v="1899-12-30T08:23:55"/>
    <d v="1899-12-30T08:35:15"/>
    <d v="1899-12-30T00:11:20"/>
  </r>
  <r>
    <x v="0"/>
    <d v="2017-07-26T00:00:00"/>
    <d v="1899-12-30T08:30:33"/>
    <d v="1899-12-30T08:42:38"/>
    <d v="1899-12-30T00:12:05"/>
  </r>
  <r>
    <x v="0"/>
    <d v="2017-07-26T00:00:00"/>
    <d v="1899-12-30T08:37:04"/>
    <d v="1899-12-30T08:47:03"/>
    <d v="1899-12-30T00:09:59"/>
  </r>
  <r>
    <x v="0"/>
    <d v="2017-07-26T00:00:00"/>
    <d v="1899-12-30T08:45:16"/>
    <d v="1899-12-30T09:00:05"/>
    <d v="1899-12-30T00:14:49"/>
  </r>
  <r>
    <x v="0"/>
    <d v="2017-07-26T00:00:00"/>
    <d v="1899-12-30T08:52:28"/>
    <d v="1899-12-30T09:02:15"/>
    <d v="1899-12-30T00:09:47"/>
  </r>
  <r>
    <x v="0"/>
    <d v="2017-07-26T00:00:00"/>
    <d v="1899-12-30T08:57:12"/>
    <d v="1899-12-30T09:08:30"/>
    <d v="1899-12-30T00:11:18"/>
  </r>
  <r>
    <x v="0"/>
    <d v="2017-07-26T00:00:00"/>
    <d v="1899-12-30T09:04:57"/>
    <d v="1899-12-30T09:19:52"/>
    <d v="1899-12-30T00:14:55"/>
  </r>
  <r>
    <x v="0"/>
    <d v="2017-07-26T00:00:00"/>
    <d v="1899-12-30T09:05:42"/>
    <d v="1899-12-30T09:11:00"/>
    <d v="1899-12-30T00:05:18"/>
  </r>
  <r>
    <x v="0"/>
    <d v="2017-07-26T00:00:00"/>
    <d v="1899-12-30T09:06:42"/>
    <d v="1899-12-30T09:22:35"/>
    <d v="1899-12-30T00:15:53"/>
  </r>
  <r>
    <x v="0"/>
    <d v="2017-07-26T00:00:00"/>
    <d v="1899-12-30T09:07:24"/>
    <d v="1899-12-30T09:15:18"/>
    <d v="1899-12-30T00:07:54"/>
  </r>
  <r>
    <x v="0"/>
    <d v="2017-07-26T00:00:00"/>
    <d v="1899-12-30T09:10:03"/>
    <d v="1899-12-30T09:11:21"/>
    <d v="1899-12-30T00:01:18"/>
  </r>
  <r>
    <x v="0"/>
    <d v="2017-07-26T00:00:00"/>
    <d v="1899-12-30T09:11:39"/>
    <d v="1899-12-30T09:13:20"/>
    <d v="1899-12-30T00:01:41"/>
  </r>
  <r>
    <x v="0"/>
    <d v="2017-07-26T00:00:00"/>
    <d v="1899-12-30T09:12:04"/>
    <d v="1899-12-30T09:17:59"/>
    <d v="1899-12-30T00:05:55"/>
  </r>
  <r>
    <x v="0"/>
    <d v="2017-07-26T00:00:00"/>
    <d v="1899-12-30T09:15:52"/>
    <d v="1899-12-30T09:25:41"/>
    <d v="1899-12-30T00:09:49"/>
  </r>
  <r>
    <x v="0"/>
    <d v="2017-07-26T00:00:00"/>
    <d v="1899-12-30T09:19:45"/>
    <d v="1899-12-30T09:21:21"/>
    <d v="1899-12-30T00:01:36"/>
  </r>
  <r>
    <x v="0"/>
    <d v="2017-07-26T00:00:00"/>
    <d v="1899-12-30T09:20:58"/>
    <d v="1899-12-30T09:29:30"/>
    <d v="1899-12-30T00:08:32"/>
  </r>
  <r>
    <x v="0"/>
    <d v="2017-07-26T00:00:00"/>
    <d v="1899-12-30T09:29:17"/>
    <d v="1899-12-30T09:30:14"/>
    <d v="1899-12-30T00:00:57"/>
  </r>
  <r>
    <x v="0"/>
    <d v="2017-07-26T00:00:00"/>
    <d v="1899-12-30T09:36:15"/>
    <d v="1899-12-30T09:41:51"/>
    <d v="1899-12-30T00:05:36"/>
  </r>
  <r>
    <x v="0"/>
    <d v="2017-07-26T00:00:00"/>
    <d v="1899-12-30T09:37:53"/>
    <d v="1899-12-30T09:45:29"/>
    <d v="1899-12-30T00:07:36"/>
  </r>
  <r>
    <x v="0"/>
    <d v="2017-07-26T00:00:00"/>
    <d v="1899-12-30T09:41:59"/>
    <d v="1899-12-30T09:42:23"/>
    <d v="1899-12-30T00:00:24"/>
  </r>
  <r>
    <x v="0"/>
    <d v="2017-07-26T00:00:00"/>
    <d v="1899-12-30T09:47:07"/>
    <d v="1899-12-30T09:54:35"/>
    <d v="1899-12-30T00:07:28"/>
  </r>
  <r>
    <x v="0"/>
    <d v="2017-07-26T00:00:00"/>
    <d v="1899-12-30T09:54:17"/>
    <d v="1899-12-30T10:05:28"/>
    <d v="1899-12-30T00:11:11"/>
  </r>
  <r>
    <x v="0"/>
    <d v="2017-07-26T00:00:00"/>
    <d v="1899-12-30T09:56:01"/>
    <d v="1899-12-30T10:05:02"/>
    <d v="1899-12-30T00:09:01"/>
  </r>
  <r>
    <x v="0"/>
    <d v="2017-07-26T00:00:00"/>
    <d v="1899-12-30T09:56:21"/>
    <d v="1899-12-30T10:00:15"/>
    <d v="1899-12-30T00:03:54"/>
  </r>
  <r>
    <x v="0"/>
    <d v="2017-07-26T00:00:00"/>
    <d v="1899-12-30T10:03:52"/>
    <d v="1899-12-30T10:06:43"/>
    <d v="1899-12-30T00:02:51"/>
  </r>
  <r>
    <x v="0"/>
    <d v="2017-07-26T00:00:00"/>
    <d v="1899-12-30T10:08:06"/>
    <d v="1899-12-30T10:08:43"/>
    <d v="1899-12-30T00:00:37"/>
  </r>
  <r>
    <x v="0"/>
    <d v="2017-07-26T00:00:00"/>
    <d v="1899-12-30T10:10:05"/>
    <d v="1899-12-30T10:16:13"/>
    <d v="1899-12-30T00:06:08"/>
  </r>
  <r>
    <x v="0"/>
    <d v="2017-07-26T00:00:00"/>
    <d v="1899-12-30T10:17:56"/>
    <d v="1899-12-30T10:30:03"/>
    <d v="1899-12-30T00:12:07"/>
  </r>
  <r>
    <x v="0"/>
    <d v="2017-07-26T00:00:00"/>
    <d v="1899-12-30T10:23:35"/>
    <d v="1899-12-30T10:30:10"/>
    <d v="1899-12-30T00:06:35"/>
  </r>
  <r>
    <x v="0"/>
    <d v="2017-07-26T00:00:00"/>
    <d v="1899-12-30T10:30:57"/>
    <d v="1899-12-30T10:41:51"/>
    <d v="1899-12-30T00:10:54"/>
  </r>
  <r>
    <x v="0"/>
    <d v="2017-07-26T00:00:00"/>
    <d v="1899-12-30T10:32:07"/>
    <d v="1899-12-30T10:46:02"/>
    <d v="1899-12-30T00:13:55"/>
  </r>
  <r>
    <x v="0"/>
    <d v="2017-07-26T00:00:00"/>
    <d v="1899-12-30T10:37:25"/>
    <d v="1899-12-30T10:52:52"/>
    <d v="1899-12-30T00:15:27"/>
  </r>
  <r>
    <x v="0"/>
    <d v="2017-07-26T00:00:00"/>
    <d v="1899-12-30T10:37:46"/>
    <d v="1899-12-30T10:38:51"/>
    <d v="1899-12-30T00:01:05"/>
  </r>
  <r>
    <x v="0"/>
    <d v="2017-07-26T00:00:00"/>
    <d v="1899-12-30T10:37:54"/>
    <d v="1899-12-30T10:48:20"/>
    <d v="1899-12-30T00:10:26"/>
  </r>
  <r>
    <x v="0"/>
    <d v="2017-07-26T00:00:00"/>
    <d v="1899-12-30T10:37:56"/>
    <d v="1899-12-30T10:49:59"/>
    <d v="1899-12-30T00:12:03"/>
  </r>
  <r>
    <x v="0"/>
    <d v="2017-07-26T00:00:00"/>
    <d v="1899-12-30T10:43:50"/>
    <d v="1899-12-30T10:57:29"/>
    <d v="1899-12-30T00:13:39"/>
  </r>
  <r>
    <x v="0"/>
    <d v="2017-07-26T00:00:00"/>
    <d v="1899-12-30T10:45:21"/>
    <d v="1899-12-30T10:54:16"/>
    <d v="1899-12-30T00:08:55"/>
  </r>
  <r>
    <x v="0"/>
    <d v="2017-07-26T00:00:00"/>
    <d v="1899-12-30T10:47:36"/>
    <d v="1899-12-30T10:56:03"/>
    <d v="1899-12-30T00:08:27"/>
  </r>
  <r>
    <x v="0"/>
    <d v="2017-07-26T00:00:00"/>
    <d v="1899-12-30T10:48:19"/>
    <d v="1899-12-30T11:03:33"/>
    <d v="1899-12-30T00:15:14"/>
  </r>
  <r>
    <x v="0"/>
    <d v="2017-07-26T00:00:00"/>
    <d v="1899-12-30T10:48:27"/>
    <d v="1899-12-30T11:02:39"/>
    <d v="1899-12-30T00:14:12"/>
  </r>
  <r>
    <x v="0"/>
    <d v="2017-07-26T00:00:00"/>
    <d v="1899-12-30T10:52:48"/>
    <d v="1899-12-30T10:54:23"/>
    <d v="1899-12-30T00:01:35"/>
  </r>
  <r>
    <x v="0"/>
    <d v="2017-07-26T00:00:00"/>
    <d v="1899-12-30T10:55:39"/>
    <d v="1899-12-30T10:58:20"/>
    <d v="1899-12-30T00:02:41"/>
  </r>
  <r>
    <x v="0"/>
    <d v="2017-07-26T00:00:00"/>
    <d v="1899-12-30T10:55:59"/>
    <d v="1899-12-30T11:01:09"/>
    <d v="1899-12-30T00:05:10"/>
  </r>
  <r>
    <x v="0"/>
    <d v="2017-07-26T00:00:00"/>
    <d v="1899-12-30T10:58:28"/>
    <d v="1899-12-30T11:13:13"/>
    <d v="1899-12-30T00:14:45"/>
  </r>
  <r>
    <x v="0"/>
    <d v="2017-07-26T00:00:00"/>
    <d v="1899-12-30T11:06:41"/>
    <d v="1899-12-30T11:18:40"/>
    <d v="1899-12-30T00:11:59"/>
  </r>
  <r>
    <x v="0"/>
    <d v="2017-07-26T00:00:00"/>
    <d v="1899-12-30T11:08:37"/>
    <d v="1899-12-30T11:17:40"/>
    <d v="1899-12-30T00:09:03"/>
  </r>
  <r>
    <x v="0"/>
    <d v="2017-07-26T00:00:00"/>
    <d v="1899-12-30T11:12:32"/>
    <d v="1899-12-30T11:20:35"/>
    <d v="1899-12-30T00:08:03"/>
  </r>
  <r>
    <x v="0"/>
    <d v="2017-07-26T00:00:00"/>
    <d v="1899-12-30T11:12:32"/>
    <d v="1899-12-30T11:24:59"/>
    <d v="1899-12-30T00:12:27"/>
  </r>
  <r>
    <x v="0"/>
    <d v="2017-07-26T00:00:00"/>
    <d v="1899-12-30T11:20:38"/>
    <d v="1899-12-30T11:35:29"/>
    <d v="1899-12-30T00:14:51"/>
  </r>
  <r>
    <x v="0"/>
    <d v="2017-07-26T00:00:00"/>
    <d v="1899-12-30T11:24:13"/>
    <d v="1899-12-30T11:24:45"/>
    <d v="1899-12-30T00:00:32"/>
  </r>
  <r>
    <x v="0"/>
    <d v="2017-07-26T00:00:00"/>
    <d v="1899-12-30T11:32:23"/>
    <d v="1899-12-30T11:39:38"/>
    <d v="1899-12-30T00:07:15"/>
  </r>
  <r>
    <x v="0"/>
    <d v="2017-07-26T00:00:00"/>
    <d v="1899-12-30T11:38:54"/>
    <d v="1899-12-30T11:42:56"/>
    <d v="1899-12-30T00:04:02"/>
  </r>
  <r>
    <x v="0"/>
    <d v="2017-07-26T00:00:00"/>
    <d v="1899-12-30T11:41:17"/>
    <d v="1899-12-30T11:50:00"/>
    <d v="1899-12-30T00:08:43"/>
  </r>
  <r>
    <x v="0"/>
    <d v="2017-07-26T00:00:00"/>
    <d v="1899-12-30T11:43:26"/>
    <d v="1899-12-30T11:55:11"/>
    <d v="1899-12-30T00:11:45"/>
  </r>
  <r>
    <x v="0"/>
    <d v="2017-07-26T00:00:00"/>
    <d v="1899-12-30T11:45:54"/>
    <d v="1899-12-30T11:59:02"/>
    <d v="1899-12-30T00:13:08"/>
  </r>
  <r>
    <x v="0"/>
    <d v="2017-07-26T00:00:00"/>
    <d v="1899-12-30T11:47:33"/>
    <d v="1899-12-30T11:52:24"/>
    <d v="1899-12-30T00:04:51"/>
  </r>
  <r>
    <x v="0"/>
    <d v="2017-07-26T00:00:00"/>
    <d v="1899-12-30T11:51:37"/>
    <d v="1899-12-30T12:04:30"/>
    <d v="1899-12-30T00:12:53"/>
  </r>
  <r>
    <x v="0"/>
    <d v="2017-07-26T00:00:00"/>
    <d v="1899-12-30T11:53:24"/>
    <d v="1899-12-30T11:59:15"/>
    <d v="1899-12-30T00:05:51"/>
  </r>
  <r>
    <x v="0"/>
    <d v="2017-07-26T00:00:00"/>
    <d v="1899-12-30T11:59:19"/>
    <d v="1899-12-30T12:02:59"/>
    <d v="1899-12-30T00:03:40"/>
  </r>
  <r>
    <x v="0"/>
    <d v="2017-07-26T00:00:00"/>
    <d v="1899-12-30T12:06:39"/>
    <d v="1899-12-30T12:07:05"/>
    <d v="1899-12-30T00:00:26"/>
  </r>
  <r>
    <x v="0"/>
    <d v="2017-07-26T00:00:00"/>
    <d v="1899-12-30T12:09:40"/>
    <d v="1899-12-30T12:17:46"/>
    <d v="1899-12-30T00:08:06"/>
  </r>
  <r>
    <x v="0"/>
    <d v="2017-07-26T00:00:00"/>
    <d v="1899-12-30T12:12:37"/>
    <d v="1899-12-30T12:21:12"/>
    <d v="1899-12-30T00:08:35"/>
  </r>
  <r>
    <x v="0"/>
    <d v="2017-07-26T00:00:00"/>
    <d v="1899-12-30T12:16:25"/>
    <d v="1899-12-30T12:26:52"/>
    <d v="1899-12-30T00:10:27"/>
  </r>
  <r>
    <x v="0"/>
    <d v="2017-07-26T00:00:00"/>
    <d v="1899-12-30T12:22:16"/>
    <d v="1899-12-30T12:35:44"/>
    <d v="1899-12-30T00:13:28"/>
  </r>
  <r>
    <x v="0"/>
    <d v="2017-07-26T00:00:00"/>
    <d v="1899-12-30T12:24:40"/>
    <d v="1899-12-30T12:31:21"/>
    <d v="1899-12-30T00:06:41"/>
  </r>
  <r>
    <x v="0"/>
    <d v="2017-07-26T00:00:00"/>
    <d v="1899-12-30T12:31:18"/>
    <d v="1899-12-30T12:43:11"/>
    <d v="1899-12-30T00:11:53"/>
  </r>
  <r>
    <x v="0"/>
    <d v="2017-07-26T00:00:00"/>
    <d v="1899-12-30T12:32:37"/>
    <d v="1899-12-30T12:44:31"/>
    <d v="1899-12-30T00:11:54"/>
  </r>
  <r>
    <x v="0"/>
    <d v="2017-07-26T00:00:00"/>
    <d v="1899-12-30T12:40:11"/>
    <d v="1899-12-30T12:51:34"/>
    <d v="1899-12-30T00:11:23"/>
  </r>
  <r>
    <x v="0"/>
    <d v="2017-07-26T00:00:00"/>
    <d v="1899-12-30T12:42:18"/>
    <d v="1899-12-30T12:51:59"/>
    <d v="1899-12-30T00:09:41"/>
  </r>
  <r>
    <x v="0"/>
    <d v="2017-07-26T00:00:00"/>
    <d v="1899-12-30T12:47:16"/>
    <d v="1899-12-30T12:50:25"/>
    <d v="1899-12-30T00:03:09"/>
  </r>
  <r>
    <x v="0"/>
    <d v="2017-07-26T00:00:00"/>
    <d v="1899-12-30T12:48:10"/>
    <d v="1899-12-30T13:03:10"/>
    <d v="1899-12-30T00:15:00"/>
  </r>
  <r>
    <x v="0"/>
    <d v="2017-07-26T00:00:00"/>
    <d v="1899-12-30T12:49:32"/>
    <d v="1899-12-30T12:54:55"/>
    <d v="1899-12-30T00:05:23"/>
  </r>
  <r>
    <x v="0"/>
    <d v="2017-07-26T00:00:00"/>
    <d v="1899-12-30T12:51:52"/>
    <d v="1899-12-30T13:03:17"/>
    <d v="1899-12-30T00:11:25"/>
  </r>
  <r>
    <x v="0"/>
    <d v="2017-07-26T00:00:00"/>
    <d v="1899-12-30T12:52:48"/>
    <d v="1899-12-30T12:53:25"/>
    <d v="1899-12-30T00:00:37"/>
  </r>
  <r>
    <x v="0"/>
    <d v="2017-07-26T00:00:00"/>
    <d v="1899-12-30T12:57:51"/>
    <d v="1899-12-30T13:10:47"/>
    <d v="1899-12-30T00:12:56"/>
  </r>
  <r>
    <x v="0"/>
    <d v="2017-07-26T00:00:00"/>
    <d v="1899-12-30T12:58:36"/>
    <d v="1899-12-30T13:13:29"/>
    <d v="1899-12-30T00:14:53"/>
  </r>
  <r>
    <x v="0"/>
    <d v="2017-07-26T00:00:00"/>
    <d v="1899-12-30T13:06:09"/>
    <d v="1899-12-30T13:20:58"/>
    <d v="1899-12-30T00:14:49"/>
  </r>
  <r>
    <x v="0"/>
    <d v="2017-07-26T00:00:00"/>
    <d v="1899-12-30T13:12:46"/>
    <d v="1899-12-30T13:21:41"/>
    <d v="1899-12-30T00:08:55"/>
  </r>
  <r>
    <x v="0"/>
    <d v="2017-07-26T00:00:00"/>
    <d v="1899-12-30T13:18:40"/>
    <d v="1899-12-30T13:27:52"/>
    <d v="1899-12-30T00:09:12"/>
  </r>
  <r>
    <x v="0"/>
    <d v="2017-07-26T00:00:00"/>
    <d v="1899-12-30T13:20:42"/>
    <d v="1899-12-30T13:31:54"/>
    <d v="1899-12-30T00:11:12"/>
  </r>
  <r>
    <x v="0"/>
    <d v="2017-07-26T00:00:00"/>
    <d v="1899-12-30T13:27:49"/>
    <d v="1899-12-30T13:37:15"/>
    <d v="1899-12-30T00:09:26"/>
  </r>
  <r>
    <x v="0"/>
    <d v="2017-07-26T00:00:00"/>
    <d v="1899-12-30T13:29:45"/>
    <d v="1899-12-30T13:34:58"/>
    <d v="1899-12-30T00:05:13"/>
  </r>
  <r>
    <x v="0"/>
    <d v="2017-07-26T00:00:00"/>
    <d v="1899-12-30T13:30:29"/>
    <d v="1899-12-30T13:32:33"/>
    <d v="1899-12-30T00:02:04"/>
  </r>
  <r>
    <x v="0"/>
    <d v="2017-07-26T00:00:00"/>
    <d v="1899-12-30T13:33:20"/>
    <d v="1899-12-30T13:48:57"/>
    <d v="1899-12-30T00:15:37"/>
  </r>
  <r>
    <x v="0"/>
    <d v="2017-07-26T00:00:00"/>
    <d v="1899-12-30T13:38:00"/>
    <d v="1899-12-30T13:39:54"/>
    <d v="1899-12-30T00:01:54"/>
  </r>
  <r>
    <x v="0"/>
    <d v="2017-07-26T00:00:00"/>
    <d v="1899-12-30T13:40:01"/>
    <d v="1899-12-30T13:51:45"/>
    <d v="1899-12-30T00:11:44"/>
  </r>
  <r>
    <x v="0"/>
    <d v="2017-07-26T00:00:00"/>
    <d v="1899-12-30T13:44:36"/>
    <d v="1899-12-30T13:45:15"/>
    <d v="1899-12-30T00:00:39"/>
  </r>
  <r>
    <x v="0"/>
    <d v="2017-07-26T00:00:00"/>
    <d v="1899-12-30T13:50:20"/>
    <d v="1899-12-30T13:58:09"/>
    <d v="1899-12-30T00:07:49"/>
  </r>
  <r>
    <x v="0"/>
    <d v="2017-07-26T00:00:00"/>
    <d v="1899-12-30T13:55:31"/>
    <d v="1899-12-30T14:05:40"/>
    <d v="1899-12-30T00:10:09"/>
  </r>
  <r>
    <x v="0"/>
    <d v="2017-07-26T00:00:00"/>
    <d v="1899-12-30T13:56:40"/>
    <d v="1899-12-30T13:57:34"/>
    <d v="1899-12-30T00:00:54"/>
  </r>
  <r>
    <x v="0"/>
    <d v="2017-07-26T00:00:00"/>
    <d v="1899-12-30T14:01:05"/>
    <d v="1899-12-30T14:04:57"/>
    <d v="1899-12-30T00:03:52"/>
  </r>
  <r>
    <x v="0"/>
    <d v="2017-07-26T00:00:00"/>
    <d v="1899-12-30T14:06:18"/>
    <d v="1899-12-30T14:18:07"/>
    <d v="1899-12-30T00:11:49"/>
  </r>
  <r>
    <x v="0"/>
    <d v="2017-07-26T00:00:00"/>
    <d v="1899-12-30T14:13:22"/>
    <d v="1899-12-30T14:28:57"/>
    <d v="1899-12-30T00:15:35"/>
  </r>
  <r>
    <x v="0"/>
    <d v="2017-07-26T00:00:00"/>
    <d v="1899-12-30T14:14:15"/>
    <d v="1899-12-30T14:23:11"/>
    <d v="1899-12-30T00:08:56"/>
  </r>
  <r>
    <x v="0"/>
    <d v="2017-07-26T00:00:00"/>
    <d v="1899-12-30T14:22:13"/>
    <d v="1899-12-30T14:37:42"/>
    <d v="1899-12-30T00:15:29"/>
  </r>
  <r>
    <x v="0"/>
    <d v="2017-07-26T00:00:00"/>
    <d v="1899-12-30T14:29:32"/>
    <d v="1899-12-30T14:30:31"/>
    <d v="1899-12-30T00:00:59"/>
  </r>
  <r>
    <x v="0"/>
    <d v="2017-07-26T00:00:00"/>
    <d v="1899-12-30T14:32:59"/>
    <d v="1899-12-30T14:39:12"/>
    <d v="1899-12-30T00:06:13"/>
  </r>
  <r>
    <x v="0"/>
    <d v="2017-07-26T00:00:00"/>
    <d v="1899-12-30T14:37:41"/>
    <d v="1899-12-30T14:51:57"/>
    <d v="1899-12-30T00:14:16"/>
  </r>
  <r>
    <x v="0"/>
    <d v="2017-07-26T00:00:00"/>
    <d v="1899-12-30T14:43:45"/>
    <d v="1899-12-30T14:57:55"/>
    <d v="1899-12-30T00:14:10"/>
  </r>
  <r>
    <x v="0"/>
    <d v="2017-07-26T00:00:00"/>
    <d v="1899-12-30T14:48:50"/>
    <d v="1899-12-30T15:05:17"/>
    <d v="1899-12-30T00:16:27"/>
  </r>
  <r>
    <x v="0"/>
    <d v="2017-07-26T00:00:00"/>
    <d v="1899-12-30T14:54:05"/>
    <d v="1899-12-30T14:55:06"/>
    <d v="1899-12-30T00:01:01"/>
  </r>
  <r>
    <x v="0"/>
    <d v="2017-07-26T00:00:00"/>
    <d v="1899-12-30T14:59:32"/>
    <d v="1899-12-30T15:02:45"/>
    <d v="1899-12-30T00:03:13"/>
  </r>
  <r>
    <x v="0"/>
    <d v="2017-07-26T00:00:00"/>
    <d v="1899-12-30T15:03:56"/>
    <d v="1899-12-30T15:13:18"/>
    <d v="1899-12-30T00:09:22"/>
  </r>
  <r>
    <x v="0"/>
    <d v="2017-07-27T00:00:00"/>
    <d v="1899-12-30T08:06:01"/>
    <d v="1899-12-30T08:06:04"/>
    <d v="1899-12-30T00:00:03"/>
  </r>
  <r>
    <x v="0"/>
    <d v="2017-07-27T00:00:00"/>
    <d v="1899-12-30T08:08:47"/>
    <d v="1899-12-30T08:13:49"/>
    <d v="1899-12-30T00:05:02"/>
  </r>
  <r>
    <x v="0"/>
    <d v="2017-07-27T00:00:00"/>
    <d v="1899-12-30T08:12:46"/>
    <d v="1899-12-30T08:26:27"/>
    <d v="1899-12-30T00:13:41"/>
  </r>
  <r>
    <x v="0"/>
    <d v="2017-07-27T00:00:00"/>
    <d v="1899-12-30T08:19:05"/>
    <d v="1899-12-30T08:19:12"/>
    <d v="1899-12-30T00:00:07"/>
  </r>
  <r>
    <x v="0"/>
    <d v="2017-07-27T00:00:00"/>
    <d v="1899-12-30T08:22:38"/>
    <d v="1899-12-30T08:30:56"/>
    <d v="1899-12-30T00:08:18"/>
  </r>
  <r>
    <x v="0"/>
    <d v="2017-07-27T00:00:00"/>
    <d v="1899-12-30T08:23:39"/>
    <d v="1899-12-30T08:37:59"/>
    <d v="1899-12-30T00:14:20"/>
  </r>
  <r>
    <x v="0"/>
    <d v="2017-07-27T00:00:00"/>
    <d v="1899-12-30T08:25:41"/>
    <d v="1899-12-30T08:29:53"/>
    <d v="1899-12-30T00:04:12"/>
  </r>
  <r>
    <x v="0"/>
    <d v="2017-07-27T00:00:00"/>
    <d v="1899-12-30T08:25:58"/>
    <d v="1899-12-30T08:29:37"/>
    <d v="1899-12-30T00:03:39"/>
  </r>
  <r>
    <x v="0"/>
    <d v="2017-07-27T00:00:00"/>
    <d v="1899-12-30T08:31:01"/>
    <d v="1899-12-30T08:42:01"/>
    <d v="1899-12-30T00:11:00"/>
  </r>
  <r>
    <x v="0"/>
    <d v="2017-07-27T00:00:00"/>
    <d v="1899-12-30T08:32:32"/>
    <d v="1899-12-30T08:43:41"/>
    <d v="1899-12-30T00:11:09"/>
  </r>
  <r>
    <x v="0"/>
    <d v="2017-07-27T00:00:00"/>
    <d v="1899-12-30T08:37:33"/>
    <d v="1899-12-30T08:44:20"/>
    <d v="1899-12-30T00:06:47"/>
  </r>
  <r>
    <x v="0"/>
    <d v="2017-07-27T00:00:00"/>
    <d v="1899-12-30T08:38:47"/>
    <d v="1899-12-30T08:43:00"/>
    <d v="1899-12-30T00:04:13"/>
  </r>
  <r>
    <x v="0"/>
    <d v="2017-07-27T00:00:00"/>
    <d v="1899-12-30T08:40:32"/>
    <d v="1899-12-30T08:55:58"/>
    <d v="1899-12-30T00:15:26"/>
  </r>
  <r>
    <x v="0"/>
    <d v="2017-07-27T00:00:00"/>
    <d v="1899-12-30T08:47:01"/>
    <d v="1899-12-30T08:59:38"/>
    <d v="1899-12-30T00:12:37"/>
  </r>
  <r>
    <x v="0"/>
    <d v="2017-07-27T00:00:00"/>
    <d v="1899-12-30T08:54:43"/>
    <d v="1899-12-30T09:06:06"/>
    <d v="1899-12-30T00:11:23"/>
  </r>
  <r>
    <x v="0"/>
    <d v="2017-07-27T00:00:00"/>
    <d v="1899-12-30T08:55:18"/>
    <d v="1899-12-30T08:56:27"/>
    <d v="1899-12-30T00:01:09"/>
  </r>
  <r>
    <x v="0"/>
    <d v="2017-07-27T00:00:00"/>
    <d v="1899-12-30T08:58:09"/>
    <d v="1899-12-30T09:06:44"/>
    <d v="1899-12-30T00:08:35"/>
  </r>
  <r>
    <x v="0"/>
    <d v="2017-07-27T00:00:00"/>
    <d v="1899-12-30T09:02:22"/>
    <d v="1899-12-30T09:13:34"/>
    <d v="1899-12-30T00:11:12"/>
  </r>
  <r>
    <x v="0"/>
    <d v="2017-07-27T00:00:00"/>
    <d v="1899-12-30T09:06:49"/>
    <d v="1899-12-30T09:12:54"/>
    <d v="1899-12-30T00:06:05"/>
  </r>
  <r>
    <x v="1"/>
    <d v="2017-07-27T00:00:00"/>
    <d v="1899-12-30T09:13:51"/>
    <d v="1899-12-30T09:26:29"/>
    <d v="1899-12-30T00:12:38"/>
  </r>
  <r>
    <x v="0"/>
    <d v="2017-07-27T00:00:00"/>
    <d v="1899-12-30T09:15:26"/>
    <d v="1899-12-30T09:29:37"/>
    <d v="1899-12-30T00:14:11"/>
  </r>
  <r>
    <x v="0"/>
    <d v="2017-07-27T00:00:00"/>
    <d v="1899-12-30T09:21:34"/>
    <d v="1899-12-30T09:32:18"/>
    <d v="1899-12-30T00:10:44"/>
  </r>
  <r>
    <x v="0"/>
    <d v="2017-07-27T00:00:00"/>
    <d v="1899-12-30T09:28:06"/>
    <d v="1899-12-30T09:30:23"/>
    <d v="1899-12-30T00:02:17"/>
  </r>
  <r>
    <x v="0"/>
    <d v="2017-07-27T00:00:00"/>
    <d v="1899-12-30T09:31:15"/>
    <d v="1899-12-30T09:38:38"/>
    <d v="1899-12-30T00:07:23"/>
  </r>
  <r>
    <x v="0"/>
    <d v="2017-07-27T00:00:00"/>
    <d v="1899-12-30T09:33:18"/>
    <d v="1899-12-30T09:34:30"/>
    <d v="1899-12-30T00:01:12"/>
  </r>
  <r>
    <x v="0"/>
    <d v="2017-07-27T00:00:00"/>
    <d v="1899-12-30T09:39:50"/>
    <d v="1899-12-30T09:46:32"/>
    <d v="1899-12-30T00:06:42"/>
  </r>
  <r>
    <x v="0"/>
    <d v="2017-07-27T00:00:00"/>
    <d v="1899-12-30T09:46:14"/>
    <d v="1899-12-30T09:46:40"/>
    <d v="1899-12-30T00:00:26"/>
  </r>
  <r>
    <x v="0"/>
    <d v="2017-07-27T00:00:00"/>
    <d v="1899-12-30T09:46:49"/>
    <d v="1899-12-30T10:00:51"/>
    <d v="1899-12-30T00:14:02"/>
  </r>
  <r>
    <x v="0"/>
    <d v="2017-07-27T00:00:00"/>
    <d v="1899-12-30T09:53:55"/>
    <d v="1899-12-30T09:59:19"/>
    <d v="1899-12-30T00:05:24"/>
  </r>
  <r>
    <x v="0"/>
    <d v="2017-07-27T00:00:00"/>
    <d v="1899-12-30T09:55:38"/>
    <d v="1899-12-30T10:03:24"/>
    <d v="1899-12-30T00:07:46"/>
  </r>
  <r>
    <x v="0"/>
    <d v="2017-07-27T00:00:00"/>
    <d v="1899-12-30T10:01:41"/>
    <d v="1899-12-30T10:10:19"/>
    <d v="1899-12-30T00:08:38"/>
  </r>
  <r>
    <x v="0"/>
    <d v="2017-07-27T00:00:00"/>
    <d v="1899-12-30T10:09:57"/>
    <d v="1899-12-30T10:19:12"/>
    <d v="1899-12-30T00:09:15"/>
  </r>
  <r>
    <x v="0"/>
    <d v="2017-07-27T00:00:00"/>
    <d v="1899-12-30T10:11:06"/>
    <d v="1899-12-30T10:12:05"/>
    <d v="1899-12-30T00:00:59"/>
  </r>
  <r>
    <x v="0"/>
    <d v="2017-07-27T00:00:00"/>
    <d v="1899-12-30T10:17:02"/>
    <d v="1899-12-30T10:29:41"/>
    <d v="1899-12-30T00:12:39"/>
  </r>
  <r>
    <x v="0"/>
    <d v="2017-07-27T00:00:00"/>
    <d v="1899-12-30T10:18:08"/>
    <d v="1899-12-30T10:22:39"/>
    <d v="1899-12-30T00:04:31"/>
  </r>
  <r>
    <x v="0"/>
    <d v="2017-07-27T00:00:00"/>
    <d v="1899-12-30T10:22:59"/>
    <d v="1899-12-30T10:32:35"/>
    <d v="1899-12-30T00:09:36"/>
  </r>
  <r>
    <x v="0"/>
    <d v="2017-07-27T00:00:00"/>
    <d v="1899-12-30T10:24:47"/>
    <d v="1899-12-30T10:37:14"/>
    <d v="1899-12-30T00:12:27"/>
  </r>
  <r>
    <x v="0"/>
    <d v="2017-07-27T00:00:00"/>
    <d v="1899-12-30T10:31:26"/>
    <d v="1899-12-30T10:36:37"/>
    <d v="1899-12-30T00:05:11"/>
  </r>
  <r>
    <x v="0"/>
    <d v="2017-07-27T00:00:00"/>
    <d v="1899-12-30T10:33:39"/>
    <d v="1899-12-30T10:36:46"/>
    <d v="1899-12-30T00:03:07"/>
  </r>
  <r>
    <x v="0"/>
    <d v="2017-07-27T00:00:00"/>
    <d v="1899-12-30T10:33:42"/>
    <d v="1899-12-30T10:36:36"/>
    <d v="1899-12-30T00:02:54"/>
  </r>
  <r>
    <x v="0"/>
    <d v="2017-07-27T00:00:00"/>
    <d v="1899-12-30T10:40:40"/>
    <d v="1899-12-30T10:49:02"/>
    <d v="1899-12-30T00:08:22"/>
  </r>
  <r>
    <x v="0"/>
    <d v="2017-07-27T00:00:00"/>
    <d v="1899-12-30T10:47:57"/>
    <d v="1899-12-30T11:01:43"/>
    <d v="1899-12-30T00:13:46"/>
  </r>
  <r>
    <x v="0"/>
    <d v="2017-07-27T00:00:00"/>
    <d v="1899-12-30T10:50:16"/>
    <d v="1899-12-30T10:56:06"/>
    <d v="1899-12-30T00:05:50"/>
  </r>
  <r>
    <x v="0"/>
    <d v="2017-07-27T00:00:00"/>
    <d v="1899-12-30T10:58:30"/>
    <d v="1899-12-30T11:03:00"/>
    <d v="1899-12-30T00:04:30"/>
  </r>
  <r>
    <x v="0"/>
    <d v="2017-07-27T00:00:00"/>
    <d v="1899-12-30T11:04:35"/>
    <d v="1899-12-30T11:11:06"/>
    <d v="1899-12-30T00:06:31"/>
  </r>
  <r>
    <x v="0"/>
    <d v="2017-07-27T00:00:00"/>
    <d v="1899-12-30T11:04:56"/>
    <d v="1899-12-30T11:06:12"/>
    <d v="1899-12-30T00:01:16"/>
  </r>
  <r>
    <x v="0"/>
    <d v="2017-07-27T00:00:00"/>
    <d v="1899-12-30T11:09:14"/>
    <d v="1899-12-30T11:23:48"/>
    <d v="1899-12-30T00:14:34"/>
  </r>
  <r>
    <x v="0"/>
    <d v="2017-07-27T00:00:00"/>
    <d v="1899-12-30T11:12:18"/>
    <d v="1899-12-30T11:24:09"/>
    <d v="1899-12-30T00:11:51"/>
  </r>
  <r>
    <x v="0"/>
    <d v="2017-07-27T00:00:00"/>
    <d v="1899-12-30T11:17:50"/>
    <d v="1899-12-30T11:24:41"/>
    <d v="1899-12-30T00:06:51"/>
  </r>
  <r>
    <x v="0"/>
    <d v="2017-07-27T00:00:00"/>
    <d v="1899-12-30T11:22:29"/>
    <d v="1899-12-30T11:30:05"/>
    <d v="1899-12-30T00:07:36"/>
  </r>
  <r>
    <x v="0"/>
    <d v="2017-07-27T00:00:00"/>
    <d v="1899-12-30T11:24:44"/>
    <d v="1899-12-30T11:30:12"/>
    <d v="1899-12-30T00:05:28"/>
  </r>
  <r>
    <x v="0"/>
    <d v="2017-07-27T00:00:00"/>
    <d v="1899-12-30T11:32:26"/>
    <d v="1899-12-30T11:44:04"/>
    <d v="1899-12-30T00:11:38"/>
  </r>
  <r>
    <x v="0"/>
    <d v="2017-07-27T00:00:00"/>
    <d v="1899-12-30T11:38:49"/>
    <d v="1899-12-30T11:41:12"/>
    <d v="1899-12-30T00:02:23"/>
  </r>
  <r>
    <x v="0"/>
    <d v="2017-07-27T00:00:00"/>
    <d v="1899-12-30T11:39:15"/>
    <d v="1899-12-30T11:55:50"/>
    <d v="1899-12-30T00:16:35"/>
  </r>
  <r>
    <x v="0"/>
    <d v="2017-07-27T00:00:00"/>
    <d v="1899-12-30T11:46:41"/>
    <d v="1899-12-30T11:57:39"/>
    <d v="1899-12-30T00:10:58"/>
  </r>
  <r>
    <x v="0"/>
    <d v="2017-07-27T00:00:00"/>
    <d v="1899-12-30T11:53:41"/>
    <d v="1899-12-30T11:55:55"/>
    <d v="1899-12-30T00:02:14"/>
  </r>
  <r>
    <x v="0"/>
    <d v="2017-07-27T00:00:00"/>
    <d v="1899-12-30T11:55:55"/>
    <d v="1899-12-30T12:03:54"/>
    <d v="1899-12-30T00:07:59"/>
  </r>
  <r>
    <x v="0"/>
    <d v="2017-07-27T00:00:00"/>
    <d v="1899-12-30T12:01:47"/>
    <d v="1899-12-30T12:12:07"/>
    <d v="1899-12-30T00:10:20"/>
  </r>
  <r>
    <x v="0"/>
    <d v="2017-07-27T00:00:00"/>
    <d v="1899-12-30T12:05:12"/>
    <d v="1899-12-30T12:18:31"/>
    <d v="1899-12-30T00:13:19"/>
  </r>
  <r>
    <x v="0"/>
    <d v="2017-07-27T00:00:00"/>
    <d v="1899-12-30T12:10:24"/>
    <d v="1899-12-30T12:10:59"/>
    <d v="1899-12-30T00:00:35"/>
  </r>
  <r>
    <x v="0"/>
    <d v="2017-07-27T00:00:00"/>
    <d v="1899-12-30T12:15:39"/>
    <d v="1899-12-30T12:23:10"/>
    <d v="1899-12-30T00:07:31"/>
  </r>
  <r>
    <x v="0"/>
    <d v="2017-07-27T00:00:00"/>
    <d v="1899-12-30T12:22:31"/>
    <d v="1899-12-30T12:34:31"/>
    <d v="1899-12-30T00:12:00"/>
  </r>
  <r>
    <x v="0"/>
    <d v="2017-07-27T00:00:00"/>
    <d v="1899-12-30T12:28:51"/>
    <d v="1899-12-30T12:42:09"/>
    <d v="1899-12-30T00:13:18"/>
  </r>
  <r>
    <x v="0"/>
    <d v="2017-07-27T00:00:00"/>
    <d v="1899-12-30T12:29:18"/>
    <d v="1899-12-30T12:30:47"/>
    <d v="1899-12-30T00:01:29"/>
  </r>
  <r>
    <x v="0"/>
    <d v="2017-07-27T00:00:00"/>
    <d v="1899-12-30T12:34:06"/>
    <d v="1899-12-30T12:37:50"/>
    <d v="1899-12-30T00:03:44"/>
  </r>
  <r>
    <x v="0"/>
    <d v="2017-07-27T00:00:00"/>
    <d v="1899-12-30T12:35:26"/>
    <d v="1899-12-30T12:42:47"/>
    <d v="1899-12-30T00:07:21"/>
  </r>
  <r>
    <x v="0"/>
    <d v="2017-07-27T00:00:00"/>
    <d v="1899-12-30T12:43:06"/>
    <d v="1899-12-30T12:53:51"/>
    <d v="1899-12-30T00:10:45"/>
  </r>
  <r>
    <x v="0"/>
    <d v="2017-07-27T00:00:00"/>
    <d v="1899-12-30T12:47:45"/>
    <d v="1899-12-30T12:49:45"/>
    <d v="1899-12-30T00:02:00"/>
  </r>
  <r>
    <x v="0"/>
    <d v="2017-07-27T00:00:00"/>
    <d v="1899-12-30T12:52:48"/>
    <d v="1899-12-30T12:59:03"/>
    <d v="1899-12-30T00:06:15"/>
  </r>
  <r>
    <x v="0"/>
    <d v="2017-07-27T00:00:00"/>
    <d v="1899-12-30T12:59:41"/>
    <d v="1899-12-30T13:02:07"/>
    <d v="1899-12-30T00:02:26"/>
  </r>
  <r>
    <x v="0"/>
    <d v="2017-07-27T00:00:00"/>
    <d v="1899-12-30T13:00:24"/>
    <d v="1899-12-30T13:13:57"/>
    <d v="1899-12-30T00:13:33"/>
  </r>
  <r>
    <x v="0"/>
    <d v="2017-07-27T00:00:00"/>
    <d v="1899-12-30T13:06:15"/>
    <d v="1899-12-30T13:10:05"/>
    <d v="1899-12-30T00:03:50"/>
  </r>
  <r>
    <x v="0"/>
    <d v="2017-07-27T00:00:00"/>
    <d v="1899-12-30T13:07:33"/>
    <d v="1899-12-30T13:07:47"/>
    <d v="1899-12-30T00:00:14"/>
  </r>
  <r>
    <x v="0"/>
    <d v="2017-07-27T00:00:00"/>
    <d v="1899-12-30T13:13:20"/>
    <d v="1899-12-30T13:26:50"/>
    <d v="1899-12-30T00:13:30"/>
  </r>
  <r>
    <x v="0"/>
    <d v="2017-07-27T00:00:00"/>
    <d v="1899-12-30T13:13:41"/>
    <d v="1899-12-30T13:27:05"/>
    <d v="1899-12-30T00:13:24"/>
  </r>
  <r>
    <x v="0"/>
    <d v="2017-07-27T00:00:00"/>
    <d v="1899-12-30T13:14:31"/>
    <d v="1899-12-30T13:25:15"/>
    <d v="1899-12-30T00:10:44"/>
  </r>
  <r>
    <x v="0"/>
    <d v="2017-07-27T00:00:00"/>
    <d v="1899-12-30T13:22:21"/>
    <d v="1899-12-30T13:22:51"/>
    <d v="1899-12-30T00:00:30"/>
  </r>
  <r>
    <x v="0"/>
    <d v="2017-07-27T00:00:00"/>
    <d v="1899-12-30T13:26:20"/>
    <d v="1899-12-30T13:32:14"/>
    <d v="1899-12-30T00:05:54"/>
  </r>
  <r>
    <x v="0"/>
    <d v="2017-07-27T00:00:00"/>
    <d v="1899-12-30T13:30:16"/>
    <d v="1899-12-30T13:33:51"/>
    <d v="1899-12-30T00:03:35"/>
  </r>
  <r>
    <x v="0"/>
    <d v="2017-07-27T00:00:00"/>
    <d v="1899-12-30T13:36:12"/>
    <d v="1899-12-30T13:39:02"/>
    <d v="1899-12-30T00:02:50"/>
  </r>
  <r>
    <x v="0"/>
    <d v="2017-07-27T00:00:00"/>
    <d v="1899-12-30T13:44:10"/>
    <d v="1899-12-30T13:49:44"/>
    <d v="1899-12-30T00:05:34"/>
  </r>
  <r>
    <x v="0"/>
    <d v="2017-07-27T00:00:00"/>
    <d v="1899-12-30T13:48:55"/>
    <d v="1899-12-30T13:54:52"/>
    <d v="1899-12-30T00:05:57"/>
  </r>
  <r>
    <x v="0"/>
    <d v="2017-07-27T00:00:00"/>
    <d v="1899-12-30T13:55:42"/>
    <d v="1899-12-30T14:06:46"/>
    <d v="1899-12-30T00:11:04"/>
  </r>
  <r>
    <x v="0"/>
    <d v="2017-07-27T00:00:00"/>
    <d v="1899-12-30T14:03:41"/>
    <d v="1899-12-30T14:19:46"/>
    <d v="1899-12-30T00:16:05"/>
  </r>
  <r>
    <x v="0"/>
    <d v="2017-07-27T00:00:00"/>
    <d v="1899-12-30T14:03:52"/>
    <d v="1899-12-30T14:09:11"/>
    <d v="1899-12-30T00:05:19"/>
  </r>
  <r>
    <x v="0"/>
    <d v="2017-07-27T00:00:00"/>
    <d v="1899-12-30T14:04:38"/>
    <d v="1899-12-30T14:20:34"/>
    <d v="1899-12-30T00:15:56"/>
  </r>
  <r>
    <x v="0"/>
    <d v="2017-07-27T00:00:00"/>
    <d v="1899-12-30T14:05:46"/>
    <d v="1899-12-30T14:16:27"/>
    <d v="1899-12-30T00:10:41"/>
  </r>
  <r>
    <x v="0"/>
    <d v="2017-07-27T00:00:00"/>
    <d v="1899-12-30T14:12:53"/>
    <d v="1899-12-30T14:24:30"/>
    <d v="1899-12-30T00:11:37"/>
  </r>
  <r>
    <x v="0"/>
    <d v="2017-07-27T00:00:00"/>
    <d v="1899-12-30T14:18:36"/>
    <d v="1899-12-30T14:21:16"/>
    <d v="1899-12-30T00:02:40"/>
  </r>
  <r>
    <x v="0"/>
    <d v="2017-07-27T00:00:00"/>
    <d v="1899-12-30T14:26:19"/>
    <d v="1899-12-30T14:41:47"/>
    <d v="1899-12-30T00:15:28"/>
  </r>
  <r>
    <x v="0"/>
    <d v="2017-07-27T00:00:00"/>
    <d v="1899-12-30T14:28:53"/>
    <d v="1899-12-30T14:44:19"/>
    <d v="1899-12-30T00:15:26"/>
  </r>
  <r>
    <x v="0"/>
    <d v="2017-07-27T00:00:00"/>
    <d v="1899-12-30T14:35:54"/>
    <d v="1899-12-30T14:39:26"/>
    <d v="1899-12-30T00:03:32"/>
  </r>
  <r>
    <x v="0"/>
    <d v="2017-07-27T00:00:00"/>
    <d v="1899-12-30T14:39:10"/>
    <d v="1899-12-30T14:44:15"/>
    <d v="1899-12-30T00:05:05"/>
  </r>
  <r>
    <x v="0"/>
    <d v="2017-07-27T00:00:00"/>
    <d v="1899-12-30T14:44:04"/>
    <d v="1899-12-30T14:50:22"/>
    <d v="1899-12-30T00:06:18"/>
  </r>
  <r>
    <x v="0"/>
    <d v="2017-07-27T00:00:00"/>
    <d v="1899-12-30T14:52:12"/>
    <d v="1899-12-30T14:56:46"/>
    <d v="1899-12-30T00:04:34"/>
  </r>
  <r>
    <x v="0"/>
    <d v="2017-07-27T00:00:00"/>
    <d v="1899-12-30T14:55:46"/>
    <d v="1899-12-30T15:00:47"/>
    <d v="1899-12-30T00:05:01"/>
  </r>
  <r>
    <x v="0"/>
    <d v="2017-07-27T00:00:00"/>
    <d v="1899-12-30T15:00:45"/>
    <d v="1899-12-30T15:07:35"/>
    <d v="1899-12-30T00:06:50"/>
  </r>
  <r>
    <x v="0"/>
    <d v="2017-07-28T00:00:00"/>
    <d v="1899-12-30T08:05:11"/>
    <d v="1899-12-30T08:15:22"/>
    <d v="1899-12-30T00:10:11"/>
  </r>
  <r>
    <x v="0"/>
    <d v="2017-07-28T00:00:00"/>
    <d v="1899-12-30T08:05:14"/>
    <d v="1899-12-30T08:06:51"/>
    <d v="1899-12-30T00:01:37"/>
  </r>
  <r>
    <x v="0"/>
    <d v="2017-07-28T00:00:00"/>
    <d v="1899-12-30T08:07:10"/>
    <d v="1899-12-30T08:20:31"/>
    <d v="1899-12-30T00:13:21"/>
  </r>
  <r>
    <x v="0"/>
    <d v="2017-07-28T00:00:00"/>
    <d v="1899-12-30T08:08:33"/>
    <d v="1899-12-30T08:22:00"/>
    <d v="1899-12-30T00:13:27"/>
  </r>
  <r>
    <x v="0"/>
    <d v="2017-07-28T00:00:00"/>
    <d v="1899-12-30T08:16:46"/>
    <d v="1899-12-30T08:31:01"/>
    <d v="1899-12-30T00:14:15"/>
  </r>
  <r>
    <x v="0"/>
    <d v="2017-07-28T00:00:00"/>
    <d v="1899-12-30T08:21:30"/>
    <d v="1899-12-30T08:22:09"/>
    <d v="1899-12-30T00:00:39"/>
  </r>
  <r>
    <x v="0"/>
    <d v="2017-07-28T00:00:00"/>
    <d v="1899-12-30T08:23:02"/>
    <d v="1899-12-30T08:29:16"/>
    <d v="1899-12-30T00:06:14"/>
  </r>
  <r>
    <x v="0"/>
    <d v="2017-07-28T00:00:00"/>
    <d v="1899-12-30T08:23:46"/>
    <d v="1899-12-30T08:31:17"/>
    <d v="1899-12-30T00:07:31"/>
  </r>
  <r>
    <x v="0"/>
    <d v="2017-07-28T00:00:00"/>
    <d v="1899-12-30T08:31:29"/>
    <d v="1899-12-30T08:39:27"/>
    <d v="1899-12-30T00:07:58"/>
  </r>
  <r>
    <x v="0"/>
    <d v="2017-07-28T00:00:00"/>
    <d v="1899-12-30T08:34:48"/>
    <d v="1899-12-30T08:49:48"/>
    <d v="1899-12-30T00:15:00"/>
  </r>
  <r>
    <x v="0"/>
    <d v="2017-07-28T00:00:00"/>
    <d v="1899-12-30T08:35:37"/>
    <d v="1899-12-30T08:50:26"/>
    <d v="1899-12-30T00:14:49"/>
  </r>
  <r>
    <x v="0"/>
    <d v="2017-07-28T00:00:00"/>
    <d v="1899-12-30T08:37:47"/>
    <d v="1899-12-30T08:40:46"/>
    <d v="1899-12-30T00:02:59"/>
  </r>
  <r>
    <x v="0"/>
    <d v="2017-07-28T00:00:00"/>
    <d v="1899-12-30T08:43:02"/>
    <d v="1899-12-30T08:48:20"/>
    <d v="1899-12-30T00:05:18"/>
  </r>
  <r>
    <x v="0"/>
    <d v="2017-07-28T00:00:00"/>
    <d v="1899-12-30T08:49:28"/>
    <d v="1899-12-30T08:58:55"/>
    <d v="1899-12-30T00:09:27"/>
  </r>
  <r>
    <x v="0"/>
    <d v="2017-07-28T00:00:00"/>
    <d v="1899-12-30T08:55:08"/>
    <d v="1899-12-30T08:56:46"/>
    <d v="1899-12-30T00:01:38"/>
  </r>
  <r>
    <x v="0"/>
    <d v="2017-07-28T00:00:00"/>
    <d v="1899-12-30T08:57:31"/>
    <d v="1899-12-30T09:06:40"/>
    <d v="1899-12-30T00:09:09"/>
  </r>
  <r>
    <x v="0"/>
    <d v="2017-07-28T00:00:00"/>
    <d v="1899-12-30T09:00:12"/>
    <d v="1899-12-30T09:03:36"/>
    <d v="1899-12-30T00:03:24"/>
  </r>
  <r>
    <x v="0"/>
    <d v="2017-07-28T00:00:00"/>
    <d v="1899-12-30T09:04:14"/>
    <d v="1899-12-30T09:17:48"/>
    <d v="1899-12-30T00:13:34"/>
  </r>
  <r>
    <x v="0"/>
    <d v="2017-07-28T00:00:00"/>
    <d v="1899-12-30T09:11:36"/>
    <d v="1899-12-30T09:17:33"/>
    <d v="1899-12-30T00:05:57"/>
  </r>
  <r>
    <x v="0"/>
    <d v="2017-07-28T00:00:00"/>
    <d v="1899-12-30T09:19:26"/>
    <d v="1899-12-30T09:31:48"/>
    <d v="1899-12-30T00:12:22"/>
  </r>
  <r>
    <x v="0"/>
    <d v="2017-07-28T00:00:00"/>
    <d v="1899-12-30T09:21:41"/>
    <d v="1899-12-30T09:29:41"/>
    <d v="1899-12-30T00:08:00"/>
  </r>
  <r>
    <x v="0"/>
    <d v="2017-07-28T00:00:00"/>
    <d v="1899-12-30T09:25:29"/>
    <d v="1899-12-30T09:37:49"/>
    <d v="1899-12-30T00:12:20"/>
  </r>
  <r>
    <x v="0"/>
    <d v="2017-07-28T00:00:00"/>
    <d v="1899-12-30T09:25:58"/>
    <d v="1899-12-30T09:31:04"/>
    <d v="1899-12-30T00:05:06"/>
  </r>
  <r>
    <x v="0"/>
    <d v="2017-07-28T00:00:00"/>
    <d v="1899-12-30T09:33:29"/>
    <d v="1899-12-30T09:33:55"/>
    <d v="1899-12-30T00:00:26"/>
  </r>
  <r>
    <x v="0"/>
    <d v="2017-07-28T00:00:00"/>
    <d v="1899-12-30T09:34:53"/>
    <d v="1899-12-30T09:42:57"/>
    <d v="1899-12-30T00:08:04"/>
  </r>
  <r>
    <x v="0"/>
    <d v="2017-07-28T00:00:00"/>
    <d v="1899-12-30T09:40:00"/>
    <d v="1899-12-30T09:44:38"/>
    <d v="1899-12-30T00:04:38"/>
  </r>
  <r>
    <x v="0"/>
    <d v="2017-07-28T00:00:00"/>
    <d v="1899-12-30T09:48:08"/>
    <d v="1899-12-30T10:02:53"/>
    <d v="1899-12-30T00:14:45"/>
  </r>
  <r>
    <x v="0"/>
    <d v="2017-07-28T00:00:00"/>
    <d v="1899-12-30T09:49:46"/>
    <d v="1899-12-30T09:54:25"/>
    <d v="1899-12-30T00:04:39"/>
  </r>
  <r>
    <x v="0"/>
    <d v="2017-07-28T00:00:00"/>
    <d v="1899-12-30T09:53:41"/>
    <d v="1899-12-30T10:00:45"/>
    <d v="1899-12-30T00:07:04"/>
  </r>
  <r>
    <x v="0"/>
    <d v="2017-07-28T00:00:00"/>
    <d v="1899-12-30T09:57:55"/>
    <d v="1899-12-30T10:03:16"/>
    <d v="1899-12-30T00:05:21"/>
  </r>
  <r>
    <x v="0"/>
    <d v="2017-07-28T00:00:00"/>
    <d v="1899-12-30T10:06:09"/>
    <d v="1899-12-30T10:16:41"/>
    <d v="1899-12-30T00:10:32"/>
  </r>
  <r>
    <x v="0"/>
    <d v="2017-07-28T00:00:00"/>
    <d v="1899-12-30T10:09:03"/>
    <d v="1899-12-30T10:10:54"/>
    <d v="1899-12-30T00:01:51"/>
  </r>
  <r>
    <x v="0"/>
    <d v="2017-07-28T00:00:00"/>
    <d v="1899-12-30T10:11:41"/>
    <d v="1899-12-30T10:20:54"/>
    <d v="1899-12-30T00:09:13"/>
  </r>
  <r>
    <x v="0"/>
    <d v="2017-07-28T00:00:00"/>
    <d v="1899-12-30T10:16:03"/>
    <d v="1899-12-30T10:30:12"/>
    <d v="1899-12-30T00:14:09"/>
  </r>
  <r>
    <x v="0"/>
    <d v="2017-07-28T00:00:00"/>
    <d v="1899-12-30T10:21:06"/>
    <d v="1899-12-30T10:31:45"/>
    <d v="1899-12-30T00:10:39"/>
  </r>
  <r>
    <x v="0"/>
    <d v="2017-07-28T00:00:00"/>
    <d v="1899-12-30T10:24:16"/>
    <d v="1899-12-30T10:35:21"/>
    <d v="1899-12-30T00:11:05"/>
  </r>
  <r>
    <x v="0"/>
    <d v="2017-07-28T00:00:00"/>
    <d v="1899-12-30T10:27:09"/>
    <d v="1899-12-30T10:42:04"/>
    <d v="1899-12-30T00:14:55"/>
  </r>
  <r>
    <x v="0"/>
    <d v="2017-07-28T00:00:00"/>
    <d v="1899-12-30T10:33:15"/>
    <d v="1899-12-30T10:44:05"/>
    <d v="1899-12-30T00:10:50"/>
  </r>
  <r>
    <x v="0"/>
    <d v="2017-07-28T00:00:00"/>
    <d v="1899-12-30T10:40:40"/>
    <d v="1899-12-30T10:41:56"/>
    <d v="1899-12-30T00:01:16"/>
  </r>
  <r>
    <x v="0"/>
    <d v="2017-07-28T00:00:00"/>
    <d v="1899-12-30T10:42:19"/>
    <d v="1899-12-30T10:51:39"/>
    <d v="1899-12-30T00:09:20"/>
  </r>
  <r>
    <x v="0"/>
    <d v="2017-07-28T00:00:00"/>
    <d v="1899-12-30T10:48:53"/>
    <d v="1899-12-30T10:57:43"/>
    <d v="1899-12-30T00:08:50"/>
  </r>
  <r>
    <x v="0"/>
    <d v="2017-07-28T00:00:00"/>
    <d v="1899-12-30T10:55:52"/>
    <d v="1899-12-30T11:06:08"/>
    <d v="1899-12-30T00:10:16"/>
  </r>
  <r>
    <x v="0"/>
    <d v="2017-07-28T00:00:00"/>
    <d v="1899-12-30T10:58:54"/>
    <d v="1899-12-30T11:04:26"/>
    <d v="1899-12-30T00:05:32"/>
  </r>
  <r>
    <x v="0"/>
    <d v="2017-07-28T00:00:00"/>
    <d v="1899-12-30T11:06:17"/>
    <d v="1899-12-30T11:11:20"/>
    <d v="1899-12-30T00:05:03"/>
  </r>
  <r>
    <x v="0"/>
    <d v="2017-07-28T00:00:00"/>
    <d v="1899-12-30T11:08:10"/>
    <d v="1899-12-30T11:10:15"/>
    <d v="1899-12-30T00:02:05"/>
  </r>
  <r>
    <x v="0"/>
    <d v="2017-07-28T00:00:00"/>
    <d v="1899-12-30T11:13:24"/>
    <d v="1899-12-30T11:21:59"/>
    <d v="1899-12-30T00:08:35"/>
  </r>
  <r>
    <x v="0"/>
    <d v="2017-07-28T00:00:00"/>
    <d v="1899-12-30T11:18:24"/>
    <d v="1899-12-30T11:31:27"/>
    <d v="1899-12-30T00:13:03"/>
  </r>
  <r>
    <x v="0"/>
    <d v="2017-07-28T00:00:00"/>
    <d v="1899-12-30T11:23:21"/>
    <d v="1899-12-30T11:24:54"/>
    <d v="1899-12-30T00:01:33"/>
  </r>
  <r>
    <x v="0"/>
    <d v="2017-07-28T00:00:00"/>
    <d v="1899-12-30T11:27:22"/>
    <d v="1899-12-30T11:31:15"/>
    <d v="1899-12-30T00:03:53"/>
  </r>
  <r>
    <x v="0"/>
    <d v="2017-07-28T00:00:00"/>
    <d v="1899-12-30T11:28:46"/>
    <d v="1899-12-30T11:42:18"/>
    <d v="1899-12-30T00:13:32"/>
  </r>
  <r>
    <x v="0"/>
    <d v="2017-07-28T00:00:00"/>
    <d v="1899-12-30T11:30:10"/>
    <d v="1899-12-30T11:33:54"/>
    <d v="1899-12-30T00:03:44"/>
  </r>
  <r>
    <x v="0"/>
    <d v="2017-07-28T00:00:00"/>
    <d v="1899-12-30T11:31:49"/>
    <d v="1899-12-30T11:37:17"/>
    <d v="1899-12-30T00:05:28"/>
  </r>
  <r>
    <x v="0"/>
    <d v="2017-07-28T00:00:00"/>
    <d v="1899-12-30T11:33:28"/>
    <d v="1899-12-30T11:42:45"/>
    <d v="1899-12-30T00:09:17"/>
  </r>
  <r>
    <x v="0"/>
    <d v="2017-07-28T00:00:00"/>
    <d v="1899-12-30T11:36:24"/>
    <d v="1899-12-30T11:45:33"/>
    <d v="1899-12-30T00:09:09"/>
  </r>
  <r>
    <x v="0"/>
    <d v="2017-07-28T00:00:00"/>
    <d v="1899-12-30T11:39:59"/>
    <d v="1899-12-30T11:43:27"/>
    <d v="1899-12-30T00:03:28"/>
  </r>
  <r>
    <x v="0"/>
    <d v="2017-07-28T00:00:00"/>
    <d v="1899-12-30T11:46:18"/>
    <d v="1899-12-30T11:55:28"/>
    <d v="1899-12-30T00:09:10"/>
  </r>
  <r>
    <x v="0"/>
    <d v="2017-07-28T00:00:00"/>
    <d v="1899-12-30T11:50:00"/>
    <d v="1899-12-30T12:06:16"/>
    <d v="1899-12-30T00:16:16"/>
  </r>
  <r>
    <x v="0"/>
    <d v="2017-07-28T00:00:00"/>
    <d v="1899-12-30T11:51:23"/>
    <d v="1899-12-30T11:55:26"/>
    <d v="1899-12-30T00:04:03"/>
  </r>
  <r>
    <x v="0"/>
    <d v="2017-07-28T00:00:00"/>
    <d v="1899-12-30T11:53:35"/>
    <d v="1899-12-30T11:55:13"/>
    <d v="1899-12-30T00:01:38"/>
  </r>
  <r>
    <x v="0"/>
    <d v="2017-07-28T00:00:00"/>
    <d v="1899-12-30T11:57:58"/>
    <d v="1899-12-30T12:12:50"/>
    <d v="1899-12-30T00:14:52"/>
  </r>
  <r>
    <x v="0"/>
    <d v="2017-07-28T00:00:00"/>
    <d v="1899-12-30T12:03:00"/>
    <d v="1899-12-30T12:15:51"/>
    <d v="1899-12-30T00:12:51"/>
  </r>
  <r>
    <x v="0"/>
    <d v="2017-07-28T00:00:00"/>
    <d v="1899-12-30T12:05:37"/>
    <d v="1899-12-30T12:08:55"/>
    <d v="1899-12-30T00:03:18"/>
  </r>
  <r>
    <x v="0"/>
    <d v="2017-07-28T00:00:00"/>
    <d v="1899-12-30T12:11:53"/>
    <d v="1899-12-30T12:24:16"/>
    <d v="1899-12-30T00:12:23"/>
  </r>
  <r>
    <x v="0"/>
    <d v="2017-07-28T00:00:00"/>
    <d v="1899-12-30T12:14:09"/>
    <d v="1899-12-30T12:22:08"/>
    <d v="1899-12-30T00:07:59"/>
  </r>
  <r>
    <x v="0"/>
    <d v="2017-07-28T00:00:00"/>
    <d v="1899-12-30T12:19:59"/>
    <d v="1899-12-30T12:30:11"/>
    <d v="1899-12-30T00:10:12"/>
  </r>
  <r>
    <x v="0"/>
    <d v="2017-07-28T00:00:00"/>
    <d v="1899-12-30T12:21:31"/>
    <d v="1899-12-30T12:35:43"/>
    <d v="1899-12-30T00:14:12"/>
  </r>
  <r>
    <x v="0"/>
    <d v="2017-07-28T00:00:00"/>
    <d v="1899-12-30T12:24:55"/>
    <d v="1899-12-30T12:26:37"/>
    <d v="1899-12-30T00:01:42"/>
  </r>
  <r>
    <x v="0"/>
    <d v="2017-07-28T00:00:00"/>
    <d v="1899-12-30T12:27:29"/>
    <d v="1899-12-30T12:27:47"/>
    <d v="1899-12-30T00:00:18"/>
  </r>
  <r>
    <x v="0"/>
    <d v="2017-07-28T00:00:00"/>
    <d v="1899-12-30T12:35:32"/>
    <d v="1899-12-30T12:45:46"/>
    <d v="1899-12-30T00:10:14"/>
  </r>
  <r>
    <x v="0"/>
    <d v="2017-07-28T00:00:00"/>
    <d v="1899-12-30T12:37:29"/>
    <d v="1899-12-30T12:47:35"/>
    <d v="1899-12-30T00:10:06"/>
  </r>
  <r>
    <x v="0"/>
    <d v="2017-07-28T00:00:00"/>
    <d v="1899-12-30T12:40:31"/>
    <d v="1899-12-30T12:43:46"/>
    <d v="1899-12-30T00:03:15"/>
  </r>
  <r>
    <x v="0"/>
    <d v="2017-07-28T00:00:00"/>
    <d v="1899-12-30T12:47:40"/>
    <d v="1899-12-30T12:55:45"/>
    <d v="1899-12-30T00:08:05"/>
  </r>
  <r>
    <x v="0"/>
    <d v="2017-07-28T00:00:00"/>
    <d v="1899-12-30T12:51:00"/>
    <d v="1899-12-30T12:52:48"/>
    <d v="1899-12-30T00:01:48"/>
  </r>
  <r>
    <x v="0"/>
    <d v="2017-07-28T00:00:00"/>
    <d v="1899-12-30T12:54:20"/>
    <d v="1899-12-30T13:06:39"/>
    <d v="1899-12-30T00:12:19"/>
  </r>
  <r>
    <x v="0"/>
    <d v="2017-07-28T00:00:00"/>
    <d v="1899-12-30T13:00:47"/>
    <d v="1899-12-30T13:11:15"/>
    <d v="1899-12-30T00:10:28"/>
  </r>
  <r>
    <x v="0"/>
    <d v="2017-07-28T00:00:00"/>
    <d v="1899-12-30T13:06:14"/>
    <d v="1899-12-30T13:08:32"/>
    <d v="1899-12-30T00:02:18"/>
  </r>
  <r>
    <x v="0"/>
    <d v="2017-07-28T00:00:00"/>
    <d v="1899-12-30T13:10:38"/>
    <d v="1899-12-30T13:16:57"/>
    <d v="1899-12-30T00:06:19"/>
  </r>
  <r>
    <x v="0"/>
    <d v="2017-07-28T00:00:00"/>
    <d v="1899-12-30T13:16:49"/>
    <d v="1899-12-30T13:31:17"/>
    <d v="1899-12-30T00:14:28"/>
  </r>
  <r>
    <x v="0"/>
    <d v="2017-07-28T00:00:00"/>
    <d v="1899-12-30T13:23:37"/>
    <d v="1899-12-30T13:25:18"/>
    <d v="1899-12-30T00:01:41"/>
  </r>
  <r>
    <x v="0"/>
    <d v="2017-07-28T00:00:00"/>
    <d v="1899-12-30T13:28:44"/>
    <d v="1899-12-30T13:39:01"/>
    <d v="1899-12-30T00:10:17"/>
  </r>
  <r>
    <x v="0"/>
    <d v="2017-07-28T00:00:00"/>
    <d v="1899-12-30T13:36:06"/>
    <d v="1899-12-30T13:51:15"/>
    <d v="1899-12-30T00:15:09"/>
  </r>
  <r>
    <x v="0"/>
    <d v="2017-07-28T00:00:00"/>
    <d v="1899-12-30T13:38:14"/>
    <d v="1899-12-30T13:51:24"/>
    <d v="1899-12-30T00:13:10"/>
  </r>
  <r>
    <x v="0"/>
    <d v="2017-07-28T00:00:00"/>
    <d v="1899-12-30T13:41:32"/>
    <d v="1899-12-30T13:55:55"/>
    <d v="1899-12-30T00:14:23"/>
  </r>
  <r>
    <x v="0"/>
    <d v="2017-07-28T00:00:00"/>
    <d v="1899-12-30T13:42:55"/>
    <d v="1899-12-30T13:50:03"/>
    <d v="1899-12-30T00:07:08"/>
  </r>
  <r>
    <x v="0"/>
    <d v="2017-07-28T00:00:00"/>
    <d v="1899-12-30T13:43:29"/>
    <d v="1899-12-30T13:46:16"/>
    <d v="1899-12-30T00:02:47"/>
  </r>
  <r>
    <x v="0"/>
    <d v="2017-07-28T00:00:00"/>
    <d v="1899-12-30T13:49:52"/>
    <d v="1899-12-30T14:04:15"/>
    <d v="1899-12-30T00:14:23"/>
  </r>
  <r>
    <x v="0"/>
    <d v="2017-07-28T00:00:00"/>
    <d v="1899-12-30T13:52:50"/>
    <d v="1899-12-30T14:04:29"/>
    <d v="1899-12-30T00:11:39"/>
  </r>
  <r>
    <x v="0"/>
    <d v="2017-07-28T00:00:00"/>
    <d v="1899-12-30T13:59:58"/>
    <d v="1899-12-30T14:02:58"/>
    <d v="1899-12-30T00:03:00"/>
  </r>
  <r>
    <x v="0"/>
    <d v="2017-07-28T00:00:00"/>
    <d v="1899-12-30T14:00:17"/>
    <d v="1899-12-30T14:08:53"/>
    <d v="1899-12-30T00:08:36"/>
  </r>
  <r>
    <x v="0"/>
    <d v="2017-07-28T00:00:00"/>
    <d v="1899-12-30T14:08:03"/>
    <d v="1899-12-30T14:15:06"/>
    <d v="1899-12-30T00:07:03"/>
  </r>
  <r>
    <x v="0"/>
    <d v="2017-07-28T00:00:00"/>
    <d v="1899-12-30T14:10:07"/>
    <d v="1899-12-30T14:22:59"/>
    <d v="1899-12-30T00:12:52"/>
  </r>
  <r>
    <x v="0"/>
    <d v="2017-07-28T00:00:00"/>
    <d v="1899-12-30T14:15:56"/>
    <d v="1899-12-30T14:24:42"/>
    <d v="1899-12-30T00:08:46"/>
  </r>
  <r>
    <x v="0"/>
    <d v="2017-07-28T00:00:00"/>
    <d v="1899-12-30T14:20:57"/>
    <d v="1899-12-30T14:32:18"/>
    <d v="1899-12-30T00:11:21"/>
  </r>
  <r>
    <x v="0"/>
    <d v="2017-07-28T00:00:00"/>
    <d v="1899-12-30T14:28:39"/>
    <d v="1899-12-30T14:33:03"/>
    <d v="1899-12-30T00:04:24"/>
  </r>
  <r>
    <x v="0"/>
    <d v="2017-07-28T00:00:00"/>
    <d v="1899-12-30T14:34:44"/>
    <d v="1899-12-30T14:38:39"/>
    <d v="1899-12-30T00:03:55"/>
  </r>
  <r>
    <x v="0"/>
    <d v="2017-07-28T00:00:00"/>
    <d v="1899-12-30T14:43:03"/>
    <d v="1899-12-30T14:55:01"/>
    <d v="1899-12-30T00:11:58"/>
  </r>
  <r>
    <x v="0"/>
    <d v="2017-07-28T00:00:00"/>
    <d v="1899-12-30T14:46:37"/>
    <d v="1899-12-30T14:58:59"/>
    <d v="1899-12-30T00:12:22"/>
  </r>
  <r>
    <x v="0"/>
    <d v="2017-07-28T00:00:00"/>
    <d v="1899-12-30T14:52:16"/>
    <d v="1899-12-30T14:58:33"/>
    <d v="1899-12-30T00:06:17"/>
  </r>
  <r>
    <x v="0"/>
    <d v="2017-07-28T00:00:00"/>
    <d v="1899-12-30T14:55:45"/>
    <d v="1899-12-30T14:59:09"/>
    <d v="1899-12-30T00:03:24"/>
  </r>
  <r>
    <x v="0"/>
    <d v="2017-07-28T00:00:00"/>
    <d v="1899-12-30T15:00:02"/>
    <d v="1899-12-30T15:15:28"/>
    <d v="1899-12-30T00:15:26"/>
  </r>
  <r>
    <x v="0"/>
    <d v="2017-07-31T00:00:00"/>
    <d v="1899-12-30T08:01:15"/>
    <d v="1899-12-30T08:11:54"/>
    <d v="1899-12-30T00:10:39"/>
  </r>
  <r>
    <x v="0"/>
    <d v="2017-07-31T00:00:00"/>
    <d v="1899-12-30T08:08:35"/>
    <d v="1899-12-30T08:14:38"/>
    <d v="1899-12-30T00:06:03"/>
  </r>
  <r>
    <x v="0"/>
    <d v="2017-07-31T00:00:00"/>
    <d v="1899-12-30T08:15:03"/>
    <d v="1899-12-30T08:19:21"/>
    <d v="1899-12-30T00:04:18"/>
  </r>
  <r>
    <x v="0"/>
    <d v="2017-07-31T00:00:00"/>
    <d v="1899-12-30T08:18:23"/>
    <d v="1899-12-30T08:25:42"/>
    <d v="1899-12-30T00:07:19"/>
  </r>
  <r>
    <x v="0"/>
    <d v="2017-07-31T00:00:00"/>
    <d v="1899-12-30T08:26:25"/>
    <d v="1899-12-30T08:31:45"/>
    <d v="1899-12-30T00:05:20"/>
  </r>
  <r>
    <x v="0"/>
    <d v="2017-07-31T00:00:00"/>
    <d v="1899-12-30T08:28:48"/>
    <d v="1899-12-30T08:36:10"/>
    <d v="1899-12-30T00:07:22"/>
  </r>
  <r>
    <x v="0"/>
    <d v="2017-07-31T00:00:00"/>
    <d v="1899-12-30T08:35:26"/>
    <d v="1899-12-30T08:46:38"/>
    <d v="1899-12-30T00:11:12"/>
  </r>
  <r>
    <x v="0"/>
    <d v="2017-07-31T00:00:00"/>
    <d v="1899-12-30T08:38:04"/>
    <d v="1899-12-30T08:51:07"/>
    <d v="1899-12-30T00:13:03"/>
  </r>
  <r>
    <x v="0"/>
    <d v="2017-07-31T00:00:00"/>
    <d v="1899-12-30T08:44:05"/>
    <d v="1899-12-30T08:58:11"/>
    <d v="1899-12-30T00:14:06"/>
  </r>
  <r>
    <x v="0"/>
    <d v="2017-07-31T00:00:00"/>
    <d v="1899-12-30T08:46:21"/>
    <d v="1899-12-30T08:52:22"/>
    <d v="1899-12-30T00:06:01"/>
  </r>
  <r>
    <x v="0"/>
    <d v="2017-07-31T00:00:00"/>
    <d v="1899-12-30T08:49:35"/>
    <d v="1899-12-30T09:01:13"/>
    <d v="1899-12-30T00:11:38"/>
  </r>
  <r>
    <x v="0"/>
    <d v="2017-07-31T00:00:00"/>
    <d v="1899-12-30T08:55:15"/>
    <d v="1899-12-30T09:11:36"/>
    <d v="1899-12-30T00:16:21"/>
  </r>
  <r>
    <x v="0"/>
    <d v="2017-07-31T00:00:00"/>
    <d v="1899-12-30T08:56:15"/>
    <d v="1899-12-30T09:02:36"/>
    <d v="1899-12-30T00:06:21"/>
  </r>
  <r>
    <x v="0"/>
    <d v="2017-07-31T00:00:00"/>
    <d v="1899-12-30T09:03:05"/>
    <d v="1899-12-30T09:08:55"/>
    <d v="1899-12-30T00:05:50"/>
  </r>
  <r>
    <x v="0"/>
    <d v="2017-07-31T00:00:00"/>
    <d v="1899-12-30T09:09:05"/>
    <d v="1899-12-30T09:11:14"/>
    <d v="1899-12-30T00:02:09"/>
  </r>
  <r>
    <x v="0"/>
    <d v="2017-07-31T00:00:00"/>
    <d v="1899-12-30T09:09:09"/>
    <d v="1899-12-30T09:10:14"/>
    <d v="1899-12-30T00:01:05"/>
  </r>
  <r>
    <x v="0"/>
    <d v="2017-07-31T00:00:00"/>
    <d v="1899-12-30T09:16:26"/>
    <d v="1899-12-30T09:29:31"/>
    <d v="1899-12-30T00:13:05"/>
  </r>
  <r>
    <x v="0"/>
    <d v="2017-07-31T00:00:00"/>
    <d v="1899-12-30T09:20:33"/>
    <d v="1899-12-30T09:31:59"/>
    <d v="1899-12-30T00:11:26"/>
  </r>
  <r>
    <x v="0"/>
    <d v="2017-07-31T00:00:00"/>
    <d v="1899-12-30T09:21:56"/>
    <d v="1899-12-30T09:32:23"/>
    <d v="1899-12-30T00:10:27"/>
  </r>
  <r>
    <x v="0"/>
    <d v="2017-07-31T00:00:00"/>
    <d v="1899-12-30T09:26:32"/>
    <d v="1899-12-30T09:38:37"/>
    <d v="1899-12-30T00:12:05"/>
  </r>
  <r>
    <x v="0"/>
    <d v="2017-07-31T00:00:00"/>
    <d v="1899-12-30T09:32:38"/>
    <d v="1899-12-30T09:35:23"/>
    <d v="1899-12-30T00:02:45"/>
  </r>
  <r>
    <x v="0"/>
    <d v="2017-07-31T00:00:00"/>
    <d v="1899-12-30T09:34:15"/>
    <d v="1899-12-30T09:36:36"/>
    <d v="1899-12-30T00:02:21"/>
  </r>
  <r>
    <x v="0"/>
    <d v="2017-07-31T00:00:00"/>
    <d v="1899-12-30T09:40:31"/>
    <d v="1899-12-30T09:47:08"/>
    <d v="1899-12-30T00:06:37"/>
  </r>
  <r>
    <x v="0"/>
    <d v="2017-07-31T00:00:00"/>
    <d v="1899-12-30T09:40:44"/>
    <d v="1899-12-30T09:56:14"/>
    <d v="1899-12-30T00:15:30"/>
  </r>
  <r>
    <x v="0"/>
    <d v="2017-07-31T00:00:00"/>
    <d v="1899-12-30T09:43:10"/>
    <d v="1899-12-30T09:52:49"/>
    <d v="1899-12-30T00:09:39"/>
  </r>
  <r>
    <x v="0"/>
    <d v="2017-07-31T00:00:00"/>
    <d v="1899-12-30T09:46:27"/>
    <d v="1899-12-30T10:02:12"/>
    <d v="1899-12-30T00:15:45"/>
  </r>
  <r>
    <x v="0"/>
    <d v="2017-07-31T00:00:00"/>
    <d v="1899-12-30T09:47:20"/>
    <d v="1899-12-30T09:48:11"/>
    <d v="1899-12-30T00:00:51"/>
  </r>
  <r>
    <x v="0"/>
    <d v="2017-07-31T00:00:00"/>
    <d v="1899-12-30T09:55:13"/>
    <d v="1899-12-30T10:10:27"/>
    <d v="1899-12-30T00:15:14"/>
  </r>
  <r>
    <x v="0"/>
    <d v="2017-07-31T00:00:00"/>
    <d v="1899-12-30T09:55:16"/>
    <d v="1899-12-30T10:01:06"/>
    <d v="1899-12-30T00:05:50"/>
  </r>
  <r>
    <x v="0"/>
    <d v="2017-07-31T00:00:00"/>
    <d v="1899-12-30T09:57:56"/>
    <d v="1899-12-30T10:09:27"/>
    <d v="1899-12-30T00:11:31"/>
  </r>
  <r>
    <x v="0"/>
    <d v="2017-07-31T00:00:00"/>
    <d v="1899-12-30T10:02:31"/>
    <d v="1899-12-30T10:14:33"/>
    <d v="1899-12-30T00:12:02"/>
  </r>
  <r>
    <x v="0"/>
    <d v="2017-07-31T00:00:00"/>
    <d v="1899-12-30T10:02:59"/>
    <d v="1899-12-30T10:12:02"/>
    <d v="1899-12-30T00:09:03"/>
  </r>
  <r>
    <x v="0"/>
    <d v="2017-07-31T00:00:00"/>
    <d v="1899-12-30T10:04:07"/>
    <d v="1899-12-30T10:06:19"/>
    <d v="1899-12-30T00:02:12"/>
  </r>
  <r>
    <x v="0"/>
    <d v="2017-07-31T00:00:00"/>
    <d v="1899-12-30T10:06:24"/>
    <d v="1899-12-30T10:11:10"/>
    <d v="1899-12-30T00:04:46"/>
  </r>
  <r>
    <x v="0"/>
    <d v="2017-07-31T00:00:00"/>
    <d v="1899-12-30T10:08:22"/>
    <d v="1899-12-30T10:14:43"/>
    <d v="1899-12-30T00:06:21"/>
  </r>
  <r>
    <x v="0"/>
    <d v="2017-07-31T00:00:00"/>
    <d v="1899-12-30T10:13:15"/>
    <d v="1899-12-30T10:15:03"/>
    <d v="1899-12-30T00:01:48"/>
  </r>
  <r>
    <x v="0"/>
    <d v="2017-07-31T00:00:00"/>
    <d v="1899-12-30T10:21:32"/>
    <d v="1899-12-30T10:35:49"/>
    <d v="1899-12-30T00:14:17"/>
  </r>
  <r>
    <x v="0"/>
    <d v="2017-07-31T00:00:00"/>
    <d v="1899-12-30T10:28:45"/>
    <d v="1899-12-30T10:33:30"/>
    <d v="1899-12-30T00:04:45"/>
  </r>
  <r>
    <x v="0"/>
    <d v="2017-07-31T00:00:00"/>
    <d v="1899-12-30T10:29:05"/>
    <d v="1899-12-30T10:39:16"/>
    <d v="1899-12-30T00:10:11"/>
  </r>
  <r>
    <x v="0"/>
    <d v="2017-07-31T00:00:00"/>
    <d v="1899-12-30T10:37:06"/>
    <d v="1899-12-30T10:53:02"/>
    <d v="1899-12-30T00:15:56"/>
  </r>
  <r>
    <x v="0"/>
    <d v="2017-07-31T00:00:00"/>
    <d v="1899-12-30T10:45:09"/>
    <d v="1899-12-30T11:00:51"/>
    <d v="1899-12-30T00:15:42"/>
  </r>
  <r>
    <x v="0"/>
    <d v="2017-07-31T00:00:00"/>
    <d v="1899-12-30T10:51:30"/>
    <d v="1899-12-30T10:51:58"/>
    <d v="1899-12-30T00:00:28"/>
  </r>
  <r>
    <x v="0"/>
    <d v="2017-07-31T00:00:00"/>
    <d v="1899-12-30T10:53:45"/>
    <d v="1899-12-30T11:08:03"/>
    <d v="1899-12-30T00:14:18"/>
  </r>
  <r>
    <x v="0"/>
    <d v="2017-07-31T00:00:00"/>
    <d v="1899-12-30T10:58:24"/>
    <d v="1899-12-30T11:01:07"/>
    <d v="1899-12-30T00:02:43"/>
  </r>
  <r>
    <x v="0"/>
    <d v="2017-07-31T00:00:00"/>
    <d v="1899-12-30T11:00:11"/>
    <d v="1899-12-30T11:15:22"/>
    <d v="1899-12-30T00:15:11"/>
  </r>
  <r>
    <x v="0"/>
    <d v="2017-07-31T00:00:00"/>
    <d v="1899-12-30T11:01:37"/>
    <d v="1899-12-30T11:09:58"/>
    <d v="1899-12-30T00:08:21"/>
  </r>
  <r>
    <x v="0"/>
    <d v="2017-07-31T00:00:00"/>
    <d v="1899-12-30T11:04:07"/>
    <d v="1899-12-30T11:20:27"/>
    <d v="1899-12-30T00:16:20"/>
  </r>
  <r>
    <x v="0"/>
    <d v="2017-07-31T00:00:00"/>
    <d v="1899-12-30T11:06:53"/>
    <d v="1899-12-30T11:08:05"/>
    <d v="1899-12-30T00:01:12"/>
  </r>
  <r>
    <x v="0"/>
    <d v="2017-07-31T00:00:00"/>
    <d v="1899-12-30T11:13:58"/>
    <d v="1899-12-30T11:22:54"/>
    <d v="1899-12-30T00:08:56"/>
  </r>
  <r>
    <x v="0"/>
    <d v="2017-07-31T00:00:00"/>
    <d v="1899-12-30T11:16:37"/>
    <d v="1899-12-30T11:26:22"/>
    <d v="1899-12-30T00:09:45"/>
  </r>
  <r>
    <x v="0"/>
    <d v="2017-07-31T00:00:00"/>
    <d v="1899-12-30T11:19:05"/>
    <d v="1899-12-30T11:23:35"/>
    <d v="1899-12-30T00:04:30"/>
  </r>
  <r>
    <x v="0"/>
    <d v="2017-07-31T00:00:00"/>
    <d v="1899-12-30T11:21:20"/>
    <d v="1899-12-30T11:26:04"/>
    <d v="1899-12-30T00:04:44"/>
  </r>
  <r>
    <x v="0"/>
    <d v="2017-07-31T00:00:00"/>
    <d v="1899-12-30T11:21:21"/>
    <d v="1899-12-30T11:26:42"/>
    <d v="1899-12-30T00:05:21"/>
  </r>
  <r>
    <x v="0"/>
    <d v="2017-07-31T00:00:00"/>
    <d v="1899-12-30T11:21:50"/>
    <d v="1899-12-30T11:29:30"/>
    <d v="1899-12-30T00:07:40"/>
  </r>
  <r>
    <x v="0"/>
    <d v="2017-07-31T00:00:00"/>
    <d v="1899-12-30T11:21:57"/>
    <d v="1899-12-30T11:24:56"/>
    <d v="1899-12-30T00:02:59"/>
  </r>
  <r>
    <x v="0"/>
    <d v="2017-07-31T00:00:00"/>
    <d v="1899-12-30T11:22:05"/>
    <d v="1899-12-30T11:31:30"/>
    <d v="1899-12-30T00:09:25"/>
  </r>
  <r>
    <x v="0"/>
    <d v="2017-07-31T00:00:00"/>
    <d v="1899-12-30T11:29:04"/>
    <d v="1899-12-30T11:38:39"/>
    <d v="1899-12-30T00:09:35"/>
  </r>
  <r>
    <x v="0"/>
    <d v="2017-07-31T00:00:00"/>
    <d v="1899-12-30T11:31:58"/>
    <d v="1899-12-30T11:43:08"/>
    <d v="1899-12-30T00:11:10"/>
  </r>
  <r>
    <x v="0"/>
    <d v="2017-07-31T00:00:00"/>
    <d v="1899-12-30T11:33:14"/>
    <d v="1899-12-30T11:46:31"/>
    <d v="1899-12-30T00:13:17"/>
  </r>
  <r>
    <x v="0"/>
    <d v="2017-07-31T00:00:00"/>
    <d v="1899-12-30T11:33:43"/>
    <d v="1899-12-30T11:41:02"/>
    <d v="1899-12-30T00:07:19"/>
  </r>
  <r>
    <x v="0"/>
    <d v="2017-07-31T00:00:00"/>
    <d v="1899-12-30T11:37:19"/>
    <d v="1899-12-30T11:43:47"/>
    <d v="1899-12-30T00:06:28"/>
  </r>
  <r>
    <x v="0"/>
    <d v="2017-07-31T00:00:00"/>
    <d v="1899-12-30T11:40:21"/>
    <d v="1899-12-30T11:45:58"/>
    <d v="1899-12-30T00:05:37"/>
  </r>
  <r>
    <x v="0"/>
    <d v="2017-07-31T00:00:00"/>
    <d v="1899-12-30T11:44:04"/>
    <d v="1899-12-30T11:56:56"/>
    <d v="1899-12-30T00:12:52"/>
  </r>
  <r>
    <x v="0"/>
    <d v="2017-07-31T00:00:00"/>
    <d v="1899-12-30T11:51:30"/>
    <d v="1899-12-30T12:07:31"/>
    <d v="1899-12-30T00:16:01"/>
  </r>
  <r>
    <x v="0"/>
    <d v="2017-07-31T00:00:00"/>
    <d v="1899-12-30T11:57:50"/>
    <d v="1899-12-30T12:13:20"/>
    <d v="1899-12-30T00:15:30"/>
  </r>
  <r>
    <x v="0"/>
    <d v="2017-07-31T00:00:00"/>
    <d v="1899-12-30T11:58:37"/>
    <d v="1899-12-30T12:15:15"/>
    <d v="1899-12-30T00:16:38"/>
  </r>
  <r>
    <x v="0"/>
    <d v="2017-07-31T00:00:00"/>
    <d v="1899-12-30T12:00:57"/>
    <d v="1899-12-30T12:12:56"/>
    <d v="1899-12-30T00:11:59"/>
  </r>
  <r>
    <x v="0"/>
    <d v="2017-07-31T00:00:00"/>
    <d v="1899-12-30T12:05:54"/>
    <d v="1899-12-30T12:13:59"/>
    <d v="1899-12-30T00:08:05"/>
  </r>
  <r>
    <x v="0"/>
    <d v="2017-07-31T00:00:00"/>
    <d v="1899-12-30T12:05:55"/>
    <d v="1899-12-30T12:07:46"/>
    <d v="1899-12-30T00:01:51"/>
  </r>
  <r>
    <x v="0"/>
    <d v="2017-07-31T00:00:00"/>
    <d v="1899-12-30T12:14:07"/>
    <d v="1899-12-30T12:16:11"/>
    <d v="1899-12-30T00:02:04"/>
  </r>
  <r>
    <x v="0"/>
    <d v="2017-07-31T00:00:00"/>
    <d v="1899-12-30T12:19:10"/>
    <d v="1899-12-30T12:21:28"/>
    <d v="1899-12-30T00:02:18"/>
  </r>
  <r>
    <x v="0"/>
    <d v="2017-07-31T00:00:00"/>
    <d v="1899-12-30T12:26:05"/>
    <d v="1899-12-30T12:28:18"/>
    <d v="1899-12-30T00:02:13"/>
  </r>
  <r>
    <x v="0"/>
    <d v="2017-07-31T00:00:00"/>
    <d v="1899-12-30T12:31:44"/>
    <d v="1899-12-30T12:45:32"/>
    <d v="1899-12-30T00:13:48"/>
  </r>
  <r>
    <x v="0"/>
    <d v="2017-07-31T00:00:00"/>
    <d v="1899-12-30T12:32:14"/>
    <d v="1899-12-30T12:39:36"/>
    <d v="1899-12-30T00:07:22"/>
  </r>
  <r>
    <x v="0"/>
    <d v="2017-07-31T00:00:00"/>
    <d v="1899-12-30T12:34:11"/>
    <d v="1899-12-30T12:35:01"/>
    <d v="1899-12-30T00:00:50"/>
  </r>
  <r>
    <x v="0"/>
    <d v="2017-07-31T00:00:00"/>
    <d v="1899-12-30T12:36:14"/>
    <d v="1899-12-30T12:40:41"/>
    <d v="1899-12-30T00:04:27"/>
  </r>
  <r>
    <x v="0"/>
    <d v="2017-07-31T00:00:00"/>
    <d v="1899-12-30T12:43:22"/>
    <d v="1899-12-30T12:49:22"/>
    <d v="1899-12-30T00:06:00"/>
  </r>
  <r>
    <x v="0"/>
    <d v="2017-07-31T00:00:00"/>
    <d v="1899-12-30T12:46:10"/>
    <d v="1899-12-30T12:48:55"/>
    <d v="1899-12-30T00:02:45"/>
  </r>
  <r>
    <x v="0"/>
    <d v="2017-07-31T00:00:00"/>
    <d v="1899-12-30T12:49:42"/>
    <d v="1899-12-30T12:58:52"/>
    <d v="1899-12-30T00:09:10"/>
  </r>
  <r>
    <x v="0"/>
    <d v="2017-07-31T00:00:00"/>
    <d v="1899-12-30T12:52:10"/>
    <d v="1899-12-30T13:03:21"/>
    <d v="1899-12-30T00:11:11"/>
  </r>
  <r>
    <x v="0"/>
    <d v="2017-07-31T00:00:00"/>
    <d v="1899-12-30T12:54:17"/>
    <d v="1899-12-30T12:59:14"/>
    <d v="1899-12-30T00:04:57"/>
  </r>
  <r>
    <x v="0"/>
    <d v="2017-07-31T00:00:00"/>
    <d v="1899-12-30T12:57:03"/>
    <d v="1899-12-30T13:10:08"/>
    <d v="1899-12-30T00:13:05"/>
  </r>
  <r>
    <x v="0"/>
    <d v="2017-07-31T00:00:00"/>
    <d v="1899-12-30T12:59:52"/>
    <d v="1899-12-30T13:00:55"/>
    <d v="1899-12-30T00:01:03"/>
  </r>
  <r>
    <x v="0"/>
    <d v="2017-07-31T00:00:00"/>
    <d v="1899-12-30T13:07:15"/>
    <d v="1899-12-30T13:18:21"/>
    <d v="1899-12-30T00:11:06"/>
  </r>
  <r>
    <x v="0"/>
    <d v="2017-07-31T00:00:00"/>
    <d v="1899-12-30T13:12:55"/>
    <d v="1899-12-30T13:18:30"/>
    <d v="1899-12-30T00:05:35"/>
  </r>
  <r>
    <x v="0"/>
    <d v="2017-07-31T00:00:00"/>
    <d v="1899-12-30T13:14:38"/>
    <d v="1899-12-30T13:23:10"/>
    <d v="1899-12-30T00:08:32"/>
  </r>
  <r>
    <x v="0"/>
    <d v="2017-07-31T00:00:00"/>
    <d v="1899-12-30T13:22:20"/>
    <d v="1899-12-30T13:26:24"/>
    <d v="1899-12-30T00:04:04"/>
  </r>
  <r>
    <x v="0"/>
    <d v="2017-07-31T00:00:00"/>
    <d v="1899-12-30T13:28:07"/>
    <d v="1899-12-30T13:29:35"/>
    <d v="1899-12-30T00:01:28"/>
  </r>
  <r>
    <x v="0"/>
    <d v="2017-07-31T00:00:00"/>
    <d v="1899-12-30T13:32:55"/>
    <d v="1899-12-30T13:44:26"/>
    <d v="1899-12-30T00:11:31"/>
  </r>
  <r>
    <x v="0"/>
    <d v="2017-07-31T00:00:00"/>
    <d v="1899-12-30T13:34:47"/>
    <d v="1899-12-30T13:45:20"/>
    <d v="1899-12-30T00:10:33"/>
  </r>
  <r>
    <x v="0"/>
    <d v="2017-07-31T00:00:00"/>
    <d v="1899-12-30T13:39:36"/>
    <d v="1899-12-30T13:53:04"/>
    <d v="1899-12-30T00:13:28"/>
  </r>
  <r>
    <x v="0"/>
    <d v="2017-07-31T00:00:00"/>
    <d v="1899-12-30T13:44:40"/>
    <d v="1899-12-30T13:57:39"/>
    <d v="1899-12-30T00:12:59"/>
  </r>
  <r>
    <x v="0"/>
    <d v="2017-07-31T00:00:00"/>
    <d v="1899-12-30T13:51:28"/>
    <d v="1899-12-30T14:08:06"/>
    <d v="1899-12-30T00:16:38"/>
  </r>
  <r>
    <x v="0"/>
    <d v="2017-07-31T00:00:00"/>
    <d v="1899-12-30T13:52:39"/>
    <d v="1899-12-30T13:55:07"/>
    <d v="1899-12-30T00:02:28"/>
  </r>
  <r>
    <x v="0"/>
    <d v="2017-07-31T00:00:00"/>
    <d v="1899-12-30T13:53:24"/>
    <d v="1899-12-30T13:59:38"/>
    <d v="1899-12-30T00:06:14"/>
  </r>
  <r>
    <x v="0"/>
    <d v="2017-07-31T00:00:00"/>
    <d v="1899-12-30T13:54:31"/>
    <d v="1899-12-30T13:56:30"/>
    <d v="1899-12-30T00:01:59"/>
  </r>
  <r>
    <x v="0"/>
    <d v="2017-07-31T00:00:00"/>
    <d v="1899-12-30T13:57:33"/>
    <d v="1899-12-30T14:05:36"/>
    <d v="1899-12-30T00:08:03"/>
  </r>
  <r>
    <x v="0"/>
    <d v="2017-07-31T00:00:00"/>
    <d v="1899-12-30T13:59:20"/>
    <d v="1899-12-30T14:00:12"/>
    <d v="1899-12-30T00:00:52"/>
  </r>
  <r>
    <x v="0"/>
    <d v="2017-07-31T00:00:00"/>
    <d v="1899-12-30T14:06:30"/>
    <d v="1899-12-30T14:08:45"/>
    <d v="1899-12-30T00:02:15"/>
  </r>
  <r>
    <x v="0"/>
    <d v="2017-07-31T00:00:00"/>
    <d v="1899-12-30T14:10:21"/>
    <d v="1899-12-30T14:19:43"/>
    <d v="1899-12-30T00:09:22"/>
  </r>
  <r>
    <x v="0"/>
    <d v="2017-07-31T00:00:00"/>
    <d v="1899-12-30T14:13:47"/>
    <d v="1899-12-30T14:28:39"/>
    <d v="1899-12-30T00:14:52"/>
  </r>
  <r>
    <x v="0"/>
    <d v="2017-07-31T00:00:00"/>
    <d v="1899-12-30T14:17:48"/>
    <d v="1899-12-30T14:29:22"/>
    <d v="1899-12-30T00:11:34"/>
  </r>
  <r>
    <x v="0"/>
    <d v="2017-07-31T00:00:00"/>
    <d v="1899-12-30T14:20:12"/>
    <d v="1899-12-30T14:24:40"/>
    <d v="1899-12-30T00:04:28"/>
  </r>
  <r>
    <x v="0"/>
    <d v="2017-07-31T00:00:00"/>
    <d v="1899-12-30T14:26:51"/>
    <d v="1899-12-30T14:36:20"/>
    <d v="1899-12-30T00:09:29"/>
  </r>
  <r>
    <x v="0"/>
    <d v="2017-07-31T00:00:00"/>
    <d v="1899-12-30T14:29:01"/>
    <d v="1899-12-30T14:43:40"/>
    <d v="1899-12-30T00:14:39"/>
  </r>
  <r>
    <x v="0"/>
    <d v="2017-07-31T00:00:00"/>
    <d v="1899-12-30T14:31:29"/>
    <d v="1899-12-30T14:41:35"/>
    <d v="1899-12-30T00:10:06"/>
  </r>
  <r>
    <x v="0"/>
    <d v="2017-07-31T00:00:00"/>
    <d v="1899-12-30T14:35:53"/>
    <d v="1899-12-30T14:39:06"/>
    <d v="1899-12-30T00:03:13"/>
  </r>
  <r>
    <x v="0"/>
    <d v="2017-07-31T00:00:00"/>
    <d v="1899-12-30T14:40:42"/>
    <d v="1899-12-30T14:44:39"/>
    <d v="1899-12-30T00:03:57"/>
  </r>
  <r>
    <x v="0"/>
    <d v="2017-07-31T00:00:00"/>
    <d v="1899-12-30T14:43:08"/>
    <d v="1899-12-30T14:50:20"/>
    <d v="1899-12-30T00:07:12"/>
  </r>
  <r>
    <x v="0"/>
    <d v="2017-07-31T00:00:00"/>
    <d v="1899-12-30T14:45:57"/>
    <d v="1899-12-30T14:59:02"/>
    <d v="1899-12-30T00:13:05"/>
  </r>
  <r>
    <x v="0"/>
    <d v="2017-07-31T00:00:00"/>
    <d v="1899-12-30T14:50:14"/>
    <d v="1899-12-30T15:02:58"/>
    <d v="1899-12-30T00:12:44"/>
  </r>
  <r>
    <x v="0"/>
    <d v="2017-07-31T00:00:00"/>
    <d v="1899-12-30T14:57:07"/>
    <d v="1899-12-30T14:57:17"/>
    <d v="1899-12-30T00:00:10"/>
  </r>
  <r>
    <x v="0"/>
    <d v="2017-07-31T00:00:00"/>
    <d v="1899-12-30T15:02:47"/>
    <d v="1899-12-30T15:04:52"/>
    <d v="1899-12-30T00:02: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AE7C-E040-45A5-97F8-3BBEFDCDA0ED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H1838" firstHeaderRow="1" firstDataRow="1" firstDataCol="1"/>
  <pivotFields count="2">
    <pivotField axis="axisRow" dataField="1" showAll="0">
      <items count="1835">
        <item x="1749"/>
        <item x="913"/>
        <item x="1641"/>
        <item x="1826"/>
        <item x="1833"/>
        <item x="1211"/>
        <item x="1578"/>
        <item x="1638"/>
        <item x="1208"/>
        <item x="228"/>
        <item x="783"/>
        <item x="908"/>
        <item x="70"/>
        <item x="978"/>
        <item x="1599"/>
        <item x="1177"/>
        <item x="239"/>
        <item x="622"/>
        <item x="955"/>
        <item x="266"/>
        <item x="1323"/>
        <item x="1534"/>
        <item x="1635"/>
        <item x="1254"/>
        <item x="1574"/>
        <item x="1501"/>
        <item x="989"/>
        <item x="832"/>
        <item x="942"/>
        <item x="543"/>
        <item x="1479"/>
        <item x="650"/>
        <item x="494"/>
        <item x="440"/>
        <item x="967"/>
        <item x="668"/>
        <item x="200"/>
        <item x="318"/>
        <item x="519"/>
        <item x="953"/>
        <item x="1155"/>
        <item x="112"/>
        <item x="632"/>
        <item x="524"/>
        <item x="1206"/>
        <item x="1289"/>
        <item x="148"/>
        <item x="902"/>
        <item x="1802"/>
        <item x="825"/>
        <item x="1127"/>
        <item x="329"/>
        <item x="1810"/>
        <item x="579"/>
        <item x="929"/>
        <item x="439"/>
        <item x="1489"/>
        <item x="1109"/>
        <item x="795"/>
        <item x="1375"/>
        <item x="540"/>
        <item x="285"/>
        <item x="1078"/>
        <item x="1589"/>
        <item x="1232"/>
        <item x="876"/>
        <item x="1430"/>
        <item x="948"/>
        <item x="31"/>
        <item x="258"/>
        <item x="1758"/>
        <item x="634"/>
        <item x="1432"/>
        <item x="201"/>
        <item x="1734"/>
        <item x="1059"/>
        <item x="1265"/>
        <item x="1612"/>
        <item x="980"/>
        <item x="1343"/>
        <item x="1827"/>
        <item x="60"/>
        <item x="891"/>
        <item x="20"/>
        <item x="1284"/>
        <item x="1220"/>
        <item x="87"/>
        <item x="904"/>
        <item x="1524"/>
        <item x="836"/>
        <item x="1006"/>
        <item x="1273"/>
        <item x="213"/>
        <item x="161"/>
        <item x="968"/>
        <item x="1068"/>
        <item x="469"/>
        <item x="988"/>
        <item x="95"/>
        <item x="685"/>
        <item x="882"/>
        <item x="1228"/>
        <item x="1704"/>
        <item x="411"/>
        <item x="1730"/>
        <item x="852"/>
        <item x="272"/>
        <item x="899"/>
        <item x="1393"/>
        <item x="889"/>
        <item x="1500"/>
        <item x="716"/>
        <item x="964"/>
        <item x="881"/>
        <item x="72"/>
        <item x="115"/>
        <item x="182"/>
        <item x="1618"/>
        <item x="428"/>
        <item x="1392"/>
        <item x="1396"/>
        <item x="1160"/>
        <item x="131"/>
        <item x="1263"/>
        <item x="788"/>
        <item x="446"/>
        <item x="17"/>
        <item x="216"/>
        <item x="851"/>
        <item x="1824"/>
        <item x="620"/>
        <item x="417"/>
        <item x="737"/>
        <item x="1374"/>
        <item x="1510"/>
        <item x="1794"/>
        <item x="142"/>
        <item x="1413"/>
        <item x="46"/>
        <item x="1548"/>
        <item x="219"/>
        <item x="1603"/>
        <item x="1131"/>
        <item x="198"/>
        <item x="572"/>
        <item x="1139"/>
        <item x="1728"/>
        <item x="33"/>
        <item x="1815"/>
        <item x="249"/>
        <item x="307"/>
        <item x="1428"/>
        <item x="773"/>
        <item x="1022"/>
        <item x="1803"/>
        <item x="61"/>
        <item x="1225"/>
        <item x="1628"/>
        <item x="1531"/>
        <item x="834"/>
        <item x="995"/>
        <item x="1144"/>
        <item x="800"/>
        <item x="1593"/>
        <item x="281"/>
        <item x="1368"/>
        <item x="1753"/>
        <item x="533"/>
        <item x="623"/>
        <item x="1475"/>
        <item x="694"/>
        <item x="1516"/>
        <item x="1702"/>
        <item x="1333"/>
        <item x="819"/>
        <item x="1047"/>
        <item x="104"/>
        <item x="209"/>
        <item x="1671"/>
        <item x="252"/>
        <item x="1465"/>
        <item x="1251"/>
        <item x="1673"/>
        <item x="1681"/>
        <item x="1693"/>
        <item x="324"/>
        <item x="627"/>
        <item x="94"/>
        <item x="1442"/>
        <item x="661"/>
        <item x="546"/>
        <item x="140"/>
        <item x="1661"/>
        <item x="1595"/>
        <item x="1194"/>
        <item x="1091"/>
        <item x="504"/>
        <item x="1045"/>
        <item x="1488"/>
        <item x="389"/>
        <item x="814"/>
        <item x="817"/>
        <item x="1262"/>
        <item x="1446"/>
        <item x="1594"/>
        <item x="340"/>
        <item x="346"/>
        <item x="1565"/>
        <item x="1398"/>
        <item x="1116"/>
        <item x="1165"/>
        <item x="688"/>
        <item x="1020"/>
        <item x="1674"/>
        <item x="638"/>
        <item x="300"/>
        <item x="970"/>
        <item x="1503"/>
        <item x="1040"/>
        <item x="1781"/>
        <item x="306"/>
        <item x="1780"/>
        <item x="1060"/>
        <item x="514"/>
        <item x="541"/>
        <item x="698"/>
        <item x="189"/>
        <item x="1449"/>
        <item x="159"/>
        <item x="1356"/>
        <item x="874"/>
        <item x="407"/>
        <item x="1434"/>
        <item x="1335"/>
        <item x="633"/>
        <item x="880"/>
        <item x="996"/>
        <item x="1330"/>
        <item x="983"/>
        <item x="1723"/>
        <item x="1579"/>
        <item x="1690"/>
        <item x="422"/>
        <item x="21"/>
        <item x="1145"/>
        <item x="79"/>
        <item x="1388"/>
        <item x="946"/>
        <item x="936"/>
        <item x="958"/>
        <item x="43"/>
        <item x="969"/>
        <item x="180"/>
        <item x="1506"/>
        <item x="1334"/>
        <item x="1304"/>
        <item x="392"/>
        <item x="1292"/>
        <item x="503"/>
        <item x="1113"/>
        <item x="907"/>
        <item x="196"/>
        <item x="1230"/>
        <item x="1149"/>
        <item x="1380"/>
        <item x="594"/>
        <item x="261"/>
        <item x="283"/>
        <item x="370"/>
        <item x="1621"/>
        <item x="435"/>
        <item x="538"/>
        <item x="721"/>
        <item x="515"/>
        <item x="1179"/>
        <item x="985"/>
        <item x="1721"/>
        <item x="1373"/>
        <item x="824"/>
        <item x="1414"/>
        <item x="1112"/>
        <item x="237"/>
        <item x="1402"/>
        <item x="1280"/>
        <item x="69"/>
        <item x="583"/>
        <item x="1264"/>
        <item x="1318"/>
        <item x="1331"/>
        <item x="551"/>
        <item x="508"/>
        <item x="1276"/>
        <item x="815"/>
        <item x="517"/>
        <item x="658"/>
        <item x="227"/>
        <item x="1617"/>
        <item x="748"/>
        <item x="393"/>
        <item x="1477"/>
        <item x="614"/>
        <item x="338"/>
        <item x="333"/>
        <item x="571"/>
        <item x="1042"/>
        <item x="1141"/>
        <item x="175"/>
        <item x="1602"/>
        <item x="53"/>
        <item x="166"/>
        <item x="1056"/>
        <item x="1202"/>
        <item x="1682"/>
        <item x="1028"/>
        <item x="157"/>
        <item x="114"/>
        <item x="835"/>
        <item x="1176"/>
        <item x="1517"/>
        <item x="1173"/>
        <item x="741"/>
        <item x="1159"/>
        <item x="474"/>
        <item x="205"/>
        <item x="122"/>
        <item x="609"/>
        <item x="1560"/>
        <item x="1445"/>
        <item x="750"/>
        <item x="567"/>
        <item x="1471"/>
        <item x="1620"/>
        <item x="769"/>
        <item x="326"/>
        <item x="1725"/>
        <item x="804"/>
        <item x="1774"/>
        <item x="1586"/>
        <item x="641"/>
        <item x="511"/>
        <item x="1784"/>
        <item x="909"/>
        <item x="1014"/>
        <item x="841"/>
        <item x="1327"/>
        <item x="871"/>
        <item x="128"/>
        <item x="744"/>
        <item x="926"/>
        <item x="12"/>
        <item x="1009"/>
        <item x="779"/>
        <item x="293"/>
        <item x="57"/>
        <item x="1203"/>
        <item x="677"/>
        <item x="670"/>
        <item x="218"/>
        <item x="1075"/>
        <item x="768"/>
        <item x="169"/>
        <item x="693"/>
        <item x="1558"/>
        <item x="359"/>
        <item x="692"/>
        <item x="828"/>
        <item x="397"/>
        <item x="1366"/>
        <item x="872"/>
        <item x="792"/>
        <item x="625"/>
        <item x="530"/>
        <item x="64"/>
        <item x="1231"/>
        <item x="44"/>
        <item x="1666"/>
        <item x="441"/>
        <item x="55"/>
        <item x="1533"/>
        <item x="1822"/>
        <item x="0"/>
        <item x="774"/>
        <item x="1090"/>
        <item x="1128"/>
        <item x="1087"/>
        <item x="315"/>
        <item x="599"/>
        <item x="433"/>
        <item x="1480"/>
        <item x="564"/>
        <item x="1365"/>
        <item x="1325"/>
        <item x="1378"/>
        <item x="1537"/>
        <item x="862"/>
        <item x="1444"/>
        <item x="759"/>
        <item x="1623"/>
        <item x="1443"/>
        <item x="1241"/>
        <item x="863"/>
        <item x="42"/>
        <item x="1198"/>
        <item x="596"/>
        <item x="1381"/>
        <item x="1597"/>
        <item x="1196"/>
        <item x="1571"/>
        <item x="733"/>
        <item x="394"/>
        <item x="1798"/>
        <item x="78"/>
        <item x="894"/>
        <item x="240"/>
        <item x="1259"/>
        <item x="375"/>
        <item x="649"/>
        <item x="558"/>
        <item x="1137"/>
        <item x="1120"/>
        <item x="1295"/>
        <item x="993"/>
        <item x="1651"/>
        <item x="45"/>
        <item x="415"/>
        <item x="1410"/>
        <item x="1631"/>
        <item x="1270"/>
        <item x="421"/>
        <item x="1697"/>
        <item x="160"/>
        <item x="1812"/>
        <item x="532"/>
        <item x="549"/>
        <item x="464"/>
        <item x="15"/>
        <item x="1495"/>
        <item x="1473"/>
        <item x="1351"/>
        <item x="1187"/>
        <item x="1296"/>
        <item x="1796"/>
        <item x="726"/>
        <item x="108"/>
        <item x="793"/>
        <item x="345"/>
        <item x="628"/>
        <item x="1654"/>
        <item x="1613"/>
        <item x="1640"/>
        <item x="1169"/>
        <item x="204"/>
        <item x="943"/>
        <item x="1303"/>
        <item x="554"/>
        <item x="1718"/>
        <item x="720"/>
        <item x="1118"/>
        <item x="1018"/>
        <item x="1065"/>
        <item x="1564"/>
        <item x="25"/>
        <item x="1175"/>
        <item x="1469"/>
        <item x="372"/>
        <item x="675"/>
        <item x="270"/>
        <item x="419"/>
        <item x="294"/>
        <item x="738"/>
        <item x="497"/>
        <item x="39"/>
        <item x="481"/>
        <item x="1726"/>
        <item x="1554"/>
        <item x="77"/>
        <item x="119"/>
        <item x="192"/>
        <item x="937"/>
        <item x="822"/>
        <item x="624"/>
        <item x="1039"/>
        <item x="451"/>
        <item x="763"/>
        <item x="893"/>
        <item x="93"/>
        <item x="109"/>
        <item x="3"/>
        <item x="491"/>
        <item x="1395"/>
        <item x="595"/>
        <item x="63"/>
        <item x="784"/>
        <item x="321"/>
        <item x="1329"/>
        <item x="1359"/>
        <item x="1281"/>
        <item x="1153"/>
        <item x="1545"/>
        <item x="1800"/>
        <item x="251"/>
        <item x="1319"/>
        <item x="194"/>
        <item x="938"/>
        <item x="117"/>
        <item x="1214"/>
        <item x="1288"/>
        <item x="1580"/>
        <item x="172"/>
        <item x="1504"/>
        <item x="388"/>
        <item x="645"/>
        <item x="1543"/>
        <item x="1278"/>
        <item x="1275"/>
        <item x="1625"/>
        <item x="914"/>
        <item x="1025"/>
        <item x="1054"/>
        <item x="408"/>
        <item x="257"/>
        <item x="830"/>
        <item x="714"/>
        <item x="1454"/>
        <item x="1267"/>
        <item x="875"/>
        <item x="562"/>
        <item x="1450"/>
        <item x="1750"/>
        <item x="1797"/>
        <item x="1024"/>
        <item x="186"/>
        <item x="1680"/>
        <item x="998"/>
        <item x="1"/>
        <item x="80"/>
        <item x="556"/>
        <item x="850"/>
        <item x="1199"/>
        <item x="712"/>
        <item x="1522"/>
        <item x="1136"/>
        <item x="1755"/>
        <item x="113"/>
        <item x="463"/>
        <item x="427"/>
        <item x="41"/>
        <item x="1684"/>
        <item x="1266"/>
        <item x="314"/>
        <item x="99"/>
        <item x="1135"/>
        <item x="384"/>
        <item x="1634"/>
        <item x="1050"/>
        <item x="1655"/>
        <item x="310"/>
        <item x="327"/>
        <item x="124"/>
        <item x="488"/>
        <item x="1344"/>
        <item x="1653"/>
        <item x="1055"/>
        <item x="37"/>
        <item x="1643"/>
        <item x="1301"/>
        <item x="1811"/>
        <item x="207"/>
        <item x="1423"/>
        <item x="525"/>
        <item x="254"/>
        <item x="1132"/>
        <item x="973"/>
        <item x="505"/>
        <item x="1585"/>
        <item x="516"/>
        <item x="1497"/>
        <item x="351"/>
        <item x="709"/>
        <item x="1732"/>
        <item x="457"/>
        <item x="1077"/>
        <item x="1189"/>
        <item x="547"/>
        <item x="1386"/>
        <item x="648"/>
        <item x="639"/>
        <item x="1552"/>
        <item x="454"/>
        <item x="1577"/>
        <item x="1223"/>
        <item x="460"/>
        <item x="170"/>
        <item x="1485"/>
        <item x="1126"/>
        <item x="734"/>
        <item x="280"/>
        <item x="263"/>
        <item x="467"/>
        <item x="725"/>
        <item x="912"/>
        <item x="1205"/>
        <item x="1167"/>
        <item x="582"/>
        <item x="330"/>
        <item x="1079"/>
        <item x="654"/>
        <item x="320"/>
        <item x="1294"/>
        <item x="975"/>
        <item x="246"/>
        <item x="1509"/>
        <item x="1752"/>
        <item x="462"/>
        <item x="1763"/>
        <item x="591"/>
        <item x="663"/>
        <item x="442"/>
        <item x="643"/>
        <item x="156"/>
        <item x="1707"/>
        <item x="1218"/>
        <item x="858"/>
        <item x="437"/>
        <item x="577"/>
        <item x="447"/>
        <item x="947"/>
        <item x="390"/>
        <item x="138"/>
        <item x="1370"/>
        <item x="1379"/>
        <item x="588"/>
        <item x="1644"/>
        <item x="1518"/>
        <item x="1240"/>
        <item x="1021"/>
        <item x="597"/>
        <item x="671"/>
        <item x="86"/>
        <item x="1186"/>
        <item x="826"/>
        <item x="752"/>
        <item x="865"/>
        <item x="1384"/>
        <item x="1152"/>
        <item x="224"/>
        <item x="1659"/>
        <item x="570"/>
        <item x="526"/>
        <item x="1437"/>
        <item x="1801"/>
        <item x="1751"/>
        <item x="860"/>
        <item x="957"/>
        <item x="1663"/>
        <item x="1222"/>
        <item x="782"/>
        <item x="412"/>
        <item x="1788"/>
        <item x="1457"/>
        <item x="1829"/>
        <item x="484"/>
        <item x="927"/>
        <item x="1556"/>
        <item x="979"/>
        <item x="1358"/>
        <item x="823"/>
        <item x="356"/>
        <item x="165"/>
        <item x="406"/>
        <item x="811"/>
        <item x="103"/>
        <item x="855"/>
        <item x="780"/>
        <item x="982"/>
        <item x="1667"/>
        <item x="1512"/>
        <item x="1073"/>
        <item x="1652"/>
        <item x="1143"/>
        <item x="1164"/>
        <item x="1326"/>
        <item x="1353"/>
        <item x="373"/>
        <item x="234"/>
        <item x="1528"/>
        <item x="1269"/>
        <item x="1687"/>
        <item x="264"/>
        <item x="1438"/>
        <item x="939"/>
        <item x="1683"/>
        <item x="1200"/>
        <item x="760"/>
        <item x="1771"/>
        <item x="928"/>
        <item x="878"/>
        <item x="565"/>
        <item x="920"/>
        <item x="1736"/>
        <item x="100"/>
        <item x="868"/>
        <item x="589"/>
        <item x="900"/>
        <item x="559"/>
        <item x="8"/>
        <item x="259"/>
        <item x="776"/>
        <item x="575"/>
        <item x="1297"/>
        <item x="1385"/>
        <item x="791"/>
        <item x="322"/>
        <item x="287"/>
        <item x="1627"/>
        <item x="1431"/>
        <item x="527"/>
        <item x="276"/>
        <item x="1590"/>
        <item x="1134"/>
        <item x="1029"/>
        <item x="67"/>
        <item x="838"/>
        <item x="1818"/>
        <item x="1435"/>
        <item x="465"/>
        <item x="1313"/>
        <item x="1209"/>
        <item x="884"/>
        <item x="336"/>
        <item x="317"/>
        <item x="146"/>
        <item x="626"/>
        <item x="1397"/>
        <item x="801"/>
        <item x="267"/>
        <item x="1416"/>
        <item x="809"/>
        <item x="1536"/>
        <item x="1061"/>
        <item x="1012"/>
        <item x="806"/>
        <item x="260"/>
        <item x="269"/>
        <item x="1691"/>
        <item x="49"/>
        <item x="987"/>
        <item x="1799"/>
        <item x="1600"/>
        <item x="1407"/>
        <item x="1575"/>
        <item x="537"/>
        <item x="1181"/>
        <item x="1226"/>
        <item x="972"/>
        <item x="1650"/>
        <item x="85"/>
        <item x="485"/>
        <item x="1776"/>
        <item x="1678"/>
        <item x="1461"/>
        <item x="895"/>
        <item x="279"/>
        <item x="691"/>
        <item x="75"/>
        <item x="1290"/>
        <item x="762"/>
        <item x="603"/>
        <item x="1103"/>
        <item x="1549"/>
        <item x="1614"/>
        <item x="152"/>
        <item x="1716"/>
        <item x="522"/>
        <item x="1737"/>
        <item x="1455"/>
        <item x="590"/>
        <item x="890"/>
        <item x="352"/>
        <item x="718"/>
        <item x="680"/>
        <item x="1070"/>
        <item x="1354"/>
        <item x="1260"/>
        <item x="26"/>
        <item x="1535"/>
        <item x="1615"/>
        <item x="974"/>
        <item x="400"/>
        <item x="1089"/>
        <item x="475"/>
        <item x="940"/>
        <item x="1243"/>
        <item x="619"/>
        <item x="477"/>
        <item x="1783"/>
        <item x="1086"/>
        <item x="1547"/>
        <item x="1256"/>
        <item x="302"/>
        <item x="1215"/>
        <item x="1792"/>
        <item x="1291"/>
        <item x="1789"/>
        <item x="898"/>
        <item x="604"/>
        <item x="1424"/>
        <item x="529"/>
        <item x="534"/>
        <item x="552"/>
        <item x="1272"/>
        <item x="1484"/>
        <item x="1505"/>
        <item x="144"/>
        <item x="1117"/>
        <item x="309"/>
        <item x="831"/>
        <item x="1184"/>
        <item x="1147"/>
        <item x="1093"/>
        <item x="1191"/>
        <item x="1052"/>
        <item x="358"/>
        <item x="854"/>
        <item x="569"/>
        <item x="1332"/>
        <item x="1094"/>
        <item x="1487"/>
        <item x="215"/>
        <item x="304"/>
        <item x="73"/>
        <item x="206"/>
        <item x="301"/>
        <item x="1804"/>
        <item x="506"/>
        <item x="233"/>
        <item x="1808"/>
        <item x="1474"/>
        <item x="141"/>
        <item x="1146"/>
        <item x="859"/>
        <item x="127"/>
        <item x="923"/>
        <item x="802"/>
        <item x="429"/>
        <item x="704"/>
        <item x="1044"/>
        <item x="449"/>
        <item x="143"/>
        <item x="846"/>
        <item x="742"/>
        <item x="466"/>
        <item x="915"/>
        <item x="424"/>
        <item x="296"/>
        <item x="640"/>
        <item x="601"/>
        <item x="1598"/>
        <item x="1115"/>
        <item x="91"/>
        <item x="106"/>
        <item x="1439"/>
        <item x="1526"/>
        <item x="1739"/>
        <item x="1427"/>
        <item x="1233"/>
        <item x="1096"/>
        <item x="52"/>
        <item x="1499"/>
        <item x="1310"/>
        <item x="1568"/>
        <item x="2"/>
        <item x="158"/>
        <item x="1703"/>
        <item x="74"/>
        <item x="866"/>
        <item x="211"/>
        <item x="729"/>
        <item x="1425"/>
        <item x="1249"/>
        <item x="1227"/>
        <item x="452"/>
        <item x="1611"/>
        <item x="24"/>
        <item x="208"/>
        <item x="751"/>
        <item x="1624"/>
        <item x="520"/>
        <item x="592"/>
        <item x="1026"/>
        <item x="867"/>
        <item x="1346"/>
        <item x="747"/>
        <item x="1172"/>
        <item x="236"/>
        <item x="901"/>
        <item x="630"/>
        <item x="232"/>
        <item x="225"/>
        <item x="723"/>
        <item x="1244"/>
        <item x="584"/>
        <item x="1217"/>
        <item x="931"/>
        <item x="971"/>
        <item x="89"/>
        <item x="1023"/>
        <item x="92"/>
        <item x="767"/>
        <item x="539"/>
        <item x="349"/>
        <item x="888"/>
        <item x="1787"/>
        <item x="1389"/>
        <item x="1508"/>
        <item x="179"/>
        <item x="665"/>
        <item x="1700"/>
        <item x="443"/>
        <item x="557"/>
        <item x="1156"/>
        <item x="803"/>
        <item x="1114"/>
        <item x="1285"/>
        <item x="456"/>
        <item x="961"/>
        <item x="1261"/>
        <item x="1057"/>
        <item x="644"/>
        <item x="1140"/>
        <item x="1107"/>
        <item x="616"/>
        <item x="799"/>
        <item x="740"/>
        <item x="711"/>
        <item x="856"/>
        <item x="22"/>
        <item x="1662"/>
        <item x="155"/>
        <item x="432"/>
        <item x="887"/>
        <item x="277"/>
        <item x="1309"/>
        <item x="1391"/>
        <item x="1633"/>
        <item x="1150"/>
        <item x="598"/>
        <item x="736"/>
        <item x="1677"/>
        <item x="1713"/>
        <item x="312"/>
        <item x="941"/>
        <item x="790"/>
        <item x="1515"/>
        <item x="962"/>
        <item x="1769"/>
        <item x="1247"/>
        <item x="1559"/>
        <item x="1767"/>
        <item x="1098"/>
        <item x="1072"/>
        <item x="226"/>
        <item x="1538"/>
        <item x="1429"/>
        <item x="1142"/>
        <item x="1481"/>
        <item x="1019"/>
        <item x="820"/>
        <item x="1100"/>
        <item x="378"/>
        <item x="354"/>
        <item x="1102"/>
        <item x="1133"/>
        <item x="1405"/>
        <item x="374"/>
        <item x="473"/>
        <item x="50"/>
        <item x="715"/>
        <item x="810"/>
        <item x="580"/>
        <item x="105"/>
        <item x="1066"/>
        <item x="1830"/>
        <item x="732"/>
        <item x="667"/>
        <item x="116"/>
        <item x="1207"/>
        <item x="409"/>
        <item x="1274"/>
        <item x="1033"/>
        <item x="771"/>
        <item x="512"/>
        <item x="71"/>
        <item x="1174"/>
        <item x="18"/>
        <item x="984"/>
        <item x="405"/>
        <item x="696"/>
        <item x="1460"/>
        <item x="1058"/>
        <item x="1658"/>
        <item x="965"/>
        <item x="323"/>
        <item x="861"/>
        <item x="1482"/>
        <item x="646"/>
        <item x="1312"/>
        <item x="171"/>
        <item x="414"/>
        <item x="1622"/>
        <item x="1399"/>
        <item x="755"/>
        <item x="664"/>
        <item x="1400"/>
        <item x="1138"/>
        <item x="197"/>
        <item x="1486"/>
        <item x="1816"/>
        <item x="348"/>
        <item x="700"/>
        <item x="1498"/>
        <item x="951"/>
        <item x="1521"/>
        <item x="1377"/>
        <item x="789"/>
        <item x="241"/>
        <item x="1532"/>
        <item x="844"/>
        <item x="699"/>
        <item x="922"/>
        <item x="476"/>
        <item x="1357"/>
        <item x="1820"/>
        <item x="328"/>
        <item x="381"/>
        <item x="1735"/>
        <item x="925"/>
        <item x="137"/>
        <item x="483"/>
        <item x="1337"/>
        <item x="1037"/>
        <item x="121"/>
        <item x="531"/>
        <item x="1759"/>
        <item x="1632"/>
        <item x="945"/>
        <item x="1782"/>
        <item x="363"/>
        <item x="376"/>
        <item x="510"/>
        <item x="191"/>
        <item x="1182"/>
        <item x="66"/>
        <item x="1719"/>
        <item x="164"/>
        <item x="681"/>
        <item x="687"/>
        <item x="51"/>
        <item x="1083"/>
        <item x="434"/>
        <item x="1212"/>
        <item x="918"/>
        <item x="960"/>
        <item x="509"/>
        <item x="785"/>
        <item x="1756"/>
        <item x="1436"/>
        <item x="903"/>
        <item x="14"/>
        <item x="490"/>
        <item x="1235"/>
        <item x="857"/>
        <item x="1221"/>
        <item x="292"/>
        <item x="238"/>
        <item x="101"/>
        <item x="136"/>
        <item x="1709"/>
        <item x="342"/>
        <item x="1320"/>
        <item x="334"/>
        <item x="1311"/>
        <item x="401"/>
        <item x="636"/>
        <item x="383"/>
        <item x="147"/>
        <item x="174"/>
        <item x="203"/>
        <item x="1352"/>
        <item x="273"/>
        <item x="1124"/>
        <item x="1785"/>
        <item x="1825"/>
        <item x="76"/>
        <item x="816"/>
        <item x="1197"/>
        <item x="1540"/>
        <item x="65"/>
        <item x="1676"/>
        <item x="29"/>
        <item x="1576"/>
        <item x="1234"/>
        <item x="445"/>
        <item x="1705"/>
        <item x="1699"/>
        <item x="1258"/>
        <item x="6"/>
        <item x="313"/>
        <item x="1463"/>
        <item x="455"/>
        <item x="869"/>
        <item x="652"/>
        <item x="1745"/>
        <item x="992"/>
        <item x="586"/>
        <item x="523"/>
        <item x="1123"/>
        <item x="1148"/>
        <item x="1733"/>
        <item x="999"/>
        <item x="1467"/>
        <item x="1507"/>
        <item x="933"/>
        <item x="833"/>
        <item x="770"/>
        <item x="289"/>
        <item x="1724"/>
        <item x="1478"/>
        <item x="1005"/>
        <item x="107"/>
        <item x="655"/>
        <item x="154"/>
        <item x="697"/>
        <item x="1458"/>
        <item x="798"/>
        <item x="1419"/>
        <item x="368"/>
        <item x="499"/>
        <item x="507"/>
        <item x="1406"/>
        <item x="1591"/>
        <item x="126"/>
        <item x="1692"/>
        <item x="1339"/>
        <item x="735"/>
        <item x="1408"/>
        <item x="1675"/>
        <item x="1201"/>
        <item x="1490"/>
        <item x="1664"/>
        <item x="1239"/>
        <item x="605"/>
        <item x="1035"/>
        <item x="1553"/>
        <item x="1645"/>
        <item x="731"/>
        <item x="1283"/>
        <item x="1714"/>
        <item x="1742"/>
        <item x="1166"/>
        <item x="1224"/>
        <item x="96"/>
        <item x="1561"/>
        <item x="1418"/>
        <item x="1306"/>
        <item x="470"/>
        <item x="290"/>
        <item x="56"/>
        <item x="678"/>
        <item x="1030"/>
        <item x="1639"/>
        <item x="480"/>
        <item x="1204"/>
        <item x="1216"/>
        <item x="1821"/>
        <item x="1171"/>
        <item x="88"/>
        <item x="758"/>
        <item x="416"/>
        <item x="821"/>
        <item x="1464"/>
        <item x="163"/>
        <item x="1647"/>
        <item x="489"/>
        <item x="1670"/>
        <item x="1255"/>
        <item x="950"/>
        <item x="1088"/>
        <item x="827"/>
        <item x="717"/>
        <item x="1317"/>
        <item x="1791"/>
        <item x="1376"/>
        <item x="722"/>
        <item x="772"/>
        <item x="617"/>
        <item x="332"/>
        <item x="1076"/>
        <item x="325"/>
        <item x="176"/>
        <item x="1390"/>
        <item x="1669"/>
        <item x="764"/>
        <item x="1630"/>
        <item x="1778"/>
        <item x="706"/>
        <item x="298"/>
        <item x="1747"/>
        <item x="1003"/>
        <item x="1754"/>
        <item x="669"/>
        <item x="28"/>
        <item x="1105"/>
        <item x="1448"/>
        <item x="83"/>
        <item x="1299"/>
        <item x="1502"/>
        <item x="1422"/>
        <item x="361"/>
        <item x="1470"/>
        <item x="1053"/>
        <item x="468"/>
        <item x="1279"/>
        <item x="450"/>
        <item x="1610"/>
        <item x="410"/>
        <item x="487"/>
        <item x="1154"/>
        <item x="1341"/>
        <item x="1551"/>
        <item x="753"/>
        <item x="1696"/>
        <item x="1369"/>
        <item x="1557"/>
        <item x="574"/>
        <item x="1099"/>
        <item x="1722"/>
        <item x="1587"/>
        <item x="214"/>
        <item x="911"/>
        <item x="438"/>
        <item x="1729"/>
        <item x="178"/>
        <item x="190"/>
        <item x="600"/>
        <item x="1011"/>
        <item x="986"/>
        <item x="1074"/>
        <item x="1466"/>
        <item x="1648"/>
        <item x="705"/>
        <item x="282"/>
        <item x="311"/>
        <item x="1573"/>
        <item x="256"/>
        <item x="1809"/>
        <item x="1529"/>
        <item x="1322"/>
        <item x="1300"/>
        <item x="479"/>
        <item x="380"/>
        <item x="1686"/>
        <item x="1708"/>
        <item x="1569"/>
        <item x="347"/>
        <item x="954"/>
        <item x="686"/>
        <item x="1043"/>
        <item x="271"/>
        <item x="1340"/>
        <item x="248"/>
        <item x="1793"/>
        <item x="1806"/>
        <item x="223"/>
        <item x="118"/>
        <item x="676"/>
        <item x="399"/>
        <item x="337"/>
        <item x="991"/>
        <item x="637"/>
        <item x="1361"/>
        <item x="659"/>
        <item x="702"/>
        <item x="781"/>
        <item x="1828"/>
        <item x="1626"/>
        <item x="1520"/>
        <item x="129"/>
        <item x="1002"/>
        <item x="185"/>
        <item x="1321"/>
        <item x="291"/>
        <item x="188"/>
        <item x="316"/>
        <item x="1350"/>
        <item x="1421"/>
        <item x="797"/>
        <item x="1210"/>
        <item x="896"/>
        <item x="536"/>
        <item x="193"/>
        <item x="1741"/>
        <item x="1433"/>
        <item x="1779"/>
        <item x="1015"/>
        <item x="1383"/>
        <item x="550"/>
        <item x="1701"/>
        <item x="1004"/>
        <item x="849"/>
        <item x="220"/>
        <item x="1038"/>
        <item x="1158"/>
        <item x="576"/>
        <item x="1307"/>
        <item x="521"/>
        <item x="265"/>
        <item x="1401"/>
        <item x="1001"/>
        <item x="1581"/>
        <item x="1748"/>
        <item x="250"/>
        <item x="555"/>
        <item x="1013"/>
        <item x="935"/>
        <item x="40"/>
        <item x="1656"/>
        <item x="840"/>
        <item x="1238"/>
        <item x="1110"/>
        <item x="808"/>
        <item x="353"/>
        <item x="612"/>
        <item x="68"/>
        <item x="757"/>
        <item x="672"/>
        <item x="404"/>
        <item x="498"/>
        <item x="1637"/>
        <item x="994"/>
        <item x="1731"/>
        <item x="885"/>
        <item x="1253"/>
        <item x="593"/>
        <item x="934"/>
        <item x="135"/>
        <item x="1772"/>
        <item x="1494"/>
        <item x="398"/>
        <item x="1694"/>
        <item x="133"/>
        <item x="364"/>
        <item x="284"/>
        <item x="495"/>
        <item x="1530"/>
        <item x="761"/>
        <item x="199"/>
        <item x="886"/>
        <item x="916"/>
        <item x="303"/>
        <item x="1775"/>
        <item x="229"/>
        <item x="1420"/>
        <item x="502"/>
        <item x="1082"/>
        <item x="1411"/>
        <item x="84"/>
        <item x="1305"/>
        <item x="1608"/>
        <item x="496"/>
        <item x="1546"/>
        <item x="635"/>
        <item x="1308"/>
        <item x="1286"/>
        <item x="1417"/>
        <item x="1302"/>
        <item x="11"/>
        <item x="1409"/>
        <item x="701"/>
        <item x="1049"/>
        <item x="877"/>
        <item x="413"/>
        <item x="787"/>
        <item x="1415"/>
        <item x="1760"/>
        <item x="845"/>
        <item x="1092"/>
        <item x="870"/>
        <item x="786"/>
        <item x="253"/>
        <item x="1459"/>
        <item x="319"/>
        <item x="431"/>
        <item x="1324"/>
        <item x="775"/>
        <item x="548"/>
        <item x="829"/>
        <item x="1122"/>
        <item x="1031"/>
        <item x="5"/>
        <item x="1371"/>
        <item x="1372"/>
        <item x="749"/>
        <item x="1740"/>
        <item x="1492"/>
        <item x="1185"/>
        <item x="703"/>
        <item x="615"/>
        <item x="1041"/>
        <item x="1067"/>
        <item x="123"/>
        <item x="1605"/>
        <item x="245"/>
        <item x="707"/>
        <item x="892"/>
        <item x="1250"/>
        <item x="1178"/>
        <item x="1347"/>
        <item x="743"/>
        <item x="369"/>
        <item x="1349"/>
        <item x="1426"/>
        <item x="905"/>
        <item x="1642"/>
        <item x="724"/>
        <item x="818"/>
        <item x="1236"/>
        <item x="262"/>
        <item x="362"/>
        <item x="959"/>
        <item x="1762"/>
        <item x="19"/>
        <item x="837"/>
        <item x="386"/>
        <item x="1807"/>
        <item x="1746"/>
        <item x="1773"/>
        <item x="13"/>
        <item x="812"/>
        <item x="1452"/>
        <item x="308"/>
        <item x="1606"/>
        <item x="1572"/>
        <item x="379"/>
        <item x="1768"/>
        <item x="608"/>
        <item x="134"/>
        <item x="563"/>
        <item x="27"/>
        <item x="930"/>
        <item x="1062"/>
        <item x="1451"/>
        <item x="458"/>
        <item x="842"/>
        <item x="1570"/>
        <item x="949"/>
        <item x="673"/>
        <item x="1362"/>
        <item x="746"/>
        <item x="1036"/>
        <item x="30"/>
        <item x="578"/>
        <item x="461"/>
        <item x="402"/>
        <item x="1237"/>
        <item x="1121"/>
        <item x="341"/>
        <item x="919"/>
        <item x="1363"/>
        <item x="1795"/>
        <item x="255"/>
        <item x="710"/>
        <item x="395"/>
        <item x="932"/>
        <item x="981"/>
        <item x="917"/>
        <item x="1192"/>
        <item x="286"/>
        <item x="1727"/>
        <item x="305"/>
        <item x="1348"/>
        <item x="7"/>
        <item x="1081"/>
        <item x="54"/>
        <item x="944"/>
        <item x="1338"/>
        <item x="1071"/>
        <item x="430"/>
        <item x="1715"/>
        <item x="167"/>
        <item x="242"/>
        <item x="765"/>
        <item x="660"/>
        <item x="10"/>
        <item x="1051"/>
        <item x="1764"/>
        <item x="606"/>
        <item x="653"/>
        <item x="754"/>
        <item x="1403"/>
        <item x="1563"/>
        <item x="132"/>
        <item x="631"/>
        <item x="331"/>
        <item x="387"/>
        <item x="459"/>
        <item x="545"/>
        <item x="151"/>
        <item x="1527"/>
        <item x="813"/>
        <item x="278"/>
        <item x="501"/>
        <item x="1441"/>
        <item x="1125"/>
        <item x="377"/>
        <item x="288"/>
        <item x="1097"/>
        <item x="150"/>
        <item x="382"/>
        <item x="611"/>
        <item x="1268"/>
        <item x="1157"/>
        <item x="1819"/>
        <item x="1315"/>
        <item x="727"/>
        <item x="778"/>
        <item x="585"/>
        <item x="587"/>
        <item x="423"/>
        <item x="952"/>
        <item x="4"/>
        <item x="629"/>
        <item x="756"/>
        <item x="125"/>
        <item x="482"/>
        <item x="1364"/>
        <item x="1394"/>
        <item x="1130"/>
        <item x="1685"/>
        <item x="448"/>
        <item x="453"/>
        <item x="1592"/>
        <item x="1786"/>
        <item x="1170"/>
        <item x="1314"/>
        <item x="1180"/>
        <item x="168"/>
        <item x="221"/>
        <item x="713"/>
        <item x="1562"/>
        <item x="1525"/>
        <item x="906"/>
        <item x="1523"/>
        <item x="1387"/>
        <item x="1248"/>
        <item x="1717"/>
        <item x="1287"/>
        <item x="1790"/>
        <item x="745"/>
        <item x="708"/>
        <item x="1483"/>
        <item x="344"/>
        <item x="618"/>
        <item x="1629"/>
        <item x="1649"/>
        <item x="573"/>
        <item x="739"/>
        <item x="566"/>
        <item x="1367"/>
        <item x="1660"/>
        <item x="1345"/>
        <item x="1193"/>
        <item x="1080"/>
        <item x="1447"/>
        <item x="1710"/>
        <item x="807"/>
        <item x="217"/>
        <item x="297"/>
        <item x="1242"/>
        <item x="1085"/>
        <item x="295"/>
        <item x="544"/>
        <item x="235"/>
        <item x="719"/>
        <item x="1476"/>
        <item x="1213"/>
        <item x="1104"/>
        <item x="366"/>
        <item x="1513"/>
        <item x="173"/>
        <item x="1008"/>
        <item x="689"/>
        <item x="98"/>
        <item x="1046"/>
        <item x="1108"/>
        <item x="1246"/>
        <item x="247"/>
        <item x="1607"/>
        <item x="357"/>
        <item x="553"/>
        <item x="187"/>
        <item x="1493"/>
        <item x="657"/>
        <item x="396"/>
        <item x="1129"/>
        <item x="1679"/>
        <item x="1195"/>
        <item x="1657"/>
        <item x="1472"/>
        <item x="1355"/>
        <item x="1542"/>
        <item x="425"/>
        <item x="1328"/>
        <item x="444"/>
        <item x="130"/>
        <item x="58"/>
        <item x="883"/>
        <item x="35"/>
        <item x="210"/>
        <item x="1453"/>
        <item x="847"/>
        <item x="1761"/>
        <item x="1544"/>
        <item x="1596"/>
        <item x="335"/>
        <item x="436"/>
        <item x="607"/>
        <item x="730"/>
        <item x="1665"/>
        <item x="656"/>
        <item x="1000"/>
        <item x="963"/>
        <item x="921"/>
        <item x="1711"/>
        <item x="275"/>
        <item x="1582"/>
        <item x="560"/>
        <item x="1698"/>
        <item x="1412"/>
        <item x="1688"/>
        <item x="1032"/>
        <item x="1219"/>
        <item x="38"/>
        <item x="1813"/>
        <item x="230"/>
        <item x="471"/>
        <item x="81"/>
        <item x="403"/>
        <item x="1257"/>
        <item x="1190"/>
        <item x="1101"/>
        <item x="48"/>
        <item x="62"/>
        <item x="873"/>
        <item x="34"/>
        <item x="794"/>
        <item x="59"/>
        <item x="966"/>
        <item x="561"/>
        <item x="1271"/>
        <item x="602"/>
        <item x="32"/>
        <item x="1541"/>
        <item x="684"/>
        <item x="110"/>
        <item x="1805"/>
        <item x="418"/>
        <item x="1609"/>
        <item x="674"/>
        <item x="1316"/>
        <item x="1616"/>
        <item x="513"/>
        <item x="897"/>
        <item x="1514"/>
        <item x="1382"/>
        <item x="1151"/>
        <item x="493"/>
        <item x="120"/>
        <item x="647"/>
        <item x="355"/>
        <item x="90"/>
        <item x="1636"/>
        <item x="1063"/>
        <item x="1027"/>
        <item x="1168"/>
        <item x="1277"/>
        <item x="1738"/>
        <item x="766"/>
        <item x="1342"/>
        <item x="642"/>
        <item x="1245"/>
        <item x="1456"/>
        <item x="1293"/>
        <item x="1619"/>
        <item x="1252"/>
        <item x="500"/>
        <item x="1162"/>
        <item x="97"/>
        <item x="111"/>
        <item x="683"/>
        <item x="924"/>
        <item x="651"/>
        <item x="365"/>
        <item x="1496"/>
        <item x="360"/>
        <item x="1720"/>
        <item x="9"/>
        <item x="1823"/>
        <item x="195"/>
        <item x="23"/>
        <item x="1095"/>
        <item x="1588"/>
        <item x="1188"/>
        <item x="1566"/>
        <item x="1832"/>
        <item x="47"/>
        <item x="1555"/>
        <item x="777"/>
        <item x="848"/>
        <item x="1016"/>
        <item x="518"/>
        <item x="535"/>
        <item x="682"/>
        <item x="420"/>
        <item x="1017"/>
        <item x="839"/>
        <item x="1468"/>
        <item x="1672"/>
        <item x="486"/>
        <item x="1298"/>
        <item x="1519"/>
        <item x="1404"/>
        <item x="1183"/>
        <item x="666"/>
        <item x="181"/>
        <item x="82"/>
        <item x="478"/>
        <item x="1360"/>
        <item x="1229"/>
        <item x="343"/>
        <item x="1777"/>
        <item x="1689"/>
        <item x="1084"/>
        <item x="1163"/>
        <item x="385"/>
        <item x="162"/>
        <item x="1706"/>
        <item x="1817"/>
        <item x="149"/>
        <item x="910"/>
        <item x="102"/>
        <item x="391"/>
        <item x="613"/>
        <item x="139"/>
        <item x="472"/>
        <item x="977"/>
        <item x="16"/>
        <item x="184"/>
        <item x="1744"/>
        <item x="244"/>
        <item x="1282"/>
        <item x="1106"/>
        <item x="997"/>
        <item x="243"/>
        <item x="1550"/>
        <item x="1583"/>
        <item x="796"/>
        <item x="202"/>
        <item x="843"/>
        <item x="879"/>
        <item x="1064"/>
        <item x="1336"/>
        <item x="679"/>
        <item x="1831"/>
        <item x="1119"/>
        <item x="864"/>
        <item x="1601"/>
        <item x="231"/>
        <item x="976"/>
        <item x="177"/>
        <item x="990"/>
        <item x="36"/>
        <item x="299"/>
        <item x="1111"/>
        <item x="1069"/>
        <item x="371"/>
        <item x="1814"/>
        <item x="1161"/>
        <item x="492"/>
        <item x="1584"/>
        <item x="274"/>
        <item x="853"/>
        <item x="568"/>
        <item x="145"/>
        <item x="662"/>
        <item x="1007"/>
        <item x="542"/>
        <item x="1539"/>
        <item x="268"/>
        <item x="183"/>
        <item x="222"/>
        <item x="690"/>
        <item x="1695"/>
        <item x="153"/>
        <item x="1462"/>
        <item x="528"/>
        <item x="212"/>
        <item x="581"/>
        <item x="805"/>
        <item x="1743"/>
        <item x="1765"/>
        <item x="1491"/>
        <item x="1646"/>
        <item x="610"/>
        <item x="350"/>
        <item x="1511"/>
        <item x="1034"/>
        <item x="367"/>
        <item x="728"/>
        <item x="1668"/>
        <item x="956"/>
        <item x="1440"/>
        <item x="1712"/>
        <item x="1010"/>
        <item x="1770"/>
        <item x="695"/>
        <item x="621"/>
        <item x="339"/>
        <item x="1567"/>
        <item x="426"/>
        <item x="1766"/>
        <item x="1757"/>
        <item x="1604"/>
        <item x="1048"/>
        <item t="default"/>
      </items>
    </pivotField>
    <pivotField numFmtId="14" showAll="0"/>
  </pivotFields>
  <rowFields count="1">
    <field x="0"/>
  </rowFields>
  <rowItems count="18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 t="grand">
      <x/>
    </i>
  </rowItems>
  <colItems count="1">
    <i/>
  </colItems>
  <dataFields count="1">
    <dataField name="Liczba z n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CEF9B-5B4B-4723-8898-8DB0E11562D4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5:M28" firstHeaderRow="1" firstDataRow="2" firstDataCol="1"/>
  <pivotFields count="2">
    <pivotField axis="axisCol" dataField="1" showAll="0">
      <items count="4">
        <item x="1"/>
        <item x="0"/>
        <item x="2"/>
        <item t="default"/>
      </items>
    </pivotField>
    <pivotField axis="axisRow"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Liczba z rodzaj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061A0-9E57-4D31-846A-4C5543F74D99}" name="Tabela przestawna4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11:Q14" firstHeaderRow="1" firstDataRow="1" firstDataCol="1"/>
  <pivotFields count="5">
    <pivotField axis="axisRow" showAll="0">
      <items count="3">
        <item x="0"/>
        <item x="1"/>
        <item t="default"/>
      </items>
    </pivotField>
    <pivotField numFmtId="14" showAll="0"/>
    <pivotField numFmtId="21" showAll="0"/>
    <pivotField numFmtId="21" showAll="0"/>
    <pivotField dataField="1" numFmtId="2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Liczba z cza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1" xr16:uid="{3BA2F574-2BA6-408C-A162-4D1E4D57ACD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2" xr16:uid="{5ADF56F8-F06C-4EF2-A04E-5D938AFAD18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3" xr16:uid="{7B09CEFC-46AE-47EA-8D50-4F161F73670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4" xr16:uid="{8DBABF75-1EE8-4935-80E0-4C6EC260C5C1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lefony" connectionId="5" xr16:uid="{0656132C-38D3-440E-811C-89D060D21CE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9"/>
  <sheetViews>
    <sheetView tabSelected="1" workbookViewId="0">
      <selection activeCell="J23" sqref="J23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1.42578125" bestFit="1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3539762</v>
      </c>
      <c r="B2" s="1">
        <v>42919</v>
      </c>
      <c r="C2" s="2">
        <v>0.33673611111111112</v>
      </c>
      <c r="D2" s="2">
        <v>0.34821759259259261</v>
      </c>
    </row>
    <row r="3" spans="1:4" x14ac:dyDescent="0.25">
      <c r="A3">
        <v>4546455</v>
      </c>
      <c r="B3" s="1">
        <v>42919</v>
      </c>
      <c r="C3" s="2">
        <v>0.34037037037037038</v>
      </c>
      <c r="D3" s="2">
        <v>0.34983796296296299</v>
      </c>
    </row>
    <row r="4" spans="1:4" x14ac:dyDescent="0.25">
      <c r="A4">
        <v>4546455</v>
      </c>
      <c r="B4" s="1">
        <v>42919</v>
      </c>
      <c r="C4" s="2">
        <v>0.34042824074074074</v>
      </c>
      <c r="D4" s="2">
        <v>0.35046296296296298</v>
      </c>
    </row>
    <row r="5" spans="1:4" x14ac:dyDescent="0.25">
      <c r="A5">
        <v>6900303</v>
      </c>
      <c r="B5" s="1">
        <v>42919</v>
      </c>
      <c r="C5" s="2">
        <v>0.34362268518518518</v>
      </c>
      <c r="D5" s="2">
        <v>0.3482986111111111</v>
      </c>
    </row>
    <row r="6" spans="1:4" x14ac:dyDescent="0.25">
      <c r="A6">
        <v>4250194</v>
      </c>
      <c r="B6" s="1">
        <v>42919</v>
      </c>
      <c r="C6" s="2">
        <v>0.34399305555555554</v>
      </c>
      <c r="D6" s="2">
        <v>0.34872685185185187</v>
      </c>
    </row>
    <row r="7" spans="1:4" x14ac:dyDescent="0.25">
      <c r="A7">
        <v>54586484</v>
      </c>
      <c r="B7" s="1">
        <v>42919</v>
      </c>
      <c r="C7" s="2">
        <v>0.3460185185185185</v>
      </c>
      <c r="D7" s="2">
        <v>0.34969907407407408</v>
      </c>
    </row>
    <row r="8" spans="1:4" x14ac:dyDescent="0.25">
      <c r="A8">
        <v>26204415</v>
      </c>
      <c r="B8" s="1">
        <v>42919</v>
      </c>
      <c r="C8" s="2">
        <v>0.34880787037037037</v>
      </c>
      <c r="D8" s="2">
        <v>0.35023148148148148</v>
      </c>
    </row>
    <row r="9" spans="1:4" x14ac:dyDescent="0.25">
      <c r="A9">
        <v>8596929</v>
      </c>
      <c r="B9" s="1">
        <v>42919</v>
      </c>
      <c r="C9" s="2">
        <v>0.35322916666666665</v>
      </c>
      <c r="D9" s="2">
        <v>0.35968749999999999</v>
      </c>
    </row>
    <row r="10" spans="1:4" x14ac:dyDescent="0.25">
      <c r="A10">
        <v>4546455</v>
      </c>
      <c r="B10" s="1">
        <v>42919</v>
      </c>
      <c r="C10" s="2">
        <v>0.35723379629629631</v>
      </c>
      <c r="D10" s="2">
        <v>0.36699074074074073</v>
      </c>
    </row>
    <row r="11" spans="1:4" x14ac:dyDescent="0.25">
      <c r="A11">
        <v>44937926</v>
      </c>
      <c r="B11" s="1">
        <v>42919</v>
      </c>
      <c r="C11" s="2">
        <v>0.36178240740740741</v>
      </c>
      <c r="D11" s="2">
        <v>0.37260416666666668</v>
      </c>
    </row>
    <row r="12" spans="1:4" x14ac:dyDescent="0.25">
      <c r="A12">
        <v>5816822</v>
      </c>
      <c r="B12" s="1">
        <v>42919</v>
      </c>
      <c r="C12" s="2">
        <v>0.36702546296296296</v>
      </c>
      <c r="D12" s="2">
        <v>0.37568287037037035</v>
      </c>
    </row>
    <row r="13" spans="1:4" x14ac:dyDescent="0.25">
      <c r="A13">
        <v>96191858</v>
      </c>
      <c r="B13" s="1">
        <v>42919</v>
      </c>
      <c r="C13" s="2">
        <v>0.36861111111111111</v>
      </c>
      <c r="D13" s="2">
        <v>0.37554398148148149</v>
      </c>
    </row>
    <row r="14" spans="1:4" x14ac:dyDescent="0.25">
      <c r="A14">
        <v>47261256</v>
      </c>
      <c r="B14" s="1">
        <v>42919</v>
      </c>
      <c r="C14" s="2">
        <v>0.37017361111111113</v>
      </c>
      <c r="D14" s="2">
        <v>0.37328703703703703</v>
      </c>
    </row>
    <row r="15" spans="1:4" x14ac:dyDescent="0.25">
      <c r="A15">
        <v>26204415</v>
      </c>
      <c r="B15" s="1">
        <v>42919</v>
      </c>
      <c r="C15" s="2">
        <v>0.37516203703703704</v>
      </c>
      <c r="D15" s="2">
        <v>0.38424768518518521</v>
      </c>
    </row>
    <row r="16" spans="1:4" x14ac:dyDescent="0.25">
      <c r="A16">
        <v>22747425</v>
      </c>
      <c r="B16" s="1">
        <v>42919</v>
      </c>
      <c r="C16" s="2">
        <v>0.37719907407407405</v>
      </c>
      <c r="D16" s="2">
        <v>0.38513888888888886</v>
      </c>
    </row>
    <row r="17" spans="1:4" x14ac:dyDescent="0.25">
      <c r="A17">
        <v>96191858</v>
      </c>
      <c r="B17" s="1">
        <v>42919</v>
      </c>
      <c r="C17" s="2">
        <v>0.37987268518518519</v>
      </c>
      <c r="D17" s="2">
        <v>0.38802083333333331</v>
      </c>
    </row>
    <row r="18" spans="1:4" x14ac:dyDescent="0.25">
      <c r="A18">
        <v>5816822</v>
      </c>
      <c r="B18" s="1">
        <v>42919</v>
      </c>
      <c r="C18" s="2">
        <v>0.38123842592592594</v>
      </c>
      <c r="D18" s="2">
        <v>0.38390046296296299</v>
      </c>
    </row>
    <row r="19" spans="1:4" x14ac:dyDescent="0.25">
      <c r="A19">
        <v>3352943</v>
      </c>
      <c r="B19" s="1">
        <v>42919</v>
      </c>
      <c r="C19" s="2">
        <v>0.38701388888888888</v>
      </c>
      <c r="D19" s="2">
        <v>0.3943402777777778</v>
      </c>
    </row>
    <row r="20" spans="1:4" x14ac:dyDescent="0.25">
      <c r="A20">
        <v>35634368</v>
      </c>
      <c r="B20" s="1">
        <v>42919</v>
      </c>
      <c r="C20" s="2">
        <v>0.39181712962962961</v>
      </c>
      <c r="D20" s="2">
        <v>0.40334490740740742</v>
      </c>
    </row>
    <row r="21" spans="1:4" x14ac:dyDescent="0.25">
      <c r="A21">
        <v>8313390</v>
      </c>
      <c r="B21" s="1">
        <v>42919</v>
      </c>
      <c r="C21" s="2">
        <v>0.39571759259259259</v>
      </c>
      <c r="D21" s="2">
        <v>0.39844907407407409</v>
      </c>
    </row>
    <row r="22" spans="1:4" x14ac:dyDescent="0.25">
      <c r="A22">
        <v>3954712</v>
      </c>
      <c r="B22" s="1">
        <v>42919</v>
      </c>
      <c r="C22" s="2">
        <v>0.39876157407407409</v>
      </c>
      <c r="D22" s="2">
        <v>0.40207175925925925</v>
      </c>
    </row>
    <row r="23" spans="1:4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</row>
    <row r="24" spans="1:4" x14ac:dyDescent="0.25">
      <c r="A24">
        <v>1787732</v>
      </c>
      <c r="B24" s="1">
        <v>42919</v>
      </c>
      <c r="C24" s="2">
        <v>0.4052546296296296</v>
      </c>
      <c r="D24" s="2">
        <v>0.41048611111111111</v>
      </c>
    </row>
    <row r="25" spans="1:4" x14ac:dyDescent="0.25">
      <c r="A25">
        <v>7834807</v>
      </c>
      <c r="B25" s="1">
        <v>42919</v>
      </c>
      <c r="C25" s="2">
        <v>0.40980324074074076</v>
      </c>
      <c r="D25" s="2">
        <v>0.41035879629629629</v>
      </c>
    </row>
    <row r="26" spans="1:4" x14ac:dyDescent="0.25">
      <c r="A26">
        <v>33320202</v>
      </c>
      <c r="B26" s="1">
        <v>42919</v>
      </c>
      <c r="C26" s="2">
        <v>0.41506944444444444</v>
      </c>
      <c r="D26" s="2">
        <v>0.42621527777777779</v>
      </c>
    </row>
    <row r="27" spans="1:4" x14ac:dyDescent="0.25">
      <c r="A27">
        <v>1488369</v>
      </c>
      <c r="B27" s="1">
        <v>42919</v>
      </c>
      <c r="C27" s="2">
        <v>0.41612268518518519</v>
      </c>
      <c r="D27" s="2">
        <v>0.41756944444444444</v>
      </c>
    </row>
    <row r="28" spans="1:4" x14ac:dyDescent="0.25">
      <c r="A28">
        <v>2631285</v>
      </c>
      <c r="B28" s="1">
        <v>42919</v>
      </c>
      <c r="C28" s="2">
        <v>0.4176273148148148</v>
      </c>
      <c r="D28" s="2">
        <v>0.42375000000000002</v>
      </c>
    </row>
    <row r="29" spans="1:4" x14ac:dyDescent="0.25">
      <c r="A29">
        <v>7415603</v>
      </c>
      <c r="B29" s="1">
        <v>42919</v>
      </c>
      <c r="C29" s="2">
        <v>0.42078703703703701</v>
      </c>
      <c r="D29" s="2">
        <v>0.43216435185185187</v>
      </c>
    </row>
    <row r="30" spans="1:4" x14ac:dyDescent="0.25">
      <c r="A30">
        <v>96375379</v>
      </c>
      <c r="B30" s="1">
        <v>42919</v>
      </c>
      <c r="C30" s="2">
        <v>0.42447916666666669</v>
      </c>
      <c r="D30" s="2">
        <v>0.42660879629629628</v>
      </c>
    </row>
    <row r="31" spans="1:4" x14ac:dyDescent="0.25">
      <c r="A31">
        <v>6976431</v>
      </c>
      <c r="B31" s="1">
        <v>42919</v>
      </c>
      <c r="C31" s="2">
        <v>0.4281712962962963</v>
      </c>
      <c r="D31" s="2">
        <v>0.43692129629629628</v>
      </c>
    </row>
    <row r="32" spans="1:4" x14ac:dyDescent="0.25">
      <c r="A32">
        <v>4093292</v>
      </c>
      <c r="B32" s="1">
        <v>42919</v>
      </c>
      <c r="C32" s="2">
        <v>0.43038194444444444</v>
      </c>
      <c r="D32" s="2">
        <v>0.43494212962962964</v>
      </c>
    </row>
    <row r="33" spans="1:4" x14ac:dyDescent="0.25">
      <c r="A33">
        <v>6312575</v>
      </c>
      <c r="B33" s="1">
        <v>42919</v>
      </c>
      <c r="C33" s="2">
        <v>0.4309837962962963</v>
      </c>
      <c r="D33" s="2">
        <v>0.43748842592592591</v>
      </c>
    </row>
    <row r="34" spans="1:4" x14ac:dyDescent="0.25">
      <c r="A34">
        <v>38535407</v>
      </c>
      <c r="B34" s="1">
        <v>42919</v>
      </c>
      <c r="C34" s="2">
        <v>0.43593749999999998</v>
      </c>
      <c r="D34" s="2">
        <v>0.44417824074074075</v>
      </c>
    </row>
    <row r="35" spans="1:4" x14ac:dyDescent="0.25">
      <c r="A35">
        <v>38535407</v>
      </c>
      <c r="B35" s="1">
        <v>42919</v>
      </c>
      <c r="C35" s="2">
        <v>0.43824074074074076</v>
      </c>
      <c r="D35" s="2">
        <v>0.43913194444444442</v>
      </c>
    </row>
    <row r="36" spans="1:4" x14ac:dyDescent="0.25">
      <c r="A36">
        <v>9413315</v>
      </c>
      <c r="B36" s="1">
        <v>42919</v>
      </c>
      <c r="C36" s="2">
        <v>0.44313657407407409</v>
      </c>
      <c r="D36" s="2">
        <v>0.45300925925925928</v>
      </c>
    </row>
    <row r="37" spans="1:4" x14ac:dyDescent="0.25">
      <c r="A37">
        <v>8514016</v>
      </c>
      <c r="B37" s="1">
        <v>42919</v>
      </c>
      <c r="C37" s="2">
        <v>0.44778935185185187</v>
      </c>
      <c r="D37" s="2">
        <v>0.44998842592592592</v>
      </c>
    </row>
    <row r="38" spans="1:4" x14ac:dyDescent="0.25">
      <c r="A38">
        <v>40965486</v>
      </c>
      <c r="B38" s="1">
        <v>42919</v>
      </c>
      <c r="C38" s="2">
        <v>0.44945601851851852</v>
      </c>
      <c r="D38" s="2">
        <v>0.46011574074074074</v>
      </c>
    </row>
    <row r="39" spans="1:4" x14ac:dyDescent="0.25">
      <c r="A39">
        <v>4546455</v>
      </c>
      <c r="B39" s="1">
        <v>42919</v>
      </c>
      <c r="C39" s="2">
        <v>0.45270833333333332</v>
      </c>
      <c r="D39" s="2">
        <v>0.45620370370370372</v>
      </c>
    </row>
    <row r="40" spans="1:4" x14ac:dyDescent="0.25">
      <c r="A40">
        <v>1435049</v>
      </c>
      <c r="B40" s="1">
        <v>42919</v>
      </c>
      <c r="C40" s="2">
        <v>0.45494212962962965</v>
      </c>
      <c r="D40" s="2">
        <v>0.45567129629629627</v>
      </c>
    </row>
    <row r="41" spans="1:4" x14ac:dyDescent="0.25">
      <c r="A41">
        <v>85598139</v>
      </c>
      <c r="B41" s="1">
        <v>42919</v>
      </c>
      <c r="C41" s="2">
        <v>0.45608796296296295</v>
      </c>
      <c r="D41" s="2">
        <v>0.46314814814814814</v>
      </c>
    </row>
    <row r="42" spans="1:4" x14ac:dyDescent="0.25">
      <c r="A42">
        <v>1787732</v>
      </c>
      <c r="B42" s="1">
        <v>42919</v>
      </c>
      <c r="C42" s="2">
        <v>0.46151620370370372</v>
      </c>
      <c r="D42" s="2">
        <v>0.46546296296296297</v>
      </c>
    </row>
    <row r="43" spans="1:4" x14ac:dyDescent="0.25">
      <c r="A43">
        <v>1926053</v>
      </c>
      <c r="B43" s="1">
        <v>42919</v>
      </c>
      <c r="C43" s="2">
        <v>0.46155092592592595</v>
      </c>
      <c r="D43" s="2">
        <v>0.46766203703703701</v>
      </c>
    </row>
    <row r="44" spans="1:4" x14ac:dyDescent="0.25">
      <c r="A44">
        <v>82949156</v>
      </c>
      <c r="B44" s="1">
        <v>42919</v>
      </c>
      <c r="C44" s="2">
        <v>0.46224537037037039</v>
      </c>
      <c r="D44" s="2">
        <v>0.46390046296296295</v>
      </c>
    </row>
    <row r="45" spans="1:4" x14ac:dyDescent="0.25">
      <c r="A45">
        <v>73690742</v>
      </c>
      <c r="B45" s="1">
        <v>42919</v>
      </c>
      <c r="C45" s="2">
        <v>0.46766203703703701</v>
      </c>
      <c r="D45" s="2">
        <v>0.4767939814814815</v>
      </c>
    </row>
    <row r="46" spans="1:4" x14ac:dyDescent="0.25">
      <c r="A46">
        <v>5107477025</v>
      </c>
      <c r="B46" s="1">
        <v>42919</v>
      </c>
      <c r="C46" s="2">
        <v>0.47125</v>
      </c>
      <c r="D46" s="2">
        <v>0.47871527777777778</v>
      </c>
    </row>
    <row r="47" spans="1:4" x14ac:dyDescent="0.25">
      <c r="A47">
        <v>4787793</v>
      </c>
      <c r="B47" s="1">
        <v>42919</v>
      </c>
      <c r="C47" s="2">
        <v>0.47584490740740742</v>
      </c>
      <c r="D47" s="2">
        <v>0.48518518518518516</v>
      </c>
    </row>
    <row r="48" spans="1:4" x14ac:dyDescent="0.25">
      <c r="A48">
        <v>79381100</v>
      </c>
      <c r="B48" s="1">
        <v>42919</v>
      </c>
      <c r="C48" s="2">
        <v>0.48078703703703701</v>
      </c>
      <c r="D48" s="2">
        <v>0.48550925925925925</v>
      </c>
    </row>
    <row r="49" spans="1:4" x14ac:dyDescent="0.25">
      <c r="A49">
        <v>4146159</v>
      </c>
      <c r="B49" s="1">
        <v>42919</v>
      </c>
      <c r="C49" s="2">
        <v>0.48123842592592592</v>
      </c>
      <c r="D49" s="2">
        <v>0.49261574074074072</v>
      </c>
    </row>
    <row r="50" spans="1:4" x14ac:dyDescent="0.25">
      <c r="A50">
        <v>13484133</v>
      </c>
      <c r="B50" s="1">
        <v>42919</v>
      </c>
      <c r="C50" s="2">
        <v>0.48254629629629631</v>
      </c>
      <c r="D50" s="2">
        <v>0.48739583333333331</v>
      </c>
    </row>
    <row r="51" spans="1:4" x14ac:dyDescent="0.25">
      <c r="A51">
        <v>4657345</v>
      </c>
      <c r="B51" s="1">
        <v>42919</v>
      </c>
      <c r="C51" s="2">
        <v>0.48489583333333336</v>
      </c>
      <c r="D51" s="2">
        <v>0.48734953703703704</v>
      </c>
    </row>
    <row r="52" spans="1:4" x14ac:dyDescent="0.25">
      <c r="A52">
        <v>3697935</v>
      </c>
      <c r="B52" s="1">
        <v>42919</v>
      </c>
      <c r="C52" s="2">
        <v>0.49054398148148148</v>
      </c>
      <c r="D52" s="2">
        <v>0.49251157407407409</v>
      </c>
    </row>
    <row r="53" spans="1:4" x14ac:dyDescent="0.25">
      <c r="A53">
        <v>2668991</v>
      </c>
      <c r="B53" s="1">
        <v>42919</v>
      </c>
      <c r="C53" s="2">
        <v>0.49284722222222221</v>
      </c>
      <c r="D53" s="2">
        <v>0.50354166666666667</v>
      </c>
    </row>
    <row r="54" spans="1:4" x14ac:dyDescent="0.25">
      <c r="A54">
        <v>3520189</v>
      </c>
      <c r="B54" s="1">
        <v>42919</v>
      </c>
      <c r="C54" s="2">
        <v>0.49862268518518521</v>
      </c>
      <c r="D54" s="2">
        <v>0.50287037037037041</v>
      </c>
    </row>
    <row r="55" spans="1:4" x14ac:dyDescent="0.25">
      <c r="A55">
        <v>4546455</v>
      </c>
      <c r="B55" s="1">
        <v>42919</v>
      </c>
      <c r="C55" s="2">
        <v>0.50089120370370366</v>
      </c>
      <c r="D55" s="2">
        <v>0.50876157407407407</v>
      </c>
    </row>
    <row r="56" spans="1:4" x14ac:dyDescent="0.25">
      <c r="A56">
        <v>3897347</v>
      </c>
      <c r="B56" s="1">
        <v>42919</v>
      </c>
      <c r="C56" s="2">
        <v>0.50549768518518523</v>
      </c>
      <c r="D56" s="2">
        <v>0.5100231481481482</v>
      </c>
    </row>
    <row r="57" spans="1:4" x14ac:dyDescent="0.25">
      <c r="A57">
        <v>1867016</v>
      </c>
      <c r="B57" s="1">
        <v>42919</v>
      </c>
      <c r="C57" s="2">
        <v>0.50910879629629635</v>
      </c>
      <c r="D57" s="2">
        <v>0.50930555555555557</v>
      </c>
    </row>
    <row r="58" spans="1:4" x14ac:dyDescent="0.25">
      <c r="A58">
        <v>96949751</v>
      </c>
      <c r="B58" s="1">
        <v>42919</v>
      </c>
      <c r="C58" s="2">
        <v>0.51262731481481483</v>
      </c>
      <c r="D58" s="2">
        <v>0.5142592592592593</v>
      </c>
    </row>
    <row r="59" spans="1:4" x14ac:dyDescent="0.25">
      <c r="A59">
        <v>81613163</v>
      </c>
      <c r="B59" s="1">
        <v>42919</v>
      </c>
      <c r="C59" s="2">
        <v>0.5175925925925926</v>
      </c>
      <c r="D59" s="2">
        <v>0.52021990740740742</v>
      </c>
    </row>
    <row r="60" spans="1:4" x14ac:dyDescent="0.25">
      <c r="A60">
        <v>4250194</v>
      </c>
      <c r="B60" s="1">
        <v>42919</v>
      </c>
      <c r="C60" s="2">
        <v>0.52217592592592588</v>
      </c>
      <c r="D60" s="2">
        <v>0.52918981481481486</v>
      </c>
    </row>
    <row r="61" spans="1:4" x14ac:dyDescent="0.25">
      <c r="A61">
        <v>6050344</v>
      </c>
      <c r="B61" s="1">
        <v>42919</v>
      </c>
      <c r="C61" s="2">
        <v>0.52444444444444449</v>
      </c>
      <c r="D61" s="2">
        <v>0.52681712962962968</v>
      </c>
    </row>
    <row r="62" spans="1:4" x14ac:dyDescent="0.25">
      <c r="A62">
        <v>4546455</v>
      </c>
      <c r="B62" s="1">
        <v>42919</v>
      </c>
      <c r="C62" s="2">
        <v>0.5258680555555556</v>
      </c>
      <c r="D62" s="2">
        <v>0.53531249999999997</v>
      </c>
    </row>
    <row r="63" spans="1:4" x14ac:dyDescent="0.25">
      <c r="A63">
        <v>7727942</v>
      </c>
      <c r="B63" s="1">
        <v>42919</v>
      </c>
      <c r="C63" s="2">
        <v>0.53013888888888894</v>
      </c>
      <c r="D63" s="2">
        <v>0.53707175925925921</v>
      </c>
    </row>
    <row r="64" spans="1:4" x14ac:dyDescent="0.25">
      <c r="A64">
        <v>8249721</v>
      </c>
      <c r="B64" s="1">
        <v>42919</v>
      </c>
      <c r="C64" s="2">
        <v>0.53486111111111112</v>
      </c>
      <c r="D64" s="2">
        <v>0.53756944444444443</v>
      </c>
    </row>
    <row r="65" spans="1:4" x14ac:dyDescent="0.25">
      <c r="A65">
        <v>6894270</v>
      </c>
      <c r="B65" s="1">
        <v>42919</v>
      </c>
      <c r="C65" s="2">
        <v>0.53488425925925931</v>
      </c>
      <c r="D65" s="2">
        <v>0.53523148148148147</v>
      </c>
    </row>
    <row r="66" spans="1:4" x14ac:dyDescent="0.25">
      <c r="A66">
        <v>3095218</v>
      </c>
      <c r="B66" s="1">
        <v>42919</v>
      </c>
      <c r="C66" s="2">
        <v>0.5358680555555555</v>
      </c>
      <c r="D66" s="2">
        <v>0.54329861111111111</v>
      </c>
    </row>
    <row r="67" spans="1:4" x14ac:dyDescent="0.25">
      <c r="A67">
        <v>45081794</v>
      </c>
      <c r="B67" s="1">
        <v>42919</v>
      </c>
      <c r="C67" s="2">
        <v>0.54016203703703702</v>
      </c>
      <c r="D67" s="2">
        <v>0.54297453703703702</v>
      </c>
    </row>
    <row r="68" spans="1:4" x14ac:dyDescent="0.25">
      <c r="A68">
        <v>3533271</v>
      </c>
      <c r="B68" s="1">
        <v>42919</v>
      </c>
      <c r="C68" s="2">
        <v>0.54280092592592588</v>
      </c>
      <c r="D68" s="2">
        <v>0.54478009259259264</v>
      </c>
    </row>
    <row r="69" spans="1:4" x14ac:dyDescent="0.25">
      <c r="A69">
        <v>7415603</v>
      </c>
      <c r="B69" s="1">
        <v>42919</v>
      </c>
      <c r="C69" s="2">
        <v>0.54848379629629629</v>
      </c>
      <c r="D69" s="2">
        <v>0.5578819444444445</v>
      </c>
    </row>
    <row r="70" spans="1:4" x14ac:dyDescent="0.25">
      <c r="A70">
        <v>9088452</v>
      </c>
      <c r="B70" s="1">
        <v>42919</v>
      </c>
      <c r="C70" s="2">
        <v>0.55283564814814812</v>
      </c>
      <c r="D70" s="2">
        <v>0.55756944444444445</v>
      </c>
    </row>
    <row r="71" spans="1:4" x14ac:dyDescent="0.25">
      <c r="A71">
        <v>3379401</v>
      </c>
      <c r="B71" s="1">
        <v>42919</v>
      </c>
      <c r="C71" s="2">
        <v>0.55576388888888884</v>
      </c>
      <c r="D71" s="2">
        <v>0.56342592592592589</v>
      </c>
    </row>
    <row r="72" spans="1:4" x14ac:dyDescent="0.25">
      <c r="A72">
        <v>73350537</v>
      </c>
      <c r="B72" s="1">
        <v>42919</v>
      </c>
      <c r="C72" s="2">
        <v>0.55722222222222217</v>
      </c>
      <c r="D72" s="2">
        <v>0.55787037037037035</v>
      </c>
    </row>
    <row r="73" spans="1:4" x14ac:dyDescent="0.25">
      <c r="A73">
        <v>83707586</v>
      </c>
      <c r="B73" s="1">
        <v>42919</v>
      </c>
      <c r="C73" s="2">
        <v>0.55803240740740745</v>
      </c>
      <c r="D73" s="2">
        <v>0.56174768518518514</v>
      </c>
    </row>
    <row r="74" spans="1:4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</row>
    <row r="75" spans="1:4" x14ac:dyDescent="0.25">
      <c r="A75">
        <v>1480206</v>
      </c>
      <c r="B75" s="1">
        <v>42919</v>
      </c>
      <c r="C75" s="2">
        <v>0.5645486111111111</v>
      </c>
      <c r="D75" s="2">
        <v>0.56458333333333333</v>
      </c>
    </row>
    <row r="76" spans="1:4" x14ac:dyDescent="0.25">
      <c r="A76">
        <v>3095218</v>
      </c>
      <c r="B76" s="1">
        <v>42919</v>
      </c>
      <c r="C76" s="2">
        <v>0.56555555555555559</v>
      </c>
      <c r="D76" s="2">
        <v>0.56557870370370367</v>
      </c>
    </row>
    <row r="77" spans="1:4" x14ac:dyDescent="0.25">
      <c r="A77">
        <v>2028923</v>
      </c>
      <c r="B77" s="1">
        <v>42919</v>
      </c>
      <c r="C77" s="2">
        <v>0.56800925925925927</v>
      </c>
      <c r="D77" s="2">
        <v>0.57093749999999999</v>
      </c>
    </row>
    <row r="78" spans="1:4" x14ac:dyDescent="0.25">
      <c r="A78">
        <v>81880891</v>
      </c>
      <c r="B78" s="1">
        <v>42919</v>
      </c>
      <c r="C78" s="2">
        <v>0.57141203703703702</v>
      </c>
      <c r="D78" s="2">
        <v>0.57547453703703699</v>
      </c>
    </row>
    <row r="79" spans="1:4" x14ac:dyDescent="0.25">
      <c r="A79">
        <v>4274149</v>
      </c>
      <c r="B79" s="1">
        <v>42919</v>
      </c>
      <c r="C79" s="2">
        <v>0.5717592592592593</v>
      </c>
      <c r="D79" s="2">
        <v>0.58065972222222217</v>
      </c>
    </row>
    <row r="80" spans="1:4" x14ac:dyDescent="0.25">
      <c r="A80">
        <v>3505978</v>
      </c>
      <c r="B80" s="1">
        <v>42919</v>
      </c>
      <c r="C80" s="2">
        <v>0.57642361111111107</v>
      </c>
      <c r="D80" s="2">
        <v>0.5799305555555555</v>
      </c>
    </row>
    <row r="81" spans="1:4" x14ac:dyDescent="0.25">
      <c r="A81">
        <v>8504601</v>
      </c>
      <c r="B81" s="1">
        <v>42919</v>
      </c>
      <c r="C81" s="2">
        <v>0.57958333333333334</v>
      </c>
      <c r="D81" s="2">
        <v>0.58056712962962964</v>
      </c>
    </row>
    <row r="82" spans="1:4" x14ac:dyDescent="0.25">
      <c r="A82">
        <v>8214927</v>
      </c>
      <c r="B82" s="1">
        <v>42919</v>
      </c>
      <c r="C82" s="2">
        <v>0.5819212962962963</v>
      </c>
      <c r="D82" s="2">
        <v>0.59106481481481477</v>
      </c>
    </row>
    <row r="83" spans="1:4" x14ac:dyDescent="0.25">
      <c r="A83">
        <v>5913547</v>
      </c>
      <c r="B83" s="1">
        <v>42919</v>
      </c>
      <c r="C83" s="2">
        <v>0.58414351851851853</v>
      </c>
      <c r="D83" s="2">
        <v>0.5861574074074074</v>
      </c>
    </row>
    <row r="84" spans="1:4" x14ac:dyDescent="0.25">
      <c r="A84">
        <v>3505978</v>
      </c>
      <c r="B84" s="1">
        <v>42919</v>
      </c>
      <c r="C84" s="2">
        <v>0.58699074074074076</v>
      </c>
      <c r="D84" s="2">
        <v>0.59060185185185188</v>
      </c>
    </row>
    <row r="85" spans="1:4" x14ac:dyDescent="0.25">
      <c r="A85">
        <v>14783929</v>
      </c>
      <c r="B85" s="1">
        <v>42919</v>
      </c>
      <c r="C85" s="2">
        <v>0.5902546296296296</v>
      </c>
      <c r="D85" s="2">
        <v>0.59516203703703707</v>
      </c>
    </row>
    <row r="86" spans="1:4" x14ac:dyDescent="0.25">
      <c r="A86">
        <v>2915745</v>
      </c>
      <c r="B86" s="1">
        <v>42919</v>
      </c>
      <c r="C86" s="2">
        <v>0.59324074074074074</v>
      </c>
      <c r="D86" s="2">
        <v>0.6029282407407407</v>
      </c>
    </row>
    <row r="87" spans="1:4" x14ac:dyDescent="0.25">
      <c r="A87">
        <v>1100142</v>
      </c>
      <c r="B87" s="1">
        <v>42919</v>
      </c>
      <c r="C87" s="2">
        <v>0.59710648148148149</v>
      </c>
      <c r="D87" s="2">
        <v>0.6003356481481481</v>
      </c>
    </row>
    <row r="88" spans="1:4" x14ac:dyDescent="0.25">
      <c r="A88">
        <v>7795911</v>
      </c>
      <c r="B88" s="1">
        <v>42919</v>
      </c>
      <c r="C88" s="2">
        <v>0.60196759259259258</v>
      </c>
      <c r="D88" s="2">
        <v>0.61259259259259258</v>
      </c>
    </row>
    <row r="89" spans="1:4" x14ac:dyDescent="0.25">
      <c r="A89">
        <v>1709455</v>
      </c>
      <c r="B89" s="1">
        <v>42919</v>
      </c>
      <c r="C89" s="2">
        <v>0.60313657407407406</v>
      </c>
      <c r="D89" s="2">
        <v>0.60765046296296299</v>
      </c>
    </row>
    <row r="90" spans="1:4" x14ac:dyDescent="0.25">
      <c r="A90">
        <v>54586484</v>
      </c>
      <c r="B90" s="1">
        <v>42919</v>
      </c>
      <c r="C90" s="2">
        <v>0.60753472222222227</v>
      </c>
      <c r="D90" s="2">
        <v>0.61120370370370369</v>
      </c>
    </row>
    <row r="91" spans="1:4" x14ac:dyDescent="0.25">
      <c r="A91">
        <v>6674505</v>
      </c>
      <c r="B91" s="1">
        <v>42919</v>
      </c>
      <c r="C91" s="2">
        <v>0.61243055555555559</v>
      </c>
      <c r="D91" s="2">
        <v>0.62267361111111108</v>
      </c>
    </row>
    <row r="92" spans="1:4" x14ac:dyDescent="0.25">
      <c r="A92">
        <v>6920814</v>
      </c>
      <c r="B92" s="1">
        <v>42919</v>
      </c>
      <c r="C92" s="2">
        <v>0.6141550925925926</v>
      </c>
      <c r="D92" s="2">
        <v>0.61440972222222223</v>
      </c>
    </row>
    <row r="93" spans="1:4" x14ac:dyDescent="0.25">
      <c r="A93">
        <v>6161675</v>
      </c>
      <c r="B93" s="1">
        <v>42919</v>
      </c>
      <c r="C93" s="2">
        <v>0.61449074074074073</v>
      </c>
      <c r="D93" s="2">
        <v>0.62415509259259261</v>
      </c>
    </row>
    <row r="94" spans="1:4" x14ac:dyDescent="0.25">
      <c r="A94">
        <v>8498076</v>
      </c>
      <c r="B94" s="1">
        <v>42919</v>
      </c>
      <c r="C94" s="2">
        <v>0.61523148148148143</v>
      </c>
      <c r="D94" s="2">
        <v>0.62223379629629627</v>
      </c>
    </row>
    <row r="95" spans="1:4" x14ac:dyDescent="0.25">
      <c r="A95">
        <v>4174785</v>
      </c>
      <c r="B95" s="1">
        <v>42919</v>
      </c>
      <c r="C95" s="2">
        <v>0.61624999999999996</v>
      </c>
      <c r="D95" s="2">
        <v>0.62702546296296291</v>
      </c>
    </row>
    <row r="96" spans="1:4" x14ac:dyDescent="0.25">
      <c r="A96">
        <v>3776937</v>
      </c>
      <c r="B96" s="1">
        <v>42919</v>
      </c>
      <c r="C96" s="2">
        <v>0.61767361111111108</v>
      </c>
      <c r="D96" s="2">
        <v>0.6234143518518519</v>
      </c>
    </row>
    <row r="97" spans="1:4" x14ac:dyDescent="0.25">
      <c r="A97">
        <v>2636055</v>
      </c>
      <c r="B97" s="1">
        <v>42919</v>
      </c>
      <c r="C97" s="2">
        <v>0.62174768518518519</v>
      </c>
      <c r="D97" s="2">
        <v>0.62206018518518513</v>
      </c>
    </row>
    <row r="98" spans="1:4" x14ac:dyDescent="0.25">
      <c r="A98">
        <v>4555937</v>
      </c>
      <c r="B98" s="1">
        <v>42919</v>
      </c>
      <c r="C98" s="2">
        <v>0.62645833333333334</v>
      </c>
      <c r="D98" s="2">
        <v>0.63792824074074073</v>
      </c>
    </row>
    <row r="99" spans="1:4" x14ac:dyDescent="0.25">
      <c r="A99">
        <v>80306197</v>
      </c>
      <c r="B99" s="1">
        <v>42920</v>
      </c>
      <c r="C99" s="2">
        <v>0.33644675925925926</v>
      </c>
      <c r="D99" s="2">
        <v>0.33884259259259258</v>
      </c>
    </row>
    <row r="100" spans="1:4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</row>
    <row r="101" spans="1:4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</row>
    <row r="102" spans="1:4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</row>
    <row r="103" spans="1:4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</row>
    <row r="104" spans="1:4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</row>
    <row r="105" spans="1:4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</row>
    <row r="106" spans="1:4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</row>
    <row r="107" spans="1:4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</row>
    <row r="108" spans="1:4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</row>
    <row r="109" spans="1:4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</row>
    <row r="110" spans="1:4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</row>
    <row r="111" spans="1:4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</row>
    <row r="112" spans="1:4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</row>
    <row r="113" spans="1:4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</row>
    <row r="114" spans="1:4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</row>
    <row r="115" spans="1:4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</row>
    <row r="116" spans="1:4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</row>
    <row r="117" spans="1:4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</row>
    <row r="118" spans="1:4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</row>
    <row r="119" spans="1:4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</row>
    <row r="120" spans="1:4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</row>
    <row r="121" spans="1:4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</row>
    <row r="122" spans="1:4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</row>
    <row r="123" spans="1:4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</row>
    <row r="124" spans="1:4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</row>
    <row r="125" spans="1:4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</row>
    <row r="126" spans="1:4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</row>
    <row r="127" spans="1:4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</row>
    <row r="128" spans="1:4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</row>
    <row r="129" spans="1:4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</row>
    <row r="130" spans="1:4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</row>
    <row r="131" spans="1:4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</row>
    <row r="132" spans="1:4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</row>
    <row r="133" spans="1:4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</row>
    <row r="134" spans="1:4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</row>
    <row r="135" spans="1:4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</row>
    <row r="136" spans="1:4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</row>
    <row r="137" spans="1:4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</row>
    <row r="138" spans="1:4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</row>
    <row r="139" spans="1:4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</row>
    <row r="140" spans="1:4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</row>
    <row r="141" spans="1:4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</row>
    <row r="142" spans="1:4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</row>
    <row r="143" spans="1:4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</row>
    <row r="144" spans="1:4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</row>
    <row r="145" spans="1:4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</row>
    <row r="146" spans="1:4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</row>
    <row r="147" spans="1:4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</row>
    <row r="148" spans="1:4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</row>
    <row r="149" spans="1:4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</row>
    <row r="150" spans="1:4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</row>
    <row r="151" spans="1:4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</row>
    <row r="152" spans="1:4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</row>
    <row r="153" spans="1:4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</row>
    <row r="154" spans="1:4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</row>
    <row r="155" spans="1:4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</row>
    <row r="156" spans="1:4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</row>
    <row r="157" spans="1:4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</row>
    <row r="158" spans="1:4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</row>
    <row r="159" spans="1:4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</row>
    <row r="160" spans="1:4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</row>
    <row r="161" spans="1:4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</row>
    <row r="162" spans="1:4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</row>
    <row r="163" spans="1:4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</row>
    <row r="164" spans="1:4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</row>
    <row r="165" spans="1:4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</row>
    <row r="166" spans="1:4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</row>
    <row r="167" spans="1:4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</row>
    <row r="168" spans="1:4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</row>
    <row r="169" spans="1:4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</row>
    <row r="170" spans="1:4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</row>
    <row r="171" spans="1:4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</row>
    <row r="172" spans="1:4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</row>
    <row r="173" spans="1:4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</row>
    <row r="174" spans="1:4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</row>
    <row r="175" spans="1:4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</row>
    <row r="176" spans="1:4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</row>
    <row r="177" spans="1:4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</row>
    <row r="178" spans="1:4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</row>
    <row r="179" spans="1:4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</row>
    <row r="180" spans="1:4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</row>
    <row r="181" spans="1:4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</row>
    <row r="182" spans="1:4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</row>
    <row r="183" spans="1:4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</row>
    <row r="184" spans="1:4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</row>
    <row r="185" spans="1:4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</row>
    <row r="186" spans="1:4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</row>
    <row r="187" spans="1:4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</row>
    <row r="188" spans="1:4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</row>
    <row r="189" spans="1:4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</row>
    <row r="190" spans="1:4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</row>
    <row r="191" spans="1:4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</row>
    <row r="192" spans="1:4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</row>
    <row r="193" spans="1:4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</row>
    <row r="194" spans="1:4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</row>
    <row r="195" spans="1:4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</row>
    <row r="196" spans="1:4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</row>
    <row r="197" spans="1:4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</row>
    <row r="198" spans="1:4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</row>
    <row r="199" spans="1:4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</row>
    <row r="200" spans="1:4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</row>
    <row r="201" spans="1:4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</row>
    <row r="202" spans="1:4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</row>
    <row r="203" spans="1:4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</row>
    <row r="204" spans="1:4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</row>
    <row r="205" spans="1:4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</row>
    <row r="206" spans="1:4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</row>
    <row r="207" spans="1:4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</row>
    <row r="208" spans="1:4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</row>
    <row r="209" spans="1:4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</row>
    <row r="210" spans="1:4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</row>
    <row r="211" spans="1:4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</row>
    <row r="212" spans="1:4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</row>
    <row r="213" spans="1:4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</row>
    <row r="214" spans="1:4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</row>
    <row r="215" spans="1:4" x14ac:dyDescent="0.25">
      <c r="A215">
        <v>13484133</v>
      </c>
      <c r="B215" s="1">
        <v>42921</v>
      </c>
      <c r="C215" s="2">
        <v>0.3959375</v>
      </c>
      <c r="D215" s="2">
        <v>0.3982060185185185</v>
      </c>
    </row>
    <row r="216" spans="1:4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</row>
    <row r="217" spans="1:4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</row>
    <row r="218" spans="1:4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</row>
    <row r="219" spans="1:4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</row>
    <row r="220" spans="1:4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</row>
    <row r="221" spans="1:4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</row>
    <row r="222" spans="1:4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</row>
    <row r="223" spans="1:4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</row>
    <row r="224" spans="1:4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</row>
    <row r="225" spans="1:4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</row>
    <row r="226" spans="1:4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</row>
    <row r="227" spans="1:4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</row>
    <row r="228" spans="1:4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</row>
    <row r="229" spans="1:4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</row>
    <row r="230" spans="1:4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</row>
    <row r="231" spans="1:4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</row>
    <row r="232" spans="1:4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</row>
    <row r="233" spans="1:4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</row>
    <row r="234" spans="1:4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</row>
    <row r="235" spans="1:4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</row>
    <row r="236" spans="1:4" x14ac:dyDescent="0.25">
      <c r="A236">
        <v>2750193</v>
      </c>
      <c r="B236" s="1">
        <v>42921</v>
      </c>
      <c r="C236" s="2">
        <v>0.45445601851851852</v>
      </c>
      <c r="D236" s="2">
        <v>0.455625</v>
      </c>
    </row>
    <row r="237" spans="1:4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</row>
    <row r="238" spans="1:4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</row>
    <row r="239" spans="1:4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</row>
    <row r="240" spans="1:4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</row>
    <row r="241" spans="1:4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</row>
    <row r="242" spans="1:4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</row>
    <row r="243" spans="1:4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</row>
    <row r="244" spans="1:4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</row>
    <row r="245" spans="1:4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</row>
    <row r="246" spans="1:4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</row>
    <row r="247" spans="1:4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</row>
    <row r="248" spans="1:4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</row>
    <row r="249" spans="1:4" x14ac:dyDescent="0.25">
      <c r="A249">
        <v>4824267</v>
      </c>
      <c r="B249" s="1">
        <v>42921</v>
      </c>
      <c r="C249" s="2">
        <v>0.4871875</v>
      </c>
      <c r="D249" s="2">
        <v>0.49509259259259258</v>
      </c>
    </row>
    <row r="250" spans="1:4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</row>
    <row r="251" spans="1:4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</row>
    <row r="252" spans="1:4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</row>
    <row r="253" spans="1:4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</row>
    <row r="254" spans="1:4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</row>
    <row r="255" spans="1:4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</row>
    <row r="256" spans="1:4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</row>
    <row r="257" spans="1:4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</row>
    <row r="258" spans="1:4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</row>
    <row r="259" spans="1:4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</row>
    <row r="260" spans="1:4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</row>
    <row r="261" spans="1:4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</row>
    <row r="262" spans="1:4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</row>
    <row r="263" spans="1:4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</row>
    <row r="264" spans="1:4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</row>
    <row r="265" spans="1:4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</row>
    <row r="266" spans="1:4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</row>
    <row r="267" spans="1:4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</row>
    <row r="268" spans="1:4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</row>
    <row r="269" spans="1:4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</row>
    <row r="270" spans="1:4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</row>
    <row r="271" spans="1:4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</row>
    <row r="272" spans="1:4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</row>
    <row r="273" spans="1:4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</row>
    <row r="274" spans="1:4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</row>
    <row r="275" spans="1:4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</row>
    <row r="276" spans="1:4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</row>
    <row r="277" spans="1:4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</row>
    <row r="278" spans="1:4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</row>
    <row r="279" spans="1:4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</row>
    <row r="280" spans="1:4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</row>
    <row r="281" spans="1:4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</row>
    <row r="282" spans="1:4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</row>
    <row r="283" spans="1:4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</row>
    <row r="284" spans="1:4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</row>
    <row r="285" spans="1:4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</row>
    <row r="286" spans="1:4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</row>
    <row r="287" spans="1:4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</row>
    <row r="288" spans="1:4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</row>
    <row r="289" spans="1:4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</row>
    <row r="290" spans="1:4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</row>
    <row r="291" spans="1:4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</row>
    <row r="292" spans="1:4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</row>
    <row r="293" spans="1:4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</row>
    <row r="294" spans="1:4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</row>
    <row r="295" spans="1:4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</row>
    <row r="296" spans="1:4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</row>
    <row r="297" spans="1:4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</row>
    <row r="298" spans="1:4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</row>
    <row r="299" spans="1:4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</row>
    <row r="300" spans="1:4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</row>
    <row r="301" spans="1:4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</row>
    <row r="302" spans="1:4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</row>
    <row r="303" spans="1:4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</row>
    <row r="304" spans="1:4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</row>
    <row r="305" spans="1:4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</row>
    <row r="306" spans="1:4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</row>
    <row r="307" spans="1:4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</row>
    <row r="308" spans="1:4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</row>
    <row r="309" spans="1:4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</row>
    <row r="310" spans="1:4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</row>
    <row r="311" spans="1:4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</row>
    <row r="312" spans="1:4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</row>
    <row r="313" spans="1:4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</row>
    <row r="314" spans="1:4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</row>
    <row r="315" spans="1:4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</row>
    <row r="316" spans="1:4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</row>
    <row r="317" spans="1:4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</row>
    <row r="318" spans="1:4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</row>
    <row r="319" spans="1:4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</row>
    <row r="320" spans="1:4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</row>
    <row r="321" spans="1:4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</row>
    <row r="322" spans="1:4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</row>
    <row r="323" spans="1:4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</row>
    <row r="324" spans="1:4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</row>
    <row r="325" spans="1:4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</row>
    <row r="326" spans="1:4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</row>
    <row r="327" spans="1:4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</row>
    <row r="328" spans="1:4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</row>
    <row r="329" spans="1:4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</row>
    <row r="330" spans="1:4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</row>
    <row r="331" spans="1:4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</row>
    <row r="332" spans="1:4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</row>
    <row r="333" spans="1:4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</row>
    <row r="334" spans="1:4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</row>
    <row r="335" spans="1:4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</row>
    <row r="336" spans="1:4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</row>
    <row r="337" spans="1:4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</row>
    <row r="338" spans="1:4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</row>
    <row r="339" spans="1:4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</row>
    <row r="340" spans="1:4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</row>
    <row r="341" spans="1:4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</row>
    <row r="342" spans="1:4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</row>
    <row r="343" spans="1:4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</row>
    <row r="344" spans="1:4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</row>
    <row r="345" spans="1:4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</row>
    <row r="346" spans="1:4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</row>
    <row r="347" spans="1:4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</row>
    <row r="348" spans="1:4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</row>
    <row r="349" spans="1:4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</row>
    <row r="350" spans="1:4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</row>
    <row r="351" spans="1:4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</row>
    <row r="352" spans="1:4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</row>
    <row r="353" spans="1:4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</row>
    <row r="354" spans="1:4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</row>
    <row r="355" spans="1:4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</row>
    <row r="356" spans="1:4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</row>
    <row r="357" spans="1:4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</row>
    <row r="358" spans="1:4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</row>
    <row r="359" spans="1:4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</row>
    <row r="360" spans="1:4" x14ac:dyDescent="0.25">
      <c r="A360">
        <v>6420583</v>
      </c>
      <c r="B360" s="1">
        <v>42922</v>
      </c>
      <c r="C360" s="2">
        <v>0.48</v>
      </c>
      <c r="D360" s="2">
        <v>0.48539351851851853</v>
      </c>
    </row>
    <row r="361" spans="1:4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</row>
    <row r="362" spans="1:4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</row>
    <row r="363" spans="1:4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</row>
    <row r="364" spans="1:4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</row>
    <row r="365" spans="1:4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</row>
    <row r="366" spans="1:4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</row>
    <row r="367" spans="1:4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</row>
    <row r="368" spans="1:4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</row>
    <row r="369" spans="1:4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</row>
    <row r="370" spans="1:4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</row>
    <row r="371" spans="1:4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</row>
    <row r="372" spans="1:4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</row>
    <row r="373" spans="1:4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</row>
    <row r="374" spans="1:4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</row>
    <row r="375" spans="1:4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</row>
    <row r="376" spans="1:4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</row>
    <row r="377" spans="1:4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</row>
    <row r="378" spans="1:4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</row>
    <row r="379" spans="1:4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</row>
    <row r="380" spans="1:4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</row>
    <row r="381" spans="1:4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</row>
    <row r="382" spans="1:4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</row>
    <row r="383" spans="1:4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</row>
    <row r="384" spans="1:4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</row>
    <row r="385" spans="1:4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</row>
    <row r="386" spans="1:4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</row>
    <row r="387" spans="1:4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</row>
    <row r="388" spans="1:4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</row>
    <row r="389" spans="1:4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</row>
    <row r="390" spans="1:4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</row>
    <row r="391" spans="1:4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</row>
    <row r="392" spans="1:4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</row>
    <row r="393" spans="1:4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</row>
    <row r="394" spans="1:4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</row>
    <row r="395" spans="1:4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</row>
    <row r="396" spans="1:4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</row>
    <row r="397" spans="1:4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</row>
    <row r="398" spans="1:4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</row>
    <row r="399" spans="1:4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</row>
    <row r="400" spans="1:4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</row>
    <row r="401" spans="1:4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</row>
    <row r="402" spans="1:4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</row>
    <row r="403" spans="1:4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</row>
    <row r="404" spans="1:4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</row>
    <row r="405" spans="1:4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</row>
    <row r="406" spans="1:4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</row>
    <row r="407" spans="1:4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</row>
    <row r="408" spans="1:4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</row>
    <row r="409" spans="1:4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</row>
    <row r="410" spans="1:4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</row>
    <row r="411" spans="1:4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</row>
    <row r="412" spans="1:4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</row>
    <row r="413" spans="1:4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</row>
    <row r="414" spans="1:4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</row>
    <row r="415" spans="1:4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</row>
    <row r="416" spans="1:4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</row>
    <row r="417" spans="1:4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</row>
    <row r="418" spans="1:4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</row>
    <row r="419" spans="1:4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</row>
    <row r="420" spans="1:4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</row>
    <row r="421" spans="1:4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</row>
    <row r="422" spans="1:4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</row>
    <row r="423" spans="1:4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</row>
    <row r="424" spans="1:4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</row>
    <row r="425" spans="1:4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</row>
    <row r="426" spans="1:4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</row>
    <row r="427" spans="1:4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</row>
    <row r="428" spans="1:4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</row>
    <row r="429" spans="1:4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</row>
    <row r="430" spans="1:4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</row>
    <row r="431" spans="1:4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</row>
    <row r="432" spans="1:4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</row>
    <row r="433" spans="1:4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</row>
    <row r="434" spans="1:4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</row>
    <row r="435" spans="1:4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</row>
    <row r="436" spans="1:4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</row>
    <row r="437" spans="1:4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</row>
    <row r="438" spans="1:4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</row>
    <row r="439" spans="1:4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</row>
    <row r="440" spans="1:4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</row>
    <row r="441" spans="1:4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</row>
    <row r="442" spans="1:4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</row>
    <row r="443" spans="1:4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</row>
    <row r="444" spans="1:4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</row>
    <row r="445" spans="1:4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</row>
    <row r="446" spans="1:4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</row>
    <row r="447" spans="1:4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</row>
    <row r="448" spans="1:4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</row>
    <row r="449" spans="1:4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</row>
    <row r="450" spans="1:4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</row>
    <row r="451" spans="1:4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</row>
    <row r="452" spans="1:4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</row>
    <row r="453" spans="1:4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</row>
    <row r="454" spans="1:4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</row>
    <row r="455" spans="1:4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</row>
    <row r="456" spans="1:4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</row>
    <row r="457" spans="1:4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</row>
    <row r="458" spans="1:4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</row>
    <row r="459" spans="1:4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</row>
    <row r="460" spans="1:4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</row>
    <row r="461" spans="1:4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</row>
    <row r="462" spans="1:4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</row>
    <row r="463" spans="1:4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</row>
    <row r="464" spans="1:4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</row>
    <row r="465" spans="1:4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</row>
    <row r="466" spans="1:4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</row>
    <row r="467" spans="1:4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</row>
    <row r="468" spans="1:4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</row>
    <row r="469" spans="1:4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</row>
    <row r="470" spans="1:4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</row>
    <row r="471" spans="1:4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</row>
    <row r="472" spans="1:4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</row>
    <row r="473" spans="1:4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</row>
    <row r="474" spans="1:4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</row>
    <row r="475" spans="1:4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</row>
    <row r="476" spans="1:4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</row>
    <row r="477" spans="1:4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</row>
    <row r="478" spans="1:4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</row>
    <row r="479" spans="1:4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</row>
    <row r="480" spans="1:4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</row>
    <row r="481" spans="1:4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</row>
    <row r="482" spans="1:4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</row>
    <row r="483" spans="1:4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</row>
    <row r="484" spans="1:4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</row>
    <row r="485" spans="1:4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</row>
    <row r="486" spans="1:4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</row>
    <row r="487" spans="1:4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</row>
    <row r="488" spans="1:4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</row>
    <row r="489" spans="1:4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</row>
    <row r="490" spans="1:4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</row>
    <row r="491" spans="1:4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</row>
    <row r="492" spans="1:4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</row>
    <row r="493" spans="1:4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</row>
    <row r="494" spans="1:4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</row>
    <row r="495" spans="1:4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</row>
    <row r="496" spans="1:4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</row>
    <row r="497" spans="1:4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</row>
    <row r="498" spans="1:4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</row>
    <row r="499" spans="1:4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</row>
    <row r="500" spans="1:4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</row>
    <row r="501" spans="1:4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</row>
    <row r="502" spans="1:4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</row>
    <row r="503" spans="1:4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</row>
    <row r="504" spans="1:4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</row>
    <row r="505" spans="1:4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</row>
    <row r="506" spans="1:4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</row>
    <row r="507" spans="1:4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</row>
    <row r="508" spans="1:4" x14ac:dyDescent="0.25">
      <c r="A508">
        <v>8251878</v>
      </c>
      <c r="B508" s="1">
        <v>42923</v>
      </c>
      <c r="C508" s="2">
        <v>0.59281249999999996</v>
      </c>
      <c r="D508" s="2">
        <v>0.59375</v>
      </c>
    </row>
    <row r="509" spans="1:4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</row>
    <row r="510" spans="1:4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</row>
    <row r="511" spans="1:4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</row>
    <row r="512" spans="1:4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</row>
    <row r="513" spans="1:4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</row>
    <row r="514" spans="1:4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</row>
    <row r="515" spans="1:4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</row>
    <row r="516" spans="1:4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</row>
    <row r="517" spans="1:4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</row>
    <row r="518" spans="1:4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</row>
    <row r="519" spans="1:4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</row>
    <row r="520" spans="1:4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</row>
    <row r="521" spans="1:4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</row>
    <row r="522" spans="1:4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</row>
    <row r="523" spans="1:4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</row>
    <row r="524" spans="1:4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</row>
    <row r="525" spans="1:4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</row>
    <row r="526" spans="1:4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</row>
    <row r="527" spans="1:4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</row>
    <row r="528" spans="1:4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</row>
    <row r="529" spans="1:4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</row>
    <row r="530" spans="1:4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</row>
    <row r="531" spans="1:4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</row>
    <row r="532" spans="1:4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</row>
    <row r="533" spans="1:4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</row>
    <row r="534" spans="1:4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</row>
    <row r="535" spans="1:4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</row>
    <row r="536" spans="1:4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</row>
    <row r="537" spans="1:4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</row>
    <row r="538" spans="1:4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</row>
    <row r="539" spans="1:4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</row>
    <row r="540" spans="1:4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</row>
    <row r="541" spans="1:4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</row>
    <row r="542" spans="1:4" x14ac:dyDescent="0.25">
      <c r="A542">
        <v>5960122</v>
      </c>
      <c r="B542" s="1">
        <v>42926</v>
      </c>
      <c r="C542" s="2">
        <v>0.3984375</v>
      </c>
      <c r="D542" s="2">
        <v>0.40802083333333333</v>
      </c>
    </row>
    <row r="543" spans="1:4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</row>
    <row r="544" spans="1:4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</row>
    <row r="545" spans="1:4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</row>
    <row r="546" spans="1:4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</row>
    <row r="547" spans="1:4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</row>
    <row r="548" spans="1:4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</row>
    <row r="549" spans="1:4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</row>
    <row r="550" spans="1:4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</row>
    <row r="551" spans="1:4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</row>
    <row r="552" spans="1:4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</row>
    <row r="553" spans="1:4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</row>
    <row r="554" spans="1:4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</row>
    <row r="555" spans="1:4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</row>
    <row r="556" spans="1:4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</row>
    <row r="557" spans="1:4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</row>
    <row r="558" spans="1:4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</row>
    <row r="559" spans="1:4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</row>
    <row r="560" spans="1:4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</row>
    <row r="561" spans="1:4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</row>
    <row r="562" spans="1:4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</row>
    <row r="563" spans="1:4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</row>
    <row r="564" spans="1:4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</row>
    <row r="565" spans="1:4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</row>
    <row r="566" spans="1:4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</row>
    <row r="567" spans="1:4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</row>
    <row r="568" spans="1:4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</row>
    <row r="569" spans="1:4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</row>
    <row r="570" spans="1:4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</row>
    <row r="571" spans="1:4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</row>
    <row r="572" spans="1:4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</row>
    <row r="573" spans="1:4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</row>
    <row r="574" spans="1:4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</row>
    <row r="575" spans="1:4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</row>
    <row r="576" spans="1:4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</row>
    <row r="577" spans="1:4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</row>
    <row r="578" spans="1:4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</row>
    <row r="579" spans="1:4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</row>
    <row r="580" spans="1:4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</row>
    <row r="581" spans="1:4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</row>
    <row r="582" spans="1:4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</row>
    <row r="583" spans="1:4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</row>
    <row r="584" spans="1:4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</row>
    <row r="585" spans="1:4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</row>
    <row r="586" spans="1:4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</row>
    <row r="587" spans="1:4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</row>
    <row r="588" spans="1:4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</row>
    <row r="589" spans="1:4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</row>
    <row r="590" spans="1:4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</row>
    <row r="591" spans="1:4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</row>
    <row r="592" spans="1:4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</row>
    <row r="593" spans="1:4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</row>
    <row r="594" spans="1:4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</row>
    <row r="595" spans="1:4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</row>
    <row r="596" spans="1:4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</row>
    <row r="597" spans="1:4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</row>
    <row r="598" spans="1:4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</row>
    <row r="599" spans="1:4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</row>
    <row r="600" spans="1:4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</row>
    <row r="601" spans="1:4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</row>
    <row r="602" spans="1:4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</row>
    <row r="603" spans="1:4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</row>
    <row r="604" spans="1:4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</row>
    <row r="605" spans="1:4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</row>
    <row r="606" spans="1:4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</row>
    <row r="607" spans="1:4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</row>
    <row r="608" spans="1:4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</row>
    <row r="609" spans="1:4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</row>
    <row r="610" spans="1:4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</row>
    <row r="611" spans="1:4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</row>
    <row r="612" spans="1:4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</row>
    <row r="613" spans="1:4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</row>
    <row r="614" spans="1:4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</row>
    <row r="615" spans="1:4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</row>
    <row r="616" spans="1:4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</row>
    <row r="617" spans="1:4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</row>
    <row r="618" spans="1:4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</row>
    <row r="619" spans="1:4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</row>
    <row r="620" spans="1:4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</row>
    <row r="621" spans="1:4" x14ac:dyDescent="0.25">
      <c r="A621">
        <v>2111996</v>
      </c>
      <c r="B621" s="1">
        <v>42927</v>
      </c>
      <c r="C621" s="2">
        <v>0.33706018518518521</v>
      </c>
      <c r="D621" s="2">
        <v>0.33875</v>
      </c>
    </row>
    <row r="622" spans="1:4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</row>
    <row r="623" spans="1:4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</row>
    <row r="624" spans="1:4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</row>
    <row r="625" spans="1:4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</row>
    <row r="626" spans="1:4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</row>
    <row r="627" spans="1:4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</row>
    <row r="628" spans="1:4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</row>
    <row r="629" spans="1:4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</row>
    <row r="630" spans="1:4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</row>
    <row r="631" spans="1:4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</row>
    <row r="632" spans="1:4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</row>
    <row r="633" spans="1:4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</row>
    <row r="634" spans="1:4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</row>
    <row r="635" spans="1:4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</row>
    <row r="636" spans="1:4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</row>
    <row r="637" spans="1:4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</row>
    <row r="638" spans="1:4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</row>
    <row r="639" spans="1:4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</row>
    <row r="640" spans="1:4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</row>
    <row r="641" spans="1:4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</row>
    <row r="642" spans="1:4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</row>
    <row r="643" spans="1:4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</row>
    <row r="644" spans="1:4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</row>
    <row r="645" spans="1:4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</row>
    <row r="646" spans="1:4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</row>
    <row r="647" spans="1:4" x14ac:dyDescent="0.25">
      <c r="A647">
        <v>3824660</v>
      </c>
      <c r="B647" s="1">
        <v>42927</v>
      </c>
      <c r="C647" s="2">
        <v>0.4238425925925926</v>
      </c>
      <c r="D647" s="2">
        <v>0.4321875</v>
      </c>
    </row>
    <row r="648" spans="1:4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</row>
    <row r="649" spans="1:4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</row>
    <row r="650" spans="1:4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</row>
    <row r="651" spans="1:4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</row>
    <row r="652" spans="1:4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</row>
    <row r="653" spans="1:4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</row>
    <row r="654" spans="1:4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</row>
    <row r="655" spans="1:4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</row>
    <row r="656" spans="1:4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</row>
    <row r="657" spans="1:4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</row>
    <row r="658" spans="1:4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</row>
    <row r="659" spans="1:4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</row>
    <row r="660" spans="1:4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</row>
    <row r="661" spans="1:4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</row>
    <row r="662" spans="1:4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</row>
    <row r="663" spans="1:4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</row>
    <row r="664" spans="1:4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</row>
    <row r="665" spans="1:4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</row>
    <row r="666" spans="1:4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</row>
    <row r="667" spans="1:4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</row>
    <row r="668" spans="1:4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</row>
    <row r="669" spans="1:4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</row>
    <row r="670" spans="1:4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</row>
    <row r="671" spans="1:4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</row>
    <row r="672" spans="1:4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</row>
    <row r="673" spans="1:4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</row>
    <row r="674" spans="1:4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</row>
    <row r="675" spans="1:4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</row>
    <row r="676" spans="1:4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</row>
    <row r="677" spans="1:4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</row>
    <row r="678" spans="1:4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</row>
    <row r="679" spans="1:4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</row>
    <row r="680" spans="1:4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</row>
    <row r="681" spans="1:4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</row>
    <row r="682" spans="1:4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</row>
    <row r="683" spans="1:4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</row>
    <row r="684" spans="1:4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</row>
    <row r="685" spans="1:4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</row>
    <row r="686" spans="1:4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</row>
    <row r="687" spans="1:4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</row>
    <row r="688" spans="1:4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</row>
    <row r="689" spans="1:4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</row>
    <row r="690" spans="1:4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</row>
    <row r="691" spans="1:4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</row>
    <row r="692" spans="1:4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</row>
    <row r="693" spans="1:4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</row>
    <row r="694" spans="1:4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</row>
    <row r="695" spans="1:4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</row>
    <row r="696" spans="1:4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</row>
    <row r="697" spans="1:4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</row>
    <row r="698" spans="1:4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</row>
    <row r="699" spans="1:4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</row>
    <row r="700" spans="1:4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</row>
    <row r="701" spans="1:4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</row>
    <row r="702" spans="1:4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</row>
    <row r="703" spans="1:4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</row>
    <row r="704" spans="1:4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</row>
    <row r="705" spans="1:4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</row>
    <row r="706" spans="1:4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</row>
    <row r="707" spans="1:4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</row>
    <row r="708" spans="1:4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</row>
    <row r="709" spans="1:4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</row>
    <row r="710" spans="1:4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</row>
    <row r="711" spans="1:4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</row>
    <row r="712" spans="1:4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</row>
    <row r="713" spans="1:4" x14ac:dyDescent="0.25">
      <c r="A713">
        <v>14201334</v>
      </c>
      <c r="B713" s="1">
        <v>42928</v>
      </c>
      <c r="C713" s="2">
        <v>0.33568287037037037</v>
      </c>
      <c r="D713" s="2">
        <v>0.34125</v>
      </c>
    </row>
    <row r="714" spans="1:4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</row>
    <row r="715" spans="1:4" x14ac:dyDescent="0.25">
      <c r="A715">
        <v>3028093</v>
      </c>
      <c r="B715" s="1">
        <v>42928</v>
      </c>
      <c r="C715" s="2">
        <v>0.34185185185185185</v>
      </c>
      <c r="D715" s="2">
        <v>0.34375</v>
      </c>
    </row>
    <row r="716" spans="1:4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</row>
    <row r="717" spans="1:4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</row>
    <row r="718" spans="1:4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</row>
    <row r="719" spans="1:4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</row>
    <row r="720" spans="1:4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</row>
    <row r="721" spans="1:4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</row>
    <row r="722" spans="1:4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</row>
    <row r="723" spans="1:4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</row>
    <row r="724" spans="1:4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</row>
    <row r="725" spans="1:4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</row>
    <row r="726" spans="1:4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</row>
    <row r="727" spans="1:4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</row>
    <row r="728" spans="1:4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</row>
    <row r="729" spans="1:4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</row>
    <row r="730" spans="1:4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</row>
    <row r="731" spans="1:4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</row>
    <row r="732" spans="1:4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</row>
    <row r="733" spans="1:4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</row>
    <row r="734" spans="1:4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</row>
    <row r="735" spans="1:4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</row>
    <row r="736" spans="1:4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</row>
    <row r="737" spans="1:4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</row>
    <row r="738" spans="1:4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</row>
    <row r="739" spans="1:4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</row>
    <row r="740" spans="1:4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</row>
    <row r="741" spans="1:4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</row>
    <row r="742" spans="1:4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</row>
    <row r="743" spans="1:4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</row>
    <row r="744" spans="1:4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</row>
    <row r="745" spans="1:4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</row>
    <row r="746" spans="1:4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</row>
    <row r="747" spans="1:4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</row>
    <row r="748" spans="1:4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</row>
    <row r="749" spans="1:4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</row>
    <row r="750" spans="1:4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</row>
    <row r="751" spans="1:4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</row>
    <row r="752" spans="1:4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</row>
    <row r="753" spans="1:4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</row>
    <row r="754" spans="1:4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</row>
    <row r="755" spans="1:4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</row>
    <row r="756" spans="1:4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</row>
    <row r="757" spans="1:4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</row>
    <row r="758" spans="1:4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</row>
    <row r="759" spans="1:4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</row>
    <row r="760" spans="1:4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</row>
    <row r="761" spans="1:4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</row>
    <row r="762" spans="1:4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</row>
    <row r="763" spans="1:4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</row>
    <row r="764" spans="1:4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</row>
    <row r="765" spans="1:4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</row>
    <row r="766" spans="1:4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</row>
    <row r="767" spans="1:4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</row>
    <row r="768" spans="1:4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</row>
    <row r="769" spans="1:4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</row>
    <row r="770" spans="1:4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</row>
    <row r="771" spans="1:4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</row>
    <row r="772" spans="1:4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</row>
    <row r="773" spans="1:4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</row>
    <row r="774" spans="1:4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</row>
    <row r="775" spans="1:4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</row>
    <row r="776" spans="1:4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</row>
    <row r="777" spans="1:4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</row>
    <row r="778" spans="1:4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</row>
    <row r="779" spans="1:4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</row>
    <row r="780" spans="1:4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</row>
    <row r="781" spans="1:4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</row>
    <row r="782" spans="1:4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</row>
    <row r="783" spans="1:4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</row>
    <row r="784" spans="1:4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</row>
    <row r="785" spans="1:4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</row>
    <row r="786" spans="1:4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</row>
    <row r="787" spans="1:4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</row>
    <row r="788" spans="1:4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</row>
    <row r="789" spans="1:4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</row>
    <row r="790" spans="1:4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</row>
    <row r="791" spans="1:4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</row>
    <row r="792" spans="1:4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</row>
    <row r="793" spans="1:4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</row>
    <row r="794" spans="1:4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</row>
    <row r="795" spans="1:4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</row>
    <row r="796" spans="1:4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</row>
    <row r="797" spans="1:4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</row>
    <row r="798" spans="1:4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</row>
    <row r="799" spans="1:4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</row>
    <row r="800" spans="1:4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</row>
    <row r="801" spans="1:4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</row>
    <row r="802" spans="1:4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</row>
    <row r="803" spans="1:4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</row>
    <row r="804" spans="1:4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</row>
    <row r="805" spans="1:4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</row>
    <row r="806" spans="1:4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</row>
    <row r="807" spans="1:4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</row>
    <row r="808" spans="1:4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</row>
    <row r="809" spans="1:4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</row>
    <row r="810" spans="1:4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</row>
    <row r="811" spans="1:4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</row>
    <row r="812" spans="1:4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</row>
    <row r="813" spans="1:4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</row>
    <row r="814" spans="1:4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</row>
    <row r="815" spans="1:4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</row>
    <row r="816" spans="1:4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</row>
    <row r="817" spans="1:4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</row>
    <row r="818" spans="1:4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</row>
    <row r="819" spans="1:4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</row>
    <row r="820" spans="1:4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</row>
    <row r="821" spans="1:4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</row>
    <row r="822" spans="1:4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</row>
    <row r="823" spans="1:4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</row>
    <row r="824" spans="1:4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</row>
    <row r="825" spans="1:4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</row>
    <row r="826" spans="1:4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</row>
    <row r="827" spans="1:4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</row>
    <row r="828" spans="1:4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</row>
    <row r="829" spans="1:4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</row>
    <row r="830" spans="1:4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</row>
    <row r="831" spans="1:4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</row>
    <row r="832" spans="1:4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</row>
    <row r="833" spans="1:4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</row>
    <row r="834" spans="1:4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</row>
    <row r="835" spans="1:4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</row>
    <row r="836" spans="1:4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</row>
    <row r="837" spans="1:4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</row>
    <row r="838" spans="1:4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</row>
    <row r="839" spans="1:4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</row>
    <row r="840" spans="1:4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</row>
    <row r="841" spans="1:4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</row>
    <row r="842" spans="1:4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</row>
    <row r="843" spans="1:4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</row>
    <row r="844" spans="1:4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</row>
    <row r="845" spans="1:4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</row>
    <row r="846" spans="1:4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</row>
    <row r="847" spans="1:4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</row>
    <row r="848" spans="1:4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</row>
    <row r="849" spans="1:4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</row>
    <row r="850" spans="1:4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</row>
    <row r="851" spans="1:4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</row>
    <row r="852" spans="1:4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</row>
    <row r="853" spans="1:4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</row>
    <row r="854" spans="1:4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</row>
    <row r="855" spans="1:4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</row>
    <row r="856" spans="1:4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</row>
    <row r="857" spans="1:4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</row>
    <row r="858" spans="1:4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</row>
    <row r="859" spans="1:4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</row>
    <row r="860" spans="1:4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</row>
    <row r="861" spans="1:4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</row>
    <row r="862" spans="1:4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</row>
    <row r="863" spans="1:4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</row>
    <row r="864" spans="1:4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</row>
    <row r="865" spans="1:4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</row>
    <row r="866" spans="1:4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</row>
    <row r="867" spans="1:4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</row>
    <row r="868" spans="1:4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</row>
    <row r="869" spans="1:4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</row>
    <row r="870" spans="1:4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</row>
    <row r="871" spans="1:4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</row>
    <row r="872" spans="1:4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</row>
    <row r="873" spans="1:4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</row>
    <row r="874" spans="1:4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</row>
    <row r="875" spans="1:4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</row>
    <row r="876" spans="1:4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</row>
    <row r="877" spans="1:4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</row>
    <row r="878" spans="1:4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</row>
    <row r="879" spans="1:4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</row>
    <row r="880" spans="1:4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</row>
    <row r="881" spans="1:4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</row>
    <row r="882" spans="1:4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</row>
    <row r="883" spans="1:4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</row>
    <row r="884" spans="1:4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</row>
    <row r="885" spans="1:4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</row>
    <row r="886" spans="1:4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</row>
    <row r="887" spans="1:4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</row>
    <row r="888" spans="1:4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</row>
    <row r="889" spans="1:4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</row>
    <row r="890" spans="1:4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</row>
    <row r="891" spans="1:4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</row>
    <row r="892" spans="1:4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</row>
    <row r="893" spans="1:4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</row>
    <row r="894" spans="1:4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</row>
    <row r="895" spans="1:4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</row>
    <row r="896" spans="1:4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</row>
    <row r="897" spans="1:4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</row>
    <row r="898" spans="1:4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</row>
    <row r="899" spans="1:4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</row>
    <row r="900" spans="1:4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</row>
    <row r="901" spans="1:4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</row>
    <row r="902" spans="1:4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</row>
    <row r="903" spans="1:4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</row>
    <row r="904" spans="1:4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</row>
    <row r="905" spans="1:4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</row>
    <row r="906" spans="1:4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</row>
    <row r="907" spans="1:4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</row>
    <row r="908" spans="1:4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</row>
    <row r="909" spans="1:4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</row>
    <row r="910" spans="1:4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</row>
    <row r="911" spans="1:4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</row>
    <row r="912" spans="1:4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</row>
    <row r="913" spans="1:4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</row>
    <row r="914" spans="1:4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</row>
    <row r="915" spans="1:4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</row>
    <row r="916" spans="1:4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</row>
    <row r="917" spans="1:4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</row>
    <row r="918" spans="1:4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</row>
    <row r="919" spans="1:4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</row>
    <row r="920" spans="1:4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</row>
    <row r="921" spans="1:4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</row>
    <row r="922" spans="1:4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</row>
    <row r="923" spans="1:4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</row>
    <row r="924" spans="1:4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</row>
    <row r="925" spans="1:4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</row>
    <row r="926" spans="1:4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</row>
    <row r="927" spans="1:4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</row>
    <row r="928" spans="1:4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</row>
    <row r="929" spans="1:4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</row>
    <row r="930" spans="1:4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</row>
    <row r="931" spans="1:4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</row>
    <row r="932" spans="1:4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</row>
    <row r="933" spans="1:4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</row>
    <row r="934" spans="1:4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</row>
    <row r="935" spans="1:4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</row>
    <row r="936" spans="1:4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</row>
    <row r="937" spans="1:4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</row>
    <row r="938" spans="1:4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</row>
    <row r="939" spans="1:4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</row>
    <row r="940" spans="1:4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</row>
    <row r="941" spans="1:4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</row>
    <row r="942" spans="1:4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</row>
    <row r="943" spans="1:4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</row>
    <row r="944" spans="1:4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</row>
    <row r="945" spans="1:4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</row>
    <row r="946" spans="1:4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</row>
    <row r="947" spans="1:4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</row>
    <row r="948" spans="1:4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</row>
    <row r="949" spans="1:4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</row>
    <row r="950" spans="1:4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</row>
    <row r="951" spans="1:4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</row>
    <row r="952" spans="1:4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</row>
    <row r="953" spans="1:4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</row>
    <row r="954" spans="1:4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</row>
    <row r="955" spans="1:4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</row>
    <row r="956" spans="1:4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</row>
    <row r="957" spans="1:4" x14ac:dyDescent="0.25">
      <c r="A957">
        <v>2969264</v>
      </c>
      <c r="B957" s="1">
        <v>42930</v>
      </c>
      <c r="C957" s="2">
        <v>0.45930555555555558</v>
      </c>
      <c r="D957" s="2">
        <v>0.4634375</v>
      </c>
    </row>
    <row r="958" spans="1:4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</row>
    <row r="959" spans="1:4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</row>
    <row r="960" spans="1:4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</row>
    <row r="961" spans="1:4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</row>
    <row r="962" spans="1:4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</row>
    <row r="963" spans="1:4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</row>
    <row r="964" spans="1:4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</row>
    <row r="965" spans="1:4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</row>
    <row r="966" spans="1:4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</row>
    <row r="967" spans="1:4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</row>
    <row r="968" spans="1:4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</row>
    <row r="969" spans="1:4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</row>
    <row r="970" spans="1:4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</row>
    <row r="971" spans="1:4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</row>
    <row r="972" spans="1:4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</row>
    <row r="973" spans="1:4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</row>
    <row r="974" spans="1:4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</row>
    <row r="975" spans="1:4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</row>
    <row r="976" spans="1:4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</row>
    <row r="977" spans="1:4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</row>
    <row r="978" spans="1:4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</row>
    <row r="979" spans="1:4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</row>
    <row r="980" spans="1:4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</row>
    <row r="981" spans="1:4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</row>
    <row r="982" spans="1:4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</row>
    <row r="983" spans="1:4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</row>
    <row r="984" spans="1:4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</row>
    <row r="985" spans="1:4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</row>
    <row r="986" spans="1:4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</row>
    <row r="987" spans="1:4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</row>
    <row r="988" spans="1:4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</row>
    <row r="989" spans="1:4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</row>
    <row r="990" spans="1:4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</row>
    <row r="991" spans="1:4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</row>
    <row r="992" spans="1:4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</row>
    <row r="993" spans="1:4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</row>
    <row r="994" spans="1:4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</row>
    <row r="995" spans="1:4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</row>
    <row r="996" spans="1:4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</row>
    <row r="997" spans="1:4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</row>
    <row r="998" spans="1:4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</row>
    <row r="999" spans="1:4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</row>
    <row r="1000" spans="1:4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</row>
    <row r="1001" spans="1:4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</row>
    <row r="1002" spans="1:4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</row>
    <row r="1003" spans="1:4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</row>
    <row r="1004" spans="1:4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</row>
    <row r="1005" spans="1:4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</row>
    <row r="1006" spans="1:4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</row>
    <row r="1007" spans="1:4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</row>
    <row r="1008" spans="1:4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</row>
    <row r="1009" spans="1:4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</row>
    <row r="1010" spans="1:4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</row>
    <row r="1011" spans="1:4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</row>
    <row r="1012" spans="1:4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</row>
    <row r="1013" spans="1:4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</row>
    <row r="1014" spans="1:4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</row>
    <row r="1015" spans="1:4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</row>
    <row r="1016" spans="1:4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</row>
    <row r="1017" spans="1:4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</row>
    <row r="1018" spans="1:4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</row>
    <row r="1019" spans="1:4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</row>
    <row r="1020" spans="1:4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</row>
    <row r="1021" spans="1:4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</row>
    <row r="1022" spans="1:4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</row>
    <row r="1023" spans="1:4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</row>
    <row r="1024" spans="1:4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</row>
    <row r="1025" spans="1:4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</row>
    <row r="1026" spans="1:4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</row>
    <row r="1027" spans="1:4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</row>
    <row r="1028" spans="1:4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</row>
    <row r="1029" spans="1:4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</row>
    <row r="1030" spans="1:4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</row>
    <row r="1031" spans="1:4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</row>
    <row r="1032" spans="1:4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</row>
    <row r="1033" spans="1:4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</row>
    <row r="1034" spans="1:4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</row>
    <row r="1035" spans="1:4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</row>
    <row r="1036" spans="1:4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</row>
    <row r="1037" spans="1:4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</row>
    <row r="1038" spans="1:4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</row>
    <row r="1039" spans="1:4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</row>
    <row r="1040" spans="1:4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</row>
    <row r="1041" spans="1:4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</row>
    <row r="1042" spans="1:4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</row>
    <row r="1043" spans="1:4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</row>
    <row r="1044" spans="1:4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</row>
    <row r="1045" spans="1:4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</row>
    <row r="1046" spans="1:4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</row>
    <row r="1047" spans="1:4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</row>
    <row r="1048" spans="1:4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</row>
    <row r="1049" spans="1:4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</row>
    <row r="1050" spans="1:4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</row>
    <row r="1051" spans="1:4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</row>
    <row r="1052" spans="1:4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</row>
    <row r="1053" spans="1:4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</row>
    <row r="1054" spans="1:4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</row>
    <row r="1055" spans="1:4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</row>
    <row r="1056" spans="1:4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</row>
    <row r="1057" spans="1:4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</row>
    <row r="1058" spans="1:4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</row>
    <row r="1059" spans="1:4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</row>
    <row r="1060" spans="1:4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</row>
    <row r="1061" spans="1:4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</row>
    <row r="1062" spans="1:4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</row>
    <row r="1063" spans="1:4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</row>
    <row r="1064" spans="1:4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</row>
    <row r="1065" spans="1:4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</row>
    <row r="1066" spans="1:4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</row>
    <row r="1067" spans="1:4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</row>
    <row r="1068" spans="1:4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</row>
    <row r="1069" spans="1:4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</row>
    <row r="1070" spans="1:4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</row>
    <row r="1071" spans="1:4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</row>
    <row r="1072" spans="1:4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</row>
    <row r="1073" spans="1:4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</row>
    <row r="1074" spans="1:4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</row>
    <row r="1075" spans="1:4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</row>
    <row r="1076" spans="1:4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</row>
    <row r="1077" spans="1:4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</row>
    <row r="1078" spans="1:4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</row>
    <row r="1079" spans="1:4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</row>
    <row r="1080" spans="1:4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</row>
    <row r="1081" spans="1:4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</row>
    <row r="1082" spans="1:4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</row>
    <row r="1083" spans="1:4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</row>
    <row r="1084" spans="1:4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</row>
    <row r="1085" spans="1:4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</row>
    <row r="1086" spans="1:4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</row>
    <row r="1087" spans="1:4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</row>
    <row r="1088" spans="1:4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</row>
    <row r="1089" spans="1:4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</row>
    <row r="1090" spans="1:4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</row>
    <row r="1091" spans="1:4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</row>
    <row r="1092" spans="1:4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</row>
    <row r="1093" spans="1:4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</row>
    <row r="1094" spans="1:4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</row>
    <row r="1095" spans="1:4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</row>
    <row r="1096" spans="1:4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</row>
    <row r="1097" spans="1:4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</row>
    <row r="1098" spans="1:4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</row>
    <row r="1099" spans="1:4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</row>
    <row r="1100" spans="1:4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</row>
    <row r="1101" spans="1:4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</row>
    <row r="1102" spans="1:4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</row>
    <row r="1103" spans="1:4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</row>
    <row r="1104" spans="1:4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</row>
    <row r="1105" spans="1:4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</row>
    <row r="1106" spans="1:4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</row>
    <row r="1107" spans="1:4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</row>
    <row r="1108" spans="1:4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</row>
    <row r="1109" spans="1:4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</row>
    <row r="1110" spans="1:4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</row>
    <row r="1111" spans="1:4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</row>
    <row r="1112" spans="1:4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</row>
    <row r="1113" spans="1:4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</row>
    <row r="1114" spans="1:4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</row>
    <row r="1115" spans="1:4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</row>
    <row r="1116" spans="1:4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</row>
    <row r="1117" spans="1:4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</row>
    <row r="1118" spans="1:4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</row>
    <row r="1119" spans="1:4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</row>
    <row r="1120" spans="1:4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</row>
    <row r="1121" spans="1:4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</row>
    <row r="1122" spans="1:4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</row>
    <row r="1123" spans="1:4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</row>
    <row r="1124" spans="1:4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</row>
    <row r="1125" spans="1:4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</row>
    <row r="1126" spans="1:4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</row>
    <row r="1127" spans="1:4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</row>
    <row r="1128" spans="1:4" x14ac:dyDescent="0.25">
      <c r="A1128">
        <v>1700508</v>
      </c>
      <c r="B1128" s="1">
        <v>42934</v>
      </c>
      <c r="C1128" s="2">
        <v>0.37179398148148146</v>
      </c>
      <c r="D1128" s="2">
        <v>0.3828125</v>
      </c>
    </row>
    <row r="1129" spans="1:4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</row>
    <row r="1130" spans="1:4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</row>
    <row r="1131" spans="1:4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</row>
    <row r="1132" spans="1:4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</row>
    <row r="1133" spans="1:4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</row>
    <row r="1134" spans="1:4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</row>
    <row r="1135" spans="1:4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</row>
    <row r="1136" spans="1:4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</row>
    <row r="1137" spans="1:4" x14ac:dyDescent="0.25">
      <c r="A1137">
        <v>4657345</v>
      </c>
      <c r="B1137" s="1">
        <v>42934</v>
      </c>
      <c r="C1137" s="2">
        <v>0.40328703703703705</v>
      </c>
      <c r="D1137" s="2">
        <v>0.4140625</v>
      </c>
    </row>
    <row r="1138" spans="1:4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</row>
    <row r="1139" spans="1:4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</row>
    <row r="1140" spans="1:4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</row>
    <row r="1141" spans="1:4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</row>
    <row r="1142" spans="1:4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</row>
    <row r="1143" spans="1:4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</row>
    <row r="1144" spans="1:4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</row>
    <row r="1145" spans="1:4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</row>
    <row r="1146" spans="1:4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</row>
    <row r="1147" spans="1:4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</row>
    <row r="1148" spans="1:4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</row>
    <row r="1149" spans="1:4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</row>
    <row r="1150" spans="1:4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</row>
    <row r="1151" spans="1:4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</row>
    <row r="1152" spans="1:4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</row>
    <row r="1153" spans="1:4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</row>
    <row r="1154" spans="1:4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</row>
    <row r="1155" spans="1:4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</row>
    <row r="1156" spans="1:4" x14ac:dyDescent="0.25">
      <c r="A1156">
        <v>2861766</v>
      </c>
      <c r="B1156" s="1">
        <v>42934</v>
      </c>
      <c r="C1156" s="2">
        <v>0.4403125</v>
      </c>
      <c r="D1156" s="2">
        <v>0.4490972222222222</v>
      </c>
    </row>
    <row r="1157" spans="1:4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</row>
    <row r="1158" spans="1:4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</row>
    <row r="1159" spans="1:4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</row>
    <row r="1160" spans="1:4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</row>
    <row r="1161" spans="1:4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</row>
    <row r="1162" spans="1:4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</row>
    <row r="1163" spans="1:4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</row>
    <row r="1164" spans="1:4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</row>
    <row r="1165" spans="1:4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</row>
    <row r="1166" spans="1:4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</row>
    <row r="1167" spans="1:4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</row>
    <row r="1168" spans="1:4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</row>
    <row r="1169" spans="1:4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</row>
    <row r="1170" spans="1:4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</row>
    <row r="1171" spans="1:4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</row>
    <row r="1172" spans="1:4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</row>
    <row r="1173" spans="1:4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</row>
    <row r="1174" spans="1:4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</row>
    <row r="1175" spans="1:4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</row>
    <row r="1176" spans="1:4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</row>
    <row r="1177" spans="1:4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</row>
    <row r="1178" spans="1:4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</row>
    <row r="1179" spans="1:4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</row>
    <row r="1180" spans="1:4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</row>
    <row r="1181" spans="1:4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</row>
    <row r="1182" spans="1:4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</row>
    <row r="1183" spans="1:4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</row>
    <row r="1184" spans="1:4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</row>
    <row r="1185" spans="1:4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</row>
    <row r="1186" spans="1:4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</row>
    <row r="1187" spans="1:4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</row>
    <row r="1188" spans="1:4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</row>
    <row r="1189" spans="1:4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</row>
    <row r="1190" spans="1:4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</row>
    <row r="1191" spans="1:4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</row>
    <row r="1192" spans="1:4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</row>
    <row r="1193" spans="1:4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</row>
    <row r="1194" spans="1:4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</row>
    <row r="1195" spans="1:4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</row>
    <row r="1196" spans="1:4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</row>
    <row r="1197" spans="1:4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</row>
    <row r="1198" spans="1:4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</row>
    <row r="1199" spans="1:4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</row>
    <row r="1200" spans="1:4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</row>
    <row r="1201" spans="1:4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</row>
    <row r="1202" spans="1:4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</row>
    <row r="1203" spans="1:4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</row>
    <row r="1204" spans="1:4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</row>
    <row r="1205" spans="1:4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</row>
    <row r="1206" spans="1:4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</row>
    <row r="1207" spans="1:4" x14ac:dyDescent="0.25">
      <c r="A1207">
        <v>78976022</v>
      </c>
      <c r="B1207" s="1">
        <v>42934</v>
      </c>
      <c r="C1207" s="2">
        <v>0.59495370370370371</v>
      </c>
      <c r="D1207" s="2">
        <v>0.5965625</v>
      </c>
    </row>
    <row r="1208" spans="1:4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</row>
    <row r="1209" spans="1:4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</row>
    <row r="1210" spans="1:4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</row>
    <row r="1211" spans="1:4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</row>
    <row r="1212" spans="1:4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</row>
    <row r="1213" spans="1:4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</row>
    <row r="1214" spans="1:4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</row>
    <row r="1215" spans="1:4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</row>
    <row r="1216" spans="1:4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</row>
    <row r="1217" spans="1:4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</row>
    <row r="1218" spans="1:4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</row>
    <row r="1219" spans="1:4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</row>
    <row r="1220" spans="1:4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</row>
    <row r="1221" spans="1:4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</row>
    <row r="1222" spans="1:4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</row>
    <row r="1223" spans="1:4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</row>
    <row r="1224" spans="1:4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</row>
    <row r="1225" spans="1:4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</row>
    <row r="1226" spans="1:4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</row>
    <row r="1227" spans="1:4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</row>
    <row r="1228" spans="1:4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</row>
    <row r="1229" spans="1:4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</row>
    <row r="1230" spans="1:4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</row>
    <row r="1231" spans="1:4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</row>
    <row r="1232" spans="1:4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</row>
    <row r="1233" spans="1:4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</row>
    <row r="1234" spans="1:4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</row>
    <row r="1235" spans="1:4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</row>
    <row r="1236" spans="1:4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</row>
    <row r="1237" spans="1:4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</row>
    <row r="1238" spans="1:4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</row>
    <row r="1239" spans="1:4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</row>
    <row r="1240" spans="1:4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</row>
    <row r="1241" spans="1:4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</row>
    <row r="1242" spans="1:4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</row>
    <row r="1243" spans="1:4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</row>
    <row r="1244" spans="1:4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</row>
    <row r="1245" spans="1:4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</row>
    <row r="1246" spans="1:4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</row>
    <row r="1247" spans="1:4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</row>
    <row r="1248" spans="1:4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</row>
    <row r="1249" spans="1:4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</row>
    <row r="1250" spans="1:4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</row>
    <row r="1251" spans="1:4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</row>
    <row r="1252" spans="1:4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</row>
    <row r="1253" spans="1:4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</row>
    <row r="1254" spans="1:4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</row>
    <row r="1255" spans="1:4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</row>
    <row r="1256" spans="1:4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</row>
    <row r="1257" spans="1:4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</row>
    <row r="1258" spans="1:4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</row>
    <row r="1259" spans="1:4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</row>
    <row r="1260" spans="1:4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</row>
    <row r="1261" spans="1:4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</row>
    <row r="1262" spans="1:4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</row>
    <row r="1263" spans="1:4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</row>
    <row r="1264" spans="1:4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</row>
    <row r="1265" spans="1:4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</row>
    <row r="1266" spans="1:4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</row>
    <row r="1267" spans="1:4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</row>
    <row r="1268" spans="1:4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</row>
    <row r="1269" spans="1:4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</row>
    <row r="1270" spans="1:4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</row>
    <row r="1271" spans="1:4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</row>
    <row r="1272" spans="1:4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</row>
    <row r="1273" spans="1:4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</row>
    <row r="1274" spans="1:4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</row>
    <row r="1275" spans="1:4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</row>
    <row r="1276" spans="1:4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</row>
    <row r="1277" spans="1:4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</row>
    <row r="1278" spans="1:4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</row>
    <row r="1279" spans="1:4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</row>
    <row r="1280" spans="1:4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</row>
    <row r="1281" spans="1:4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</row>
    <row r="1282" spans="1:4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</row>
    <row r="1283" spans="1:4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</row>
    <row r="1284" spans="1:4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</row>
    <row r="1285" spans="1:4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</row>
    <row r="1286" spans="1:4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</row>
    <row r="1287" spans="1:4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</row>
    <row r="1288" spans="1:4" x14ac:dyDescent="0.25">
      <c r="A1288">
        <v>6194112</v>
      </c>
      <c r="B1288" s="1">
        <v>42935</v>
      </c>
      <c r="C1288" s="2">
        <v>0.55174768518518513</v>
      </c>
      <c r="D1288" s="2">
        <v>0.5575</v>
      </c>
    </row>
    <row r="1289" spans="1:4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</row>
    <row r="1290" spans="1:4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</row>
    <row r="1291" spans="1:4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</row>
    <row r="1292" spans="1:4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</row>
    <row r="1293" spans="1:4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</row>
    <row r="1294" spans="1:4" x14ac:dyDescent="0.25">
      <c r="A1294">
        <v>1345591</v>
      </c>
      <c r="B1294" s="1">
        <v>42935</v>
      </c>
      <c r="C1294" s="2">
        <v>0.5703125</v>
      </c>
      <c r="D1294" s="2">
        <v>0.57703703703703701</v>
      </c>
    </row>
    <row r="1295" spans="1:4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</row>
    <row r="1296" spans="1:4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</row>
    <row r="1297" spans="1:4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</row>
    <row r="1298" spans="1:4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</row>
    <row r="1299" spans="1:4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</row>
    <row r="1300" spans="1:4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</row>
    <row r="1301" spans="1:4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</row>
    <row r="1302" spans="1:4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</row>
    <row r="1303" spans="1:4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</row>
    <row r="1304" spans="1:4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</row>
    <row r="1305" spans="1:4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</row>
    <row r="1306" spans="1:4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</row>
    <row r="1307" spans="1:4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</row>
    <row r="1308" spans="1:4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</row>
    <row r="1309" spans="1:4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</row>
    <row r="1310" spans="1:4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</row>
    <row r="1311" spans="1:4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</row>
    <row r="1312" spans="1:4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</row>
    <row r="1313" spans="1:4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</row>
    <row r="1314" spans="1:4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</row>
    <row r="1315" spans="1:4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</row>
    <row r="1316" spans="1:4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</row>
    <row r="1317" spans="1:4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</row>
    <row r="1318" spans="1:4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</row>
    <row r="1319" spans="1:4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</row>
    <row r="1320" spans="1:4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</row>
    <row r="1321" spans="1:4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</row>
    <row r="1322" spans="1:4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</row>
    <row r="1323" spans="1:4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</row>
    <row r="1324" spans="1:4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</row>
    <row r="1325" spans="1:4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</row>
    <row r="1326" spans="1:4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</row>
    <row r="1327" spans="1:4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</row>
    <row r="1328" spans="1:4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</row>
    <row r="1329" spans="1:4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</row>
    <row r="1330" spans="1:4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</row>
    <row r="1331" spans="1:4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</row>
    <row r="1332" spans="1:4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</row>
    <row r="1333" spans="1:4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</row>
    <row r="1334" spans="1:4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</row>
    <row r="1335" spans="1:4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</row>
    <row r="1336" spans="1:4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</row>
    <row r="1337" spans="1:4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</row>
    <row r="1338" spans="1:4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</row>
    <row r="1339" spans="1:4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</row>
    <row r="1340" spans="1:4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</row>
    <row r="1341" spans="1:4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</row>
    <row r="1342" spans="1:4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</row>
    <row r="1343" spans="1:4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</row>
    <row r="1344" spans="1:4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</row>
    <row r="1345" spans="1:4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</row>
    <row r="1346" spans="1:4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</row>
    <row r="1347" spans="1:4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</row>
    <row r="1348" spans="1:4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</row>
    <row r="1349" spans="1:4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</row>
    <row r="1350" spans="1:4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</row>
    <row r="1351" spans="1:4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</row>
    <row r="1352" spans="1:4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</row>
    <row r="1353" spans="1:4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</row>
    <row r="1354" spans="1:4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</row>
    <row r="1355" spans="1:4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</row>
    <row r="1356" spans="1:4" x14ac:dyDescent="0.25">
      <c r="A1356">
        <v>1288318920</v>
      </c>
      <c r="B1356" s="1">
        <v>42936</v>
      </c>
      <c r="C1356" s="2">
        <v>0.46606481481481482</v>
      </c>
      <c r="D1356" s="2">
        <v>0.47375</v>
      </c>
    </row>
    <row r="1357" spans="1:4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</row>
    <row r="1358" spans="1:4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</row>
    <row r="1359" spans="1:4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</row>
    <row r="1360" spans="1:4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</row>
    <row r="1361" spans="1:4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</row>
    <row r="1362" spans="1:4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</row>
    <row r="1363" spans="1:4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</row>
    <row r="1364" spans="1:4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</row>
    <row r="1365" spans="1:4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</row>
    <row r="1366" spans="1:4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</row>
    <row r="1367" spans="1:4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</row>
    <row r="1368" spans="1:4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</row>
    <row r="1369" spans="1:4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</row>
    <row r="1370" spans="1:4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</row>
    <row r="1371" spans="1:4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</row>
    <row r="1372" spans="1:4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</row>
    <row r="1373" spans="1:4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</row>
    <row r="1374" spans="1:4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</row>
    <row r="1375" spans="1:4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</row>
    <row r="1376" spans="1:4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</row>
    <row r="1377" spans="1:4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</row>
    <row r="1378" spans="1:4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</row>
    <row r="1379" spans="1:4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</row>
    <row r="1380" spans="1:4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</row>
    <row r="1381" spans="1:4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</row>
    <row r="1382" spans="1:4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</row>
    <row r="1383" spans="1:4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</row>
    <row r="1384" spans="1:4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</row>
    <row r="1385" spans="1:4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</row>
    <row r="1386" spans="1:4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</row>
    <row r="1387" spans="1:4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</row>
    <row r="1388" spans="1:4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</row>
    <row r="1389" spans="1:4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</row>
    <row r="1390" spans="1:4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</row>
    <row r="1391" spans="1:4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</row>
    <row r="1392" spans="1:4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</row>
    <row r="1393" spans="1:4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</row>
    <row r="1394" spans="1:4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</row>
    <row r="1395" spans="1:4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</row>
    <row r="1396" spans="1:4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</row>
    <row r="1397" spans="1:4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</row>
    <row r="1398" spans="1:4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</row>
    <row r="1399" spans="1:4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</row>
    <row r="1400" spans="1:4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</row>
    <row r="1401" spans="1:4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</row>
    <row r="1402" spans="1:4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</row>
    <row r="1403" spans="1:4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</row>
    <row r="1404" spans="1:4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</row>
    <row r="1405" spans="1:4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</row>
    <row r="1406" spans="1:4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</row>
    <row r="1407" spans="1:4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</row>
    <row r="1408" spans="1:4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</row>
    <row r="1409" spans="1:4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</row>
    <row r="1410" spans="1:4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</row>
    <row r="1411" spans="1:4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</row>
    <row r="1412" spans="1:4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</row>
    <row r="1413" spans="1:4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</row>
    <row r="1414" spans="1:4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</row>
    <row r="1415" spans="1:4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</row>
    <row r="1416" spans="1:4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</row>
    <row r="1417" spans="1:4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</row>
    <row r="1418" spans="1:4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</row>
    <row r="1419" spans="1:4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</row>
    <row r="1420" spans="1:4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</row>
    <row r="1421" spans="1:4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</row>
    <row r="1422" spans="1:4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</row>
    <row r="1423" spans="1:4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</row>
    <row r="1424" spans="1:4" x14ac:dyDescent="0.25">
      <c r="A1424">
        <v>6070136</v>
      </c>
      <c r="B1424" s="1">
        <v>42937</v>
      </c>
      <c r="C1424" s="2">
        <v>0.3515625</v>
      </c>
      <c r="D1424" s="2">
        <v>0.35299768518518521</v>
      </c>
    </row>
    <row r="1425" spans="1:4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</row>
    <row r="1426" spans="1:4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</row>
    <row r="1427" spans="1:4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</row>
    <row r="1428" spans="1:4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</row>
    <row r="1429" spans="1:4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</row>
    <row r="1430" spans="1:4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</row>
    <row r="1431" spans="1:4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</row>
    <row r="1432" spans="1:4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</row>
    <row r="1433" spans="1:4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</row>
    <row r="1434" spans="1:4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</row>
    <row r="1435" spans="1:4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</row>
    <row r="1436" spans="1:4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</row>
    <row r="1437" spans="1:4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</row>
    <row r="1438" spans="1:4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</row>
    <row r="1439" spans="1:4" x14ac:dyDescent="0.25">
      <c r="A1439">
        <v>8972366</v>
      </c>
      <c r="B1439" s="1">
        <v>42937</v>
      </c>
      <c r="C1439" s="2">
        <v>0.40462962962962962</v>
      </c>
      <c r="D1439" s="2">
        <v>0.40875</v>
      </c>
    </row>
    <row r="1440" spans="1:4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</row>
    <row r="1441" spans="1:4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</row>
    <row r="1442" spans="1:4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</row>
    <row r="1443" spans="1:4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</row>
    <row r="1444" spans="1:4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</row>
    <row r="1445" spans="1:4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</row>
    <row r="1446" spans="1:4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</row>
    <row r="1447" spans="1:4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</row>
    <row r="1448" spans="1:4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</row>
    <row r="1449" spans="1:4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</row>
    <row r="1450" spans="1:4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</row>
    <row r="1451" spans="1:4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</row>
    <row r="1452" spans="1:4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</row>
    <row r="1453" spans="1:4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</row>
    <row r="1454" spans="1:4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</row>
    <row r="1455" spans="1:4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</row>
    <row r="1456" spans="1:4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</row>
    <row r="1457" spans="1:4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</row>
    <row r="1458" spans="1:4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</row>
    <row r="1459" spans="1:4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</row>
    <row r="1460" spans="1:4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</row>
    <row r="1461" spans="1:4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</row>
    <row r="1462" spans="1:4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</row>
    <row r="1463" spans="1:4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</row>
    <row r="1464" spans="1:4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</row>
    <row r="1465" spans="1:4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</row>
    <row r="1466" spans="1:4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</row>
    <row r="1467" spans="1:4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</row>
    <row r="1468" spans="1:4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</row>
    <row r="1469" spans="1:4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</row>
    <row r="1470" spans="1:4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</row>
    <row r="1471" spans="1:4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</row>
    <row r="1472" spans="1:4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</row>
    <row r="1473" spans="1:4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</row>
    <row r="1474" spans="1:4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</row>
    <row r="1475" spans="1:4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</row>
    <row r="1476" spans="1:4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</row>
    <row r="1477" spans="1:4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</row>
    <row r="1478" spans="1:4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</row>
    <row r="1479" spans="1:4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</row>
    <row r="1480" spans="1:4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</row>
    <row r="1481" spans="1:4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</row>
    <row r="1482" spans="1:4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</row>
    <row r="1483" spans="1:4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</row>
    <row r="1484" spans="1:4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</row>
    <row r="1485" spans="1:4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</row>
    <row r="1486" spans="1:4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</row>
    <row r="1487" spans="1:4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</row>
    <row r="1488" spans="1:4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</row>
    <row r="1489" spans="1:4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</row>
    <row r="1490" spans="1:4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</row>
    <row r="1491" spans="1:4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</row>
    <row r="1492" spans="1:4" x14ac:dyDescent="0.25">
      <c r="A1492">
        <v>9021766</v>
      </c>
      <c r="B1492" s="1">
        <v>42937</v>
      </c>
      <c r="C1492" s="2">
        <v>0.5575</v>
      </c>
      <c r="D1492" s="2">
        <v>0.56418981481481478</v>
      </c>
    </row>
    <row r="1493" spans="1:4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</row>
    <row r="1494" spans="1:4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</row>
    <row r="1495" spans="1:4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</row>
    <row r="1496" spans="1:4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</row>
    <row r="1497" spans="1:4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</row>
    <row r="1498" spans="1:4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</row>
    <row r="1499" spans="1:4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</row>
    <row r="1500" spans="1:4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</row>
    <row r="1501" spans="1:4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</row>
    <row r="1502" spans="1:4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</row>
    <row r="1503" spans="1:4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</row>
    <row r="1504" spans="1:4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</row>
    <row r="1505" spans="1:4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</row>
    <row r="1506" spans="1:4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</row>
    <row r="1507" spans="1:4" x14ac:dyDescent="0.25">
      <c r="A1507">
        <v>5039266</v>
      </c>
      <c r="B1507" s="1">
        <v>42937</v>
      </c>
      <c r="C1507" s="2">
        <v>0.6121875</v>
      </c>
      <c r="D1507" s="2">
        <v>0.6181712962962963</v>
      </c>
    </row>
    <row r="1508" spans="1:4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</row>
    <row r="1509" spans="1:4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</row>
    <row r="1510" spans="1:4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</row>
    <row r="1511" spans="1:4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</row>
    <row r="1512" spans="1:4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</row>
    <row r="1513" spans="1:4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</row>
    <row r="1514" spans="1:4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</row>
    <row r="1515" spans="1:4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</row>
    <row r="1516" spans="1:4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</row>
    <row r="1517" spans="1:4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</row>
    <row r="1518" spans="1:4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</row>
    <row r="1519" spans="1:4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</row>
    <row r="1520" spans="1:4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</row>
    <row r="1521" spans="1:4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</row>
    <row r="1522" spans="1:4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</row>
    <row r="1523" spans="1:4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</row>
    <row r="1524" spans="1:4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</row>
    <row r="1525" spans="1:4" x14ac:dyDescent="0.25">
      <c r="A1525">
        <v>6561564994</v>
      </c>
      <c r="B1525" s="1">
        <v>42940</v>
      </c>
      <c r="C1525" s="2">
        <v>0.36334490740740738</v>
      </c>
      <c r="D1525" s="2">
        <v>0.3696875</v>
      </c>
    </row>
    <row r="1526" spans="1:4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</row>
    <row r="1527" spans="1:4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</row>
    <row r="1528" spans="1:4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</row>
    <row r="1529" spans="1:4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</row>
    <row r="1530" spans="1:4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</row>
    <row r="1531" spans="1:4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</row>
    <row r="1532" spans="1:4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</row>
    <row r="1533" spans="1:4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</row>
    <row r="1534" spans="1:4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</row>
    <row r="1535" spans="1:4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</row>
    <row r="1536" spans="1:4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</row>
    <row r="1537" spans="1:4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</row>
    <row r="1538" spans="1:4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</row>
    <row r="1539" spans="1:4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</row>
    <row r="1540" spans="1:4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</row>
    <row r="1541" spans="1:4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</row>
    <row r="1542" spans="1:4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</row>
    <row r="1543" spans="1:4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</row>
    <row r="1544" spans="1:4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</row>
    <row r="1545" spans="1:4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</row>
    <row r="1546" spans="1:4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</row>
    <row r="1547" spans="1:4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</row>
    <row r="1548" spans="1:4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</row>
    <row r="1549" spans="1:4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</row>
    <row r="1550" spans="1:4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</row>
    <row r="1551" spans="1:4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</row>
    <row r="1552" spans="1:4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</row>
    <row r="1553" spans="1:4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</row>
    <row r="1554" spans="1:4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</row>
    <row r="1555" spans="1:4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</row>
    <row r="1556" spans="1:4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</row>
    <row r="1557" spans="1:4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</row>
    <row r="1558" spans="1:4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</row>
    <row r="1559" spans="1:4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</row>
    <row r="1560" spans="1:4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</row>
    <row r="1561" spans="1:4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</row>
    <row r="1562" spans="1:4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</row>
    <row r="1563" spans="1:4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</row>
    <row r="1564" spans="1:4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</row>
    <row r="1565" spans="1:4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</row>
    <row r="1566" spans="1:4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</row>
    <row r="1567" spans="1:4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</row>
    <row r="1568" spans="1:4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</row>
    <row r="1569" spans="1:4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</row>
    <row r="1570" spans="1:4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</row>
    <row r="1571" spans="1:4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</row>
    <row r="1572" spans="1:4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</row>
    <row r="1573" spans="1:4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</row>
    <row r="1574" spans="1:4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</row>
    <row r="1575" spans="1:4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</row>
    <row r="1576" spans="1:4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</row>
    <row r="1577" spans="1:4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</row>
    <row r="1578" spans="1:4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</row>
    <row r="1579" spans="1:4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</row>
    <row r="1580" spans="1:4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</row>
    <row r="1581" spans="1:4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</row>
    <row r="1582" spans="1:4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</row>
    <row r="1583" spans="1:4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</row>
    <row r="1584" spans="1:4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</row>
    <row r="1585" spans="1:4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</row>
    <row r="1586" spans="1:4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</row>
    <row r="1587" spans="1:4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</row>
    <row r="1588" spans="1:4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</row>
    <row r="1589" spans="1:4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</row>
    <row r="1590" spans="1:4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</row>
    <row r="1591" spans="1:4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</row>
    <row r="1592" spans="1:4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</row>
    <row r="1593" spans="1:4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</row>
    <row r="1594" spans="1:4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</row>
    <row r="1595" spans="1:4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</row>
    <row r="1596" spans="1:4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</row>
    <row r="1597" spans="1:4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</row>
    <row r="1598" spans="1:4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</row>
    <row r="1599" spans="1:4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</row>
    <row r="1600" spans="1:4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</row>
    <row r="1601" spans="1:4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</row>
    <row r="1602" spans="1:4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</row>
    <row r="1603" spans="1:4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</row>
    <row r="1604" spans="1:4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</row>
    <row r="1605" spans="1:4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</row>
    <row r="1606" spans="1:4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</row>
    <row r="1607" spans="1:4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</row>
    <row r="1608" spans="1:4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</row>
    <row r="1609" spans="1:4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</row>
    <row r="1610" spans="1:4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</row>
    <row r="1611" spans="1:4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</row>
    <row r="1612" spans="1:4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</row>
    <row r="1613" spans="1:4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</row>
    <row r="1614" spans="1:4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</row>
    <row r="1615" spans="1:4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</row>
    <row r="1616" spans="1:4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</row>
    <row r="1617" spans="1:4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</row>
    <row r="1618" spans="1:4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</row>
    <row r="1619" spans="1:4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</row>
    <row r="1620" spans="1:4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</row>
    <row r="1621" spans="1:4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</row>
    <row r="1622" spans="1:4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</row>
    <row r="1623" spans="1:4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</row>
    <row r="1624" spans="1:4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</row>
    <row r="1625" spans="1:4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</row>
    <row r="1626" spans="1:4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</row>
    <row r="1627" spans="1:4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</row>
    <row r="1628" spans="1:4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</row>
    <row r="1629" spans="1:4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</row>
    <row r="1630" spans="1:4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</row>
    <row r="1631" spans="1:4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</row>
    <row r="1632" spans="1:4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</row>
    <row r="1633" spans="1:4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</row>
    <row r="1634" spans="1:4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</row>
    <row r="1635" spans="1:4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</row>
    <row r="1636" spans="1:4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</row>
    <row r="1637" spans="1:4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</row>
    <row r="1638" spans="1:4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</row>
    <row r="1639" spans="1:4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</row>
    <row r="1640" spans="1:4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</row>
    <row r="1641" spans="1:4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</row>
    <row r="1642" spans="1:4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</row>
    <row r="1643" spans="1:4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</row>
    <row r="1644" spans="1:4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</row>
    <row r="1645" spans="1:4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</row>
    <row r="1646" spans="1:4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</row>
    <row r="1647" spans="1:4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</row>
    <row r="1648" spans="1:4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</row>
    <row r="1649" spans="1:4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</row>
    <row r="1650" spans="1:4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</row>
    <row r="1651" spans="1:4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</row>
    <row r="1652" spans="1:4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</row>
    <row r="1653" spans="1:4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</row>
    <row r="1654" spans="1:4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</row>
    <row r="1655" spans="1:4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</row>
    <row r="1656" spans="1:4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</row>
    <row r="1657" spans="1:4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</row>
    <row r="1658" spans="1:4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</row>
    <row r="1659" spans="1:4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</row>
    <row r="1660" spans="1:4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</row>
    <row r="1661" spans="1:4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</row>
    <row r="1662" spans="1:4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</row>
    <row r="1663" spans="1:4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</row>
    <row r="1664" spans="1:4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</row>
    <row r="1665" spans="1:4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</row>
    <row r="1666" spans="1:4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</row>
    <row r="1667" spans="1:4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</row>
    <row r="1668" spans="1:4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</row>
    <row r="1669" spans="1:4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</row>
    <row r="1670" spans="1:4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</row>
    <row r="1671" spans="1:4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</row>
    <row r="1672" spans="1:4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</row>
    <row r="1673" spans="1:4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</row>
    <row r="1674" spans="1:4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</row>
    <row r="1675" spans="1:4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</row>
    <row r="1676" spans="1:4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</row>
    <row r="1677" spans="1:4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</row>
    <row r="1678" spans="1:4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</row>
    <row r="1679" spans="1:4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</row>
    <row r="1680" spans="1:4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</row>
    <row r="1681" spans="1:4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</row>
    <row r="1682" spans="1:4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</row>
    <row r="1683" spans="1:4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</row>
    <row r="1684" spans="1:4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</row>
    <row r="1685" spans="1:4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</row>
    <row r="1686" spans="1:4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</row>
    <row r="1687" spans="1:4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</row>
    <row r="1688" spans="1:4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</row>
    <row r="1689" spans="1:4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</row>
    <row r="1690" spans="1:4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</row>
    <row r="1691" spans="1:4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</row>
    <row r="1692" spans="1:4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</row>
    <row r="1693" spans="1:4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</row>
    <row r="1694" spans="1:4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</row>
    <row r="1695" spans="1:4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</row>
    <row r="1696" spans="1:4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</row>
    <row r="1697" spans="1:4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</row>
    <row r="1698" spans="1:4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</row>
    <row r="1699" spans="1:4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</row>
    <row r="1700" spans="1:4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</row>
    <row r="1701" spans="1:4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</row>
    <row r="1702" spans="1:4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</row>
    <row r="1703" spans="1:4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</row>
    <row r="1704" spans="1:4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</row>
    <row r="1705" spans="1:4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</row>
    <row r="1706" spans="1:4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</row>
    <row r="1707" spans="1:4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</row>
    <row r="1708" spans="1:4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</row>
    <row r="1709" spans="1:4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</row>
    <row r="1710" spans="1:4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</row>
    <row r="1711" spans="1:4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</row>
    <row r="1712" spans="1:4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</row>
    <row r="1713" spans="1:4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</row>
    <row r="1714" spans="1:4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</row>
    <row r="1715" spans="1:4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</row>
    <row r="1716" spans="1:4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</row>
    <row r="1717" spans="1:4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</row>
    <row r="1718" spans="1:4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</row>
    <row r="1719" spans="1:4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</row>
    <row r="1720" spans="1:4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</row>
    <row r="1721" spans="1:4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</row>
    <row r="1722" spans="1:4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</row>
    <row r="1723" spans="1:4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</row>
    <row r="1724" spans="1:4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</row>
    <row r="1725" spans="1:4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</row>
    <row r="1726" spans="1:4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</row>
    <row r="1727" spans="1:4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</row>
    <row r="1728" spans="1:4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</row>
    <row r="1729" spans="1:4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</row>
    <row r="1730" spans="1:4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</row>
    <row r="1731" spans="1:4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</row>
    <row r="1732" spans="1:4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</row>
    <row r="1733" spans="1:4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</row>
    <row r="1734" spans="1:4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</row>
    <row r="1735" spans="1:4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</row>
    <row r="1736" spans="1:4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</row>
    <row r="1737" spans="1:4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</row>
    <row r="1738" spans="1:4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</row>
    <row r="1739" spans="1:4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</row>
    <row r="1740" spans="1:4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</row>
    <row r="1741" spans="1:4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</row>
    <row r="1742" spans="1:4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</row>
    <row r="1743" spans="1:4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</row>
    <row r="1744" spans="1:4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</row>
    <row r="1745" spans="1:4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</row>
    <row r="1746" spans="1:4" x14ac:dyDescent="0.25">
      <c r="A1746">
        <v>4857453</v>
      </c>
      <c r="B1746" s="1">
        <v>42942</v>
      </c>
      <c r="C1746" s="2">
        <v>0.38013888888888892</v>
      </c>
      <c r="D1746" s="2">
        <v>0.385625</v>
      </c>
    </row>
    <row r="1747" spans="1:4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</row>
    <row r="1748" spans="1:4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</row>
    <row r="1749" spans="1:4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</row>
    <row r="1750" spans="1:4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</row>
    <row r="1751" spans="1:4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</row>
    <row r="1752" spans="1:4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</row>
    <row r="1753" spans="1:4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</row>
    <row r="1754" spans="1:4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</row>
    <row r="1755" spans="1:4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</row>
    <row r="1756" spans="1:4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</row>
    <row r="1757" spans="1:4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</row>
    <row r="1758" spans="1:4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</row>
    <row r="1759" spans="1:4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</row>
    <row r="1760" spans="1:4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</row>
    <row r="1761" spans="1:4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</row>
    <row r="1762" spans="1:4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</row>
    <row r="1763" spans="1:4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</row>
    <row r="1764" spans="1:4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</row>
    <row r="1765" spans="1:4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</row>
    <row r="1766" spans="1:4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</row>
    <row r="1767" spans="1:4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</row>
    <row r="1768" spans="1:4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</row>
    <row r="1769" spans="1:4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</row>
    <row r="1770" spans="1:4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</row>
    <row r="1771" spans="1:4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</row>
    <row r="1772" spans="1:4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</row>
    <row r="1773" spans="1:4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</row>
    <row r="1774" spans="1:4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</row>
    <row r="1775" spans="1:4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</row>
    <row r="1776" spans="1:4" x14ac:dyDescent="0.25">
      <c r="A1776">
        <v>59723258</v>
      </c>
      <c r="B1776" s="1">
        <v>42942</v>
      </c>
      <c r="C1776" s="2">
        <v>0.4503125</v>
      </c>
      <c r="D1776" s="2">
        <v>0.4601736111111111</v>
      </c>
    </row>
    <row r="1777" spans="1:4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</row>
    <row r="1778" spans="1:4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</row>
    <row r="1779" spans="1:4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</row>
    <row r="1780" spans="1:4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</row>
    <row r="1781" spans="1:4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</row>
    <row r="1782" spans="1:4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</row>
    <row r="1783" spans="1:4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</row>
    <row r="1784" spans="1:4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</row>
    <row r="1785" spans="1:4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</row>
    <row r="1786" spans="1:4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</row>
    <row r="1787" spans="1:4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</row>
    <row r="1788" spans="1:4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</row>
    <row r="1789" spans="1:4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</row>
    <row r="1790" spans="1:4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</row>
    <row r="1791" spans="1:4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</row>
    <row r="1792" spans="1:4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</row>
    <row r="1793" spans="1:4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</row>
    <row r="1794" spans="1:4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</row>
    <row r="1795" spans="1:4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</row>
    <row r="1796" spans="1:4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</row>
    <row r="1797" spans="1:4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</row>
    <row r="1798" spans="1:4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</row>
    <row r="1799" spans="1:4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</row>
    <row r="1800" spans="1:4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</row>
    <row r="1801" spans="1:4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</row>
    <row r="1802" spans="1:4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</row>
    <row r="1803" spans="1:4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</row>
    <row r="1804" spans="1:4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</row>
    <row r="1805" spans="1:4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</row>
    <row r="1806" spans="1:4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</row>
    <row r="1807" spans="1:4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</row>
    <row r="1808" spans="1:4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</row>
    <row r="1809" spans="1:4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</row>
    <row r="1810" spans="1:4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</row>
    <row r="1811" spans="1:4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</row>
    <row r="1812" spans="1:4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</row>
    <row r="1813" spans="1:4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</row>
    <row r="1814" spans="1:4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</row>
    <row r="1815" spans="1:4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</row>
    <row r="1816" spans="1:4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</row>
    <row r="1817" spans="1:4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</row>
    <row r="1818" spans="1:4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</row>
    <row r="1819" spans="1:4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</row>
    <row r="1820" spans="1:4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</row>
    <row r="1821" spans="1:4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</row>
    <row r="1822" spans="1:4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</row>
    <row r="1823" spans="1:4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</row>
    <row r="1824" spans="1:4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</row>
    <row r="1825" spans="1:4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</row>
    <row r="1826" spans="1:4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</row>
    <row r="1827" spans="1:4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</row>
    <row r="1828" spans="1:4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</row>
    <row r="1829" spans="1:4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</row>
    <row r="1830" spans="1:4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</row>
    <row r="1831" spans="1:4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</row>
    <row r="1832" spans="1:4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</row>
    <row r="1833" spans="1:4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</row>
    <row r="1834" spans="1:4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</row>
    <row r="1835" spans="1:4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</row>
    <row r="1836" spans="1:4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</row>
    <row r="1837" spans="1:4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</row>
    <row r="1838" spans="1:4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</row>
    <row r="1839" spans="1:4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</row>
    <row r="1840" spans="1:4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</row>
    <row r="1841" spans="1:4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</row>
    <row r="1842" spans="1:4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</row>
    <row r="1843" spans="1:4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</row>
    <row r="1844" spans="1:4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</row>
    <row r="1845" spans="1:4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</row>
    <row r="1846" spans="1:4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</row>
    <row r="1847" spans="1:4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</row>
    <row r="1848" spans="1:4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</row>
    <row r="1849" spans="1:4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</row>
    <row r="1850" spans="1:4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</row>
    <row r="1851" spans="1:4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</row>
    <row r="1852" spans="1:4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</row>
    <row r="1853" spans="1:4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</row>
    <row r="1854" spans="1:4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</row>
    <row r="1855" spans="1:4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</row>
    <row r="1856" spans="1:4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</row>
    <row r="1857" spans="1:4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</row>
    <row r="1858" spans="1:4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</row>
    <row r="1859" spans="1:4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</row>
    <row r="1860" spans="1:4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</row>
    <row r="1861" spans="1:4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</row>
    <row r="1862" spans="1:4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</row>
    <row r="1863" spans="1:4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</row>
    <row r="1864" spans="1:4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</row>
    <row r="1865" spans="1:4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</row>
    <row r="1866" spans="1:4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</row>
    <row r="1867" spans="1:4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</row>
    <row r="1868" spans="1:4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</row>
    <row r="1869" spans="1:4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</row>
    <row r="1870" spans="1:4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</row>
    <row r="1871" spans="1:4" x14ac:dyDescent="0.25">
      <c r="A1871">
        <v>1890121</v>
      </c>
      <c r="B1871" s="1">
        <v>42943</v>
      </c>
      <c r="C1871" s="2">
        <v>0.42357638888888888</v>
      </c>
      <c r="D1871" s="2">
        <v>0.43</v>
      </c>
    </row>
    <row r="1872" spans="1:4" x14ac:dyDescent="0.25">
      <c r="A1872">
        <v>9906846123</v>
      </c>
      <c r="B1872" s="1">
        <v>42943</v>
      </c>
      <c r="C1872" s="2">
        <v>0.424375</v>
      </c>
      <c r="D1872" s="2">
        <v>0.42505787037037035</v>
      </c>
    </row>
    <row r="1873" spans="1:4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</row>
    <row r="1874" spans="1:4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</row>
    <row r="1875" spans="1:4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</row>
    <row r="1876" spans="1:4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</row>
    <row r="1877" spans="1:4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</row>
    <row r="1878" spans="1:4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</row>
    <row r="1879" spans="1:4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</row>
    <row r="1880" spans="1:4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</row>
    <row r="1881" spans="1:4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</row>
    <row r="1882" spans="1:4" x14ac:dyDescent="0.25">
      <c r="A1882">
        <v>6956143</v>
      </c>
      <c r="B1882" s="1">
        <v>42943</v>
      </c>
      <c r="C1882" s="2">
        <v>0.45157407407407407</v>
      </c>
      <c r="D1882" s="2">
        <v>0.455625</v>
      </c>
    </row>
    <row r="1883" spans="1:4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</row>
    <row r="1884" spans="1:4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</row>
    <row r="1885" spans="1:4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</row>
    <row r="1886" spans="1:4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</row>
    <row r="1887" spans="1:4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</row>
    <row r="1888" spans="1:4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</row>
    <row r="1889" spans="1:4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</row>
    <row r="1890" spans="1:4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</row>
    <row r="1891" spans="1:4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</row>
    <row r="1892" spans="1:4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</row>
    <row r="1893" spans="1:4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</row>
    <row r="1894" spans="1:4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</row>
    <row r="1895" spans="1:4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</row>
    <row r="1896" spans="1:4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</row>
    <row r="1897" spans="1:4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</row>
    <row r="1898" spans="1:4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</row>
    <row r="1899" spans="1:4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</row>
    <row r="1900" spans="1:4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</row>
    <row r="1901" spans="1:4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</row>
    <row r="1902" spans="1:4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</row>
    <row r="1903" spans="1:4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</row>
    <row r="1904" spans="1:4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</row>
    <row r="1905" spans="1:4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</row>
    <row r="1906" spans="1:4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</row>
    <row r="1907" spans="1:4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</row>
    <row r="1908" spans="1:4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</row>
    <row r="1909" spans="1:4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</row>
    <row r="1910" spans="1:4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</row>
    <row r="1911" spans="1:4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</row>
    <row r="1912" spans="1:4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</row>
    <row r="1913" spans="1:4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</row>
    <row r="1914" spans="1:4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</row>
    <row r="1915" spans="1:4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</row>
    <row r="1916" spans="1:4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</row>
    <row r="1917" spans="1:4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</row>
    <row r="1918" spans="1:4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</row>
    <row r="1919" spans="1:4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</row>
    <row r="1920" spans="1:4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</row>
    <row r="1921" spans="1:4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</row>
    <row r="1922" spans="1:4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</row>
    <row r="1923" spans="1:4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</row>
    <row r="1924" spans="1:4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</row>
    <row r="1925" spans="1:4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</row>
    <row r="1926" spans="1:4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</row>
    <row r="1927" spans="1:4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</row>
    <row r="1928" spans="1:4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</row>
    <row r="1929" spans="1:4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</row>
    <row r="1930" spans="1:4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</row>
    <row r="1931" spans="1:4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</row>
    <row r="1932" spans="1:4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</row>
    <row r="1933" spans="1:4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</row>
    <row r="1934" spans="1:4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</row>
    <row r="1935" spans="1:4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</row>
    <row r="1936" spans="1:4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</row>
    <row r="1937" spans="1:4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</row>
    <row r="1938" spans="1:4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</row>
    <row r="1939" spans="1:4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</row>
    <row r="1940" spans="1:4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</row>
    <row r="1941" spans="1:4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</row>
    <row r="1942" spans="1:4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</row>
    <row r="1943" spans="1:4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</row>
    <row r="1944" spans="1:4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</row>
    <row r="1945" spans="1:4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</row>
    <row r="1946" spans="1:4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</row>
    <row r="1947" spans="1:4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</row>
    <row r="1948" spans="1:4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</row>
    <row r="1949" spans="1:4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</row>
    <row r="1950" spans="1:4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</row>
    <row r="1951" spans="1:4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</row>
    <row r="1952" spans="1:4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</row>
    <row r="1953" spans="1:4" x14ac:dyDescent="0.25">
      <c r="A1953">
        <v>7488966</v>
      </c>
      <c r="B1953" s="1">
        <v>42944</v>
      </c>
      <c r="C1953" s="2">
        <v>0.37513888888888891</v>
      </c>
      <c r="D1953" s="2">
        <v>0.3775</v>
      </c>
    </row>
    <row r="1954" spans="1:4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</row>
    <row r="1955" spans="1:4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</row>
    <row r="1956" spans="1:4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</row>
    <row r="1957" spans="1:4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</row>
    <row r="1958" spans="1:4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</row>
    <row r="1959" spans="1:4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</row>
    <row r="1960" spans="1:4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</row>
    <row r="1961" spans="1:4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</row>
    <row r="1962" spans="1:4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</row>
    <row r="1963" spans="1:4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</row>
    <row r="1964" spans="1:4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</row>
    <row r="1965" spans="1:4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</row>
    <row r="1966" spans="1:4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</row>
    <row r="1967" spans="1:4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</row>
    <row r="1968" spans="1:4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</row>
    <row r="1969" spans="1:4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</row>
    <row r="1970" spans="1:4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</row>
    <row r="1971" spans="1:4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</row>
    <row r="1972" spans="1:4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</row>
    <row r="1973" spans="1:4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</row>
    <row r="1974" spans="1:4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</row>
    <row r="1975" spans="1:4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</row>
    <row r="1976" spans="1:4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</row>
    <row r="1977" spans="1:4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</row>
    <row r="1978" spans="1:4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</row>
    <row r="1979" spans="1:4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</row>
    <row r="1980" spans="1:4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</row>
    <row r="1981" spans="1:4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</row>
    <row r="1982" spans="1:4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</row>
    <row r="1983" spans="1:4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</row>
    <row r="1984" spans="1:4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</row>
    <row r="1985" spans="1:4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</row>
    <row r="1986" spans="1:4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</row>
    <row r="1987" spans="1:4" x14ac:dyDescent="0.25">
      <c r="A1987">
        <v>45081794</v>
      </c>
      <c r="B1987" s="1">
        <v>42944</v>
      </c>
      <c r="C1987" s="2">
        <v>0.47928240740740741</v>
      </c>
      <c r="D1987" s="2">
        <v>0.481875</v>
      </c>
    </row>
    <row r="1988" spans="1:4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</row>
    <row r="1989" spans="1:4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</row>
    <row r="1990" spans="1:4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</row>
    <row r="1991" spans="1:4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</row>
    <row r="1992" spans="1:4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</row>
    <row r="1993" spans="1:4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</row>
    <row r="1994" spans="1:4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</row>
    <row r="1995" spans="1:4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</row>
    <row r="1996" spans="1:4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</row>
    <row r="1997" spans="1:4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</row>
    <row r="1998" spans="1:4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</row>
    <row r="1999" spans="1:4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</row>
    <row r="2000" spans="1:4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</row>
    <row r="2001" spans="1:4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</row>
    <row r="2002" spans="1:4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</row>
    <row r="2003" spans="1:4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</row>
    <row r="2004" spans="1:4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</row>
    <row r="2005" spans="1:4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</row>
    <row r="2006" spans="1:4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</row>
    <row r="2007" spans="1:4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</row>
    <row r="2008" spans="1:4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</row>
    <row r="2009" spans="1:4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</row>
    <row r="2010" spans="1:4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</row>
    <row r="2011" spans="1:4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</row>
    <row r="2012" spans="1:4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</row>
    <row r="2013" spans="1:4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</row>
    <row r="2014" spans="1:4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</row>
    <row r="2015" spans="1:4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</row>
    <row r="2016" spans="1:4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</row>
    <row r="2017" spans="1:4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</row>
    <row r="2018" spans="1:4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</row>
    <row r="2019" spans="1:4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</row>
    <row r="2020" spans="1:4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</row>
    <row r="2021" spans="1:4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</row>
    <row r="2022" spans="1:4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</row>
    <row r="2023" spans="1:4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</row>
    <row r="2024" spans="1:4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</row>
    <row r="2025" spans="1:4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</row>
    <row r="2026" spans="1:4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</row>
    <row r="2027" spans="1:4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</row>
    <row r="2028" spans="1:4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</row>
    <row r="2029" spans="1:4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</row>
    <row r="2030" spans="1:4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</row>
    <row r="2031" spans="1:4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</row>
    <row r="2032" spans="1:4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</row>
    <row r="2033" spans="1:4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</row>
    <row r="2034" spans="1:4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</row>
    <row r="2035" spans="1:4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</row>
    <row r="2036" spans="1:4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</row>
    <row r="2037" spans="1:4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</row>
    <row r="2038" spans="1:4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</row>
    <row r="2039" spans="1:4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</row>
    <row r="2040" spans="1:4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</row>
    <row r="2041" spans="1:4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</row>
    <row r="2042" spans="1:4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</row>
    <row r="2043" spans="1:4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</row>
    <row r="2044" spans="1:4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</row>
    <row r="2045" spans="1:4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</row>
    <row r="2046" spans="1:4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</row>
    <row r="2047" spans="1:4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</row>
    <row r="2048" spans="1:4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</row>
    <row r="2049" spans="1:4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</row>
    <row r="2050" spans="1:4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</row>
    <row r="2051" spans="1:4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</row>
    <row r="2052" spans="1:4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</row>
    <row r="2053" spans="1:4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</row>
    <row r="2054" spans="1:4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</row>
    <row r="2055" spans="1:4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</row>
    <row r="2056" spans="1:4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</row>
    <row r="2057" spans="1:4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</row>
    <row r="2058" spans="1:4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</row>
    <row r="2059" spans="1:4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</row>
    <row r="2060" spans="1:4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</row>
    <row r="2061" spans="1:4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</row>
    <row r="2062" spans="1:4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</row>
    <row r="2063" spans="1:4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</row>
    <row r="2064" spans="1:4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</row>
    <row r="2065" spans="1:4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</row>
    <row r="2066" spans="1:4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</row>
    <row r="2067" spans="1:4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</row>
    <row r="2068" spans="1:4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</row>
    <row r="2069" spans="1:4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</row>
    <row r="2070" spans="1:4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</row>
    <row r="2071" spans="1:4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</row>
    <row r="2072" spans="1:4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</row>
    <row r="2073" spans="1:4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</row>
    <row r="2074" spans="1:4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</row>
    <row r="2075" spans="1:4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</row>
    <row r="2076" spans="1:4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</row>
    <row r="2077" spans="1:4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</row>
    <row r="2078" spans="1:4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</row>
    <row r="2079" spans="1:4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</row>
    <row r="2080" spans="1:4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</row>
    <row r="2081" spans="1:4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</row>
    <row r="2082" spans="1:4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</row>
    <row r="2083" spans="1:4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</row>
    <row r="2084" spans="1:4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</row>
    <row r="2085" spans="1:4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</row>
    <row r="2086" spans="1:4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</row>
    <row r="2087" spans="1:4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</row>
    <row r="2088" spans="1:4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</row>
    <row r="2089" spans="1:4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</row>
    <row r="2090" spans="1:4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</row>
    <row r="2091" spans="1:4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</row>
    <row r="2092" spans="1:4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</row>
    <row r="2093" spans="1:4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</row>
    <row r="2094" spans="1:4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</row>
    <row r="2095" spans="1:4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</row>
    <row r="2096" spans="1:4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</row>
    <row r="2097" spans="1:4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</row>
    <row r="2098" spans="1:4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</row>
    <row r="2099" spans="1:4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</row>
    <row r="2100" spans="1:4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</row>
    <row r="2101" spans="1:4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</row>
    <row r="2102" spans="1:4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</row>
    <row r="2103" spans="1:4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</row>
    <row r="2104" spans="1:4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</row>
    <row r="2105" spans="1:4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</row>
    <row r="2106" spans="1:4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</row>
    <row r="2107" spans="1:4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</row>
    <row r="2108" spans="1:4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</row>
    <row r="2109" spans="1:4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</row>
    <row r="2110" spans="1:4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</row>
    <row r="2111" spans="1:4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</row>
    <row r="2112" spans="1:4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</row>
    <row r="2113" spans="1:4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</row>
    <row r="2114" spans="1:4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</row>
    <row r="2115" spans="1:4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</row>
    <row r="2116" spans="1:4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</row>
    <row r="2117" spans="1:4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</row>
    <row r="2118" spans="1:4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</row>
    <row r="2119" spans="1:4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</row>
    <row r="2120" spans="1:4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</row>
    <row r="2121" spans="1:4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</row>
    <row r="2122" spans="1:4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</row>
    <row r="2123" spans="1:4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</row>
    <row r="2124" spans="1:4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</row>
    <row r="2125" spans="1:4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</row>
    <row r="2126" spans="1:4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</row>
    <row r="2127" spans="1:4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</row>
    <row r="2128" spans="1:4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</row>
    <row r="2129" spans="1:4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</row>
    <row r="2130" spans="1:4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</row>
    <row r="2131" spans="1:4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</row>
    <row r="2132" spans="1:4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</row>
    <row r="2133" spans="1:4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</row>
    <row r="2134" spans="1:4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</row>
    <row r="2135" spans="1:4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</row>
    <row r="2136" spans="1:4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</row>
    <row r="2137" spans="1:4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</row>
    <row r="2138" spans="1:4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</row>
    <row r="2139" spans="1:4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</row>
    <row r="2140" spans="1:4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</row>
    <row r="2141" spans="1:4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</row>
    <row r="2142" spans="1:4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</row>
    <row r="2143" spans="1:4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</row>
    <row r="2144" spans="1:4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</row>
    <row r="2145" spans="1:4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</row>
    <row r="2146" spans="1:4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</row>
    <row r="2147" spans="1:4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</row>
    <row r="2148" spans="1:4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</row>
    <row r="2149" spans="1:4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CD65-1A4E-49E4-8430-26D8023B1823}">
  <dimension ref="A1:K2149"/>
  <sheetViews>
    <sheetView workbookViewId="0">
      <selection activeCell="J3" sqref="J3:K6"/>
    </sheetView>
  </sheetViews>
  <sheetFormatPr defaultRowHeight="15" x14ac:dyDescent="0.25"/>
  <cols>
    <col min="1" max="1" width="11" bestFit="1" customWidth="1"/>
    <col min="2" max="2" width="10.140625" bestFit="1" customWidth="1"/>
    <col min="3" max="3" width="11.42578125" bestFit="1" customWidth="1"/>
    <col min="4" max="4" width="11.85546875" bestFit="1" customWidth="1"/>
    <col min="7" max="7" width="17.7109375" bestFit="1" customWidth="1"/>
    <col min="8" max="8" width="9.85546875" bestFit="1" customWidth="1"/>
    <col min="10" max="10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>
        <v>3539762</v>
      </c>
      <c r="B2" s="1">
        <v>42919</v>
      </c>
      <c r="C2" s="2">
        <v>0.33673611111111112</v>
      </c>
      <c r="D2" s="2">
        <v>0.34821759259259261</v>
      </c>
    </row>
    <row r="3" spans="1:11" x14ac:dyDescent="0.25">
      <c r="A3">
        <v>4546455</v>
      </c>
      <c r="B3" s="1">
        <v>42919</v>
      </c>
      <c r="C3" s="2">
        <v>0.34037037037037038</v>
      </c>
      <c r="D3" s="2">
        <v>0.34983796296296299</v>
      </c>
      <c r="G3" s="3" t="s">
        <v>4</v>
      </c>
      <c r="H3" t="s">
        <v>6</v>
      </c>
      <c r="J3" t="s">
        <v>0</v>
      </c>
      <c r="K3" t="s">
        <v>7</v>
      </c>
    </row>
    <row r="4" spans="1:11" x14ac:dyDescent="0.25">
      <c r="A4">
        <v>4546455</v>
      </c>
      <c r="B4" s="1">
        <v>42919</v>
      </c>
      <c r="C4" s="2">
        <v>0.34042824074074074</v>
      </c>
      <c r="D4" s="2">
        <v>0.35046296296296298</v>
      </c>
      <c r="G4" s="4">
        <v>1003402</v>
      </c>
      <c r="H4">
        <v>1</v>
      </c>
      <c r="J4">
        <v>4546455</v>
      </c>
      <c r="K4">
        <v>8</v>
      </c>
    </row>
    <row r="5" spans="1:11" x14ac:dyDescent="0.25">
      <c r="A5">
        <v>6900303</v>
      </c>
      <c r="B5" s="1">
        <v>42919</v>
      </c>
      <c r="C5" s="2">
        <v>0.34362268518518518</v>
      </c>
      <c r="D5" s="2">
        <v>0.3482986111111111</v>
      </c>
      <c r="G5" s="4">
        <v>1015521</v>
      </c>
      <c r="H5">
        <v>1</v>
      </c>
      <c r="J5">
        <v>3505978</v>
      </c>
      <c r="K5">
        <v>7</v>
      </c>
    </row>
    <row r="6" spans="1:11" x14ac:dyDescent="0.25">
      <c r="A6">
        <v>4250194</v>
      </c>
      <c r="B6" s="1">
        <v>42919</v>
      </c>
      <c r="C6" s="2">
        <v>0.34399305555555554</v>
      </c>
      <c r="D6" s="2">
        <v>0.34872685185185187</v>
      </c>
      <c r="G6" s="4">
        <v>1025756</v>
      </c>
      <c r="H6">
        <v>1</v>
      </c>
      <c r="J6">
        <v>4657345</v>
      </c>
      <c r="K6">
        <v>6</v>
      </c>
    </row>
    <row r="7" spans="1:11" x14ac:dyDescent="0.25">
      <c r="A7">
        <v>54586484</v>
      </c>
      <c r="B7" s="1">
        <v>42919</v>
      </c>
      <c r="C7" s="2">
        <v>0.3460185185185185</v>
      </c>
      <c r="D7" s="2">
        <v>0.34969907407407408</v>
      </c>
      <c r="G7" s="4">
        <v>1026326</v>
      </c>
      <c r="H7">
        <v>1</v>
      </c>
      <c r="J7">
        <v>97953696</v>
      </c>
      <c r="K7">
        <v>5</v>
      </c>
    </row>
    <row r="8" spans="1:11" x14ac:dyDescent="0.25">
      <c r="A8">
        <v>26204415</v>
      </c>
      <c r="B8" s="1">
        <v>42919</v>
      </c>
      <c r="C8" s="2">
        <v>0.34880787037037037</v>
      </c>
      <c r="D8" s="2">
        <v>0.35023148148148148</v>
      </c>
      <c r="G8" s="4">
        <v>1035023</v>
      </c>
      <c r="H8">
        <v>1</v>
      </c>
      <c r="J8">
        <v>2109147679</v>
      </c>
      <c r="K8">
        <v>5</v>
      </c>
    </row>
    <row r="9" spans="1:11" x14ac:dyDescent="0.25">
      <c r="A9">
        <v>8596929</v>
      </c>
      <c r="B9" s="1">
        <v>42919</v>
      </c>
      <c r="C9" s="2">
        <v>0.35322916666666665</v>
      </c>
      <c r="D9" s="2">
        <v>0.35968749999999999</v>
      </c>
      <c r="G9" s="4">
        <v>1043289</v>
      </c>
      <c r="H9">
        <v>1</v>
      </c>
      <c r="J9">
        <v>3095218</v>
      </c>
      <c r="K9">
        <v>4</v>
      </c>
    </row>
    <row r="10" spans="1:11" x14ac:dyDescent="0.25">
      <c r="A10">
        <v>4546455</v>
      </c>
      <c r="B10" s="1">
        <v>42919</v>
      </c>
      <c r="C10" s="2">
        <v>0.35723379629629631</v>
      </c>
      <c r="D10" s="2">
        <v>0.36699074074074073</v>
      </c>
      <c r="G10" s="4">
        <v>1047809</v>
      </c>
      <c r="H10">
        <v>1</v>
      </c>
      <c r="J10">
        <v>3178616</v>
      </c>
      <c r="K10">
        <v>4</v>
      </c>
    </row>
    <row r="11" spans="1:11" x14ac:dyDescent="0.25">
      <c r="A11">
        <v>44937926</v>
      </c>
      <c r="B11" s="1">
        <v>42919</v>
      </c>
      <c r="C11" s="2">
        <v>0.36178240740740741</v>
      </c>
      <c r="D11" s="2">
        <v>0.37260416666666668</v>
      </c>
      <c r="G11" s="4">
        <v>1055495</v>
      </c>
      <c r="H11">
        <v>1</v>
      </c>
      <c r="J11">
        <v>4555937</v>
      </c>
      <c r="K11">
        <v>4</v>
      </c>
    </row>
    <row r="12" spans="1:11" x14ac:dyDescent="0.25">
      <c r="A12">
        <v>5816822</v>
      </c>
      <c r="B12" s="1">
        <v>42919</v>
      </c>
      <c r="C12" s="2">
        <v>0.36702546296296296</v>
      </c>
      <c r="D12" s="2">
        <v>0.37568287037037035</v>
      </c>
      <c r="G12" s="4">
        <v>1068000</v>
      </c>
      <c r="H12">
        <v>1</v>
      </c>
      <c r="J12">
        <v>5076649</v>
      </c>
      <c r="K12">
        <v>4</v>
      </c>
    </row>
    <row r="13" spans="1:11" x14ac:dyDescent="0.25">
      <c r="A13">
        <v>96191858</v>
      </c>
      <c r="B13" s="1">
        <v>42919</v>
      </c>
      <c r="C13" s="2">
        <v>0.36861111111111111</v>
      </c>
      <c r="D13" s="2">
        <v>0.37554398148148149</v>
      </c>
      <c r="G13" s="4">
        <v>1081610</v>
      </c>
      <c r="H13">
        <v>2</v>
      </c>
      <c r="J13">
        <v>5094248</v>
      </c>
      <c r="K13">
        <v>4</v>
      </c>
    </row>
    <row r="14" spans="1:11" x14ac:dyDescent="0.25">
      <c r="A14">
        <v>47261256</v>
      </c>
      <c r="B14" s="1">
        <v>42919</v>
      </c>
      <c r="C14" s="2">
        <v>0.37017361111111113</v>
      </c>
      <c r="D14" s="2">
        <v>0.37328703703703703</v>
      </c>
      <c r="G14" s="4">
        <v>1089768</v>
      </c>
      <c r="H14">
        <v>1</v>
      </c>
      <c r="J14">
        <v>5790304</v>
      </c>
      <c r="K14">
        <v>4</v>
      </c>
    </row>
    <row r="15" spans="1:11" x14ac:dyDescent="0.25">
      <c r="A15">
        <v>26204415</v>
      </c>
      <c r="B15" s="1">
        <v>42919</v>
      </c>
      <c r="C15" s="2">
        <v>0.37516203703703704</v>
      </c>
      <c r="D15" s="2">
        <v>0.38424768518518521</v>
      </c>
      <c r="G15" s="4">
        <v>1092699</v>
      </c>
      <c r="H15">
        <v>1</v>
      </c>
      <c r="J15">
        <v>9413315</v>
      </c>
      <c r="K15">
        <v>4</v>
      </c>
    </row>
    <row r="16" spans="1:11" x14ac:dyDescent="0.25">
      <c r="A16">
        <v>22747425</v>
      </c>
      <c r="B16" s="1">
        <v>42919</v>
      </c>
      <c r="C16" s="2">
        <v>0.37719907407407405</v>
      </c>
      <c r="D16" s="2">
        <v>0.38513888888888886</v>
      </c>
      <c r="G16" s="4">
        <v>1100142</v>
      </c>
      <c r="H16">
        <v>1</v>
      </c>
      <c r="J16">
        <v>13484133</v>
      </c>
      <c r="K16">
        <v>4</v>
      </c>
    </row>
    <row r="17" spans="1:11" x14ac:dyDescent="0.25">
      <c r="A17">
        <v>96191858</v>
      </c>
      <c r="B17" s="1">
        <v>42919</v>
      </c>
      <c r="C17" s="2">
        <v>0.37987268518518519</v>
      </c>
      <c r="D17" s="2">
        <v>0.38802083333333331</v>
      </c>
      <c r="G17" s="4">
        <v>1117628</v>
      </c>
      <c r="H17">
        <v>2</v>
      </c>
      <c r="J17">
        <v>93696449</v>
      </c>
      <c r="K17">
        <v>4</v>
      </c>
    </row>
    <row r="18" spans="1:11" x14ac:dyDescent="0.25">
      <c r="A18">
        <v>5816822</v>
      </c>
      <c r="B18" s="1">
        <v>42919</v>
      </c>
      <c r="C18" s="2">
        <v>0.38123842592592594</v>
      </c>
      <c r="D18" s="2">
        <v>0.38390046296296299</v>
      </c>
      <c r="G18" s="4">
        <v>1117708</v>
      </c>
      <c r="H18">
        <v>1</v>
      </c>
      <c r="J18">
        <v>96375379</v>
      </c>
      <c r="K18">
        <v>4</v>
      </c>
    </row>
    <row r="19" spans="1:11" x14ac:dyDescent="0.25">
      <c r="A19">
        <v>3352943</v>
      </c>
      <c r="B19" s="1">
        <v>42919</v>
      </c>
      <c r="C19" s="2">
        <v>0.38701388888888888</v>
      </c>
      <c r="D19" s="2">
        <v>0.3943402777777778</v>
      </c>
      <c r="G19" s="4">
        <v>1119016</v>
      </c>
      <c r="H19">
        <v>1</v>
      </c>
      <c r="J19">
        <v>1119740</v>
      </c>
      <c r="K19">
        <v>3</v>
      </c>
    </row>
    <row r="20" spans="1:11" x14ac:dyDescent="0.25">
      <c r="A20">
        <v>35634368</v>
      </c>
      <c r="B20" s="1">
        <v>42919</v>
      </c>
      <c r="C20" s="2">
        <v>0.39181712962962961</v>
      </c>
      <c r="D20" s="2">
        <v>0.40334490740740742</v>
      </c>
      <c r="G20" s="4">
        <v>1119740</v>
      </c>
      <c r="H20">
        <v>3</v>
      </c>
      <c r="J20">
        <v>1223943</v>
      </c>
      <c r="K20">
        <v>3</v>
      </c>
    </row>
    <row r="21" spans="1:11" x14ac:dyDescent="0.25">
      <c r="A21">
        <v>8313390</v>
      </c>
      <c r="B21" s="1">
        <v>42919</v>
      </c>
      <c r="C21" s="2">
        <v>0.39571759259259259</v>
      </c>
      <c r="D21" s="2">
        <v>0.39844907407407409</v>
      </c>
      <c r="G21" s="4">
        <v>1138033</v>
      </c>
      <c r="H21">
        <v>1</v>
      </c>
      <c r="J21">
        <v>1488369</v>
      </c>
      <c r="K21">
        <v>3</v>
      </c>
    </row>
    <row r="22" spans="1:11" x14ac:dyDescent="0.25">
      <c r="A22">
        <v>3954712</v>
      </c>
      <c r="B22" s="1">
        <v>42919</v>
      </c>
      <c r="C22" s="2">
        <v>0.39876157407407409</v>
      </c>
      <c r="D22" s="2">
        <v>0.40207175925925925</v>
      </c>
      <c r="G22" s="4">
        <v>1157434</v>
      </c>
      <c r="H22">
        <v>1</v>
      </c>
      <c r="J22">
        <v>2235911</v>
      </c>
      <c r="K22">
        <v>3</v>
      </c>
    </row>
    <row r="23" spans="1:11" x14ac:dyDescent="0.25">
      <c r="A23">
        <v>2109147679</v>
      </c>
      <c r="B23" s="1">
        <v>42919</v>
      </c>
      <c r="C23" s="2">
        <v>0.40035879629629628</v>
      </c>
      <c r="D23" s="2">
        <v>0.41166666666666668</v>
      </c>
      <c r="G23" s="4">
        <v>1158631</v>
      </c>
      <c r="H23">
        <v>1</v>
      </c>
      <c r="J23">
        <v>2826868</v>
      </c>
      <c r="K23">
        <v>3</v>
      </c>
    </row>
    <row r="24" spans="1:11" x14ac:dyDescent="0.25">
      <c r="A24">
        <v>1787732</v>
      </c>
      <c r="B24" s="1">
        <v>42919</v>
      </c>
      <c r="C24" s="2">
        <v>0.4052546296296296</v>
      </c>
      <c r="D24" s="2">
        <v>0.41048611111111111</v>
      </c>
      <c r="G24" s="4">
        <v>1159432</v>
      </c>
      <c r="H24">
        <v>1</v>
      </c>
      <c r="J24">
        <v>3017523</v>
      </c>
      <c r="K24">
        <v>3</v>
      </c>
    </row>
    <row r="25" spans="1:11" x14ac:dyDescent="0.25">
      <c r="A25">
        <v>7834807</v>
      </c>
      <c r="B25" s="1">
        <v>42919</v>
      </c>
      <c r="C25" s="2">
        <v>0.40980324074074076</v>
      </c>
      <c r="D25" s="2">
        <v>0.41035879629629629</v>
      </c>
      <c r="G25" s="4">
        <v>1160932</v>
      </c>
      <c r="H25">
        <v>1</v>
      </c>
      <c r="J25">
        <v>3434934</v>
      </c>
      <c r="K25">
        <v>3</v>
      </c>
    </row>
    <row r="26" spans="1:11" x14ac:dyDescent="0.25">
      <c r="A26">
        <v>33320202</v>
      </c>
      <c r="B26" s="1">
        <v>42919</v>
      </c>
      <c r="C26" s="2">
        <v>0.41506944444444444</v>
      </c>
      <c r="D26" s="2">
        <v>0.42621527777777779</v>
      </c>
      <c r="G26" s="4">
        <v>1165705</v>
      </c>
      <c r="H26">
        <v>1</v>
      </c>
      <c r="J26">
        <v>3437033</v>
      </c>
      <c r="K26">
        <v>3</v>
      </c>
    </row>
    <row r="27" spans="1:11" x14ac:dyDescent="0.25">
      <c r="A27">
        <v>1488369</v>
      </c>
      <c r="B27" s="1">
        <v>42919</v>
      </c>
      <c r="C27" s="2">
        <v>0.41612268518518519</v>
      </c>
      <c r="D27" s="2">
        <v>0.41756944444444444</v>
      </c>
      <c r="G27" s="4">
        <v>1166111</v>
      </c>
      <c r="H27">
        <v>1</v>
      </c>
      <c r="J27">
        <v>3539762</v>
      </c>
      <c r="K27">
        <v>3</v>
      </c>
    </row>
    <row r="28" spans="1:11" x14ac:dyDescent="0.25">
      <c r="A28">
        <v>2631285</v>
      </c>
      <c r="B28" s="1">
        <v>42919</v>
      </c>
      <c r="C28" s="2">
        <v>0.4176273148148148</v>
      </c>
      <c r="D28" s="2">
        <v>0.42375000000000002</v>
      </c>
      <c r="G28" s="4">
        <v>1177203</v>
      </c>
      <c r="H28">
        <v>1</v>
      </c>
      <c r="J28">
        <v>3691457</v>
      </c>
      <c r="K28">
        <v>3</v>
      </c>
    </row>
    <row r="29" spans="1:11" x14ac:dyDescent="0.25">
      <c r="A29">
        <v>7415603</v>
      </c>
      <c r="B29" s="1">
        <v>42919</v>
      </c>
      <c r="C29" s="2">
        <v>0.42078703703703701</v>
      </c>
      <c r="D29" s="2">
        <v>0.43216435185185187</v>
      </c>
      <c r="G29" s="4">
        <v>1183006</v>
      </c>
      <c r="H29">
        <v>1</v>
      </c>
      <c r="J29">
        <v>4293872</v>
      </c>
      <c r="K29">
        <v>3</v>
      </c>
    </row>
    <row r="30" spans="1:11" x14ac:dyDescent="0.25">
      <c r="A30">
        <v>96375379</v>
      </c>
      <c r="B30" s="1">
        <v>42919</v>
      </c>
      <c r="C30" s="2">
        <v>0.42447916666666669</v>
      </c>
      <c r="D30" s="2">
        <v>0.42660879629629628</v>
      </c>
      <c r="G30" s="4">
        <v>1192412</v>
      </c>
      <c r="H30">
        <v>1</v>
      </c>
      <c r="J30">
        <v>5087066</v>
      </c>
      <c r="K30">
        <v>3</v>
      </c>
    </row>
    <row r="31" spans="1:11" x14ac:dyDescent="0.25">
      <c r="A31">
        <v>6976431</v>
      </c>
      <c r="B31" s="1">
        <v>42919</v>
      </c>
      <c r="C31" s="2">
        <v>0.4281712962962963</v>
      </c>
      <c r="D31" s="2">
        <v>0.43692129629629628</v>
      </c>
      <c r="G31" s="4">
        <v>1197931</v>
      </c>
      <c r="H31">
        <v>1</v>
      </c>
      <c r="J31">
        <v>5816822</v>
      </c>
      <c r="K31">
        <v>3</v>
      </c>
    </row>
    <row r="32" spans="1:11" x14ac:dyDescent="0.25">
      <c r="A32">
        <v>4093292</v>
      </c>
      <c r="B32" s="1">
        <v>42919</v>
      </c>
      <c r="C32" s="2">
        <v>0.43038194444444444</v>
      </c>
      <c r="D32" s="2">
        <v>0.43494212962962964</v>
      </c>
      <c r="G32" s="4">
        <v>1198407</v>
      </c>
      <c r="H32">
        <v>1</v>
      </c>
      <c r="J32">
        <v>6175467</v>
      </c>
      <c r="K32">
        <v>3</v>
      </c>
    </row>
    <row r="33" spans="1:11" x14ac:dyDescent="0.25">
      <c r="A33">
        <v>6312575</v>
      </c>
      <c r="B33" s="1">
        <v>42919</v>
      </c>
      <c r="C33" s="2">
        <v>0.4309837962962963</v>
      </c>
      <c r="D33" s="2">
        <v>0.43748842592592591</v>
      </c>
      <c r="G33" s="4">
        <v>1207918</v>
      </c>
      <c r="H33">
        <v>2</v>
      </c>
      <c r="J33">
        <v>6689117</v>
      </c>
      <c r="K33">
        <v>3</v>
      </c>
    </row>
    <row r="34" spans="1:11" x14ac:dyDescent="0.25">
      <c r="A34">
        <v>38535407</v>
      </c>
      <c r="B34" s="1">
        <v>42919</v>
      </c>
      <c r="C34" s="2">
        <v>0.43593749999999998</v>
      </c>
      <c r="D34" s="2">
        <v>0.44417824074074075</v>
      </c>
      <c r="G34" s="4">
        <v>1211446</v>
      </c>
      <c r="H34">
        <v>1</v>
      </c>
      <c r="J34">
        <v>6772052</v>
      </c>
      <c r="K34">
        <v>3</v>
      </c>
    </row>
    <row r="35" spans="1:11" x14ac:dyDescent="0.25">
      <c r="A35">
        <v>38535407</v>
      </c>
      <c r="B35" s="1">
        <v>42919</v>
      </c>
      <c r="C35" s="2">
        <v>0.43824074074074076</v>
      </c>
      <c r="D35" s="2">
        <v>0.43913194444444442</v>
      </c>
      <c r="G35" s="4">
        <v>1219073</v>
      </c>
      <c r="H35">
        <v>1</v>
      </c>
      <c r="J35">
        <v>6999348</v>
      </c>
      <c r="K35">
        <v>3</v>
      </c>
    </row>
    <row r="36" spans="1:11" x14ac:dyDescent="0.25">
      <c r="A36">
        <v>9413315</v>
      </c>
      <c r="B36" s="1">
        <v>42919</v>
      </c>
      <c r="C36" s="2">
        <v>0.44313657407407409</v>
      </c>
      <c r="D36" s="2">
        <v>0.45300925925925928</v>
      </c>
      <c r="G36" s="4">
        <v>1223816</v>
      </c>
      <c r="H36">
        <v>1</v>
      </c>
      <c r="J36">
        <v>7236035</v>
      </c>
      <c r="K36">
        <v>3</v>
      </c>
    </row>
    <row r="37" spans="1:11" x14ac:dyDescent="0.25">
      <c r="A37">
        <v>8514016</v>
      </c>
      <c r="B37" s="1">
        <v>42919</v>
      </c>
      <c r="C37" s="2">
        <v>0.44778935185185187</v>
      </c>
      <c r="D37" s="2">
        <v>0.44998842592592592</v>
      </c>
      <c r="G37" s="4">
        <v>1223943</v>
      </c>
      <c r="H37">
        <v>3</v>
      </c>
      <c r="J37">
        <v>7415603</v>
      </c>
      <c r="K37">
        <v>3</v>
      </c>
    </row>
    <row r="38" spans="1:11" x14ac:dyDescent="0.25">
      <c r="A38">
        <v>40965486</v>
      </c>
      <c r="B38" s="1">
        <v>42919</v>
      </c>
      <c r="C38" s="2">
        <v>0.44945601851851852</v>
      </c>
      <c r="D38" s="2">
        <v>0.46011574074074074</v>
      </c>
      <c r="G38" s="4">
        <v>1225082</v>
      </c>
      <c r="H38">
        <v>1</v>
      </c>
      <c r="J38">
        <v>7795911</v>
      </c>
      <c r="K38">
        <v>3</v>
      </c>
    </row>
    <row r="39" spans="1:11" x14ac:dyDescent="0.25">
      <c r="A39">
        <v>4546455</v>
      </c>
      <c r="B39" s="1">
        <v>42919</v>
      </c>
      <c r="C39" s="2">
        <v>0.45270833333333332</v>
      </c>
      <c r="D39" s="2">
        <v>0.45620370370370372</v>
      </c>
      <c r="G39" s="4">
        <v>1233459</v>
      </c>
      <c r="H39">
        <v>1</v>
      </c>
      <c r="J39">
        <v>8679036</v>
      </c>
      <c r="K39">
        <v>3</v>
      </c>
    </row>
    <row r="40" spans="1:11" x14ac:dyDescent="0.25">
      <c r="A40">
        <v>1435049</v>
      </c>
      <c r="B40" s="1">
        <v>42919</v>
      </c>
      <c r="C40" s="2">
        <v>0.45494212962962965</v>
      </c>
      <c r="D40" s="2">
        <v>0.45567129629629627</v>
      </c>
      <c r="G40" s="4">
        <v>1235622</v>
      </c>
      <c r="H40">
        <v>1</v>
      </c>
      <c r="J40">
        <v>8870498</v>
      </c>
      <c r="K40">
        <v>3</v>
      </c>
    </row>
    <row r="41" spans="1:11" x14ac:dyDescent="0.25">
      <c r="A41">
        <v>85598139</v>
      </c>
      <c r="B41" s="1">
        <v>42919</v>
      </c>
      <c r="C41" s="2">
        <v>0.45608796296296295</v>
      </c>
      <c r="D41" s="2">
        <v>0.46314814814814814</v>
      </c>
      <c r="G41" s="4">
        <v>1240369</v>
      </c>
      <c r="H41">
        <v>1</v>
      </c>
      <c r="J41">
        <v>20679187</v>
      </c>
      <c r="K41">
        <v>3</v>
      </c>
    </row>
    <row r="42" spans="1:11" x14ac:dyDescent="0.25">
      <c r="A42">
        <v>1787732</v>
      </c>
      <c r="B42" s="1">
        <v>42919</v>
      </c>
      <c r="C42" s="2">
        <v>0.46151620370370372</v>
      </c>
      <c r="D42" s="2">
        <v>0.46546296296296297</v>
      </c>
      <c r="G42" s="4">
        <v>1247125</v>
      </c>
      <c r="H42">
        <v>2</v>
      </c>
      <c r="J42">
        <v>26204415</v>
      </c>
      <c r="K42">
        <v>3</v>
      </c>
    </row>
    <row r="43" spans="1:11" x14ac:dyDescent="0.25">
      <c r="A43">
        <v>1926053</v>
      </c>
      <c r="B43" s="1">
        <v>42919</v>
      </c>
      <c r="C43" s="2">
        <v>0.46155092592592595</v>
      </c>
      <c r="D43" s="2">
        <v>0.46766203703703701</v>
      </c>
      <c r="G43" s="4">
        <v>1263080</v>
      </c>
      <c r="H43">
        <v>1</v>
      </c>
      <c r="J43">
        <v>27791497</v>
      </c>
      <c r="K43">
        <v>3</v>
      </c>
    </row>
    <row r="44" spans="1:11" x14ac:dyDescent="0.25">
      <c r="A44">
        <v>82949156</v>
      </c>
      <c r="B44" s="1">
        <v>42919</v>
      </c>
      <c r="C44" s="2">
        <v>0.46224537037037039</v>
      </c>
      <c r="D44" s="2">
        <v>0.46390046296296295</v>
      </c>
      <c r="G44" s="4">
        <v>1268336</v>
      </c>
      <c r="H44">
        <v>1</v>
      </c>
      <c r="J44">
        <v>38244568</v>
      </c>
      <c r="K44">
        <v>3</v>
      </c>
    </row>
    <row r="45" spans="1:11" x14ac:dyDescent="0.25">
      <c r="A45">
        <v>73690742</v>
      </c>
      <c r="B45" s="1">
        <v>42919</v>
      </c>
      <c r="C45" s="2">
        <v>0.46766203703703701</v>
      </c>
      <c r="D45" s="2">
        <v>0.4767939814814815</v>
      </c>
      <c r="G45" s="4">
        <v>1269611</v>
      </c>
      <c r="H45">
        <v>1</v>
      </c>
      <c r="J45">
        <v>38535407</v>
      </c>
      <c r="K45">
        <v>3</v>
      </c>
    </row>
    <row r="46" spans="1:11" x14ac:dyDescent="0.25">
      <c r="A46">
        <v>5107477025</v>
      </c>
      <c r="B46" s="1">
        <v>42919</v>
      </c>
      <c r="C46" s="2">
        <v>0.47125</v>
      </c>
      <c r="D46" s="2">
        <v>0.47871527777777778</v>
      </c>
      <c r="G46" s="4">
        <v>1279245</v>
      </c>
      <c r="H46">
        <v>1</v>
      </c>
      <c r="J46">
        <v>45948073</v>
      </c>
      <c r="K46">
        <v>3</v>
      </c>
    </row>
    <row r="47" spans="1:11" x14ac:dyDescent="0.25">
      <c r="A47">
        <v>4787793</v>
      </c>
      <c r="B47" s="1">
        <v>42919</v>
      </c>
      <c r="C47" s="2">
        <v>0.47584490740740742</v>
      </c>
      <c r="D47" s="2">
        <v>0.48518518518518516</v>
      </c>
      <c r="G47" s="4">
        <v>1288637</v>
      </c>
      <c r="H47">
        <v>1</v>
      </c>
      <c r="J47">
        <v>54586484</v>
      </c>
      <c r="K47">
        <v>3</v>
      </c>
    </row>
    <row r="48" spans="1:11" x14ac:dyDescent="0.25">
      <c r="A48">
        <v>79381100</v>
      </c>
      <c r="B48" s="1">
        <v>42919</v>
      </c>
      <c r="C48" s="2">
        <v>0.48078703703703701</v>
      </c>
      <c r="D48" s="2">
        <v>0.48550925925925925</v>
      </c>
      <c r="G48" s="4">
        <v>1294973</v>
      </c>
      <c r="H48">
        <v>1</v>
      </c>
      <c r="J48">
        <v>66800387</v>
      </c>
      <c r="K48">
        <v>3</v>
      </c>
    </row>
    <row r="49" spans="1:11" x14ac:dyDescent="0.25">
      <c r="A49">
        <v>4146159</v>
      </c>
      <c r="B49" s="1">
        <v>42919</v>
      </c>
      <c r="C49" s="2">
        <v>0.48123842592592592</v>
      </c>
      <c r="D49" s="2">
        <v>0.49261574074074072</v>
      </c>
      <c r="G49" s="4">
        <v>1296262</v>
      </c>
      <c r="H49">
        <v>1</v>
      </c>
      <c r="J49">
        <v>84589848</v>
      </c>
      <c r="K49">
        <v>3</v>
      </c>
    </row>
    <row r="50" spans="1:11" x14ac:dyDescent="0.25">
      <c r="A50">
        <v>13484133</v>
      </c>
      <c r="B50" s="1">
        <v>42919</v>
      </c>
      <c r="C50" s="2">
        <v>0.48254629629629631</v>
      </c>
      <c r="D50" s="2">
        <v>0.48739583333333331</v>
      </c>
      <c r="G50" s="4">
        <v>1301099</v>
      </c>
      <c r="H50">
        <v>1</v>
      </c>
      <c r="J50">
        <v>96191858</v>
      </c>
      <c r="K50">
        <v>3</v>
      </c>
    </row>
    <row r="51" spans="1:11" x14ac:dyDescent="0.25">
      <c r="A51">
        <v>4657345</v>
      </c>
      <c r="B51" s="1">
        <v>42919</v>
      </c>
      <c r="C51" s="2">
        <v>0.48489583333333336</v>
      </c>
      <c r="D51" s="2">
        <v>0.48734953703703704</v>
      </c>
      <c r="G51" s="4">
        <v>1302112</v>
      </c>
      <c r="H51">
        <v>1</v>
      </c>
      <c r="J51">
        <v>97798921</v>
      </c>
      <c r="K51">
        <v>3</v>
      </c>
    </row>
    <row r="52" spans="1:11" x14ac:dyDescent="0.25">
      <c r="A52">
        <v>3697935</v>
      </c>
      <c r="B52" s="1">
        <v>42919</v>
      </c>
      <c r="C52" s="2">
        <v>0.49054398148148148</v>
      </c>
      <c r="D52" s="2">
        <v>0.49251157407407409</v>
      </c>
      <c r="G52" s="4">
        <v>1302842</v>
      </c>
      <c r="H52">
        <v>1</v>
      </c>
      <c r="J52">
        <v>5107477025</v>
      </c>
      <c r="K52">
        <v>3</v>
      </c>
    </row>
    <row r="53" spans="1:11" x14ac:dyDescent="0.25">
      <c r="A53">
        <v>2668991</v>
      </c>
      <c r="B53" s="1">
        <v>42919</v>
      </c>
      <c r="C53" s="2">
        <v>0.49284722222222221</v>
      </c>
      <c r="D53" s="2">
        <v>0.50354166666666667</v>
      </c>
      <c r="G53" s="4">
        <v>1309359</v>
      </c>
      <c r="H53">
        <v>1</v>
      </c>
      <c r="J53">
        <v>9007177570</v>
      </c>
      <c r="K53">
        <v>3</v>
      </c>
    </row>
    <row r="54" spans="1:11" x14ac:dyDescent="0.25">
      <c r="A54">
        <v>3520189</v>
      </c>
      <c r="B54" s="1">
        <v>42919</v>
      </c>
      <c r="C54" s="2">
        <v>0.49862268518518521</v>
      </c>
      <c r="D54" s="2">
        <v>0.50287037037037041</v>
      </c>
      <c r="G54" s="4">
        <v>1316116</v>
      </c>
      <c r="H54">
        <v>1</v>
      </c>
      <c r="J54">
        <v>1081610</v>
      </c>
      <c r="K54">
        <v>2</v>
      </c>
    </row>
    <row r="55" spans="1:11" x14ac:dyDescent="0.25">
      <c r="A55">
        <v>4546455</v>
      </c>
      <c r="B55" s="1">
        <v>42919</v>
      </c>
      <c r="C55" s="2">
        <v>0.50089120370370366</v>
      </c>
      <c r="D55" s="2">
        <v>0.50876157407407407</v>
      </c>
      <c r="G55" s="4">
        <v>1319121</v>
      </c>
      <c r="H55">
        <v>1</v>
      </c>
      <c r="J55">
        <v>1117628</v>
      </c>
      <c r="K55">
        <v>2</v>
      </c>
    </row>
    <row r="56" spans="1:11" x14ac:dyDescent="0.25">
      <c r="A56">
        <v>3897347</v>
      </c>
      <c r="B56" s="1">
        <v>42919</v>
      </c>
      <c r="C56" s="2">
        <v>0.50549768518518523</v>
      </c>
      <c r="D56" s="2">
        <v>0.5100231481481482</v>
      </c>
      <c r="G56" s="4">
        <v>1331802</v>
      </c>
      <c r="H56">
        <v>1</v>
      </c>
      <c r="J56">
        <v>1207918</v>
      </c>
      <c r="K56">
        <v>2</v>
      </c>
    </row>
    <row r="57" spans="1:11" x14ac:dyDescent="0.25">
      <c r="A57">
        <v>1867016</v>
      </c>
      <c r="B57" s="1">
        <v>42919</v>
      </c>
      <c r="C57" s="2">
        <v>0.50910879629629635</v>
      </c>
      <c r="D57" s="2">
        <v>0.50930555555555557</v>
      </c>
      <c r="G57" s="4">
        <v>1332513</v>
      </c>
      <c r="H57">
        <v>1</v>
      </c>
      <c r="J57">
        <v>1247125</v>
      </c>
      <c r="K57">
        <v>2</v>
      </c>
    </row>
    <row r="58" spans="1:11" x14ac:dyDescent="0.25">
      <c r="A58">
        <v>96949751</v>
      </c>
      <c r="B58" s="1">
        <v>42919</v>
      </c>
      <c r="C58" s="2">
        <v>0.51262731481481483</v>
      </c>
      <c r="D58" s="2">
        <v>0.5142592592592593</v>
      </c>
      <c r="G58" s="4">
        <v>1332884</v>
      </c>
      <c r="H58">
        <v>1</v>
      </c>
      <c r="J58">
        <v>1467591</v>
      </c>
      <c r="K58">
        <v>2</v>
      </c>
    </row>
    <row r="59" spans="1:11" x14ac:dyDescent="0.25">
      <c r="A59">
        <v>81613163</v>
      </c>
      <c r="B59" s="1">
        <v>42919</v>
      </c>
      <c r="C59" s="2">
        <v>0.5175925925925926</v>
      </c>
      <c r="D59" s="2">
        <v>0.52021990740740742</v>
      </c>
      <c r="G59" s="4">
        <v>1337042</v>
      </c>
      <c r="H59">
        <v>1</v>
      </c>
      <c r="J59">
        <v>1579531</v>
      </c>
      <c r="K59">
        <v>2</v>
      </c>
    </row>
    <row r="60" spans="1:11" x14ac:dyDescent="0.25">
      <c r="A60">
        <v>4250194</v>
      </c>
      <c r="B60" s="1">
        <v>42919</v>
      </c>
      <c r="C60" s="2">
        <v>0.52217592592592588</v>
      </c>
      <c r="D60" s="2">
        <v>0.52918981481481486</v>
      </c>
      <c r="G60" s="4">
        <v>1340323</v>
      </c>
      <c r="H60">
        <v>1</v>
      </c>
      <c r="J60">
        <v>1583683</v>
      </c>
      <c r="K60">
        <v>2</v>
      </c>
    </row>
    <row r="61" spans="1:11" x14ac:dyDescent="0.25">
      <c r="A61">
        <v>6050344</v>
      </c>
      <c r="B61" s="1">
        <v>42919</v>
      </c>
      <c r="C61" s="2">
        <v>0.52444444444444449</v>
      </c>
      <c r="D61" s="2">
        <v>0.52681712962962968</v>
      </c>
      <c r="G61" s="4">
        <v>1345591</v>
      </c>
      <c r="H61">
        <v>1</v>
      </c>
      <c r="J61">
        <v>1617146</v>
      </c>
      <c r="K61">
        <v>2</v>
      </c>
    </row>
    <row r="62" spans="1:11" x14ac:dyDescent="0.25">
      <c r="A62">
        <v>4546455</v>
      </c>
      <c r="B62" s="1">
        <v>42919</v>
      </c>
      <c r="C62" s="2">
        <v>0.5258680555555556</v>
      </c>
      <c r="D62" s="2">
        <v>0.53531249999999997</v>
      </c>
      <c r="G62" s="4">
        <v>1355775</v>
      </c>
      <c r="H62">
        <v>1</v>
      </c>
      <c r="J62">
        <v>1661633</v>
      </c>
      <c r="K62">
        <v>2</v>
      </c>
    </row>
    <row r="63" spans="1:11" x14ac:dyDescent="0.25">
      <c r="A63">
        <v>7727942</v>
      </c>
      <c r="B63" s="1">
        <v>42919</v>
      </c>
      <c r="C63" s="2">
        <v>0.53013888888888894</v>
      </c>
      <c r="D63" s="2">
        <v>0.53707175925925921</v>
      </c>
      <c r="G63" s="4">
        <v>1365581</v>
      </c>
      <c r="H63">
        <v>1</v>
      </c>
      <c r="J63">
        <v>1775586</v>
      </c>
      <c r="K63">
        <v>2</v>
      </c>
    </row>
    <row r="64" spans="1:11" x14ac:dyDescent="0.25">
      <c r="A64">
        <v>8249721</v>
      </c>
      <c r="B64" s="1">
        <v>42919</v>
      </c>
      <c r="C64" s="2">
        <v>0.53486111111111112</v>
      </c>
      <c r="D64" s="2">
        <v>0.53756944444444443</v>
      </c>
      <c r="G64" s="4">
        <v>1384299</v>
      </c>
      <c r="H64">
        <v>1</v>
      </c>
      <c r="J64">
        <v>1787732</v>
      </c>
      <c r="K64">
        <v>2</v>
      </c>
    </row>
    <row r="65" spans="1:11" x14ac:dyDescent="0.25">
      <c r="A65">
        <v>6894270</v>
      </c>
      <c r="B65" s="1">
        <v>42919</v>
      </c>
      <c r="C65" s="2">
        <v>0.53488425925925931</v>
      </c>
      <c r="D65" s="2">
        <v>0.53523148148148147</v>
      </c>
      <c r="G65" s="4">
        <v>1390402</v>
      </c>
      <c r="H65">
        <v>1</v>
      </c>
      <c r="J65">
        <v>1887758</v>
      </c>
      <c r="K65">
        <v>2</v>
      </c>
    </row>
    <row r="66" spans="1:11" x14ac:dyDescent="0.25">
      <c r="A66">
        <v>3095218</v>
      </c>
      <c r="B66" s="1">
        <v>42919</v>
      </c>
      <c r="C66" s="2">
        <v>0.5358680555555555</v>
      </c>
      <c r="D66" s="2">
        <v>0.54329861111111111</v>
      </c>
      <c r="G66" s="4">
        <v>1391272</v>
      </c>
      <c r="H66">
        <v>1</v>
      </c>
      <c r="J66">
        <v>1926053</v>
      </c>
      <c r="K66">
        <v>2</v>
      </c>
    </row>
    <row r="67" spans="1:11" x14ac:dyDescent="0.25">
      <c r="A67">
        <v>45081794</v>
      </c>
      <c r="B67" s="1">
        <v>42919</v>
      </c>
      <c r="C67" s="2">
        <v>0.54016203703703702</v>
      </c>
      <c r="D67" s="2">
        <v>0.54297453703703702</v>
      </c>
      <c r="G67" s="4">
        <v>1405478</v>
      </c>
      <c r="H67">
        <v>1</v>
      </c>
      <c r="J67">
        <v>2005653</v>
      </c>
      <c r="K67">
        <v>2</v>
      </c>
    </row>
    <row r="68" spans="1:11" x14ac:dyDescent="0.25">
      <c r="A68">
        <v>3533271</v>
      </c>
      <c r="B68" s="1">
        <v>42919</v>
      </c>
      <c r="C68" s="2">
        <v>0.54280092592592588</v>
      </c>
      <c r="D68" s="2">
        <v>0.54478009259259264</v>
      </c>
      <c r="G68" s="4">
        <v>1409543</v>
      </c>
      <c r="H68">
        <v>1</v>
      </c>
      <c r="J68">
        <v>2304726</v>
      </c>
      <c r="K68">
        <v>2</v>
      </c>
    </row>
    <row r="69" spans="1:11" x14ac:dyDescent="0.25">
      <c r="A69">
        <v>7415603</v>
      </c>
      <c r="B69" s="1">
        <v>42919</v>
      </c>
      <c r="C69" s="2">
        <v>0.54848379629629629</v>
      </c>
      <c r="D69" s="2">
        <v>0.5578819444444445</v>
      </c>
      <c r="G69" s="4">
        <v>1415198</v>
      </c>
      <c r="H69">
        <v>1</v>
      </c>
      <c r="J69">
        <v>2506618</v>
      </c>
      <c r="K69">
        <v>2</v>
      </c>
    </row>
    <row r="70" spans="1:11" x14ac:dyDescent="0.25">
      <c r="A70">
        <v>9088452</v>
      </c>
      <c r="B70" s="1">
        <v>42919</v>
      </c>
      <c r="C70" s="2">
        <v>0.55283564814814812</v>
      </c>
      <c r="D70" s="2">
        <v>0.55756944444444445</v>
      </c>
      <c r="G70" s="4">
        <v>1418351</v>
      </c>
      <c r="H70">
        <v>1</v>
      </c>
      <c r="J70">
        <v>2619219</v>
      </c>
      <c r="K70">
        <v>2</v>
      </c>
    </row>
    <row r="71" spans="1:11" x14ac:dyDescent="0.25">
      <c r="A71">
        <v>3379401</v>
      </c>
      <c r="B71" s="1">
        <v>42919</v>
      </c>
      <c r="C71" s="2">
        <v>0.55576388888888884</v>
      </c>
      <c r="D71" s="2">
        <v>0.56342592592592589</v>
      </c>
      <c r="G71" s="4">
        <v>1431491</v>
      </c>
      <c r="H71">
        <v>1</v>
      </c>
      <c r="J71">
        <v>2668991</v>
      </c>
      <c r="K71">
        <v>2</v>
      </c>
    </row>
    <row r="72" spans="1:11" x14ac:dyDescent="0.25">
      <c r="A72">
        <v>73350537</v>
      </c>
      <c r="B72" s="1">
        <v>42919</v>
      </c>
      <c r="C72" s="2">
        <v>0.55722222222222217</v>
      </c>
      <c r="D72" s="2">
        <v>0.55787037037037035</v>
      </c>
      <c r="G72" s="4">
        <v>1435049</v>
      </c>
      <c r="H72">
        <v>1</v>
      </c>
      <c r="J72">
        <v>2722706</v>
      </c>
      <c r="K72">
        <v>2</v>
      </c>
    </row>
    <row r="73" spans="1:11" x14ac:dyDescent="0.25">
      <c r="A73">
        <v>83707586</v>
      </c>
      <c r="B73" s="1">
        <v>42919</v>
      </c>
      <c r="C73" s="2">
        <v>0.55803240740740745</v>
      </c>
      <c r="D73" s="2">
        <v>0.56174768518518514</v>
      </c>
      <c r="G73" s="4">
        <v>1439114</v>
      </c>
      <c r="H73">
        <v>1</v>
      </c>
      <c r="J73">
        <v>2781512</v>
      </c>
      <c r="K73">
        <v>2</v>
      </c>
    </row>
    <row r="74" spans="1:11" x14ac:dyDescent="0.25">
      <c r="A74">
        <v>5107477025</v>
      </c>
      <c r="B74" s="1">
        <v>42919</v>
      </c>
      <c r="C74" s="2">
        <v>0.55888888888888888</v>
      </c>
      <c r="D74" s="2">
        <v>0.56745370370370374</v>
      </c>
      <c r="G74" s="4">
        <v>1451455</v>
      </c>
      <c r="H74">
        <v>1</v>
      </c>
      <c r="J74">
        <v>2790475</v>
      </c>
      <c r="K74">
        <v>2</v>
      </c>
    </row>
    <row r="75" spans="1:11" x14ac:dyDescent="0.25">
      <c r="A75">
        <v>1480206</v>
      </c>
      <c r="B75" s="1">
        <v>42919</v>
      </c>
      <c r="C75" s="2">
        <v>0.5645486111111111</v>
      </c>
      <c r="D75" s="2">
        <v>0.56458333333333333</v>
      </c>
      <c r="G75" s="4">
        <v>1454555</v>
      </c>
      <c r="H75">
        <v>1</v>
      </c>
      <c r="J75">
        <v>2861766</v>
      </c>
      <c r="K75">
        <v>2</v>
      </c>
    </row>
    <row r="76" spans="1:11" x14ac:dyDescent="0.25">
      <c r="A76">
        <v>3095218</v>
      </c>
      <c r="B76" s="1">
        <v>42919</v>
      </c>
      <c r="C76" s="2">
        <v>0.56555555555555559</v>
      </c>
      <c r="D76" s="2">
        <v>0.56557870370370367</v>
      </c>
      <c r="G76" s="4">
        <v>1457083</v>
      </c>
      <c r="H76">
        <v>1</v>
      </c>
      <c r="J76">
        <v>2915745</v>
      </c>
      <c r="K76">
        <v>2</v>
      </c>
    </row>
    <row r="77" spans="1:11" x14ac:dyDescent="0.25">
      <c r="A77">
        <v>2028923</v>
      </c>
      <c r="B77" s="1">
        <v>42919</v>
      </c>
      <c r="C77" s="2">
        <v>0.56800925925925927</v>
      </c>
      <c r="D77" s="2">
        <v>0.57093749999999999</v>
      </c>
      <c r="G77" s="4">
        <v>1458287</v>
      </c>
      <c r="H77">
        <v>1</v>
      </c>
      <c r="J77">
        <v>2947889</v>
      </c>
      <c r="K77">
        <v>2</v>
      </c>
    </row>
    <row r="78" spans="1:11" x14ac:dyDescent="0.25">
      <c r="A78">
        <v>81880891</v>
      </c>
      <c r="B78" s="1">
        <v>42919</v>
      </c>
      <c r="C78" s="2">
        <v>0.57141203703703702</v>
      </c>
      <c r="D78" s="2">
        <v>0.57547453703703699</v>
      </c>
      <c r="G78" s="4">
        <v>1462418</v>
      </c>
      <c r="H78">
        <v>1</v>
      </c>
      <c r="J78">
        <v>3086185</v>
      </c>
      <c r="K78">
        <v>2</v>
      </c>
    </row>
    <row r="79" spans="1:11" x14ac:dyDescent="0.25">
      <c r="A79">
        <v>4274149</v>
      </c>
      <c r="B79" s="1">
        <v>42919</v>
      </c>
      <c r="C79" s="2">
        <v>0.5717592592592593</v>
      </c>
      <c r="D79" s="2">
        <v>0.58065972222222217</v>
      </c>
      <c r="G79" s="4">
        <v>1467591</v>
      </c>
      <c r="H79">
        <v>2</v>
      </c>
      <c r="J79">
        <v>3131883</v>
      </c>
      <c r="K79">
        <v>2</v>
      </c>
    </row>
    <row r="80" spans="1:11" x14ac:dyDescent="0.25">
      <c r="A80">
        <v>3505978</v>
      </c>
      <c r="B80" s="1">
        <v>42919</v>
      </c>
      <c r="C80" s="2">
        <v>0.57642361111111107</v>
      </c>
      <c r="D80" s="2">
        <v>0.5799305555555555</v>
      </c>
      <c r="G80" s="4">
        <v>1469705</v>
      </c>
      <c r="H80">
        <v>1</v>
      </c>
      <c r="J80">
        <v>3150344</v>
      </c>
      <c r="K80">
        <v>2</v>
      </c>
    </row>
    <row r="81" spans="1:11" x14ac:dyDescent="0.25">
      <c r="A81">
        <v>8504601</v>
      </c>
      <c r="B81" s="1">
        <v>42919</v>
      </c>
      <c r="C81" s="2">
        <v>0.57958333333333334</v>
      </c>
      <c r="D81" s="2">
        <v>0.58056712962962964</v>
      </c>
      <c r="G81" s="4">
        <v>1472253</v>
      </c>
      <c r="H81">
        <v>1</v>
      </c>
      <c r="J81">
        <v>3379401</v>
      </c>
      <c r="K81">
        <v>2</v>
      </c>
    </row>
    <row r="82" spans="1:11" x14ac:dyDescent="0.25">
      <c r="A82">
        <v>8214927</v>
      </c>
      <c r="B82" s="1">
        <v>42919</v>
      </c>
      <c r="C82" s="2">
        <v>0.5819212962962963</v>
      </c>
      <c r="D82" s="2">
        <v>0.59106481481481477</v>
      </c>
      <c r="G82" s="4">
        <v>1472682</v>
      </c>
      <c r="H82">
        <v>1</v>
      </c>
      <c r="J82">
        <v>3407358</v>
      </c>
      <c r="K82">
        <v>2</v>
      </c>
    </row>
    <row r="83" spans="1:11" x14ac:dyDescent="0.25">
      <c r="A83">
        <v>5913547</v>
      </c>
      <c r="B83" s="1">
        <v>42919</v>
      </c>
      <c r="C83" s="2">
        <v>0.58414351851851853</v>
      </c>
      <c r="D83" s="2">
        <v>0.5861574074074074</v>
      </c>
      <c r="G83" s="4">
        <v>1475008</v>
      </c>
      <c r="H83">
        <v>1</v>
      </c>
      <c r="J83">
        <v>3478173</v>
      </c>
      <c r="K83">
        <v>2</v>
      </c>
    </row>
    <row r="84" spans="1:11" x14ac:dyDescent="0.25">
      <c r="A84">
        <v>3505978</v>
      </c>
      <c r="B84" s="1">
        <v>42919</v>
      </c>
      <c r="C84" s="2">
        <v>0.58699074074074076</v>
      </c>
      <c r="D84" s="2">
        <v>0.59060185185185188</v>
      </c>
      <c r="G84" s="4">
        <v>1475165</v>
      </c>
      <c r="H84">
        <v>1</v>
      </c>
      <c r="J84">
        <v>3624713</v>
      </c>
      <c r="K84">
        <v>2</v>
      </c>
    </row>
    <row r="85" spans="1:11" x14ac:dyDescent="0.25">
      <c r="A85">
        <v>14783929</v>
      </c>
      <c r="B85" s="1">
        <v>42919</v>
      </c>
      <c r="C85" s="2">
        <v>0.5902546296296296</v>
      </c>
      <c r="D85" s="2">
        <v>0.59516203703703707</v>
      </c>
      <c r="G85" s="4">
        <v>1480206</v>
      </c>
      <c r="H85">
        <v>1</v>
      </c>
      <c r="J85">
        <v>3656681</v>
      </c>
      <c r="K85">
        <v>2</v>
      </c>
    </row>
    <row r="86" spans="1:11" x14ac:dyDescent="0.25">
      <c r="A86">
        <v>2915745</v>
      </c>
      <c r="B86" s="1">
        <v>42919</v>
      </c>
      <c r="C86" s="2">
        <v>0.59324074074074074</v>
      </c>
      <c r="D86" s="2">
        <v>0.6029282407407407</v>
      </c>
      <c r="G86" s="4">
        <v>1482340</v>
      </c>
      <c r="H86">
        <v>1</v>
      </c>
      <c r="J86">
        <v>3785540</v>
      </c>
      <c r="K86">
        <v>2</v>
      </c>
    </row>
    <row r="87" spans="1:11" x14ac:dyDescent="0.25">
      <c r="A87">
        <v>1100142</v>
      </c>
      <c r="B87" s="1">
        <v>42919</v>
      </c>
      <c r="C87" s="2">
        <v>0.59710648148148149</v>
      </c>
      <c r="D87" s="2">
        <v>0.6003356481481481</v>
      </c>
      <c r="G87" s="4">
        <v>1488369</v>
      </c>
      <c r="H87">
        <v>3</v>
      </c>
      <c r="J87">
        <v>3824371</v>
      </c>
      <c r="K87">
        <v>2</v>
      </c>
    </row>
    <row r="88" spans="1:11" x14ac:dyDescent="0.25">
      <c r="A88">
        <v>7795911</v>
      </c>
      <c r="B88" s="1">
        <v>42919</v>
      </c>
      <c r="C88" s="2">
        <v>0.60196759259259258</v>
      </c>
      <c r="D88" s="2">
        <v>0.61259259259259258</v>
      </c>
      <c r="G88" s="4">
        <v>1500342</v>
      </c>
      <c r="H88">
        <v>1</v>
      </c>
      <c r="J88">
        <v>3858766</v>
      </c>
      <c r="K88">
        <v>2</v>
      </c>
    </row>
    <row r="89" spans="1:11" x14ac:dyDescent="0.25">
      <c r="A89">
        <v>1709455</v>
      </c>
      <c r="B89" s="1">
        <v>42919</v>
      </c>
      <c r="C89" s="2">
        <v>0.60313657407407406</v>
      </c>
      <c r="D89" s="2">
        <v>0.60765046296296299</v>
      </c>
      <c r="G89" s="4">
        <v>1507196</v>
      </c>
      <c r="H89">
        <v>1</v>
      </c>
      <c r="J89">
        <v>3984696</v>
      </c>
      <c r="K89">
        <v>2</v>
      </c>
    </row>
    <row r="90" spans="1:11" x14ac:dyDescent="0.25">
      <c r="A90">
        <v>54586484</v>
      </c>
      <c r="B90" s="1">
        <v>42919</v>
      </c>
      <c r="C90" s="2">
        <v>0.60753472222222227</v>
      </c>
      <c r="D90" s="2">
        <v>0.61120370370370369</v>
      </c>
      <c r="G90" s="4">
        <v>1508356</v>
      </c>
      <c r="H90">
        <v>1</v>
      </c>
      <c r="J90">
        <v>4039284</v>
      </c>
      <c r="K90">
        <v>2</v>
      </c>
    </row>
    <row r="91" spans="1:11" x14ac:dyDescent="0.25">
      <c r="A91">
        <v>6674505</v>
      </c>
      <c r="B91" s="1">
        <v>42919</v>
      </c>
      <c r="C91" s="2">
        <v>0.61243055555555559</v>
      </c>
      <c r="D91" s="2">
        <v>0.62267361111111108</v>
      </c>
      <c r="G91" s="4">
        <v>1519891</v>
      </c>
      <c r="H91">
        <v>1</v>
      </c>
      <c r="J91">
        <v>4111617</v>
      </c>
      <c r="K91">
        <v>2</v>
      </c>
    </row>
    <row r="92" spans="1:11" x14ac:dyDescent="0.25">
      <c r="A92">
        <v>6920814</v>
      </c>
      <c r="B92" s="1">
        <v>42919</v>
      </c>
      <c r="C92" s="2">
        <v>0.6141550925925926</v>
      </c>
      <c r="D92" s="2">
        <v>0.61440972222222223</v>
      </c>
      <c r="G92" s="4">
        <v>1531672</v>
      </c>
      <c r="H92">
        <v>1</v>
      </c>
      <c r="J92">
        <v>4131448</v>
      </c>
      <c r="K92">
        <v>2</v>
      </c>
    </row>
    <row r="93" spans="1:11" x14ac:dyDescent="0.25">
      <c r="A93">
        <v>6161675</v>
      </c>
      <c r="B93" s="1">
        <v>42919</v>
      </c>
      <c r="C93" s="2">
        <v>0.61449074074074073</v>
      </c>
      <c r="D93" s="2">
        <v>0.62415509259259261</v>
      </c>
      <c r="G93" s="4">
        <v>1552302</v>
      </c>
      <c r="H93">
        <v>1</v>
      </c>
      <c r="J93">
        <v>4154521</v>
      </c>
      <c r="K93">
        <v>2</v>
      </c>
    </row>
    <row r="94" spans="1:11" x14ac:dyDescent="0.25">
      <c r="A94">
        <v>8498076</v>
      </c>
      <c r="B94" s="1">
        <v>42919</v>
      </c>
      <c r="C94" s="2">
        <v>0.61523148148148143</v>
      </c>
      <c r="D94" s="2">
        <v>0.62223379629629627</v>
      </c>
      <c r="G94" s="4">
        <v>1552877</v>
      </c>
      <c r="H94">
        <v>1</v>
      </c>
      <c r="J94">
        <v>4212838</v>
      </c>
      <c r="K94">
        <v>2</v>
      </c>
    </row>
    <row r="95" spans="1:11" x14ac:dyDescent="0.25">
      <c r="A95">
        <v>4174785</v>
      </c>
      <c r="B95" s="1">
        <v>42919</v>
      </c>
      <c r="C95" s="2">
        <v>0.61624999999999996</v>
      </c>
      <c r="D95" s="2">
        <v>0.62702546296296291</v>
      </c>
      <c r="G95" s="4">
        <v>1563816</v>
      </c>
      <c r="H95">
        <v>1</v>
      </c>
      <c r="J95">
        <v>4250194</v>
      </c>
      <c r="K95">
        <v>2</v>
      </c>
    </row>
    <row r="96" spans="1:11" x14ac:dyDescent="0.25">
      <c r="A96">
        <v>3776937</v>
      </c>
      <c r="B96" s="1">
        <v>42919</v>
      </c>
      <c r="C96" s="2">
        <v>0.61767361111111108</v>
      </c>
      <c r="D96" s="2">
        <v>0.6234143518518519</v>
      </c>
      <c r="G96" s="4">
        <v>1579531</v>
      </c>
      <c r="H96">
        <v>2</v>
      </c>
      <c r="J96">
        <v>4264808</v>
      </c>
      <c r="K96">
        <v>2</v>
      </c>
    </row>
    <row r="97" spans="1:11" x14ac:dyDescent="0.25">
      <c r="A97">
        <v>2636055</v>
      </c>
      <c r="B97" s="1">
        <v>42919</v>
      </c>
      <c r="C97" s="2">
        <v>0.62174768518518519</v>
      </c>
      <c r="D97" s="2">
        <v>0.62206018518518513</v>
      </c>
      <c r="G97" s="4">
        <v>1583683</v>
      </c>
      <c r="H97">
        <v>2</v>
      </c>
      <c r="J97">
        <v>4469748</v>
      </c>
      <c r="K97">
        <v>2</v>
      </c>
    </row>
    <row r="98" spans="1:11" x14ac:dyDescent="0.25">
      <c r="A98">
        <v>4555937</v>
      </c>
      <c r="B98" s="1">
        <v>42919</v>
      </c>
      <c r="C98" s="2">
        <v>0.62645833333333334</v>
      </c>
      <c r="D98" s="2">
        <v>0.63792824074074073</v>
      </c>
      <c r="G98" s="4">
        <v>1586675</v>
      </c>
      <c r="H98">
        <v>1</v>
      </c>
      <c r="J98">
        <v>4471203</v>
      </c>
      <c r="K98">
        <v>2</v>
      </c>
    </row>
    <row r="99" spans="1:11" x14ac:dyDescent="0.25">
      <c r="A99">
        <v>80306197</v>
      </c>
      <c r="B99" s="1">
        <v>42920</v>
      </c>
      <c r="C99" s="2">
        <v>0.33644675925925926</v>
      </c>
      <c r="D99" s="2">
        <v>0.33884259259259258</v>
      </c>
      <c r="G99" s="4">
        <v>1588418</v>
      </c>
      <c r="H99">
        <v>1</v>
      </c>
      <c r="J99">
        <v>4473835</v>
      </c>
      <c r="K99">
        <v>2</v>
      </c>
    </row>
    <row r="100" spans="1:11" x14ac:dyDescent="0.25">
      <c r="A100">
        <v>99162491</v>
      </c>
      <c r="B100" s="1">
        <v>42920</v>
      </c>
      <c r="C100" s="2">
        <v>0.33944444444444444</v>
      </c>
      <c r="D100" s="2">
        <v>0.35085648148148146</v>
      </c>
      <c r="G100" s="4">
        <v>1592822</v>
      </c>
      <c r="H100">
        <v>1</v>
      </c>
      <c r="J100">
        <v>4505950</v>
      </c>
      <c r="K100">
        <v>2</v>
      </c>
    </row>
    <row r="101" spans="1:11" x14ac:dyDescent="0.25">
      <c r="A101">
        <v>2109147679</v>
      </c>
      <c r="B101" s="1">
        <v>42920</v>
      </c>
      <c r="C101" s="2">
        <v>0.34505787037037039</v>
      </c>
      <c r="D101" s="2">
        <v>0.35395833333333332</v>
      </c>
      <c r="G101" s="4">
        <v>1607422</v>
      </c>
      <c r="H101">
        <v>1</v>
      </c>
      <c r="J101">
        <v>4623731</v>
      </c>
      <c r="K101">
        <v>2</v>
      </c>
    </row>
    <row r="102" spans="1:11" x14ac:dyDescent="0.25">
      <c r="A102">
        <v>9422310</v>
      </c>
      <c r="B102" s="1">
        <v>42920</v>
      </c>
      <c r="C102" s="2">
        <v>0.35071759259259261</v>
      </c>
      <c r="D102" s="2">
        <v>0.36206018518518518</v>
      </c>
      <c r="G102" s="4">
        <v>1611389</v>
      </c>
      <c r="H102">
        <v>1</v>
      </c>
      <c r="J102">
        <v>4653709</v>
      </c>
      <c r="K102">
        <v>2</v>
      </c>
    </row>
    <row r="103" spans="1:11" x14ac:dyDescent="0.25">
      <c r="A103">
        <v>20679187</v>
      </c>
      <c r="B103" s="1">
        <v>42920</v>
      </c>
      <c r="C103" s="2">
        <v>0.35372685185185188</v>
      </c>
      <c r="D103" s="2">
        <v>0.3595949074074074</v>
      </c>
      <c r="G103" s="4">
        <v>1616328</v>
      </c>
      <c r="H103">
        <v>1</v>
      </c>
      <c r="J103">
        <v>4738129</v>
      </c>
      <c r="K103">
        <v>2</v>
      </c>
    </row>
    <row r="104" spans="1:11" x14ac:dyDescent="0.25">
      <c r="A104">
        <v>6087997</v>
      </c>
      <c r="B104" s="1">
        <v>42920</v>
      </c>
      <c r="C104" s="2">
        <v>0.35653935185185187</v>
      </c>
      <c r="D104" s="2">
        <v>0.36062499999999997</v>
      </c>
      <c r="G104" s="4">
        <v>1617146</v>
      </c>
      <c r="H104">
        <v>2</v>
      </c>
      <c r="J104">
        <v>4804872</v>
      </c>
      <c r="K104">
        <v>2</v>
      </c>
    </row>
    <row r="105" spans="1:11" x14ac:dyDescent="0.25">
      <c r="A105">
        <v>20679187</v>
      </c>
      <c r="B105" s="1">
        <v>42920</v>
      </c>
      <c r="C105" s="2">
        <v>0.35850694444444442</v>
      </c>
      <c r="D105" s="2">
        <v>0.36371527777777779</v>
      </c>
      <c r="G105" s="4">
        <v>1626862</v>
      </c>
      <c r="H105">
        <v>1</v>
      </c>
      <c r="J105">
        <v>4963499</v>
      </c>
      <c r="K105">
        <v>2</v>
      </c>
    </row>
    <row r="106" spans="1:11" x14ac:dyDescent="0.25">
      <c r="A106">
        <v>5253133</v>
      </c>
      <c r="B106" s="1">
        <v>42920</v>
      </c>
      <c r="C106" s="2">
        <v>0.35986111111111113</v>
      </c>
      <c r="D106" s="2">
        <v>0.36961805555555555</v>
      </c>
      <c r="G106" s="4">
        <v>1639829</v>
      </c>
      <c r="H106">
        <v>1</v>
      </c>
      <c r="J106">
        <v>5131341</v>
      </c>
      <c r="K106">
        <v>2</v>
      </c>
    </row>
    <row r="107" spans="1:11" x14ac:dyDescent="0.25">
      <c r="A107">
        <v>96949751</v>
      </c>
      <c r="B107" s="1">
        <v>42920</v>
      </c>
      <c r="C107" s="2">
        <v>0.36465277777777777</v>
      </c>
      <c r="D107" s="2">
        <v>0.36525462962962962</v>
      </c>
      <c r="G107" s="4">
        <v>1640140</v>
      </c>
      <c r="H107">
        <v>1</v>
      </c>
      <c r="J107">
        <v>5147651</v>
      </c>
      <c r="K107">
        <v>2</v>
      </c>
    </row>
    <row r="108" spans="1:11" x14ac:dyDescent="0.25">
      <c r="A108">
        <v>1508356</v>
      </c>
      <c r="B108" s="1">
        <v>42920</v>
      </c>
      <c r="C108" s="2">
        <v>0.37013888888888891</v>
      </c>
      <c r="D108" s="2">
        <v>0.38033564814814813</v>
      </c>
      <c r="G108" s="4">
        <v>1640513</v>
      </c>
      <c r="H108">
        <v>1</v>
      </c>
      <c r="J108">
        <v>5223970</v>
      </c>
      <c r="K108">
        <v>2</v>
      </c>
    </row>
    <row r="109" spans="1:11" x14ac:dyDescent="0.25">
      <c r="A109">
        <v>9171025</v>
      </c>
      <c r="B109" s="1">
        <v>42920</v>
      </c>
      <c r="C109" s="2">
        <v>0.37292824074074077</v>
      </c>
      <c r="D109" s="2">
        <v>0.38390046296296299</v>
      </c>
      <c r="G109" s="4">
        <v>1649912</v>
      </c>
      <c r="H109">
        <v>1</v>
      </c>
      <c r="J109">
        <v>5231877</v>
      </c>
      <c r="K109">
        <v>2</v>
      </c>
    </row>
    <row r="110" spans="1:11" x14ac:dyDescent="0.25">
      <c r="A110">
        <v>7191598</v>
      </c>
      <c r="B110" s="1">
        <v>42920</v>
      </c>
      <c r="C110" s="2">
        <v>0.37559027777777776</v>
      </c>
      <c r="D110" s="2">
        <v>0.37986111111111109</v>
      </c>
      <c r="G110" s="4">
        <v>1659814</v>
      </c>
      <c r="H110">
        <v>1</v>
      </c>
      <c r="J110">
        <v>5277660</v>
      </c>
      <c r="K110">
        <v>2</v>
      </c>
    </row>
    <row r="111" spans="1:11" x14ac:dyDescent="0.25">
      <c r="A111">
        <v>3505978</v>
      </c>
      <c r="B111" s="1">
        <v>42920</v>
      </c>
      <c r="C111" s="2">
        <v>0.37769675925925927</v>
      </c>
      <c r="D111" s="2">
        <v>0.38211805555555556</v>
      </c>
      <c r="G111" s="4">
        <v>1661633</v>
      </c>
      <c r="H111">
        <v>2</v>
      </c>
      <c r="J111">
        <v>5492379</v>
      </c>
      <c r="K111">
        <v>2</v>
      </c>
    </row>
    <row r="112" spans="1:11" x14ac:dyDescent="0.25">
      <c r="A112">
        <v>90533733</v>
      </c>
      <c r="B112" s="1">
        <v>42920</v>
      </c>
      <c r="C112" s="2">
        <v>0.38092592592592595</v>
      </c>
      <c r="D112" s="2">
        <v>0.38866898148148149</v>
      </c>
      <c r="G112" s="4">
        <v>1677537</v>
      </c>
      <c r="H112">
        <v>1</v>
      </c>
      <c r="J112">
        <v>5505912</v>
      </c>
      <c r="K112">
        <v>2</v>
      </c>
    </row>
    <row r="113" spans="1:11" x14ac:dyDescent="0.25">
      <c r="A113">
        <v>6859181</v>
      </c>
      <c r="B113" s="1">
        <v>42920</v>
      </c>
      <c r="C113" s="2">
        <v>0.38188657407407406</v>
      </c>
      <c r="D113" s="2">
        <v>0.38545138888888891</v>
      </c>
      <c r="G113" s="4">
        <v>1679471</v>
      </c>
      <c r="H113">
        <v>1</v>
      </c>
      <c r="J113">
        <v>5512237</v>
      </c>
      <c r="K113">
        <v>2</v>
      </c>
    </row>
    <row r="114" spans="1:11" x14ac:dyDescent="0.25">
      <c r="A114">
        <v>7207066</v>
      </c>
      <c r="B114" s="1">
        <v>42920</v>
      </c>
      <c r="C114" s="2">
        <v>0.3862962962962963</v>
      </c>
      <c r="D114" s="2">
        <v>0.3883449074074074</v>
      </c>
      <c r="G114" s="4">
        <v>1689993</v>
      </c>
      <c r="H114">
        <v>1</v>
      </c>
      <c r="J114">
        <v>5528648</v>
      </c>
      <c r="K114">
        <v>2</v>
      </c>
    </row>
    <row r="115" spans="1:11" x14ac:dyDescent="0.25">
      <c r="A115">
        <v>4230507</v>
      </c>
      <c r="B115" s="1">
        <v>42920</v>
      </c>
      <c r="C115" s="2">
        <v>0.38763888888888887</v>
      </c>
      <c r="D115" s="2">
        <v>0.39317129629629627</v>
      </c>
      <c r="G115" s="4">
        <v>1692981</v>
      </c>
      <c r="H115">
        <v>1</v>
      </c>
      <c r="J115">
        <v>5696056</v>
      </c>
      <c r="K115">
        <v>2</v>
      </c>
    </row>
    <row r="116" spans="1:11" x14ac:dyDescent="0.25">
      <c r="A116">
        <v>2915745</v>
      </c>
      <c r="B116" s="1">
        <v>42920</v>
      </c>
      <c r="C116" s="2">
        <v>0.39210648148148147</v>
      </c>
      <c r="D116" s="2">
        <v>0.39277777777777778</v>
      </c>
      <c r="G116" s="4">
        <v>1700508</v>
      </c>
      <c r="H116">
        <v>1</v>
      </c>
      <c r="J116">
        <v>5833452</v>
      </c>
      <c r="K116">
        <v>2</v>
      </c>
    </row>
    <row r="117" spans="1:11" x14ac:dyDescent="0.25">
      <c r="A117">
        <v>2235911</v>
      </c>
      <c r="B117" s="1">
        <v>42920</v>
      </c>
      <c r="C117" s="2">
        <v>0.39656249999999998</v>
      </c>
      <c r="D117" s="2">
        <v>0.40236111111111111</v>
      </c>
      <c r="G117" s="4">
        <v>1701008</v>
      </c>
      <c r="H117">
        <v>1</v>
      </c>
      <c r="J117">
        <v>6060835</v>
      </c>
      <c r="K117">
        <v>2</v>
      </c>
    </row>
    <row r="118" spans="1:11" x14ac:dyDescent="0.25">
      <c r="A118">
        <v>1611389</v>
      </c>
      <c r="B118" s="1">
        <v>42920</v>
      </c>
      <c r="C118" s="2">
        <v>0.39879629629629632</v>
      </c>
      <c r="D118" s="2">
        <v>0.41033564814814816</v>
      </c>
      <c r="G118" s="4">
        <v>1709455</v>
      </c>
      <c r="H118">
        <v>1</v>
      </c>
      <c r="J118">
        <v>6068132</v>
      </c>
      <c r="K118">
        <v>2</v>
      </c>
    </row>
    <row r="119" spans="1:11" x14ac:dyDescent="0.25">
      <c r="A119">
        <v>9052652</v>
      </c>
      <c r="B119" s="1">
        <v>42920</v>
      </c>
      <c r="C119" s="2">
        <v>0.3997337962962963</v>
      </c>
      <c r="D119" s="2">
        <v>0.40465277777777775</v>
      </c>
      <c r="G119" s="4">
        <v>1714791</v>
      </c>
      <c r="H119">
        <v>1</v>
      </c>
      <c r="J119">
        <v>6231537</v>
      </c>
      <c r="K119">
        <v>2</v>
      </c>
    </row>
    <row r="120" spans="1:11" x14ac:dyDescent="0.25">
      <c r="A120">
        <v>93611539</v>
      </c>
      <c r="B120" s="1">
        <v>42920</v>
      </c>
      <c r="C120" s="2">
        <v>0.40133101851851855</v>
      </c>
      <c r="D120" s="2">
        <v>0.40964120370370372</v>
      </c>
      <c r="G120" s="4">
        <v>1715377</v>
      </c>
      <c r="H120">
        <v>1</v>
      </c>
      <c r="J120">
        <v>6264844</v>
      </c>
      <c r="K120">
        <v>2</v>
      </c>
    </row>
    <row r="121" spans="1:11" x14ac:dyDescent="0.25">
      <c r="A121">
        <v>68966479</v>
      </c>
      <c r="B121" s="1">
        <v>42920</v>
      </c>
      <c r="C121" s="2">
        <v>0.40493055555555557</v>
      </c>
      <c r="D121" s="2">
        <v>0.40618055555555554</v>
      </c>
      <c r="G121" s="4">
        <v>1721264</v>
      </c>
      <c r="H121">
        <v>1</v>
      </c>
      <c r="J121">
        <v>6312575</v>
      </c>
      <c r="K121">
        <v>2</v>
      </c>
    </row>
    <row r="122" spans="1:11" x14ac:dyDescent="0.25">
      <c r="A122">
        <v>79381100</v>
      </c>
      <c r="B122" s="1">
        <v>42920</v>
      </c>
      <c r="C122" s="2">
        <v>0.40614583333333332</v>
      </c>
      <c r="D122" s="2">
        <v>0.41761574074074076</v>
      </c>
      <c r="G122" s="4">
        <v>1734512</v>
      </c>
      <c r="H122">
        <v>1</v>
      </c>
      <c r="J122">
        <v>6401011</v>
      </c>
      <c r="K122">
        <v>2</v>
      </c>
    </row>
    <row r="123" spans="1:11" x14ac:dyDescent="0.25">
      <c r="A123">
        <v>4697138</v>
      </c>
      <c r="B123" s="1">
        <v>42920</v>
      </c>
      <c r="C123" s="2">
        <v>0.40737268518518521</v>
      </c>
      <c r="D123" s="2">
        <v>0.4102777777777778</v>
      </c>
      <c r="G123" s="4">
        <v>1739364</v>
      </c>
      <c r="H123">
        <v>1</v>
      </c>
      <c r="J123">
        <v>6408952</v>
      </c>
      <c r="K123">
        <v>2</v>
      </c>
    </row>
    <row r="124" spans="1:11" x14ac:dyDescent="0.25">
      <c r="A124">
        <v>5786740</v>
      </c>
      <c r="B124" s="1">
        <v>42920</v>
      </c>
      <c r="C124" s="2">
        <v>0.40796296296296297</v>
      </c>
      <c r="D124" s="2">
        <v>0.41495370370370371</v>
      </c>
      <c r="G124" s="4">
        <v>1740380</v>
      </c>
      <c r="H124">
        <v>1</v>
      </c>
      <c r="J124">
        <v>6551880</v>
      </c>
      <c r="K124">
        <v>2</v>
      </c>
    </row>
    <row r="125" spans="1:11" x14ac:dyDescent="0.25">
      <c r="A125">
        <v>7727942</v>
      </c>
      <c r="B125" s="1">
        <v>42920</v>
      </c>
      <c r="C125" s="2">
        <v>0.41097222222222224</v>
      </c>
      <c r="D125" s="2">
        <v>0.41613425925925923</v>
      </c>
      <c r="G125" s="4">
        <v>1747389</v>
      </c>
      <c r="H125">
        <v>1</v>
      </c>
      <c r="J125">
        <v>6615729</v>
      </c>
      <c r="K125">
        <v>2</v>
      </c>
    </row>
    <row r="126" spans="1:11" x14ac:dyDescent="0.25">
      <c r="A126">
        <v>8384647</v>
      </c>
      <c r="B126" s="1">
        <v>42920</v>
      </c>
      <c r="C126" s="2">
        <v>0.4110300925925926</v>
      </c>
      <c r="D126" s="2">
        <v>0.42162037037037037</v>
      </c>
      <c r="G126" s="4">
        <v>1761255</v>
      </c>
      <c r="H126">
        <v>1</v>
      </c>
      <c r="J126">
        <v>6657074</v>
      </c>
      <c r="K126">
        <v>2</v>
      </c>
    </row>
    <row r="127" spans="1:11" x14ac:dyDescent="0.25">
      <c r="A127">
        <v>1858872516</v>
      </c>
      <c r="B127" s="1">
        <v>42920</v>
      </c>
      <c r="C127" s="2">
        <v>0.41510416666666666</v>
      </c>
      <c r="D127" s="2">
        <v>0.41668981481481482</v>
      </c>
      <c r="G127" s="4">
        <v>1766133</v>
      </c>
      <c r="H127">
        <v>1</v>
      </c>
      <c r="J127">
        <v>6674505</v>
      </c>
      <c r="K127">
        <v>2</v>
      </c>
    </row>
    <row r="128" spans="1:11" x14ac:dyDescent="0.25">
      <c r="A128">
        <v>4546455</v>
      </c>
      <c r="B128" s="1">
        <v>42920</v>
      </c>
      <c r="C128" s="2">
        <v>0.41912037037037037</v>
      </c>
      <c r="D128" s="2">
        <v>0.42031249999999998</v>
      </c>
      <c r="G128" s="4">
        <v>1775131</v>
      </c>
      <c r="H128">
        <v>1</v>
      </c>
      <c r="J128">
        <v>6709939</v>
      </c>
      <c r="K128">
        <v>2</v>
      </c>
    </row>
    <row r="129" spans="1:11" x14ac:dyDescent="0.25">
      <c r="A129">
        <v>2668991</v>
      </c>
      <c r="B129" s="1">
        <v>42920</v>
      </c>
      <c r="C129" s="2">
        <v>0.42249999999999999</v>
      </c>
      <c r="D129" s="2">
        <v>0.42834490740740738</v>
      </c>
      <c r="G129" s="4">
        <v>1775586</v>
      </c>
      <c r="H129">
        <v>2</v>
      </c>
      <c r="J129">
        <v>6717763</v>
      </c>
      <c r="K129">
        <v>2</v>
      </c>
    </row>
    <row r="130" spans="1:11" x14ac:dyDescent="0.25">
      <c r="A130">
        <v>5528648</v>
      </c>
      <c r="B130" s="1">
        <v>42920</v>
      </c>
      <c r="C130" s="2">
        <v>0.42591435185185184</v>
      </c>
      <c r="D130" s="2">
        <v>0.43486111111111109</v>
      </c>
      <c r="G130" s="4">
        <v>1787732</v>
      </c>
      <c r="H130">
        <v>2</v>
      </c>
      <c r="J130">
        <v>6719542</v>
      </c>
      <c r="K130">
        <v>2</v>
      </c>
    </row>
    <row r="131" spans="1:11" x14ac:dyDescent="0.25">
      <c r="A131">
        <v>2157195</v>
      </c>
      <c r="B131" s="1">
        <v>42920</v>
      </c>
      <c r="C131" s="2">
        <v>0.42942129629629627</v>
      </c>
      <c r="D131" s="2">
        <v>0.4349189814814815</v>
      </c>
      <c r="G131" s="4">
        <v>1797960</v>
      </c>
      <c r="H131">
        <v>1</v>
      </c>
      <c r="J131">
        <v>6735390</v>
      </c>
      <c r="K131">
        <v>2</v>
      </c>
    </row>
    <row r="132" spans="1:11" x14ac:dyDescent="0.25">
      <c r="A132">
        <v>7747085</v>
      </c>
      <c r="B132" s="1">
        <v>42920</v>
      </c>
      <c r="C132" s="2">
        <v>0.43247685185185186</v>
      </c>
      <c r="D132" s="2">
        <v>0.43613425925925925</v>
      </c>
      <c r="G132" s="4">
        <v>1808444</v>
      </c>
      <c r="H132">
        <v>1</v>
      </c>
      <c r="J132">
        <v>6741642</v>
      </c>
      <c r="K132">
        <v>2</v>
      </c>
    </row>
    <row r="133" spans="1:11" x14ac:dyDescent="0.25">
      <c r="A133">
        <v>6865106</v>
      </c>
      <c r="B133" s="1">
        <v>42920</v>
      </c>
      <c r="C133" s="2">
        <v>0.43741898148148151</v>
      </c>
      <c r="D133" s="2">
        <v>0.44848379629629631</v>
      </c>
      <c r="G133" s="4">
        <v>1809111</v>
      </c>
      <c r="H133">
        <v>1</v>
      </c>
      <c r="J133">
        <v>6801890</v>
      </c>
      <c r="K133">
        <v>2</v>
      </c>
    </row>
    <row r="134" spans="1:11" x14ac:dyDescent="0.25">
      <c r="A134">
        <v>8819206</v>
      </c>
      <c r="B134" s="1">
        <v>42920</v>
      </c>
      <c r="C134" s="2">
        <v>0.44068287037037035</v>
      </c>
      <c r="D134" s="2">
        <v>0.44912037037037039</v>
      </c>
      <c r="G134" s="4">
        <v>1811630</v>
      </c>
      <c r="H134">
        <v>1</v>
      </c>
      <c r="J134">
        <v>6865106</v>
      </c>
      <c r="K134">
        <v>2</v>
      </c>
    </row>
    <row r="135" spans="1:11" x14ac:dyDescent="0.25">
      <c r="A135">
        <v>3990337</v>
      </c>
      <c r="B135" s="1">
        <v>42920</v>
      </c>
      <c r="C135" s="2">
        <v>0.44158564814814816</v>
      </c>
      <c r="D135" s="2">
        <v>0.4470601851851852</v>
      </c>
      <c r="G135" s="4">
        <v>1814327</v>
      </c>
      <c r="H135">
        <v>1</v>
      </c>
      <c r="J135">
        <v>6905863</v>
      </c>
      <c r="K135">
        <v>2</v>
      </c>
    </row>
    <row r="136" spans="1:11" x14ac:dyDescent="0.25">
      <c r="A136">
        <v>4238684</v>
      </c>
      <c r="B136" s="1">
        <v>42920</v>
      </c>
      <c r="C136" s="2">
        <v>0.44466435185185182</v>
      </c>
      <c r="D136" s="2">
        <v>0.4535763888888889</v>
      </c>
      <c r="G136" s="4">
        <v>1816002</v>
      </c>
      <c r="H136">
        <v>1</v>
      </c>
      <c r="J136">
        <v>7085993</v>
      </c>
      <c r="K136">
        <v>2</v>
      </c>
    </row>
    <row r="137" spans="1:11" x14ac:dyDescent="0.25">
      <c r="A137">
        <v>86774913</v>
      </c>
      <c r="B137" s="1">
        <v>42920</v>
      </c>
      <c r="C137" s="2">
        <v>0.44548611111111114</v>
      </c>
      <c r="D137" s="2">
        <v>0.4541898148148148</v>
      </c>
      <c r="G137" s="4">
        <v>1829028</v>
      </c>
      <c r="H137">
        <v>1</v>
      </c>
      <c r="J137">
        <v>7118082</v>
      </c>
      <c r="K137">
        <v>2</v>
      </c>
    </row>
    <row r="138" spans="1:11" x14ac:dyDescent="0.25">
      <c r="A138">
        <v>93696449</v>
      </c>
      <c r="B138" s="1">
        <v>42920</v>
      </c>
      <c r="C138" s="2">
        <v>0.45063657407407409</v>
      </c>
      <c r="D138" s="2">
        <v>0.45581018518518518</v>
      </c>
      <c r="G138" s="4">
        <v>1830054</v>
      </c>
      <c r="H138">
        <v>1</v>
      </c>
      <c r="J138">
        <v>7215284</v>
      </c>
      <c r="K138">
        <v>2</v>
      </c>
    </row>
    <row r="139" spans="1:11" x14ac:dyDescent="0.25">
      <c r="A139">
        <v>1269611</v>
      </c>
      <c r="B139" s="1">
        <v>42920</v>
      </c>
      <c r="C139" s="2">
        <v>0.45596064814814813</v>
      </c>
      <c r="D139" s="2">
        <v>0.46010416666666665</v>
      </c>
      <c r="G139" s="4">
        <v>1830251</v>
      </c>
      <c r="H139">
        <v>1</v>
      </c>
      <c r="J139">
        <v>7275091</v>
      </c>
      <c r="K139">
        <v>2</v>
      </c>
    </row>
    <row r="140" spans="1:11" x14ac:dyDescent="0.25">
      <c r="A140">
        <v>4623731</v>
      </c>
      <c r="B140" s="1">
        <v>42920</v>
      </c>
      <c r="C140" s="2">
        <v>0.46053240740740742</v>
      </c>
      <c r="D140" s="2">
        <v>0.47131944444444446</v>
      </c>
      <c r="G140" s="4">
        <v>1837797</v>
      </c>
      <c r="H140">
        <v>1</v>
      </c>
      <c r="J140">
        <v>7353916</v>
      </c>
      <c r="K140">
        <v>2</v>
      </c>
    </row>
    <row r="141" spans="1:11" x14ac:dyDescent="0.25">
      <c r="A141">
        <v>4623731</v>
      </c>
      <c r="B141" s="1">
        <v>42920</v>
      </c>
      <c r="C141" s="2">
        <v>0.46423611111111113</v>
      </c>
      <c r="D141" s="2">
        <v>0.46842592592592591</v>
      </c>
      <c r="G141" s="4">
        <v>1859884</v>
      </c>
      <c r="H141">
        <v>1</v>
      </c>
      <c r="J141">
        <v>7377702</v>
      </c>
      <c r="K141">
        <v>2</v>
      </c>
    </row>
    <row r="142" spans="1:11" x14ac:dyDescent="0.25">
      <c r="A142">
        <v>3127402</v>
      </c>
      <c r="B142" s="1">
        <v>42920</v>
      </c>
      <c r="C142" s="2">
        <v>0.46861111111111109</v>
      </c>
      <c r="D142" s="2">
        <v>0.47747685185185185</v>
      </c>
      <c r="G142" s="4">
        <v>1867016</v>
      </c>
      <c r="H142">
        <v>1</v>
      </c>
      <c r="J142">
        <v>7421868</v>
      </c>
      <c r="K142">
        <v>2</v>
      </c>
    </row>
    <row r="143" spans="1:11" x14ac:dyDescent="0.25">
      <c r="A143">
        <v>1714791</v>
      </c>
      <c r="B143" s="1">
        <v>42920</v>
      </c>
      <c r="C143" s="2">
        <v>0.47230324074074076</v>
      </c>
      <c r="D143" s="2">
        <v>0.47288194444444442</v>
      </c>
      <c r="G143" s="4">
        <v>1879412</v>
      </c>
      <c r="H143">
        <v>1</v>
      </c>
      <c r="J143">
        <v>7432767</v>
      </c>
      <c r="K143">
        <v>2</v>
      </c>
    </row>
    <row r="144" spans="1:11" x14ac:dyDescent="0.25">
      <c r="A144">
        <v>7768277</v>
      </c>
      <c r="B144" s="1">
        <v>42920</v>
      </c>
      <c r="C144" s="2">
        <v>0.47453703703703703</v>
      </c>
      <c r="D144" s="2">
        <v>0.4800462962962963</v>
      </c>
      <c r="G144" s="4">
        <v>1887758</v>
      </c>
      <c r="H144">
        <v>2</v>
      </c>
      <c r="J144">
        <v>7473804</v>
      </c>
      <c r="K144">
        <v>2</v>
      </c>
    </row>
    <row r="145" spans="1:11" x14ac:dyDescent="0.25">
      <c r="A145">
        <v>4371394</v>
      </c>
      <c r="B145" s="1">
        <v>42920</v>
      </c>
      <c r="C145" s="2">
        <v>0.47967592592592595</v>
      </c>
      <c r="D145" s="2">
        <v>0.48236111111111113</v>
      </c>
      <c r="G145" s="4">
        <v>1890121</v>
      </c>
      <c r="H145">
        <v>1</v>
      </c>
      <c r="J145">
        <v>7622819</v>
      </c>
      <c r="K145">
        <v>2</v>
      </c>
    </row>
    <row r="146" spans="1:11" x14ac:dyDescent="0.25">
      <c r="A146">
        <v>9803545</v>
      </c>
      <c r="B146" s="1">
        <v>42920</v>
      </c>
      <c r="C146" s="2">
        <v>0.47978009259259258</v>
      </c>
      <c r="D146" s="2">
        <v>0.49125000000000002</v>
      </c>
      <c r="G146" s="4">
        <v>1898174</v>
      </c>
      <c r="H146">
        <v>1</v>
      </c>
      <c r="J146">
        <v>7663988</v>
      </c>
      <c r="K146">
        <v>2</v>
      </c>
    </row>
    <row r="147" spans="1:11" x14ac:dyDescent="0.25">
      <c r="A147">
        <v>4176704</v>
      </c>
      <c r="B147" s="1">
        <v>42920</v>
      </c>
      <c r="C147" s="2">
        <v>0.47983796296296294</v>
      </c>
      <c r="D147" s="2">
        <v>0.48949074074074073</v>
      </c>
      <c r="G147" s="4">
        <v>1908394</v>
      </c>
      <c r="H147">
        <v>1</v>
      </c>
      <c r="J147">
        <v>7727942</v>
      </c>
      <c r="K147">
        <v>2</v>
      </c>
    </row>
    <row r="148" spans="1:11" x14ac:dyDescent="0.25">
      <c r="A148">
        <v>90271112</v>
      </c>
      <c r="B148" s="1">
        <v>42920</v>
      </c>
      <c r="C148" s="2">
        <v>0.4805787037037037</v>
      </c>
      <c r="D148" s="2">
        <v>0.48696759259259259</v>
      </c>
      <c r="G148" s="4">
        <v>1909553</v>
      </c>
      <c r="H148">
        <v>1</v>
      </c>
      <c r="J148">
        <v>7914439</v>
      </c>
      <c r="K148">
        <v>2</v>
      </c>
    </row>
    <row r="149" spans="1:11" x14ac:dyDescent="0.25">
      <c r="A149">
        <v>8136309</v>
      </c>
      <c r="B149" s="1">
        <v>42920</v>
      </c>
      <c r="C149" s="2">
        <v>0.48189814814814813</v>
      </c>
      <c r="D149" s="2">
        <v>0.49115740740740743</v>
      </c>
      <c r="G149" s="4">
        <v>1911796</v>
      </c>
      <c r="H149">
        <v>1</v>
      </c>
      <c r="J149">
        <v>7937998</v>
      </c>
      <c r="K149">
        <v>2</v>
      </c>
    </row>
    <row r="150" spans="1:11" x14ac:dyDescent="0.25">
      <c r="A150">
        <v>3178616</v>
      </c>
      <c r="B150" s="1">
        <v>42920</v>
      </c>
      <c r="C150" s="2">
        <v>0.48312500000000003</v>
      </c>
      <c r="D150" s="2">
        <v>0.49138888888888888</v>
      </c>
      <c r="G150" s="4">
        <v>1922212</v>
      </c>
      <c r="H150">
        <v>1</v>
      </c>
      <c r="J150">
        <v>8063487</v>
      </c>
      <c r="K150">
        <v>2</v>
      </c>
    </row>
    <row r="151" spans="1:11" x14ac:dyDescent="0.25">
      <c r="A151">
        <v>27791497</v>
      </c>
      <c r="B151" s="1">
        <v>42920</v>
      </c>
      <c r="C151" s="2">
        <v>0.48803240740740739</v>
      </c>
      <c r="D151" s="2">
        <v>0.49682870370370369</v>
      </c>
      <c r="G151" s="4">
        <v>1926053</v>
      </c>
      <c r="H151">
        <v>2</v>
      </c>
      <c r="J151">
        <v>8079505</v>
      </c>
      <c r="K151">
        <v>2</v>
      </c>
    </row>
    <row r="152" spans="1:11" x14ac:dyDescent="0.25">
      <c r="A152">
        <v>4738129</v>
      </c>
      <c r="B152" s="1">
        <v>42920</v>
      </c>
      <c r="C152" s="2">
        <v>0.48979166666666668</v>
      </c>
      <c r="D152" s="2">
        <v>0.500462962962963</v>
      </c>
      <c r="G152" s="4">
        <v>1927908</v>
      </c>
      <c r="H152">
        <v>1</v>
      </c>
      <c r="J152">
        <v>8136309</v>
      </c>
      <c r="K152">
        <v>2</v>
      </c>
    </row>
    <row r="153" spans="1:11" x14ac:dyDescent="0.25">
      <c r="A153">
        <v>54840810</v>
      </c>
      <c r="B153" s="1">
        <v>42920</v>
      </c>
      <c r="C153" s="2">
        <v>0.49430555555555555</v>
      </c>
      <c r="D153" s="2">
        <v>0.50231481481481477</v>
      </c>
      <c r="G153" s="4">
        <v>1951101</v>
      </c>
      <c r="H153">
        <v>1</v>
      </c>
      <c r="J153">
        <v>8163790</v>
      </c>
      <c r="K153">
        <v>2</v>
      </c>
    </row>
    <row r="154" spans="1:11" x14ac:dyDescent="0.25">
      <c r="A154">
        <v>8885606</v>
      </c>
      <c r="B154" s="1">
        <v>42920</v>
      </c>
      <c r="C154" s="2">
        <v>0.49984953703703705</v>
      </c>
      <c r="D154" s="2">
        <v>0.50960648148148147</v>
      </c>
      <c r="G154" s="4">
        <v>1959826</v>
      </c>
      <c r="H154">
        <v>1</v>
      </c>
      <c r="J154">
        <v>8214927</v>
      </c>
      <c r="K154">
        <v>2</v>
      </c>
    </row>
    <row r="155" spans="1:11" x14ac:dyDescent="0.25">
      <c r="A155">
        <v>6730442</v>
      </c>
      <c r="B155" s="1">
        <v>42920</v>
      </c>
      <c r="C155" s="2">
        <v>0.50063657407407403</v>
      </c>
      <c r="D155" s="2">
        <v>0.50876157407407407</v>
      </c>
      <c r="G155" s="4">
        <v>1992079</v>
      </c>
      <c r="H155">
        <v>1</v>
      </c>
      <c r="J155">
        <v>8250018</v>
      </c>
      <c r="K155">
        <v>2</v>
      </c>
    </row>
    <row r="156" spans="1:11" x14ac:dyDescent="0.25">
      <c r="A156">
        <v>3326913</v>
      </c>
      <c r="B156" s="1">
        <v>42920</v>
      </c>
      <c r="C156" s="2">
        <v>0.50594907407407408</v>
      </c>
      <c r="D156" s="2">
        <v>0.5154050925925926</v>
      </c>
      <c r="G156" s="4">
        <v>1997542</v>
      </c>
      <c r="H156">
        <v>1</v>
      </c>
      <c r="J156">
        <v>8270097</v>
      </c>
      <c r="K156">
        <v>2</v>
      </c>
    </row>
    <row r="157" spans="1:11" x14ac:dyDescent="0.25">
      <c r="A157">
        <v>9865716</v>
      </c>
      <c r="B157" s="1">
        <v>42920</v>
      </c>
      <c r="C157" s="2">
        <v>0.51076388888888891</v>
      </c>
      <c r="D157" s="2">
        <v>0.51890046296296299</v>
      </c>
      <c r="G157" s="4">
        <v>2005653</v>
      </c>
      <c r="H157">
        <v>2</v>
      </c>
      <c r="J157">
        <v>8276893</v>
      </c>
      <c r="K157">
        <v>2</v>
      </c>
    </row>
    <row r="158" spans="1:11" x14ac:dyDescent="0.25">
      <c r="A158">
        <v>73284745</v>
      </c>
      <c r="B158" s="1">
        <v>42920</v>
      </c>
      <c r="C158" s="2">
        <v>0.51451388888888894</v>
      </c>
      <c r="D158" s="2">
        <v>0.51857638888888891</v>
      </c>
      <c r="G158" s="4">
        <v>2025194</v>
      </c>
      <c r="H158">
        <v>1</v>
      </c>
      <c r="J158">
        <v>8313390</v>
      </c>
      <c r="K158">
        <v>2</v>
      </c>
    </row>
    <row r="159" spans="1:11" x14ac:dyDescent="0.25">
      <c r="A159">
        <v>1761255</v>
      </c>
      <c r="B159" s="1">
        <v>42920</v>
      </c>
      <c r="C159" s="2">
        <v>0.51958333333333329</v>
      </c>
      <c r="D159" s="2">
        <v>0.52266203703703706</v>
      </c>
      <c r="G159" s="4">
        <v>2028923</v>
      </c>
      <c r="H159">
        <v>1</v>
      </c>
      <c r="J159">
        <v>8369815</v>
      </c>
      <c r="K159">
        <v>2</v>
      </c>
    </row>
    <row r="160" spans="1:11" x14ac:dyDescent="0.25">
      <c r="A160">
        <v>48625903</v>
      </c>
      <c r="B160" s="1">
        <v>42920</v>
      </c>
      <c r="C160" s="2">
        <v>0.52303240740740742</v>
      </c>
      <c r="D160" s="2">
        <v>0.523900462962963</v>
      </c>
      <c r="G160" s="4">
        <v>2054346</v>
      </c>
      <c r="H160">
        <v>1</v>
      </c>
      <c r="J160">
        <v>8461631</v>
      </c>
      <c r="K160">
        <v>2</v>
      </c>
    </row>
    <row r="161" spans="1:11" x14ac:dyDescent="0.25">
      <c r="A161">
        <v>2235911</v>
      </c>
      <c r="B161" s="1">
        <v>42920</v>
      </c>
      <c r="C161" s="2">
        <v>0.52454861111111106</v>
      </c>
      <c r="D161" s="2">
        <v>0.53546296296296292</v>
      </c>
      <c r="G161" s="4">
        <v>2056567</v>
      </c>
      <c r="H161">
        <v>1</v>
      </c>
      <c r="J161">
        <v>8498076</v>
      </c>
      <c r="K161">
        <v>2</v>
      </c>
    </row>
    <row r="162" spans="1:11" x14ac:dyDescent="0.25">
      <c r="A162">
        <v>18036364</v>
      </c>
      <c r="B162" s="1">
        <v>42920</v>
      </c>
      <c r="C162" s="2">
        <v>0.53015046296296298</v>
      </c>
      <c r="D162" s="2">
        <v>0.53275462962962961</v>
      </c>
      <c r="G162" s="4">
        <v>2071691</v>
      </c>
      <c r="H162">
        <v>1</v>
      </c>
      <c r="J162">
        <v>8585321</v>
      </c>
      <c r="K162">
        <v>2</v>
      </c>
    </row>
    <row r="163" spans="1:11" x14ac:dyDescent="0.25">
      <c r="A163">
        <v>38063903</v>
      </c>
      <c r="B163" s="1">
        <v>42920</v>
      </c>
      <c r="C163" s="2">
        <v>0.53465277777777775</v>
      </c>
      <c r="D163" s="2">
        <v>0.53925925925925922</v>
      </c>
      <c r="G163" s="4">
        <v>2076719</v>
      </c>
      <c r="H163">
        <v>1</v>
      </c>
      <c r="J163">
        <v>8768896</v>
      </c>
      <c r="K163">
        <v>2</v>
      </c>
    </row>
    <row r="164" spans="1:11" x14ac:dyDescent="0.25">
      <c r="A164">
        <v>4555937</v>
      </c>
      <c r="B164" s="1">
        <v>42920</v>
      </c>
      <c r="C164" s="2">
        <v>0.53748842592592594</v>
      </c>
      <c r="D164" s="2">
        <v>0.54775462962962962</v>
      </c>
      <c r="G164" s="4">
        <v>2078150</v>
      </c>
      <c r="H164">
        <v>1</v>
      </c>
      <c r="J164">
        <v>8802222</v>
      </c>
      <c r="K164">
        <v>2</v>
      </c>
    </row>
    <row r="165" spans="1:11" x14ac:dyDescent="0.25">
      <c r="A165">
        <v>9422310</v>
      </c>
      <c r="B165" s="1">
        <v>42920</v>
      </c>
      <c r="C165" s="2">
        <v>0.54137731481481477</v>
      </c>
      <c r="D165" s="2">
        <v>0.5506712962962963</v>
      </c>
      <c r="G165" s="4">
        <v>2089993</v>
      </c>
      <c r="H165">
        <v>1</v>
      </c>
      <c r="J165">
        <v>9088045</v>
      </c>
      <c r="K165">
        <v>2</v>
      </c>
    </row>
    <row r="166" spans="1:11" x14ac:dyDescent="0.25">
      <c r="A166">
        <v>16999529</v>
      </c>
      <c r="B166" s="1">
        <v>42920</v>
      </c>
      <c r="C166" s="2">
        <v>0.54395833333333332</v>
      </c>
      <c r="D166" s="2">
        <v>0.54451388888888885</v>
      </c>
      <c r="G166" s="4">
        <v>2092198</v>
      </c>
      <c r="H166">
        <v>1</v>
      </c>
      <c r="J166">
        <v>9088452</v>
      </c>
      <c r="K166">
        <v>2</v>
      </c>
    </row>
    <row r="167" spans="1:11" x14ac:dyDescent="0.25">
      <c r="A167">
        <v>8385222</v>
      </c>
      <c r="B167" s="1">
        <v>42920</v>
      </c>
      <c r="C167" s="2">
        <v>0.5455092592592593</v>
      </c>
      <c r="D167" s="2">
        <v>0.54748842592592595</v>
      </c>
      <c r="G167" s="4">
        <v>2096100</v>
      </c>
      <c r="H167">
        <v>1</v>
      </c>
      <c r="J167">
        <v>9225807</v>
      </c>
      <c r="K167">
        <v>2</v>
      </c>
    </row>
    <row r="168" spans="1:11" x14ac:dyDescent="0.25">
      <c r="A168">
        <v>8086847</v>
      </c>
      <c r="B168" s="1">
        <v>42920</v>
      </c>
      <c r="C168" s="2">
        <v>0.54909722222222224</v>
      </c>
      <c r="D168" s="2">
        <v>0.5524768518518518</v>
      </c>
      <c r="G168" s="4">
        <v>2096180</v>
      </c>
      <c r="H168">
        <v>1</v>
      </c>
      <c r="J168">
        <v>9304830</v>
      </c>
      <c r="K168">
        <v>2</v>
      </c>
    </row>
    <row r="169" spans="1:11" x14ac:dyDescent="0.25">
      <c r="A169">
        <v>5215912</v>
      </c>
      <c r="B169" s="1">
        <v>42920</v>
      </c>
      <c r="C169" s="2">
        <v>0.5512731481481481</v>
      </c>
      <c r="D169" s="2">
        <v>0.55435185185185187</v>
      </c>
      <c r="G169" s="4">
        <v>2104331</v>
      </c>
      <c r="H169">
        <v>1</v>
      </c>
      <c r="J169">
        <v>9321082</v>
      </c>
      <c r="K169">
        <v>2</v>
      </c>
    </row>
    <row r="170" spans="1:11" x14ac:dyDescent="0.25">
      <c r="A170">
        <v>1973826522</v>
      </c>
      <c r="B170" s="1">
        <v>42920</v>
      </c>
      <c r="C170" s="2">
        <v>0.5553703703703704</v>
      </c>
      <c r="D170" s="2">
        <v>0.55833333333333335</v>
      </c>
      <c r="G170" s="4">
        <v>2107985</v>
      </c>
      <c r="H170">
        <v>1</v>
      </c>
      <c r="J170">
        <v>9422310</v>
      </c>
      <c r="K170">
        <v>2</v>
      </c>
    </row>
    <row r="171" spans="1:11" x14ac:dyDescent="0.25">
      <c r="A171">
        <v>2255197</v>
      </c>
      <c r="B171" s="1">
        <v>42920</v>
      </c>
      <c r="C171" s="2">
        <v>0.55905092592592598</v>
      </c>
      <c r="D171" s="2">
        <v>0.56342592592592589</v>
      </c>
      <c r="G171" s="4">
        <v>2111996</v>
      </c>
      <c r="H171">
        <v>1</v>
      </c>
      <c r="J171">
        <v>9555643</v>
      </c>
      <c r="K171">
        <v>2</v>
      </c>
    </row>
    <row r="172" spans="1:11" x14ac:dyDescent="0.25">
      <c r="A172">
        <v>6719542</v>
      </c>
      <c r="B172" s="1">
        <v>42920</v>
      </c>
      <c r="C172" s="2">
        <v>0.5638657407407407</v>
      </c>
      <c r="D172" s="2">
        <v>0.56425925925925924</v>
      </c>
      <c r="G172" s="4">
        <v>2114812</v>
      </c>
      <c r="H172">
        <v>1</v>
      </c>
      <c r="J172">
        <v>9566647</v>
      </c>
      <c r="K172">
        <v>2</v>
      </c>
    </row>
    <row r="173" spans="1:11" x14ac:dyDescent="0.25">
      <c r="A173">
        <v>1837797</v>
      </c>
      <c r="B173" s="1">
        <v>42920</v>
      </c>
      <c r="C173" s="2">
        <v>0.5688657407407407</v>
      </c>
      <c r="D173" s="2">
        <v>0.57524305555555555</v>
      </c>
      <c r="G173" s="4">
        <v>2117176</v>
      </c>
      <c r="H173">
        <v>1</v>
      </c>
      <c r="J173">
        <v>9600226</v>
      </c>
      <c r="K173">
        <v>2</v>
      </c>
    </row>
    <row r="174" spans="1:11" x14ac:dyDescent="0.25">
      <c r="A174">
        <v>6772052</v>
      </c>
      <c r="B174" s="1">
        <v>42920</v>
      </c>
      <c r="C174" s="2">
        <v>0.57204861111111116</v>
      </c>
      <c r="D174" s="2">
        <v>0.57371527777777775</v>
      </c>
      <c r="G174" s="4">
        <v>2128068</v>
      </c>
      <c r="H174">
        <v>1</v>
      </c>
      <c r="J174">
        <v>9685747</v>
      </c>
      <c r="K174">
        <v>2</v>
      </c>
    </row>
    <row r="175" spans="1:11" x14ac:dyDescent="0.25">
      <c r="A175">
        <v>6495517</v>
      </c>
      <c r="B175" s="1">
        <v>42920</v>
      </c>
      <c r="C175" s="2">
        <v>0.57347222222222227</v>
      </c>
      <c r="D175" s="2">
        <v>0.58420138888888884</v>
      </c>
      <c r="G175" s="4">
        <v>2128803</v>
      </c>
      <c r="H175">
        <v>1</v>
      </c>
      <c r="J175">
        <v>9728932</v>
      </c>
      <c r="K175">
        <v>2</v>
      </c>
    </row>
    <row r="176" spans="1:11" x14ac:dyDescent="0.25">
      <c r="A176">
        <v>6275284312</v>
      </c>
      <c r="B176" s="1">
        <v>42920</v>
      </c>
      <c r="C176" s="2">
        <v>0.57861111111111108</v>
      </c>
      <c r="D176" s="2">
        <v>0.58296296296296302</v>
      </c>
      <c r="G176" s="4">
        <v>2134315</v>
      </c>
      <c r="H176">
        <v>1</v>
      </c>
      <c r="J176">
        <v>9763924</v>
      </c>
      <c r="K176">
        <v>2</v>
      </c>
    </row>
    <row r="177" spans="1:11" x14ac:dyDescent="0.25">
      <c r="A177">
        <v>5997385</v>
      </c>
      <c r="B177" s="1">
        <v>42920</v>
      </c>
      <c r="C177" s="2">
        <v>0.58136574074074077</v>
      </c>
      <c r="D177" s="2">
        <v>0.58156249999999998</v>
      </c>
      <c r="G177" s="4">
        <v>2135609</v>
      </c>
      <c r="H177">
        <v>1</v>
      </c>
      <c r="J177">
        <v>9772824</v>
      </c>
      <c r="K177">
        <v>2</v>
      </c>
    </row>
    <row r="178" spans="1:11" x14ac:dyDescent="0.25">
      <c r="A178">
        <v>54586484</v>
      </c>
      <c r="B178" s="1">
        <v>42920</v>
      </c>
      <c r="C178" s="2">
        <v>0.58335648148148145</v>
      </c>
      <c r="D178" s="2">
        <v>0.5841319444444445</v>
      </c>
      <c r="G178" s="4">
        <v>2145244</v>
      </c>
      <c r="H178">
        <v>1</v>
      </c>
      <c r="J178">
        <v>9773176</v>
      </c>
      <c r="K178">
        <v>2</v>
      </c>
    </row>
    <row r="179" spans="1:11" x14ac:dyDescent="0.25">
      <c r="A179">
        <v>8449157</v>
      </c>
      <c r="B179" s="1">
        <v>42920</v>
      </c>
      <c r="C179" s="2">
        <v>0.58377314814814818</v>
      </c>
      <c r="D179" s="2">
        <v>0.59186342592592589</v>
      </c>
      <c r="G179" s="4">
        <v>2150051</v>
      </c>
      <c r="H179">
        <v>1</v>
      </c>
      <c r="J179">
        <v>9815754</v>
      </c>
      <c r="K179">
        <v>2</v>
      </c>
    </row>
    <row r="180" spans="1:11" x14ac:dyDescent="0.25">
      <c r="A180">
        <v>1301099</v>
      </c>
      <c r="B180" s="1">
        <v>42920</v>
      </c>
      <c r="C180" s="2">
        <v>0.58452546296296293</v>
      </c>
      <c r="D180" s="2">
        <v>0.58862268518518523</v>
      </c>
      <c r="G180" s="4">
        <v>2157195</v>
      </c>
      <c r="H180">
        <v>1</v>
      </c>
      <c r="J180">
        <v>9849071</v>
      </c>
      <c r="K180">
        <v>2</v>
      </c>
    </row>
    <row r="181" spans="1:11" x14ac:dyDescent="0.25">
      <c r="A181">
        <v>1774304298</v>
      </c>
      <c r="B181" s="1">
        <v>42920</v>
      </c>
      <c r="C181" s="2">
        <v>0.58452546296296293</v>
      </c>
      <c r="D181" s="2">
        <v>0.59087962962962959</v>
      </c>
      <c r="G181" s="4">
        <v>2158377</v>
      </c>
      <c r="H181">
        <v>1</v>
      </c>
      <c r="J181">
        <v>9865716</v>
      </c>
      <c r="K181">
        <v>2</v>
      </c>
    </row>
    <row r="182" spans="1:11" x14ac:dyDescent="0.25">
      <c r="A182">
        <v>52165701</v>
      </c>
      <c r="B182" s="1">
        <v>42920</v>
      </c>
      <c r="C182" s="2">
        <v>0.59018518518518515</v>
      </c>
      <c r="D182" s="2">
        <v>0.60047453703703701</v>
      </c>
      <c r="G182" s="4">
        <v>2163209</v>
      </c>
      <c r="H182">
        <v>1</v>
      </c>
      <c r="J182">
        <v>9894998</v>
      </c>
      <c r="K182">
        <v>2</v>
      </c>
    </row>
    <row r="183" spans="1:11" x14ac:dyDescent="0.25">
      <c r="A183">
        <v>49158974</v>
      </c>
      <c r="B183" s="1">
        <v>42920</v>
      </c>
      <c r="C183" s="2">
        <v>0.59425925925925926</v>
      </c>
      <c r="D183" s="2">
        <v>0.59886574074074073</v>
      </c>
      <c r="G183" s="4">
        <v>2184116</v>
      </c>
      <c r="H183">
        <v>1</v>
      </c>
      <c r="J183">
        <v>9941776</v>
      </c>
      <c r="K183">
        <v>2</v>
      </c>
    </row>
    <row r="184" spans="1:11" x14ac:dyDescent="0.25">
      <c r="A184">
        <v>6231537</v>
      </c>
      <c r="B184" s="1">
        <v>42920</v>
      </c>
      <c r="C184" s="2">
        <v>0.59767361111111106</v>
      </c>
      <c r="D184" s="2">
        <v>0.6026273148148148</v>
      </c>
      <c r="G184" s="4">
        <v>2185216</v>
      </c>
      <c r="H184">
        <v>1</v>
      </c>
      <c r="J184">
        <v>11274735</v>
      </c>
      <c r="K184">
        <v>2</v>
      </c>
    </row>
    <row r="185" spans="1:11" x14ac:dyDescent="0.25">
      <c r="A185">
        <v>6965661375</v>
      </c>
      <c r="B185" s="1">
        <v>42920</v>
      </c>
      <c r="C185" s="2">
        <v>0.59995370370370371</v>
      </c>
      <c r="D185" s="2">
        <v>0.60442129629629626</v>
      </c>
      <c r="G185" s="4">
        <v>2186880</v>
      </c>
      <c r="H185">
        <v>1</v>
      </c>
      <c r="J185">
        <v>12063341</v>
      </c>
      <c r="K185">
        <v>2</v>
      </c>
    </row>
    <row r="186" spans="1:11" x14ac:dyDescent="0.25">
      <c r="A186">
        <v>4555937</v>
      </c>
      <c r="B186" s="1">
        <v>42920</v>
      </c>
      <c r="C186" s="2">
        <v>0.60509259259259263</v>
      </c>
      <c r="D186" s="2">
        <v>0.60509259259259263</v>
      </c>
      <c r="G186" s="4">
        <v>2188847</v>
      </c>
      <c r="H186">
        <v>1</v>
      </c>
      <c r="J186">
        <v>14783929</v>
      </c>
      <c r="K186">
        <v>2</v>
      </c>
    </row>
    <row r="187" spans="1:11" x14ac:dyDescent="0.25">
      <c r="A187">
        <v>8831940</v>
      </c>
      <c r="B187" s="1">
        <v>42920</v>
      </c>
      <c r="C187" s="2">
        <v>0.6066435185185185</v>
      </c>
      <c r="D187" s="2">
        <v>0.61133101851851857</v>
      </c>
      <c r="G187" s="4">
        <v>2193730</v>
      </c>
      <c r="H187">
        <v>1</v>
      </c>
      <c r="J187">
        <v>18036364</v>
      </c>
      <c r="K187">
        <v>2</v>
      </c>
    </row>
    <row r="188" spans="1:11" x14ac:dyDescent="0.25">
      <c r="A188">
        <v>7421868</v>
      </c>
      <c r="B188" s="1">
        <v>42920</v>
      </c>
      <c r="C188" s="2">
        <v>0.61136574074074079</v>
      </c>
      <c r="D188" s="2">
        <v>0.61636574074074069</v>
      </c>
      <c r="G188" s="4">
        <v>2199311</v>
      </c>
      <c r="H188">
        <v>1</v>
      </c>
      <c r="J188">
        <v>22747425</v>
      </c>
      <c r="K188">
        <v>2</v>
      </c>
    </row>
    <row r="189" spans="1:11" x14ac:dyDescent="0.25">
      <c r="A189">
        <v>5131341</v>
      </c>
      <c r="B189" s="1">
        <v>42920</v>
      </c>
      <c r="C189" s="2">
        <v>0.61186342592592591</v>
      </c>
      <c r="D189" s="2">
        <v>0.61896990740740743</v>
      </c>
      <c r="G189" s="4">
        <v>2201085</v>
      </c>
      <c r="H189">
        <v>1</v>
      </c>
      <c r="J189">
        <v>23123600</v>
      </c>
      <c r="K189">
        <v>2</v>
      </c>
    </row>
    <row r="190" spans="1:11" x14ac:dyDescent="0.25">
      <c r="A190">
        <v>3121850</v>
      </c>
      <c r="B190" s="1">
        <v>42920</v>
      </c>
      <c r="C190" s="2">
        <v>0.61410879629629633</v>
      </c>
      <c r="D190" s="2">
        <v>0.6216666666666667</v>
      </c>
      <c r="G190" s="4">
        <v>2227803</v>
      </c>
      <c r="H190">
        <v>1</v>
      </c>
      <c r="J190">
        <v>24290062</v>
      </c>
      <c r="K190">
        <v>2</v>
      </c>
    </row>
    <row r="191" spans="1:11" x14ac:dyDescent="0.25">
      <c r="A191">
        <v>6905863</v>
      </c>
      <c r="B191" s="1">
        <v>42920</v>
      </c>
      <c r="C191" s="2">
        <v>0.6186342592592593</v>
      </c>
      <c r="D191" s="2">
        <v>0.62296296296296294</v>
      </c>
      <c r="G191" s="4">
        <v>2235911</v>
      </c>
      <c r="H191">
        <v>3</v>
      </c>
      <c r="J191">
        <v>24665933</v>
      </c>
      <c r="K191">
        <v>2</v>
      </c>
    </row>
    <row r="192" spans="1:11" x14ac:dyDescent="0.25">
      <c r="A192">
        <v>2514802</v>
      </c>
      <c r="B192" s="1">
        <v>42920</v>
      </c>
      <c r="C192" s="2">
        <v>0.6186342592592593</v>
      </c>
      <c r="D192" s="2">
        <v>0.6265856481481481</v>
      </c>
      <c r="G192" s="4">
        <v>2239958</v>
      </c>
      <c r="H192">
        <v>1</v>
      </c>
      <c r="J192">
        <v>28961250</v>
      </c>
      <c r="K192">
        <v>2</v>
      </c>
    </row>
    <row r="193" spans="1:11" x14ac:dyDescent="0.25">
      <c r="A193">
        <v>93696449</v>
      </c>
      <c r="B193" s="1">
        <v>42920</v>
      </c>
      <c r="C193" s="2">
        <v>0.6227314814814815</v>
      </c>
      <c r="D193" s="2">
        <v>0.63056712962962957</v>
      </c>
      <c r="G193" s="4">
        <v>2248131</v>
      </c>
      <c r="H193">
        <v>1</v>
      </c>
      <c r="J193">
        <v>30178521</v>
      </c>
      <c r="K193">
        <v>2</v>
      </c>
    </row>
    <row r="194" spans="1:11" x14ac:dyDescent="0.25">
      <c r="A194">
        <v>3931464</v>
      </c>
      <c r="B194" s="1">
        <v>42920</v>
      </c>
      <c r="C194" s="2">
        <v>0.62381944444444448</v>
      </c>
      <c r="D194" s="2">
        <v>0.6322106481481482</v>
      </c>
      <c r="G194" s="4">
        <v>2252239</v>
      </c>
      <c r="H194">
        <v>1</v>
      </c>
      <c r="J194">
        <v>30893038</v>
      </c>
      <c r="K194">
        <v>2</v>
      </c>
    </row>
    <row r="195" spans="1:11" x14ac:dyDescent="0.25">
      <c r="A195">
        <v>1583683</v>
      </c>
      <c r="B195" s="1">
        <v>42920</v>
      </c>
      <c r="C195" s="2">
        <v>0.6275694444444444</v>
      </c>
      <c r="D195" s="2">
        <v>0.63215277777777779</v>
      </c>
      <c r="G195" s="4">
        <v>2255197</v>
      </c>
      <c r="H195">
        <v>1</v>
      </c>
      <c r="J195">
        <v>38063903</v>
      </c>
      <c r="K195">
        <v>2</v>
      </c>
    </row>
    <row r="196" spans="1:11" x14ac:dyDescent="0.25">
      <c r="A196">
        <v>52165701</v>
      </c>
      <c r="B196" s="1">
        <v>42921</v>
      </c>
      <c r="C196" s="2">
        <v>0.33545138888888887</v>
      </c>
      <c r="D196" s="2">
        <v>0.3435300925925926</v>
      </c>
      <c r="G196" s="4">
        <v>2256093</v>
      </c>
      <c r="H196">
        <v>1</v>
      </c>
      <c r="J196">
        <v>39669014</v>
      </c>
      <c r="K196">
        <v>2</v>
      </c>
    </row>
    <row r="197" spans="1:11" x14ac:dyDescent="0.25">
      <c r="A197">
        <v>1521041994</v>
      </c>
      <c r="B197" s="1">
        <v>42921</v>
      </c>
      <c r="C197" s="2">
        <v>0.34099537037037037</v>
      </c>
      <c r="D197" s="2">
        <v>0.34749999999999998</v>
      </c>
      <c r="G197" s="4">
        <v>2260131</v>
      </c>
      <c r="H197">
        <v>1</v>
      </c>
      <c r="J197">
        <v>39697250</v>
      </c>
      <c r="K197">
        <v>2</v>
      </c>
    </row>
    <row r="198" spans="1:11" x14ac:dyDescent="0.25">
      <c r="A198">
        <v>9187410</v>
      </c>
      <c r="B198" s="1">
        <v>42921</v>
      </c>
      <c r="C198" s="2">
        <v>0.34662037037037036</v>
      </c>
      <c r="D198" s="2">
        <v>0.34908564814814813</v>
      </c>
      <c r="G198" s="4">
        <v>2289072</v>
      </c>
      <c r="H198">
        <v>1</v>
      </c>
      <c r="J198">
        <v>39848401</v>
      </c>
      <c r="K198">
        <v>2</v>
      </c>
    </row>
    <row r="199" spans="1:11" x14ac:dyDescent="0.25">
      <c r="A199">
        <v>8228350</v>
      </c>
      <c r="B199" s="1">
        <v>42921</v>
      </c>
      <c r="C199" s="2">
        <v>0.34667824074074072</v>
      </c>
      <c r="D199" s="2">
        <v>0.3473148148148148</v>
      </c>
      <c r="G199" s="4">
        <v>2302227</v>
      </c>
      <c r="H199">
        <v>1</v>
      </c>
      <c r="J199">
        <v>41852472</v>
      </c>
      <c r="K199">
        <v>2</v>
      </c>
    </row>
    <row r="200" spans="1:11" x14ac:dyDescent="0.25">
      <c r="A200">
        <v>8313390</v>
      </c>
      <c r="B200" s="1">
        <v>42921</v>
      </c>
      <c r="C200" s="2">
        <v>0.34903935185185186</v>
      </c>
      <c r="D200" s="2">
        <v>0.35381944444444446</v>
      </c>
      <c r="G200" s="4">
        <v>2304726</v>
      </c>
      <c r="H200">
        <v>2</v>
      </c>
      <c r="J200">
        <v>43109897</v>
      </c>
      <c r="K200">
        <v>2</v>
      </c>
    </row>
    <row r="201" spans="1:11" x14ac:dyDescent="0.25">
      <c r="A201">
        <v>5508903</v>
      </c>
      <c r="B201" s="1">
        <v>42921</v>
      </c>
      <c r="C201" s="2">
        <v>0.34915509259259259</v>
      </c>
      <c r="D201" s="2">
        <v>0.3605902777777778</v>
      </c>
      <c r="G201" s="4">
        <v>2309436</v>
      </c>
      <c r="H201">
        <v>1</v>
      </c>
      <c r="J201">
        <v>45081794</v>
      </c>
      <c r="K201">
        <v>2</v>
      </c>
    </row>
    <row r="202" spans="1:11" x14ac:dyDescent="0.25">
      <c r="A202">
        <v>3102910</v>
      </c>
      <c r="B202" s="1">
        <v>42921</v>
      </c>
      <c r="C202" s="2">
        <v>0.35150462962962964</v>
      </c>
      <c r="D202" s="2">
        <v>0.35672453703703705</v>
      </c>
      <c r="G202" s="4">
        <v>2325155</v>
      </c>
      <c r="H202">
        <v>1</v>
      </c>
      <c r="J202">
        <v>48676568</v>
      </c>
      <c r="K202">
        <v>2</v>
      </c>
    </row>
    <row r="203" spans="1:11" x14ac:dyDescent="0.25">
      <c r="A203">
        <v>45948073</v>
      </c>
      <c r="B203" s="1">
        <v>42921</v>
      </c>
      <c r="C203" s="2">
        <v>0.35574074074074075</v>
      </c>
      <c r="D203" s="2">
        <v>0.36162037037037037</v>
      </c>
      <c r="G203" s="4">
        <v>2327418</v>
      </c>
      <c r="H203">
        <v>1</v>
      </c>
      <c r="J203">
        <v>49342013</v>
      </c>
      <c r="K203">
        <v>2</v>
      </c>
    </row>
    <row r="204" spans="1:11" x14ac:dyDescent="0.25">
      <c r="A204">
        <v>73690742</v>
      </c>
      <c r="B204" s="1">
        <v>42921</v>
      </c>
      <c r="C204" s="2">
        <v>0.35829861111111111</v>
      </c>
      <c r="D204" s="2">
        <v>0.36826388888888889</v>
      </c>
      <c r="G204" s="4">
        <v>2329556</v>
      </c>
      <c r="H204">
        <v>1</v>
      </c>
      <c r="J204">
        <v>52165701</v>
      </c>
      <c r="K204">
        <v>2</v>
      </c>
    </row>
    <row r="205" spans="1:11" x14ac:dyDescent="0.25">
      <c r="A205">
        <v>58037769</v>
      </c>
      <c r="B205" s="1">
        <v>42921</v>
      </c>
      <c r="C205" s="2">
        <v>0.36261574074074077</v>
      </c>
      <c r="D205" s="2">
        <v>0.36730324074074072</v>
      </c>
      <c r="G205" s="4">
        <v>2341441</v>
      </c>
      <c r="H205">
        <v>1</v>
      </c>
      <c r="J205">
        <v>54136845</v>
      </c>
      <c r="K205">
        <v>2</v>
      </c>
    </row>
    <row r="206" spans="1:11" x14ac:dyDescent="0.25">
      <c r="A206">
        <v>3434934</v>
      </c>
      <c r="B206" s="1">
        <v>42921</v>
      </c>
      <c r="C206" s="2">
        <v>0.36760416666666668</v>
      </c>
      <c r="D206" s="2">
        <v>0.37854166666666667</v>
      </c>
      <c r="G206" s="4">
        <v>2354992</v>
      </c>
      <c r="H206">
        <v>1</v>
      </c>
      <c r="J206">
        <v>54821549</v>
      </c>
      <c r="K206">
        <v>2</v>
      </c>
    </row>
    <row r="207" spans="1:11" x14ac:dyDescent="0.25">
      <c r="A207">
        <v>4963499</v>
      </c>
      <c r="B207" s="1">
        <v>42921</v>
      </c>
      <c r="C207" s="2">
        <v>0.37008101851851855</v>
      </c>
      <c r="D207" s="2">
        <v>0.37175925925925923</v>
      </c>
      <c r="G207" s="4">
        <v>2355456</v>
      </c>
      <c r="H207">
        <v>1</v>
      </c>
      <c r="J207">
        <v>54840810</v>
      </c>
      <c r="K207">
        <v>2</v>
      </c>
    </row>
    <row r="208" spans="1:11" x14ac:dyDescent="0.25">
      <c r="A208">
        <v>7904403</v>
      </c>
      <c r="B208" s="1">
        <v>42921</v>
      </c>
      <c r="C208" s="2">
        <v>0.37361111111111112</v>
      </c>
      <c r="D208" s="2">
        <v>0.3772800925925926</v>
      </c>
      <c r="G208" s="4">
        <v>2366545</v>
      </c>
      <c r="H208">
        <v>1</v>
      </c>
      <c r="J208">
        <v>57891628</v>
      </c>
      <c r="K208">
        <v>2</v>
      </c>
    </row>
    <row r="209" spans="1:11" x14ac:dyDescent="0.25">
      <c r="A209">
        <v>4389240</v>
      </c>
      <c r="B209" s="1">
        <v>42921</v>
      </c>
      <c r="C209" s="2">
        <v>0.37711805555555555</v>
      </c>
      <c r="D209" s="2">
        <v>0.37886574074074075</v>
      </c>
      <c r="G209" s="4">
        <v>2388040</v>
      </c>
      <c r="H209">
        <v>1</v>
      </c>
      <c r="J209">
        <v>58420185</v>
      </c>
      <c r="K209">
        <v>2</v>
      </c>
    </row>
    <row r="210" spans="1:11" x14ac:dyDescent="0.25">
      <c r="A210">
        <v>68647339</v>
      </c>
      <c r="B210" s="1">
        <v>42921</v>
      </c>
      <c r="C210" s="2">
        <v>0.38180555555555556</v>
      </c>
      <c r="D210" s="2">
        <v>0.39295138888888886</v>
      </c>
      <c r="G210" s="4">
        <v>2394144</v>
      </c>
      <c r="H210">
        <v>1</v>
      </c>
      <c r="J210">
        <v>60113139</v>
      </c>
      <c r="K210">
        <v>2</v>
      </c>
    </row>
    <row r="211" spans="1:11" x14ac:dyDescent="0.25">
      <c r="A211">
        <v>8461631</v>
      </c>
      <c r="B211" s="1">
        <v>42921</v>
      </c>
      <c r="C211" s="2">
        <v>0.38335648148148149</v>
      </c>
      <c r="D211" s="2">
        <v>0.38451388888888888</v>
      </c>
      <c r="G211" s="4">
        <v>2395447</v>
      </c>
      <c r="H211">
        <v>1</v>
      </c>
      <c r="J211">
        <v>62016185</v>
      </c>
      <c r="K211">
        <v>2</v>
      </c>
    </row>
    <row r="212" spans="1:11" x14ac:dyDescent="0.25">
      <c r="A212">
        <v>3087246</v>
      </c>
      <c r="B212" s="1">
        <v>42921</v>
      </c>
      <c r="C212" s="2">
        <v>0.38633101851851853</v>
      </c>
      <c r="D212" s="2">
        <v>0.39391203703703703</v>
      </c>
      <c r="G212" s="4">
        <v>2400590</v>
      </c>
      <c r="H212">
        <v>1</v>
      </c>
      <c r="J212">
        <v>62086163</v>
      </c>
      <c r="K212">
        <v>2</v>
      </c>
    </row>
    <row r="213" spans="1:11" x14ac:dyDescent="0.25">
      <c r="A213">
        <v>9321082</v>
      </c>
      <c r="B213" s="1">
        <v>42921</v>
      </c>
      <c r="C213" s="2">
        <v>0.38976851851851851</v>
      </c>
      <c r="D213" s="2">
        <v>0.40090277777777777</v>
      </c>
      <c r="G213" s="4">
        <v>2402827</v>
      </c>
      <c r="H213">
        <v>1</v>
      </c>
      <c r="J213">
        <v>66871690</v>
      </c>
      <c r="K213">
        <v>2</v>
      </c>
    </row>
    <row r="214" spans="1:11" x14ac:dyDescent="0.25">
      <c r="A214">
        <v>4941247888</v>
      </c>
      <c r="B214" s="1">
        <v>42921</v>
      </c>
      <c r="C214" s="2">
        <v>0.39114583333333336</v>
      </c>
      <c r="D214" s="2">
        <v>0.39870370370370373</v>
      </c>
      <c r="G214" s="4">
        <v>2406196</v>
      </c>
      <c r="H214">
        <v>1</v>
      </c>
      <c r="J214">
        <v>67064385</v>
      </c>
      <c r="K214">
        <v>2</v>
      </c>
    </row>
    <row r="215" spans="1:11" x14ac:dyDescent="0.25">
      <c r="A215">
        <v>13484133</v>
      </c>
      <c r="B215" s="1">
        <v>42921</v>
      </c>
      <c r="C215" s="2">
        <v>0.3959375</v>
      </c>
      <c r="D215" s="2">
        <v>0.3982060185185185</v>
      </c>
      <c r="G215" s="4">
        <v>2412611</v>
      </c>
      <c r="H215">
        <v>1</v>
      </c>
      <c r="J215">
        <v>67748426</v>
      </c>
      <c r="K215">
        <v>2</v>
      </c>
    </row>
    <row r="216" spans="1:11" x14ac:dyDescent="0.25">
      <c r="A216">
        <v>9610703</v>
      </c>
      <c r="B216" s="1">
        <v>42921</v>
      </c>
      <c r="C216" s="2">
        <v>0.40074074074074073</v>
      </c>
      <c r="D216" s="2">
        <v>0.40766203703703702</v>
      </c>
      <c r="G216" s="4">
        <v>2419247</v>
      </c>
      <c r="H216">
        <v>1</v>
      </c>
      <c r="J216">
        <v>67964973</v>
      </c>
      <c r="K216">
        <v>2</v>
      </c>
    </row>
    <row r="217" spans="1:11" x14ac:dyDescent="0.25">
      <c r="A217">
        <v>7236035</v>
      </c>
      <c r="B217" s="1">
        <v>42921</v>
      </c>
      <c r="C217" s="2">
        <v>0.40517361111111111</v>
      </c>
      <c r="D217" s="2">
        <v>0.41189814814814812</v>
      </c>
      <c r="G217" s="4">
        <v>2419817</v>
      </c>
      <c r="H217">
        <v>1</v>
      </c>
      <c r="J217">
        <v>70730125</v>
      </c>
      <c r="K217">
        <v>2</v>
      </c>
    </row>
    <row r="218" spans="1:11" x14ac:dyDescent="0.25">
      <c r="A218">
        <v>7236035</v>
      </c>
      <c r="B218" s="1">
        <v>42921</v>
      </c>
      <c r="C218" s="2">
        <v>0.4089814814814815</v>
      </c>
      <c r="D218" s="2">
        <v>0.41927083333333331</v>
      </c>
      <c r="G218" s="4">
        <v>2434652</v>
      </c>
      <c r="H218">
        <v>1</v>
      </c>
      <c r="J218">
        <v>73350537</v>
      </c>
      <c r="K218">
        <v>2</v>
      </c>
    </row>
    <row r="219" spans="1:11" x14ac:dyDescent="0.25">
      <c r="A219">
        <v>2675422</v>
      </c>
      <c r="B219" s="1">
        <v>42921</v>
      </c>
      <c r="C219" s="2">
        <v>0.41393518518518518</v>
      </c>
      <c r="D219" s="2">
        <v>0.42075231481481479</v>
      </c>
      <c r="G219" s="4">
        <v>2435007</v>
      </c>
      <c r="H219">
        <v>1</v>
      </c>
      <c r="J219">
        <v>73690742</v>
      </c>
      <c r="K219">
        <v>2</v>
      </c>
    </row>
    <row r="220" spans="1:11" x14ac:dyDescent="0.25">
      <c r="A220">
        <v>99056276</v>
      </c>
      <c r="B220" s="1">
        <v>42921</v>
      </c>
      <c r="C220" s="2">
        <v>0.41749999999999998</v>
      </c>
      <c r="D220" s="2">
        <v>0.42891203703703706</v>
      </c>
      <c r="G220" s="4">
        <v>2443869</v>
      </c>
      <c r="H220">
        <v>1</v>
      </c>
      <c r="J220">
        <v>77705897</v>
      </c>
      <c r="K220">
        <v>2</v>
      </c>
    </row>
    <row r="221" spans="1:11" x14ac:dyDescent="0.25">
      <c r="A221">
        <v>1715377</v>
      </c>
      <c r="B221" s="1">
        <v>42921</v>
      </c>
      <c r="C221" s="2">
        <v>0.41847222222222225</v>
      </c>
      <c r="D221" s="2">
        <v>0.42833333333333334</v>
      </c>
      <c r="G221" s="4">
        <v>2445944</v>
      </c>
      <c r="H221">
        <v>1</v>
      </c>
      <c r="J221">
        <v>79381100</v>
      </c>
      <c r="K221">
        <v>2</v>
      </c>
    </row>
    <row r="222" spans="1:11" x14ac:dyDescent="0.25">
      <c r="A222">
        <v>6700458395</v>
      </c>
      <c r="B222" s="1">
        <v>42921</v>
      </c>
      <c r="C222" s="2">
        <v>0.42149305555555555</v>
      </c>
      <c r="D222" s="2">
        <v>0.42678240740740742</v>
      </c>
      <c r="G222" s="4">
        <v>2456290</v>
      </c>
      <c r="H222">
        <v>1</v>
      </c>
      <c r="J222">
        <v>79890857</v>
      </c>
      <c r="K222">
        <v>2</v>
      </c>
    </row>
    <row r="223" spans="1:11" x14ac:dyDescent="0.25">
      <c r="A223">
        <v>2211277198</v>
      </c>
      <c r="B223" s="1">
        <v>42921</v>
      </c>
      <c r="C223" s="2">
        <v>0.42168981481481482</v>
      </c>
      <c r="D223" s="2">
        <v>0.42326388888888888</v>
      </c>
      <c r="G223" s="4">
        <v>2462682</v>
      </c>
      <c r="H223">
        <v>1</v>
      </c>
      <c r="J223">
        <v>80038636</v>
      </c>
      <c r="K223">
        <v>2</v>
      </c>
    </row>
    <row r="224" spans="1:11" x14ac:dyDescent="0.25">
      <c r="A224">
        <v>9866373</v>
      </c>
      <c r="B224" s="1">
        <v>42921</v>
      </c>
      <c r="C224" s="2">
        <v>0.42202546296296295</v>
      </c>
      <c r="D224" s="2">
        <v>0.42905092592592592</v>
      </c>
      <c r="G224" s="4">
        <v>2469778</v>
      </c>
      <c r="H224">
        <v>1</v>
      </c>
      <c r="J224">
        <v>81613163</v>
      </c>
      <c r="K224">
        <v>2</v>
      </c>
    </row>
    <row r="225" spans="1:11" x14ac:dyDescent="0.25">
      <c r="A225">
        <v>4526057</v>
      </c>
      <c r="B225" s="1">
        <v>42921</v>
      </c>
      <c r="C225" s="2">
        <v>0.42313657407407407</v>
      </c>
      <c r="D225" s="2">
        <v>0.42508101851851854</v>
      </c>
      <c r="G225" s="4">
        <v>2474506</v>
      </c>
      <c r="H225">
        <v>1</v>
      </c>
      <c r="J225">
        <v>83559673</v>
      </c>
      <c r="K225">
        <v>2</v>
      </c>
    </row>
    <row r="226" spans="1:11" x14ac:dyDescent="0.25">
      <c r="A226">
        <v>70786056</v>
      </c>
      <c r="B226" s="1">
        <v>42921</v>
      </c>
      <c r="C226" s="2">
        <v>0.42357638888888888</v>
      </c>
      <c r="D226" s="2">
        <v>0.4253587962962963</v>
      </c>
      <c r="G226" s="4">
        <v>2475157</v>
      </c>
      <c r="H226">
        <v>1</v>
      </c>
      <c r="J226">
        <v>87702896</v>
      </c>
      <c r="K226">
        <v>2</v>
      </c>
    </row>
    <row r="227" spans="1:11" x14ac:dyDescent="0.25">
      <c r="A227">
        <v>9874705</v>
      </c>
      <c r="B227" s="1">
        <v>42921</v>
      </c>
      <c r="C227" s="2">
        <v>0.4274074074074074</v>
      </c>
      <c r="D227" s="2">
        <v>0.43408564814814815</v>
      </c>
      <c r="G227" s="4">
        <v>2478461</v>
      </c>
      <c r="H227">
        <v>1</v>
      </c>
      <c r="J227">
        <v>91907883</v>
      </c>
      <c r="K227">
        <v>2</v>
      </c>
    </row>
    <row r="228" spans="1:11" x14ac:dyDescent="0.25">
      <c r="A228">
        <v>2506618</v>
      </c>
      <c r="B228" s="1">
        <v>42921</v>
      </c>
      <c r="C228" s="2">
        <v>0.43084490740740738</v>
      </c>
      <c r="D228" s="2">
        <v>0.43738425925925928</v>
      </c>
      <c r="G228" s="4">
        <v>2486941</v>
      </c>
      <c r="H228">
        <v>1</v>
      </c>
      <c r="J228">
        <v>93611539</v>
      </c>
      <c r="K228">
        <v>2</v>
      </c>
    </row>
    <row r="229" spans="1:11" x14ac:dyDescent="0.25">
      <c r="A229">
        <v>6312575</v>
      </c>
      <c r="B229" s="1">
        <v>42921</v>
      </c>
      <c r="C229" s="2">
        <v>0.43234953703703705</v>
      </c>
      <c r="D229" s="2">
        <v>0.44233796296296296</v>
      </c>
      <c r="G229" s="4">
        <v>2492731</v>
      </c>
      <c r="H229">
        <v>1</v>
      </c>
      <c r="J229">
        <v>96949751</v>
      </c>
      <c r="K229">
        <v>2</v>
      </c>
    </row>
    <row r="230" spans="1:11" x14ac:dyDescent="0.25">
      <c r="A230">
        <v>9620895</v>
      </c>
      <c r="B230" s="1">
        <v>42921</v>
      </c>
      <c r="C230" s="2">
        <v>0.4362847222222222</v>
      </c>
      <c r="D230" s="2">
        <v>0.44714120370370369</v>
      </c>
      <c r="G230" s="4">
        <v>2506618</v>
      </c>
      <c r="H230">
        <v>2</v>
      </c>
      <c r="J230">
        <v>97317489</v>
      </c>
      <c r="K230">
        <v>2</v>
      </c>
    </row>
    <row r="231" spans="1:11" x14ac:dyDescent="0.25">
      <c r="A231">
        <v>8187780</v>
      </c>
      <c r="B231" s="1">
        <v>42921</v>
      </c>
      <c r="C231" s="2">
        <v>0.43898148148148147</v>
      </c>
      <c r="D231" s="2">
        <v>0.44800925925925927</v>
      </c>
      <c r="G231" s="4">
        <v>2509631</v>
      </c>
      <c r="H231">
        <v>1</v>
      </c>
      <c r="J231">
        <v>98939809</v>
      </c>
      <c r="K231">
        <v>2</v>
      </c>
    </row>
    <row r="232" spans="1:11" x14ac:dyDescent="0.25">
      <c r="A232">
        <v>4176999</v>
      </c>
      <c r="B232" s="1">
        <v>42921</v>
      </c>
      <c r="C232" s="2">
        <v>0.44148148148148147</v>
      </c>
      <c r="D232" s="2">
        <v>0.45222222222222225</v>
      </c>
      <c r="G232" s="4">
        <v>2514802</v>
      </c>
      <c r="H232">
        <v>1</v>
      </c>
      <c r="J232">
        <v>99162491</v>
      </c>
      <c r="K232">
        <v>2</v>
      </c>
    </row>
    <row r="233" spans="1:11" x14ac:dyDescent="0.25">
      <c r="A233">
        <v>9937257</v>
      </c>
      <c r="B233" s="1">
        <v>42921</v>
      </c>
      <c r="C233" s="2">
        <v>0.44383101851851853</v>
      </c>
      <c r="D233" s="2">
        <v>0.44697916666666665</v>
      </c>
      <c r="G233" s="4">
        <v>2515441</v>
      </c>
      <c r="H233">
        <v>1</v>
      </c>
      <c r="J233">
        <v>1088377750</v>
      </c>
      <c r="K233">
        <v>2</v>
      </c>
    </row>
    <row r="234" spans="1:11" x14ac:dyDescent="0.25">
      <c r="A234">
        <v>4363716</v>
      </c>
      <c r="B234" s="1">
        <v>42921</v>
      </c>
      <c r="C234" s="2">
        <v>0.44436342592592593</v>
      </c>
      <c r="D234" s="2">
        <v>0.45106481481481481</v>
      </c>
      <c r="G234" s="4">
        <v>2557643</v>
      </c>
      <c r="H234">
        <v>1</v>
      </c>
      <c r="J234">
        <v>1973826522</v>
      </c>
      <c r="K234">
        <v>2</v>
      </c>
    </row>
    <row r="235" spans="1:11" x14ac:dyDescent="0.25">
      <c r="A235">
        <v>96323047</v>
      </c>
      <c r="B235" s="1">
        <v>42921</v>
      </c>
      <c r="C235" s="2">
        <v>0.44962962962962966</v>
      </c>
      <c r="D235" s="2">
        <v>0.45341435185185186</v>
      </c>
      <c r="G235" s="4">
        <v>2557668</v>
      </c>
      <c r="H235">
        <v>1</v>
      </c>
      <c r="J235">
        <v>2211277198</v>
      </c>
      <c r="K235">
        <v>2</v>
      </c>
    </row>
    <row r="236" spans="1:11" x14ac:dyDescent="0.25">
      <c r="A236">
        <v>2750193</v>
      </c>
      <c r="B236" s="1">
        <v>42921</v>
      </c>
      <c r="C236" s="2">
        <v>0.45445601851851852</v>
      </c>
      <c r="D236" s="2">
        <v>0.455625</v>
      </c>
      <c r="G236" s="4">
        <v>2567031</v>
      </c>
      <c r="H236">
        <v>1</v>
      </c>
      <c r="J236">
        <v>2890519255</v>
      </c>
      <c r="K236">
        <v>2</v>
      </c>
    </row>
    <row r="237" spans="1:11" x14ac:dyDescent="0.25">
      <c r="A237">
        <v>7973319</v>
      </c>
      <c r="B237" s="1">
        <v>42921</v>
      </c>
      <c r="C237" s="2">
        <v>0.45565972222222223</v>
      </c>
      <c r="D237" s="2">
        <v>0.46090277777777777</v>
      </c>
      <c r="G237" s="4">
        <v>2569721</v>
      </c>
      <c r="H237">
        <v>1</v>
      </c>
      <c r="J237">
        <v>4600571814</v>
      </c>
      <c r="K237">
        <v>2</v>
      </c>
    </row>
    <row r="238" spans="1:11" x14ac:dyDescent="0.25">
      <c r="A238">
        <v>1908394</v>
      </c>
      <c r="B238" s="1">
        <v>42921</v>
      </c>
      <c r="C238" s="2">
        <v>0.45825231481481482</v>
      </c>
      <c r="D238" s="2">
        <v>0.46818287037037037</v>
      </c>
      <c r="G238" s="4">
        <v>2571251</v>
      </c>
      <c r="H238">
        <v>1</v>
      </c>
      <c r="J238">
        <v>5111892302</v>
      </c>
      <c r="K238">
        <v>2</v>
      </c>
    </row>
    <row r="239" spans="1:11" x14ac:dyDescent="0.25">
      <c r="A239">
        <v>19116274</v>
      </c>
      <c r="B239" s="1">
        <v>42921</v>
      </c>
      <c r="C239" s="2">
        <v>0.46032407407407405</v>
      </c>
      <c r="D239" s="2">
        <v>0.46797453703703706</v>
      </c>
      <c r="G239" s="4">
        <v>2573868</v>
      </c>
      <c r="H239">
        <v>1</v>
      </c>
      <c r="J239">
        <v>5341697748</v>
      </c>
      <c r="K239">
        <v>2</v>
      </c>
    </row>
    <row r="240" spans="1:11" x14ac:dyDescent="0.25">
      <c r="A240">
        <v>1235622</v>
      </c>
      <c r="B240" s="1">
        <v>42921</v>
      </c>
      <c r="C240" s="2">
        <v>0.46460648148148148</v>
      </c>
      <c r="D240" s="2">
        <v>0.47087962962962965</v>
      </c>
      <c r="G240" s="4">
        <v>2584185</v>
      </c>
      <c r="H240">
        <v>1</v>
      </c>
      <c r="J240">
        <v>6275284312</v>
      </c>
      <c r="K240">
        <v>2</v>
      </c>
    </row>
    <row r="241" spans="1:11" x14ac:dyDescent="0.25">
      <c r="A241">
        <v>1926053</v>
      </c>
      <c r="B241" s="1">
        <v>42921</v>
      </c>
      <c r="C241" s="2">
        <v>0.46751157407407407</v>
      </c>
      <c r="D241" s="2">
        <v>0.46879629629629632</v>
      </c>
      <c r="G241" s="4">
        <v>2585298</v>
      </c>
      <c r="H241">
        <v>1</v>
      </c>
      <c r="J241">
        <v>6561564994</v>
      </c>
      <c r="K241">
        <v>2</v>
      </c>
    </row>
    <row r="242" spans="1:11" x14ac:dyDescent="0.25">
      <c r="A242">
        <v>1458287</v>
      </c>
      <c r="B242" s="1">
        <v>42921</v>
      </c>
      <c r="C242" s="2">
        <v>0.47060185185185183</v>
      </c>
      <c r="D242" s="2">
        <v>0.47584490740740742</v>
      </c>
      <c r="G242" s="4">
        <v>2590674</v>
      </c>
      <c r="H242">
        <v>1</v>
      </c>
      <c r="J242">
        <v>1003402</v>
      </c>
      <c r="K242">
        <v>1</v>
      </c>
    </row>
    <row r="243" spans="1:11" x14ac:dyDescent="0.25">
      <c r="A243">
        <v>3758539398</v>
      </c>
      <c r="B243" s="1">
        <v>42921</v>
      </c>
      <c r="C243" s="2">
        <v>0.47296296296296297</v>
      </c>
      <c r="D243" s="2">
        <v>0.47506944444444443</v>
      </c>
      <c r="G243" s="4">
        <v>2603125</v>
      </c>
      <c r="H243">
        <v>1</v>
      </c>
      <c r="J243">
        <v>1015521</v>
      </c>
      <c r="K243">
        <v>1</v>
      </c>
    </row>
    <row r="244" spans="1:11" x14ac:dyDescent="0.25">
      <c r="A244">
        <v>8471021</v>
      </c>
      <c r="B244" s="1">
        <v>42921</v>
      </c>
      <c r="C244" s="2">
        <v>0.47431712962962963</v>
      </c>
      <c r="D244" s="2">
        <v>0.47746527777777775</v>
      </c>
      <c r="G244" s="4">
        <v>2604004</v>
      </c>
      <c r="H244">
        <v>1</v>
      </c>
      <c r="J244">
        <v>1025756</v>
      </c>
      <c r="K244">
        <v>1</v>
      </c>
    </row>
    <row r="245" spans="1:11" x14ac:dyDescent="0.25">
      <c r="A245">
        <v>4039284</v>
      </c>
      <c r="B245" s="1">
        <v>42921</v>
      </c>
      <c r="C245" s="2">
        <v>0.47684027777777777</v>
      </c>
      <c r="D245" s="2">
        <v>0.4824074074074074</v>
      </c>
      <c r="G245" s="4">
        <v>2611045</v>
      </c>
      <c r="H245">
        <v>1</v>
      </c>
      <c r="J245">
        <v>1026326</v>
      </c>
      <c r="K245">
        <v>1</v>
      </c>
    </row>
    <row r="246" spans="1:11" x14ac:dyDescent="0.25">
      <c r="A246">
        <v>3177370</v>
      </c>
      <c r="B246" s="1">
        <v>42921</v>
      </c>
      <c r="C246" s="2">
        <v>0.47972222222222222</v>
      </c>
      <c r="D246" s="2">
        <v>0.48660879629629628</v>
      </c>
      <c r="G246" s="4">
        <v>2619219</v>
      </c>
      <c r="H246">
        <v>2</v>
      </c>
      <c r="J246">
        <v>1035023</v>
      </c>
      <c r="K246">
        <v>1</v>
      </c>
    </row>
    <row r="247" spans="1:11" x14ac:dyDescent="0.25">
      <c r="A247">
        <v>7236035</v>
      </c>
      <c r="B247" s="1">
        <v>42921</v>
      </c>
      <c r="C247" s="2">
        <v>0.48149305555555555</v>
      </c>
      <c r="D247" s="2">
        <v>0.48582175925925924</v>
      </c>
      <c r="G247" s="4">
        <v>2631285</v>
      </c>
      <c r="H247">
        <v>1</v>
      </c>
      <c r="J247">
        <v>1043289</v>
      </c>
      <c r="K247">
        <v>1</v>
      </c>
    </row>
    <row r="248" spans="1:11" x14ac:dyDescent="0.25">
      <c r="A248">
        <v>6689117</v>
      </c>
      <c r="B248" s="1">
        <v>42921</v>
      </c>
      <c r="C248" s="2">
        <v>0.48554398148148148</v>
      </c>
      <c r="D248" s="2">
        <v>0.49553240740740739</v>
      </c>
      <c r="G248" s="4">
        <v>2635121</v>
      </c>
      <c r="H248">
        <v>1</v>
      </c>
      <c r="J248">
        <v>1047809</v>
      </c>
      <c r="K248">
        <v>1</v>
      </c>
    </row>
    <row r="249" spans="1:11" x14ac:dyDescent="0.25">
      <c r="A249">
        <v>4824267</v>
      </c>
      <c r="B249" s="1">
        <v>42921</v>
      </c>
      <c r="C249" s="2">
        <v>0.4871875</v>
      </c>
      <c r="D249" s="2">
        <v>0.49509259259259258</v>
      </c>
      <c r="G249" s="4">
        <v>2636055</v>
      </c>
      <c r="H249">
        <v>1</v>
      </c>
      <c r="J249">
        <v>1055495</v>
      </c>
      <c r="K249">
        <v>1</v>
      </c>
    </row>
    <row r="250" spans="1:11" x14ac:dyDescent="0.25">
      <c r="A250">
        <v>6978234</v>
      </c>
      <c r="B250" s="1">
        <v>42921</v>
      </c>
      <c r="C250" s="2">
        <v>0.48873842592592592</v>
      </c>
      <c r="D250" s="2">
        <v>0.49131944444444442</v>
      </c>
      <c r="G250" s="4">
        <v>2644526</v>
      </c>
      <c r="H250">
        <v>1</v>
      </c>
      <c r="J250">
        <v>1068000</v>
      </c>
      <c r="K250">
        <v>1</v>
      </c>
    </row>
    <row r="251" spans="1:11" x14ac:dyDescent="0.25">
      <c r="A251">
        <v>2158377</v>
      </c>
      <c r="B251" s="1">
        <v>42921</v>
      </c>
      <c r="C251" s="2">
        <v>0.49149305555555556</v>
      </c>
      <c r="D251" s="2">
        <v>0.49283564814814818</v>
      </c>
      <c r="G251" s="4">
        <v>2645518</v>
      </c>
      <c r="H251">
        <v>1</v>
      </c>
      <c r="J251">
        <v>1089768</v>
      </c>
      <c r="K251">
        <v>1</v>
      </c>
    </row>
    <row r="252" spans="1:11" x14ac:dyDescent="0.25">
      <c r="A252">
        <v>73970924</v>
      </c>
      <c r="B252" s="1">
        <v>42921</v>
      </c>
      <c r="C252" s="2">
        <v>0.49336805555555557</v>
      </c>
      <c r="D252" s="2">
        <v>0.49403935185185183</v>
      </c>
      <c r="G252" s="4">
        <v>2653312</v>
      </c>
      <c r="H252">
        <v>1</v>
      </c>
      <c r="J252">
        <v>1092699</v>
      </c>
      <c r="K252">
        <v>1</v>
      </c>
    </row>
    <row r="253" spans="1:11" x14ac:dyDescent="0.25">
      <c r="A253">
        <v>6927270</v>
      </c>
      <c r="B253" s="1">
        <v>42921</v>
      </c>
      <c r="C253" s="2">
        <v>0.49571759259259257</v>
      </c>
      <c r="D253" s="2">
        <v>0.50516203703703699</v>
      </c>
      <c r="G253" s="4">
        <v>2663800</v>
      </c>
      <c r="H253">
        <v>1</v>
      </c>
      <c r="J253">
        <v>1100142</v>
      </c>
      <c r="K253">
        <v>1</v>
      </c>
    </row>
    <row r="254" spans="1:11" x14ac:dyDescent="0.25">
      <c r="A254">
        <v>7318247385</v>
      </c>
      <c r="B254" s="1">
        <v>42921</v>
      </c>
      <c r="C254" s="2">
        <v>0.49596064814814816</v>
      </c>
      <c r="D254" s="2">
        <v>0.49886574074074075</v>
      </c>
      <c r="G254" s="4">
        <v>2668991</v>
      </c>
      <c r="H254">
        <v>2</v>
      </c>
      <c r="J254">
        <v>1117708</v>
      </c>
      <c r="K254">
        <v>1</v>
      </c>
    </row>
    <row r="255" spans="1:11" x14ac:dyDescent="0.25">
      <c r="A255">
        <v>1579531</v>
      </c>
      <c r="B255" s="1">
        <v>42921</v>
      </c>
      <c r="C255" s="2">
        <v>0.50134259259259262</v>
      </c>
      <c r="D255" s="2">
        <v>0.50873842592592589</v>
      </c>
      <c r="G255" s="4">
        <v>2672229</v>
      </c>
      <c r="H255">
        <v>1</v>
      </c>
      <c r="J255">
        <v>1119016</v>
      </c>
      <c r="K255">
        <v>1</v>
      </c>
    </row>
    <row r="256" spans="1:11" x14ac:dyDescent="0.25">
      <c r="A256">
        <v>9593481</v>
      </c>
      <c r="B256" s="1">
        <v>42921</v>
      </c>
      <c r="C256" s="2">
        <v>0.50179398148148147</v>
      </c>
      <c r="D256" s="2">
        <v>0.50248842592592591</v>
      </c>
      <c r="G256" s="4">
        <v>2675422</v>
      </c>
      <c r="H256">
        <v>1</v>
      </c>
      <c r="J256">
        <v>1138033</v>
      </c>
      <c r="K256">
        <v>1</v>
      </c>
    </row>
    <row r="257" spans="1:11" x14ac:dyDescent="0.25">
      <c r="A257">
        <v>6657074</v>
      </c>
      <c r="B257" s="1">
        <v>42921</v>
      </c>
      <c r="C257" s="2">
        <v>0.50288194444444445</v>
      </c>
      <c r="D257" s="2">
        <v>0.51248842592592592</v>
      </c>
      <c r="G257" s="4">
        <v>2684831</v>
      </c>
      <c r="H257">
        <v>1</v>
      </c>
      <c r="J257">
        <v>1157434</v>
      </c>
      <c r="K257">
        <v>1</v>
      </c>
    </row>
    <row r="258" spans="1:11" x14ac:dyDescent="0.25">
      <c r="A258">
        <v>1488369</v>
      </c>
      <c r="B258" s="1">
        <v>42921</v>
      </c>
      <c r="C258" s="2">
        <v>0.50457175925925923</v>
      </c>
      <c r="D258" s="2">
        <v>0.51533564814814814</v>
      </c>
      <c r="G258" s="4">
        <v>2697566</v>
      </c>
      <c r="H258">
        <v>1</v>
      </c>
      <c r="J258">
        <v>1158631</v>
      </c>
      <c r="K258">
        <v>1</v>
      </c>
    </row>
    <row r="259" spans="1:11" x14ac:dyDescent="0.25">
      <c r="A259">
        <v>1797960</v>
      </c>
      <c r="B259" s="1">
        <v>42921</v>
      </c>
      <c r="C259" s="2">
        <v>0.51026620370370368</v>
      </c>
      <c r="D259" s="2">
        <v>0.51557870370370373</v>
      </c>
      <c r="G259" s="4">
        <v>2701816</v>
      </c>
      <c r="H259">
        <v>1</v>
      </c>
      <c r="J259">
        <v>1159432</v>
      </c>
      <c r="K259">
        <v>1</v>
      </c>
    </row>
    <row r="260" spans="1:11" x14ac:dyDescent="0.25">
      <c r="A260">
        <v>65923776</v>
      </c>
      <c r="B260" s="1">
        <v>42921</v>
      </c>
      <c r="C260" s="2">
        <v>0.51388888888888884</v>
      </c>
      <c r="D260" s="2">
        <v>0.51673611111111106</v>
      </c>
      <c r="G260" s="4">
        <v>2722706</v>
      </c>
      <c r="H260">
        <v>2</v>
      </c>
      <c r="J260">
        <v>1160932</v>
      </c>
      <c r="K260">
        <v>1</v>
      </c>
    </row>
    <row r="261" spans="1:11" x14ac:dyDescent="0.25">
      <c r="A261">
        <v>3407358</v>
      </c>
      <c r="B261" s="1">
        <v>42921</v>
      </c>
      <c r="C261" s="2">
        <v>0.51827546296296301</v>
      </c>
      <c r="D261" s="2">
        <v>0.51986111111111111</v>
      </c>
      <c r="G261" s="4">
        <v>2723614</v>
      </c>
      <c r="H261">
        <v>1</v>
      </c>
      <c r="J261">
        <v>1165705</v>
      </c>
      <c r="K261">
        <v>1</v>
      </c>
    </row>
    <row r="262" spans="1:11" x14ac:dyDescent="0.25">
      <c r="A262">
        <v>1887758</v>
      </c>
      <c r="B262" s="1">
        <v>42921</v>
      </c>
      <c r="C262" s="2">
        <v>0.51884259259259258</v>
      </c>
      <c r="D262" s="2">
        <v>0.52637731481481487</v>
      </c>
      <c r="G262" s="4">
        <v>2731955</v>
      </c>
      <c r="H262">
        <v>1</v>
      </c>
      <c r="J262">
        <v>1166111</v>
      </c>
      <c r="K262">
        <v>1</v>
      </c>
    </row>
    <row r="263" spans="1:11" x14ac:dyDescent="0.25">
      <c r="A263">
        <v>9983997</v>
      </c>
      <c r="B263" s="1">
        <v>42921</v>
      </c>
      <c r="C263" s="2">
        <v>0.5242013888888889</v>
      </c>
      <c r="D263" s="2">
        <v>0.53452546296296299</v>
      </c>
      <c r="G263" s="4">
        <v>2733008</v>
      </c>
      <c r="H263">
        <v>1</v>
      </c>
      <c r="J263">
        <v>1177203</v>
      </c>
      <c r="K263">
        <v>1</v>
      </c>
    </row>
    <row r="264" spans="1:11" x14ac:dyDescent="0.25">
      <c r="A264">
        <v>3539762</v>
      </c>
      <c r="B264" s="1">
        <v>42921</v>
      </c>
      <c r="C264" s="2">
        <v>0.5250231481481481</v>
      </c>
      <c r="D264" s="2">
        <v>0.5264699074074074</v>
      </c>
      <c r="G264" s="4">
        <v>2741017</v>
      </c>
      <c r="H264">
        <v>1</v>
      </c>
      <c r="J264">
        <v>1183006</v>
      </c>
      <c r="K264">
        <v>1</v>
      </c>
    </row>
    <row r="265" spans="1:11" x14ac:dyDescent="0.25">
      <c r="A265">
        <v>58067439</v>
      </c>
      <c r="B265" s="1">
        <v>42921</v>
      </c>
      <c r="C265" s="2">
        <v>0.52607638888888886</v>
      </c>
      <c r="D265" s="2">
        <v>0.52662037037037035</v>
      </c>
      <c r="G265" s="4">
        <v>2750193</v>
      </c>
      <c r="H265">
        <v>1</v>
      </c>
      <c r="J265">
        <v>1192412</v>
      </c>
      <c r="K265">
        <v>1</v>
      </c>
    </row>
    <row r="266" spans="1:11" x14ac:dyDescent="0.25">
      <c r="A266">
        <v>6760428735</v>
      </c>
      <c r="B266" s="1">
        <v>42921</v>
      </c>
      <c r="C266" s="2">
        <v>0.52811342592592592</v>
      </c>
      <c r="D266" s="2">
        <v>0.53195601851851848</v>
      </c>
      <c r="G266" s="4">
        <v>2753778</v>
      </c>
      <c r="H266">
        <v>1</v>
      </c>
      <c r="J266">
        <v>1197931</v>
      </c>
      <c r="K266">
        <v>1</v>
      </c>
    </row>
    <row r="267" spans="1:11" x14ac:dyDescent="0.25">
      <c r="A267">
        <v>9803006</v>
      </c>
      <c r="B267" s="1">
        <v>42921</v>
      </c>
      <c r="C267" s="2">
        <v>0.53233796296296299</v>
      </c>
      <c r="D267" s="2">
        <v>0.54116898148148151</v>
      </c>
      <c r="G267" s="4">
        <v>2771511</v>
      </c>
      <c r="H267">
        <v>1</v>
      </c>
      <c r="J267">
        <v>1198407</v>
      </c>
      <c r="K267">
        <v>1</v>
      </c>
    </row>
    <row r="268" spans="1:11" x14ac:dyDescent="0.25">
      <c r="A268">
        <v>5312081</v>
      </c>
      <c r="B268" s="1">
        <v>42921</v>
      </c>
      <c r="C268" s="2">
        <v>0.53372685185185187</v>
      </c>
      <c r="D268" s="2">
        <v>0.53991898148148143</v>
      </c>
      <c r="G268" s="4">
        <v>2780765</v>
      </c>
      <c r="H268">
        <v>1</v>
      </c>
      <c r="J268">
        <v>1211446</v>
      </c>
      <c r="K268">
        <v>1</v>
      </c>
    </row>
    <row r="269" spans="1:11" x14ac:dyDescent="0.25">
      <c r="A269">
        <v>7114306</v>
      </c>
      <c r="B269" s="1">
        <v>42921</v>
      </c>
      <c r="C269" s="2">
        <v>0.53607638888888887</v>
      </c>
      <c r="D269" s="2">
        <v>0.54104166666666664</v>
      </c>
      <c r="G269" s="4">
        <v>2781512</v>
      </c>
      <c r="H269">
        <v>2</v>
      </c>
      <c r="J269">
        <v>1219073</v>
      </c>
      <c r="K269">
        <v>1</v>
      </c>
    </row>
    <row r="270" spans="1:11" x14ac:dyDescent="0.25">
      <c r="A270">
        <v>7594764</v>
      </c>
      <c r="B270" s="1">
        <v>42921</v>
      </c>
      <c r="C270" s="2">
        <v>0.53850694444444447</v>
      </c>
      <c r="D270" s="2">
        <v>0.53944444444444439</v>
      </c>
      <c r="G270" s="4">
        <v>2790475</v>
      </c>
      <c r="H270">
        <v>2</v>
      </c>
      <c r="J270">
        <v>1223816</v>
      </c>
      <c r="K270">
        <v>1</v>
      </c>
    </row>
    <row r="271" spans="1:11" x14ac:dyDescent="0.25">
      <c r="A271">
        <v>3004571</v>
      </c>
      <c r="B271" s="1">
        <v>42921</v>
      </c>
      <c r="C271" s="2">
        <v>0.54194444444444445</v>
      </c>
      <c r="D271" s="2">
        <v>0.54666666666666663</v>
      </c>
      <c r="G271" s="4">
        <v>2808052</v>
      </c>
      <c r="H271">
        <v>1</v>
      </c>
      <c r="J271">
        <v>1225082</v>
      </c>
      <c r="K271">
        <v>1</v>
      </c>
    </row>
    <row r="272" spans="1:11" x14ac:dyDescent="0.25">
      <c r="A272">
        <v>6689117</v>
      </c>
      <c r="B272" s="1">
        <v>42921</v>
      </c>
      <c r="C272" s="2">
        <v>0.54609953703703706</v>
      </c>
      <c r="D272" s="2">
        <v>0.55435185185185187</v>
      </c>
      <c r="G272" s="4">
        <v>2814524</v>
      </c>
      <c r="H272">
        <v>1</v>
      </c>
      <c r="J272">
        <v>1233459</v>
      </c>
      <c r="K272">
        <v>1</v>
      </c>
    </row>
    <row r="273" spans="1:11" x14ac:dyDescent="0.25">
      <c r="A273">
        <v>1081610</v>
      </c>
      <c r="B273" s="1">
        <v>42921</v>
      </c>
      <c r="C273" s="2">
        <v>0.54809027777777775</v>
      </c>
      <c r="D273" s="2">
        <v>0.55568287037037034</v>
      </c>
      <c r="G273" s="4">
        <v>2825289</v>
      </c>
      <c r="H273">
        <v>1</v>
      </c>
      <c r="J273">
        <v>1235622</v>
      </c>
      <c r="K273">
        <v>1</v>
      </c>
    </row>
    <row r="274" spans="1:11" x14ac:dyDescent="0.25">
      <c r="A274">
        <v>20220216</v>
      </c>
      <c r="B274" s="1">
        <v>42921</v>
      </c>
      <c r="C274" s="2">
        <v>0.54857638888888893</v>
      </c>
      <c r="D274" s="2">
        <v>0.55879629629629635</v>
      </c>
      <c r="G274" s="4">
        <v>2826868</v>
      </c>
      <c r="H274">
        <v>3</v>
      </c>
      <c r="J274">
        <v>1240369</v>
      </c>
      <c r="K274">
        <v>1</v>
      </c>
    </row>
    <row r="275" spans="1:11" x14ac:dyDescent="0.25">
      <c r="A275">
        <v>79890857</v>
      </c>
      <c r="B275" s="1">
        <v>42921</v>
      </c>
      <c r="C275" s="2">
        <v>0.54859953703703701</v>
      </c>
      <c r="D275" s="2">
        <v>0.55990740740740741</v>
      </c>
      <c r="G275" s="4">
        <v>2828759</v>
      </c>
      <c r="H275">
        <v>1</v>
      </c>
      <c r="J275">
        <v>1263080</v>
      </c>
      <c r="K275">
        <v>1</v>
      </c>
    </row>
    <row r="276" spans="1:11" x14ac:dyDescent="0.25">
      <c r="A276">
        <v>4600571814</v>
      </c>
      <c r="B276" s="1">
        <v>42921</v>
      </c>
      <c r="C276" s="2">
        <v>0.55166666666666664</v>
      </c>
      <c r="D276" s="2">
        <v>0.55865740740740744</v>
      </c>
      <c r="G276" s="4">
        <v>2835355</v>
      </c>
      <c r="H276">
        <v>1</v>
      </c>
      <c r="J276">
        <v>1268336</v>
      </c>
      <c r="K276">
        <v>1</v>
      </c>
    </row>
    <row r="277" spans="1:11" x14ac:dyDescent="0.25">
      <c r="A277">
        <v>1579531</v>
      </c>
      <c r="B277" s="1">
        <v>42921</v>
      </c>
      <c r="C277" s="2">
        <v>0.55266203703703709</v>
      </c>
      <c r="D277" s="2">
        <v>0.56405092592592587</v>
      </c>
      <c r="G277" s="4">
        <v>2838216</v>
      </c>
      <c r="H277">
        <v>1</v>
      </c>
      <c r="J277">
        <v>1269611</v>
      </c>
      <c r="K277">
        <v>1</v>
      </c>
    </row>
    <row r="278" spans="1:11" x14ac:dyDescent="0.25">
      <c r="A278">
        <v>7110850</v>
      </c>
      <c r="B278" s="1">
        <v>42921</v>
      </c>
      <c r="C278" s="2">
        <v>0.55269675925925921</v>
      </c>
      <c r="D278" s="2">
        <v>0.56355324074074076</v>
      </c>
      <c r="G278" s="4">
        <v>2841969</v>
      </c>
      <c r="H278">
        <v>1</v>
      </c>
      <c r="J278">
        <v>1279245</v>
      </c>
      <c r="K278">
        <v>1</v>
      </c>
    </row>
    <row r="279" spans="1:11" x14ac:dyDescent="0.25">
      <c r="A279">
        <v>18036364</v>
      </c>
      <c r="B279" s="1">
        <v>42921</v>
      </c>
      <c r="C279" s="2">
        <v>0.55847222222222226</v>
      </c>
      <c r="D279" s="2">
        <v>0.56166666666666665</v>
      </c>
      <c r="G279" s="4">
        <v>2844911</v>
      </c>
      <c r="H279">
        <v>1</v>
      </c>
      <c r="J279">
        <v>1288637</v>
      </c>
      <c r="K279">
        <v>1</v>
      </c>
    </row>
    <row r="280" spans="1:11" x14ac:dyDescent="0.25">
      <c r="A280">
        <v>6712006</v>
      </c>
      <c r="B280" s="1">
        <v>42921</v>
      </c>
      <c r="C280" s="2">
        <v>0.56106481481481485</v>
      </c>
      <c r="D280" s="2">
        <v>0.56716435185185188</v>
      </c>
      <c r="G280" s="4">
        <v>2849439</v>
      </c>
      <c r="H280">
        <v>1</v>
      </c>
      <c r="J280">
        <v>1294973</v>
      </c>
      <c r="K280">
        <v>1</v>
      </c>
    </row>
    <row r="281" spans="1:11" x14ac:dyDescent="0.25">
      <c r="A281">
        <v>5646830</v>
      </c>
      <c r="B281" s="1">
        <v>42921</v>
      </c>
      <c r="C281" s="2">
        <v>0.56361111111111106</v>
      </c>
      <c r="D281" s="2">
        <v>0.57469907407407406</v>
      </c>
      <c r="G281" s="4">
        <v>2853860</v>
      </c>
      <c r="H281">
        <v>1</v>
      </c>
      <c r="J281">
        <v>1296262</v>
      </c>
      <c r="K281">
        <v>1</v>
      </c>
    </row>
    <row r="282" spans="1:11" x14ac:dyDescent="0.25">
      <c r="A282">
        <v>38535407</v>
      </c>
      <c r="B282" s="1">
        <v>42921</v>
      </c>
      <c r="C282" s="2">
        <v>0.56568287037037035</v>
      </c>
      <c r="D282" s="2">
        <v>0.56981481481481477</v>
      </c>
      <c r="G282" s="4">
        <v>2861766</v>
      </c>
      <c r="H282">
        <v>2</v>
      </c>
      <c r="J282">
        <v>1301099</v>
      </c>
      <c r="K282">
        <v>1</v>
      </c>
    </row>
    <row r="283" spans="1:11" x14ac:dyDescent="0.25">
      <c r="A283">
        <v>66871690</v>
      </c>
      <c r="B283" s="1">
        <v>42921</v>
      </c>
      <c r="C283" s="2">
        <v>0.56703703703703701</v>
      </c>
      <c r="D283" s="2">
        <v>0.57664351851851847</v>
      </c>
      <c r="G283" s="4">
        <v>2866546</v>
      </c>
      <c r="H283">
        <v>1</v>
      </c>
      <c r="J283">
        <v>1302112</v>
      </c>
      <c r="K283">
        <v>1</v>
      </c>
    </row>
    <row r="284" spans="1:11" x14ac:dyDescent="0.25">
      <c r="A284">
        <v>7085993</v>
      </c>
      <c r="B284" s="1">
        <v>42921</v>
      </c>
      <c r="C284" s="2">
        <v>0.57192129629629629</v>
      </c>
      <c r="D284" s="2">
        <v>0.57506944444444441</v>
      </c>
      <c r="G284" s="4">
        <v>2873323</v>
      </c>
      <c r="H284">
        <v>1</v>
      </c>
      <c r="J284">
        <v>1302842</v>
      </c>
      <c r="K284">
        <v>1</v>
      </c>
    </row>
    <row r="285" spans="1:11" x14ac:dyDescent="0.25">
      <c r="A285">
        <v>2890720</v>
      </c>
      <c r="B285" s="1">
        <v>42921</v>
      </c>
      <c r="C285" s="2">
        <v>0.57589120370370372</v>
      </c>
      <c r="D285" s="2">
        <v>0.57648148148148148</v>
      </c>
      <c r="G285" s="4">
        <v>2890720</v>
      </c>
      <c r="H285">
        <v>1</v>
      </c>
      <c r="J285">
        <v>1309359</v>
      </c>
      <c r="K285">
        <v>1</v>
      </c>
    </row>
    <row r="286" spans="1:11" x14ac:dyDescent="0.25">
      <c r="A286">
        <v>8375968</v>
      </c>
      <c r="B286" s="1">
        <v>42921</v>
      </c>
      <c r="C286" s="2">
        <v>0.5786458333333333</v>
      </c>
      <c r="D286" s="2">
        <v>0.57954861111111111</v>
      </c>
      <c r="G286" s="4">
        <v>2900584</v>
      </c>
      <c r="H286">
        <v>1</v>
      </c>
      <c r="J286">
        <v>1316116</v>
      </c>
      <c r="K286">
        <v>1</v>
      </c>
    </row>
    <row r="287" spans="1:11" x14ac:dyDescent="0.25">
      <c r="A287">
        <v>1119740</v>
      </c>
      <c r="B287" s="1">
        <v>42921</v>
      </c>
      <c r="C287" s="2">
        <v>0.57876157407407403</v>
      </c>
      <c r="D287" s="2">
        <v>0.5811574074074074</v>
      </c>
      <c r="G287" s="4">
        <v>2912297</v>
      </c>
      <c r="H287">
        <v>1</v>
      </c>
      <c r="J287">
        <v>1319121</v>
      </c>
      <c r="K287">
        <v>1</v>
      </c>
    </row>
    <row r="288" spans="1:11" x14ac:dyDescent="0.25">
      <c r="A288">
        <v>3796958</v>
      </c>
      <c r="B288" s="1">
        <v>42921</v>
      </c>
      <c r="C288" s="2">
        <v>0.57901620370370366</v>
      </c>
      <c r="D288" s="2">
        <v>0.58940972222222221</v>
      </c>
      <c r="G288" s="4">
        <v>2915745</v>
      </c>
      <c r="H288">
        <v>2</v>
      </c>
      <c r="J288">
        <v>1331802</v>
      </c>
      <c r="K288">
        <v>1</v>
      </c>
    </row>
    <row r="289" spans="1:11" x14ac:dyDescent="0.25">
      <c r="A289">
        <v>8010775</v>
      </c>
      <c r="B289" s="1">
        <v>42921</v>
      </c>
      <c r="C289" s="2">
        <v>0.58275462962962965</v>
      </c>
      <c r="D289" s="2">
        <v>0.5852546296296296</v>
      </c>
      <c r="G289" s="4">
        <v>2920581</v>
      </c>
      <c r="H289">
        <v>1</v>
      </c>
      <c r="J289">
        <v>1332513</v>
      </c>
      <c r="K289">
        <v>1</v>
      </c>
    </row>
    <row r="290" spans="1:11" x14ac:dyDescent="0.25">
      <c r="A290">
        <v>46023878</v>
      </c>
      <c r="B290" s="1">
        <v>42921</v>
      </c>
      <c r="C290" s="2">
        <v>0.58829861111111115</v>
      </c>
      <c r="D290" s="2">
        <v>0.59641203703703705</v>
      </c>
      <c r="G290" s="4">
        <v>2922327</v>
      </c>
      <c r="H290">
        <v>1</v>
      </c>
      <c r="J290">
        <v>1332884</v>
      </c>
      <c r="K290">
        <v>1</v>
      </c>
    </row>
    <row r="291" spans="1:11" x14ac:dyDescent="0.25">
      <c r="A291">
        <v>3379007610</v>
      </c>
      <c r="B291" s="1">
        <v>42921</v>
      </c>
      <c r="C291" s="2">
        <v>0.59281249999999996</v>
      </c>
      <c r="D291" s="2">
        <v>0.59871527777777778</v>
      </c>
      <c r="G291" s="4">
        <v>2928766</v>
      </c>
      <c r="H291">
        <v>1</v>
      </c>
      <c r="J291">
        <v>1337042</v>
      </c>
      <c r="K291">
        <v>1</v>
      </c>
    </row>
    <row r="292" spans="1:11" x14ac:dyDescent="0.25">
      <c r="A292">
        <v>2890519255</v>
      </c>
      <c r="B292" s="1">
        <v>42921</v>
      </c>
      <c r="C292" s="2">
        <v>0.59557870370370369</v>
      </c>
      <c r="D292" s="2">
        <v>0.59930555555555554</v>
      </c>
      <c r="G292" s="4">
        <v>2947035</v>
      </c>
      <c r="H292">
        <v>1</v>
      </c>
      <c r="J292">
        <v>1340323</v>
      </c>
      <c r="K292">
        <v>1</v>
      </c>
    </row>
    <row r="293" spans="1:11" x14ac:dyDescent="0.25">
      <c r="A293">
        <v>27858818</v>
      </c>
      <c r="B293" s="1">
        <v>42921</v>
      </c>
      <c r="C293" s="2">
        <v>0.59718749999999998</v>
      </c>
      <c r="D293" s="2">
        <v>0.60711805555555554</v>
      </c>
      <c r="G293" s="4">
        <v>2947660</v>
      </c>
      <c r="H293">
        <v>1</v>
      </c>
      <c r="J293">
        <v>1345591</v>
      </c>
      <c r="K293">
        <v>1</v>
      </c>
    </row>
    <row r="294" spans="1:11" x14ac:dyDescent="0.25">
      <c r="A294">
        <v>5076649</v>
      </c>
      <c r="B294" s="1">
        <v>42921</v>
      </c>
      <c r="C294" s="2">
        <v>0.59803240740740737</v>
      </c>
      <c r="D294" s="2">
        <v>0.60223379629629625</v>
      </c>
      <c r="G294" s="4">
        <v>2947889</v>
      </c>
      <c r="H294">
        <v>2</v>
      </c>
      <c r="J294">
        <v>1355775</v>
      </c>
      <c r="K294">
        <v>1</v>
      </c>
    </row>
    <row r="295" spans="1:11" x14ac:dyDescent="0.25">
      <c r="A295">
        <v>70367818</v>
      </c>
      <c r="B295" s="1">
        <v>42921</v>
      </c>
      <c r="C295" s="2">
        <v>0.5982291666666667</v>
      </c>
      <c r="D295" s="2">
        <v>0.60077546296296291</v>
      </c>
      <c r="G295" s="4">
        <v>2963652</v>
      </c>
      <c r="H295">
        <v>1</v>
      </c>
      <c r="J295">
        <v>1365581</v>
      </c>
      <c r="K295">
        <v>1</v>
      </c>
    </row>
    <row r="296" spans="1:11" x14ac:dyDescent="0.25">
      <c r="A296">
        <v>9788998</v>
      </c>
      <c r="B296" s="1">
        <v>42921</v>
      </c>
      <c r="C296" s="2">
        <v>0.60070601851851857</v>
      </c>
      <c r="D296" s="2">
        <v>0.6075694444444445</v>
      </c>
      <c r="G296" s="4">
        <v>2969264</v>
      </c>
      <c r="H296">
        <v>1</v>
      </c>
      <c r="J296">
        <v>1384299</v>
      </c>
      <c r="K296">
        <v>1</v>
      </c>
    </row>
    <row r="297" spans="1:11" x14ac:dyDescent="0.25">
      <c r="A297">
        <v>1951101</v>
      </c>
      <c r="B297" s="1">
        <v>42921</v>
      </c>
      <c r="C297" s="2">
        <v>0.60379629629629628</v>
      </c>
      <c r="D297" s="2">
        <v>0.6139930555555555</v>
      </c>
      <c r="G297" s="4">
        <v>2985743</v>
      </c>
      <c r="H297">
        <v>1</v>
      </c>
      <c r="J297">
        <v>1390402</v>
      </c>
      <c r="K297">
        <v>1</v>
      </c>
    </row>
    <row r="298" spans="1:11" x14ac:dyDescent="0.25">
      <c r="A298">
        <v>4546455</v>
      </c>
      <c r="B298" s="1">
        <v>42921</v>
      </c>
      <c r="C298" s="2">
        <v>0.6040740740740741</v>
      </c>
      <c r="D298" s="2">
        <v>0.61181712962962964</v>
      </c>
      <c r="G298" s="4">
        <v>2989192</v>
      </c>
      <c r="H298">
        <v>1</v>
      </c>
      <c r="J298">
        <v>1391272</v>
      </c>
      <c r="K298">
        <v>1</v>
      </c>
    </row>
    <row r="299" spans="1:11" x14ac:dyDescent="0.25">
      <c r="A299">
        <v>12687991</v>
      </c>
      <c r="B299" s="1">
        <v>42921</v>
      </c>
      <c r="C299" s="2">
        <v>0.60660879629629627</v>
      </c>
      <c r="D299" s="2">
        <v>0.6086921296296296</v>
      </c>
      <c r="G299" s="4">
        <v>3004571</v>
      </c>
      <c r="H299">
        <v>1</v>
      </c>
      <c r="J299">
        <v>1405478</v>
      </c>
      <c r="K299">
        <v>1</v>
      </c>
    </row>
    <row r="300" spans="1:11" x14ac:dyDescent="0.25">
      <c r="A300">
        <v>4328583</v>
      </c>
      <c r="B300" s="1">
        <v>42921</v>
      </c>
      <c r="C300" s="2">
        <v>0.60927083333333332</v>
      </c>
      <c r="D300" s="2">
        <v>0.61127314814814815</v>
      </c>
      <c r="G300" s="4">
        <v>3004967</v>
      </c>
      <c r="H300">
        <v>1</v>
      </c>
      <c r="J300">
        <v>1409543</v>
      </c>
      <c r="K300">
        <v>1</v>
      </c>
    </row>
    <row r="301" spans="1:11" x14ac:dyDescent="0.25">
      <c r="A301">
        <v>2184116</v>
      </c>
      <c r="B301" s="1">
        <v>42921</v>
      </c>
      <c r="C301" s="2">
        <v>0.61251157407407408</v>
      </c>
      <c r="D301" s="2">
        <v>0.61998842592592596</v>
      </c>
      <c r="G301" s="4">
        <v>3017523</v>
      </c>
      <c r="H301">
        <v>3</v>
      </c>
      <c r="J301">
        <v>1415198</v>
      </c>
      <c r="K301">
        <v>1</v>
      </c>
    </row>
    <row r="302" spans="1:11" x14ac:dyDescent="0.25">
      <c r="A302">
        <v>24724570</v>
      </c>
      <c r="B302" s="1">
        <v>42921</v>
      </c>
      <c r="C302" s="2">
        <v>0.61430555555555555</v>
      </c>
      <c r="D302" s="2">
        <v>0.61843749999999997</v>
      </c>
      <c r="G302" s="4">
        <v>3018218</v>
      </c>
      <c r="H302">
        <v>1</v>
      </c>
      <c r="J302">
        <v>1418351</v>
      </c>
      <c r="K302">
        <v>1</v>
      </c>
    </row>
    <row r="303" spans="1:11" x14ac:dyDescent="0.25">
      <c r="A303">
        <v>4843076</v>
      </c>
      <c r="B303" s="1">
        <v>42921</v>
      </c>
      <c r="C303" s="2">
        <v>0.61957175925925922</v>
      </c>
      <c r="D303" s="2">
        <v>0.62241898148148145</v>
      </c>
      <c r="G303" s="4">
        <v>3025855</v>
      </c>
      <c r="H303">
        <v>1</v>
      </c>
      <c r="J303">
        <v>1431491</v>
      </c>
      <c r="K303">
        <v>1</v>
      </c>
    </row>
    <row r="304" spans="1:11" x14ac:dyDescent="0.25">
      <c r="A304">
        <v>7795911</v>
      </c>
      <c r="B304" s="1">
        <v>42921</v>
      </c>
      <c r="C304" s="2">
        <v>0.62047453703703703</v>
      </c>
      <c r="D304" s="2">
        <v>0.62715277777777778</v>
      </c>
      <c r="G304" s="4">
        <v>3028093</v>
      </c>
      <c r="H304">
        <v>1</v>
      </c>
      <c r="J304">
        <v>1435049</v>
      </c>
      <c r="K304">
        <v>1</v>
      </c>
    </row>
    <row r="305" spans="1:11" x14ac:dyDescent="0.25">
      <c r="A305">
        <v>42722517</v>
      </c>
      <c r="B305" s="1">
        <v>42921</v>
      </c>
      <c r="C305" s="2">
        <v>0.62094907407407407</v>
      </c>
      <c r="D305" s="2">
        <v>0.62687499999999996</v>
      </c>
      <c r="G305" s="4">
        <v>3029994</v>
      </c>
      <c r="H305">
        <v>1</v>
      </c>
      <c r="J305">
        <v>1439114</v>
      </c>
      <c r="K305">
        <v>1</v>
      </c>
    </row>
    <row r="306" spans="1:11" x14ac:dyDescent="0.25">
      <c r="A306">
        <v>9697189</v>
      </c>
      <c r="B306" s="1">
        <v>42921</v>
      </c>
      <c r="C306" s="2">
        <v>0.62251157407407409</v>
      </c>
      <c r="D306" s="2">
        <v>0.6234143518518519</v>
      </c>
      <c r="G306" s="4">
        <v>3040267</v>
      </c>
      <c r="H306">
        <v>1</v>
      </c>
      <c r="J306">
        <v>1451455</v>
      </c>
      <c r="K306">
        <v>1</v>
      </c>
    </row>
    <row r="307" spans="1:11" x14ac:dyDescent="0.25">
      <c r="A307">
        <v>4471203</v>
      </c>
      <c r="B307" s="1">
        <v>42921</v>
      </c>
      <c r="C307" s="2">
        <v>0.62403935185185189</v>
      </c>
      <c r="D307" s="2">
        <v>0.62936342592592598</v>
      </c>
      <c r="G307" s="4">
        <v>3072421</v>
      </c>
      <c r="H307">
        <v>1</v>
      </c>
      <c r="J307">
        <v>1454555</v>
      </c>
      <c r="K307">
        <v>1</v>
      </c>
    </row>
    <row r="308" spans="1:11" x14ac:dyDescent="0.25">
      <c r="A308">
        <v>1439114</v>
      </c>
      <c r="B308" s="1">
        <v>42921</v>
      </c>
      <c r="C308" s="2">
        <v>0.62589120370370366</v>
      </c>
      <c r="D308" s="2">
        <v>0.62774305555555554</v>
      </c>
      <c r="G308" s="4">
        <v>3073815</v>
      </c>
      <c r="H308">
        <v>1</v>
      </c>
      <c r="J308">
        <v>1457083</v>
      </c>
      <c r="K308">
        <v>1</v>
      </c>
    </row>
    <row r="309" spans="1:11" x14ac:dyDescent="0.25">
      <c r="A309">
        <v>5822881</v>
      </c>
      <c r="B309" s="1">
        <v>42922</v>
      </c>
      <c r="C309" s="2">
        <v>0.33555555555555555</v>
      </c>
      <c r="D309" s="2">
        <v>0.34137731481481481</v>
      </c>
      <c r="G309" s="4">
        <v>3086185</v>
      </c>
      <c r="H309">
        <v>2</v>
      </c>
      <c r="J309">
        <v>1458287</v>
      </c>
      <c r="K309">
        <v>1</v>
      </c>
    </row>
    <row r="310" spans="1:11" x14ac:dyDescent="0.25">
      <c r="A310">
        <v>6027120</v>
      </c>
      <c r="B310" s="1">
        <v>42922</v>
      </c>
      <c r="C310" s="2">
        <v>0.33814814814814814</v>
      </c>
      <c r="D310" s="2">
        <v>0.34232638888888889</v>
      </c>
      <c r="G310" s="4">
        <v>3087246</v>
      </c>
      <c r="H310">
        <v>1</v>
      </c>
      <c r="J310">
        <v>1462418</v>
      </c>
      <c r="K310">
        <v>1</v>
      </c>
    </row>
    <row r="311" spans="1:11" x14ac:dyDescent="0.25">
      <c r="A311">
        <v>2790475</v>
      </c>
      <c r="B311" s="1">
        <v>42922</v>
      </c>
      <c r="C311" s="2">
        <v>0.34349537037037037</v>
      </c>
      <c r="D311" s="2">
        <v>0.34965277777777776</v>
      </c>
      <c r="G311" s="4">
        <v>3093964</v>
      </c>
      <c r="H311">
        <v>1</v>
      </c>
      <c r="J311">
        <v>1469705</v>
      </c>
      <c r="K311">
        <v>1</v>
      </c>
    </row>
    <row r="312" spans="1:11" x14ac:dyDescent="0.25">
      <c r="A312">
        <v>30893038</v>
      </c>
      <c r="B312" s="1">
        <v>42922</v>
      </c>
      <c r="C312" s="2">
        <v>0.34708333333333335</v>
      </c>
      <c r="D312" s="2">
        <v>0.34912037037037036</v>
      </c>
      <c r="G312" s="4">
        <v>3095218</v>
      </c>
      <c r="H312">
        <v>4</v>
      </c>
      <c r="J312">
        <v>1472253</v>
      </c>
      <c r="K312">
        <v>1</v>
      </c>
    </row>
    <row r="313" spans="1:11" x14ac:dyDescent="0.25">
      <c r="A313">
        <v>5076649</v>
      </c>
      <c r="B313" s="1">
        <v>42922</v>
      </c>
      <c r="C313" s="2">
        <v>0.35163194444444446</v>
      </c>
      <c r="D313" s="2">
        <v>0.35670138888888892</v>
      </c>
      <c r="G313" s="4">
        <v>3102910</v>
      </c>
      <c r="H313">
        <v>1</v>
      </c>
      <c r="J313">
        <v>1472682</v>
      </c>
      <c r="K313">
        <v>1</v>
      </c>
    </row>
    <row r="314" spans="1:11" x14ac:dyDescent="0.25">
      <c r="A314">
        <v>5013602</v>
      </c>
      <c r="B314" s="1">
        <v>42922</v>
      </c>
      <c r="C314" s="2">
        <v>0.35531249999999998</v>
      </c>
      <c r="D314" s="2">
        <v>0.3630902777777778</v>
      </c>
      <c r="G314" s="4">
        <v>3109039</v>
      </c>
      <c r="H314">
        <v>1</v>
      </c>
      <c r="J314">
        <v>1475008</v>
      </c>
      <c r="K314">
        <v>1</v>
      </c>
    </row>
    <row r="315" spans="1:11" x14ac:dyDescent="0.25">
      <c r="A315">
        <v>5696056</v>
      </c>
      <c r="B315" s="1">
        <v>42922</v>
      </c>
      <c r="C315" s="2">
        <v>0.36097222222222225</v>
      </c>
      <c r="D315" s="2">
        <v>0.36534722222222221</v>
      </c>
      <c r="G315" s="4">
        <v>3109133</v>
      </c>
      <c r="H315">
        <v>1</v>
      </c>
      <c r="J315">
        <v>1475165</v>
      </c>
      <c r="K315">
        <v>1</v>
      </c>
    </row>
    <row r="316" spans="1:11" x14ac:dyDescent="0.25">
      <c r="A316">
        <v>11274735</v>
      </c>
      <c r="B316" s="1">
        <v>42922</v>
      </c>
      <c r="C316" s="2">
        <v>0.36618055555555556</v>
      </c>
      <c r="D316" s="2">
        <v>0.37038194444444444</v>
      </c>
      <c r="G316" s="4">
        <v>3120387</v>
      </c>
      <c r="H316">
        <v>1</v>
      </c>
      <c r="J316">
        <v>1480206</v>
      </c>
      <c r="K316">
        <v>1</v>
      </c>
    </row>
    <row r="317" spans="1:11" x14ac:dyDescent="0.25">
      <c r="A317">
        <v>1158631</v>
      </c>
      <c r="B317" s="1">
        <v>42922</v>
      </c>
      <c r="C317" s="2">
        <v>0.3664351851851852</v>
      </c>
      <c r="D317" s="2">
        <v>0.37646990740740743</v>
      </c>
      <c r="G317" s="4">
        <v>3121640</v>
      </c>
      <c r="H317">
        <v>1</v>
      </c>
      <c r="J317">
        <v>1482340</v>
      </c>
      <c r="K317">
        <v>1</v>
      </c>
    </row>
    <row r="318" spans="1:11" x14ac:dyDescent="0.25">
      <c r="A318">
        <v>6009110</v>
      </c>
      <c r="B318" s="1">
        <v>42922</v>
      </c>
      <c r="C318" s="2">
        <v>0.37092592592592594</v>
      </c>
      <c r="D318" s="2">
        <v>0.37193287037037037</v>
      </c>
      <c r="G318" s="4">
        <v>3121850</v>
      </c>
      <c r="H318">
        <v>1</v>
      </c>
      <c r="J318">
        <v>1500342</v>
      </c>
      <c r="K318">
        <v>1</v>
      </c>
    </row>
    <row r="319" spans="1:11" x14ac:dyDescent="0.25">
      <c r="A319">
        <v>6644360383</v>
      </c>
      <c r="B319" s="1">
        <v>42922</v>
      </c>
      <c r="C319" s="2">
        <v>0.37333333333333335</v>
      </c>
      <c r="D319" s="2">
        <v>0.37968750000000001</v>
      </c>
      <c r="G319" s="4">
        <v>3127402</v>
      </c>
      <c r="H319">
        <v>1</v>
      </c>
      <c r="J319">
        <v>1507196</v>
      </c>
      <c r="K319">
        <v>1</v>
      </c>
    </row>
    <row r="320" spans="1:11" x14ac:dyDescent="0.25">
      <c r="A320">
        <v>6045882</v>
      </c>
      <c r="B320" s="1">
        <v>42922</v>
      </c>
      <c r="C320" s="2">
        <v>0.37799768518518517</v>
      </c>
      <c r="D320" s="2">
        <v>0.38377314814814817</v>
      </c>
      <c r="G320" s="4">
        <v>3131883</v>
      </c>
      <c r="H320">
        <v>2</v>
      </c>
      <c r="J320">
        <v>1508356</v>
      </c>
      <c r="K320">
        <v>1</v>
      </c>
    </row>
    <row r="321" spans="1:11" x14ac:dyDescent="0.25">
      <c r="A321">
        <v>4113351</v>
      </c>
      <c r="B321" s="1">
        <v>42922</v>
      </c>
      <c r="C321" s="2">
        <v>0.37913194444444442</v>
      </c>
      <c r="D321" s="2">
        <v>0.3800115740740741</v>
      </c>
      <c r="G321" s="4">
        <v>3134379</v>
      </c>
      <c r="H321">
        <v>1</v>
      </c>
      <c r="J321">
        <v>1519891</v>
      </c>
      <c r="K321">
        <v>1</v>
      </c>
    </row>
    <row r="322" spans="1:11" x14ac:dyDescent="0.25">
      <c r="A322">
        <v>9777118</v>
      </c>
      <c r="B322" s="1">
        <v>42922</v>
      </c>
      <c r="C322" s="2">
        <v>0.38156250000000003</v>
      </c>
      <c r="D322" s="2">
        <v>0.3878240740740741</v>
      </c>
      <c r="G322" s="4">
        <v>3135285</v>
      </c>
      <c r="H322">
        <v>1</v>
      </c>
      <c r="J322">
        <v>1531672</v>
      </c>
      <c r="K322">
        <v>1</v>
      </c>
    </row>
    <row r="323" spans="1:11" x14ac:dyDescent="0.25">
      <c r="A323">
        <v>1659814</v>
      </c>
      <c r="B323" s="1">
        <v>42922</v>
      </c>
      <c r="C323" s="2">
        <v>0.38416666666666666</v>
      </c>
      <c r="D323" s="2">
        <v>0.39554398148148145</v>
      </c>
      <c r="G323" s="4">
        <v>3136675</v>
      </c>
      <c r="H323">
        <v>1</v>
      </c>
      <c r="J323">
        <v>1552302</v>
      </c>
      <c r="K323">
        <v>1</v>
      </c>
    </row>
    <row r="324" spans="1:11" x14ac:dyDescent="0.25">
      <c r="A324">
        <v>26204415</v>
      </c>
      <c r="B324" s="1">
        <v>42922</v>
      </c>
      <c r="C324" s="2">
        <v>0.38806712962962964</v>
      </c>
      <c r="D324" s="2">
        <v>0.39144675925925926</v>
      </c>
      <c r="G324" s="4">
        <v>3150344</v>
      </c>
      <c r="H324">
        <v>2</v>
      </c>
      <c r="J324">
        <v>1552877</v>
      </c>
      <c r="K324">
        <v>1</v>
      </c>
    </row>
    <row r="325" spans="1:11" x14ac:dyDescent="0.25">
      <c r="A325">
        <v>8471544</v>
      </c>
      <c r="B325" s="1">
        <v>42922</v>
      </c>
      <c r="C325" s="2">
        <v>0.38960648148148147</v>
      </c>
      <c r="D325" s="2">
        <v>0.39498842592592592</v>
      </c>
      <c r="G325" s="4">
        <v>3153023</v>
      </c>
      <c r="H325">
        <v>1</v>
      </c>
      <c r="J325">
        <v>1563816</v>
      </c>
      <c r="K325">
        <v>1</v>
      </c>
    </row>
    <row r="326" spans="1:11" x14ac:dyDescent="0.25">
      <c r="A326">
        <v>3379401</v>
      </c>
      <c r="B326" s="1">
        <v>42922</v>
      </c>
      <c r="C326" s="2">
        <v>0.39466435185185184</v>
      </c>
      <c r="D326" s="2">
        <v>0.40501157407407407</v>
      </c>
      <c r="G326" s="4">
        <v>3153283</v>
      </c>
      <c r="H326">
        <v>1</v>
      </c>
      <c r="J326">
        <v>1586675</v>
      </c>
      <c r="K326">
        <v>1</v>
      </c>
    </row>
    <row r="327" spans="1:11" x14ac:dyDescent="0.25">
      <c r="A327">
        <v>5912377607</v>
      </c>
      <c r="B327" s="1">
        <v>42922</v>
      </c>
      <c r="C327" s="2">
        <v>0.39613425925925927</v>
      </c>
      <c r="D327" s="2">
        <v>0.39868055555555554</v>
      </c>
      <c r="G327" s="4">
        <v>3177370</v>
      </c>
      <c r="H327">
        <v>1</v>
      </c>
      <c r="J327">
        <v>1588418</v>
      </c>
      <c r="K327">
        <v>1</v>
      </c>
    </row>
    <row r="328" spans="1:11" x14ac:dyDescent="0.25">
      <c r="A328">
        <v>77705897</v>
      </c>
      <c r="B328" s="1">
        <v>42922</v>
      </c>
      <c r="C328" s="2">
        <v>0.39956018518518521</v>
      </c>
      <c r="D328" s="2">
        <v>0.40025462962962965</v>
      </c>
      <c r="G328" s="4">
        <v>3178616</v>
      </c>
      <c r="H328">
        <v>4</v>
      </c>
      <c r="J328">
        <v>1592822</v>
      </c>
      <c r="K328">
        <v>1</v>
      </c>
    </row>
    <row r="329" spans="1:11" x14ac:dyDescent="0.25">
      <c r="A329">
        <v>5894865</v>
      </c>
      <c r="B329" s="1">
        <v>42922</v>
      </c>
      <c r="C329" s="2">
        <v>0.40255787037037039</v>
      </c>
      <c r="D329" s="2">
        <v>0.40554398148148146</v>
      </c>
      <c r="G329" s="4">
        <v>3184339</v>
      </c>
      <c r="H329">
        <v>1</v>
      </c>
      <c r="J329">
        <v>1607422</v>
      </c>
      <c r="K329">
        <v>1</v>
      </c>
    </row>
    <row r="330" spans="1:11" x14ac:dyDescent="0.25">
      <c r="A330">
        <v>7449832</v>
      </c>
      <c r="B330" s="1">
        <v>42922</v>
      </c>
      <c r="C330" s="2">
        <v>0.40559027777777779</v>
      </c>
      <c r="D330" s="2">
        <v>0.41425925925925927</v>
      </c>
      <c r="G330" s="4">
        <v>3189059</v>
      </c>
      <c r="H330">
        <v>1</v>
      </c>
      <c r="J330">
        <v>1611389</v>
      </c>
      <c r="K330">
        <v>1</v>
      </c>
    </row>
    <row r="331" spans="1:11" x14ac:dyDescent="0.25">
      <c r="A331">
        <v>49390412</v>
      </c>
      <c r="B331" s="1">
        <v>42922</v>
      </c>
      <c r="C331" s="2">
        <v>0.40645833333333331</v>
      </c>
      <c r="D331" s="2">
        <v>0.41598379629629628</v>
      </c>
      <c r="G331" s="4">
        <v>3192053</v>
      </c>
      <c r="H331">
        <v>1</v>
      </c>
      <c r="J331">
        <v>1616328</v>
      </c>
      <c r="K331">
        <v>1</v>
      </c>
    </row>
    <row r="332" spans="1:11" x14ac:dyDescent="0.25">
      <c r="A332">
        <v>6156594</v>
      </c>
      <c r="B332" s="1">
        <v>42922</v>
      </c>
      <c r="C332" s="2">
        <v>0.41142361111111109</v>
      </c>
      <c r="D332" s="2">
        <v>0.42168981481481482</v>
      </c>
      <c r="G332" s="4">
        <v>3192836</v>
      </c>
      <c r="H332">
        <v>1</v>
      </c>
      <c r="J332">
        <v>1626862</v>
      </c>
      <c r="K332">
        <v>1</v>
      </c>
    </row>
    <row r="333" spans="1:11" x14ac:dyDescent="0.25">
      <c r="A333">
        <v>5006675</v>
      </c>
      <c r="B333" s="1">
        <v>42922</v>
      </c>
      <c r="C333" s="2">
        <v>0.4129976851851852</v>
      </c>
      <c r="D333" s="2">
        <v>0.41953703703703704</v>
      </c>
      <c r="G333" s="4">
        <v>3198725</v>
      </c>
      <c r="H333">
        <v>1</v>
      </c>
      <c r="J333">
        <v>1639829</v>
      </c>
      <c r="K333">
        <v>1</v>
      </c>
    </row>
    <row r="334" spans="1:11" x14ac:dyDescent="0.25">
      <c r="A334">
        <v>2096180</v>
      </c>
      <c r="B334" s="1">
        <v>42922</v>
      </c>
      <c r="C334" s="2">
        <v>0.41351851851851851</v>
      </c>
      <c r="D334" s="2">
        <v>0.41670138888888891</v>
      </c>
      <c r="G334" s="4">
        <v>3200206</v>
      </c>
      <c r="H334">
        <v>1</v>
      </c>
      <c r="J334">
        <v>1640140</v>
      </c>
      <c r="K334">
        <v>1</v>
      </c>
    </row>
    <row r="335" spans="1:11" x14ac:dyDescent="0.25">
      <c r="A335">
        <v>8214927</v>
      </c>
      <c r="B335" s="1">
        <v>42922</v>
      </c>
      <c r="C335" s="2">
        <v>0.41638888888888886</v>
      </c>
      <c r="D335" s="2">
        <v>0.42116898148148146</v>
      </c>
      <c r="G335" s="4">
        <v>3202610</v>
      </c>
      <c r="H335">
        <v>1</v>
      </c>
      <c r="J335">
        <v>1640513</v>
      </c>
      <c r="K335">
        <v>1</v>
      </c>
    </row>
    <row r="336" spans="1:11" x14ac:dyDescent="0.25">
      <c r="A336">
        <v>5816822</v>
      </c>
      <c r="B336" s="1">
        <v>42922</v>
      </c>
      <c r="C336" s="2">
        <v>0.41684027777777777</v>
      </c>
      <c r="D336" s="2">
        <v>0.4230902777777778</v>
      </c>
      <c r="G336" s="4">
        <v>3206241</v>
      </c>
      <c r="H336">
        <v>1</v>
      </c>
      <c r="J336">
        <v>1649912</v>
      </c>
      <c r="K336">
        <v>1</v>
      </c>
    </row>
    <row r="337" spans="1:11" x14ac:dyDescent="0.25">
      <c r="A337">
        <v>9683894</v>
      </c>
      <c r="B337" s="1">
        <v>42922</v>
      </c>
      <c r="C337" s="2">
        <v>0.42046296296296298</v>
      </c>
      <c r="D337" s="2">
        <v>0.42086805555555556</v>
      </c>
      <c r="G337" s="4">
        <v>3211876</v>
      </c>
      <c r="H337">
        <v>1</v>
      </c>
      <c r="J337">
        <v>1659814</v>
      </c>
      <c r="K337">
        <v>1</v>
      </c>
    </row>
    <row r="338" spans="1:11" x14ac:dyDescent="0.25">
      <c r="A338">
        <v>2808052</v>
      </c>
      <c r="B338" s="1">
        <v>42922</v>
      </c>
      <c r="C338" s="2">
        <v>0.42144675925925928</v>
      </c>
      <c r="D338" s="2">
        <v>0.43079861111111112</v>
      </c>
      <c r="G338" s="4">
        <v>3224960</v>
      </c>
      <c r="H338">
        <v>1</v>
      </c>
      <c r="J338">
        <v>1677537</v>
      </c>
      <c r="K338">
        <v>1</v>
      </c>
    </row>
    <row r="339" spans="1:11" x14ac:dyDescent="0.25">
      <c r="A339">
        <v>18084593</v>
      </c>
      <c r="B339" s="1">
        <v>42922</v>
      </c>
      <c r="C339" s="2">
        <v>0.42482638888888891</v>
      </c>
      <c r="D339" s="2">
        <v>0.43292824074074077</v>
      </c>
      <c r="G339" s="4">
        <v>3232376</v>
      </c>
      <c r="H339">
        <v>1</v>
      </c>
      <c r="J339">
        <v>1679471</v>
      </c>
      <c r="K339">
        <v>1</v>
      </c>
    </row>
    <row r="340" spans="1:11" x14ac:dyDescent="0.25">
      <c r="A340">
        <v>1390402</v>
      </c>
      <c r="B340" s="1">
        <v>42922</v>
      </c>
      <c r="C340" s="2">
        <v>0.42880787037037038</v>
      </c>
      <c r="D340" s="2">
        <v>0.44034722222222222</v>
      </c>
      <c r="G340" s="4">
        <v>3236046</v>
      </c>
      <c r="H340">
        <v>1</v>
      </c>
      <c r="J340">
        <v>1689993</v>
      </c>
      <c r="K340">
        <v>1</v>
      </c>
    </row>
    <row r="341" spans="1:11" x14ac:dyDescent="0.25">
      <c r="A341">
        <v>44200961</v>
      </c>
      <c r="B341" s="1">
        <v>42922</v>
      </c>
      <c r="C341" s="2">
        <v>0.42920138888888887</v>
      </c>
      <c r="D341" s="2">
        <v>0.43532407407407409</v>
      </c>
      <c r="G341" s="4">
        <v>3245936</v>
      </c>
      <c r="H341">
        <v>1</v>
      </c>
      <c r="J341">
        <v>1692981</v>
      </c>
      <c r="K341">
        <v>1</v>
      </c>
    </row>
    <row r="342" spans="1:11" x14ac:dyDescent="0.25">
      <c r="A342">
        <v>5859235</v>
      </c>
      <c r="B342" s="1">
        <v>42922</v>
      </c>
      <c r="C342" s="2">
        <v>0.43037037037037035</v>
      </c>
      <c r="D342" s="2">
        <v>0.4344675925925926</v>
      </c>
      <c r="G342" s="4">
        <v>3253368</v>
      </c>
      <c r="H342">
        <v>1</v>
      </c>
      <c r="J342">
        <v>1700508</v>
      </c>
      <c r="K342">
        <v>1</v>
      </c>
    </row>
    <row r="343" spans="1:11" x14ac:dyDescent="0.25">
      <c r="A343">
        <v>51855396</v>
      </c>
      <c r="B343" s="1">
        <v>42922</v>
      </c>
      <c r="C343" s="2">
        <v>0.43266203703703704</v>
      </c>
      <c r="D343" s="2">
        <v>0.44364583333333335</v>
      </c>
      <c r="G343" s="4">
        <v>3263806</v>
      </c>
      <c r="H343">
        <v>1</v>
      </c>
      <c r="J343">
        <v>1701008</v>
      </c>
      <c r="K343">
        <v>1</v>
      </c>
    </row>
    <row r="344" spans="1:11" x14ac:dyDescent="0.25">
      <c r="A344">
        <v>8768896</v>
      </c>
      <c r="B344" s="1">
        <v>42922</v>
      </c>
      <c r="C344" s="2">
        <v>0.43590277777777775</v>
      </c>
      <c r="D344" s="2">
        <v>0.44127314814814816</v>
      </c>
      <c r="G344" s="4">
        <v>3263854</v>
      </c>
      <c r="H344">
        <v>1</v>
      </c>
      <c r="J344">
        <v>1709455</v>
      </c>
      <c r="K344">
        <v>1</v>
      </c>
    </row>
    <row r="345" spans="1:11" x14ac:dyDescent="0.25">
      <c r="A345">
        <v>9088045</v>
      </c>
      <c r="B345" s="1">
        <v>42922</v>
      </c>
      <c r="C345" s="2">
        <v>0.44063657407407408</v>
      </c>
      <c r="D345" s="2">
        <v>0.44285879629629632</v>
      </c>
      <c r="G345" s="4">
        <v>3284714</v>
      </c>
      <c r="H345">
        <v>1</v>
      </c>
      <c r="J345">
        <v>1714791</v>
      </c>
      <c r="K345">
        <v>1</v>
      </c>
    </row>
    <row r="346" spans="1:11" x14ac:dyDescent="0.25">
      <c r="A346">
        <v>9872216</v>
      </c>
      <c r="B346" s="1">
        <v>42922</v>
      </c>
      <c r="C346" s="2">
        <v>0.44200231481481483</v>
      </c>
      <c r="D346" s="2">
        <v>0.44886574074074076</v>
      </c>
      <c r="G346" s="4">
        <v>3287315</v>
      </c>
      <c r="H346">
        <v>1</v>
      </c>
      <c r="J346">
        <v>1715377</v>
      </c>
      <c r="K346">
        <v>1</v>
      </c>
    </row>
    <row r="347" spans="1:11" x14ac:dyDescent="0.25">
      <c r="A347">
        <v>8369815</v>
      </c>
      <c r="B347" s="1">
        <v>42922</v>
      </c>
      <c r="C347" s="2">
        <v>0.44350694444444444</v>
      </c>
      <c r="D347" s="2">
        <v>0.44528935185185187</v>
      </c>
      <c r="G347" s="4">
        <v>3300626</v>
      </c>
      <c r="H347">
        <v>1</v>
      </c>
      <c r="J347">
        <v>1721264</v>
      </c>
      <c r="K347">
        <v>1</v>
      </c>
    </row>
    <row r="348" spans="1:11" x14ac:dyDescent="0.25">
      <c r="A348">
        <v>3370151</v>
      </c>
      <c r="B348" s="1">
        <v>42922</v>
      </c>
      <c r="C348" s="2">
        <v>0.44452546296296297</v>
      </c>
      <c r="D348" s="2">
        <v>0.44923611111111111</v>
      </c>
      <c r="G348" s="4">
        <v>3305212</v>
      </c>
      <c r="H348">
        <v>1</v>
      </c>
      <c r="J348">
        <v>1734512</v>
      </c>
      <c r="K348">
        <v>1</v>
      </c>
    </row>
    <row r="349" spans="1:11" x14ac:dyDescent="0.25">
      <c r="A349">
        <v>1488369</v>
      </c>
      <c r="B349" s="1">
        <v>42922</v>
      </c>
      <c r="C349" s="2">
        <v>0.44871527777777775</v>
      </c>
      <c r="D349" s="2">
        <v>0.45627314814814812</v>
      </c>
      <c r="G349" s="4">
        <v>3326329</v>
      </c>
      <c r="H349">
        <v>1</v>
      </c>
      <c r="J349">
        <v>1739364</v>
      </c>
      <c r="K349">
        <v>1</v>
      </c>
    </row>
    <row r="350" spans="1:11" x14ac:dyDescent="0.25">
      <c r="A350">
        <v>4132754</v>
      </c>
      <c r="B350" s="1">
        <v>42922</v>
      </c>
      <c r="C350" s="2">
        <v>0.45281250000000001</v>
      </c>
      <c r="D350" s="2">
        <v>0.45374999999999999</v>
      </c>
      <c r="G350" s="4">
        <v>3326913</v>
      </c>
      <c r="H350">
        <v>1</v>
      </c>
      <c r="J350">
        <v>1740380</v>
      </c>
      <c r="K350">
        <v>1</v>
      </c>
    </row>
    <row r="351" spans="1:11" x14ac:dyDescent="0.25">
      <c r="A351">
        <v>66638685</v>
      </c>
      <c r="B351" s="1">
        <v>42922</v>
      </c>
      <c r="C351" s="2">
        <v>0.45401620370370371</v>
      </c>
      <c r="D351" s="2">
        <v>0.46406249999999999</v>
      </c>
      <c r="G351" s="4">
        <v>3328479</v>
      </c>
      <c r="H351">
        <v>1</v>
      </c>
      <c r="J351">
        <v>1747389</v>
      </c>
      <c r="K351">
        <v>1</v>
      </c>
    </row>
    <row r="352" spans="1:11" x14ac:dyDescent="0.25">
      <c r="A352">
        <v>6818507</v>
      </c>
      <c r="B352" s="1">
        <v>42922</v>
      </c>
      <c r="C352" s="2">
        <v>0.4584259259259259</v>
      </c>
      <c r="D352" s="2">
        <v>0.46380787037037036</v>
      </c>
      <c r="G352" s="4">
        <v>3348581</v>
      </c>
      <c r="H352">
        <v>1</v>
      </c>
      <c r="J352">
        <v>1761255</v>
      </c>
      <c r="K352">
        <v>1</v>
      </c>
    </row>
    <row r="353" spans="1:11" x14ac:dyDescent="0.25">
      <c r="A353">
        <v>93611539</v>
      </c>
      <c r="B353" s="1">
        <v>42922</v>
      </c>
      <c r="C353" s="2">
        <v>0.45853009259259259</v>
      </c>
      <c r="D353" s="2">
        <v>0.46674768518518517</v>
      </c>
      <c r="G353" s="4">
        <v>3352943</v>
      </c>
      <c r="H353">
        <v>1</v>
      </c>
      <c r="J353">
        <v>1766133</v>
      </c>
      <c r="K353">
        <v>1</v>
      </c>
    </row>
    <row r="354" spans="1:11" x14ac:dyDescent="0.25">
      <c r="A354">
        <v>2890519255</v>
      </c>
      <c r="B354" s="1">
        <v>42922</v>
      </c>
      <c r="C354" s="2">
        <v>0.4613888888888889</v>
      </c>
      <c r="D354" s="2">
        <v>0.46836805555555555</v>
      </c>
      <c r="G354" s="4">
        <v>3360951</v>
      </c>
      <c r="H354">
        <v>1</v>
      </c>
      <c r="J354">
        <v>1775131</v>
      </c>
      <c r="K354">
        <v>1</v>
      </c>
    </row>
    <row r="355" spans="1:11" x14ac:dyDescent="0.25">
      <c r="A355">
        <v>66336445</v>
      </c>
      <c r="B355" s="1">
        <v>42922</v>
      </c>
      <c r="C355" s="2">
        <v>0.46322916666666669</v>
      </c>
      <c r="D355" s="2">
        <v>0.4642013888888889</v>
      </c>
      <c r="G355" s="4">
        <v>3363840</v>
      </c>
      <c r="H355">
        <v>1</v>
      </c>
      <c r="J355">
        <v>1797960</v>
      </c>
      <c r="K355">
        <v>1</v>
      </c>
    </row>
    <row r="356" spans="1:11" x14ac:dyDescent="0.25">
      <c r="A356">
        <v>9356324</v>
      </c>
      <c r="B356" s="1">
        <v>42922</v>
      </c>
      <c r="C356" s="2">
        <v>0.46339120370370368</v>
      </c>
      <c r="D356" s="2">
        <v>0.47425925925925927</v>
      </c>
      <c r="G356" s="4">
        <v>3370151</v>
      </c>
      <c r="H356">
        <v>1</v>
      </c>
      <c r="J356">
        <v>1808444</v>
      </c>
      <c r="K356">
        <v>1</v>
      </c>
    </row>
    <row r="357" spans="1:11" x14ac:dyDescent="0.25">
      <c r="A357">
        <v>5111892302</v>
      </c>
      <c r="B357" s="1">
        <v>42922</v>
      </c>
      <c r="C357" s="2">
        <v>0.46871527777777777</v>
      </c>
      <c r="D357" s="2">
        <v>0.47319444444444442</v>
      </c>
      <c r="G357" s="4">
        <v>3379401</v>
      </c>
      <c r="H357">
        <v>2</v>
      </c>
      <c r="J357">
        <v>1809111</v>
      </c>
      <c r="K357">
        <v>1</v>
      </c>
    </row>
    <row r="358" spans="1:11" x14ac:dyDescent="0.25">
      <c r="A358">
        <v>2435007</v>
      </c>
      <c r="B358" s="1">
        <v>42922</v>
      </c>
      <c r="C358" s="2">
        <v>0.47395833333333331</v>
      </c>
      <c r="D358" s="2">
        <v>0.47423611111111114</v>
      </c>
      <c r="G358" s="4">
        <v>3382699</v>
      </c>
      <c r="H358">
        <v>1</v>
      </c>
      <c r="J358">
        <v>1811630</v>
      </c>
      <c r="K358">
        <v>1</v>
      </c>
    </row>
    <row r="359" spans="1:11" x14ac:dyDescent="0.25">
      <c r="A359">
        <v>6694568</v>
      </c>
      <c r="B359" s="1">
        <v>42922</v>
      </c>
      <c r="C359" s="2">
        <v>0.47865740740740742</v>
      </c>
      <c r="D359" s="2">
        <v>0.48923611111111109</v>
      </c>
      <c r="G359" s="4">
        <v>3382728</v>
      </c>
      <c r="H359">
        <v>1</v>
      </c>
      <c r="J359">
        <v>1814327</v>
      </c>
      <c r="K359">
        <v>1</v>
      </c>
    </row>
    <row r="360" spans="1:11" x14ac:dyDescent="0.25">
      <c r="A360">
        <v>6420583</v>
      </c>
      <c r="B360" s="1">
        <v>42922</v>
      </c>
      <c r="C360" s="2">
        <v>0.48</v>
      </c>
      <c r="D360" s="2">
        <v>0.48539351851851853</v>
      </c>
      <c r="G360" s="4">
        <v>3390459</v>
      </c>
      <c r="H360">
        <v>1</v>
      </c>
      <c r="J360">
        <v>1816002</v>
      </c>
      <c r="K360">
        <v>1</v>
      </c>
    </row>
    <row r="361" spans="1:11" x14ac:dyDescent="0.25">
      <c r="A361">
        <v>19835498</v>
      </c>
      <c r="B361" s="1">
        <v>42922</v>
      </c>
      <c r="C361" s="2">
        <v>0.48478009259259258</v>
      </c>
      <c r="D361" s="2">
        <v>0.49233796296296295</v>
      </c>
      <c r="G361" s="4">
        <v>3407358</v>
      </c>
      <c r="H361">
        <v>2</v>
      </c>
      <c r="J361">
        <v>1829028</v>
      </c>
      <c r="K361">
        <v>1</v>
      </c>
    </row>
    <row r="362" spans="1:11" x14ac:dyDescent="0.25">
      <c r="A362">
        <v>6663334</v>
      </c>
      <c r="B362" s="1">
        <v>42922</v>
      </c>
      <c r="C362" s="2">
        <v>0.48605324074074074</v>
      </c>
      <c r="D362" s="2">
        <v>0.49381944444444442</v>
      </c>
      <c r="G362" s="4">
        <v>3422062</v>
      </c>
      <c r="H362">
        <v>1</v>
      </c>
      <c r="J362">
        <v>1830054</v>
      </c>
      <c r="K362">
        <v>1</v>
      </c>
    </row>
    <row r="363" spans="1:11" x14ac:dyDescent="0.25">
      <c r="A363">
        <v>44765837</v>
      </c>
      <c r="B363" s="1">
        <v>42922</v>
      </c>
      <c r="C363" s="2">
        <v>0.4887037037037037</v>
      </c>
      <c r="D363" s="2">
        <v>0.49343749999999997</v>
      </c>
      <c r="G363" s="4">
        <v>3429335</v>
      </c>
      <c r="H363">
        <v>1</v>
      </c>
      <c r="J363">
        <v>1830251</v>
      </c>
      <c r="K363">
        <v>1</v>
      </c>
    </row>
    <row r="364" spans="1:11" x14ac:dyDescent="0.25">
      <c r="A364">
        <v>2469778</v>
      </c>
      <c r="B364" s="1">
        <v>42922</v>
      </c>
      <c r="C364" s="2">
        <v>0.49236111111111114</v>
      </c>
      <c r="D364" s="2">
        <v>0.49780092592592595</v>
      </c>
      <c r="G364" s="4">
        <v>3434934</v>
      </c>
      <c r="H364">
        <v>3</v>
      </c>
      <c r="J364">
        <v>1837797</v>
      </c>
      <c r="K364">
        <v>1</v>
      </c>
    </row>
    <row r="365" spans="1:11" x14ac:dyDescent="0.25">
      <c r="A365">
        <v>1959826</v>
      </c>
      <c r="B365" s="1">
        <v>42922</v>
      </c>
      <c r="C365" s="2">
        <v>0.49372685185185183</v>
      </c>
      <c r="D365" s="2">
        <v>0.50436342592592598</v>
      </c>
      <c r="G365" s="4">
        <v>3437033</v>
      </c>
      <c r="H365">
        <v>3</v>
      </c>
      <c r="J365">
        <v>1859884</v>
      </c>
      <c r="K365">
        <v>1</v>
      </c>
    </row>
    <row r="366" spans="1:11" x14ac:dyDescent="0.25">
      <c r="A366">
        <v>37032078</v>
      </c>
      <c r="B366" s="1">
        <v>42922</v>
      </c>
      <c r="C366" s="2">
        <v>0.49387731481481484</v>
      </c>
      <c r="D366" s="2">
        <v>0.50420138888888888</v>
      </c>
      <c r="G366" s="4">
        <v>3443287</v>
      </c>
      <c r="H366">
        <v>1</v>
      </c>
      <c r="J366">
        <v>1867016</v>
      </c>
      <c r="K366">
        <v>1</v>
      </c>
    </row>
    <row r="367" spans="1:11" x14ac:dyDescent="0.25">
      <c r="A367">
        <v>6516512</v>
      </c>
      <c r="B367" s="1">
        <v>42922</v>
      </c>
      <c r="C367" s="2">
        <v>0.49438657407407405</v>
      </c>
      <c r="D367" s="2">
        <v>0.49909722222222225</v>
      </c>
      <c r="G367" s="4">
        <v>3444629</v>
      </c>
      <c r="H367">
        <v>1</v>
      </c>
      <c r="J367">
        <v>1879412</v>
      </c>
      <c r="K367">
        <v>1</v>
      </c>
    </row>
    <row r="368" spans="1:11" x14ac:dyDescent="0.25">
      <c r="A368">
        <v>4726561</v>
      </c>
      <c r="B368" s="1">
        <v>42922</v>
      </c>
      <c r="C368" s="2">
        <v>0.49910879629629629</v>
      </c>
      <c r="D368" s="2">
        <v>0.5009837962962963</v>
      </c>
      <c r="G368" s="4">
        <v>3456554</v>
      </c>
      <c r="H368">
        <v>1</v>
      </c>
      <c r="J368">
        <v>1890121</v>
      </c>
      <c r="K368">
        <v>1</v>
      </c>
    </row>
    <row r="369" spans="1:11" x14ac:dyDescent="0.25">
      <c r="A369">
        <v>9685747</v>
      </c>
      <c r="B369" s="1">
        <v>42922</v>
      </c>
      <c r="C369" s="2">
        <v>0.50342592592592594</v>
      </c>
      <c r="D369" s="2">
        <v>0.51392361111111107</v>
      </c>
      <c r="G369" s="4">
        <v>3460208</v>
      </c>
      <c r="H369">
        <v>1</v>
      </c>
      <c r="J369">
        <v>1898174</v>
      </c>
      <c r="K369">
        <v>1</v>
      </c>
    </row>
    <row r="370" spans="1:11" x14ac:dyDescent="0.25">
      <c r="A370">
        <v>7507354</v>
      </c>
      <c r="B370" s="1">
        <v>42922</v>
      </c>
      <c r="C370" s="2">
        <v>0.50700231481481484</v>
      </c>
      <c r="D370" s="2">
        <v>0.51186342592592593</v>
      </c>
      <c r="G370" s="4">
        <v>3465997</v>
      </c>
      <c r="H370">
        <v>1</v>
      </c>
      <c r="J370">
        <v>1908394</v>
      </c>
      <c r="K370">
        <v>1</v>
      </c>
    </row>
    <row r="371" spans="1:11" x14ac:dyDescent="0.25">
      <c r="A371">
        <v>8605742</v>
      </c>
      <c r="B371" s="1">
        <v>42922</v>
      </c>
      <c r="C371" s="2">
        <v>0.5119097222222222</v>
      </c>
      <c r="D371" s="2">
        <v>0.52288194444444447</v>
      </c>
      <c r="G371" s="4">
        <v>3473734</v>
      </c>
      <c r="H371">
        <v>1</v>
      </c>
      <c r="J371">
        <v>1909553</v>
      </c>
      <c r="K371">
        <v>1</v>
      </c>
    </row>
    <row r="372" spans="1:11" x14ac:dyDescent="0.25">
      <c r="A372">
        <v>4681236</v>
      </c>
      <c r="B372" s="1">
        <v>42922</v>
      </c>
      <c r="C372" s="2">
        <v>0.51452546296296298</v>
      </c>
      <c r="D372" s="2">
        <v>0.51570601851851849</v>
      </c>
      <c r="G372" s="4">
        <v>3478111</v>
      </c>
      <c r="H372">
        <v>1</v>
      </c>
      <c r="J372">
        <v>1911796</v>
      </c>
      <c r="K372">
        <v>1</v>
      </c>
    </row>
    <row r="373" spans="1:11" x14ac:dyDescent="0.25">
      <c r="A373">
        <v>3590468</v>
      </c>
      <c r="B373" s="1">
        <v>42922</v>
      </c>
      <c r="C373" s="2">
        <v>0.51556712962962958</v>
      </c>
      <c r="D373" s="2">
        <v>0.52572916666666669</v>
      </c>
      <c r="G373" s="4">
        <v>3478173</v>
      </c>
      <c r="H373">
        <v>2</v>
      </c>
      <c r="J373">
        <v>1922212</v>
      </c>
      <c r="K373">
        <v>1</v>
      </c>
    </row>
    <row r="374" spans="1:11" x14ac:dyDescent="0.25">
      <c r="A374">
        <v>9878283</v>
      </c>
      <c r="B374" s="1">
        <v>42922</v>
      </c>
      <c r="C374" s="2">
        <v>0.51858796296296295</v>
      </c>
      <c r="D374" s="2">
        <v>0.52776620370370375</v>
      </c>
      <c r="G374" s="4">
        <v>3493348</v>
      </c>
      <c r="H374">
        <v>1</v>
      </c>
      <c r="J374">
        <v>1927908</v>
      </c>
      <c r="K374">
        <v>1</v>
      </c>
    </row>
    <row r="375" spans="1:11" x14ac:dyDescent="0.25">
      <c r="A375">
        <v>5991516</v>
      </c>
      <c r="B375" s="1">
        <v>42922</v>
      </c>
      <c r="C375" s="2">
        <v>0.52217592592592588</v>
      </c>
      <c r="D375" s="2">
        <v>0.53173611111111108</v>
      </c>
      <c r="G375" s="4">
        <v>3494192</v>
      </c>
      <c r="H375">
        <v>1</v>
      </c>
      <c r="J375">
        <v>1951101</v>
      </c>
      <c r="K375">
        <v>1</v>
      </c>
    </row>
    <row r="376" spans="1:11" x14ac:dyDescent="0.25">
      <c r="A376">
        <v>1240369</v>
      </c>
      <c r="B376" s="1">
        <v>42922</v>
      </c>
      <c r="C376" s="2">
        <v>0.52767361111111111</v>
      </c>
      <c r="D376" s="2">
        <v>0.52850694444444446</v>
      </c>
      <c r="G376" s="4">
        <v>3505978</v>
      </c>
      <c r="H376">
        <v>7</v>
      </c>
      <c r="J376">
        <v>1959826</v>
      </c>
      <c r="K376">
        <v>1</v>
      </c>
    </row>
    <row r="377" spans="1:11" x14ac:dyDescent="0.25">
      <c r="A377">
        <v>25133293</v>
      </c>
      <c r="B377" s="1">
        <v>42922</v>
      </c>
      <c r="C377" s="2">
        <v>0.528900462962963</v>
      </c>
      <c r="D377" s="2">
        <v>0.53740740740740744</v>
      </c>
      <c r="G377" s="4">
        <v>3508755</v>
      </c>
      <c r="H377">
        <v>1</v>
      </c>
      <c r="J377">
        <v>1992079</v>
      </c>
      <c r="K377">
        <v>1</v>
      </c>
    </row>
    <row r="378" spans="1:11" x14ac:dyDescent="0.25">
      <c r="A378">
        <v>5036422</v>
      </c>
      <c r="B378" s="1">
        <v>42922</v>
      </c>
      <c r="C378" s="2">
        <v>0.52986111111111112</v>
      </c>
      <c r="D378" s="2">
        <v>0.53047453703703706</v>
      </c>
      <c r="G378" s="4">
        <v>3520189</v>
      </c>
      <c r="H378">
        <v>1</v>
      </c>
      <c r="J378">
        <v>1997542</v>
      </c>
      <c r="K378">
        <v>1</v>
      </c>
    </row>
    <row r="379" spans="1:11" x14ac:dyDescent="0.25">
      <c r="A379">
        <v>4283724</v>
      </c>
      <c r="B379" s="1">
        <v>42922</v>
      </c>
      <c r="C379" s="2">
        <v>0.53134259259259264</v>
      </c>
      <c r="D379" s="2">
        <v>0.53738425925925926</v>
      </c>
      <c r="G379" s="4">
        <v>3524259</v>
      </c>
      <c r="H379">
        <v>1</v>
      </c>
      <c r="J379">
        <v>2025194</v>
      </c>
      <c r="K379">
        <v>1</v>
      </c>
    </row>
    <row r="380" spans="1:11" x14ac:dyDescent="0.25">
      <c r="A380">
        <v>5856822</v>
      </c>
      <c r="B380" s="1">
        <v>42922</v>
      </c>
      <c r="C380" s="2">
        <v>0.533599537037037</v>
      </c>
      <c r="D380" s="2">
        <v>0.53469907407407402</v>
      </c>
      <c r="G380" s="4">
        <v>3525921</v>
      </c>
      <c r="H380">
        <v>1</v>
      </c>
      <c r="J380">
        <v>2028923</v>
      </c>
      <c r="K380">
        <v>1</v>
      </c>
    </row>
    <row r="381" spans="1:11" x14ac:dyDescent="0.25">
      <c r="A381">
        <v>7880396</v>
      </c>
      <c r="B381" s="1">
        <v>42922</v>
      </c>
      <c r="C381" s="2">
        <v>0.53796296296296298</v>
      </c>
      <c r="D381" s="2">
        <v>0.54479166666666667</v>
      </c>
      <c r="G381" s="4">
        <v>3533271</v>
      </c>
      <c r="H381">
        <v>1</v>
      </c>
      <c r="J381">
        <v>2054346</v>
      </c>
      <c r="K381">
        <v>1</v>
      </c>
    </row>
    <row r="382" spans="1:11" x14ac:dyDescent="0.25">
      <c r="A382">
        <v>2201085</v>
      </c>
      <c r="B382" s="1">
        <v>42922</v>
      </c>
      <c r="C382" s="2">
        <v>0.54072916666666671</v>
      </c>
      <c r="D382" s="2">
        <v>0.544525462962963</v>
      </c>
      <c r="G382" s="4">
        <v>3533421</v>
      </c>
      <c r="H382">
        <v>1</v>
      </c>
      <c r="J382">
        <v>2056567</v>
      </c>
      <c r="K382">
        <v>1</v>
      </c>
    </row>
    <row r="383" spans="1:11" x14ac:dyDescent="0.25">
      <c r="A383">
        <v>30893038</v>
      </c>
      <c r="B383" s="1">
        <v>42922</v>
      </c>
      <c r="C383" s="2">
        <v>0.54082175925925924</v>
      </c>
      <c r="D383" s="2">
        <v>0.54995370370370367</v>
      </c>
      <c r="G383" s="4">
        <v>3537655</v>
      </c>
      <c r="H383">
        <v>1</v>
      </c>
      <c r="J383">
        <v>2071691</v>
      </c>
      <c r="K383">
        <v>1</v>
      </c>
    </row>
    <row r="384" spans="1:11" x14ac:dyDescent="0.25">
      <c r="A384">
        <v>9319894</v>
      </c>
      <c r="B384" s="1">
        <v>42922</v>
      </c>
      <c r="C384" s="2">
        <v>0.54207175925925921</v>
      </c>
      <c r="D384" s="2">
        <v>0.54953703703703705</v>
      </c>
      <c r="G384" s="4">
        <v>3539762</v>
      </c>
      <c r="H384">
        <v>3</v>
      </c>
      <c r="J384">
        <v>2076719</v>
      </c>
      <c r="K384">
        <v>1</v>
      </c>
    </row>
    <row r="385" spans="1:11" x14ac:dyDescent="0.25">
      <c r="A385">
        <v>3211876</v>
      </c>
      <c r="B385" s="1">
        <v>42922</v>
      </c>
      <c r="C385" s="2">
        <v>0.54693287037037042</v>
      </c>
      <c r="D385" s="2">
        <v>0.54781250000000004</v>
      </c>
      <c r="G385" s="4">
        <v>3558582</v>
      </c>
      <c r="H385">
        <v>1</v>
      </c>
      <c r="J385">
        <v>2078150</v>
      </c>
      <c r="K385">
        <v>1</v>
      </c>
    </row>
    <row r="386" spans="1:11" x14ac:dyDescent="0.25">
      <c r="A386">
        <v>4736016</v>
      </c>
      <c r="B386" s="1">
        <v>42922</v>
      </c>
      <c r="C386" s="2">
        <v>0.55115740740740737</v>
      </c>
      <c r="D386" s="2">
        <v>0.55248842592592595</v>
      </c>
      <c r="G386" s="4">
        <v>3563037</v>
      </c>
      <c r="H386">
        <v>1</v>
      </c>
      <c r="J386">
        <v>2089993</v>
      </c>
      <c r="K386">
        <v>1</v>
      </c>
    </row>
    <row r="387" spans="1:11" x14ac:dyDescent="0.25">
      <c r="A387">
        <v>8063487</v>
      </c>
      <c r="B387" s="1">
        <v>42922</v>
      </c>
      <c r="C387" s="2">
        <v>0.55269675925925921</v>
      </c>
      <c r="D387" s="2">
        <v>0.56017361111111108</v>
      </c>
      <c r="G387" s="4">
        <v>3574623</v>
      </c>
      <c r="H387">
        <v>1</v>
      </c>
      <c r="J387">
        <v>2092198</v>
      </c>
      <c r="K387">
        <v>1</v>
      </c>
    </row>
    <row r="388" spans="1:11" x14ac:dyDescent="0.25">
      <c r="A388">
        <v>1319121</v>
      </c>
      <c r="B388" s="1">
        <v>42922</v>
      </c>
      <c r="C388" s="2">
        <v>0.55652777777777773</v>
      </c>
      <c r="D388" s="2">
        <v>0.55682870370370374</v>
      </c>
      <c r="G388" s="4">
        <v>3589291</v>
      </c>
      <c r="H388">
        <v>1</v>
      </c>
      <c r="J388">
        <v>2096100</v>
      </c>
      <c r="K388">
        <v>1</v>
      </c>
    </row>
    <row r="389" spans="1:11" x14ac:dyDescent="0.25">
      <c r="A389">
        <v>5026277</v>
      </c>
      <c r="B389" s="1">
        <v>42922</v>
      </c>
      <c r="C389" s="2">
        <v>0.55969907407407404</v>
      </c>
      <c r="D389" s="2">
        <v>0.5655324074074074</v>
      </c>
      <c r="G389" s="4">
        <v>3590468</v>
      </c>
      <c r="H389">
        <v>1</v>
      </c>
      <c r="J389">
        <v>2096180</v>
      </c>
      <c r="K389">
        <v>1</v>
      </c>
    </row>
    <row r="390" spans="1:11" x14ac:dyDescent="0.25">
      <c r="A390">
        <v>8768896</v>
      </c>
      <c r="B390" s="1">
        <v>42922</v>
      </c>
      <c r="C390" s="2">
        <v>0.55982638888888892</v>
      </c>
      <c r="D390" s="2">
        <v>0.57039351851851849</v>
      </c>
      <c r="G390" s="4">
        <v>3596504</v>
      </c>
      <c r="H390">
        <v>1</v>
      </c>
      <c r="J390">
        <v>2104331</v>
      </c>
      <c r="K390">
        <v>1</v>
      </c>
    </row>
    <row r="391" spans="1:11" x14ac:dyDescent="0.25">
      <c r="A391">
        <v>48661666</v>
      </c>
      <c r="B391" s="1">
        <v>42922</v>
      </c>
      <c r="C391" s="2">
        <v>0.56123842592592588</v>
      </c>
      <c r="D391" s="2">
        <v>0.56376157407407412</v>
      </c>
      <c r="G391" s="4">
        <v>3599100</v>
      </c>
      <c r="H391">
        <v>1</v>
      </c>
      <c r="J391">
        <v>2107985</v>
      </c>
      <c r="K391">
        <v>1</v>
      </c>
    </row>
    <row r="392" spans="1:11" x14ac:dyDescent="0.25">
      <c r="A392">
        <v>9304830</v>
      </c>
      <c r="B392" s="1">
        <v>42922</v>
      </c>
      <c r="C392" s="2">
        <v>0.56671296296296292</v>
      </c>
      <c r="D392" s="2">
        <v>0.56832175925925921</v>
      </c>
      <c r="G392" s="4">
        <v>3607585</v>
      </c>
      <c r="H392">
        <v>1</v>
      </c>
      <c r="J392">
        <v>2111996</v>
      </c>
      <c r="K392">
        <v>1</v>
      </c>
    </row>
    <row r="393" spans="1:11" x14ac:dyDescent="0.25">
      <c r="A393">
        <v>3040267</v>
      </c>
      <c r="B393" s="1">
        <v>42922</v>
      </c>
      <c r="C393" s="2">
        <v>0.56738425925925928</v>
      </c>
      <c r="D393" s="2">
        <v>0.578587962962963</v>
      </c>
      <c r="G393" s="4">
        <v>3613950</v>
      </c>
      <c r="H393">
        <v>1</v>
      </c>
      <c r="J393">
        <v>2114812</v>
      </c>
      <c r="K393">
        <v>1</v>
      </c>
    </row>
    <row r="394" spans="1:11" x14ac:dyDescent="0.25">
      <c r="A394">
        <v>8405954</v>
      </c>
      <c r="B394" s="1">
        <v>42922</v>
      </c>
      <c r="C394" s="2">
        <v>0.57164351851851847</v>
      </c>
      <c r="D394" s="2">
        <v>0.57528935185185182</v>
      </c>
      <c r="G394" s="4">
        <v>3616291</v>
      </c>
      <c r="H394">
        <v>1</v>
      </c>
      <c r="J394">
        <v>2117176</v>
      </c>
      <c r="K394">
        <v>1</v>
      </c>
    </row>
    <row r="395" spans="1:11" x14ac:dyDescent="0.25">
      <c r="A395">
        <v>75873682</v>
      </c>
      <c r="B395" s="1">
        <v>42922</v>
      </c>
      <c r="C395" s="2">
        <v>0.57399305555555558</v>
      </c>
      <c r="D395" s="2">
        <v>0.58403935185185185</v>
      </c>
      <c r="G395" s="4">
        <v>3624713</v>
      </c>
      <c r="H395">
        <v>2</v>
      </c>
      <c r="J395">
        <v>2128068</v>
      </c>
      <c r="K395">
        <v>1</v>
      </c>
    </row>
    <row r="396" spans="1:11" x14ac:dyDescent="0.25">
      <c r="A396">
        <v>5984039</v>
      </c>
      <c r="B396" s="1">
        <v>42922</v>
      </c>
      <c r="C396" s="2">
        <v>0.57586805555555554</v>
      </c>
      <c r="D396" s="2">
        <v>0.57981481481481478</v>
      </c>
      <c r="G396" s="4">
        <v>3638038</v>
      </c>
      <c r="H396">
        <v>1</v>
      </c>
      <c r="J396">
        <v>2128803</v>
      </c>
      <c r="K396">
        <v>1</v>
      </c>
    </row>
    <row r="397" spans="1:11" x14ac:dyDescent="0.25">
      <c r="A397">
        <v>9807682</v>
      </c>
      <c r="B397" s="1">
        <v>42922</v>
      </c>
      <c r="C397" s="2">
        <v>0.57592592592592595</v>
      </c>
      <c r="D397" s="2">
        <v>0.57924768518518521</v>
      </c>
      <c r="G397" s="4">
        <v>3638658</v>
      </c>
      <c r="H397">
        <v>1</v>
      </c>
      <c r="J397">
        <v>2134315</v>
      </c>
      <c r="K397">
        <v>1</v>
      </c>
    </row>
    <row r="398" spans="1:11" x14ac:dyDescent="0.25">
      <c r="A398">
        <v>3029994</v>
      </c>
      <c r="B398" s="1">
        <v>42922</v>
      </c>
      <c r="C398" s="2">
        <v>0.57737268518518514</v>
      </c>
      <c r="D398" s="2">
        <v>0.58391203703703709</v>
      </c>
      <c r="G398" s="4">
        <v>3652646</v>
      </c>
      <c r="H398">
        <v>1</v>
      </c>
      <c r="J398">
        <v>2135609</v>
      </c>
      <c r="K398">
        <v>1</v>
      </c>
    </row>
    <row r="399" spans="1:11" x14ac:dyDescent="0.25">
      <c r="A399">
        <v>9415767851</v>
      </c>
      <c r="B399" s="1">
        <v>42922</v>
      </c>
      <c r="C399" s="2">
        <v>0.5827430555555555</v>
      </c>
      <c r="D399" s="2">
        <v>0.58309027777777778</v>
      </c>
      <c r="G399" s="4">
        <v>3654212</v>
      </c>
      <c r="H399">
        <v>1</v>
      </c>
      <c r="J399">
        <v>2145244</v>
      </c>
      <c r="K399">
        <v>1</v>
      </c>
    </row>
    <row r="400" spans="1:11" x14ac:dyDescent="0.25">
      <c r="A400">
        <v>2388040</v>
      </c>
      <c r="B400" s="1">
        <v>42922</v>
      </c>
      <c r="C400" s="2">
        <v>0.58496527777777774</v>
      </c>
      <c r="D400" s="2">
        <v>0.59334490740740742</v>
      </c>
      <c r="G400" s="4">
        <v>3656681</v>
      </c>
      <c r="H400">
        <v>2</v>
      </c>
      <c r="J400">
        <v>2150051</v>
      </c>
      <c r="K400">
        <v>1</v>
      </c>
    </row>
    <row r="401" spans="1:11" x14ac:dyDescent="0.25">
      <c r="A401">
        <v>41974998</v>
      </c>
      <c r="B401" s="1">
        <v>42922</v>
      </c>
      <c r="C401" s="2">
        <v>0.58890046296296295</v>
      </c>
      <c r="D401" s="2">
        <v>0.59614583333333337</v>
      </c>
      <c r="G401" s="4">
        <v>3680072</v>
      </c>
      <c r="H401">
        <v>1</v>
      </c>
      <c r="J401">
        <v>2157195</v>
      </c>
      <c r="K401">
        <v>1</v>
      </c>
    </row>
    <row r="402" spans="1:11" x14ac:dyDescent="0.25">
      <c r="A402">
        <v>8400710</v>
      </c>
      <c r="B402" s="1">
        <v>42922</v>
      </c>
      <c r="C402" s="2">
        <v>0.59182870370370366</v>
      </c>
      <c r="D402" s="2">
        <v>0.59376157407407404</v>
      </c>
      <c r="G402" s="4">
        <v>3680149</v>
      </c>
      <c r="H402">
        <v>1</v>
      </c>
      <c r="J402">
        <v>2158377</v>
      </c>
      <c r="K402">
        <v>1</v>
      </c>
    </row>
    <row r="403" spans="1:11" x14ac:dyDescent="0.25">
      <c r="A403">
        <v>1088377750</v>
      </c>
      <c r="B403" s="1">
        <v>42922</v>
      </c>
      <c r="C403" s="2">
        <v>0.59666666666666668</v>
      </c>
      <c r="D403" s="2">
        <v>0.5975462962962963</v>
      </c>
      <c r="G403" s="4">
        <v>3691176</v>
      </c>
      <c r="H403">
        <v>1</v>
      </c>
      <c r="J403">
        <v>2163209</v>
      </c>
      <c r="K403">
        <v>1</v>
      </c>
    </row>
    <row r="404" spans="1:11" x14ac:dyDescent="0.25">
      <c r="A404">
        <v>62016185</v>
      </c>
      <c r="B404" s="1">
        <v>42922</v>
      </c>
      <c r="C404" s="2">
        <v>0.60146990740740736</v>
      </c>
      <c r="D404" s="2">
        <v>0.60932870370370373</v>
      </c>
      <c r="G404" s="4">
        <v>3691457</v>
      </c>
      <c r="H404">
        <v>3</v>
      </c>
      <c r="J404">
        <v>2184116</v>
      </c>
      <c r="K404">
        <v>1</v>
      </c>
    </row>
    <row r="405" spans="1:11" x14ac:dyDescent="0.25">
      <c r="A405">
        <v>4002406</v>
      </c>
      <c r="B405" s="1">
        <v>42922</v>
      </c>
      <c r="C405" s="2">
        <v>0.60247685185185185</v>
      </c>
      <c r="D405" s="2">
        <v>0.60782407407407413</v>
      </c>
      <c r="G405" s="4">
        <v>3697935</v>
      </c>
      <c r="H405">
        <v>1</v>
      </c>
      <c r="J405">
        <v>2185216</v>
      </c>
      <c r="K405">
        <v>1</v>
      </c>
    </row>
    <row r="406" spans="1:11" x14ac:dyDescent="0.25">
      <c r="A406">
        <v>2394144</v>
      </c>
      <c r="B406" s="1">
        <v>42922</v>
      </c>
      <c r="C406" s="2">
        <v>0.60774305555555552</v>
      </c>
      <c r="D406" s="2">
        <v>0.61297453703703708</v>
      </c>
      <c r="G406" s="4">
        <v>3704193</v>
      </c>
      <c r="H406">
        <v>1</v>
      </c>
      <c r="J406">
        <v>2186880</v>
      </c>
      <c r="K406">
        <v>1</v>
      </c>
    </row>
    <row r="407" spans="1:11" x14ac:dyDescent="0.25">
      <c r="A407">
        <v>9763924</v>
      </c>
      <c r="B407" s="1">
        <v>42922</v>
      </c>
      <c r="C407" s="2">
        <v>0.611724537037037</v>
      </c>
      <c r="D407" s="2">
        <v>0.62217592592592597</v>
      </c>
      <c r="G407" s="4">
        <v>3707498</v>
      </c>
      <c r="H407">
        <v>1</v>
      </c>
      <c r="J407">
        <v>2188847</v>
      </c>
      <c r="K407">
        <v>1</v>
      </c>
    </row>
    <row r="408" spans="1:11" x14ac:dyDescent="0.25">
      <c r="A408">
        <v>7977726</v>
      </c>
      <c r="B408" s="1">
        <v>42922</v>
      </c>
      <c r="C408" s="2">
        <v>0.6139930555555555</v>
      </c>
      <c r="D408" s="2">
        <v>0.62364583333333334</v>
      </c>
      <c r="G408" s="4">
        <v>3720500</v>
      </c>
      <c r="H408">
        <v>1</v>
      </c>
      <c r="J408">
        <v>2193730</v>
      </c>
      <c r="K408">
        <v>1</v>
      </c>
    </row>
    <row r="409" spans="1:11" x14ac:dyDescent="0.25">
      <c r="A409">
        <v>7219884</v>
      </c>
      <c r="B409" s="1">
        <v>42922</v>
      </c>
      <c r="C409" s="2">
        <v>0.61871527777777779</v>
      </c>
      <c r="D409" s="2">
        <v>0.62458333333333338</v>
      </c>
      <c r="G409" s="4">
        <v>3733011</v>
      </c>
      <c r="H409">
        <v>1</v>
      </c>
      <c r="J409">
        <v>2199311</v>
      </c>
      <c r="K409">
        <v>1</v>
      </c>
    </row>
    <row r="410" spans="1:11" x14ac:dyDescent="0.25">
      <c r="A410">
        <v>8211396842</v>
      </c>
      <c r="B410" s="1">
        <v>42922</v>
      </c>
      <c r="C410" s="2">
        <v>0.6237731481481481</v>
      </c>
      <c r="D410" s="2">
        <v>0.63299768518518518</v>
      </c>
      <c r="G410" s="4">
        <v>3757504</v>
      </c>
      <c r="H410">
        <v>1</v>
      </c>
      <c r="J410">
        <v>2201085</v>
      </c>
      <c r="K410">
        <v>1</v>
      </c>
    </row>
    <row r="411" spans="1:11" x14ac:dyDescent="0.25">
      <c r="A411">
        <v>4860618</v>
      </c>
      <c r="B411" s="1">
        <v>42922</v>
      </c>
      <c r="C411" s="2">
        <v>0.62396990740740743</v>
      </c>
      <c r="D411" s="2">
        <v>0.62693287037037038</v>
      </c>
      <c r="G411" s="4">
        <v>3759991</v>
      </c>
      <c r="H411">
        <v>1</v>
      </c>
      <c r="J411">
        <v>2227803</v>
      </c>
      <c r="K411">
        <v>1</v>
      </c>
    </row>
    <row r="412" spans="1:11" x14ac:dyDescent="0.25">
      <c r="A412">
        <v>6772052</v>
      </c>
      <c r="B412" s="1">
        <v>42922</v>
      </c>
      <c r="C412" s="2">
        <v>0.62491898148148151</v>
      </c>
      <c r="D412" s="2">
        <v>0.63265046296296301</v>
      </c>
      <c r="G412" s="4">
        <v>3765001</v>
      </c>
      <c r="H412">
        <v>1</v>
      </c>
      <c r="J412">
        <v>2239958</v>
      </c>
      <c r="K412">
        <v>1</v>
      </c>
    </row>
    <row r="413" spans="1:11" x14ac:dyDescent="0.25">
      <c r="A413">
        <v>6290575</v>
      </c>
      <c r="B413" s="1">
        <v>42922</v>
      </c>
      <c r="C413" s="2">
        <v>0.62614583333333329</v>
      </c>
      <c r="D413" s="2">
        <v>0.6318287037037037</v>
      </c>
      <c r="G413" s="4">
        <v>3765658</v>
      </c>
      <c r="H413">
        <v>1</v>
      </c>
      <c r="J413">
        <v>2248131</v>
      </c>
      <c r="K413">
        <v>1</v>
      </c>
    </row>
    <row r="414" spans="1:11" x14ac:dyDescent="0.25">
      <c r="A414">
        <v>13972929</v>
      </c>
      <c r="B414" s="1">
        <v>42923</v>
      </c>
      <c r="C414" s="2">
        <v>0.33677083333333335</v>
      </c>
      <c r="D414" s="2">
        <v>0.34700231481481481</v>
      </c>
      <c r="G414" s="4">
        <v>3767866</v>
      </c>
      <c r="H414">
        <v>1</v>
      </c>
      <c r="J414">
        <v>2252239</v>
      </c>
      <c r="K414">
        <v>1</v>
      </c>
    </row>
    <row r="415" spans="1:11" x14ac:dyDescent="0.25">
      <c r="A415">
        <v>7663988</v>
      </c>
      <c r="B415" s="1">
        <v>42923</v>
      </c>
      <c r="C415" s="2">
        <v>0.34092592592592591</v>
      </c>
      <c r="D415" s="2">
        <v>0.3448148148148148</v>
      </c>
      <c r="G415" s="4">
        <v>3776937</v>
      </c>
      <c r="H415">
        <v>1</v>
      </c>
      <c r="J415">
        <v>2255197</v>
      </c>
      <c r="K415">
        <v>1</v>
      </c>
    </row>
    <row r="416" spans="1:11" x14ac:dyDescent="0.25">
      <c r="A416">
        <v>90532439</v>
      </c>
      <c r="B416" s="1">
        <v>42923</v>
      </c>
      <c r="C416" s="2">
        <v>0.34288194444444442</v>
      </c>
      <c r="D416" s="2">
        <v>0.34506944444444443</v>
      </c>
      <c r="G416" s="4">
        <v>3785540</v>
      </c>
      <c r="H416">
        <v>2</v>
      </c>
      <c r="J416">
        <v>2256093</v>
      </c>
      <c r="K416">
        <v>1</v>
      </c>
    </row>
    <row r="417" spans="1:11" x14ac:dyDescent="0.25">
      <c r="A417">
        <v>5505912</v>
      </c>
      <c r="B417" s="1">
        <v>42923</v>
      </c>
      <c r="C417" s="2">
        <v>0.34465277777777775</v>
      </c>
      <c r="D417" s="2">
        <v>0.34819444444444442</v>
      </c>
      <c r="G417" s="4">
        <v>3796958</v>
      </c>
      <c r="H417">
        <v>1</v>
      </c>
      <c r="J417">
        <v>2260131</v>
      </c>
      <c r="K417">
        <v>1</v>
      </c>
    </row>
    <row r="418" spans="1:11" x14ac:dyDescent="0.25">
      <c r="A418">
        <v>5505912</v>
      </c>
      <c r="B418" s="1">
        <v>42923</v>
      </c>
      <c r="C418" s="2">
        <v>0.34848379629629628</v>
      </c>
      <c r="D418" s="2">
        <v>0.35015046296296298</v>
      </c>
      <c r="G418" s="4">
        <v>3804078</v>
      </c>
      <c r="H418">
        <v>1</v>
      </c>
      <c r="J418">
        <v>2289072</v>
      </c>
      <c r="K418">
        <v>1</v>
      </c>
    </row>
    <row r="419" spans="1:11" x14ac:dyDescent="0.25">
      <c r="A419">
        <v>70678482</v>
      </c>
      <c r="B419" s="1">
        <v>42923</v>
      </c>
      <c r="C419" s="2">
        <v>0.35130787037037037</v>
      </c>
      <c r="D419" s="2">
        <v>0.35899305555555555</v>
      </c>
      <c r="G419" s="4">
        <v>3811342</v>
      </c>
      <c r="H419">
        <v>1</v>
      </c>
      <c r="J419">
        <v>2302227</v>
      </c>
      <c r="K419">
        <v>1</v>
      </c>
    </row>
    <row r="420" spans="1:11" x14ac:dyDescent="0.25">
      <c r="A420">
        <v>6578914</v>
      </c>
      <c r="B420" s="1">
        <v>42923</v>
      </c>
      <c r="C420" s="2">
        <v>0.35699074074074072</v>
      </c>
      <c r="D420" s="2">
        <v>0.36546296296296299</v>
      </c>
      <c r="G420" s="4">
        <v>3824371</v>
      </c>
      <c r="H420">
        <v>2</v>
      </c>
      <c r="J420">
        <v>2309436</v>
      </c>
      <c r="K420">
        <v>1</v>
      </c>
    </row>
    <row r="421" spans="1:11" x14ac:dyDescent="0.25">
      <c r="A421">
        <v>3444629</v>
      </c>
      <c r="B421" s="1">
        <v>42923</v>
      </c>
      <c r="C421" s="2">
        <v>0.36015046296296294</v>
      </c>
      <c r="D421" s="2">
        <v>0.36656250000000001</v>
      </c>
      <c r="G421" s="4">
        <v>3824660</v>
      </c>
      <c r="H421">
        <v>1</v>
      </c>
      <c r="J421">
        <v>2325155</v>
      </c>
      <c r="K421">
        <v>1</v>
      </c>
    </row>
    <row r="422" spans="1:11" x14ac:dyDescent="0.25">
      <c r="A422">
        <v>95211263</v>
      </c>
      <c r="B422" s="1">
        <v>42923</v>
      </c>
      <c r="C422" s="2">
        <v>0.36069444444444443</v>
      </c>
      <c r="D422" s="2">
        <v>0.36572916666666666</v>
      </c>
      <c r="G422" s="4">
        <v>3851940</v>
      </c>
      <c r="H422">
        <v>1</v>
      </c>
      <c r="J422">
        <v>2327418</v>
      </c>
      <c r="K422">
        <v>1</v>
      </c>
    </row>
    <row r="423" spans="1:11" x14ac:dyDescent="0.25">
      <c r="A423">
        <v>9468070</v>
      </c>
      <c r="B423" s="1">
        <v>42923</v>
      </c>
      <c r="C423" s="2">
        <v>0.36225694444444445</v>
      </c>
      <c r="D423" s="2">
        <v>0.36364583333333333</v>
      </c>
      <c r="G423" s="4">
        <v>3858766</v>
      </c>
      <c r="H423">
        <v>2</v>
      </c>
      <c r="J423">
        <v>2329556</v>
      </c>
      <c r="K423">
        <v>1</v>
      </c>
    </row>
    <row r="424" spans="1:11" x14ac:dyDescent="0.25">
      <c r="A424">
        <v>31516318</v>
      </c>
      <c r="B424" s="1">
        <v>42923</v>
      </c>
      <c r="C424" s="2">
        <v>0.36267361111111113</v>
      </c>
      <c r="D424" s="2">
        <v>0.36622685185185183</v>
      </c>
      <c r="G424" s="4">
        <v>3861280</v>
      </c>
      <c r="H424">
        <v>1</v>
      </c>
      <c r="J424">
        <v>2341441</v>
      </c>
      <c r="K424">
        <v>1</v>
      </c>
    </row>
    <row r="425" spans="1:11" x14ac:dyDescent="0.25">
      <c r="A425">
        <v>9865716</v>
      </c>
      <c r="B425" s="1">
        <v>42923</v>
      </c>
      <c r="C425" s="2">
        <v>0.36584490740740738</v>
      </c>
      <c r="D425" s="2">
        <v>0.37709490740740742</v>
      </c>
      <c r="G425" s="4">
        <v>3862016</v>
      </c>
      <c r="H425">
        <v>1</v>
      </c>
      <c r="J425">
        <v>2354992</v>
      </c>
      <c r="K425">
        <v>1</v>
      </c>
    </row>
    <row r="426" spans="1:11" x14ac:dyDescent="0.25">
      <c r="A426">
        <v>8163790</v>
      </c>
      <c r="B426" s="1">
        <v>42923</v>
      </c>
      <c r="C426" s="2">
        <v>0.36885416666666665</v>
      </c>
      <c r="D426" s="2">
        <v>0.36932870370370369</v>
      </c>
      <c r="G426" s="4">
        <v>3864488</v>
      </c>
      <c r="H426">
        <v>1</v>
      </c>
      <c r="J426">
        <v>2355456</v>
      </c>
      <c r="K426">
        <v>1</v>
      </c>
    </row>
    <row r="427" spans="1:11" x14ac:dyDescent="0.25">
      <c r="A427">
        <v>18070008</v>
      </c>
      <c r="B427" s="1">
        <v>42923</v>
      </c>
      <c r="C427" s="2">
        <v>0.36996527777777777</v>
      </c>
      <c r="D427" s="2">
        <v>0.37149305555555556</v>
      </c>
      <c r="G427" s="4">
        <v>3897347</v>
      </c>
      <c r="H427">
        <v>1</v>
      </c>
      <c r="J427">
        <v>2366545</v>
      </c>
      <c r="K427">
        <v>1</v>
      </c>
    </row>
    <row r="428" spans="1:11" x14ac:dyDescent="0.25">
      <c r="A428">
        <v>1119740</v>
      </c>
      <c r="B428" s="1">
        <v>42923</v>
      </c>
      <c r="C428" s="2">
        <v>0.37112268518518521</v>
      </c>
      <c r="D428" s="2">
        <v>0.37534722222222222</v>
      </c>
      <c r="G428" s="4">
        <v>3900921</v>
      </c>
      <c r="H428">
        <v>1</v>
      </c>
      <c r="J428">
        <v>2388040</v>
      </c>
      <c r="K428">
        <v>1</v>
      </c>
    </row>
    <row r="429" spans="1:11" x14ac:dyDescent="0.25">
      <c r="A429">
        <v>94634526</v>
      </c>
      <c r="B429" s="1">
        <v>42923</v>
      </c>
      <c r="C429" s="2">
        <v>0.3721990740740741</v>
      </c>
      <c r="D429" s="2">
        <v>0.37956018518518519</v>
      </c>
      <c r="G429" s="4">
        <v>3908162</v>
      </c>
      <c r="H429">
        <v>1</v>
      </c>
      <c r="J429">
        <v>2394144</v>
      </c>
      <c r="K429">
        <v>1</v>
      </c>
    </row>
    <row r="430" spans="1:11" x14ac:dyDescent="0.25">
      <c r="A430">
        <v>67964973</v>
      </c>
      <c r="B430" s="1">
        <v>42923</v>
      </c>
      <c r="C430" s="2">
        <v>0.37445601851851851</v>
      </c>
      <c r="D430" s="2">
        <v>0.38145833333333334</v>
      </c>
      <c r="G430" s="4">
        <v>3912924</v>
      </c>
      <c r="H430">
        <v>1</v>
      </c>
      <c r="J430">
        <v>2395447</v>
      </c>
      <c r="K430">
        <v>1</v>
      </c>
    </row>
    <row r="431" spans="1:11" x14ac:dyDescent="0.25">
      <c r="A431">
        <v>3505978</v>
      </c>
      <c r="B431" s="1">
        <v>42923</v>
      </c>
      <c r="C431" s="2">
        <v>0.3767476851851852</v>
      </c>
      <c r="D431" s="2">
        <v>0.38192129629629629</v>
      </c>
      <c r="G431" s="4">
        <v>3914070</v>
      </c>
      <c r="H431">
        <v>1</v>
      </c>
      <c r="J431">
        <v>2400590</v>
      </c>
      <c r="K431">
        <v>1</v>
      </c>
    </row>
    <row r="432" spans="1:11" x14ac:dyDescent="0.25">
      <c r="A432">
        <v>8685299481</v>
      </c>
      <c r="B432" s="1">
        <v>42923</v>
      </c>
      <c r="C432" s="2">
        <v>0.3778009259259259</v>
      </c>
      <c r="D432" s="2">
        <v>0.37927083333333333</v>
      </c>
      <c r="G432" s="4">
        <v>3919087</v>
      </c>
      <c r="H432">
        <v>1</v>
      </c>
      <c r="J432">
        <v>2402827</v>
      </c>
      <c r="K432">
        <v>1</v>
      </c>
    </row>
    <row r="433" spans="1:11" x14ac:dyDescent="0.25">
      <c r="A433">
        <v>8863988</v>
      </c>
      <c r="B433" s="1">
        <v>42923</v>
      </c>
      <c r="C433" s="2">
        <v>0.37998842592592591</v>
      </c>
      <c r="D433" s="2">
        <v>0.38434027777777779</v>
      </c>
      <c r="G433" s="4">
        <v>3925701</v>
      </c>
      <c r="H433">
        <v>1</v>
      </c>
      <c r="J433">
        <v>2406196</v>
      </c>
      <c r="K433">
        <v>1</v>
      </c>
    </row>
    <row r="434" spans="1:11" x14ac:dyDescent="0.25">
      <c r="A434">
        <v>29121099</v>
      </c>
      <c r="B434" s="1">
        <v>42923</v>
      </c>
      <c r="C434" s="2">
        <v>0.3835763888888889</v>
      </c>
      <c r="D434" s="2">
        <v>0.38965277777777779</v>
      </c>
      <c r="G434" s="4">
        <v>3931464</v>
      </c>
      <c r="H434">
        <v>1</v>
      </c>
      <c r="J434">
        <v>2412611</v>
      </c>
      <c r="K434">
        <v>1</v>
      </c>
    </row>
    <row r="435" spans="1:11" x14ac:dyDescent="0.25">
      <c r="A435">
        <v>2814524</v>
      </c>
      <c r="B435" s="1">
        <v>42923</v>
      </c>
      <c r="C435" s="2">
        <v>0.38922453703703702</v>
      </c>
      <c r="D435" s="2">
        <v>0.39096064814814813</v>
      </c>
      <c r="G435" s="4">
        <v>3931914</v>
      </c>
      <c r="H435">
        <v>1</v>
      </c>
      <c r="J435">
        <v>2419247</v>
      </c>
      <c r="K435">
        <v>1</v>
      </c>
    </row>
    <row r="436" spans="1:11" x14ac:dyDescent="0.25">
      <c r="A436">
        <v>5341697748</v>
      </c>
      <c r="B436" s="1">
        <v>42923</v>
      </c>
      <c r="C436" s="2">
        <v>0.39091435185185186</v>
      </c>
      <c r="D436" s="2">
        <v>0.39620370370370372</v>
      </c>
      <c r="G436" s="4">
        <v>3934931</v>
      </c>
      <c r="H436">
        <v>1</v>
      </c>
      <c r="J436">
        <v>2419817</v>
      </c>
      <c r="K436">
        <v>1</v>
      </c>
    </row>
    <row r="437" spans="1:11" x14ac:dyDescent="0.25">
      <c r="A437">
        <v>4102482</v>
      </c>
      <c r="B437" s="1">
        <v>42923</v>
      </c>
      <c r="C437" s="2">
        <v>0.39196759259259262</v>
      </c>
      <c r="D437" s="2">
        <v>0.39486111111111111</v>
      </c>
      <c r="G437" s="4">
        <v>3943994</v>
      </c>
      <c r="H437">
        <v>1</v>
      </c>
      <c r="J437">
        <v>2434652</v>
      </c>
      <c r="K437">
        <v>1</v>
      </c>
    </row>
    <row r="438" spans="1:11" x14ac:dyDescent="0.25">
      <c r="A438">
        <v>5636281</v>
      </c>
      <c r="B438" s="1">
        <v>42923</v>
      </c>
      <c r="C438" s="2">
        <v>0.39731481481481479</v>
      </c>
      <c r="D438" s="2">
        <v>0.40688657407407408</v>
      </c>
      <c r="G438" s="4">
        <v>3944120</v>
      </c>
      <c r="H438">
        <v>1</v>
      </c>
      <c r="J438">
        <v>2435007</v>
      </c>
      <c r="K438">
        <v>1</v>
      </c>
    </row>
    <row r="439" spans="1:11" x14ac:dyDescent="0.25">
      <c r="A439">
        <v>7715424</v>
      </c>
      <c r="B439" s="1">
        <v>42923</v>
      </c>
      <c r="C439" s="2">
        <v>0.40283564814814815</v>
      </c>
      <c r="D439" s="2">
        <v>0.41091435185185188</v>
      </c>
      <c r="G439" s="4">
        <v>3954712</v>
      </c>
      <c r="H439">
        <v>1</v>
      </c>
      <c r="J439">
        <v>2443869</v>
      </c>
      <c r="K439">
        <v>1</v>
      </c>
    </row>
    <row r="440" spans="1:11" x14ac:dyDescent="0.25">
      <c r="A440">
        <v>3811342</v>
      </c>
      <c r="B440" s="1">
        <v>42923</v>
      </c>
      <c r="C440" s="2">
        <v>0.4039814814814815</v>
      </c>
      <c r="D440" s="2">
        <v>0.41211805555555553</v>
      </c>
      <c r="G440" s="4">
        <v>3972159</v>
      </c>
      <c r="H440">
        <v>1</v>
      </c>
      <c r="J440">
        <v>2445944</v>
      </c>
      <c r="K440">
        <v>1</v>
      </c>
    </row>
    <row r="441" spans="1:11" x14ac:dyDescent="0.25">
      <c r="A441">
        <v>8177683</v>
      </c>
      <c r="B441" s="1">
        <v>42923</v>
      </c>
      <c r="C441" s="2">
        <v>0.40534722222222225</v>
      </c>
      <c r="D441" s="2">
        <v>0.40887731481481482</v>
      </c>
      <c r="G441" s="4">
        <v>3976931</v>
      </c>
      <c r="H441">
        <v>1</v>
      </c>
      <c r="J441">
        <v>2456290</v>
      </c>
      <c r="K441">
        <v>1</v>
      </c>
    </row>
    <row r="442" spans="1:11" x14ac:dyDescent="0.25">
      <c r="A442">
        <v>51367705</v>
      </c>
      <c r="B442" s="1">
        <v>42923</v>
      </c>
      <c r="C442" s="2">
        <v>0.41025462962962961</v>
      </c>
      <c r="D442" s="2">
        <v>0.41064814814814815</v>
      </c>
      <c r="G442" s="4">
        <v>3979295</v>
      </c>
      <c r="H442">
        <v>1</v>
      </c>
      <c r="J442">
        <v>2462682</v>
      </c>
      <c r="K442">
        <v>1</v>
      </c>
    </row>
    <row r="443" spans="1:11" x14ac:dyDescent="0.25">
      <c r="A443">
        <v>7646265</v>
      </c>
      <c r="B443" s="1">
        <v>42923</v>
      </c>
      <c r="C443" s="2">
        <v>0.4103472222222222</v>
      </c>
      <c r="D443" s="2">
        <v>0.41578703703703701</v>
      </c>
      <c r="G443" s="4">
        <v>3979680</v>
      </c>
      <c r="H443">
        <v>1</v>
      </c>
      <c r="J443">
        <v>2469778</v>
      </c>
      <c r="K443">
        <v>1</v>
      </c>
    </row>
    <row r="444" spans="1:11" x14ac:dyDescent="0.25">
      <c r="A444">
        <v>37906881</v>
      </c>
      <c r="B444" s="1">
        <v>42923</v>
      </c>
      <c r="C444" s="2">
        <v>0.41248842592592594</v>
      </c>
      <c r="D444" s="2">
        <v>0.41328703703703706</v>
      </c>
      <c r="G444" s="4">
        <v>3982833</v>
      </c>
      <c r="H444">
        <v>1</v>
      </c>
      <c r="J444">
        <v>2474506</v>
      </c>
      <c r="K444">
        <v>1</v>
      </c>
    </row>
    <row r="445" spans="1:11" x14ac:dyDescent="0.25">
      <c r="A445">
        <v>9740908</v>
      </c>
      <c r="B445" s="1">
        <v>42923</v>
      </c>
      <c r="C445" s="2">
        <v>0.41260416666666666</v>
      </c>
      <c r="D445" s="2">
        <v>0.41520833333333335</v>
      </c>
      <c r="G445" s="4">
        <v>3983714</v>
      </c>
      <c r="H445">
        <v>1</v>
      </c>
      <c r="J445">
        <v>2475157</v>
      </c>
      <c r="K445">
        <v>1</v>
      </c>
    </row>
    <row r="446" spans="1:11" x14ac:dyDescent="0.25">
      <c r="A446">
        <v>45948073</v>
      </c>
      <c r="B446" s="1">
        <v>42923</v>
      </c>
      <c r="C446" s="2">
        <v>0.41680555555555554</v>
      </c>
      <c r="D446" s="2">
        <v>0.4243865740740741</v>
      </c>
      <c r="G446" s="4">
        <v>3984696</v>
      </c>
      <c r="H446">
        <v>2</v>
      </c>
      <c r="J446">
        <v>2478461</v>
      </c>
      <c r="K446">
        <v>1</v>
      </c>
    </row>
    <row r="447" spans="1:11" x14ac:dyDescent="0.25">
      <c r="A447">
        <v>8070345</v>
      </c>
      <c r="B447" s="1">
        <v>42923</v>
      </c>
      <c r="C447" s="2">
        <v>0.41829861111111111</v>
      </c>
      <c r="D447" s="2">
        <v>0.42706018518518518</v>
      </c>
      <c r="G447" s="4">
        <v>3990337</v>
      </c>
      <c r="H447">
        <v>1</v>
      </c>
      <c r="J447">
        <v>2486941</v>
      </c>
      <c r="K447">
        <v>1</v>
      </c>
    </row>
    <row r="448" spans="1:11" x14ac:dyDescent="0.25">
      <c r="A448">
        <v>52214055</v>
      </c>
      <c r="B448" s="1">
        <v>42923</v>
      </c>
      <c r="C448" s="2">
        <v>0.4199074074074074</v>
      </c>
      <c r="D448" s="2">
        <v>0.42357638888888888</v>
      </c>
      <c r="G448" s="4">
        <v>3999937</v>
      </c>
      <c r="H448">
        <v>1</v>
      </c>
      <c r="J448">
        <v>2492731</v>
      </c>
      <c r="K448">
        <v>1</v>
      </c>
    </row>
    <row r="449" spans="1:11" x14ac:dyDescent="0.25">
      <c r="A449">
        <v>8434044</v>
      </c>
      <c r="B449" s="1">
        <v>42923</v>
      </c>
      <c r="C449" s="2">
        <v>0.42149305555555555</v>
      </c>
      <c r="D449" s="2">
        <v>0.42736111111111114</v>
      </c>
      <c r="G449" s="4">
        <v>4002406</v>
      </c>
      <c r="H449">
        <v>1</v>
      </c>
      <c r="J449">
        <v>2509631</v>
      </c>
      <c r="K449">
        <v>1</v>
      </c>
    </row>
    <row r="450" spans="1:11" x14ac:dyDescent="0.25">
      <c r="A450">
        <v>4702334</v>
      </c>
      <c r="B450" s="1">
        <v>42923</v>
      </c>
      <c r="C450" s="2">
        <v>0.4255902777777778</v>
      </c>
      <c r="D450" s="2">
        <v>0.43464120370370368</v>
      </c>
      <c r="G450" s="4">
        <v>4007464</v>
      </c>
      <c r="H450">
        <v>1</v>
      </c>
      <c r="J450">
        <v>2514802</v>
      </c>
      <c r="K450">
        <v>1</v>
      </c>
    </row>
    <row r="451" spans="1:11" x14ac:dyDescent="0.25">
      <c r="A451">
        <v>1308483040</v>
      </c>
      <c r="B451" s="1">
        <v>42923</v>
      </c>
      <c r="C451" s="2">
        <v>0.43016203703703704</v>
      </c>
      <c r="D451" s="2">
        <v>0.44123842592592594</v>
      </c>
      <c r="G451" s="4">
        <v>4017213</v>
      </c>
      <c r="H451">
        <v>1</v>
      </c>
      <c r="J451">
        <v>2515441</v>
      </c>
      <c r="K451">
        <v>1</v>
      </c>
    </row>
    <row r="452" spans="1:11" x14ac:dyDescent="0.25">
      <c r="A452">
        <v>34556399</v>
      </c>
      <c r="B452" s="1">
        <v>42923</v>
      </c>
      <c r="C452" s="2">
        <v>0.43146990740740743</v>
      </c>
      <c r="D452" s="2">
        <v>0.43192129629629628</v>
      </c>
      <c r="G452" s="4">
        <v>4025325</v>
      </c>
      <c r="H452">
        <v>1</v>
      </c>
      <c r="J452">
        <v>2557643</v>
      </c>
      <c r="K452">
        <v>1</v>
      </c>
    </row>
    <row r="453" spans="1:11" x14ac:dyDescent="0.25">
      <c r="A453">
        <v>48676568</v>
      </c>
      <c r="B453" s="1">
        <v>42923</v>
      </c>
      <c r="C453" s="2">
        <v>0.43313657407407408</v>
      </c>
      <c r="D453" s="2">
        <v>0.43811342592592595</v>
      </c>
      <c r="G453" s="4">
        <v>4030817</v>
      </c>
      <c r="H453">
        <v>1</v>
      </c>
      <c r="J453">
        <v>2557668</v>
      </c>
      <c r="K453">
        <v>1</v>
      </c>
    </row>
    <row r="454" spans="1:11" x14ac:dyDescent="0.25">
      <c r="A454">
        <v>1887758</v>
      </c>
      <c r="B454" s="1">
        <v>42923</v>
      </c>
      <c r="C454" s="2">
        <v>0.43752314814814813</v>
      </c>
      <c r="D454" s="2">
        <v>0.44806712962962963</v>
      </c>
      <c r="G454" s="4">
        <v>4034491</v>
      </c>
      <c r="H454">
        <v>1</v>
      </c>
      <c r="J454">
        <v>2567031</v>
      </c>
      <c r="K454">
        <v>1</v>
      </c>
    </row>
    <row r="455" spans="1:11" x14ac:dyDescent="0.25">
      <c r="A455">
        <v>3505978</v>
      </c>
      <c r="B455" s="1">
        <v>42923</v>
      </c>
      <c r="C455" s="2">
        <v>0.44184027777777779</v>
      </c>
      <c r="D455" s="2">
        <v>0.44582175925925926</v>
      </c>
      <c r="G455" s="4">
        <v>4039284</v>
      </c>
      <c r="H455">
        <v>2</v>
      </c>
      <c r="J455">
        <v>2569721</v>
      </c>
      <c r="K455">
        <v>1</v>
      </c>
    </row>
    <row r="456" spans="1:11" x14ac:dyDescent="0.25">
      <c r="A456">
        <v>4405604</v>
      </c>
      <c r="B456" s="1">
        <v>42923</v>
      </c>
      <c r="C456" s="2">
        <v>0.44543981481481482</v>
      </c>
      <c r="D456" s="2">
        <v>0.45271990740740742</v>
      </c>
      <c r="G456" s="4">
        <v>4055319</v>
      </c>
      <c r="H456">
        <v>1</v>
      </c>
      <c r="J456">
        <v>2571251</v>
      </c>
      <c r="K456">
        <v>1</v>
      </c>
    </row>
    <row r="457" spans="1:11" x14ac:dyDescent="0.25">
      <c r="A457">
        <v>2327418</v>
      </c>
      <c r="B457" s="1">
        <v>42923</v>
      </c>
      <c r="C457" s="2">
        <v>0.44775462962962964</v>
      </c>
      <c r="D457" s="2">
        <v>0.45450231481481479</v>
      </c>
      <c r="G457" s="4">
        <v>4056070</v>
      </c>
      <c r="H457">
        <v>1</v>
      </c>
      <c r="J457">
        <v>2573868</v>
      </c>
      <c r="K457">
        <v>1</v>
      </c>
    </row>
    <row r="458" spans="1:11" x14ac:dyDescent="0.25">
      <c r="A458">
        <v>5205087</v>
      </c>
      <c r="B458" s="1">
        <v>42923</v>
      </c>
      <c r="C458" s="2">
        <v>0.44927083333333334</v>
      </c>
      <c r="D458" s="2">
        <v>0.45666666666666667</v>
      </c>
      <c r="G458" s="4">
        <v>4056361</v>
      </c>
      <c r="H458">
        <v>1</v>
      </c>
      <c r="J458">
        <v>2584185</v>
      </c>
      <c r="K458">
        <v>1</v>
      </c>
    </row>
    <row r="459" spans="1:11" x14ac:dyDescent="0.25">
      <c r="A459">
        <v>1936989939</v>
      </c>
      <c r="B459" s="1">
        <v>42923</v>
      </c>
      <c r="C459" s="2">
        <v>0.45091435185185186</v>
      </c>
      <c r="D459" s="2">
        <v>0.4586574074074074</v>
      </c>
      <c r="G459" s="4">
        <v>4060894</v>
      </c>
      <c r="H459">
        <v>1</v>
      </c>
      <c r="J459">
        <v>2585298</v>
      </c>
      <c r="K459">
        <v>1</v>
      </c>
    </row>
    <row r="460" spans="1:11" x14ac:dyDescent="0.25">
      <c r="A460">
        <v>2722706</v>
      </c>
      <c r="B460" s="1">
        <v>42923</v>
      </c>
      <c r="C460" s="2">
        <v>0.45416666666666666</v>
      </c>
      <c r="D460" s="2">
        <v>0.46155092592592595</v>
      </c>
      <c r="G460" s="4">
        <v>4062215</v>
      </c>
      <c r="H460">
        <v>1</v>
      </c>
      <c r="J460">
        <v>2590674</v>
      </c>
      <c r="K460">
        <v>1</v>
      </c>
    </row>
    <row r="461" spans="1:11" x14ac:dyDescent="0.25">
      <c r="A461">
        <v>3018218</v>
      </c>
      <c r="B461" s="1">
        <v>42923</v>
      </c>
      <c r="C461" s="2">
        <v>0.45950231481481479</v>
      </c>
      <c r="D461" s="2">
        <v>0.46091435185185187</v>
      </c>
      <c r="G461" s="4">
        <v>4065787</v>
      </c>
      <c r="H461">
        <v>1</v>
      </c>
      <c r="J461">
        <v>2603125</v>
      </c>
      <c r="K461">
        <v>1</v>
      </c>
    </row>
    <row r="462" spans="1:11" x14ac:dyDescent="0.25">
      <c r="A462">
        <v>3765658</v>
      </c>
      <c r="B462" s="1">
        <v>42923</v>
      </c>
      <c r="C462" s="2">
        <v>0.45981481481481479</v>
      </c>
      <c r="D462" s="2">
        <v>0.46148148148148149</v>
      </c>
      <c r="G462" s="4">
        <v>4068728</v>
      </c>
      <c r="H462">
        <v>1</v>
      </c>
      <c r="J462">
        <v>2604004</v>
      </c>
      <c r="K462">
        <v>1</v>
      </c>
    </row>
    <row r="463" spans="1:11" x14ac:dyDescent="0.25">
      <c r="A463">
        <v>43109897</v>
      </c>
      <c r="B463" s="1">
        <v>42923</v>
      </c>
      <c r="C463" s="2">
        <v>0.46357638888888891</v>
      </c>
      <c r="D463" s="2">
        <v>0.46807870370370369</v>
      </c>
      <c r="G463" s="4">
        <v>4079013</v>
      </c>
      <c r="H463">
        <v>1</v>
      </c>
      <c r="J463">
        <v>2611045</v>
      </c>
      <c r="K463">
        <v>1</v>
      </c>
    </row>
    <row r="464" spans="1:11" x14ac:dyDescent="0.25">
      <c r="A464">
        <v>3178616</v>
      </c>
      <c r="B464" s="1">
        <v>42923</v>
      </c>
      <c r="C464" s="2">
        <v>0.46891203703703704</v>
      </c>
      <c r="D464" s="2">
        <v>0.47209490740740739</v>
      </c>
      <c r="G464" s="4">
        <v>4082744</v>
      </c>
      <c r="H464">
        <v>1</v>
      </c>
      <c r="J464">
        <v>2631285</v>
      </c>
      <c r="K464">
        <v>1</v>
      </c>
    </row>
    <row r="465" spans="1:11" x14ac:dyDescent="0.25">
      <c r="A465">
        <v>71207090</v>
      </c>
      <c r="B465" s="1">
        <v>42923</v>
      </c>
      <c r="C465" s="2">
        <v>0.47127314814814814</v>
      </c>
      <c r="D465" s="2">
        <v>0.47475694444444444</v>
      </c>
      <c r="G465" s="4">
        <v>4093292</v>
      </c>
      <c r="H465">
        <v>1</v>
      </c>
      <c r="J465">
        <v>2635121</v>
      </c>
      <c r="K465">
        <v>1</v>
      </c>
    </row>
    <row r="466" spans="1:11" x14ac:dyDescent="0.25">
      <c r="A466">
        <v>3465997</v>
      </c>
      <c r="B466" s="1">
        <v>42923</v>
      </c>
      <c r="C466" s="2">
        <v>0.47285879629629629</v>
      </c>
      <c r="D466" s="2">
        <v>0.47479166666666667</v>
      </c>
      <c r="G466" s="4">
        <v>4094662</v>
      </c>
      <c r="H466">
        <v>1</v>
      </c>
      <c r="J466">
        <v>2636055</v>
      </c>
      <c r="K466">
        <v>1</v>
      </c>
    </row>
    <row r="467" spans="1:11" x14ac:dyDescent="0.25">
      <c r="A467">
        <v>17490780</v>
      </c>
      <c r="B467" s="1">
        <v>42923</v>
      </c>
      <c r="C467" s="2">
        <v>0.47409722222222223</v>
      </c>
      <c r="D467" s="2">
        <v>0.48534722222222221</v>
      </c>
      <c r="G467" s="4">
        <v>4100331</v>
      </c>
      <c r="H467">
        <v>1</v>
      </c>
      <c r="J467">
        <v>2644526</v>
      </c>
      <c r="K467">
        <v>1</v>
      </c>
    </row>
    <row r="468" spans="1:11" x14ac:dyDescent="0.25">
      <c r="A468">
        <v>9805082</v>
      </c>
      <c r="B468" s="1">
        <v>42923</v>
      </c>
      <c r="C468" s="2">
        <v>0.47561342592592593</v>
      </c>
      <c r="D468" s="2">
        <v>0.47950231481481481</v>
      </c>
      <c r="G468" s="4">
        <v>4102482</v>
      </c>
      <c r="H468">
        <v>1</v>
      </c>
      <c r="J468">
        <v>2645518</v>
      </c>
      <c r="K468">
        <v>1</v>
      </c>
    </row>
    <row r="469" spans="1:11" x14ac:dyDescent="0.25">
      <c r="A469">
        <v>6333547</v>
      </c>
      <c r="B469" s="1">
        <v>42923</v>
      </c>
      <c r="C469" s="2">
        <v>0.4788425925925926</v>
      </c>
      <c r="D469" s="2">
        <v>0.48685185185185187</v>
      </c>
      <c r="G469" s="4">
        <v>4111617</v>
      </c>
      <c r="H469">
        <v>2</v>
      </c>
      <c r="J469">
        <v>2653312</v>
      </c>
      <c r="K469">
        <v>1</v>
      </c>
    </row>
    <row r="470" spans="1:11" x14ac:dyDescent="0.25">
      <c r="A470">
        <v>8424969</v>
      </c>
      <c r="B470" s="1">
        <v>42923</v>
      </c>
      <c r="C470" s="2">
        <v>0.48380787037037037</v>
      </c>
      <c r="D470" s="2">
        <v>0.49267361111111113</v>
      </c>
      <c r="G470" s="4">
        <v>4113351</v>
      </c>
      <c r="H470">
        <v>1</v>
      </c>
      <c r="J470">
        <v>2663800</v>
      </c>
      <c r="K470">
        <v>1</v>
      </c>
    </row>
    <row r="471" spans="1:11" x14ac:dyDescent="0.25">
      <c r="A471">
        <v>41210751</v>
      </c>
      <c r="B471" s="1">
        <v>42923</v>
      </c>
      <c r="C471" s="2">
        <v>0.48699074074074072</v>
      </c>
      <c r="D471" s="2">
        <v>0.48884259259259261</v>
      </c>
      <c r="G471" s="4">
        <v>4131448</v>
      </c>
      <c r="H471">
        <v>2</v>
      </c>
      <c r="J471">
        <v>2672229</v>
      </c>
      <c r="K471">
        <v>1</v>
      </c>
    </row>
    <row r="472" spans="1:11" x14ac:dyDescent="0.25">
      <c r="A472">
        <v>9321082</v>
      </c>
      <c r="B472" s="1">
        <v>42923</v>
      </c>
      <c r="C472" s="2">
        <v>0.49206018518518518</v>
      </c>
      <c r="D472" s="2">
        <v>0.50086805555555558</v>
      </c>
      <c r="G472" s="4">
        <v>4132754</v>
      </c>
      <c r="H472">
        <v>1</v>
      </c>
      <c r="J472">
        <v>2675422</v>
      </c>
      <c r="K472">
        <v>1</v>
      </c>
    </row>
    <row r="473" spans="1:11" x14ac:dyDescent="0.25">
      <c r="A473">
        <v>80907155</v>
      </c>
      <c r="B473" s="1">
        <v>42923</v>
      </c>
      <c r="C473" s="2">
        <v>0.49668981481481483</v>
      </c>
      <c r="D473" s="2">
        <v>0.50266203703703705</v>
      </c>
      <c r="G473" s="4">
        <v>4133182</v>
      </c>
      <c r="H473">
        <v>1</v>
      </c>
      <c r="J473">
        <v>2684831</v>
      </c>
      <c r="K473">
        <v>1</v>
      </c>
    </row>
    <row r="474" spans="1:11" x14ac:dyDescent="0.25">
      <c r="A474">
        <v>16303399</v>
      </c>
      <c r="B474" s="1">
        <v>42923</v>
      </c>
      <c r="C474" s="2">
        <v>0.50232638888888892</v>
      </c>
      <c r="D474" s="2">
        <v>0.50351851851851848</v>
      </c>
      <c r="G474" s="4">
        <v>4144248</v>
      </c>
      <c r="H474">
        <v>1</v>
      </c>
      <c r="J474">
        <v>2697566</v>
      </c>
      <c r="K474">
        <v>1</v>
      </c>
    </row>
    <row r="475" spans="1:11" x14ac:dyDescent="0.25">
      <c r="A475">
        <v>7841442</v>
      </c>
      <c r="B475" s="1">
        <v>42923</v>
      </c>
      <c r="C475" s="2">
        <v>0.50498842592592597</v>
      </c>
      <c r="D475" s="2">
        <v>0.50807870370370367</v>
      </c>
      <c r="G475" s="4">
        <v>4146159</v>
      </c>
      <c r="H475">
        <v>1</v>
      </c>
      <c r="J475">
        <v>2701816</v>
      </c>
      <c r="K475">
        <v>1</v>
      </c>
    </row>
    <row r="476" spans="1:11" x14ac:dyDescent="0.25">
      <c r="A476">
        <v>5512237</v>
      </c>
      <c r="B476" s="1">
        <v>42923</v>
      </c>
      <c r="C476" s="2">
        <v>0.50883101851851853</v>
      </c>
      <c r="D476" s="2">
        <v>0.50998842592592597</v>
      </c>
      <c r="G476" s="4">
        <v>4148520</v>
      </c>
      <c r="H476">
        <v>1</v>
      </c>
      <c r="J476">
        <v>2723614</v>
      </c>
      <c r="K476">
        <v>1</v>
      </c>
    </row>
    <row r="477" spans="1:11" x14ac:dyDescent="0.25">
      <c r="A477">
        <v>2557668</v>
      </c>
      <c r="B477" s="1">
        <v>42923</v>
      </c>
      <c r="C477" s="2">
        <v>0.51253472222222218</v>
      </c>
      <c r="D477" s="2">
        <v>0.51974537037037039</v>
      </c>
      <c r="G477" s="4">
        <v>4150421</v>
      </c>
      <c r="H477">
        <v>1</v>
      </c>
      <c r="J477">
        <v>2731955</v>
      </c>
      <c r="K477">
        <v>1</v>
      </c>
    </row>
    <row r="478" spans="1:11" x14ac:dyDescent="0.25">
      <c r="A478">
        <v>4469748</v>
      </c>
      <c r="B478" s="1">
        <v>42923</v>
      </c>
      <c r="C478" s="2">
        <v>0.51744212962962965</v>
      </c>
      <c r="D478" s="2">
        <v>0.52157407407407408</v>
      </c>
      <c r="G478" s="4">
        <v>4154521</v>
      </c>
      <c r="H478">
        <v>2</v>
      </c>
      <c r="J478">
        <v>2733008</v>
      </c>
      <c r="K478">
        <v>1</v>
      </c>
    </row>
    <row r="479" spans="1:11" x14ac:dyDescent="0.25">
      <c r="A479">
        <v>7773546</v>
      </c>
      <c r="B479" s="1">
        <v>42923</v>
      </c>
      <c r="C479" s="2">
        <v>0.51883101851851854</v>
      </c>
      <c r="D479" s="2">
        <v>0.52545138888888887</v>
      </c>
      <c r="G479" s="4">
        <v>4174785</v>
      </c>
      <c r="H479">
        <v>1</v>
      </c>
      <c r="J479">
        <v>2741017</v>
      </c>
      <c r="K479">
        <v>1</v>
      </c>
    </row>
    <row r="480" spans="1:11" x14ac:dyDescent="0.25">
      <c r="A480">
        <v>9521805</v>
      </c>
      <c r="B480" s="1">
        <v>42923</v>
      </c>
      <c r="C480" s="2">
        <v>0.52357638888888891</v>
      </c>
      <c r="D480" s="2">
        <v>0.53096064814814814</v>
      </c>
      <c r="G480" s="4">
        <v>4176704</v>
      </c>
      <c r="H480">
        <v>1</v>
      </c>
      <c r="J480">
        <v>2750193</v>
      </c>
      <c r="K480">
        <v>1</v>
      </c>
    </row>
    <row r="481" spans="1:11" x14ac:dyDescent="0.25">
      <c r="A481">
        <v>1640140</v>
      </c>
      <c r="B481" s="1">
        <v>42923</v>
      </c>
      <c r="C481" s="2">
        <v>0.52484953703703707</v>
      </c>
      <c r="D481" s="2">
        <v>0.53331018518518514</v>
      </c>
      <c r="G481" s="4">
        <v>4176999</v>
      </c>
      <c r="H481">
        <v>1</v>
      </c>
      <c r="J481">
        <v>2753778</v>
      </c>
      <c r="K481">
        <v>1</v>
      </c>
    </row>
    <row r="482" spans="1:11" x14ac:dyDescent="0.25">
      <c r="A482">
        <v>5415372</v>
      </c>
      <c r="B482" s="1">
        <v>42923</v>
      </c>
      <c r="C482" s="2">
        <v>0.52690972222222221</v>
      </c>
      <c r="D482" s="2">
        <v>0.53266203703703707</v>
      </c>
      <c r="G482" s="4">
        <v>4187727</v>
      </c>
      <c r="H482">
        <v>1</v>
      </c>
      <c r="J482">
        <v>2771511</v>
      </c>
      <c r="K482">
        <v>1</v>
      </c>
    </row>
    <row r="483" spans="1:11" x14ac:dyDescent="0.25">
      <c r="A483">
        <v>23504109</v>
      </c>
      <c r="B483" s="1">
        <v>42923</v>
      </c>
      <c r="C483" s="2">
        <v>0.52921296296296294</v>
      </c>
      <c r="D483" s="2">
        <v>0.53706018518518517</v>
      </c>
      <c r="G483" s="4">
        <v>4191600</v>
      </c>
      <c r="H483">
        <v>1</v>
      </c>
      <c r="J483">
        <v>2780765</v>
      </c>
      <c r="K483">
        <v>1</v>
      </c>
    </row>
    <row r="484" spans="1:11" x14ac:dyDescent="0.25">
      <c r="A484">
        <v>7914439</v>
      </c>
      <c r="B484" s="1">
        <v>42923</v>
      </c>
      <c r="C484" s="2">
        <v>0.52964120370370371</v>
      </c>
      <c r="D484" s="2">
        <v>0.53607638888888887</v>
      </c>
      <c r="G484" s="4">
        <v>4195677</v>
      </c>
      <c r="H484">
        <v>1</v>
      </c>
      <c r="J484">
        <v>2808052</v>
      </c>
      <c r="K484">
        <v>1</v>
      </c>
    </row>
    <row r="485" spans="1:11" x14ac:dyDescent="0.25">
      <c r="A485">
        <v>3900921</v>
      </c>
      <c r="B485" s="1">
        <v>42923</v>
      </c>
      <c r="C485" s="2">
        <v>0.52968749999999998</v>
      </c>
      <c r="D485" s="2">
        <v>0.53865740740740742</v>
      </c>
      <c r="G485" s="4">
        <v>4203418</v>
      </c>
      <c r="H485">
        <v>1</v>
      </c>
      <c r="J485">
        <v>2814524</v>
      </c>
      <c r="K485">
        <v>1</v>
      </c>
    </row>
    <row r="486" spans="1:11" x14ac:dyDescent="0.25">
      <c r="A486">
        <v>1081610</v>
      </c>
      <c r="B486" s="1">
        <v>42923</v>
      </c>
      <c r="C486" s="2">
        <v>0.53372685185185187</v>
      </c>
      <c r="D486" s="2">
        <v>0.54082175925925924</v>
      </c>
      <c r="G486" s="4">
        <v>4212838</v>
      </c>
      <c r="H486">
        <v>2</v>
      </c>
      <c r="J486">
        <v>2825289</v>
      </c>
      <c r="K486">
        <v>1</v>
      </c>
    </row>
    <row r="487" spans="1:11" x14ac:dyDescent="0.25">
      <c r="A487">
        <v>9176754</v>
      </c>
      <c r="B487" s="1">
        <v>42923</v>
      </c>
      <c r="C487" s="2">
        <v>0.5345833333333333</v>
      </c>
      <c r="D487" s="2">
        <v>0.54532407407407413</v>
      </c>
      <c r="G487" s="4">
        <v>4221160</v>
      </c>
      <c r="H487">
        <v>1</v>
      </c>
      <c r="J487">
        <v>2828759</v>
      </c>
      <c r="K487">
        <v>1</v>
      </c>
    </row>
    <row r="488" spans="1:11" x14ac:dyDescent="0.25">
      <c r="A488">
        <v>1814327</v>
      </c>
      <c r="B488" s="1">
        <v>42923</v>
      </c>
      <c r="C488" s="2">
        <v>0.5385416666666667</v>
      </c>
      <c r="D488" s="2">
        <v>0.53870370370370368</v>
      </c>
      <c r="G488" s="4">
        <v>4222605</v>
      </c>
      <c r="H488">
        <v>1</v>
      </c>
      <c r="J488">
        <v>2835355</v>
      </c>
      <c r="K488">
        <v>1</v>
      </c>
    </row>
    <row r="489" spans="1:11" x14ac:dyDescent="0.25">
      <c r="A489">
        <v>87702896</v>
      </c>
      <c r="B489" s="1">
        <v>42923</v>
      </c>
      <c r="C489" s="2">
        <v>0.54137731481481477</v>
      </c>
      <c r="D489" s="2">
        <v>0.55253472222222222</v>
      </c>
      <c r="G489" s="4">
        <v>4230507</v>
      </c>
      <c r="H489">
        <v>1</v>
      </c>
      <c r="J489">
        <v>2838216</v>
      </c>
      <c r="K489">
        <v>1</v>
      </c>
    </row>
    <row r="490" spans="1:11" x14ac:dyDescent="0.25">
      <c r="A490">
        <v>4131448</v>
      </c>
      <c r="B490" s="1">
        <v>42923</v>
      </c>
      <c r="C490" s="2">
        <v>0.54305555555555551</v>
      </c>
      <c r="D490" s="2">
        <v>0.5444444444444444</v>
      </c>
      <c r="G490" s="4">
        <v>4238684</v>
      </c>
      <c r="H490">
        <v>1</v>
      </c>
      <c r="J490">
        <v>2841969</v>
      </c>
      <c r="K490">
        <v>1</v>
      </c>
    </row>
    <row r="491" spans="1:11" x14ac:dyDescent="0.25">
      <c r="A491">
        <v>97798921</v>
      </c>
      <c r="B491" s="1">
        <v>42923</v>
      </c>
      <c r="C491" s="2">
        <v>0.5434606481481481</v>
      </c>
      <c r="D491" s="2">
        <v>0.55003472222222227</v>
      </c>
      <c r="G491" s="4">
        <v>4250194</v>
      </c>
      <c r="H491">
        <v>2</v>
      </c>
      <c r="J491">
        <v>2844911</v>
      </c>
      <c r="K491">
        <v>1</v>
      </c>
    </row>
    <row r="492" spans="1:11" x14ac:dyDescent="0.25">
      <c r="A492">
        <v>97798921</v>
      </c>
      <c r="B492" s="1">
        <v>42923</v>
      </c>
      <c r="C492" s="2">
        <v>0.54372685185185188</v>
      </c>
      <c r="D492" s="2">
        <v>0.54856481481481478</v>
      </c>
      <c r="G492" s="4">
        <v>4264808</v>
      </c>
      <c r="H492">
        <v>2</v>
      </c>
      <c r="J492">
        <v>2849439</v>
      </c>
      <c r="K492">
        <v>1</v>
      </c>
    </row>
    <row r="493" spans="1:11" x14ac:dyDescent="0.25">
      <c r="A493">
        <v>3919087</v>
      </c>
      <c r="B493" s="1">
        <v>42923</v>
      </c>
      <c r="C493" s="2">
        <v>0.54379629629629633</v>
      </c>
      <c r="D493" s="2">
        <v>0.54679398148148151</v>
      </c>
      <c r="G493" s="4">
        <v>4272221</v>
      </c>
      <c r="H493">
        <v>1</v>
      </c>
      <c r="J493">
        <v>2853860</v>
      </c>
      <c r="K493">
        <v>1</v>
      </c>
    </row>
    <row r="494" spans="1:11" x14ac:dyDescent="0.25">
      <c r="A494">
        <v>2619219</v>
      </c>
      <c r="B494" s="1">
        <v>42923</v>
      </c>
      <c r="C494" s="2">
        <v>0.54752314814814818</v>
      </c>
      <c r="D494" s="2">
        <v>0.5486805555555555</v>
      </c>
      <c r="G494" s="4">
        <v>4273704</v>
      </c>
      <c r="H494">
        <v>1</v>
      </c>
      <c r="J494">
        <v>2866546</v>
      </c>
      <c r="K494">
        <v>1</v>
      </c>
    </row>
    <row r="495" spans="1:11" x14ac:dyDescent="0.25">
      <c r="A495">
        <v>54536153</v>
      </c>
      <c r="B495" s="1">
        <v>42923</v>
      </c>
      <c r="C495" s="2">
        <v>0.54858796296296297</v>
      </c>
      <c r="D495" s="2">
        <v>0.55723379629629632</v>
      </c>
      <c r="G495" s="4">
        <v>4274149</v>
      </c>
      <c r="H495">
        <v>1</v>
      </c>
      <c r="J495">
        <v>2873323</v>
      </c>
      <c r="K495">
        <v>1</v>
      </c>
    </row>
    <row r="496" spans="1:11" x14ac:dyDescent="0.25">
      <c r="A496">
        <v>6813775</v>
      </c>
      <c r="B496" s="1">
        <v>42923</v>
      </c>
      <c r="C496" s="2">
        <v>0.55363425925925924</v>
      </c>
      <c r="D496" s="2">
        <v>0.55819444444444444</v>
      </c>
      <c r="G496" s="4">
        <v>4274311</v>
      </c>
      <c r="H496">
        <v>1</v>
      </c>
      <c r="J496">
        <v>2890720</v>
      </c>
      <c r="K496">
        <v>1</v>
      </c>
    </row>
    <row r="497" spans="1:11" x14ac:dyDescent="0.25">
      <c r="A497">
        <v>72312196</v>
      </c>
      <c r="B497" s="1">
        <v>42923</v>
      </c>
      <c r="C497" s="2">
        <v>0.55532407407407403</v>
      </c>
      <c r="D497" s="2">
        <v>0.56598379629629625</v>
      </c>
      <c r="G497" s="4">
        <v>4283724</v>
      </c>
      <c r="H497">
        <v>1</v>
      </c>
      <c r="J497">
        <v>2900584</v>
      </c>
      <c r="K497">
        <v>1</v>
      </c>
    </row>
    <row r="498" spans="1:11" x14ac:dyDescent="0.25">
      <c r="A498">
        <v>2235911</v>
      </c>
      <c r="B498" s="1">
        <v>42923</v>
      </c>
      <c r="C498" s="2">
        <v>0.56019675925925927</v>
      </c>
      <c r="D498" s="2">
        <v>0.56783564814814813</v>
      </c>
      <c r="G498" s="4">
        <v>4285095</v>
      </c>
      <c r="H498">
        <v>1</v>
      </c>
      <c r="J498">
        <v>2912297</v>
      </c>
      <c r="K498">
        <v>1</v>
      </c>
    </row>
    <row r="499" spans="1:11" x14ac:dyDescent="0.25">
      <c r="A499">
        <v>9532678004</v>
      </c>
      <c r="B499" s="1">
        <v>42923</v>
      </c>
      <c r="C499" s="2">
        <v>0.56347222222222226</v>
      </c>
      <c r="D499" s="2">
        <v>0.57157407407407412</v>
      </c>
      <c r="G499" s="4">
        <v>4293872</v>
      </c>
      <c r="H499">
        <v>3</v>
      </c>
      <c r="J499">
        <v>2920581</v>
      </c>
      <c r="K499">
        <v>1</v>
      </c>
    </row>
    <row r="500" spans="1:11" x14ac:dyDescent="0.25">
      <c r="A500">
        <v>4653709</v>
      </c>
      <c r="B500" s="1">
        <v>42923</v>
      </c>
      <c r="C500" s="2">
        <v>0.56795138888888885</v>
      </c>
      <c r="D500" s="2">
        <v>0.57596064814814818</v>
      </c>
      <c r="G500" s="4">
        <v>4303945</v>
      </c>
      <c r="H500">
        <v>1</v>
      </c>
      <c r="J500">
        <v>2922327</v>
      </c>
      <c r="K500">
        <v>1</v>
      </c>
    </row>
    <row r="501" spans="1:11" x14ac:dyDescent="0.25">
      <c r="A501">
        <v>1734512</v>
      </c>
      <c r="B501" s="1">
        <v>42923</v>
      </c>
      <c r="C501" s="2">
        <v>0.57093749999999999</v>
      </c>
      <c r="D501" s="2">
        <v>0.5765393518518519</v>
      </c>
      <c r="G501" s="4">
        <v>4305632</v>
      </c>
      <c r="H501">
        <v>1</v>
      </c>
      <c r="J501">
        <v>2928766</v>
      </c>
      <c r="K501">
        <v>1</v>
      </c>
    </row>
    <row r="502" spans="1:11" x14ac:dyDescent="0.25">
      <c r="A502">
        <v>6741642</v>
      </c>
      <c r="B502" s="1">
        <v>42923</v>
      </c>
      <c r="C502" s="2">
        <v>0.57523148148148151</v>
      </c>
      <c r="D502" s="2">
        <v>0.57535879629629627</v>
      </c>
      <c r="G502" s="4">
        <v>4305960</v>
      </c>
      <c r="H502">
        <v>1</v>
      </c>
      <c r="J502">
        <v>2947035</v>
      </c>
      <c r="K502">
        <v>1</v>
      </c>
    </row>
    <row r="503" spans="1:11" x14ac:dyDescent="0.25">
      <c r="A503">
        <v>45862784</v>
      </c>
      <c r="B503" s="1">
        <v>42923</v>
      </c>
      <c r="C503" s="2">
        <v>0.57768518518518519</v>
      </c>
      <c r="D503" s="2">
        <v>0.58636574074074077</v>
      </c>
      <c r="G503" s="4">
        <v>4326245</v>
      </c>
      <c r="H503">
        <v>1</v>
      </c>
      <c r="J503">
        <v>2947660</v>
      </c>
      <c r="K503">
        <v>1</v>
      </c>
    </row>
    <row r="504" spans="1:11" x14ac:dyDescent="0.25">
      <c r="A504">
        <v>25147401</v>
      </c>
      <c r="B504" s="1">
        <v>42923</v>
      </c>
      <c r="C504" s="2">
        <v>0.57922453703703702</v>
      </c>
      <c r="D504" s="2">
        <v>0.58821759259259254</v>
      </c>
      <c r="G504" s="4">
        <v>4328583</v>
      </c>
      <c r="H504">
        <v>1</v>
      </c>
      <c r="J504">
        <v>2963652</v>
      </c>
      <c r="K504">
        <v>1</v>
      </c>
    </row>
    <row r="505" spans="1:11" x14ac:dyDescent="0.25">
      <c r="A505">
        <v>4963499</v>
      </c>
      <c r="B505" s="1">
        <v>42923</v>
      </c>
      <c r="C505" s="2">
        <v>0.58484953703703701</v>
      </c>
      <c r="D505" s="2">
        <v>0.5869212962962963</v>
      </c>
      <c r="G505" s="4">
        <v>4334364</v>
      </c>
      <c r="H505">
        <v>1</v>
      </c>
      <c r="J505">
        <v>2969264</v>
      </c>
      <c r="K505">
        <v>1</v>
      </c>
    </row>
    <row r="506" spans="1:11" x14ac:dyDescent="0.25">
      <c r="A506">
        <v>7432767</v>
      </c>
      <c r="B506" s="1">
        <v>42923</v>
      </c>
      <c r="C506" s="2">
        <v>0.58508101851851857</v>
      </c>
      <c r="D506" s="2">
        <v>0.58635416666666662</v>
      </c>
      <c r="G506" s="4">
        <v>4363716</v>
      </c>
      <c r="H506">
        <v>1</v>
      </c>
      <c r="J506">
        <v>2985743</v>
      </c>
      <c r="K506">
        <v>1</v>
      </c>
    </row>
    <row r="507" spans="1:11" x14ac:dyDescent="0.25">
      <c r="A507">
        <v>3599100</v>
      </c>
      <c r="B507" s="1">
        <v>42923</v>
      </c>
      <c r="C507" s="2">
        <v>0.58832175925925922</v>
      </c>
      <c r="D507" s="2">
        <v>0.59277777777777774</v>
      </c>
      <c r="G507" s="4">
        <v>4370146</v>
      </c>
      <c r="H507">
        <v>1</v>
      </c>
      <c r="J507">
        <v>2989192</v>
      </c>
      <c r="K507">
        <v>1</v>
      </c>
    </row>
    <row r="508" spans="1:11" x14ac:dyDescent="0.25">
      <c r="A508">
        <v>8251878</v>
      </c>
      <c r="B508" s="1">
        <v>42923</v>
      </c>
      <c r="C508" s="2">
        <v>0.59281249999999996</v>
      </c>
      <c r="D508" s="2">
        <v>0.59375</v>
      </c>
      <c r="G508" s="4">
        <v>4371394</v>
      </c>
      <c r="H508">
        <v>1</v>
      </c>
      <c r="J508">
        <v>3004571</v>
      </c>
      <c r="K508">
        <v>1</v>
      </c>
    </row>
    <row r="509" spans="1:11" x14ac:dyDescent="0.25">
      <c r="A509">
        <v>2826868</v>
      </c>
      <c r="B509" s="1">
        <v>42923</v>
      </c>
      <c r="C509" s="2">
        <v>0.59672453703703698</v>
      </c>
      <c r="D509" s="2">
        <v>0.60435185185185181</v>
      </c>
      <c r="G509" s="4">
        <v>4376637</v>
      </c>
      <c r="H509">
        <v>1</v>
      </c>
      <c r="J509">
        <v>3004967</v>
      </c>
      <c r="K509">
        <v>1</v>
      </c>
    </row>
    <row r="510" spans="1:11" x14ac:dyDescent="0.25">
      <c r="A510">
        <v>76099906</v>
      </c>
      <c r="B510" s="1">
        <v>42923</v>
      </c>
      <c r="C510" s="2">
        <v>0.6004976851851852</v>
      </c>
      <c r="D510" s="2">
        <v>0.61106481481481478</v>
      </c>
      <c r="G510" s="4">
        <v>4379415</v>
      </c>
      <c r="H510">
        <v>1</v>
      </c>
      <c r="J510">
        <v>3018218</v>
      </c>
      <c r="K510">
        <v>1</v>
      </c>
    </row>
    <row r="511" spans="1:11" x14ac:dyDescent="0.25">
      <c r="A511">
        <v>5147242</v>
      </c>
      <c r="B511" s="1">
        <v>42923</v>
      </c>
      <c r="C511" s="2">
        <v>0.60381944444444446</v>
      </c>
      <c r="D511" s="2">
        <v>0.60589120370370375</v>
      </c>
      <c r="G511" s="4">
        <v>4379524</v>
      </c>
      <c r="H511">
        <v>1</v>
      </c>
      <c r="J511">
        <v>3025855</v>
      </c>
      <c r="K511">
        <v>1</v>
      </c>
    </row>
    <row r="512" spans="1:11" x14ac:dyDescent="0.25">
      <c r="A512">
        <v>9600226</v>
      </c>
      <c r="B512" s="1">
        <v>42923</v>
      </c>
      <c r="C512" s="2">
        <v>0.60758101851851853</v>
      </c>
      <c r="D512" s="2">
        <v>0.61008101851851848</v>
      </c>
      <c r="G512" s="4">
        <v>4389240</v>
      </c>
      <c r="H512">
        <v>1</v>
      </c>
      <c r="J512">
        <v>3028093</v>
      </c>
      <c r="K512">
        <v>1</v>
      </c>
    </row>
    <row r="513" spans="1:11" x14ac:dyDescent="0.25">
      <c r="A513">
        <v>1337042</v>
      </c>
      <c r="B513" s="1">
        <v>42923</v>
      </c>
      <c r="C513" s="2">
        <v>0.60930555555555554</v>
      </c>
      <c r="D513" s="2">
        <v>0.62085648148148154</v>
      </c>
      <c r="G513" s="4">
        <v>4404713</v>
      </c>
      <c r="H513">
        <v>1</v>
      </c>
      <c r="J513">
        <v>3029994</v>
      </c>
      <c r="K513">
        <v>1</v>
      </c>
    </row>
    <row r="514" spans="1:11" x14ac:dyDescent="0.25">
      <c r="A514">
        <v>1223943</v>
      </c>
      <c r="B514" s="1">
        <v>42923</v>
      </c>
      <c r="C514" s="2">
        <v>0.61412037037037037</v>
      </c>
      <c r="D514" s="2">
        <v>0.62342592592592594</v>
      </c>
      <c r="G514" s="4">
        <v>4405604</v>
      </c>
      <c r="H514">
        <v>1</v>
      </c>
      <c r="J514">
        <v>3040267</v>
      </c>
      <c r="K514">
        <v>1</v>
      </c>
    </row>
    <row r="515" spans="1:11" x14ac:dyDescent="0.25">
      <c r="A515">
        <v>3525921</v>
      </c>
      <c r="B515" s="1">
        <v>42923</v>
      </c>
      <c r="C515" s="2">
        <v>0.61557870370370371</v>
      </c>
      <c r="D515" s="2">
        <v>0.61946759259259254</v>
      </c>
      <c r="G515" s="4">
        <v>4412771</v>
      </c>
      <c r="H515">
        <v>1</v>
      </c>
      <c r="J515">
        <v>3072421</v>
      </c>
      <c r="K515">
        <v>1</v>
      </c>
    </row>
    <row r="516" spans="1:11" x14ac:dyDescent="0.25">
      <c r="A516">
        <v>5094248</v>
      </c>
      <c r="B516" s="1">
        <v>42923</v>
      </c>
      <c r="C516" s="2">
        <v>0.61901620370370369</v>
      </c>
      <c r="D516" s="2">
        <v>0.62861111111111112</v>
      </c>
      <c r="G516" s="4">
        <v>4419123</v>
      </c>
      <c r="H516">
        <v>1</v>
      </c>
      <c r="J516">
        <v>3073815</v>
      </c>
      <c r="K516">
        <v>1</v>
      </c>
    </row>
    <row r="517" spans="1:11" x14ac:dyDescent="0.25">
      <c r="A517">
        <v>7275091</v>
      </c>
      <c r="B517" s="1">
        <v>42923</v>
      </c>
      <c r="C517" s="2">
        <v>0.62306712962962962</v>
      </c>
      <c r="D517" s="2">
        <v>0.63328703703703704</v>
      </c>
      <c r="G517" s="4">
        <v>4424322</v>
      </c>
      <c r="H517">
        <v>1</v>
      </c>
      <c r="J517">
        <v>3087246</v>
      </c>
      <c r="K517">
        <v>1</v>
      </c>
    </row>
    <row r="518" spans="1:11" x14ac:dyDescent="0.25">
      <c r="A518">
        <v>73042148</v>
      </c>
      <c r="B518" s="1">
        <v>42923</v>
      </c>
      <c r="C518" s="2">
        <v>0.62537037037037035</v>
      </c>
      <c r="D518" s="2">
        <v>0.63498842592592597</v>
      </c>
      <c r="G518" s="4">
        <v>4429479</v>
      </c>
      <c r="H518">
        <v>1</v>
      </c>
      <c r="J518">
        <v>3093964</v>
      </c>
      <c r="K518">
        <v>1</v>
      </c>
    </row>
    <row r="519" spans="1:11" x14ac:dyDescent="0.25">
      <c r="A519">
        <v>8570276</v>
      </c>
      <c r="B519" s="1">
        <v>42926</v>
      </c>
      <c r="C519" s="2">
        <v>0.33759259259259261</v>
      </c>
      <c r="D519" s="2">
        <v>0.34880787037037037</v>
      </c>
      <c r="G519" s="4">
        <v>4445684</v>
      </c>
      <c r="H519">
        <v>1</v>
      </c>
      <c r="J519">
        <v>3102910</v>
      </c>
      <c r="K519">
        <v>1</v>
      </c>
    </row>
    <row r="520" spans="1:11" x14ac:dyDescent="0.25">
      <c r="A520">
        <v>1775586</v>
      </c>
      <c r="B520" s="1">
        <v>42926</v>
      </c>
      <c r="C520" s="2">
        <v>0.34016203703703701</v>
      </c>
      <c r="D520" s="2">
        <v>0.3495138888888889</v>
      </c>
      <c r="G520" s="4">
        <v>4452201</v>
      </c>
      <c r="H520">
        <v>1</v>
      </c>
      <c r="J520">
        <v>3109039</v>
      </c>
      <c r="K520">
        <v>1</v>
      </c>
    </row>
    <row r="521" spans="1:11" x14ac:dyDescent="0.25">
      <c r="A521">
        <v>27791497</v>
      </c>
      <c r="B521" s="1">
        <v>42926</v>
      </c>
      <c r="C521" s="2">
        <v>0.34312500000000001</v>
      </c>
      <c r="D521" s="2">
        <v>0.34373842592592591</v>
      </c>
      <c r="G521" s="4">
        <v>4454837</v>
      </c>
      <c r="H521">
        <v>1</v>
      </c>
      <c r="J521">
        <v>3109133</v>
      </c>
      <c r="K521">
        <v>1</v>
      </c>
    </row>
    <row r="522" spans="1:11" x14ac:dyDescent="0.25">
      <c r="A522">
        <v>5162775</v>
      </c>
      <c r="B522" s="1">
        <v>42926</v>
      </c>
      <c r="C522" s="2">
        <v>0.34364583333333332</v>
      </c>
      <c r="D522" s="2">
        <v>0.3492824074074074</v>
      </c>
      <c r="G522" s="4">
        <v>4458725</v>
      </c>
      <c r="H522">
        <v>1</v>
      </c>
      <c r="J522">
        <v>3120387</v>
      </c>
      <c r="K522">
        <v>1</v>
      </c>
    </row>
    <row r="523" spans="1:11" x14ac:dyDescent="0.25">
      <c r="A523">
        <v>56115408</v>
      </c>
      <c r="B523" s="1">
        <v>42926</v>
      </c>
      <c r="C523" s="2">
        <v>0.34796296296296297</v>
      </c>
      <c r="D523" s="2">
        <v>0.35728009259259258</v>
      </c>
      <c r="G523" s="4">
        <v>4469748</v>
      </c>
      <c r="H523">
        <v>2</v>
      </c>
      <c r="J523">
        <v>3121640</v>
      </c>
      <c r="K523">
        <v>1</v>
      </c>
    </row>
    <row r="524" spans="1:11" x14ac:dyDescent="0.25">
      <c r="A524">
        <v>6766881</v>
      </c>
      <c r="B524" s="1">
        <v>42926</v>
      </c>
      <c r="C524" s="2">
        <v>0.35249999999999998</v>
      </c>
      <c r="D524" s="2">
        <v>0.35278935185185184</v>
      </c>
      <c r="G524" s="4">
        <v>4471203</v>
      </c>
      <c r="H524">
        <v>2</v>
      </c>
      <c r="J524">
        <v>3121850</v>
      </c>
      <c r="K524">
        <v>1</v>
      </c>
    </row>
    <row r="525" spans="1:11" x14ac:dyDescent="0.25">
      <c r="A525">
        <v>9502975</v>
      </c>
      <c r="B525" s="1">
        <v>42926</v>
      </c>
      <c r="C525" s="2">
        <v>0.35483796296296294</v>
      </c>
      <c r="D525" s="2">
        <v>0.35699074074074072</v>
      </c>
      <c r="G525" s="4">
        <v>4471828</v>
      </c>
      <c r="H525">
        <v>1</v>
      </c>
      <c r="J525">
        <v>3127402</v>
      </c>
      <c r="K525">
        <v>1</v>
      </c>
    </row>
    <row r="526" spans="1:11" x14ac:dyDescent="0.25">
      <c r="A526">
        <v>4212838</v>
      </c>
      <c r="B526" s="1">
        <v>42926</v>
      </c>
      <c r="C526" s="2">
        <v>0.35760416666666667</v>
      </c>
      <c r="D526" s="2">
        <v>0.35951388888888891</v>
      </c>
      <c r="G526" s="4">
        <v>4473835</v>
      </c>
      <c r="H526">
        <v>2</v>
      </c>
      <c r="J526">
        <v>3134379</v>
      </c>
      <c r="K526">
        <v>1</v>
      </c>
    </row>
    <row r="527" spans="1:11" x14ac:dyDescent="0.25">
      <c r="A527">
        <v>6952061</v>
      </c>
      <c r="B527" s="1">
        <v>42926</v>
      </c>
      <c r="C527" s="2">
        <v>0.36282407407407408</v>
      </c>
      <c r="D527" s="2">
        <v>0.37093749999999998</v>
      </c>
      <c r="G527" s="4">
        <v>4483996</v>
      </c>
      <c r="H527">
        <v>1</v>
      </c>
      <c r="J527">
        <v>3135285</v>
      </c>
      <c r="K527">
        <v>1</v>
      </c>
    </row>
    <row r="528" spans="1:11" x14ac:dyDescent="0.25">
      <c r="A528">
        <v>56127547</v>
      </c>
      <c r="B528" s="1">
        <v>42926</v>
      </c>
      <c r="C528" s="2">
        <v>0.36803240740740739</v>
      </c>
      <c r="D528" s="2">
        <v>0.37565972222222221</v>
      </c>
      <c r="G528" s="4">
        <v>4497624</v>
      </c>
      <c r="H528">
        <v>1</v>
      </c>
      <c r="J528">
        <v>3136675</v>
      </c>
      <c r="K528">
        <v>1</v>
      </c>
    </row>
    <row r="529" spans="1:11" x14ac:dyDescent="0.25">
      <c r="A529">
        <v>4952685</v>
      </c>
      <c r="B529" s="1">
        <v>42926</v>
      </c>
      <c r="C529" s="2">
        <v>0.36895833333333333</v>
      </c>
      <c r="D529" s="2">
        <v>0.37655092592592593</v>
      </c>
      <c r="G529" s="4">
        <v>4501726</v>
      </c>
      <c r="H529">
        <v>1</v>
      </c>
      <c r="J529">
        <v>3153023</v>
      </c>
      <c r="K529">
        <v>1</v>
      </c>
    </row>
    <row r="530" spans="1:11" x14ac:dyDescent="0.25">
      <c r="A530">
        <v>8632893</v>
      </c>
      <c r="B530" s="1">
        <v>42926</v>
      </c>
      <c r="C530" s="2">
        <v>0.36996527777777777</v>
      </c>
      <c r="D530" s="2">
        <v>0.37988425925925928</v>
      </c>
      <c r="G530" s="4">
        <v>4501823</v>
      </c>
      <c r="H530">
        <v>1</v>
      </c>
      <c r="J530">
        <v>3153283</v>
      </c>
      <c r="K530">
        <v>1</v>
      </c>
    </row>
    <row r="531" spans="1:11" x14ac:dyDescent="0.25">
      <c r="A531">
        <v>7320123</v>
      </c>
      <c r="B531" s="1">
        <v>42926</v>
      </c>
      <c r="C531" s="2">
        <v>0.37015046296296295</v>
      </c>
      <c r="D531" s="2">
        <v>0.37528935185185186</v>
      </c>
      <c r="G531" s="4">
        <v>4505950</v>
      </c>
      <c r="H531">
        <v>2</v>
      </c>
      <c r="J531">
        <v>3177370</v>
      </c>
      <c r="K531">
        <v>1</v>
      </c>
    </row>
    <row r="532" spans="1:11" x14ac:dyDescent="0.25">
      <c r="A532">
        <v>4600571814</v>
      </c>
      <c r="B532" s="1">
        <v>42926</v>
      </c>
      <c r="C532" s="2">
        <v>0.3706712962962963</v>
      </c>
      <c r="D532" s="2">
        <v>0.37572916666666667</v>
      </c>
      <c r="G532" s="4">
        <v>4509550</v>
      </c>
      <c r="H532">
        <v>1</v>
      </c>
      <c r="J532">
        <v>3184339</v>
      </c>
      <c r="K532">
        <v>1</v>
      </c>
    </row>
    <row r="533" spans="1:11" x14ac:dyDescent="0.25">
      <c r="A533">
        <v>38063903</v>
      </c>
      <c r="B533" s="1">
        <v>42926</v>
      </c>
      <c r="C533" s="2">
        <v>0.37207175925925928</v>
      </c>
      <c r="D533" s="2">
        <v>0.37332175925925926</v>
      </c>
      <c r="G533" s="4">
        <v>4520226</v>
      </c>
      <c r="H533">
        <v>1</v>
      </c>
      <c r="J533">
        <v>3189059</v>
      </c>
      <c r="K533">
        <v>1</v>
      </c>
    </row>
    <row r="534" spans="1:11" x14ac:dyDescent="0.25">
      <c r="A534">
        <v>4901642</v>
      </c>
      <c r="B534" s="1">
        <v>42926</v>
      </c>
      <c r="C534" s="2">
        <v>0.37747685185185187</v>
      </c>
      <c r="D534" s="2">
        <v>0.38609953703703703</v>
      </c>
      <c r="G534" s="4">
        <v>4520463</v>
      </c>
      <c r="H534">
        <v>1</v>
      </c>
      <c r="J534">
        <v>3192053</v>
      </c>
      <c r="K534">
        <v>1</v>
      </c>
    </row>
    <row r="535" spans="1:11" x14ac:dyDescent="0.25">
      <c r="A535">
        <v>39669014</v>
      </c>
      <c r="B535" s="1">
        <v>42926</v>
      </c>
      <c r="C535" s="2">
        <v>0.37930555555555556</v>
      </c>
      <c r="D535" s="2">
        <v>0.38686342592592593</v>
      </c>
      <c r="G535" s="4">
        <v>4526057</v>
      </c>
      <c r="H535">
        <v>1</v>
      </c>
      <c r="J535">
        <v>3192836</v>
      </c>
      <c r="K535">
        <v>1</v>
      </c>
    </row>
    <row r="536" spans="1:11" x14ac:dyDescent="0.25">
      <c r="A536">
        <v>48919339</v>
      </c>
      <c r="B536" s="1">
        <v>42926</v>
      </c>
      <c r="C536" s="2">
        <v>0.38040509259259259</v>
      </c>
      <c r="D536" s="2">
        <v>0.38484953703703706</v>
      </c>
      <c r="G536" s="4">
        <v>4529192</v>
      </c>
      <c r="H536">
        <v>1</v>
      </c>
      <c r="J536">
        <v>3198725</v>
      </c>
      <c r="K536">
        <v>1</v>
      </c>
    </row>
    <row r="537" spans="1:11" x14ac:dyDescent="0.25">
      <c r="A537">
        <v>4960687</v>
      </c>
      <c r="B537" s="1">
        <v>42926</v>
      </c>
      <c r="C537" s="2">
        <v>0.3835648148148148</v>
      </c>
      <c r="D537" s="2">
        <v>0.3941087962962963</v>
      </c>
      <c r="G537" s="4">
        <v>4535172</v>
      </c>
      <c r="H537">
        <v>1</v>
      </c>
      <c r="J537">
        <v>3200206</v>
      </c>
      <c r="K537">
        <v>1</v>
      </c>
    </row>
    <row r="538" spans="1:11" x14ac:dyDescent="0.25">
      <c r="A538">
        <v>41156424</v>
      </c>
      <c r="B538" s="1">
        <v>42926</v>
      </c>
      <c r="C538" s="2">
        <v>0.38715277777777779</v>
      </c>
      <c r="D538" s="2">
        <v>0.39293981481481483</v>
      </c>
      <c r="G538" s="4">
        <v>4546455</v>
      </c>
      <c r="H538">
        <v>8</v>
      </c>
      <c r="J538">
        <v>3202610</v>
      </c>
      <c r="K538">
        <v>1</v>
      </c>
    </row>
    <row r="539" spans="1:11" x14ac:dyDescent="0.25">
      <c r="A539">
        <v>5087066</v>
      </c>
      <c r="B539" s="1">
        <v>42926</v>
      </c>
      <c r="C539" s="2">
        <v>0.3894097222222222</v>
      </c>
      <c r="D539" s="2">
        <v>0.39869212962962963</v>
      </c>
      <c r="G539" s="4">
        <v>4555937</v>
      </c>
      <c r="H539">
        <v>4</v>
      </c>
      <c r="J539">
        <v>3206241</v>
      </c>
      <c r="K539">
        <v>1</v>
      </c>
    </row>
    <row r="540" spans="1:11" x14ac:dyDescent="0.25">
      <c r="A540">
        <v>4636713</v>
      </c>
      <c r="B540" s="1">
        <v>42926</v>
      </c>
      <c r="C540" s="2">
        <v>0.39193287037037039</v>
      </c>
      <c r="D540" s="2">
        <v>0.39712962962962961</v>
      </c>
      <c r="G540" s="4">
        <v>4566750</v>
      </c>
      <c r="H540">
        <v>1</v>
      </c>
      <c r="J540">
        <v>3211876</v>
      </c>
      <c r="K540">
        <v>1</v>
      </c>
    </row>
    <row r="541" spans="1:11" x14ac:dyDescent="0.25">
      <c r="A541">
        <v>3944120</v>
      </c>
      <c r="B541" s="1">
        <v>42926</v>
      </c>
      <c r="C541" s="2">
        <v>0.39307870370370368</v>
      </c>
      <c r="D541" s="2">
        <v>0.39380787037037035</v>
      </c>
      <c r="G541" s="4">
        <v>4575865</v>
      </c>
      <c r="H541">
        <v>1</v>
      </c>
      <c r="J541">
        <v>3224960</v>
      </c>
      <c r="K541">
        <v>1</v>
      </c>
    </row>
    <row r="542" spans="1:11" x14ac:dyDescent="0.25">
      <c r="A542">
        <v>5960122</v>
      </c>
      <c r="B542" s="1">
        <v>42926</v>
      </c>
      <c r="C542" s="2">
        <v>0.3984375</v>
      </c>
      <c r="D542" s="2">
        <v>0.40802083333333333</v>
      </c>
      <c r="G542" s="4">
        <v>4577789</v>
      </c>
      <c r="H542">
        <v>1</v>
      </c>
      <c r="J542">
        <v>3232376</v>
      </c>
      <c r="K542">
        <v>1</v>
      </c>
    </row>
    <row r="543" spans="1:11" x14ac:dyDescent="0.25">
      <c r="A543">
        <v>6795454</v>
      </c>
      <c r="B543" s="1">
        <v>42926</v>
      </c>
      <c r="C543" s="2">
        <v>0.40265046296296297</v>
      </c>
      <c r="D543" s="2">
        <v>0.40284722222222225</v>
      </c>
      <c r="G543" s="4">
        <v>4581715</v>
      </c>
      <c r="H543">
        <v>1</v>
      </c>
      <c r="J543">
        <v>3236046</v>
      </c>
      <c r="K543">
        <v>1</v>
      </c>
    </row>
    <row r="544" spans="1:11" x14ac:dyDescent="0.25">
      <c r="A544">
        <v>5013688</v>
      </c>
      <c r="B544" s="1">
        <v>42926</v>
      </c>
      <c r="C544" s="2">
        <v>0.40662037037037035</v>
      </c>
      <c r="D544" s="2">
        <v>0.41171296296296295</v>
      </c>
      <c r="G544" s="4">
        <v>4599598</v>
      </c>
      <c r="H544">
        <v>1</v>
      </c>
      <c r="J544">
        <v>3245936</v>
      </c>
      <c r="K544">
        <v>1</v>
      </c>
    </row>
    <row r="545" spans="1:11" x14ac:dyDescent="0.25">
      <c r="A545">
        <v>9487255</v>
      </c>
      <c r="B545" s="1">
        <v>42926</v>
      </c>
      <c r="C545" s="2">
        <v>0.40997685185185184</v>
      </c>
      <c r="D545" s="2">
        <v>0.41947916666666668</v>
      </c>
      <c r="G545" s="4">
        <v>4606501</v>
      </c>
      <c r="H545">
        <v>1</v>
      </c>
      <c r="J545">
        <v>3253368</v>
      </c>
      <c r="K545">
        <v>1</v>
      </c>
    </row>
    <row r="546" spans="1:11" x14ac:dyDescent="0.25">
      <c r="A546">
        <v>1592822</v>
      </c>
      <c r="B546" s="1">
        <v>42926</v>
      </c>
      <c r="C546" s="2">
        <v>0.41422453703703704</v>
      </c>
      <c r="D546" s="2">
        <v>0.42549768518518516</v>
      </c>
      <c r="G546" s="4">
        <v>4614100</v>
      </c>
      <c r="H546">
        <v>1</v>
      </c>
      <c r="J546">
        <v>3263806</v>
      </c>
      <c r="K546">
        <v>1</v>
      </c>
    </row>
    <row r="547" spans="1:11" x14ac:dyDescent="0.25">
      <c r="A547">
        <v>9084978</v>
      </c>
      <c r="B547" s="1">
        <v>42926</v>
      </c>
      <c r="C547" s="2">
        <v>0.41553240740740743</v>
      </c>
      <c r="D547" s="2">
        <v>0.42593750000000002</v>
      </c>
      <c r="G547" s="4">
        <v>4623731</v>
      </c>
      <c r="H547">
        <v>2</v>
      </c>
      <c r="J547">
        <v>3263854</v>
      </c>
      <c r="K547">
        <v>1</v>
      </c>
    </row>
    <row r="548" spans="1:11" x14ac:dyDescent="0.25">
      <c r="A548">
        <v>80038636</v>
      </c>
      <c r="B548" s="1">
        <v>42926</v>
      </c>
      <c r="C548" s="2">
        <v>0.41734953703703703</v>
      </c>
      <c r="D548" s="2">
        <v>0.42822916666666666</v>
      </c>
      <c r="G548" s="4">
        <v>4636713</v>
      </c>
      <c r="H548">
        <v>1</v>
      </c>
      <c r="J548">
        <v>3284714</v>
      </c>
      <c r="K548">
        <v>1</v>
      </c>
    </row>
    <row r="549" spans="1:11" x14ac:dyDescent="0.25">
      <c r="A549">
        <v>2021941339</v>
      </c>
      <c r="B549" s="1">
        <v>42926</v>
      </c>
      <c r="C549" s="2">
        <v>0.41863425925925923</v>
      </c>
      <c r="D549" s="2">
        <v>0.42877314814814815</v>
      </c>
      <c r="G549" s="4">
        <v>4653709</v>
      </c>
      <c r="H549">
        <v>2</v>
      </c>
      <c r="J549">
        <v>3287315</v>
      </c>
      <c r="K549">
        <v>1</v>
      </c>
    </row>
    <row r="550" spans="1:11" x14ac:dyDescent="0.25">
      <c r="A550">
        <v>7718350</v>
      </c>
      <c r="B550" s="1">
        <v>42926</v>
      </c>
      <c r="C550" s="2">
        <v>0.42002314814814817</v>
      </c>
      <c r="D550" s="2">
        <v>0.42700231481481482</v>
      </c>
      <c r="G550" s="4">
        <v>4657345</v>
      </c>
      <c r="H550">
        <v>6</v>
      </c>
      <c r="J550">
        <v>3300626</v>
      </c>
      <c r="K550">
        <v>1</v>
      </c>
    </row>
    <row r="551" spans="1:11" x14ac:dyDescent="0.25">
      <c r="A551">
        <v>3153283</v>
      </c>
      <c r="B551" s="1">
        <v>42926</v>
      </c>
      <c r="C551" s="2">
        <v>0.42396990740740742</v>
      </c>
      <c r="D551" s="2">
        <v>0.43335648148148148</v>
      </c>
      <c r="G551" s="4">
        <v>4659808</v>
      </c>
      <c r="H551">
        <v>1</v>
      </c>
      <c r="J551">
        <v>3305212</v>
      </c>
      <c r="K551">
        <v>1</v>
      </c>
    </row>
    <row r="552" spans="1:11" x14ac:dyDescent="0.25">
      <c r="A552">
        <v>6341482</v>
      </c>
      <c r="B552" s="1">
        <v>42926</v>
      </c>
      <c r="C552" s="2">
        <v>0.42922453703703706</v>
      </c>
      <c r="D552" s="2">
        <v>0.43947916666666664</v>
      </c>
      <c r="G552" s="4">
        <v>4661635</v>
      </c>
      <c r="H552">
        <v>1</v>
      </c>
      <c r="J552">
        <v>3326329</v>
      </c>
      <c r="K552">
        <v>1</v>
      </c>
    </row>
    <row r="553" spans="1:11" x14ac:dyDescent="0.25">
      <c r="A553">
        <v>67964973</v>
      </c>
      <c r="B553" s="1">
        <v>42926</v>
      </c>
      <c r="C553" s="2">
        <v>0.43475694444444446</v>
      </c>
      <c r="D553" s="2">
        <v>0.43590277777777775</v>
      </c>
      <c r="G553" s="4">
        <v>4681236</v>
      </c>
      <c r="H553">
        <v>1</v>
      </c>
      <c r="J553">
        <v>3326913</v>
      </c>
      <c r="K553">
        <v>1</v>
      </c>
    </row>
    <row r="554" spans="1:11" x14ac:dyDescent="0.25">
      <c r="A554">
        <v>1223943</v>
      </c>
      <c r="B554" s="1">
        <v>42926</v>
      </c>
      <c r="C554" s="2">
        <v>0.43961805555555555</v>
      </c>
      <c r="D554" s="2">
        <v>0.45087962962962963</v>
      </c>
      <c r="G554" s="4">
        <v>4697138</v>
      </c>
      <c r="H554">
        <v>1</v>
      </c>
      <c r="J554">
        <v>3328479</v>
      </c>
      <c r="K554">
        <v>1</v>
      </c>
    </row>
    <row r="555" spans="1:11" x14ac:dyDescent="0.25">
      <c r="A555">
        <v>8049834</v>
      </c>
      <c r="B555" s="1">
        <v>42926</v>
      </c>
      <c r="C555" s="2">
        <v>0.44210648148148146</v>
      </c>
      <c r="D555" s="2">
        <v>0.44369212962962962</v>
      </c>
      <c r="G555" s="4">
        <v>4698731</v>
      </c>
      <c r="H555">
        <v>1</v>
      </c>
      <c r="J555">
        <v>3348581</v>
      </c>
      <c r="K555">
        <v>1</v>
      </c>
    </row>
    <row r="556" spans="1:11" x14ac:dyDescent="0.25">
      <c r="A556">
        <v>6374704</v>
      </c>
      <c r="B556" s="1">
        <v>42926</v>
      </c>
      <c r="C556" s="2">
        <v>0.44572916666666668</v>
      </c>
      <c r="D556" s="2">
        <v>0.4548726851851852</v>
      </c>
      <c r="G556" s="4">
        <v>4702334</v>
      </c>
      <c r="H556">
        <v>1</v>
      </c>
      <c r="J556">
        <v>3352943</v>
      </c>
      <c r="K556">
        <v>1</v>
      </c>
    </row>
    <row r="557" spans="1:11" x14ac:dyDescent="0.25">
      <c r="A557">
        <v>99625315</v>
      </c>
      <c r="B557" s="1">
        <v>42926</v>
      </c>
      <c r="C557" s="2">
        <v>0.44592592592592595</v>
      </c>
      <c r="D557" s="2">
        <v>0.45026620370370368</v>
      </c>
      <c r="G557" s="4">
        <v>4703748</v>
      </c>
      <c r="H557">
        <v>1</v>
      </c>
      <c r="J557">
        <v>3360951</v>
      </c>
      <c r="K557">
        <v>1</v>
      </c>
    </row>
    <row r="558" spans="1:11" x14ac:dyDescent="0.25">
      <c r="A558">
        <v>9728932</v>
      </c>
      <c r="B558" s="1">
        <v>42926</v>
      </c>
      <c r="C558" s="2">
        <v>0.44641203703703702</v>
      </c>
      <c r="D558" s="2">
        <v>0.45089120370370372</v>
      </c>
      <c r="G558" s="4">
        <v>4714815</v>
      </c>
      <c r="H558">
        <v>1</v>
      </c>
      <c r="J558">
        <v>3363840</v>
      </c>
      <c r="K558">
        <v>1</v>
      </c>
    </row>
    <row r="559" spans="1:11" x14ac:dyDescent="0.25">
      <c r="A559">
        <v>9121149</v>
      </c>
      <c r="B559" s="1">
        <v>42926</v>
      </c>
      <c r="C559" s="2">
        <v>0.45106481481481481</v>
      </c>
      <c r="D559" s="2">
        <v>0.45603009259259258</v>
      </c>
      <c r="G559" s="4">
        <v>4720934</v>
      </c>
      <c r="H559">
        <v>1</v>
      </c>
      <c r="J559">
        <v>3370151</v>
      </c>
      <c r="K559">
        <v>1</v>
      </c>
    </row>
    <row r="560" spans="1:11" x14ac:dyDescent="0.25">
      <c r="A560">
        <v>2790475</v>
      </c>
      <c r="B560" s="1">
        <v>42926</v>
      </c>
      <c r="C560" s="2">
        <v>0.45663194444444444</v>
      </c>
      <c r="D560" s="2">
        <v>0.46517361111111111</v>
      </c>
      <c r="G560" s="4">
        <v>4726561</v>
      </c>
      <c r="H560">
        <v>1</v>
      </c>
      <c r="J560">
        <v>3382699</v>
      </c>
      <c r="K560">
        <v>1</v>
      </c>
    </row>
    <row r="561" spans="1:11" x14ac:dyDescent="0.25">
      <c r="A561">
        <v>4148520</v>
      </c>
      <c r="B561" s="1">
        <v>42926</v>
      </c>
      <c r="C561" s="2">
        <v>0.46108796296296295</v>
      </c>
      <c r="D561" s="2">
        <v>0.46989583333333335</v>
      </c>
      <c r="G561" s="4">
        <v>4736016</v>
      </c>
      <c r="H561">
        <v>1</v>
      </c>
      <c r="J561">
        <v>3382728</v>
      </c>
      <c r="K561">
        <v>1</v>
      </c>
    </row>
    <row r="562" spans="1:11" x14ac:dyDescent="0.25">
      <c r="A562">
        <v>55462392</v>
      </c>
      <c r="B562" s="1">
        <v>42926</v>
      </c>
      <c r="C562" s="2">
        <v>0.46597222222222223</v>
      </c>
      <c r="D562" s="2">
        <v>0.46732638888888889</v>
      </c>
      <c r="G562" s="4">
        <v>4738129</v>
      </c>
      <c r="H562">
        <v>2</v>
      </c>
      <c r="J562">
        <v>3390459</v>
      </c>
      <c r="K562">
        <v>1</v>
      </c>
    </row>
    <row r="563" spans="1:11" x14ac:dyDescent="0.25">
      <c r="A563">
        <v>8130722</v>
      </c>
      <c r="B563" s="1">
        <v>42926</v>
      </c>
      <c r="C563" s="2">
        <v>0.46649305555555554</v>
      </c>
      <c r="D563" s="2">
        <v>0.47717592592592595</v>
      </c>
      <c r="G563" s="4">
        <v>4759206</v>
      </c>
      <c r="H563">
        <v>1</v>
      </c>
      <c r="J563">
        <v>3422062</v>
      </c>
      <c r="K563">
        <v>1</v>
      </c>
    </row>
    <row r="564" spans="1:11" x14ac:dyDescent="0.25">
      <c r="A564">
        <v>5448890</v>
      </c>
      <c r="B564" s="1">
        <v>42926</v>
      </c>
      <c r="C564" s="2">
        <v>0.46957175925925926</v>
      </c>
      <c r="D564" s="2">
        <v>0.47247685185185184</v>
      </c>
      <c r="G564" s="4">
        <v>4767842</v>
      </c>
      <c r="H564">
        <v>1</v>
      </c>
      <c r="J564">
        <v>3429335</v>
      </c>
      <c r="K564">
        <v>1</v>
      </c>
    </row>
    <row r="565" spans="1:11" x14ac:dyDescent="0.25">
      <c r="A565">
        <v>6118241</v>
      </c>
      <c r="B565" s="1">
        <v>42926</v>
      </c>
      <c r="C565" s="2">
        <v>0.47462962962962962</v>
      </c>
      <c r="D565" s="2">
        <v>0.47839120370370369</v>
      </c>
      <c r="G565" s="4">
        <v>4774889</v>
      </c>
      <c r="H565">
        <v>1</v>
      </c>
      <c r="J565">
        <v>3443287</v>
      </c>
      <c r="K565">
        <v>1</v>
      </c>
    </row>
    <row r="566" spans="1:11" x14ac:dyDescent="0.25">
      <c r="A566">
        <v>1088377750</v>
      </c>
      <c r="B566" s="1">
        <v>42926</v>
      </c>
      <c r="C566" s="2">
        <v>0.47535879629629629</v>
      </c>
      <c r="D566" s="2">
        <v>0.48454861111111114</v>
      </c>
      <c r="G566" s="4">
        <v>4785864</v>
      </c>
      <c r="H566">
        <v>1</v>
      </c>
      <c r="J566">
        <v>3444629</v>
      </c>
      <c r="K566">
        <v>1</v>
      </c>
    </row>
    <row r="567" spans="1:11" x14ac:dyDescent="0.25">
      <c r="A567">
        <v>98238772</v>
      </c>
      <c r="B567" s="1">
        <v>42926</v>
      </c>
      <c r="C567" s="2">
        <v>0.47989583333333335</v>
      </c>
      <c r="D567" s="2">
        <v>0.48138888888888887</v>
      </c>
      <c r="G567" s="4">
        <v>4787793</v>
      </c>
      <c r="H567">
        <v>1</v>
      </c>
      <c r="J567">
        <v>3456554</v>
      </c>
      <c r="K567">
        <v>1</v>
      </c>
    </row>
    <row r="568" spans="1:11" x14ac:dyDescent="0.25">
      <c r="A568">
        <v>9524588</v>
      </c>
      <c r="B568" s="1">
        <v>42926</v>
      </c>
      <c r="C568" s="2">
        <v>0.4846759259259259</v>
      </c>
      <c r="D568" s="2">
        <v>0.49550925925925926</v>
      </c>
      <c r="G568" s="4">
        <v>4791902</v>
      </c>
      <c r="H568">
        <v>1</v>
      </c>
      <c r="J568">
        <v>3460208</v>
      </c>
      <c r="K568">
        <v>1</v>
      </c>
    </row>
    <row r="569" spans="1:11" x14ac:dyDescent="0.25">
      <c r="A569">
        <v>96375379</v>
      </c>
      <c r="B569" s="1">
        <v>42926</v>
      </c>
      <c r="C569" s="2">
        <v>0.4881712962962963</v>
      </c>
      <c r="D569" s="2">
        <v>0.49769675925925927</v>
      </c>
      <c r="G569" s="4">
        <v>4804872</v>
      </c>
      <c r="H569">
        <v>2</v>
      </c>
      <c r="J569">
        <v>3465997</v>
      </c>
      <c r="K569">
        <v>1</v>
      </c>
    </row>
    <row r="570" spans="1:11" x14ac:dyDescent="0.25">
      <c r="A570">
        <v>4759206</v>
      </c>
      <c r="B570" s="1">
        <v>42926</v>
      </c>
      <c r="C570" s="2">
        <v>0.49055555555555558</v>
      </c>
      <c r="D570" s="2">
        <v>0.49449074074074073</v>
      </c>
      <c r="G570" s="4">
        <v>4824250</v>
      </c>
      <c r="H570">
        <v>1</v>
      </c>
      <c r="J570">
        <v>3473734</v>
      </c>
      <c r="K570">
        <v>1</v>
      </c>
    </row>
    <row r="571" spans="1:11" x14ac:dyDescent="0.25">
      <c r="A571">
        <v>9197309</v>
      </c>
      <c r="B571" s="1">
        <v>42926</v>
      </c>
      <c r="C571" s="2">
        <v>0.49488425925925927</v>
      </c>
      <c r="D571" s="2">
        <v>0.50590277777777781</v>
      </c>
      <c r="G571" s="4">
        <v>4824267</v>
      </c>
      <c r="H571">
        <v>1</v>
      </c>
      <c r="J571">
        <v>3478111</v>
      </c>
      <c r="K571">
        <v>1</v>
      </c>
    </row>
    <row r="572" spans="1:11" x14ac:dyDescent="0.25">
      <c r="A572">
        <v>8322522</v>
      </c>
      <c r="B572" s="1">
        <v>42926</v>
      </c>
      <c r="C572" s="2">
        <v>0.49674768518518519</v>
      </c>
      <c r="D572" s="2">
        <v>0.50796296296296295</v>
      </c>
      <c r="G572" s="4">
        <v>4824710</v>
      </c>
      <c r="H572">
        <v>1</v>
      </c>
      <c r="J572">
        <v>3493348</v>
      </c>
      <c r="K572">
        <v>1</v>
      </c>
    </row>
    <row r="573" spans="1:11" x14ac:dyDescent="0.25">
      <c r="A573">
        <v>4264808</v>
      </c>
      <c r="B573" s="1">
        <v>42926</v>
      </c>
      <c r="C573" s="2">
        <v>0.50089120370370366</v>
      </c>
      <c r="D573" s="2">
        <v>0.50109953703703702</v>
      </c>
      <c r="G573" s="4">
        <v>4825302</v>
      </c>
      <c r="H573">
        <v>1</v>
      </c>
      <c r="J573">
        <v>3494192</v>
      </c>
      <c r="K573">
        <v>1</v>
      </c>
    </row>
    <row r="574" spans="1:11" x14ac:dyDescent="0.25">
      <c r="A574">
        <v>3095218</v>
      </c>
      <c r="B574" s="1">
        <v>42926</v>
      </c>
      <c r="C574" s="2">
        <v>0.50635416666666666</v>
      </c>
      <c r="D574" s="2">
        <v>0.51716435185185183</v>
      </c>
      <c r="G574" s="4">
        <v>4843076</v>
      </c>
      <c r="H574">
        <v>1</v>
      </c>
      <c r="J574">
        <v>3508755</v>
      </c>
      <c r="K574">
        <v>1</v>
      </c>
    </row>
    <row r="575" spans="1:11" x14ac:dyDescent="0.25">
      <c r="A575">
        <v>5820632164</v>
      </c>
      <c r="B575" s="1">
        <v>42926</v>
      </c>
      <c r="C575" s="2">
        <v>0.51010416666666669</v>
      </c>
      <c r="D575" s="2">
        <v>0.51879629629629631</v>
      </c>
      <c r="G575" s="4">
        <v>4844054</v>
      </c>
      <c r="H575">
        <v>1</v>
      </c>
      <c r="J575">
        <v>3520189</v>
      </c>
      <c r="K575">
        <v>1</v>
      </c>
    </row>
    <row r="576" spans="1:11" x14ac:dyDescent="0.25">
      <c r="A576">
        <v>89814525</v>
      </c>
      <c r="B576" s="1">
        <v>42926</v>
      </c>
      <c r="C576" s="2">
        <v>0.51090277777777782</v>
      </c>
      <c r="D576" s="2">
        <v>0.51175925925925925</v>
      </c>
      <c r="G576" s="4">
        <v>4845362</v>
      </c>
      <c r="H576">
        <v>1</v>
      </c>
      <c r="J576">
        <v>3524259</v>
      </c>
      <c r="K576">
        <v>1</v>
      </c>
    </row>
    <row r="577" spans="1:11" x14ac:dyDescent="0.25">
      <c r="A577">
        <v>1223816</v>
      </c>
      <c r="B577" s="1">
        <v>42926</v>
      </c>
      <c r="C577" s="2">
        <v>0.51116898148148149</v>
      </c>
      <c r="D577" s="2">
        <v>0.51718750000000002</v>
      </c>
      <c r="G577" s="4">
        <v>4848864</v>
      </c>
      <c r="H577">
        <v>1</v>
      </c>
      <c r="J577">
        <v>3525921</v>
      </c>
      <c r="K577">
        <v>1</v>
      </c>
    </row>
    <row r="578" spans="1:11" x14ac:dyDescent="0.25">
      <c r="A578">
        <v>18503160</v>
      </c>
      <c r="B578" s="1">
        <v>42926</v>
      </c>
      <c r="C578" s="2">
        <v>0.51157407407407407</v>
      </c>
      <c r="D578" s="2">
        <v>0.51663194444444449</v>
      </c>
      <c r="G578" s="4">
        <v>4852863</v>
      </c>
      <c r="H578">
        <v>1</v>
      </c>
      <c r="J578">
        <v>3533271</v>
      </c>
      <c r="K578">
        <v>1</v>
      </c>
    </row>
    <row r="579" spans="1:11" x14ac:dyDescent="0.25">
      <c r="A579">
        <v>21677804</v>
      </c>
      <c r="B579" s="1">
        <v>42926</v>
      </c>
      <c r="C579" s="2">
        <v>0.51328703703703704</v>
      </c>
      <c r="D579" s="2">
        <v>0.51821759259259259</v>
      </c>
      <c r="G579" s="4">
        <v>4853153</v>
      </c>
      <c r="H579">
        <v>1</v>
      </c>
      <c r="J579">
        <v>3533421</v>
      </c>
      <c r="K579">
        <v>1</v>
      </c>
    </row>
    <row r="580" spans="1:11" x14ac:dyDescent="0.25">
      <c r="A580">
        <v>5087066</v>
      </c>
      <c r="B580" s="1">
        <v>42926</v>
      </c>
      <c r="C580" s="2">
        <v>0.51603009259259258</v>
      </c>
      <c r="D580" s="2">
        <v>0.5269907407407407</v>
      </c>
      <c r="G580" s="4">
        <v>4857453</v>
      </c>
      <c r="H580">
        <v>1</v>
      </c>
      <c r="J580">
        <v>3537655</v>
      </c>
      <c r="K580">
        <v>1</v>
      </c>
    </row>
    <row r="581" spans="1:11" x14ac:dyDescent="0.25">
      <c r="A581">
        <v>6905863</v>
      </c>
      <c r="B581" s="1">
        <v>42926</v>
      </c>
      <c r="C581" s="2">
        <v>0.52123842592592595</v>
      </c>
      <c r="D581" s="2">
        <v>0.53008101851851852</v>
      </c>
      <c r="G581" s="4">
        <v>4860618</v>
      </c>
      <c r="H581">
        <v>1</v>
      </c>
      <c r="J581">
        <v>3558582</v>
      </c>
      <c r="K581">
        <v>1</v>
      </c>
    </row>
    <row r="582" spans="1:11" x14ac:dyDescent="0.25">
      <c r="A582">
        <v>4144248</v>
      </c>
      <c r="B582" s="1">
        <v>42926</v>
      </c>
      <c r="C582" s="2">
        <v>0.52134259259259264</v>
      </c>
      <c r="D582" s="2">
        <v>0.53226851851851853</v>
      </c>
      <c r="G582" s="4">
        <v>4873703</v>
      </c>
      <c r="H582">
        <v>1</v>
      </c>
      <c r="J582">
        <v>3563037</v>
      </c>
      <c r="K582">
        <v>1</v>
      </c>
    </row>
    <row r="583" spans="1:11" x14ac:dyDescent="0.25">
      <c r="A583">
        <v>16392077</v>
      </c>
      <c r="B583" s="1">
        <v>42926</v>
      </c>
      <c r="C583" s="2">
        <v>0.52254629629629634</v>
      </c>
      <c r="D583" s="2">
        <v>0.52263888888888888</v>
      </c>
      <c r="G583" s="4">
        <v>4895290</v>
      </c>
      <c r="H583">
        <v>1</v>
      </c>
      <c r="J583">
        <v>3574623</v>
      </c>
      <c r="K583">
        <v>1</v>
      </c>
    </row>
    <row r="584" spans="1:11" x14ac:dyDescent="0.25">
      <c r="A584">
        <v>8865092</v>
      </c>
      <c r="B584" s="1">
        <v>42926</v>
      </c>
      <c r="C584" s="2">
        <v>0.52392361111111108</v>
      </c>
      <c r="D584" s="2">
        <v>0.53378472222222217</v>
      </c>
      <c r="G584" s="4">
        <v>4901642</v>
      </c>
      <c r="H584">
        <v>1</v>
      </c>
      <c r="J584">
        <v>3589291</v>
      </c>
      <c r="K584">
        <v>1</v>
      </c>
    </row>
    <row r="585" spans="1:11" x14ac:dyDescent="0.25">
      <c r="A585">
        <v>92597723</v>
      </c>
      <c r="B585" s="1">
        <v>42926</v>
      </c>
      <c r="C585" s="2">
        <v>0.52837962962962959</v>
      </c>
      <c r="D585" s="2">
        <v>0.53084490740740742</v>
      </c>
      <c r="G585" s="4">
        <v>4911005</v>
      </c>
      <c r="H585">
        <v>1</v>
      </c>
      <c r="J585">
        <v>3590468</v>
      </c>
      <c r="K585">
        <v>1</v>
      </c>
    </row>
    <row r="586" spans="1:11" x14ac:dyDescent="0.25">
      <c r="A586">
        <v>49840829</v>
      </c>
      <c r="B586" s="1">
        <v>42926</v>
      </c>
      <c r="C586" s="2">
        <v>0.53204861111111112</v>
      </c>
      <c r="D586" s="2">
        <v>0.53737268518518522</v>
      </c>
      <c r="G586" s="4">
        <v>4923459</v>
      </c>
      <c r="H586">
        <v>1</v>
      </c>
      <c r="J586">
        <v>3596504</v>
      </c>
      <c r="K586">
        <v>1</v>
      </c>
    </row>
    <row r="587" spans="1:11" x14ac:dyDescent="0.25">
      <c r="A587">
        <v>20354301</v>
      </c>
      <c r="B587" s="1">
        <v>42926</v>
      </c>
      <c r="C587" s="2">
        <v>0.53291666666666671</v>
      </c>
      <c r="D587" s="2">
        <v>0.53758101851851847</v>
      </c>
      <c r="G587" s="4">
        <v>4925279</v>
      </c>
      <c r="H587">
        <v>1</v>
      </c>
      <c r="J587">
        <v>3599100</v>
      </c>
      <c r="K587">
        <v>1</v>
      </c>
    </row>
    <row r="588" spans="1:11" x14ac:dyDescent="0.25">
      <c r="A588">
        <v>2731955</v>
      </c>
      <c r="B588" s="1">
        <v>42926</v>
      </c>
      <c r="C588" s="2">
        <v>0.53843750000000001</v>
      </c>
      <c r="D588" s="2">
        <v>0.54283564814814811</v>
      </c>
      <c r="G588" s="4">
        <v>4927402</v>
      </c>
      <c r="H588">
        <v>1</v>
      </c>
      <c r="J588">
        <v>3607585</v>
      </c>
      <c r="K588">
        <v>1</v>
      </c>
    </row>
    <row r="589" spans="1:11" x14ac:dyDescent="0.25">
      <c r="A589">
        <v>2304726</v>
      </c>
      <c r="B589" s="1">
        <v>42926</v>
      </c>
      <c r="C589" s="2">
        <v>0.54197916666666668</v>
      </c>
      <c r="D589" s="2">
        <v>0.54866898148148147</v>
      </c>
      <c r="G589" s="4">
        <v>4929499</v>
      </c>
      <c r="H589">
        <v>1</v>
      </c>
      <c r="J589">
        <v>3613950</v>
      </c>
      <c r="K589">
        <v>1</v>
      </c>
    </row>
    <row r="590" spans="1:11" x14ac:dyDescent="0.25">
      <c r="A590">
        <v>4653709</v>
      </c>
      <c r="B590" s="1">
        <v>42926</v>
      </c>
      <c r="C590" s="2">
        <v>0.54292824074074075</v>
      </c>
      <c r="D590" s="2">
        <v>0.5444444444444444</v>
      </c>
      <c r="G590" s="4">
        <v>4939683</v>
      </c>
      <c r="H590">
        <v>1</v>
      </c>
      <c r="J590">
        <v>3616291</v>
      </c>
      <c r="K590">
        <v>1</v>
      </c>
    </row>
    <row r="591" spans="1:11" x14ac:dyDescent="0.25">
      <c r="A591">
        <v>4848864</v>
      </c>
      <c r="B591" s="1">
        <v>42926</v>
      </c>
      <c r="C591" s="2">
        <v>0.54432870370370368</v>
      </c>
      <c r="D591" s="2">
        <v>0.55090277777777774</v>
      </c>
      <c r="G591" s="4">
        <v>4945889</v>
      </c>
      <c r="H591">
        <v>1</v>
      </c>
      <c r="J591">
        <v>3638038</v>
      </c>
      <c r="K591">
        <v>1</v>
      </c>
    </row>
    <row r="592" spans="1:11" x14ac:dyDescent="0.25">
      <c r="A592">
        <v>6709939</v>
      </c>
      <c r="B592" s="1">
        <v>42926</v>
      </c>
      <c r="C592" s="2">
        <v>0.54692129629629627</v>
      </c>
      <c r="D592" s="2">
        <v>0.55000000000000004</v>
      </c>
      <c r="G592" s="4">
        <v>4952685</v>
      </c>
      <c r="H592">
        <v>1</v>
      </c>
      <c r="J592">
        <v>3638658</v>
      </c>
      <c r="K592">
        <v>1</v>
      </c>
    </row>
    <row r="593" spans="1:11" x14ac:dyDescent="0.25">
      <c r="A593">
        <v>8870498</v>
      </c>
      <c r="B593" s="1">
        <v>42926</v>
      </c>
      <c r="C593" s="2">
        <v>0.55046296296296293</v>
      </c>
      <c r="D593" s="2">
        <v>0.55986111111111114</v>
      </c>
      <c r="G593" s="4">
        <v>4959594</v>
      </c>
      <c r="H593">
        <v>1</v>
      </c>
      <c r="J593">
        <v>3652646</v>
      </c>
      <c r="K593">
        <v>1</v>
      </c>
    </row>
    <row r="594" spans="1:11" x14ac:dyDescent="0.25">
      <c r="A594">
        <v>2947889</v>
      </c>
      <c r="B594" s="1">
        <v>42926</v>
      </c>
      <c r="C594" s="2">
        <v>0.55246527777777776</v>
      </c>
      <c r="D594" s="2">
        <v>0.56334490740740739</v>
      </c>
      <c r="G594" s="4">
        <v>4960672</v>
      </c>
      <c r="H594">
        <v>1</v>
      </c>
      <c r="J594">
        <v>3654212</v>
      </c>
      <c r="K594">
        <v>1</v>
      </c>
    </row>
    <row r="595" spans="1:11" x14ac:dyDescent="0.25">
      <c r="A595">
        <v>8270097</v>
      </c>
      <c r="B595" s="1">
        <v>42926</v>
      </c>
      <c r="C595" s="2">
        <v>0.55650462962962965</v>
      </c>
      <c r="D595" s="2">
        <v>0.55850694444444449</v>
      </c>
      <c r="G595" s="4">
        <v>4960687</v>
      </c>
      <c r="H595">
        <v>1</v>
      </c>
      <c r="J595">
        <v>3680072</v>
      </c>
      <c r="K595">
        <v>1</v>
      </c>
    </row>
    <row r="596" spans="1:11" x14ac:dyDescent="0.25">
      <c r="A596">
        <v>8183468</v>
      </c>
      <c r="B596" s="1">
        <v>42926</v>
      </c>
      <c r="C596" s="2">
        <v>0.55832175925925931</v>
      </c>
      <c r="D596" s="2">
        <v>0.56265046296296295</v>
      </c>
      <c r="G596" s="4">
        <v>4963499</v>
      </c>
      <c r="H596">
        <v>2</v>
      </c>
      <c r="J596">
        <v>3680149</v>
      </c>
      <c r="K596">
        <v>1</v>
      </c>
    </row>
    <row r="597" spans="1:11" x14ac:dyDescent="0.25">
      <c r="A597">
        <v>3263806</v>
      </c>
      <c r="B597" s="1">
        <v>42926</v>
      </c>
      <c r="C597" s="2">
        <v>0.55864583333333329</v>
      </c>
      <c r="D597" s="2">
        <v>0.56383101851851847</v>
      </c>
      <c r="G597" s="4">
        <v>4965118</v>
      </c>
      <c r="H597">
        <v>1</v>
      </c>
      <c r="J597">
        <v>3691176</v>
      </c>
      <c r="K597">
        <v>1</v>
      </c>
    </row>
    <row r="598" spans="1:11" x14ac:dyDescent="0.25">
      <c r="A598">
        <v>7792980</v>
      </c>
      <c r="B598" s="1">
        <v>42926</v>
      </c>
      <c r="C598" s="2">
        <v>0.56234953703703705</v>
      </c>
      <c r="D598" s="2">
        <v>0.57378472222222221</v>
      </c>
      <c r="G598" s="4">
        <v>4983193</v>
      </c>
      <c r="H598">
        <v>1</v>
      </c>
      <c r="J598">
        <v>3697935</v>
      </c>
      <c r="K598">
        <v>1</v>
      </c>
    </row>
    <row r="599" spans="1:11" x14ac:dyDescent="0.25">
      <c r="A599">
        <v>88929925</v>
      </c>
      <c r="B599" s="1">
        <v>42926</v>
      </c>
      <c r="C599" s="2">
        <v>0.56688657407407406</v>
      </c>
      <c r="D599" s="2">
        <v>0.57342592592592589</v>
      </c>
      <c r="G599" s="4">
        <v>4995171</v>
      </c>
      <c r="H599">
        <v>1</v>
      </c>
      <c r="J599">
        <v>3704193</v>
      </c>
      <c r="K599">
        <v>1</v>
      </c>
    </row>
    <row r="600" spans="1:11" x14ac:dyDescent="0.25">
      <c r="A600">
        <v>2478461</v>
      </c>
      <c r="B600" s="1">
        <v>42926</v>
      </c>
      <c r="C600" s="2">
        <v>0.56980324074074074</v>
      </c>
      <c r="D600" s="2">
        <v>0.575775462962963</v>
      </c>
      <c r="G600" s="4">
        <v>5006675</v>
      </c>
      <c r="H600">
        <v>1</v>
      </c>
      <c r="J600">
        <v>3707498</v>
      </c>
      <c r="K600">
        <v>1</v>
      </c>
    </row>
    <row r="601" spans="1:11" x14ac:dyDescent="0.25">
      <c r="A601">
        <v>2838216</v>
      </c>
      <c r="B601" s="1">
        <v>42926</v>
      </c>
      <c r="C601" s="2">
        <v>0.5755555555555556</v>
      </c>
      <c r="D601" s="2">
        <v>0.57737268518518514</v>
      </c>
      <c r="G601" s="4">
        <v>5013602</v>
      </c>
      <c r="H601">
        <v>1</v>
      </c>
      <c r="J601">
        <v>3720500</v>
      </c>
      <c r="K601">
        <v>1</v>
      </c>
    </row>
    <row r="602" spans="1:11" x14ac:dyDescent="0.25">
      <c r="A602">
        <v>4853153</v>
      </c>
      <c r="B602" s="1">
        <v>42926</v>
      </c>
      <c r="C602" s="2">
        <v>0.5803935185185185</v>
      </c>
      <c r="D602" s="2">
        <v>0.58190972222222226</v>
      </c>
      <c r="G602" s="4">
        <v>5013688</v>
      </c>
      <c r="H602">
        <v>1</v>
      </c>
      <c r="J602">
        <v>3733011</v>
      </c>
      <c r="K602">
        <v>1</v>
      </c>
    </row>
    <row r="603" spans="1:11" x14ac:dyDescent="0.25">
      <c r="A603">
        <v>2985743</v>
      </c>
      <c r="B603" s="1">
        <v>42926</v>
      </c>
      <c r="C603" s="2">
        <v>0.58189814814814811</v>
      </c>
      <c r="D603" s="2">
        <v>0.59070601851851856</v>
      </c>
      <c r="G603" s="4">
        <v>5014399</v>
      </c>
      <c r="H603">
        <v>1</v>
      </c>
      <c r="J603">
        <v>3757504</v>
      </c>
      <c r="K603">
        <v>1</v>
      </c>
    </row>
    <row r="604" spans="1:11" x14ac:dyDescent="0.25">
      <c r="A604">
        <v>3434934</v>
      </c>
      <c r="B604" s="1">
        <v>42926</v>
      </c>
      <c r="C604" s="2">
        <v>0.58254629629629628</v>
      </c>
      <c r="D604" s="2">
        <v>0.58601851851851849</v>
      </c>
      <c r="G604" s="4">
        <v>5015921</v>
      </c>
      <c r="H604">
        <v>1</v>
      </c>
      <c r="J604">
        <v>3759991</v>
      </c>
      <c r="K604">
        <v>1</v>
      </c>
    </row>
    <row r="605" spans="1:11" x14ac:dyDescent="0.25">
      <c r="A605">
        <v>97596112</v>
      </c>
      <c r="B605" s="1">
        <v>42926</v>
      </c>
      <c r="C605" s="2">
        <v>0.58351851851851855</v>
      </c>
      <c r="D605" s="2">
        <v>0.59368055555555554</v>
      </c>
      <c r="G605" s="4">
        <v>5016981</v>
      </c>
      <c r="H605">
        <v>1</v>
      </c>
      <c r="J605">
        <v>3765001</v>
      </c>
      <c r="K605">
        <v>1</v>
      </c>
    </row>
    <row r="606" spans="1:11" x14ac:dyDescent="0.25">
      <c r="A606">
        <v>1247125</v>
      </c>
      <c r="B606" s="1">
        <v>42926</v>
      </c>
      <c r="C606" s="2">
        <v>0.58575231481481482</v>
      </c>
      <c r="D606" s="2">
        <v>0.5935300925925926</v>
      </c>
      <c r="G606" s="4">
        <v>5019634</v>
      </c>
      <c r="H606">
        <v>1</v>
      </c>
      <c r="J606">
        <v>3765658</v>
      </c>
      <c r="K606">
        <v>1</v>
      </c>
    </row>
    <row r="607" spans="1:11" x14ac:dyDescent="0.25">
      <c r="A607">
        <v>6982652</v>
      </c>
      <c r="B607" s="1">
        <v>42926</v>
      </c>
      <c r="C607" s="2">
        <v>0.58677083333333335</v>
      </c>
      <c r="D607" s="2">
        <v>0.58759259259259256</v>
      </c>
      <c r="G607" s="4">
        <v>5022247</v>
      </c>
      <c r="H607">
        <v>1</v>
      </c>
      <c r="J607">
        <v>3767866</v>
      </c>
      <c r="K607">
        <v>1</v>
      </c>
    </row>
    <row r="608" spans="1:11" x14ac:dyDescent="0.25">
      <c r="A608">
        <v>11209967</v>
      </c>
      <c r="B608" s="1">
        <v>42926</v>
      </c>
      <c r="C608" s="2">
        <v>0.58877314814814818</v>
      </c>
      <c r="D608" s="2">
        <v>0.59027777777777779</v>
      </c>
      <c r="G608" s="4">
        <v>5026277</v>
      </c>
      <c r="H608">
        <v>1</v>
      </c>
      <c r="J608">
        <v>3776937</v>
      </c>
      <c r="K608">
        <v>1</v>
      </c>
    </row>
    <row r="609" spans="1:11" x14ac:dyDescent="0.25">
      <c r="A609">
        <v>6251788</v>
      </c>
      <c r="B609" s="1">
        <v>42926</v>
      </c>
      <c r="C609" s="2">
        <v>0.58910879629629631</v>
      </c>
      <c r="D609" s="2">
        <v>0.59431712962962968</v>
      </c>
      <c r="G609" s="4">
        <v>5027404</v>
      </c>
      <c r="H609">
        <v>1</v>
      </c>
      <c r="J609">
        <v>3796958</v>
      </c>
      <c r="K609">
        <v>1</v>
      </c>
    </row>
    <row r="610" spans="1:11" x14ac:dyDescent="0.25">
      <c r="A610">
        <v>8679036</v>
      </c>
      <c r="B610" s="1">
        <v>42926</v>
      </c>
      <c r="C610" s="2">
        <v>0.58976851851851853</v>
      </c>
      <c r="D610" s="2">
        <v>0.60074074074074069</v>
      </c>
      <c r="G610" s="4">
        <v>5029329</v>
      </c>
      <c r="H610">
        <v>1</v>
      </c>
      <c r="J610">
        <v>3804078</v>
      </c>
      <c r="K610">
        <v>1</v>
      </c>
    </row>
    <row r="611" spans="1:11" x14ac:dyDescent="0.25">
      <c r="A611">
        <v>1288637</v>
      </c>
      <c r="B611" s="1">
        <v>42926</v>
      </c>
      <c r="C611" s="2">
        <v>0.59277777777777774</v>
      </c>
      <c r="D611" s="2">
        <v>0.59365740740740736</v>
      </c>
      <c r="G611" s="4">
        <v>5036422</v>
      </c>
      <c r="H611">
        <v>1</v>
      </c>
      <c r="J611">
        <v>3811342</v>
      </c>
      <c r="K611">
        <v>1</v>
      </c>
    </row>
    <row r="612" spans="1:11" x14ac:dyDescent="0.25">
      <c r="A612">
        <v>4825302</v>
      </c>
      <c r="B612" s="1">
        <v>42926</v>
      </c>
      <c r="C612" s="2">
        <v>0.59670138888888891</v>
      </c>
      <c r="D612" s="2">
        <v>0.59701388888888884</v>
      </c>
      <c r="G612" s="4">
        <v>5039266</v>
      </c>
      <c r="H612">
        <v>1</v>
      </c>
      <c r="J612">
        <v>3824660</v>
      </c>
      <c r="K612">
        <v>1</v>
      </c>
    </row>
    <row r="613" spans="1:11" x14ac:dyDescent="0.25">
      <c r="A613">
        <v>5349562</v>
      </c>
      <c r="B613" s="1">
        <v>42926</v>
      </c>
      <c r="C613" s="2">
        <v>0.60041666666666671</v>
      </c>
      <c r="D613" s="2">
        <v>0.6095949074074074</v>
      </c>
      <c r="G613" s="4">
        <v>5060909</v>
      </c>
      <c r="H613">
        <v>1</v>
      </c>
      <c r="J613">
        <v>3851940</v>
      </c>
      <c r="K613">
        <v>1</v>
      </c>
    </row>
    <row r="614" spans="1:11" x14ac:dyDescent="0.25">
      <c r="A614">
        <v>5893512</v>
      </c>
      <c r="B614" s="1">
        <v>42926</v>
      </c>
      <c r="C614" s="2">
        <v>0.60517361111111112</v>
      </c>
      <c r="D614" s="2">
        <v>0.61063657407407412</v>
      </c>
      <c r="G614" s="4">
        <v>5076649</v>
      </c>
      <c r="H614">
        <v>4</v>
      </c>
      <c r="J614">
        <v>3861280</v>
      </c>
      <c r="K614">
        <v>1</v>
      </c>
    </row>
    <row r="615" spans="1:11" x14ac:dyDescent="0.25">
      <c r="A615">
        <v>7138804596</v>
      </c>
      <c r="B615" s="1">
        <v>42926</v>
      </c>
      <c r="C615" s="2">
        <v>0.60578703703703707</v>
      </c>
      <c r="D615" s="2">
        <v>0.61459490740740741</v>
      </c>
      <c r="G615" s="4">
        <v>5082463</v>
      </c>
      <c r="H615">
        <v>1</v>
      </c>
      <c r="J615">
        <v>3862016</v>
      </c>
      <c r="K615">
        <v>1</v>
      </c>
    </row>
    <row r="616" spans="1:11" x14ac:dyDescent="0.25">
      <c r="A616">
        <v>6468376</v>
      </c>
      <c r="B616" s="1">
        <v>42926</v>
      </c>
      <c r="C616" s="2">
        <v>0.61140046296296291</v>
      </c>
      <c r="D616" s="2">
        <v>0.61952546296296296</v>
      </c>
      <c r="G616" s="4">
        <v>5086182</v>
      </c>
      <c r="H616">
        <v>1</v>
      </c>
      <c r="J616">
        <v>3864488</v>
      </c>
      <c r="K616">
        <v>1</v>
      </c>
    </row>
    <row r="617" spans="1:11" x14ac:dyDescent="0.25">
      <c r="A617">
        <v>5076649</v>
      </c>
      <c r="B617" s="1">
        <v>42926</v>
      </c>
      <c r="C617" s="2">
        <v>0.61699074074074078</v>
      </c>
      <c r="D617" s="2">
        <v>0.62163194444444447</v>
      </c>
      <c r="G617" s="4">
        <v>5087066</v>
      </c>
      <c r="H617">
        <v>3</v>
      </c>
      <c r="J617">
        <v>3897347</v>
      </c>
      <c r="K617">
        <v>1</v>
      </c>
    </row>
    <row r="618" spans="1:11" x14ac:dyDescent="0.25">
      <c r="A618">
        <v>3494192</v>
      </c>
      <c r="B618" s="1">
        <v>42926</v>
      </c>
      <c r="C618" s="2">
        <v>0.62216435185185182</v>
      </c>
      <c r="D618" s="2">
        <v>0.62291666666666667</v>
      </c>
      <c r="G618" s="4">
        <v>5087484</v>
      </c>
      <c r="H618">
        <v>1</v>
      </c>
      <c r="J618">
        <v>3900921</v>
      </c>
      <c r="K618">
        <v>1</v>
      </c>
    </row>
    <row r="619" spans="1:11" x14ac:dyDescent="0.25">
      <c r="A619">
        <v>8150086</v>
      </c>
      <c r="B619" s="1">
        <v>42926</v>
      </c>
      <c r="C619" s="2">
        <v>0.6272685185185185</v>
      </c>
      <c r="D619" s="2">
        <v>0.63475694444444442</v>
      </c>
      <c r="G619" s="4">
        <v>5089019</v>
      </c>
      <c r="H619">
        <v>1</v>
      </c>
      <c r="J619">
        <v>3908162</v>
      </c>
      <c r="K619">
        <v>1</v>
      </c>
    </row>
    <row r="620" spans="1:11" x14ac:dyDescent="0.25">
      <c r="A620">
        <v>3934931</v>
      </c>
      <c r="B620" s="1">
        <v>42927</v>
      </c>
      <c r="C620" s="2">
        <v>0.3349537037037037</v>
      </c>
      <c r="D620" s="2">
        <v>0.3379861111111111</v>
      </c>
      <c r="G620" s="4">
        <v>5092577</v>
      </c>
      <c r="H620">
        <v>1</v>
      </c>
      <c r="J620">
        <v>3912924</v>
      </c>
      <c r="K620">
        <v>1</v>
      </c>
    </row>
    <row r="621" spans="1:11" x14ac:dyDescent="0.25">
      <c r="A621">
        <v>2111996</v>
      </c>
      <c r="B621" s="1">
        <v>42927</v>
      </c>
      <c r="C621" s="2">
        <v>0.33706018518518521</v>
      </c>
      <c r="D621" s="2">
        <v>0.33875</v>
      </c>
      <c r="G621" s="4">
        <v>5094248</v>
      </c>
      <c r="H621">
        <v>4</v>
      </c>
      <c r="J621">
        <v>3914070</v>
      </c>
      <c r="K621">
        <v>1</v>
      </c>
    </row>
    <row r="622" spans="1:11" x14ac:dyDescent="0.25">
      <c r="A622">
        <v>6484436</v>
      </c>
      <c r="B622" s="1">
        <v>42927</v>
      </c>
      <c r="C622" s="2">
        <v>0.34006944444444442</v>
      </c>
      <c r="D622" s="2">
        <v>0.3427546296296296</v>
      </c>
      <c r="G622" s="4">
        <v>5104536</v>
      </c>
      <c r="H622">
        <v>1</v>
      </c>
      <c r="J622">
        <v>3919087</v>
      </c>
      <c r="K622">
        <v>1</v>
      </c>
    </row>
    <row r="623" spans="1:11" x14ac:dyDescent="0.25">
      <c r="A623">
        <v>97646706</v>
      </c>
      <c r="B623" s="1">
        <v>42927</v>
      </c>
      <c r="C623" s="2">
        <v>0.34304398148148146</v>
      </c>
      <c r="D623" s="2">
        <v>0.34310185185185182</v>
      </c>
      <c r="G623" s="4">
        <v>5131341</v>
      </c>
      <c r="H623">
        <v>2</v>
      </c>
      <c r="J623">
        <v>3925701</v>
      </c>
      <c r="K623">
        <v>1</v>
      </c>
    </row>
    <row r="624" spans="1:11" x14ac:dyDescent="0.25">
      <c r="A624">
        <v>9932676</v>
      </c>
      <c r="B624" s="1">
        <v>42927</v>
      </c>
      <c r="C624" s="2">
        <v>0.34778935185185184</v>
      </c>
      <c r="D624" s="2">
        <v>0.35474537037037035</v>
      </c>
      <c r="G624" s="4">
        <v>5136126</v>
      </c>
      <c r="H624">
        <v>1</v>
      </c>
      <c r="J624">
        <v>3931464</v>
      </c>
      <c r="K624">
        <v>1</v>
      </c>
    </row>
    <row r="625" spans="1:11" x14ac:dyDescent="0.25">
      <c r="A625">
        <v>6062869</v>
      </c>
      <c r="B625" s="1">
        <v>42927</v>
      </c>
      <c r="C625" s="2">
        <v>0.3513425925925926</v>
      </c>
      <c r="D625" s="2">
        <v>0.35505787037037034</v>
      </c>
      <c r="G625" s="4">
        <v>5138547</v>
      </c>
      <c r="H625">
        <v>1</v>
      </c>
      <c r="J625">
        <v>3931914</v>
      </c>
      <c r="K625">
        <v>1</v>
      </c>
    </row>
    <row r="626" spans="1:11" x14ac:dyDescent="0.25">
      <c r="A626">
        <v>2828759</v>
      </c>
      <c r="B626" s="1">
        <v>42927</v>
      </c>
      <c r="C626" s="2">
        <v>0.35575231481481484</v>
      </c>
      <c r="D626" s="2">
        <v>0.35851851851851851</v>
      </c>
      <c r="G626" s="4">
        <v>5146166</v>
      </c>
      <c r="H626">
        <v>1</v>
      </c>
      <c r="J626">
        <v>3934931</v>
      </c>
      <c r="K626">
        <v>1</v>
      </c>
    </row>
    <row r="627" spans="1:11" x14ac:dyDescent="0.25">
      <c r="A627">
        <v>7215284</v>
      </c>
      <c r="B627" s="1">
        <v>42927</v>
      </c>
      <c r="C627" s="2">
        <v>0.3596759259259259</v>
      </c>
      <c r="D627" s="2">
        <v>0.36363425925925924</v>
      </c>
      <c r="G627" s="4">
        <v>5147242</v>
      </c>
      <c r="H627">
        <v>1</v>
      </c>
      <c r="J627">
        <v>3943994</v>
      </c>
      <c r="K627">
        <v>1</v>
      </c>
    </row>
    <row r="628" spans="1:11" x14ac:dyDescent="0.25">
      <c r="A628">
        <v>1384299</v>
      </c>
      <c r="B628" s="1">
        <v>42927</v>
      </c>
      <c r="C628" s="2">
        <v>0.36203703703703705</v>
      </c>
      <c r="D628" s="2">
        <v>0.37155092592592592</v>
      </c>
      <c r="G628" s="4">
        <v>5147651</v>
      </c>
      <c r="H628">
        <v>2</v>
      </c>
      <c r="J628">
        <v>3944120</v>
      </c>
      <c r="K628">
        <v>1</v>
      </c>
    </row>
    <row r="629" spans="1:11" x14ac:dyDescent="0.25">
      <c r="A629">
        <v>2486941</v>
      </c>
      <c r="B629" s="1">
        <v>42927</v>
      </c>
      <c r="C629" s="2">
        <v>0.36394675925925923</v>
      </c>
      <c r="D629" s="2">
        <v>0.36422453703703705</v>
      </c>
      <c r="G629" s="4">
        <v>5162775</v>
      </c>
      <c r="H629">
        <v>1</v>
      </c>
      <c r="J629">
        <v>3954712</v>
      </c>
      <c r="K629">
        <v>1</v>
      </c>
    </row>
    <row r="630" spans="1:11" x14ac:dyDescent="0.25">
      <c r="A630">
        <v>6561564994</v>
      </c>
      <c r="B630" s="1">
        <v>42927</v>
      </c>
      <c r="C630" s="2">
        <v>0.36930555555555555</v>
      </c>
      <c r="D630" s="2">
        <v>0.37052083333333335</v>
      </c>
      <c r="G630" s="4">
        <v>5199929</v>
      </c>
      <c r="H630">
        <v>1</v>
      </c>
      <c r="J630">
        <v>3972159</v>
      </c>
      <c r="K630">
        <v>1</v>
      </c>
    </row>
    <row r="631" spans="1:11" x14ac:dyDescent="0.25">
      <c r="A631">
        <v>1207918</v>
      </c>
      <c r="B631" s="1">
        <v>42927</v>
      </c>
      <c r="C631" s="2">
        <v>0.37410879629629629</v>
      </c>
      <c r="D631" s="2">
        <v>0.3767361111111111</v>
      </c>
      <c r="G631" s="4">
        <v>5205087</v>
      </c>
      <c r="H631">
        <v>1</v>
      </c>
      <c r="J631">
        <v>3976931</v>
      </c>
      <c r="K631">
        <v>1</v>
      </c>
    </row>
    <row r="632" spans="1:11" x14ac:dyDescent="0.25">
      <c r="A632">
        <v>66800387</v>
      </c>
      <c r="B632" s="1">
        <v>42927</v>
      </c>
      <c r="C632" s="2">
        <v>0.37684027777777779</v>
      </c>
      <c r="D632" s="2">
        <v>0.38072916666666667</v>
      </c>
      <c r="G632" s="4">
        <v>5215912</v>
      </c>
      <c r="H632">
        <v>1</v>
      </c>
      <c r="J632">
        <v>3979295</v>
      </c>
      <c r="K632">
        <v>1</v>
      </c>
    </row>
    <row r="633" spans="1:11" x14ac:dyDescent="0.25">
      <c r="A633">
        <v>49093359</v>
      </c>
      <c r="B633" s="1">
        <v>42927</v>
      </c>
      <c r="C633" s="2">
        <v>0.37695601851851851</v>
      </c>
      <c r="D633" s="2">
        <v>0.38138888888888889</v>
      </c>
      <c r="G633" s="4">
        <v>5220235</v>
      </c>
      <c r="H633">
        <v>1</v>
      </c>
      <c r="J633">
        <v>3979680</v>
      </c>
      <c r="K633">
        <v>1</v>
      </c>
    </row>
    <row r="634" spans="1:11" x14ac:dyDescent="0.25">
      <c r="A634">
        <v>2252239</v>
      </c>
      <c r="B634" s="1">
        <v>42927</v>
      </c>
      <c r="C634" s="2">
        <v>0.38233796296296296</v>
      </c>
      <c r="D634" s="2">
        <v>0.39034722222222223</v>
      </c>
      <c r="G634" s="4">
        <v>5221005</v>
      </c>
      <c r="H634">
        <v>1</v>
      </c>
      <c r="J634">
        <v>3982833</v>
      </c>
      <c r="K634">
        <v>1</v>
      </c>
    </row>
    <row r="635" spans="1:11" x14ac:dyDescent="0.25">
      <c r="A635">
        <v>4925279</v>
      </c>
      <c r="B635" s="1">
        <v>42927</v>
      </c>
      <c r="C635" s="2">
        <v>0.3850925925925926</v>
      </c>
      <c r="D635" s="2">
        <v>0.38929398148148148</v>
      </c>
      <c r="G635" s="4">
        <v>5223970</v>
      </c>
      <c r="H635">
        <v>2</v>
      </c>
      <c r="J635">
        <v>3983714</v>
      </c>
      <c r="K635">
        <v>1</v>
      </c>
    </row>
    <row r="636" spans="1:11" x14ac:dyDescent="0.25">
      <c r="A636">
        <v>25459710</v>
      </c>
      <c r="B636" s="1">
        <v>42927</v>
      </c>
      <c r="C636" s="2">
        <v>0.38797453703703705</v>
      </c>
      <c r="D636" s="2">
        <v>0.39458333333333334</v>
      </c>
      <c r="G636" s="4">
        <v>5228419</v>
      </c>
      <c r="H636">
        <v>1</v>
      </c>
      <c r="J636">
        <v>3990337</v>
      </c>
      <c r="K636">
        <v>1</v>
      </c>
    </row>
    <row r="637" spans="1:11" x14ac:dyDescent="0.25">
      <c r="A637">
        <v>3943994</v>
      </c>
      <c r="B637" s="1">
        <v>42927</v>
      </c>
      <c r="C637" s="2">
        <v>0.39199074074074075</v>
      </c>
      <c r="D637" s="2">
        <v>0.39934027777777775</v>
      </c>
      <c r="G637" s="4">
        <v>5231877</v>
      </c>
      <c r="H637">
        <v>2</v>
      </c>
      <c r="J637">
        <v>3999937</v>
      </c>
      <c r="K637">
        <v>1</v>
      </c>
    </row>
    <row r="638" spans="1:11" x14ac:dyDescent="0.25">
      <c r="A638">
        <v>2109147679</v>
      </c>
      <c r="B638" s="1">
        <v>42927</v>
      </c>
      <c r="C638" s="2">
        <v>0.39260416666666664</v>
      </c>
      <c r="D638" s="2">
        <v>0.40322916666666669</v>
      </c>
      <c r="G638" s="4">
        <v>5233531</v>
      </c>
      <c r="H638">
        <v>1</v>
      </c>
      <c r="J638">
        <v>4002406</v>
      </c>
      <c r="K638">
        <v>1</v>
      </c>
    </row>
    <row r="639" spans="1:11" x14ac:dyDescent="0.25">
      <c r="A639">
        <v>9967649</v>
      </c>
      <c r="B639" s="1">
        <v>42927</v>
      </c>
      <c r="C639" s="2">
        <v>0.39659722222222221</v>
      </c>
      <c r="D639" s="2">
        <v>0.4042824074074074</v>
      </c>
      <c r="G639" s="4">
        <v>5244597</v>
      </c>
      <c r="H639">
        <v>1</v>
      </c>
      <c r="J639">
        <v>4007464</v>
      </c>
      <c r="K639">
        <v>1</v>
      </c>
    </row>
    <row r="640" spans="1:11" x14ac:dyDescent="0.25">
      <c r="A640">
        <v>2947660</v>
      </c>
      <c r="B640" s="1">
        <v>42927</v>
      </c>
      <c r="C640" s="2">
        <v>0.39817129629629627</v>
      </c>
      <c r="D640" s="2">
        <v>0.4045023148148148</v>
      </c>
      <c r="G640" s="4">
        <v>5251861</v>
      </c>
      <c r="H640">
        <v>1</v>
      </c>
      <c r="J640">
        <v>4017213</v>
      </c>
      <c r="K640">
        <v>1</v>
      </c>
    </row>
    <row r="641" spans="1:11" x14ac:dyDescent="0.25">
      <c r="A641">
        <v>6492842</v>
      </c>
      <c r="B641" s="1">
        <v>42927</v>
      </c>
      <c r="C641" s="2">
        <v>0.40379629629629632</v>
      </c>
      <c r="D641" s="2">
        <v>0.4100462962962963</v>
      </c>
      <c r="G641" s="4">
        <v>5252835</v>
      </c>
      <c r="H641">
        <v>1</v>
      </c>
      <c r="J641">
        <v>4025325</v>
      </c>
      <c r="K641">
        <v>1</v>
      </c>
    </row>
    <row r="642" spans="1:11" x14ac:dyDescent="0.25">
      <c r="A642">
        <v>70730125</v>
      </c>
      <c r="B642" s="1">
        <v>42927</v>
      </c>
      <c r="C642" s="2">
        <v>0.40777777777777779</v>
      </c>
      <c r="D642" s="2">
        <v>0.4181597222222222</v>
      </c>
      <c r="G642" s="4">
        <v>5253133</v>
      </c>
      <c r="H642">
        <v>1</v>
      </c>
      <c r="J642">
        <v>4030817</v>
      </c>
      <c r="K642">
        <v>1</v>
      </c>
    </row>
    <row r="643" spans="1:11" x14ac:dyDescent="0.25">
      <c r="A643">
        <v>4056361</v>
      </c>
      <c r="B643" s="1">
        <v>42927</v>
      </c>
      <c r="C643" s="2">
        <v>0.41239583333333335</v>
      </c>
      <c r="D643" s="2">
        <v>0.41844907407407406</v>
      </c>
      <c r="G643" s="4">
        <v>5254694</v>
      </c>
      <c r="H643">
        <v>1</v>
      </c>
      <c r="J643">
        <v>4034491</v>
      </c>
      <c r="K643">
        <v>1</v>
      </c>
    </row>
    <row r="644" spans="1:11" x14ac:dyDescent="0.25">
      <c r="A644">
        <v>12721215</v>
      </c>
      <c r="B644" s="1">
        <v>42927</v>
      </c>
      <c r="C644" s="2">
        <v>0.41431712962962963</v>
      </c>
      <c r="D644" s="2">
        <v>0.41986111111111113</v>
      </c>
      <c r="G644" s="4">
        <v>5272270</v>
      </c>
      <c r="H644">
        <v>1</v>
      </c>
      <c r="J644">
        <v>4055319</v>
      </c>
      <c r="K644">
        <v>1</v>
      </c>
    </row>
    <row r="645" spans="1:11" x14ac:dyDescent="0.25">
      <c r="A645">
        <v>4566750</v>
      </c>
      <c r="B645" s="1">
        <v>42927</v>
      </c>
      <c r="C645" s="2">
        <v>0.41666666666666669</v>
      </c>
      <c r="D645" s="2">
        <v>0.42190972222222223</v>
      </c>
      <c r="G645" s="4">
        <v>5277660</v>
      </c>
      <c r="H645">
        <v>2</v>
      </c>
      <c r="J645">
        <v>4056070</v>
      </c>
      <c r="K645">
        <v>1</v>
      </c>
    </row>
    <row r="646" spans="1:11" x14ac:dyDescent="0.25">
      <c r="A646">
        <v>7279106</v>
      </c>
      <c r="B646" s="1">
        <v>42927</v>
      </c>
      <c r="C646" s="2">
        <v>0.41935185185185186</v>
      </c>
      <c r="D646" s="2">
        <v>0.43002314814814813</v>
      </c>
      <c r="G646" s="4">
        <v>5290460</v>
      </c>
      <c r="H646">
        <v>1</v>
      </c>
      <c r="J646">
        <v>4056361</v>
      </c>
      <c r="K646">
        <v>1</v>
      </c>
    </row>
    <row r="647" spans="1:11" x14ac:dyDescent="0.25">
      <c r="A647">
        <v>3824660</v>
      </c>
      <c r="B647" s="1">
        <v>42927</v>
      </c>
      <c r="C647" s="2">
        <v>0.4238425925925926</v>
      </c>
      <c r="D647" s="2">
        <v>0.4321875</v>
      </c>
      <c r="G647" s="4">
        <v>5303411</v>
      </c>
      <c r="H647">
        <v>1</v>
      </c>
      <c r="J647">
        <v>4060894</v>
      </c>
      <c r="K647">
        <v>1</v>
      </c>
    </row>
    <row r="648" spans="1:11" x14ac:dyDescent="0.25">
      <c r="A648">
        <v>5815339</v>
      </c>
      <c r="B648" s="1">
        <v>42927</v>
      </c>
      <c r="C648" s="2">
        <v>0.42818287037037039</v>
      </c>
      <c r="D648" s="2">
        <v>0.43273148148148149</v>
      </c>
      <c r="G648" s="4">
        <v>5305478</v>
      </c>
      <c r="H648">
        <v>1</v>
      </c>
      <c r="J648">
        <v>4062215</v>
      </c>
      <c r="K648">
        <v>1</v>
      </c>
    </row>
    <row r="649" spans="1:11" x14ac:dyDescent="0.25">
      <c r="A649">
        <v>77946476</v>
      </c>
      <c r="B649" s="1">
        <v>42927</v>
      </c>
      <c r="C649" s="2">
        <v>0.42995370370370373</v>
      </c>
      <c r="D649" s="2">
        <v>0.43024305555555553</v>
      </c>
      <c r="G649" s="4">
        <v>5312081</v>
      </c>
      <c r="H649">
        <v>1</v>
      </c>
      <c r="J649">
        <v>4065787</v>
      </c>
      <c r="K649">
        <v>1</v>
      </c>
    </row>
    <row r="650" spans="1:11" x14ac:dyDescent="0.25">
      <c r="A650">
        <v>84589848</v>
      </c>
      <c r="B650" s="1">
        <v>42927</v>
      </c>
      <c r="C650" s="2">
        <v>0.43539351851851854</v>
      </c>
      <c r="D650" s="2">
        <v>0.43763888888888891</v>
      </c>
      <c r="G650" s="4">
        <v>5318850</v>
      </c>
      <c r="H650">
        <v>1</v>
      </c>
      <c r="J650">
        <v>4068728</v>
      </c>
      <c r="K650">
        <v>1</v>
      </c>
    </row>
    <row r="651" spans="1:11" x14ac:dyDescent="0.25">
      <c r="A651">
        <v>4501823</v>
      </c>
      <c r="B651" s="1">
        <v>42927</v>
      </c>
      <c r="C651" s="2">
        <v>0.44013888888888891</v>
      </c>
      <c r="D651" s="2">
        <v>0.44690972222222225</v>
      </c>
      <c r="G651" s="4">
        <v>5340881</v>
      </c>
      <c r="H651">
        <v>1</v>
      </c>
      <c r="J651">
        <v>4079013</v>
      </c>
      <c r="K651">
        <v>1</v>
      </c>
    </row>
    <row r="652" spans="1:11" x14ac:dyDescent="0.25">
      <c r="A652">
        <v>38244568</v>
      </c>
      <c r="B652" s="1">
        <v>42927</v>
      </c>
      <c r="C652" s="2">
        <v>0.44381944444444443</v>
      </c>
      <c r="D652" s="2">
        <v>0.45199074074074075</v>
      </c>
      <c r="G652" s="4">
        <v>5349562</v>
      </c>
      <c r="H652">
        <v>1</v>
      </c>
      <c r="J652">
        <v>4082744</v>
      </c>
      <c r="K652">
        <v>1</v>
      </c>
    </row>
    <row r="653" spans="1:11" x14ac:dyDescent="0.25">
      <c r="A653">
        <v>3613950</v>
      </c>
      <c r="B653" s="1">
        <v>42927</v>
      </c>
      <c r="C653" s="2">
        <v>0.44657407407407407</v>
      </c>
      <c r="D653" s="2">
        <v>0.44774305555555555</v>
      </c>
      <c r="G653" s="4">
        <v>5354141</v>
      </c>
      <c r="H653">
        <v>1</v>
      </c>
      <c r="J653">
        <v>4093292</v>
      </c>
      <c r="K653">
        <v>1</v>
      </c>
    </row>
    <row r="654" spans="1:11" x14ac:dyDescent="0.25">
      <c r="A654">
        <v>5750819</v>
      </c>
      <c r="B654" s="1">
        <v>42927</v>
      </c>
      <c r="C654" s="2">
        <v>0.44751157407407405</v>
      </c>
      <c r="D654" s="2">
        <v>0.45284722222222223</v>
      </c>
      <c r="G654" s="4">
        <v>5356378</v>
      </c>
      <c r="H654">
        <v>1</v>
      </c>
      <c r="J654">
        <v>4094662</v>
      </c>
      <c r="K654">
        <v>1</v>
      </c>
    </row>
    <row r="655" spans="1:11" x14ac:dyDescent="0.25">
      <c r="A655">
        <v>63291235</v>
      </c>
      <c r="B655" s="1">
        <v>42927</v>
      </c>
      <c r="C655" s="2">
        <v>0.45091435185185186</v>
      </c>
      <c r="D655" s="2">
        <v>0.45429398148148148</v>
      </c>
      <c r="G655" s="4">
        <v>5356824</v>
      </c>
      <c r="H655">
        <v>1</v>
      </c>
      <c r="J655">
        <v>4100331</v>
      </c>
      <c r="K655">
        <v>1</v>
      </c>
    </row>
    <row r="656" spans="1:11" x14ac:dyDescent="0.25">
      <c r="A656">
        <v>3198725</v>
      </c>
      <c r="B656" s="1">
        <v>42927</v>
      </c>
      <c r="C656" s="2">
        <v>0.45157407407407407</v>
      </c>
      <c r="D656" s="2">
        <v>0.45738425925925924</v>
      </c>
      <c r="G656" s="4">
        <v>5372125</v>
      </c>
      <c r="H656">
        <v>1</v>
      </c>
      <c r="J656">
        <v>4102482</v>
      </c>
      <c r="K656">
        <v>1</v>
      </c>
    </row>
    <row r="657" spans="1:11" x14ac:dyDescent="0.25">
      <c r="A657">
        <v>6248157784</v>
      </c>
      <c r="B657" s="1">
        <v>42927</v>
      </c>
      <c r="C657" s="2">
        <v>0.45475694444444442</v>
      </c>
      <c r="D657" s="2">
        <v>0.4566898148148148</v>
      </c>
      <c r="G657" s="4">
        <v>5372891</v>
      </c>
      <c r="H657">
        <v>1</v>
      </c>
      <c r="J657">
        <v>4113351</v>
      </c>
      <c r="K657">
        <v>1</v>
      </c>
    </row>
    <row r="658" spans="1:11" x14ac:dyDescent="0.25">
      <c r="A658">
        <v>6607648</v>
      </c>
      <c r="B658" s="1">
        <v>42927</v>
      </c>
      <c r="C658" s="2">
        <v>0.45873842592592595</v>
      </c>
      <c r="D658" s="2">
        <v>0.46986111111111112</v>
      </c>
      <c r="G658" s="4">
        <v>5376362</v>
      </c>
      <c r="H658">
        <v>1</v>
      </c>
      <c r="J658">
        <v>4132754</v>
      </c>
      <c r="K658">
        <v>1</v>
      </c>
    </row>
    <row r="659" spans="1:11" x14ac:dyDescent="0.25">
      <c r="A659">
        <v>5340881</v>
      </c>
      <c r="B659" s="1">
        <v>42927</v>
      </c>
      <c r="C659" s="2">
        <v>0.46413194444444444</v>
      </c>
      <c r="D659" s="2">
        <v>0.46585648148148145</v>
      </c>
      <c r="G659" s="4">
        <v>5379981</v>
      </c>
      <c r="H659">
        <v>1</v>
      </c>
      <c r="J659">
        <v>4133182</v>
      </c>
      <c r="K659">
        <v>1</v>
      </c>
    </row>
    <row r="660" spans="1:11" x14ac:dyDescent="0.25">
      <c r="A660">
        <v>99162491</v>
      </c>
      <c r="B660" s="1">
        <v>42927</v>
      </c>
      <c r="C660" s="2">
        <v>0.46738425925925925</v>
      </c>
      <c r="D660" s="2">
        <v>0.46800925925925924</v>
      </c>
      <c r="G660" s="4">
        <v>5392799</v>
      </c>
      <c r="H660">
        <v>1</v>
      </c>
      <c r="J660">
        <v>4144248</v>
      </c>
      <c r="K660">
        <v>1</v>
      </c>
    </row>
    <row r="661" spans="1:11" x14ac:dyDescent="0.25">
      <c r="A661">
        <v>3072421</v>
      </c>
      <c r="B661" s="1">
        <v>42927</v>
      </c>
      <c r="C661" s="2">
        <v>0.46942129629629631</v>
      </c>
      <c r="D661" s="2">
        <v>0.47766203703703702</v>
      </c>
      <c r="G661" s="4">
        <v>5415372</v>
      </c>
      <c r="H661">
        <v>1</v>
      </c>
      <c r="J661">
        <v>4146159</v>
      </c>
      <c r="K661">
        <v>1</v>
      </c>
    </row>
    <row r="662" spans="1:11" x14ac:dyDescent="0.25">
      <c r="A662">
        <v>1909553</v>
      </c>
      <c r="B662" s="1">
        <v>42927</v>
      </c>
      <c r="C662" s="2">
        <v>0.47193287037037035</v>
      </c>
      <c r="D662" s="2">
        <v>0.47763888888888889</v>
      </c>
      <c r="G662" s="4">
        <v>5418543</v>
      </c>
      <c r="H662">
        <v>1</v>
      </c>
      <c r="J662">
        <v>4148520</v>
      </c>
      <c r="K662">
        <v>1</v>
      </c>
    </row>
    <row r="663" spans="1:11" x14ac:dyDescent="0.25">
      <c r="A663">
        <v>62836073</v>
      </c>
      <c r="B663" s="1">
        <v>42927</v>
      </c>
      <c r="C663" s="2">
        <v>0.47739583333333335</v>
      </c>
      <c r="D663" s="2">
        <v>0.48168981481481482</v>
      </c>
      <c r="G663" s="4">
        <v>5440420</v>
      </c>
      <c r="H663">
        <v>1</v>
      </c>
      <c r="J663">
        <v>4150421</v>
      </c>
      <c r="K663">
        <v>1</v>
      </c>
    </row>
    <row r="664" spans="1:11" x14ac:dyDescent="0.25">
      <c r="A664">
        <v>9566647</v>
      </c>
      <c r="B664" s="1">
        <v>42927</v>
      </c>
      <c r="C664" s="2">
        <v>0.48005787037037034</v>
      </c>
      <c r="D664" s="2">
        <v>0.48971064814814813</v>
      </c>
      <c r="G664" s="4">
        <v>5446203</v>
      </c>
      <c r="H664">
        <v>1</v>
      </c>
      <c r="J664">
        <v>4174785</v>
      </c>
      <c r="K664">
        <v>1</v>
      </c>
    </row>
    <row r="665" spans="1:11" x14ac:dyDescent="0.25">
      <c r="A665">
        <v>5833452</v>
      </c>
      <c r="B665" s="1">
        <v>42927</v>
      </c>
      <c r="C665" s="2">
        <v>0.48511574074074076</v>
      </c>
      <c r="D665" s="2">
        <v>0.49502314814814813</v>
      </c>
      <c r="G665" s="4">
        <v>5448890</v>
      </c>
      <c r="H665">
        <v>1</v>
      </c>
      <c r="J665">
        <v>4176704</v>
      </c>
      <c r="K665">
        <v>1</v>
      </c>
    </row>
    <row r="666" spans="1:11" x14ac:dyDescent="0.25">
      <c r="A666">
        <v>10760583</v>
      </c>
      <c r="B666" s="1">
        <v>42927</v>
      </c>
      <c r="C666" s="2">
        <v>0.48994212962962963</v>
      </c>
      <c r="D666" s="2">
        <v>0.4914351851851852</v>
      </c>
      <c r="G666" s="4">
        <v>5464497</v>
      </c>
      <c r="H666">
        <v>1</v>
      </c>
      <c r="J666">
        <v>4176999</v>
      </c>
      <c r="K666">
        <v>1</v>
      </c>
    </row>
    <row r="667" spans="1:11" x14ac:dyDescent="0.25">
      <c r="A667">
        <v>39669014</v>
      </c>
      <c r="B667" s="1">
        <v>42927</v>
      </c>
      <c r="C667" s="2">
        <v>0.49035879629629631</v>
      </c>
      <c r="D667" s="2">
        <v>0.49082175925925925</v>
      </c>
      <c r="G667" s="4">
        <v>5465004</v>
      </c>
      <c r="H667">
        <v>1</v>
      </c>
      <c r="J667">
        <v>4187727</v>
      </c>
      <c r="K667">
        <v>1</v>
      </c>
    </row>
    <row r="668" spans="1:11" x14ac:dyDescent="0.25">
      <c r="A668">
        <v>5147651</v>
      </c>
      <c r="B668" s="1">
        <v>42927</v>
      </c>
      <c r="C668" s="2">
        <v>0.49399305555555556</v>
      </c>
      <c r="D668" s="2">
        <v>0.4959027777777778</v>
      </c>
      <c r="G668" s="4">
        <v>5487496</v>
      </c>
      <c r="H668">
        <v>1</v>
      </c>
      <c r="J668">
        <v>4191600</v>
      </c>
      <c r="K668">
        <v>1</v>
      </c>
    </row>
    <row r="669" spans="1:11" x14ac:dyDescent="0.25">
      <c r="A669">
        <v>41144838</v>
      </c>
      <c r="B669" s="1">
        <v>42927</v>
      </c>
      <c r="C669" s="2">
        <v>0.49949074074074074</v>
      </c>
      <c r="D669" s="2">
        <v>0.50931712962962961</v>
      </c>
      <c r="G669" s="4">
        <v>5489867</v>
      </c>
      <c r="H669">
        <v>1</v>
      </c>
      <c r="J669">
        <v>4195677</v>
      </c>
      <c r="K669">
        <v>1</v>
      </c>
    </row>
    <row r="670" spans="1:11" x14ac:dyDescent="0.25">
      <c r="A670">
        <v>1332513</v>
      </c>
      <c r="B670" s="1">
        <v>42927</v>
      </c>
      <c r="C670" s="2">
        <v>0.50326388888888884</v>
      </c>
      <c r="D670" s="2">
        <v>0.50407407407407412</v>
      </c>
      <c r="G670" s="4">
        <v>5492379</v>
      </c>
      <c r="H670">
        <v>2</v>
      </c>
      <c r="J670">
        <v>4203418</v>
      </c>
      <c r="K670">
        <v>1</v>
      </c>
    </row>
    <row r="671" spans="1:11" x14ac:dyDescent="0.25">
      <c r="A671">
        <v>7743548</v>
      </c>
      <c r="B671" s="1">
        <v>42927</v>
      </c>
      <c r="C671" s="2">
        <v>0.50376157407407407</v>
      </c>
      <c r="D671" s="2">
        <v>0.50907407407407412</v>
      </c>
      <c r="G671" s="4">
        <v>5505912</v>
      </c>
      <c r="H671">
        <v>2</v>
      </c>
      <c r="J671">
        <v>4221160</v>
      </c>
      <c r="K671">
        <v>1</v>
      </c>
    </row>
    <row r="672" spans="1:11" x14ac:dyDescent="0.25">
      <c r="A672">
        <v>7451541965</v>
      </c>
      <c r="B672" s="1">
        <v>42927</v>
      </c>
      <c r="C672" s="2">
        <v>0.50866898148148143</v>
      </c>
      <c r="D672" s="2">
        <v>0.51324074074074078</v>
      </c>
      <c r="G672" s="4">
        <v>5508903</v>
      </c>
      <c r="H672">
        <v>1</v>
      </c>
      <c r="J672">
        <v>4222605</v>
      </c>
      <c r="K672">
        <v>1</v>
      </c>
    </row>
    <row r="673" spans="1:11" x14ac:dyDescent="0.25">
      <c r="A673">
        <v>2109147679</v>
      </c>
      <c r="B673" s="1">
        <v>42927</v>
      </c>
      <c r="C673" s="2">
        <v>0.51282407407407404</v>
      </c>
      <c r="D673" s="2">
        <v>0.51666666666666672</v>
      </c>
      <c r="G673" s="4">
        <v>5512237</v>
      </c>
      <c r="H673">
        <v>2</v>
      </c>
      <c r="J673">
        <v>4230507</v>
      </c>
      <c r="K673">
        <v>1</v>
      </c>
    </row>
    <row r="674" spans="1:11" x14ac:dyDescent="0.25">
      <c r="A674">
        <v>5022247</v>
      </c>
      <c r="B674" s="1">
        <v>42927</v>
      </c>
      <c r="C674" s="2">
        <v>0.51854166666666668</v>
      </c>
      <c r="D674" s="2">
        <v>0.52810185185185188</v>
      </c>
      <c r="G674" s="4">
        <v>5512492</v>
      </c>
      <c r="H674">
        <v>1</v>
      </c>
      <c r="J674">
        <v>4238684</v>
      </c>
      <c r="K674">
        <v>1</v>
      </c>
    </row>
    <row r="675" spans="1:11" x14ac:dyDescent="0.25">
      <c r="A675">
        <v>2920581</v>
      </c>
      <c r="B675" s="1">
        <v>42927</v>
      </c>
      <c r="C675" s="2">
        <v>0.52399305555555553</v>
      </c>
      <c r="D675" s="2">
        <v>0.53120370370370373</v>
      </c>
      <c r="G675" s="4">
        <v>5528648</v>
      </c>
      <c r="H675">
        <v>2</v>
      </c>
      <c r="J675">
        <v>4272221</v>
      </c>
      <c r="K675">
        <v>1</v>
      </c>
    </row>
    <row r="676" spans="1:11" x14ac:dyDescent="0.25">
      <c r="A676">
        <v>7126980</v>
      </c>
      <c r="B676" s="1">
        <v>42927</v>
      </c>
      <c r="C676" s="2">
        <v>0.52592592592592591</v>
      </c>
      <c r="D676" s="2">
        <v>0.53515046296296298</v>
      </c>
      <c r="G676" s="4">
        <v>5536146</v>
      </c>
      <c r="H676">
        <v>1</v>
      </c>
      <c r="J676">
        <v>4273704</v>
      </c>
      <c r="K676">
        <v>1</v>
      </c>
    </row>
    <row r="677" spans="1:11" x14ac:dyDescent="0.25">
      <c r="A677">
        <v>54006070</v>
      </c>
      <c r="B677" s="1">
        <v>42927</v>
      </c>
      <c r="C677" s="2">
        <v>0.53164351851851854</v>
      </c>
      <c r="D677" s="2">
        <v>0.53324074074074079</v>
      </c>
      <c r="G677" s="4">
        <v>5542324</v>
      </c>
      <c r="H677">
        <v>1</v>
      </c>
      <c r="J677">
        <v>4274149</v>
      </c>
      <c r="K677">
        <v>1</v>
      </c>
    </row>
    <row r="678" spans="1:11" x14ac:dyDescent="0.25">
      <c r="A678">
        <v>8672651</v>
      </c>
      <c r="B678" s="1">
        <v>42927</v>
      </c>
      <c r="C678" s="2">
        <v>0.53401620370370373</v>
      </c>
      <c r="D678" s="2">
        <v>0.54462962962962957</v>
      </c>
      <c r="G678" s="4">
        <v>5543741</v>
      </c>
      <c r="H678">
        <v>1</v>
      </c>
      <c r="J678">
        <v>4274311</v>
      </c>
      <c r="K678">
        <v>1</v>
      </c>
    </row>
    <row r="679" spans="1:11" x14ac:dyDescent="0.25">
      <c r="A679">
        <v>54136845</v>
      </c>
      <c r="B679" s="1">
        <v>42927</v>
      </c>
      <c r="C679" s="2">
        <v>0.53920138888888891</v>
      </c>
      <c r="D679" s="2">
        <v>0.54092592592592592</v>
      </c>
      <c r="G679" s="4">
        <v>5550678</v>
      </c>
      <c r="H679">
        <v>1</v>
      </c>
      <c r="J679">
        <v>4283724</v>
      </c>
      <c r="K679">
        <v>1</v>
      </c>
    </row>
    <row r="680" spans="1:11" x14ac:dyDescent="0.25">
      <c r="A680">
        <v>5223970</v>
      </c>
      <c r="B680" s="1">
        <v>42927</v>
      </c>
      <c r="C680" s="2">
        <v>0.53920138888888891</v>
      </c>
      <c r="D680" s="2">
        <v>0.55046296296296293</v>
      </c>
      <c r="G680" s="4">
        <v>5582631</v>
      </c>
      <c r="H680">
        <v>1</v>
      </c>
      <c r="J680">
        <v>4285095</v>
      </c>
      <c r="K680">
        <v>1</v>
      </c>
    </row>
    <row r="681" spans="1:11" x14ac:dyDescent="0.25">
      <c r="A681">
        <v>4264808</v>
      </c>
      <c r="B681" s="1">
        <v>42927</v>
      </c>
      <c r="C681" s="2">
        <v>0.53950231481481481</v>
      </c>
      <c r="D681" s="2">
        <v>0.55071759259259256</v>
      </c>
      <c r="G681" s="4">
        <v>5588421</v>
      </c>
      <c r="H681">
        <v>1</v>
      </c>
      <c r="J681">
        <v>4303945</v>
      </c>
      <c r="K681">
        <v>1</v>
      </c>
    </row>
    <row r="682" spans="1:11" x14ac:dyDescent="0.25">
      <c r="A682">
        <v>5790304</v>
      </c>
      <c r="B682" s="1">
        <v>42927</v>
      </c>
      <c r="C682" s="2">
        <v>0.539525462962963</v>
      </c>
      <c r="D682" s="2">
        <v>0.54025462962962967</v>
      </c>
      <c r="G682" s="4">
        <v>5604405</v>
      </c>
      <c r="H682">
        <v>1</v>
      </c>
      <c r="J682">
        <v>4305632</v>
      </c>
      <c r="K682">
        <v>1</v>
      </c>
    </row>
    <row r="683" spans="1:11" x14ac:dyDescent="0.25">
      <c r="A683">
        <v>13484133</v>
      </c>
      <c r="B683" s="1">
        <v>42927</v>
      </c>
      <c r="C683" s="2">
        <v>0.54137731481481477</v>
      </c>
      <c r="D683" s="2">
        <v>0.54577546296296298</v>
      </c>
      <c r="G683" s="4">
        <v>5610335</v>
      </c>
      <c r="H683">
        <v>1</v>
      </c>
      <c r="J683">
        <v>4305960</v>
      </c>
      <c r="K683">
        <v>1</v>
      </c>
    </row>
    <row r="684" spans="1:11" x14ac:dyDescent="0.25">
      <c r="A684">
        <v>6269166</v>
      </c>
      <c r="B684" s="1">
        <v>42927</v>
      </c>
      <c r="C684" s="2">
        <v>0.54408564814814819</v>
      </c>
      <c r="D684" s="2">
        <v>0.55355324074074075</v>
      </c>
      <c r="G684" s="4">
        <v>5613566</v>
      </c>
      <c r="H684">
        <v>1</v>
      </c>
      <c r="J684">
        <v>4326245</v>
      </c>
      <c r="K684">
        <v>1</v>
      </c>
    </row>
    <row r="685" spans="1:11" x14ac:dyDescent="0.25">
      <c r="A685">
        <v>5089019</v>
      </c>
      <c r="B685" s="1">
        <v>42927</v>
      </c>
      <c r="C685" s="2">
        <v>0.54431712962962964</v>
      </c>
      <c r="D685" s="2">
        <v>0.54921296296296296</v>
      </c>
      <c r="G685" s="4">
        <v>5616210</v>
      </c>
      <c r="H685">
        <v>1</v>
      </c>
      <c r="J685">
        <v>4328583</v>
      </c>
      <c r="K685">
        <v>1</v>
      </c>
    </row>
    <row r="686" spans="1:11" x14ac:dyDescent="0.25">
      <c r="A686">
        <v>6994188</v>
      </c>
      <c r="B686" s="1">
        <v>42927</v>
      </c>
      <c r="C686" s="2">
        <v>0.54797453703703702</v>
      </c>
      <c r="D686" s="2">
        <v>0.55550925925925931</v>
      </c>
      <c r="G686" s="4">
        <v>5631380</v>
      </c>
      <c r="H686">
        <v>1</v>
      </c>
      <c r="J686">
        <v>4334364</v>
      </c>
      <c r="K686">
        <v>1</v>
      </c>
    </row>
    <row r="687" spans="1:11" x14ac:dyDescent="0.25">
      <c r="A687">
        <v>16883712</v>
      </c>
      <c r="B687" s="1">
        <v>42927</v>
      </c>
      <c r="C687" s="2">
        <v>0.55070601851851853</v>
      </c>
      <c r="D687" s="2">
        <v>0.55662037037037038</v>
      </c>
      <c r="G687" s="4">
        <v>5636281</v>
      </c>
      <c r="H687">
        <v>1</v>
      </c>
      <c r="J687">
        <v>4363716</v>
      </c>
      <c r="K687">
        <v>1</v>
      </c>
    </row>
    <row r="688" spans="1:11" x14ac:dyDescent="0.25">
      <c r="A688">
        <v>2781512</v>
      </c>
      <c r="B688" s="1">
        <v>42927</v>
      </c>
      <c r="C688" s="2">
        <v>0.55374999999999996</v>
      </c>
      <c r="D688" s="2">
        <v>0.56312499999999999</v>
      </c>
      <c r="G688" s="4">
        <v>5646830</v>
      </c>
      <c r="H688">
        <v>1</v>
      </c>
      <c r="J688">
        <v>4370146</v>
      </c>
      <c r="K688">
        <v>1</v>
      </c>
    </row>
    <row r="689" spans="1:11" x14ac:dyDescent="0.25">
      <c r="A689">
        <v>4273704</v>
      </c>
      <c r="B689" s="1">
        <v>42927</v>
      </c>
      <c r="C689" s="2">
        <v>0.554224537037037</v>
      </c>
      <c r="D689" s="2">
        <v>0.56221064814814814</v>
      </c>
      <c r="G689" s="4">
        <v>5672312</v>
      </c>
      <c r="H689">
        <v>1</v>
      </c>
      <c r="J689">
        <v>4371394</v>
      </c>
      <c r="K689">
        <v>1</v>
      </c>
    </row>
    <row r="690" spans="1:11" x14ac:dyDescent="0.25">
      <c r="A690">
        <v>3707498</v>
      </c>
      <c r="B690" s="1">
        <v>42927</v>
      </c>
      <c r="C690" s="2">
        <v>0.55982638888888892</v>
      </c>
      <c r="D690" s="2">
        <v>0.56802083333333331</v>
      </c>
      <c r="G690" s="4">
        <v>5687077</v>
      </c>
      <c r="H690">
        <v>1</v>
      </c>
      <c r="J690">
        <v>4376637</v>
      </c>
      <c r="K690">
        <v>1</v>
      </c>
    </row>
    <row r="691" spans="1:11" x14ac:dyDescent="0.25">
      <c r="A691">
        <v>3407358</v>
      </c>
      <c r="B691" s="1">
        <v>42927</v>
      </c>
      <c r="C691" s="2">
        <v>0.56560185185185186</v>
      </c>
      <c r="D691" s="2">
        <v>0.56677083333333333</v>
      </c>
      <c r="G691" s="4">
        <v>5687447</v>
      </c>
      <c r="H691">
        <v>1</v>
      </c>
      <c r="J691">
        <v>4379415</v>
      </c>
      <c r="K691">
        <v>1</v>
      </c>
    </row>
    <row r="692" spans="1:11" x14ac:dyDescent="0.25">
      <c r="A692">
        <v>5251861</v>
      </c>
      <c r="B692" s="1">
        <v>42927</v>
      </c>
      <c r="C692" s="2">
        <v>0.56940972222222219</v>
      </c>
      <c r="D692" s="2">
        <v>0.57149305555555552</v>
      </c>
      <c r="G692" s="4">
        <v>5696056</v>
      </c>
      <c r="H692">
        <v>2</v>
      </c>
      <c r="J692">
        <v>4379524</v>
      </c>
      <c r="K692">
        <v>1</v>
      </c>
    </row>
    <row r="693" spans="1:11" x14ac:dyDescent="0.25">
      <c r="A693">
        <v>7473070</v>
      </c>
      <c r="B693" s="1">
        <v>42927</v>
      </c>
      <c r="C693" s="2">
        <v>0.57185185185185183</v>
      </c>
      <c r="D693" s="2">
        <v>0.58304398148148151</v>
      </c>
      <c r="G693" s="4">
        <v>5713477</v>
      </c>
      <c r="H693">
        <v>1</v>
      </c>
      <c r="J693">
        <v>4389240</v>
      </c>
      <c r="K693">
        <v>1</v>
      </c>
    </row>
    <row r="694" spans="1:11" x14ac:dyDescent="0.25">
      <c r="A694">
        <v>3596504</v>
      </c>
      <c r="B694" s="1">
        <v>42927</v>
      </c>
      <c r="C694" s="2">
        <v>0.57592592592592595</v>
      </c>
      <c r="D694" s="2">
        <v>0.58302083333333332</v>
      </c>
      <c r="G694" s="4">
        <v>5725773</v>
      </c>
      <c r="H694">
        <v>1</v>
      </c>
      <c r="J694">
        <v>4404713</v>
      </c>
      <c r="K694">
        <v>1</v>
      </c>
    </row>
    <row r="695" spans="1:11" x14ac:dyDescent="0.25">
      <c r="A695">
        <v>9620982</v>
      </c>
      <c r="B695" s="1">
        <v>42927</v>
      </c>
      <c r="C695" s="2">
        <v>0.57593749999999999</v>
      </c>
      <c r="D695" s="2">
        <v>0.58310185185185182</v>
      </c>
      <c r="G695" s="4">
        <v>5726531</v>
      </c>
      <c r="H695">
        <v>1</v>
      </c>
      <c r="J695">
        <v>4405604</v>
      </c>
      <c r="K695">
        <v>1</v>
      </c>
    </row>
    <row r="696" spans="1:11" x14ac:dyDescent="0.25">
      <c r="A696">
        <v>93696449</v>
      </c>
      <c r="B696" s="1">
        <v>42927</v>
      </c>
      <c r="C696" s="2">
        <v>0.57939814814814816</v>
      </c>
      <c r="D696" s="2">
        <v>0.5795717592592593</v>
      </c>
      <c r="G696" s="4">
        <v>5730350</v>
      </c>
      <c r="H696">
        <v>1</v>
      </c>
      <c r="J696">
        <v>4412771</v>
      </c>
      <c r="K696">
        <v>1</v>
      </c>
    </row>
    <row r="697" spans="1:11" x14ac:dyDescent="0.25">
      <c r="A697">
        <v>6833658</v>
      </c>
      <c r="B697" s="1">
        <v>42927</v>
      </c>
      <c r="C697" s="2">
        <v>0.5823842592592593</v>
      </c>
      <c r="D697" s="2">
        <v>0.58479166666666671</v>
      </c>
      <c r="G697" s="4">
        <v>5741700</v>
      </c>
      <c r="H697">
        <v>1</v>
      </c>
      <c r="J697">
        <v>4419123</v>
      </c>
      <c r="K697">
        <v>1</v>
      </c>
    </row>
    <row r="698" spans="1:11" x14ac:dyDescent="0.25">
      <c r="A698">
        <v>85422307</v>
      </c>
      <c r="B698" s="1">
        <v>42927</v>
      </c>
      <c r="C698" s="2">
        <v>0.58656249999999999</v>
      </c>
      <c r="D698" s="2">
        <v>0.59008101851851846</v>
      </c>
      <c r="G698" s="4">
        <v>5744555</v>
      </c>
      <c r="H698">
        <v>1</v>
      </c>
      <c r="J698">
        <v>4424322</v>
      </c>
      <c r="K698">
        <v>1</v>
      </c>
    </row>
    <row r="699" spans="1:11" x14ac:dyDescent="0.25">
      <c r="A699">
        <v>6191682</v>
      </c>
      <c r="B699" s="1">
        <v>42927</v>
      </c>
      <c r="C699" s="2">
        <v>0.58711805555555552</v>
      </c>
      <c r="D699" s="2">
        <v>0.59739583333333335</v>
      </c>
      <c r="G699" s="4">
        <v>5744567</v>
      </c>
      <c r="H699">
        <v>1</v>
      </c>
      <c r="J699">
        <v>4429479</v>
      </c>
      <c r="K699">
        <v>1</v>
      </c>
    </row>
    <row r="700" spans="1:11" x14ac:dyDescent="0.25">
      <c r="A700">
        <v>6461167</v>
      </c>
      <c r="B700" s="1">
        <v>42927</v>
      </c>
      <c r="C700" s="2">
        <v>0.5889699074074074</v>
      </c>
      <c r="D700" s="2">
        <v>0.59409722222222228</v>
      </c>
      <c r="G700" s="4">
        <v>5750549</v>
      </c>
      <c r="H700">
        <v>1</v>
      </c>
      <c r="J700">
        <v>4445684</v>
      </c>
      <c r="K700">
        <v>1</v>
      </c>
    </row>
    <row r="701" spans="1:11" x14ac:dyDescent="0.25">
      <c r="A701">
        <v>8270097</v>
      </c>
      <c r="B701" s="1">
        <v>42927</v>
      </c>
      <c r="C701" s="2">
        <v>0.5900347222222222</v>
      </c>
      <c r="D701" s="2">
        <v>0.59217592592592594</v>
      </c>
      <c r="G701" s="4">
        <v>5750819</v>
      </c>
      <c r="H701">
        <v>1</v>
      </c>
      <c r="J701">
        <v>4452201</v>
      </c>
      <c r="K701">
        <v>1</v>
      </c>
    </row>
    <row r="702" spans="1:11" x14ac:dyDescent="0.25">
      <c r="A702">
        <v>8982137</v>
      </c>
      <c r="B702" s="1">
        <v>42927</v>
      </c>
      <c r="C702" s="2">
        <v>0.59010416666666665</v>
      </c>
      <c r="D702" s="2">
        <v>0.59864583333333332</v>
      </c>
      <c r="G702" s="4">
        <v>5758962</v>
      </c>
      <c r="H702">
        <v>1</v>
      </c>
      <c r="J702">
        <v>4454837</v>
      </c>
      <c r="K702">
        <v>1</v>
      </c>
    </row>
    <row r="703" spans="1:11" x14ac:dyDescent="0.25">
      <c r="A703">
        <v>47677051</v>
      </c>
      <c r="B703" s="1">
        <v>42927</v>
      </c>
      <c r="C703" s="2">
        <v>0.59370370370370373</v>
      </c>
      <c r="D703" s="2">
        <v>0.60396990740740741</v>
      </c>
      <c r="G703" s="4">
        <v>5759409</v>
      </c>
      <c r="H703">
        <v>1</v>
      </c>
      <c r="J703">
        <v>4458725</v>
      </c>
      <c r="K703">
        <v>1</v>
      </c>
    </row>
    <row r="704" spans="1:11" x14ac:dyDescent="0.25">
      <c r="A704">
        <v>76139570</v>
      </c>
      <c r="B704" s="1">
        <v>42927</v>
      </c>
      <c r="C704" s="2">
        <v>0.59593750000000001</v>
      </c>
      <c r="D704" s="2">
        <v>0.6004976851851852</v>
      </c>
      <c r="G704" s="4">
        <v>5786740</v>
      </c>
      <c r="H704">
        <v>1</v>
      </c>
      <c r="J704">
        <v>4471828</v>
      </c>
      <c r="K704">
        <v>1</v>
      </c>
    </row>
    <row r="705" spans="1:11" x14ac:dyDescent="0.25">
      <c r="A705">
        <v>62016185</v>
      </c>
      <c r="B705" s="1">
        <v>42927</v>
      </c>
      <c r="C705" s="2">
        <v>0.60037037037037033</v>
      </c>
      <c r="D705" s="2">
        <v>0.60719907407407403</v>
      </c>
      <c r="G705" s="4">
        <v>5788783</v>
      </c>
      <c r="H705">
        <v>1</v>
      </c>
      <c r="J705">
        <v>4483996</v>
      </c>
      <c r="K705">
        <v>1</v>
      </c>
    </row>
    <row r="706" spans="1:11" x14ac:dyDescent="0.25">
      <c r="A706">
        <v>93696449</v>
      </c>
      <c r="B706" s="1">
        <v>42927</v>
      </c>
      <c r="C706" s="2">
        <v>0.60077546296296291</v>
      </c>
      <c r="D706" s="2">
        <v>0.60853009259259261</v>
      </c>
      <c r="G706" s="4">
        <v>5790304</v>
      </c>
      <c r="H706">
        <v>4</v>
      </c>
      <c r="J706">
        <v>4497624</v>
      </c>
      <c r="K706">
        <v>1</v>
      </c>
    </row>
    <row r="707" spans="1:11" x14ac:dyDescent="0.25">
      <c r="A707">
        <v>7914439</v>
      </c>
      <c r="B707" s="1">
        <v>42927</v>
      </c>
      <c r="C707" s="2">
        <v>0.60320601851851852</v>
      </c>
      <c r="D707" s="2">
        <v>0.61459490740740741</v>
      </c>
      <c r="G707" s="4">
        <v>5809293</v>
      </c>
      <c r="H707">
        <v>1</v>
      </c>
      <c r="J707">
        <v>4501726</v>
      </c>
      <c r="K707">
        <v>1</v>
      </c>
    </row>
    <row r="708" spans="1:11" x14ac:dyDescent="0.25">
      <c r="A708">
        <v>38047574</v>
      </c>
      <c r="B708" s="1">
        <v>42927</v>
      </c>
      <c r="C708" s="2">
        <v>0.60721064814814818</v>
      </c>
      <c r="D708" s="2">
        <v>0.61490740740740746</v>
      </c>
      <c r="G708" s="4">
        <v>5815339</v>
      </c>
      <c r="H708">
        <v>1</v>
      </c>
      <c r="J708">
        <v>4501823</v>
      </c>
      <c r="K708">
        <v>1</v>
      </c>
    </row>
    <row r="709" spans="1:11" x14ac:dyDescent="0.25">
      <c r="A709">
        <v>3184339</v>
      </c>
      <c r="B709" s="1">
        <v>42927</v>
      </c>
      <c r="C709" s="2">
        <v>0.61179398148148145</v>
      </c>
      <c r="D709" s="2">
        <v>0.61260416666666662</v>
      </c>
      <c r="G709" s="4">
        <v>5816822</v>
      </c>
      <c r="H709">
        <v>3</v>
      </c>
      <c r="J709">
        <v>4509550</v>
      </c>
      <c r="K709">
        <v>1</v>
      </c>
    </row>
    <row r="710" spans="1:11" x14ac:dyDescent="0.25">
      <c r="A710">
        <v>8126744698</v>
      </c>
      <c r="B710" s="1">
        <v>42927</v>
      </c>
      <c r="C710" s="2">
        <v>0.61664351851851851</v>
      </c>
      <c r="D710" s="2">
        <v>0.61856481481481485</v>
      </c>
      <c r="G710" s="4">
        <v>5822881</v>
      </c>
      <c r="H710">
        <v>1</v>
      </c>
      <c r="J710">
        <v>4520226</v>
      </c>
      <c r="K710">
        <v>1</v>
      </c>
    </row>
    <row r="711" spans="1:11" x14ac:dyDescent="0.25">
      <c r="A711">
        <v>52391912</v>
      </c>
      <c r="B711" s="1">
        <v>42927</v>
      </c>
      <c r="C711" s="2">
        <v>0.62067129629629625</v>
      </c>
      <c r="D711" s="2">
        <v>0.62475694444444441</v>
      </c>
      <c r="G711" s="4">
        <v>5829504</v>
      </c>
      <c r="H711">
        <v>1</v>
      </c>
      <c r="J711">
        <v>4520463</v>
      </c>
      <c r="K711">
        <v>1</v>
      </c>
    </row>
    <row r="712" spans="1:11" x14ac:dyDescent="0.25">
      <c r="A712">
        <v>1223943</v>
      </c>
      <c r="B712" s="1">
        <v>42927</v>
      </c>
      <c r="C712" s="2">
        <v>0.6252199074074074</v>
      </c>
      <c r="D712" s="2">
        <v>0.63226851851851851</v>
      </c>
      <c r="G712" s="4">
        <v>5833452</v>
      </c>
      <c r="H712">
        <v>2</v>
      </c>
      <c r="J712">
        <v>4526057</v>
      </c>
      <c r="K712">
        <v>1</v>
      </c>
    </row>
    <row r="713" spans="1:11" x14ac:dyDescent="0.25">
      <c r="A713">
        <v>14201334</v>
      </c>
      <c r="B713" s="1">
        <v>42928</v>
      </c>
      <c r="C713" s="2">
        <v>0.33568287037037037</v>
      </c>
      <c r="D713" s="2">
        <v>0.34125</v>
      </c>
      <c r="G713" s="4">
        <v>5835972</v>
      </c>
      <c r="H713">
        <v>1</v>
      </c>
      <c r="J713">
        <v>4529192</v>
      </c>
      <c r="K713">
        <v>1</v>
      </c>
    </row>
    <row r="714" spans="1:11" x14ac:dyDescent="0.25">
      <c r="A714">
        <v>1972250241</v>
      </c>
      <c r="B714" s="1">
        <v>42928</v>
      </c>
      <c r="C714" s="2">
        <v>0.33716435185185184</v>
      </c>
      <c r="D714" s="2">
        <v>0.33778935185185183</v>
      </c>
      <c r="G714" s="4">
        <v>5850216</v>
      </c>
      <c r="H714">
        <v>1</v>
      </c>
      <c r="J714">
        <v>4535172</v>
      </c>
      <c r="K714">
        <v>1</v>
      </c>
    </row>
    <row r="715" spans="1:11" x14ac:dyDescent="0.25">
      <c r="A715">
        <v>3028093</v>
      </c>
      <c r="B715" s="1">
        <v>42928</v>
      </c>
      <c r="C715" s="2">
        <v>0.34185185185185185</v>
      </c>
      <c r="D715" s="2">
        <v>0.34375</v>
      </c>
      <c r="G715" s="4">
        <v>5854377</v>
      </c>
      <c r="H715">
        <v>1</v>
      </c>
      <c r="J715">
        <v>4566750</v>
      </c>
      <c r="K715">
        <v>1</v>
      </c>
    </row>
    <row r="716" spans="1:11" x14ac:dyDescent="0.25">
      <c r="A716">
        <v>27487200</v>
      </c>
      <c r="B716" s="1">
        <v>42928</v>
      </c>
      <c r="C716" s="2">
        <v>0.34646990740740741</v>
      </c>
      <c r="D716" s="2">
        <v>0.3550462962962963</v>
      </c>
      <c r="G716" s="4">
        <v>5856822</v>
      </c>
      <c r="H716">
        <v>1</v>
      </c>
      <c r="J716">
        <v>4575865</v>
      </c>
      <c r="K716">
        <v>1</v>
      </c>
    </row>
    <row r="717" spans="1:11" x14ac:dyDescent="0.25">
      <c r="A717">
        <v>7377702</v>
      </c>
      <c r="B717" s="1">
        <v>42928</v>
      </c>
      <c r="C717" s="2">
        <v>0.34722222222222221</v>
      </c>
      <c r="D717" s="2">
        <v>0.3532986111111111</v>
      </c>
      <c r="G717" s="4">
        <v>5859235</v>
      </c>
      <c r="H717">
        <v>1</v>
      </c>
      <c r="J717">
        <v>4577789</v>
      </c>
      <c r="K717">
        <v>1</v>
      </c>
    </row>
    <row r="718" spans="1:11" x14ac:dyDescent="0.25">
      <c r="A718">
        <v>9294571</v>
      </c>
      <c r="B718" s="1">
        <v>42928</v>
      </c>
      <c r="C718" s="2">
        <v>0.35115740740740742</v>
      </c>
      <c r="D718" s="2">
        <v>0.35447916666666668</v>
      </c>
      <c r="G718" s="4">
        <v>5881130</v>
      </c>
      <c r="H718">
        <v>1</v>
      </c>
      <c r="J718">
        <v>4581715</v>
      </c>
      <c r="K718">
        <v>1</v>
      </c>
    </row>
    <row r="719" spans="1:11" x14ac:dyDescent="0.25">
      <c r="A719">
        <v>6865106</v>
      </c>
      <c r="B719" s="1">
        <v>42928</v>
      </c>
      <c r="C719" s="2">
        <v>0.35636574074074073</v>
      </c>
      <c r="D719" s="2">
        <v>0.36511574074074077</v>
      </c>
      <c r="G719" s="4">
        <v>5883714</v>
      </c>
      <c r="H719">
        <v>1</v>
      </c>
      <c r="J719">
        <v>4599598</v>
      </c>
      <c r="K719">
        <v>1</v>
      </c>
    </row>
    <row r="720" spans="1:11" x14ac:dyDescent="0.25">
      <c r="A720">
        <v>62086163</v>
      </c>
      <c r="B720" s="1">
        <v>42928</v>
      </c>
      <c r="C720" s="2">
        <v>0.36060185185185184</v>
      </c>
      <c r="D720" s="2">
        <v>0.36312499999999998</v>
      </c>
      <c r="G720" s="4">
        <v>5893512</v>
      </c>
      <c r="H720">
        <v>1</v>
      </c>
      <c r="J720">
        <v>4606501</v>
      </c>
      <c r="K720">
        <v>1</v>
      </c>
    </row>
    <row r="721" spans="1:11" x14ac:dyDescent="0.25">
      <c r="A721">
        <v>6367284</v>
      </c>
      <c r="B721" s="1">
        <v>42928</v>
      </c>
      <c r="C721" s="2">
        <v>0.36519675925925926</v>
      </c>
      <c r="D721" s="2">
        <v>0.36751157407407409</v>
      </c>
      <c r="G721" s="4">
        <v>5894865</v>
      </c>
      <c r="H721">
        <v>1</v>
      </c>
      <c r="J721">
        <v>4614100</v>
      </c>
      <c r="K721">
        <v>1</v>
      </c>
    </row>
    <row r="722" spans="1:11" x14ac:dyDescent="0.25">
      <c r="A722">
        <v>1811630</v>
      </c>
      <c r="B722" s="1">
        <v>42928</v>
      </c>
      <c r="C722" s="2">
        <v>0.36787037037037035</v>
      </c>
      <c r="D722" s="2">
        <v>0.36855324074074075</v>
      </c>
      <c r="G722" s="4">
        <v>5900506</v>
      </c>
      <c r="H722">
        <v>1</v>
      </c>
      <c r="J722">
        <v>4636713</v>
      </c>
      <c r="K722">
        <v>1</v>
      </c>
    </row>
    <row r="723" spans="1:11" x14ac:dyDescent="0.25">
      <c r="A723">
        <v>9346036178</v>
      </c>
      <c r="B723" s="1">
        <v>42928</v>
      </c>
      <c r="C723" s="2">
        <v>0.37017361111111113</v>
      </c>
      <c r="D723" s="2">
        <v>0.38035879629629632</v>
      </c>
      <c r="G723" s="4">
        <v>5900664</v>
      </c>
      <c r="H723">
        <v>1</v>
      </c>
      <c r="J723">
        <v>4659808</v>
      </c>
      <c r="K723">
        <v>1</v>
      </c>
    </row>
    <row r="724" spans="1:11" x14ac:dyDescent="0.25">
      <c r="A724">
        <v>1138033</v>
      </c>
      <c r="B724" s="1">
        <v>42928</v>
      </c>
      <c r="C724" s="2">
        <v>0.37504629629629632</v>
      </c>
      <c r="D724" s="2">
        <v>0.37731481481481483</v>
      </c>
      <c r="G724" s="4">
        <v>5912710</v>
      </c>
      <c r="H724">
        <v>1</v>
      </c>
      <c r="J724">
        <v>4661635</v>
      </c>
      <c r="K724">
        <v>1</v>
      </c>
    </row>
    <row r="725" spans="1:11" x14ac:dyDescent="0.25">
      <c r="A725">
        <v>2114812</v>
      </c>
      <c r="B725" s="1">
        <v>42928</v>
      </c>
      <c r="C725" s="2">
        <v>0.37615740740740738</v>
      </c>
      <c r="D725" s="2">
        <v>0.38158564814814816</v>
      </c>
      <c r="G725" s="4">
        <v>5913547</v>
      </c>
      <c r="H725">
        <v>1</v>
      </c>
      <c r="J725">
        <v>4681236</v>
      </c>
      <c r="K725">
        <v>1</v>
      </c>
    </row>
    <row r="726" spans="1:11" x14ac:dyDescent="0.25">
      <c r="A726">
        <v>4195677</v>
      </c>
      <c r="B726" s="1">
        <v>42928</v>
      </c>
      <c r="C726" s="2">
        <v>0.37644675925925924</v>
      </c>
      <c r="D726" s="2">
        <v>0.38192129629629629</v>
      </c>
      <c r="G726" s="4">
        <v>5913571</v>
      </c>
      <c r="H726">
        <v>1</v>
      </c>
      <c r="J726">
        <v>4697138</v>
      </c>
      <c r="K726">
        <v>1</v>
      </c>
    </row>
    <row r="727" spans="1:11" x14ac:dyDescent="0.25">
      <c r="A727">
        <v>3493348</v>
      </c>
      <c r="B727" s="1">
        <v>42928</v>
      </c>
      <c r="C727" s="2">
        <v>0.37934027777777779</v>
      </c>
      <c r="D727" s="2">
        <v>0.38925925925925925</v>
      </c>
      <c r="G727" s="4">
        <v>5926011</v>
      </c>
      <c r="H727">
        <v>1</v>
      </c>
      <c r="J727">
        <v>4698731</v>
      </c>
      <c r="K727">
        <v>1</v>
      </c>
    </row>
    <row r="728" spans="1:11" x14ac:dyDescent="0.25">
      <c r="A728">
        <v>6005020</v>
      </c>
      <c r="B728" s="1">
        <v>42928</v>
      </c>
      <c r="C728" s="2">
        <v>0.38046296296296295</v>
      </c>
      <c r="D728" s="2">
        <v>0.38739583333333333</v>
      </c>
      <c r="G728" s="4">
        <v>5952625</v>
      </c>
      <c r="H728">
        <v>1</v>
      </c>
      <c r="J728">
        <v>4702334</v>
      </c>
      <c r="K728">
        <v>1</v>
      </c>
    </row>
    <row r="729" spans="1:11" x14ac:dyDescent="0.25">
      <c r="A729">
        <v>7421868</v>
      </c>
      <c r="B729" s="1">
        <v>42928</v>
      </c>
      <c r="C729" s="2">
        <v>0.38292824074074072</v>
      </c>
      <c r="D729" s="2">
        <v>0.38613425925925926</v>
      </c>
      <c r="G729" s="4">
        <v>5960122</v>
      </c>
      <c r="H729">
        <v>1</v>
      </c>
      <c r="J729">
        <v>4703748</v>
      </c>
      <c r="K729">
        <v>1</v>
      </c>
    </row>
    <row r="730" spans="1:11" x14ac:dyDescent="0.25">
      <c r="A730">
        <v>2227803</v>
      </c>
      <c r="B730" s="1">
        <v>42928</v>
      </c>
      <c r="C730" s="2">
        <v>0.38317129629629632</v>
      </c>
      <c r="D730" s="2">
        <v>0.39157407407407407</v>
      </c>
      <c r="G730" s="4">
        <v>5970183</v>
      </c>
      <c r="H730">
        <v>1</v>
      </c>
      <c r="J730">
        <v>4714815</v>
      </c>
      <c r="K730">
        <v>1</v>
      </c>
    </row>
    <row r="731" spans="1:11" x14ac:dyDescent="0.25">
      <c r="A731">
        <v>4007464</v>
      </c>
      <c r="B731" s="1">
        <v>42928</v>
      </c>
      <c r="C731" s="2">
        <v>0.38767361111111109</v>
      </c>
      <c r="D731" s="2">
        <v>0.38848379629629631</v>
      </c>
      <c r="G731" s="4">
        <v>5980925</v>
      </c>
      <c r="H731">
        <v>1</v>
      </c>
      <c r="J731">
        <v>4720934</v>
      </c>
      <c r="K731">
        <v>1</v>
      </c>
    </row>
    <row r="732" spans="1:11" x14ac:dyDescent="0.25">
      <c r="A732">
        <v>54713807</v>
      </c>
      <c r="B732" s="1">
        <v>42928</v>
      </c>
      <c r="C732" s="2">
        <v>0.38968750000000002</v>
      </c>
      <c r="D732" s="2">
        <v>0.39152777777777775</v>
      </c>
      <c r="G732" s="4">
        <v>5983034</v>
      </c>
      <c r="H732">
        <v>1</v>
      </c>
      <c r="J732">
        <v>4726561</v>
      </c>
      <c r="K732">
        <v>1</v>
      </c>
    </row>
    <row r="733" spans="1:11" x14ac:dyDescent="0.25">
      <c r="A733">
        <v>7097883</v>
      </c>
      <c r="B733" s="1">
        <v>42928</v>
      </c>
      <c r="C733" s="2">
        <v>0.39206018518518521</v>
      </c>
      <c r="D733" s="2">
        <v>0.39436342592592594</v>
      </c>
      <c r="G733" s="4">
        <v>5984039</v>
      </c>
      <c r="H733">
        <v>1</v>
      </c>
      <c r="J733">
        <v>4736016</v>
      </c>
      <c r="K733">
        <v>1</v>
      </c>
    </row>
    <row r="734" spans="1:11" x14ac:dyDescent="0.25">
      <c r="A734">
        <v>48630026</v>
      </c>
      <c r="B734" s="1">
        <v>42928</v>
      </c>
      <c r="C734" s="2">
        <v>0.39709490740740738</v>
      </c>
      <c r="D734" s="2">
        <v>0.40651620370370373</v>
      </c>
      <c r="G734" s="4">
        <v>5991516</v>
      </c>
      <c r="H734">
        <v>1</v>
      </c>
      <c r="J734">
        <v>4759206</v>
      </c>
      <c r="K734">
        <v>1</v>
      </c>
    </row>
    <row r="735" spans="1:11" x14ac:dyDescent="0.25">
      <c r="A735">
        <v>1279245</v>
      </c>
      <c r="B735" s="1">
        <v>42928</v>
      </c>
      <c r="C735" s="2">
        <v>0.40247685185185184</v>
      </c>
      <c r="D735" s="2">
        <v>0.40831018518518519</v>
      </c>
      <c r="G735" s="4">
        <v>5997385</v>
      </c>
      <c r="H735">
        <v>1</v>
      </c>
      <c r="J735">
        <v>4767842</v>
      </c>
      <c r="K735">
        <v>1</v>
      </c>
    </row>
    <row r="736" spans="1:11" x14ac:dyDescent="0.25">
      <c r="A736">
        <v>2571251</v>
      </c>
      <c r="B736" s="1">
        <v>42928</v>
      </c>
      <c r="C736" s="2">
        <v>0.40822916666666664</v>
      </c>
      <c r="D736" s="2">
        <v>0.41586805555555556</v>
      </c>
      <c r="G736" s="4">
        <v>6005020</v>
      </c>
      <c r="H736">
        <v>1</v>
      </c>
      <c r="J736">
        <v>4774889</v>
      </c>
      <c r="K736">
        <v>1</v>
      </c>
    </row>
    <row r="737" spans="1:11" x14ac:dyDescent="0.25">
      <c r="A737">
        <v>9566647</v>
      </c>
      <c r="B737" s="1">
        <v>42928</v>
      </c>
      <c r="C737" s="2">
        <v>0.40881944444444446</v>
      </c>
      <c r="D737" s="2">
        <v>0.40950231481481481</v>
      </c>
      <c r="G737" s="4">
        <v>6005355</v>
      </c>
      <c r="H737">
        <v>1</v>
      </c>
      <c r="J737">
        <v>4785864</v>
      </c>
      <c r="K737">
        <v>1</v>
      </c>
    </row>
    <row r="738" spans="1:11" x14ac:dyDescent="0.25">
      <c r="A738">
        <v>1454555</v>
      </c>
      <c r="B738" s="1">
        <v>42928</v>
      </c>
      <c r="C738" s="2">
        <v>0.41078703703703706</v>
      </c>
      <c r="D738" s="2">
        <v>0.41078703703703706</v>
      </c>
      <c r="G738" s="4">
        <v>6006309</v>
      </c>
      <c r="H738">
        <v>1</v>
      </c>
      <c r="J738">
        <v>4787793</v>
      </c>
      <c r="K738">
        <v>1</v>
      </c>
    </row>
    <row r="739" spans="1:11" x14ac:dyDescent="0.25">
      <c r="A739">
        <v>21996267</v>
      </c>
      <c r="B739" s="1">
        <v>42928</v>
      </c>
      <c r="C739" s="2">
        <v>0.41218749999999998</v>
      </c>
      <c r="D739" s="2">
        <v>0.41280092592592593</v>
      </c>
      <c r="G739" s="4">
        <v>6009110</v>
      </c>
      <c r="H739">
        <v>1</v>
      </c>
      <c r="J739">
        <v>4791902</v>
      </c>
      <c r="K739">
        <v>1</v>
      </c>
    </row>
    <row r="740" spans="1:11" x14ac:dyDescent="0.25">
      <c r="A740">
        <v>8429072</v>
      </c>
      <c r="B740" s="1">
        <v>42928</v>
      </c>
      <c r="C740" s="2">
        <v>0.41414351851851849</v>
      </c>
      <c r="D740" s="2">
        <v>0.42015046296296299</v>
      </c>
      <c r="G740" s="4">
        <v>6013508</v>
      </c>
      <c r="H740">
        <v>1</v>
      </c>
      <c r="J740">
        <v>4824250</v>
      </c>
      <c r="K740">
        <v>1</v>
      </c>
    </row>
    <row r="741" spans="1:11" x14ac:dyDescent="0.25">
      <c r="A741">
        <v>9815754</v>
      </c>
      <c r="B741" s="1">
        <v>42928</v>
      </c>
      <c r="C741" s="2">
        <v>0.41853009259259261</v>
      </c>
      <c r="D741" s="2">
        <v>0.42037037037037039</v>
      </c>
      <c r="G741" s="4">
        <v>6018613</v>
      </c>
      <c r="H741">
        <v>1</v>
      </c>
      <c r="J741">
        <v>4824267</v>
      </c>
      <c r="K741">
        <v>1</v>
      </c>
    </row>
    <row r="742" spans="1:11" x14ac:dyDescent="0.25">
      <c r="A742">
        <v>2434652</v>
      </c>
      <c r="B742" s="1">
        <v>42928</v>
      </c>
      <c r="C742" s="2">
        <v>0.42370370370370369</v>
      </c>
      <c r="D742" s="2">
        <v>0.43412037037037038</v>
      </c>
      <c r="G742" s="4">
        <v>6021417</v>
      </c>
      <c r="H742">
        <v>1</v>
      </c>
      <c r="J742">
        <v>4824710</v>
      </c>
      <c r="K742">
        <v>1</v>
      </c>
    </row>
    <row r="743" spans="1:11" x14ac:dyDescent="0.25">
      <c r="A743">
        <v>4939683</v>
      </c>
      <c r="B743" s="1">
        <v>42928</v>
      </c>
      <c r="C743" s="2">
        <v>0.42650462962962965</v>
      </c>
      <c r="D743" s="2">
        <v>0.43417824074074074</v>
      </c>
      <c r="G743" s="4">
        <v>6023049</v>
      </c>
      <c r="H743">
        <v>1</v>
      </c>
      <c r="J743">
        <v>4825302</v>
      </c>
      <c r="K743">
        <v>1</v>
      </c>
    </row>
    <row r="744" spans="1:11" x14ac:dyDescent="0.25">
      <c r="A744">
        <v>6821027</v>
      </c>
      <c r="B744" s="1">
        <v>42928</v>
      </c>
      <c r="C744" s="2">
        <v>0.42766203703703703</v>
      </c>
      <c r="D744" s="2">
        <v>0.43533564814814812</v>
      </c>
      <c r="G744" s="4">
        <v>6024447</v>
      </c>
      <c r="H744">
        <v>1</v>
      </c>
      <c r="J744">
        <v>4843076</v>
      </c>
      <c r="K744">
        <v>1</v>
      </c>
    </row>
    <row r="745" spans="1:11" x14ac:dyDescent="0.25">
      <c r="A745">
        <v>3253368</v>
      </c>
      <c r="B745" s="1">
        <v>42928</v>
      </c>
      <c r="C745" s="2">
        <v>0.43041666666666667</v>
      </c>
      <c r="D745" s="2">
        <v>0.43164351851851851</v>
      </c>
      <c r="G745" s="4">
        <v>6026397</v>
      </c>
      <c r="H745">
        <v>1</v>
      </c>
      <c r="J745">
        <v>4844054</v>
      </c>
      <c r="K745">
        <v>1</v>
      </c>
    </row>
    <row r="746" spans="1:11" x14ac:dyDescent="0.25">
      <c r="A746">
        <v>3505978</v>
      </c>
      <c r="B746" s="1">
        <v>42928</v>
      </c>
      <c r="C746" s="2">
        <v>0.43381944444444442</v>
      </c>
      <c r="D746" s="2">
        <v>0.44515046296296296</v>
      </c>
      <c r="G746" s="4">
        <v>6027120</v>
      </c>
      <c r="H746">
        <v>1</v>
      </c>
      <c r="J746">
        <v>4845362</v>
      </c>
      <c r="K746">
        <v>1</v>
      </c>
    </row>
    <row r="747" spans="1:11" x14ac:dyDescent="0.25">
      <c r="A747">
        <v>91743317</v>
      </c>
      <c r="B747" s="1">
        <v>42928</v>
      </c>
      <c r="C747" s="2">
        <v>0.43717592592592591</v>
      </c>
      <c r="D747" s="2">
        <v>0.44695601851851852</v>
      </c>
      <c r="G747" s="4">
        <v>6045882</v>
      </c>
      <c r="H747">
        <v>1</v>
      </c>
      <c r="J747">
        <v>4848864</v>
      </c>
      <c r="K747">
        <v>1</v>
      </c>
    </row>
    <row r="748" spans="1:11" x14ac:dyDescent="0.25">
      <c r="A748">
        <v>5104536</v>
      </c>
      <c r="B748" s="1">
        <v>42928</v>
      </c>
      <c r="C748" s="2">
        <v>0.44146990740740738</v>
      </c>
      <c r="D748" s="2">
        <v>0.44412037037037039</v>
      </c>
      <c r="G748" s="4">
        <v>6047761</v>
      </c>
      <c r="H748">
        <v>1</v>
      </c>
      <c r="J748">
        <v>4852863</v>
      </c>
      <c r="K748">
        <v>1</v>
      </c>
    </row>
    <row r="749" spans="1:11" x14ac:dyDescent="0.25">
      <c r="A749">
        <v>7353916</v>
      </c>
      <c r="B749" s="1">
        <v>42928</v>
      </c>
      <c r="C749" s="2">
        <v>0.44663194444444443</v>
      </c>
      <c r="D749" s="2">
        <v>0.45378472222222221</v>
      </c>
      <c r="G749" s="4">
        <v>6050344</v>
      </c>
      <c r="H749">
        <v>1</v>
      </c>
      <c r="J749">
        <v>4853153</v>
      </c>
      <c r="K749">
        <v>1</v>
      </c>
    </row>
    <row r="750" spans="1:11" x14ac:dyDescent="0.25">
      <c r="A750">
        <v>4412771</v>
      </c>
      <c r="B750" s="1">
        <v>42928</v>
      </c>
      <c r="C750" s="2">
        <v>0.44809027777777777</v>
      </c>
      <c r="D750" s="2">
        <v>0.45256944444444447</v>
      </c>
      <c r="G750" s="4">
        <v>6050570</v>
      </c>
      <c r="H750">
        <v>1</v>
      </c>
      <c r="J750">
        <v>4857453</v>
      </c>
      <c r="K750">
        <v>1</v>
      </c>
    </row>
    <row r="751" spans="1:11" x14ac:dyDescent="0.25">
      <c r="A751">
        <v>6709939</v>
      </c>
      <c r="B751" s="1">
        <v>42928</v>
      </c>
      <c r="C751" s="2">
        <v>0.44817129629629632</v>
      </c>
      <c r="D751" s="2">
        <v>0.4506134259259259</v>
      </c>
      <c r="G751" s="4">
        <v>6051341</v>
      </c>
      <c r="H751">
        <v>1</v>
      </c>
      <c r="J751">
        <v>4860618</v>
      </c>
      <c r="K751">
        <v>1</v>
      </c>
    </row>
    <row r="752" spans="1:11" x14ac:dyDescent="0.25">
      <c r="A752">
        <v>7891185</v>
      </c>
      <c r="B752" s="1">
        <v>42928</v>
      </c>
      <c r="C752" s="2">
        <v>0.45010416666666669</v>
      </c>
      <c r="D752" s="2">
        <v>0.46153935185185185</v>
      </c>
      <c r="G752" s="4">
        <v>6055986</v>
      </c>
      <c r="H752">
        <v>1</v>
      </c>
      <c r="J752">
        <v>4873703</v>
      </c>
      <c r="K752">
        <v>1</v>
      </c>
    </row>
    <row r="753" spans="1:11" x14ac:dyDescent="0.25">
      <c r="A753">
        <v>90417363</v>
      </c>
      <c r="B753" s="1">
        <v>42928</v>
      </c>
      <c r="C753" s="2">
        <v>0.45504629629629628</v>
      </c>
      <c r="D753" s="2">
        <v>0.4607175925925926</v>
      </c>
      <c r="G753" s="4">
        <v>6056372</v>
      </c>
      <c r="H753">
        <v>1</v>
      </c>
      <c r="J753">
        <v>4895290</v>
      </c>
      <c r="K753">
        <v>1</v>
      </c>
    </row>
    <row r="754" spans="1:11" x14ac:dyDescent="0.25">
      <c r="A754">
        <v>4929499</v>
      </c>
      <c r="B754" s="1">
        <v>42928</v>
      </c>
      <c r="C754" s="2">
        <v>0.45673611111111112</v>
      </c>
      <c r="D754" s="2">
        <v>0.4586574074074074</v>
      </c>
      <c r="G754" s="4">
        <v>6060835</v>
      </c>
      <c r="H754">
        <v>2</v>
      </c>
      <c r="J754">
        <v>4901642</v>
      </c>
      <c r="K754">
        <v>1</v>
      </c>
    </row>
    <row r="755" spans="1:11" x14ac:dyDescent="0.25">
      <c r="A755">
        <v>3824371</v>
      </c>
      <c r="B755" s="1">
        <v>42928</v>
      </c>
      <c r="C755" s="2">
        <v>0.46217592592592593</v>
      </c>
      <c r="D755" s="2">
        <v>0.47150462962962963</v>
      </c>
      <c r="G755" s="4">
        <v>6062869</v>
      </c>
      <c r="H755">
        <v>1</v>
      </c>
      <c r="J755">
        <v>4911005</v>
      </c>
      <c r="K755">
        <v>1</v>
      </c>
    </row>
    <row r="756" spans="1:11" x14ac:dyDescent="0.25">
      <c r="A756">
        <v>1119740</v>
      </c>
      <c r="B756" s="1">
        <v>42928</v>
      </c>
      <c r="C756" s="2">
        <v>0.46663194444444445</v>
      </c>
      <c r="D756" s="2">
        <v>0.47532407407407407</v>
      </c>
      <c r="G756" s="4">
        <v>6068132</v>
      </c>
      <c r="H756">
        <v>2</v>
      </c>
      <c r="J756">
        <v>4923459</v>
      </c>
      <c r="K756">
        <v>1</v>
      </c>
    </row>
    <row r="757" spans="1:11" x14ac:dyDescent="0.25">
      <c r="A757">
        <v>1219073</v>
      </c>
      <c r="B757" s="1">
        <v>42928</v>
      </c>
      <c r="C757" s="2">
        <v>0.46870370370370368</v>
      </c>
      <c r="D757" s="2">
        <v>0.47320601851851851</v>
      </c>
      <c r="G757" s="4">
        <v>6070136</v>
      </c>
      <c r="H757">
        <v>1</v>
      </c>
      <c r="J757">
        <v>4925279</v>
      </c>
      <c r="K757">
        <v>1</v>
      </c>
    </row>
    <row r="758" spans="1:11" x14ac:dyDescent="0.25">
      <c r="A758">
        <v>87702896</v>
      </c>
      <c r="B758" s="1">
        <v>42928</v>
      </c>
      <c r="C758" s="2">
        <v>0.47358796296296296</v>
      </c>
      <c r="D758" s="2">
        <v>0.47878472222222224</v>
      </c>
      <c r="G758" s="4">
        <v>6070329</v>
      </c>
      <c r="H758">
        <v>1</v>
      </c>
      <c r="J758">
        <v>4927402</v>
      </c>
      <c r="K758">
        <v>1</v>
      </c>
    </row>
    <row r="759" spans="1:11" x14ac:dyDescent="0.25">
      <c r="A759">
        <v>94197168</v>
      </c>
      <c r="B759" s="1">
        <v>42928</v>
      </c>
      <c r="C759" s="2">
        <v>0.47819444444444442</v>
      </c>
      <c r="D759" s="2">
        <v>0.48442129629629632</v>
      </c>
      <c r="G759" s="4">
        <v>6087301</v>
      </c>
      <c r="H759">
        <v>1</v>
      </c>
      <c r="J759">
        <v>4929499</v>
      </c>
      <c r="K759">
        <v>1</v>
      </c>
    </row>
    <row r="760" spans="1:11" x14ac:dyDescent="0.25">
      <c r="A760">
        <v>8655825</v>
      </c>
      <c r="B760" s="1">
        <v>42928</v>
      </c>
      <c r="C760" s="2">
        <v>0.48251157407407408</v>
      </c>
      <c r="D760" s="2">
        <v>0.48732638888888891</v>
      </c>
      <c r="G760" s="4">
        <v>6087997</v>
      </c>
      <c r="H760">
        <v>1</v>
      </c>
      <c r="J760">
        <v>4939683</v>
      </c>
      <c r="K760">
        <v>1</v>
      </c>
    </row>
    <row r="761" spans="1:11" x14ac:dyDescent="0.25">
      <c r="A761">
        <v>47707639</v>
      </c>
      <c r="B761" s="1">
        <v>42928</v>
      </c>
      <c r="C761" s="2">
        <v>0.48827546296296298</v>
      </c>
      <c r="D761" s="2">
        <v>0.49432870370370369</v>
      </c>
      <c r="G761" s="4">
        <v>6118241</v>
      </c>
      <c r="H761">
        <v>1</v>
      </c>
      <c r="J761">
        <v>4945889</v>
      </c>
      <c r="K761">
        <v>1</v>
      </c>
    </row>
    <row r="762" spans="1:11" x14ac:dyDescent="0.25">
      <c r="A762">
        <v>5029329</v>
      </c>
      <c r="B762" s="1">
        <v>42928</v>
      </c>
      <c r="C762" s="2">
        <v>0.49062499999999998</v>
      </c>
      <c r="D762" s="2">
        <v>0.49535879629629631</v>
      </c>
      <c r="G762" s="4">
        <v>6124638</v>
      </c>
      <c r="H762">
        <v>1</v>
      </c>
      <c r="J762">
        <v>4952685</v>
      </c>
      <c r="K762">
        <v>1</v>
      </c>
    </row>
    <row r="763" spans="1:11" x14ac:dyDescent="0.25">
      <c r="A763">
        <v>8825868</v>
      </c>
      <c r="B763" s="1">
        <v>42928</v>
      </c>
      <c r="C763" s="2">
        <v>0.49552083333333335</v>
      </c>
      <c r="D763" s="2">
        <v>0.50263888888888886</v>
      </c>
      <c r="G763" s="4">
        <v>6131743</v>
      </c>
      <c r="H763">
        <v>1</v>
      </c>
      <c r="J763">
        <v>4959594</v>
      </c>
      <c r="K763">
        <v>1</v>
      </c>
    </row>
    <row r="764" spans="1:11" x14ac:dyDescent="0.25">
      <c r="A764">
        <v>8461631</v>
      </c>
      <c r="B764" s="1">
        <v>42928</v>
      </c>
      <c r="C764" s="2">
        <v>0.50025462962962963</v>
      </c>
      <c r="D764" s="2">
        <v>0.50344907407407402</v>
      </c>
      <c r="G764" s="4">
        <v>6146223</v>
      </c>
      <c r="H764">
        <v>1</v>
      </c>
      <c r="J764">
        <v>4960672</v>
      </c>
      <c r="K764">
        <v>1</v>
      </c>
    </row>
    <row r="765" spans="1:11" x14ac:dyDescent="0.25">
      <c r="A765">
        <v>76777492</v>
      </c>
      <c r="B765" s="1">
        <v>42928</v>
      </c>
      <c r="C765" s="2">
        <v>0.50071759259259263</v>
      </c>
      <c r="D765" s="2">
        <v>0.5085763888888889</v>
      </c>
      <c r="G765" s="4">
        <v>6151478</v>
      </c>
      <c r="H765">
        <v>1</v>
      </c>
      <c r="J765">
        <v>4960687</v>
      </c>
      <c r="K765">
        <v>1</v>
      </c>
    </row>
    <row r="766" spans="1:11" x14ac:dyDescent="0.25">
      <c r="A766">
        <v>71036125</v>
      </c>
      <c r="B766" s="1">
        <v>42928</v>
      </c>
      <c r="C766" s="2">
        <v>0.50597222222222227</v>
      </c>
      <c r="D766" s="2">
        <v>0.51633101851851848</v>
      </c>
      <c r="G766" s="4">
        <v>6156594</v>
      </c>
      <c r="H766">
        <v>1</v>
      </c>
      <c r="J766">
        <v>4965118</v>
      </c>
      <c r="K766">
        <v>1</v>
      </c>
    </row>
    <row r="767" spans="1:11" x14ac:dyDescent="0.25">
      <c r="A767">
        <v>2989192</v>
      </c>
      <c r="B767" s="1">
        <v>42928</v>
      </c>
      <c r="C767" s="2">
        <v>0.5087962962962963</v>
      </c>
      <c r="D767" s="2">
        <v>0.51349537037037041</v>
      </c>
      <c r="G767" s="4">
        <v>6158527</v>
      </c>
      <c r="H767">
        <v>1</v>
      </c>
      <c r="J767">
        <v>4983193</v>
      </c>
      <c r="K767">
        <v>1</v>
      </c>
    </row>
    <row r="768" spans="1:11" x14ac:dyDescent="0.25">
      <c r="A768">
        <v>5131341</v>
      </c>
      <c r="B768" s="1">
        <v>42928</v>
      </c>
      <c r="C768" s="2">
        <v>0.50974537037037038</v>
      </c>
      <c r="D768" s="2">
        <v>0.51072916666666668</v>
      </c>
      <c r="G768" s="4">
        <v>6161675</v>
      </c>
      <c r="H768">
        <v>1</v>
      </c>
      <c r="J768">
        <v>4995171</v>
      </c>
      <c r="K768">
        <v>1</v>
      </c>
    </row>
    <row r="769" spans="1:11" x14ac:dyDescent="0.25">
      <c r="A769">
        <v>2826868</v>
      </c>
      <c r="B769" s="1">
        <v>42928</v>
      </c>
      <c r="C769" s="2">
        <v>0.51549768518518524</v>
      </c>
      <c r="D769" s="2">
        <v>0.51550925925925928</v>
      </c>
      <c r="G769" s="4">
        <v>6175467</v>
      </c>
      <c r="H769">
        <v>3</v>
      </c>
      <c r="J769">
        <v>5006675</v>
      </c>
      <c r="K769">
        <v>1</v>
      </c>
    </row>
    <row r="770" spans="1:11" x14ac:dyDescent="0.25">
      <c r="A770">
        <v>9849071</v>
      </c>
      <c r="B770" s="1">
        <v>42928</v>
      </c>
      <c r="C770" s="2">
        <v>0.51561342592592596</v>
      </c>
      <c r="D770" s="2">
        <v>0.52171296296296299</v>
      </c>
      <c r="G770" s="4">
        <v>6177366</v>
      </c>
      <c r="H770">
        <v>1</v>
      </c>
      <c r="J770">
        <v>5013602</v>
      </c>
      <c r="K770">
        <v>1</v>
      </c>
    </row>
    <row r="771" spans="1:11" x14ac:dyDescent="0.25">
      <c r="A771">
        <v>47025160</v>
      </c>
      <c r="B771" s="1">
        <v>42928</v>
      </c>
      <c r="C771" s="2">
        <v>0.52009259259259255</v>
      </c>
      <c r="D771" s="2">
        <v>0.52987268518518515</v>
      </c>
      <c r="G771" s="4">
        <v>6191682</v>
      </c>
      <c r="H771">
        <v>1</v>
      </c>
      <c r="J771">
        <v>5013688</v>
      </c>
      <c r="K771">
        <v>1</v>
      </c>
    </row>
    <row r="772" spans="1:11" x14ac:dyDescent="0.25">
      <c r="A772">
        <v>97798921</v>
      </c>
      <c r="B772" s="1">
        <v>42928</v>
      </c>
      <c r="C772" s="2">
        <v>0.52172453703703703</v>
      </c>
      <c r="D772" s="2">
        <v>0.52606481481481482</v>
      </c>
      <c r="G772" s="4">
        <v>6194112</v>
      </c>
      <c r="H772">
        <v>1</v>
      </c>
      <c r="J772">
        <v>5014399</v>
      </c>
      <c r="K772">
        <v>1</v>
      </c>
    </row>
    <row r="773" spans="1:11" x14ac:dyDescent="0.25">
      <c r="A773">
        <v>2248131</v>
      </c>
      <c r="B773" s="1">
        <v>42928</v>
      </c>
      <c r="C773" s="2">
        <v>0.52298611111111115</v>
      </c>
      <c r="D773" s="2">
        <v>0.53249999999999997</v>
      </c>
      <c r="G773" s="4">
        <v>6218089</v>
      </c>
      <c r="H773">
        <v>1</v>
      </c>
      <c r="J773">
        <v>5015921</v>
      </c>
      <c r="K773">
        <v>1</v>
      </c>
    </row>
    <row r="774" spans="1:11" x14ac:dyDescent="0.25">
      <c r="A774">
        <v>1973826522</v>
      </c>
      <c r="B774" s="1">
        <v>42928</v>
      </c>
      <c r="C774" s="2">
        <v>0.52342592592592596</v>
      </c>
      <c r="D774" s="2">
        <v>0.52350694444444446</v>
      </c>
      <c r="G774" s="4">
        <v>6220398</v>
      </c>
      <c r="H774">
        <v>1</v>
      </c>
      <c r="J774">
        <v>5016981</v>
      </c>
      <c r="K774">
        <v>1</v>
      </c>
    </row>
    <row r="775" spans="1:11" x14ac:dyDescent="0.25">
      <c r="A775">
        <v>6293367175</v>
      </c>
      <c r="B775" s="1">
        <v>42928</v>
      </c>
      <c r="C775" s="2">
        <v>0.52649305555555559</v>
      </c>
      <c r="D775" s="2">
        <v>0.53123842592592596</v>
      </c>
      <c r="G775" s="4">
        <v>6231537</v>
      </c>
      <c r="H775">
        <v>2</v>
      </c>
      <c r="J775">
        <v>5019634</v>
      </c>
      <c r="K775">
        <v>1</v>
      </c>
    </row>
    <row r="776" spans="1:11" x14ac:dyDescent="0.25">
      <c r="A776">
        <v>5092577</v>
      </c>
      <c r="B776" s="1">
        <v>42928</v>
      </c>
      <c r="C776" s="2">
        <v>0.52834490740740736</v>
      </c>
      <c r="D776" s="2">
        <v>0.53267361111111111</v>
      </c>
      <c r="G776" s="4">
        <v>6242177</v>
      </c>
      <c r="H776">
        <v>1</v>
      </c>
      <c r="J776">
        <v>5022247</v>
      </c>
      <c r="K776">
        <v>1</v>
      </c>
    </row>
    <row r="777" spans="1:11" x14ac:dyDescent="0.25">
      <c r="A777">
        <v>62086163</v>
      </c>
      <c r="B777" s="1">
        <v>42928</v>
      </c>
      <c r="C777" s="2">
        <v>0.53126157407407404</v>
      </c>
      <c r="D777" s="2">
        <v>0.5326157407407407</v>
      </c>
      <c r="G777" s="4">
        <v>6251788</v>
      </c>
      <c r="H777">
        <v>1</v>
      </c>
      <c r="J777">
        <v>5026277</v>
      </c>
      <c r="K777">
        <v>1</v>
      </c>
    </row>
    <row r="778" spans="1:11" x14ac:dyDescent="0.25">
      <c r="A778">
        <v>4657345</v>
      </c>
      <c r="B778" s="1">
        <v>42928</v>
      </c>
      <c r="C778" s="2">
        <v>0.53608796296296302</v>
      </c>
      <c r="D778" s="2">
        <v>0.53631944444444446</v>
      </c>
      <c r="G778" s="4">
        <v>6257971</v>
      </c>
      <c r="H778">
        <v>1</v>
      </c>
      <c r="J778">
        <v>5027404</v>
      </c>
      <c r="K778">
        <v>1</v>
      </c>
    </row>
    <row r="779" spans="1:11" x14ac:dyDescent="0.25">
      <c r="A779">
        <v>7937998</v>
      </c>
      <c r="B779" s="1">
        <v>42928</v>
      </c>
      <c r="C779" s="2">
        <v>0.53798611111111116</v>
      </c>
      <c r="D779" s="2">
        <v>0.54011574074074076</v>
      </c>
      <c r="G779" s="4">
        <v>6264844</v>
      </c>
      <c r="H779">
        <v>2</v>
      </c>
      <c r="J779">
        <v>5029329</v>
      </c>
      <c r="K779">
        <v>1</v>
      </c>
    </row>
    <row r="780" spans="1:11" x14ac:dyDescent="0.25">
      <c r="A780">
        <v>7269536</v>
      </c>
      <c r="B780" s="1">
        <v>42928</v>
      </c>
      <c r="C780" s="2">
        <v>0.53827546296296291</v>
      </c>
      <c r="D780" s="2">
        <v>0.54309027777777774</v>
      </c>
      <c r="G780" s="4">
        <v>6269166</v>
      </c>
      <c r="H780">
        <v>1</v>
      </c>
      <c r="J780">
        <v>5036422</v>
      </c>
      <c r="K780">
        <v>1</v>
      </c>
    </row>
    <row r="781" spans="1:11" x14ac:dyDescent="0.25">
      <c r="A781">
        <v>98939809</v>
      </c>
      <c r="B781" s="1">
        <v>42928</v>
      </c>
      <c r="C781" s="2">
        <v>0.53873842592592591</v>
      </c>
      <c r="D781" s="2">
        <v>0.54084490740740743</v>
      </c>
      <c r="G781" s="4">
        <v>6270159</v>
      </c>
      <c r="H781">
        <v>1</v>
      </c>
      <c r="J781">
        <v>5039266</v>
      </c>
      <c r="K781">
        <v>1</v>
      </c>
    </row>
    <row r="782" spans="1:11" x14ac:dyDescent="0.25">
      <c r="A782">
        <v>7766265</v>
      </c>
      <c r="B782" s="1">
        <v>42928</v>
      </c>
      <c r="C782" s="2">
        <v>0.54391203703703705</v>
      </c>
      <c r="D782" s="2">
        <v>0.54538194444444443</v>
      </c>
      <c r="G782" s="4">
        <v>6290575</v>
      </c>
      <c r="H782">
        <v>1</v>
      </c>
      <c r="J782">
        <v>5060909</v>
      </c>
      <c r="K782">
        <v>1</v>
      </c>
    </row>
    <row r="783" spans="1:11" x14ac:dyDescent="0.25">
      <c r="A783">
        <v>7377702</v>
      </c>
      <c r="B783" s="1">
        <v>42928</v>
      </c>
      <c r="C783" s="2">
        <v>0.54689814814814819</v>
      </c>
      <c r="D783" s="2">
        <v>0.54949074074074078</v>
      </c>
      <c r="G783" s="4">
        <v>6299545</v>
      </c>
      <c r="H783">
        <v>1</v>
      </c>
      <c r="J783">
        <v>5082463</v>
      </c>
      <c r="K783">
        <v>1</v>
      </c>
    </row>
    <row r="784" spans="1:11" x14ac:dyDescent="0.25">
      <c r="A784">
        <v>38244568</v>
      </c>
      <c r="B784" s="1">
        <v>42928</v>
      </c>
      <c r="C784" s="2">
        <v>0.54826388888888888</v>
      </c>
      <c r="D784" s="2">
        <v>0.54920138888888892</v>
      </c>
      <c r="G784" s="4">
        <v>6304174</v>
      </c>
      <c r="H784">
        <v>1</v>
      </c>
      <c r="J784">
        <v>5086182</v>
      </c>
      <c r="K784">
        <v>1</v>
      </c>
    </row>
    <row r="785" spans="1:11" x14ac:dyDescent="0.25">
      <c r="A785">
        <v>5094248</v>
      </c>
      <c r="B785" s="1">
        <v>42928</v>
      </c>
      <c r="C785" s="2">
        <v>0.55118055555555556</v>
      </c>
      <c r="D785" s="2">
        <v>0.56003472222222217</v>
      </c>
      <c r="G785" s="4">
        <v>6305758</v>
      </c>
      <c r="H785">
        <v>1</v>
      </c>
      <c r="J785">
        <v>5087484</v>
      </c>
      <c r="K785">
        <v>1</v>
      </c>
    </row>
    <row r="786" spans="1:11" x14ac:dyDescent="0.25">
      <c r="A786">
        <v>1233459</v>
      </c>
      <c r="B786" s="1">
        <v>42928</v>
      </c>
      <c r="C786" s="2">
        <v>0.55565972222222226</v>
      </c>
      <c r="D786" s="2">
        <v>0.55674768518518514</v>
      </c>
      <c r="G786" s="4">
        <v>6309138</v>
      </c>
      <c r="H786">
        <v>1</v>
      </c>
      <c r="J786">
        <v>5089019</v>
      </c>
      <c r="K786">
        <v>1</v>
      </c>
    </row>
    <row r="787" spans="1:11" x14ac:dyDescent="0.25">
      <c r="A787">
        <v>9398644</v>
      </c>
      <c r="B787" s="1">
        <v>42928</v>
      </c>
      <c r="C787" s="2">
        <v>0.55717592592592591</v>
      </c>
      <c r="D787" s="2">
        <v>0.56753472222222223</v>
      </c>
      <c r="G787" s="4">
        <v>6312012</v>
      </c>
      <c r="H787">
        <v>1</v>
      </c>
      <c r="J787">
        <v>5092577</v>
      </c>
      <c r="K787">
        <v>1</v>
      </c>
    </row>
    <row r="788" spans="1:11" x14ac:dyDescent="0.25">
      <c r="A788">
        <v>3390459</v>
      </c>
      <c r="B788" s="1">
        <v>42928</v>
      </c>
      <c r="C788" s="2">
        <v>0.55869212962962966</v>
      </c>
      <c r="D788" s="2">
        <v>0.55922453703703701</v>
      </c>
      <c r="G788" s="4">
        <v>6312575</v>
      </c>
      <c r="H788">
        <v>2</v>
      </c>
      <c r="J788">
        <v>5104536</v>
      </c>
      <c r="K788">
        <v>1</v>
      </c>
    </row>
    <row r="789" spans="1:11" x14ac:dyDescent="0.25">
      <c r="A789">
        <v>5252835</v>
      </c>
      <c r="B789" s="1">
        <v>42928</v>
      </c>
      <c r="C789" s="2">
        <v>0.55907407407407406</v>
      </c>
      <c r="D789" s="2">
        <v>0.56937499999999996</v>
      </c>
      <c r="G789" s="4">
        <v>6320579</v>
      </c>
      <c r="H789">
        <v>1</v>
      </c>
      <c r="J789">
        <v>5136126</v>
      </c>
      <c r="K789">
        <v>1</v>
      </c>
    </row>
    <row r="790" spans="1:11" x14ac:dyDescent="0.25">
      <c r="A790">
        <v>15643568</v>
      </c>
      <c r="B790" s="1">
        <v>42928</v>
      </c>
      <c r="C790" s="2">
        <v>0.56074074074074076</v>
      </c>
      <c r="D790" s="2">
        <v>0.56283564814814813</v>
      </c>
      <c r="G790" s="4">
        <v>6326108</v>
      </c>
      <c r="H790">
        <v>1</v>
      </c>
      <c r="J790">
        <v>5138547</v>
      </c>
      <c r="K790">
        <v>1</v>
      </c>
    </row>
    <row r="791" spans="1:11" x14ac:dyDescent="0.25">
      <c r="A791">
        <v>39921944</v>
      </c>
      <c r="B791" s="1">
        <v>42928</v>
      </c>
      <c r="C791" s="2">
        <v>0.56398148148148153</v>
      </c>
      <c r="D791" s="2">
        <v>0.57387731481481485</v>
      </c>
      <c r="G791" s="4">
        <v>6333341</v>
      </c>
      <c r="H791">
        <v>1</v>
      </c>
      <c r="J791">
        <v>5146166</v>
      </c>
      <c r="K791">
        <v>1</v>
      </c>
    </row>
    <row r="792" spans="1:11" x14ac:dyDescent="0.25">
      <c r="A792">
        <v>66800387</v>
      </c>
      <c r="B792" s="1">
        <v>42928</v>
      </c>
      <c r="C792" s="2">
        <v>0.56509259259259259</v>
      </c>
      <c r="D792" s="2">
        <v>0.56554398148148144</v>
      </c>
      <c r="G792" s="4">
        <v>6333547</v>
      </c>
      <c r="H792">
        <v>1</v>
      </c>
      <c r="J792">
        <v>5147242</v>
      </c>
      <c r="K792">
        <v>1</v>
      </c>
    </row>
    <row r="793" spans="1:11" x14ac:dyDescent="0.25">
      <c r="A793">
        <v>88664428</v>
      </c>
      <c r="B793" s="1">
        <v>42928</v>
      </c>
      <c r="C793" s="2">
        <v>0.56527777777777777</v>
      </c>
      <c r="D793" s="2">
        <v>0.56814814814814818</v>
      </c>
      <c r="G793" s="4">
        <v>6337931</v>
      </c>
      <c r="H793">
        <v>1</v>
      </c>
      <c r="J793">
        <v>5162775</v>
      </c>
      <c r="K793">
        <v>1</v>
      </c>
    </row>
    <row r="794" spans="1:11" x14ac:dyDescent="0.25">
      <c r="A794">
        <v>4111617</v>
      </c>
      <c r="B794" s="1">
        <v>42928</v>
      </c>
      <c r="C794" s="2">
        <v>0.56555555555555559</v>
      </c>
      <c r="D794" s="2">
        <v>0.5697106481481482</v>
      </c>
      <c r="G794" s="4">
        <v>6341482</v>
      </c>
      <c r="H794">
        <v>1</v>
      </c>
      <c r="J794">
        <v>5199929</v>
      </c>
      <c r="K794">
        <v>1</v>
      </c>
    </row>
    <row r="795" spans="1:11" x14ac:dyDescent="0.25">
      <c r="A795">
        <v>9804309</v>
      </c>
      <c r="B795" s="1">
        <v>42928</v>
      </c>
      <c r="C795" s="2">
        <v>0.56918981481481479</v>
      </c>
      <c r="D795" s="2">
        <v>0.5784259259259259</v>
      </c>
      <c r="G795" s="4">
        <v>6345014</v>
      </c>
      <c r="H795">
        <v>1</v>
      </c>
      <c r="J795">
        <v>5205087</v>
      </c>
      <c r="K795">
        <v>1</v>
      </c>
    </row>
    <row r="796" spans="1:11" x14ac:dyDescent="0.25">
      <c r="A796">
        <v>3382728</v>
      </c>
      <c r="B796" s="1">
        <v>42928</v>
      </c>
      <c r="C796" s="2">
        <v>0.56953703703703706</v>
      </c>
      <c r="D796" s="2">
        <v>0.57401620370370365</v>
      </c>
      <c r="G796" s="4">
        <v>6357818</v>
      </c>
      <c r="H796">
        <v>1</v>
      </c>
      <c r="J796">
        <v>5215912</v>
      </c>
      <c r="K796">
        <v>1</v>
      </c>
    </row>
    <row r="797" spans="1:11" x14ac:dyDescent="0.25">
      <c r="A797">
        <v>9091369</v>
      </c>
      <c r="B797" s="1">
        <v>42928</v>
      </c>
      <c r="C797" s="2">
        <v>0.57231481481481483</v>
      </c>
      <c r="D797" s="2">
        <v>0.57403935185185184</v>
      </c>
      <c r="G797" s="4">
        <v>6367284</v>
      </c>
      <c r="H797">
        <v>1</v>
      </c>
      <c r="J797">
        <v>5220235</v>
      </c>
      <c r="K797">
        <v>1</v>
      </c>
    </row>
    <row r="798" spans="1:11" x14ac:dyDescent="0.25">
      <c r="A798">
        <v>3981821518</v>
      </c>
      <c r="B798" s="1">
        <v>42928</v>
      </c>
      <c r="C798" s="2">
        <v>0.57445601851851846</v>
      </c>
      <c r="D798" s="2">
        <v>0.57703703703703701</v>
      </c>
      <c r="G798" s="4">
        <v>6374704</v>
      </c>
      <c r="H798">
        <v>1</v>
      </c>
      <c r="J798">
        <v>5221005</v>
      </c>
      <c r="K798">
        <v>1</v>
      </c>
    </row>
    <row r="799" spans="1:11" x14ac:dyDescent="0.25">
      <c r="A799">
        <v>6304174</v>
      </c>
      <c r="B799" s="1">
        <v>42928</v>
      </c>
      <c r="C799" s="2">
        <v>0.57445601851851846</v>
      </c>
      <c r="D799" s="2">
        <v>0.58512731481481484</v>
      </c>
      <c r="G799" s="4">
        <v>6384230</v>
      </c>
      <c r="H799">
        <v>1</v>
      </c>
      <c r="J799">
        <v>5228419</v>
      </c>
      <c r="K799">
        <v>1</v>
      </c>
    </row>
    <row r="800" spans="1:11" x14ac:dyDescent="0.25">
      <c r="A800">
        <v>8233999</v>
      </c>
      <c r="B800" s="1">
        <v>42928</v>
      </c>
      <c r="C800" s="2">
        <v>0.57828703703703699</v>
      </c>
      <c r="D800" s="2">
        <v>0.58834490740740741</v>
      </c>
      <c r="G800" s="4">
        <v>6386788</v>
      </c>
      <c r="H800">
        <v>1</v>
      </c>
      <c r="J800">
        <v>5233531</v>
      </c>
      <c r="K800">
        <v>1</v>
      </c>
    </row>
    <row r="801" spans="1:11" x14ac:dyDescent="0.25">
      <c r="A801">
        <v>97782375</v>
      </c>
      <c r="B801" s="1">
        <v>42928</v>
      </c>
      <c r="C801" s="2">
        <v>0.58054398148148145</v>
      </c>
      <c r="D801" s="2">
        <v>0.58196759259259256</v>
      </c>
      <c r="G801" s="4">
        <v>6401011</v>
      </c>
      <c r="H801">
        <v>2</v>
      </c>
      <c r="J801">
        <v>5244597</v>
      </c>
      <c r="K801">
        <v>1</v>
      </c>
    </row>
    <row r="802" spans="1:11" x14ac:dyDescent="0.25">
      <c r="A802">
        <v>2826868</v>
      </c>
      <c r="B802" s="1">
        <v>42928</v>
      </c>
      <c r="C802" s="2">
        <v>0.58266203703703701</v>
      </c>
      <c r="D802" s="2">
        <v>0.59348379629629633</v>
      </c>
      <c r="G802" s="4">
        <v>6408952</v>
      </c>
      <c r="H802">
        <v>2</v>
      </c>
      <c r="J802">
        <v>5251861</v>
      </c>
      <c r="K802">
        <v>1</v>
      </c>
    </row>
    <row r="803" spans="1:11" x14ac:dyDescent="0.25">
      <c r="A803">
        <v>93794133</v>
      </c>
      <c r="B803" s="1">
        <v>42928</v>
      </c>
      <c r="C803" s="2">
        <v>0.58592592592592596</v>
      </c>
      <c r="D803" s="2">
        <v>0.59038194444444447</v>
      </c>
      <c r="G803" s="4">
        <v>6420583</v>
      </c>
      <c r="H803">
        <v>1</v>
      </c>
      <c r="J803">
        <v>5252835</v>
      </c>
      <c r="K803">
        <v>1</v>
      </c>
    </row>
    <row r="804" spans="1:11" x14ac:dyDescent="0.25">
      <c r="A804">
        <v>85838361</v>
      </c>
      <c r="B804" s="1">
        <v>42928</v>
      </c>
      <c r="C804" s="2">
        <v>0.58909722222222227</v>
      </c>
      <c r="D804" s="2">
        <v>0.5993518518518518</v>
      </c>
      <c r="G804" s="4">
        <v>6426011</v>
      </c>
      <c r="H804">
        <v>1</v>
      </c>
      <c r="J804">
        <v>5253133</v>
      </c>
      <c r="K804">
        <v>1</v>
      </c>
    </row>
    <row r="805" spans="1:11" x14ac:dyDescent="0.25">
      <c r="A805">
        <v>1616328</v>
      </c>
      <c r="B805" s="1">
        <v>42928</v>
      </c>
      <c r="C805" s="2">
        <v>0.59354166666666663</v>
      </c>
      <c r="D805" s="2">
        <v>0.59888888888888892</v>
      </c>
      <c r="G805" s="4">
        <v>6426246</v>
      </c>
      <c r="H805">
        <v>1</v>
      </c>
      <c r="J805">
        <v>5254694</v>
      </c>
      <c r="K805">
        <v>1</v>
      </c>
    </row>
    <row r="806" spans="1:11" x14ac:dyDescent="0.25">
      <c r="A806">
        <v>9773176</v>
      </c>
      <c r="B806" s="1">
        <v>42928</v>
      </c>
      <c r="C806" s="2">
        <v>0.59873842592592597</v>
      </c>
      <c r="D806" s="2">
        <v>0.60127314814814814</v>
      </c>
      <c r="G806" s="4">
        <v>6434255</v>
      </c>
      <c r="H806">
        <v>1</v>
      </c>
      <c r="J806">
        <v>5272270</v>
      </c>
      <c r="K806">
        <v>1</v>
      </c>
    </row>
    <row r="807" spans="1:11" x14ac:dyDescent="0.25">
      <c r="A807">
        <v>8246306</v>
      </c>
      <c r="B807" s="1">
        <v>42928</v>
      </c>
      <c r="C807" s="2">
        <v>0.59928240740740746</v>
      </c>
      <c r="D807" s="2">
        <v>0.60182870370370367</v>
      </c>
      <c r="G807" s="4">
        <v>6439414</v>
      </c>
      <c r="H807">
        <v>1</v>
      </c>
      <c r="J807">
        <v>5290460</v>
      </c>
      <c r="K807">
        <v>1</v>
      </c>
    </row>
    <row r="808" spans="1:11" x14ac:dyDescent="0.25">
      <c r="A808">
        <v>2412611</v>
      </c>
      <c r="B808" s="1">
        <v>42928</v>
      </c>
      <c r="C808" s="2">
        <v>0.60065972222222219</v>
      </c>
      <c r="D808" s="2">
        <v>0.60902777777777772</v>
      </c>
      <c r="G808" s="4">
        <v>6460935</v>
      </c>
      <c r="H808">
        <v>1</v>
      </c>
      <c r="J808">
        <v>5303411</v>
      </c>
      <c r="K808">
        <v>1</v>
      </c>
    </row>
    <row r="809" spans="1:11" x14ac:dyDescent="0.25">
      <c r="A809">
        <v>7795911</v>
      </c>
      <c r="B809" s="1">
        <v>42928</v>
      </c>
      <c r="C809" s="2">
        <v>0.60528935185185184</v>
      </c>
      <c r="D809" s="2">
        <v>0.60805555555555557</v>
      </c>
      <c r="G809" s="4">
        <v>6461167</v>
      </c>
      <c r="H809">
        <v>1</v>
      </c>
      <c r="J809">
        <v>5305478</v>
      </c>
      <c r="K809">
        <v>1</v>
      </c>
    </row>
    <row r="810" spans="1:11" x14ac:dyDescent="0.25">
      <c r="A810">
        <v>8063487</v>
      </c>
      <c r="B810" s="1">
        <v>42928</v>
      </c>
      <c r="C810" s="2">
        <v>0.61028935185185185</v>
      </c>
      <c r="D810" s="2">
        <v>0.61681712962962965</v>
      </c>
      <c r="G810" s="4">
        <v>6465122</v>
      </c>
      <c r="H810">
        <v>1</v>
      </c>
      <c r="J810">
        <v>5312081</v>
      </c>
      <c r="K810">
        <v>1</v>
      </c>
    </row>
    <row r="811" spans="1:11" x14ac:dyDescent="0.25">
      <c r="A811">
        <v>68677362</v>
      </c>
      <c r="B811" s="1">
        <v>42928</v>
      </c>
      <c r="C811" s="2">
        <v>0.61534722222222227</v>
      </c>
      <c r="D811" s="2">
        <v>0.61554398148148148</v>
      </c>
      <c r="G811" s="4">
        <v>6468376</v>
      </c>
      <c r="H811">
        <v>1</v>
      </c>
      <c r="J811">
        <v>5318850</v>
      </c>
      <c r="K811">
        <v>1</v>
      </c>
    </row>
    <row r="812" spans="1:11" x14ac:dyDescent="0.25">
      <c r="A812">
        <v>6766787935</v>
      </c>
      <c r="B812" s="1">
        <v>42928</v>
      </c>
      <c r="C812" s="2">
        <v>0.62077546296296293</v>
      </c>
      <c r="D812" s="2">
        <v>0.62708333333333333</v>
      </c>
      <c r="G812" s="4">
        <v>6484436</v>
      </c>
      <c r="H812">
        <v>1</v>
      </c>
      <c r="J812">
        <v>5340881</v>
      </c>
      <c r="K812">
        <v>1</v>
      </c>
    </row>
    <row r="813" spans="1:11" x14ac:dyDescent="0.25">
      <c r="A813">
        <v>27791497</v>
      </c>
      <c r="B813" s="1">
        <v>42928</v>
      </c>
      <c r="C813" s="2">
        <v>0.62372685185185184</v>
      </c>
      <c r="D813" s="2">
        <v>0.63241898148148146</v>
      </c>
      <c r="G813" s="4">
        <v>6492842</v>
      </c>
      <c r="H813">
        <v>1</v>
      </c>
      <c r="J813">
        <v>5349562</v>
      </c>
      <c r="K813">
        <v>1</v>
      </c>
    </row>
    <row r="814" spans="1:11" x14ac:dyDescent="0.25">
      <c r="A814">
        <v>6158527</v>
      </c>
      <c r="B814" s="1">
        <v>42928</v>
      </c>
      <c r="C814" s="2">
        <v>0.62449074074074074</v>
      </c>
      <c r="D814" s="2">
        <v>0.62653935185185183</v>
      </c>
      <c r="G814" s="4">
        <v>6493406</v>
      </c>
      <c r="H814">
        <v>1</v>
      </c>
      <c r="J814">
        <v>5354141</v>
      </c>
      <c r="K814">
        <v>1</v>
      </c>
    </row>
    <row r="815" spans="1:11" x14ac:dyDescent="0.25">
      <c r="A815">
        <v>3456554</v>
      </c>
      <c r="B815" s="1">
        <v>42928</v>
      </c>
      <c r="C815" s="2">
        <v>0.62615740740740744</v>
      </c>
      <c r="D815" s="2">
        <v>0.63491898148148151</v>
      </c>
      <c r="G815" s="4">
        <v>6493766</v>
      </c>
      <c r="H815">
        <v>1</v>
      </c>
      <c r="J815">
        <v>5356378</v>
      </c>
      <c r="K815">
        <v>1</v>
      </c>
    </row>
    <row r="816" spans="1:11" x14ac:dyDescent="0.25">
      <c r="A816">
        <v>3437033</v>
      </c>
      <c r="B816" s="1">
        <v>42929</v>
      </c>
      <c r="C816" s="2">
        <v>0.33812500000000001</v>
      </c>
      <c r="D816" s="2">
        <v>0.34457175925925926</v>
      </c>
      <c r="G816" s="4">
        <v>6495153</v>
      </c>
      <c r="H816">
        <v>1</v>
      </c>
      <c r="J816">
        <v>5356824</v>
      </c>
      <c r="K816">
        <v>1</v>
      </c>
    </row>
    <row r="817" spans="1:11" x14ac:dyDescent="0.25">
      <c r="A817">
        <v>2128068</v>
      </c>
      <c r="B817" s="1">
        <v>42929</v>
      </c>
      <c r="C817" s="2">
        <v>0.34258101851851852</v>
      </c>
      <c r="D817" s="2">
        <v>0.34574074074074074</v>
      </c>
      <c r="G817" s="4">
        <v>6495517</v>
      </c>
      <c r="H817">
        <v>1</v>
      </c>
      <c r="J817">
        <v>5372125</v>
      </c>
      <c r="K817">
        <v>1</v>
      </c>
    </row>
    <row r="818" spans="1:11" x14ac:dyDescent="0.25">
      <c r="A818">
        <v>20679187</v>
      </c>
      <c r="B818" s="1">
        <v>42929</v>
      </c>
      <c r="C818" s="2">
        <v>0.34833333333333333</v>
      </c>
      <c r="D818" s="2">
        <v>0.35206018518518517</v>
      </c>
      <c r="G818" s="4">
        <v>6510330</v>
      </c>
      <c r="H818">
        <v>1</v>
      </c>
      <c r="J818">
        <v>5372891</v>
      </c>
      <c r="K818">
        <v>1</v>
      </c>
    </row>
    <row r="819" spans="1:11" x14ac:dyDescent="0.25">
      <c r="A819">
        <v>9259392564</v>
      </c>
      <c r="B819" s="1">
        <v>42929</v>
      </c>
      <c r="C819" s="2">
        <v>0.35311342592592593</v>
      </c>
      <c r="D819" s="2">
        <v>0.35888888888888887</v>
      </c>
      <c r="G819" s="4">
        <v>6516512</v>
      </c>
      <c r="H819">
        <v>1</v>
      </c>
      <c r="J819">
        <v>5376362</v>
      </c>
      <c r="K819">
        <v>1</v>
      </c>
    </row>
    <row r="820" spans="1:11" x14ac:dyDescent="0.25">
      <c r="A820">
        <v>7852624</v>
      </c>
      <c r="B820" s="1">
        <v>42929</v>
      </c>
      <c r="C820" s="2">
        <v>0.35885416666666664</v>
      </c>
      <c r="D820" s="2">
        <v>0.36913194444444447</v>
      </c>
      <c r="G820" s="4">
        <v>6516836</v>
      </c>
      <c r="H820">
        <v>1</v>
      </c>
      <c r="J820">
        <v>5379981</v>
      </c>
      <c r="K820">
        <v>1</v>
      </c>
    </row>
    <row r="821" spans="1:11" x14ac:dyDescent="0.25">
      <c r="A821">
        <v>8838584</v>
      </c>
      <c r="B821" s="1">
        <v>42929</v>
      </c>
      <c r="C821" s="2">
        <v>0.36204861111111108</v>
      </c>
      <c r="D821" s="2">
        <v>0.37230324074074073</v>
      </c>
      <c r="G821" s="4">
        <v>6523054</v>
      </c>
      <c r="H821">
        <v>1</v>
      </c>
      <c r="J821">
        <v>5392799</v>
      </c>
      <c r="K821">
        <v>1</v>
      </c>
    </row>
    <row r="822" spans="1:11" x14ac:dyDescent="0.25">
      <c r="A822">
        <v>2492731</v>
      </c>
      <c r="B822" s="1">
        <v>42929</v>
      </c>
      <c r="C822" s="2">
        <v>0.36341435185185184</v>
      </c>
      <c r="D822" s="2">
        <v>0.36506944444444445</v>
      </c>
      <c r="G822" s="4">
        <v>6530661</v>
      </c>
      <c r="H822">
        <v>1</v>
      </c>
      <c r="J822">
        <v>5415372</v>
      </c>
      <c r="K822">
        <v>1</v>
      </c>
    </row>
    <row r="823" spans="1:11" x14ac:dyDescent="0.25">
      <c r="A823">
        <v>8028777</v>
      </c>
      <c r="B823" s="1">
        <v>42929</v>
      </c>
      <c r="C823" s="2">
        <v>0.36505787037037035</v>
      </c>
      <c r="D823" s="2">
        <v>0.37204861111111109</v>
      </c>
      <c r="G823" s="4">
        <v>6551880</v>
      </c>
      <c r="H823">
        <v>2</v>
      </c>
      <c r="J823">
        <v>5418543</v>
      </c>
      <c r="K823">
        <v>1</v>
      </c>
    </row>
    <row r="824" spans="1:11" x14ac:dyDescent="0.25">
      <c r="A824">
        <v>2619219</v>
      </c>
      <c r="B824" s="1">
        <v>42929</v>
      </c>
      <c r="C824" s="2">
        <v>0.36586805555555557</v>
      </c>
      <c r="D824" s="2">
        <v>0.36783564814814818</v>
      </c>
      <c r="G824" s="4">
        <v>6552755</v>
      </c>
      <c r="H824">
        <v>1</v>
      </c>
      <c r="J824">
        <v>5440420</v>
      </c>
      <c r="K824">
        <v>1</v>
      </c>
    </row>
    <row r="825" spans="1:11" x14ac:dyDescent="0.25">
      <c r="A825">
        <v>2506618</v>
      </c>
      <c r="B825" s="1">
        <v>42929</v>
      </c>
      <c r="C825" s="2">
        <v>0.36704861111111109</v>
      </c>
      <c r="D825" s="2">
        <v>0.37783564814814813</v>
      </c>
      <c r="G825" s="4">
        <v>6574044</v>
      </c>
      <c r="H825">
        <v>1</v>
      </c>
      <c r="J825">
        <v>5446203</v>
      </c>
      <c r="K825">
        <v>1</v>
      </c>
    </row>
    <row r="826" spans="1:11" x14ac:dyDescent="0.25">
      <c r="A826">
        <v>7979313</v>
      </c>
      <c r="B826" s="1">
        <v>42929</v>
      </c>
      <c r="C826" s="2">
        <v>0.37074074074074076</v>
      </c>
      <c r="D826" s="2">
        <v>0.37601851851851853</v>
      </c>
      <c r="G826" s="4">
        <v>6578914</v>
      </c>
      <c r="H826">
        <v>1</v>
      </c>
      <c r="J826">
        <v>5448890</v>
      </c>
      <c r="K826">
        <v>1</v>
      </c>
    </row>
    <row r="827" spans="1:11" x14ac:dyDescent="0.25">
      <c r="A827">
        <v>23123600</v>
      </c>
      <c r="B827" s="1">
        <v>42929</v>
      </c>
      <c r="C827" s="2">
        <v>0.37334490740740739</v>
      </c>
      <c r="D827" s="2">
        <v>0.37408564814814815</v>
      </c>
      <c r="G827" s="4">
        <v>6580951</v>
      </c>
      <c r="H827">
        <v>1</v>
      </c>
      <c r="J827">
        <v>5464497</v>
      </c>
      <c r="K827">
        <v>1</v>
      </c>
    </row>
    <row r="828" spans="1:11" x14ac:dyDescent="0.25">
      <c r="A828">
        <v>9849476</v>
      </c>
      <c r="B828" s="1">
        <v>42929</v>
      </c>
      <c r="C828" s="2">
        <v>0.37653935185185183</v>
      </c>
      <c r="D828" s="2">
        <v>0.37709490740740742</v>
      </c>
      <c r="G828" s="4">
        <v>6607648</v>
      </c>
      <c r="H828">
        <v>1</v>
      </c>
      <c r="J828">
        <v>5465004</v>
      </c>
      <c r="K828">
        <v>1</v>
      </c>
    </row>
    <row r="829" spans="1:11" x14ac:dyDescent="0.25">
      <c r="A829">
        <v>27410048</v>
      </c>
      <c r="B829" s="1">
        <v>42929</v>
      </c>
      <c r="C829" s="2">
        <v>0.37748842592592591</v>
      </c>
      <c r="D829" s="2">
        <v>0.37763888888888891</v>
      </c>
      <c r="G829" s="4">
        <v>6615729</v>
      </c>
      <c r="H829">
        <v>2</v>
      </c>
      <c r="J829">
        <v>5487496</v>
      </c>
      <c r="K829">
        <v>1</v>
      </c>
    </row>
    <row r="830" spans="1:11" x14ac:dyDescent="0.25">
      <c r="A830">
        <v>6746757</v>
      </c>
      <c r="B830" s="1">
        <v>42929</v>
      </c>
      <c r="C830" s="2">
        <v>0.3790162037037037</v>
      </c>
      <c r="D830" s="2">
        <v>0.38123842592592594</v>
      </c>
      <c r="G830" s="4">
        <v>6616163</v>
      </c>
      <c r="H830">
        <v>1</v>
      </c>
      <c r="J830">
        <v>5489867</v>
      </c>
      <c r="K830">
        <v>1</v>
      </c>
    </row>
    <row r="831" spans="1:11" x14ac:dyDescent="0.25">
      <c r="A831">
        <v>5087066</v>
      </c>
      <c r="B831" s="1">
        <v>42929</v>
      </c>
      <c r="C831" s="2">
        <v>0.38018518518518518</v>
      </c>
      <c r="D831" s="2">
        <v>0.38339120370370372</v>
      </c>
      <c r="G831" s="4">
        <v>6642574</v>
      </c>
      <c r="H831">
        <v>1</v>
      </c>
      <c r="J831">
        <v>5508903</v>
      </c>
      <c r="K831">
        <v>1</v>
      </c>
    </row>
    <row r="832" spans="1:11" x14ac:dyDescent="0.25">
      <c r="A832">
        <v>9680416</v>
      </c>
      <c r="B832" s="1">
        <v>42929</v>
      </c>
      <c r="C832" s="2">
        <v>0.38480324074074074</v>
      </c>
      <c r="D832" s="2">
        <v>0.39057870370370368</v>
      </c>
      <c r="G832" s="4">
        <v>6657074</v>
      </c>
      <c r="H832">
        <v>2</v>
      </c>
      <c r="J832">
        <v>5512492</v>
      </c>
      <c r="K832">
        <v>1</v>
      </c>
    </row>
    <row r="833" spans="1:11" x14ac:dyDescent="0.25">
      <c r="A833">
        <v>9356216</v>
      </c>
      <c r="B833" s="1">
        <v>42929</v>
      </c>
      <c r="C833" s="2">
        <v>0.38966435185185183</v>
      </c>
      <c r="D833" s="2">
        <v>0.40104166666666669</v>
      </c>
      <c r="G833" s="4">
        <v>6663334</v>
      </c>
      <c r="H833">
        <v>1</v>
      </c>
      <c r="J833">
        <v>5536146</v>
      </c>
      <c r="K833">
        <v>1</v>
      </c>
    </row>
    <row r="834" spans="1:11" x14ac:dyDescent="0.25">
      <c r="A834">
        <v>7415603</v>
      </c>
      <c r="B834" s="1">
        <v>42929</v>
      </c>
      <c r="C834" s="2">
        <v>0.39194444444444443</v>
      </c>
      <c r="D834" s="2">
        <v>0.39535879629629628</v>
      </c>
      <c r="G834" s="4">
        <v>6674505</v>
      </c>
      <c r="H834">
        <v>2</v>
      </c>
      <c r="J834">
        <v>5542324</v>
      </c>
      <c r="K834">
        <v>1</v>
      </c>
    </row>
    <row r="835" spans="1:11" x14ac:dyDescent="0.25">
      <c r="A835">
        <v>28145499</v>
      </c>
      <c r="B835" s="1">
        <v>42929</v>
      </c>
      <c r="C835" s="2">
        <v>0.3972222222222222</v>
      </c>
      <c r="D835" s="2">
        <v>0.40084490740740741</v>
      </c>
      <c r="G835" s="4">
        <v>6689117</v>
      </c>
      <c r="H835">
        <v>3</v>
      </c>
      <c r="J835">
        <v>5543741</v>
      </c>
      <c r="K835">
        <v>1</v>
      </c>
    </row>
    <row r="836" spans="1:11" x14ac:dyDescent="0.25">
      <c r="A836">
        <v>61527800</v>
      </c>
      <c r="B836" s="1">
        <v>42929</v>
      </c>
      <c r="C836" s="2">
        <v>0.39988425925925924</v>
      </c>
      <c r="D836" s="2">
        <v>0.4100462962962963</v>
      </c>
      <c r="G836" s="4">
        <v>6694568</v>
      </c>
      <c r="H836">
        <v>1</v>
      </c>
      <c r="J836">
        <v>5550678</v>
      </c>
      <c r="K836">
        <v>1</v>
      </c>
    </row>
    <row r="837" spans="1:11" x14ac:dyDescent="0.25">
      <c r="A837">
        <v>4873703</v>
      </c>
      <c r="B837" s="1">
        <v>42929</v>
      </c>
      <c r="C837" s="2">
        <v>0.40539351851851851</v>
      </c>
      <c r="D837" s="2">
        <v>0.4143634259259259</v>
      </c>
      <c r="G837" s="4">
        <v>6703754</v>
      </c>
      <c r="H837">
        <v>1</v>
      </c>
      <c r="J837">
        <v>5582631</v>
      </c>
      <c r="K837">
        <v>1</v>
      </c>
    </row>
    <row r="838" spans="1:11" x14ac:dyDescent="0.25">
      <c r="A838">
        <v>43019885</v>
      </c>
      <c r="B838" s="1">
        <v>42929</v>
      </c>
      <c r="C838" s="2">
        <v>0.4064814814814815</v>
      </c>
      <c r="D838" s="2">
        <v>0.41630787037037037</v>
      </c>
      <c r="G838" s="4">
        <v>6709939</v>
      </c>
      <c r="H838">
        <v>2</v>
      </c>
      <c r="J838">
        <v>5588421</v>
      </c>
      <c r="K838">
        <v>1</v>
      </c>
    </row>
    <row r="839" spans="1:11" x14ac:dyDescent="0.25">
      <c r="A839">
        <v>7388260</v>
      </c>
      <c r="B839" s="1">
        <v>42929</v>
      </c>
      <c r="C839" s="2">
        <v>0.41149305555555554</v>
      </c>
      <c r="D839" s="2">
        <v>0.41928240740740741</v>
      </c>
      <c r="G839" s="4">
        <v>6712006</v>
      </c>
      <c r="H839">
        <v>1</v>
      </c>
      <c r="J839">
        <v>5604405</v>
      </c>
      <c r="K839">
        <v>1</v>
      </c>
    </row>
    <row r="840" spans="1:11" x14ac:dyDescent="0.25">
      <c r="A840">
        <v>4581715</v>
      </c>
      <c r="B840" s="1">
        <v>42929</v>
      </c>
      <c r="C840" s="2">
        <v>0.41172453703703704</v>
      </c>
      <c r="D840" s="2">
        <v>0.42146990740740742</v>
      </c>
      <c r="G840" s="4">
        <v>6716140</v>
      </c>
      <c r="H840">
        <v>1</v>
      </c>
      <c r="J840">
        <v>5610335</v>
      </c>
      <c r="K840">
        <v>1</v>
      </c>
    </row>
    <row r="841" spans="1:11" x14ac:dyDescent="0.25">
      <c r="A841">
        <v>58420185</v>
      </c>
      <c r="B841" s="1">
        <v>42929</v>
      </c>
      <c r="C841" s="2">
        <v>0.41729166666666667</v>
      </c>
      <c r="D841" s="2">
        <v>0.42122685185185182</v>
      </c>
      <c r="G841" s="4">
        <v>6717763</v>
      </c>
      <c r="H841">
        <v>2</v>
      </c>
      <c r="J841">
        <v>5613566</v>
      </c>
      <c r="K841">
        <v>1</v>
      </c>
    </row>
    <row r="842" spans="1:11" x14ac:dyDescent="0.25">
      <c r="A842">
        <v>45948073</v>
      </c>
      <c r="B842" s="1">
        <v>42929</v>
      </c>
      <c r="C842" s="2">
        <v>0.41979166666666667</v>
      </c>
      <c r="D842" s="2">
        <v>0.42586805555555557</v>
      </c>
      <c r="G842" s="4">
        <v>6719542</v>
      </c>
      <c r="H842">
        <v>2</v>
      </c>
      <c r="J842">
        <v>5616210</v>
      </c>
      <c r="K842">
        <v>1</v>
      </c>
    </row>
    <row r="843" spans="1:11" x14ac:dyDescent="0.25">
      <c r="A843">
        <v>4473835</v>
      </c>
      <c r="B843" s="1">
        <v>42929</v>
      </c>
      <c r="C843" s="2">
        <v>0.42091435185185183</v>
      </c>
      <c r="D843" s="2">
        <v>0.42609953703703701</v>
      </c>
      <c r="G843" s="4">
        <v>6725216</v>
      </c>
      <c r="H843">
        <v>1</v>
      </c>
      <c r="J843">
        <v>5631380</v>
      </c>
      <c r="K843">
        <v>1</v>
      </c>
    </row>
    <row r="844" spans="1:11" x14ac:dyDescent="0.25">
      <c r="A844">
        <v>7739841</v>
      </c>
      <c r="B844" s="1">
        <v>42929</v>
      </c>
      <c r="C844" s="2">
        <v>0.42418981481481483</v>
      </c>
      <c r="D844" s="2">
        <v>0.42598379629629629</v>
      </c>
      <c r="G844" s="4">
        <v>6729705</v>
      </c>
      <c r="H844">
        <v>1</v>
      </c>
      <c r="J844">
        <v>5636281</v>
      </c>
      <c r="K844">
        <v>1</v>
      </c>
    </row>
    <row r="845" spans="1:11" x14ac:dyDescent="0.25">
      <c r="A845">
        <v>6275284312</v>
      </c>
      <c r="B845" s="1">
        <v>42929</v>
      </c>
      <c r="C845" s="2">
        <v>0.4291550925925926</v>
      </c>
      <c r="D845" s="2">
        <v>0.4339351851851852</v>
      </c>
      <c r="G845" s="4">
        <v>6730442</v>
      </c>
      <c r="H845">
        <v>1</v>
      </c>
      <c r="J845">
        <v>5646830</v>
      </c>
      <c r="K845">
        <v>1</v>
      </c>
    </row>
    <row r="846" spans="1:11" x14ac:dyDescent="0.25">
      <c r="A846">
        <v>1692981</v>
      </c>
      <c r="B846" s="1">
        <v>42929</v>
      </c>
      <c r="C846" s="2">
        <v>0.43297453703703703</v>
      </c>
      <c r="D846" s="2">
        <v>0.43424768518518519</v>
      </c>
      <c r="G846" s="4">
        <v>6735390</v>
      </c>
      <c r="H846">
        <v>2</v>
      </c>
      <c r="J846">
        <v>5672312</v>
      </c>
      <c r="K846">
        <v>1</v>
      </c>
    </row>
    <row r="847" spans="1:11" x14ac:dyDescent="0.25">
      <c r="A847">
        <v>9270571</v>
      </c>
      <c r="B847" s="1">
        <v>42929</v>
      </c>
      <c r="C847" s="2">
        <v>0.43782407407407409</v>
      </c>
      <c r="D847" s="2">
        <v>0.44560185185185186</v>
      </c>
      <c r="G847" s="4">
        <v>6736331</v>
      </c>
      <c r="H847">
        <v>1</v>
      </c>
      <c r="J847">
        <v>5687077</v>
      </c>
      <c r="K847">
        <v>1</v>
      </c>
    </row>
    <row r="848" spans="1:11" x14ac:dyDescent="0.25">
      <c r="A848">
        <v>6299545</v>
      </c>
      <c r="B848" s="1">
        <v>42929</v>
      </c>
      <c r="C848" s="2">
        <v>0.43986111111111109</v>
      </c>
      <c r="D848" s="2">
        <v>0.44298611111111114</v>
      </c>
      <c r="G848" s="4">
        <v>6741642</v>
      </c>
      <c r="H848">
        <v>2</v>
      </c>
      <c r="J848">
        <v>5687447</v>
      </c>
      <c r="K848">
        <v>1</v>
      </c>
    </row>
    <row r="849" spans="1:11" x14ac:dyDescent="0.25">
      <c r="A849">
        <v>67064385</v>
      </c>
      <c r="B849" s="1">
        <v>42929</v>
      </c>
      <c r="C849" s="2">
        <v>0.44278935185185186</v>
      </c>
      <c r="D849" s="2">
        <v>0.44480324074074074</v>
      </c>
      <c r="G849" s="4">
        <v>6746757</v>
      </c>
      <c r="H849">
        <v>1</v>
      </c>
      <c r="J849">
        <v>5713477</v>
      </c>
      <c r="K849">
        <v>1</v>
      </c>
    </row>
    <row r="850" spans="1:11" x14ac:dyDescent="0.25">
      <c r="A850">
        <v>4062215</v>
      </c>
      <c r="B850" s="1">
        <v>42929</v>
      </c>
      <c r="C850" s="2">
        <v>0.44732638888888887</v>
      </c>
      <c r="D850" s="2">
        <v>0.45466435185185183</v>
      </c>
      <c r="G850" s="4">
        <v>6763741</v>
      </c>
      <c r="H850">
        <v>1</v>
      </c>
      <c r="J850">
        <v>5725773</v>
      </c>
      <c r="K850">
        <v>1</v>
      </c>
    </row>
    <row r="851" spans="1:11" x14ac:dyDescent="0.25">
      <c r="A851">
        <v>2835355</v>
      </c>
      <c r="B851" s="1">
        <v>42929</v>
      </c>
      <c r="C851" s="2">
        <v>0.45131944444444444</v>
      </c>
      <c r="D851" s="2">
        <v>0.45689814814814816</v>
      </c>
      <c r="G851" s="4">
        <v>6766881</v>
      </c>
      <c r="H851">
        <v>1</v>
      </c>
      <c r="J851">
        <v>5726531</v>
      </c>
      <c r="K851">
        <v>1</v>
      </c>
    </row>
    <row r="852" spans="1:11" x14ac:dyDescent="0.25">
      <c r="A852">
        <v>9283739</v>
      </c>
      <c r="B852" s="1">
        <v>42929</v>
      </c>
      <c r="C852" s="2">
        <v>0.45489583333333333</v>
      </c>
      <c r="D852" s="2">
        <v>0.46451388888888889</v>
      </c>
      <c r="G852" s="4">
        <v>6772052</v>
      </c>
      <c r="H852">
        <v>3</v>
      </c>
      <c r="J852">
        <v>5730350</v>
      </c>
      <c r="K852">
        <v>1</v>
      </c>
    </row>
    <row r="853" spans="1:11" x14ac:dyDescent="0.25">
      <c r="A853">
        <v>7118082</v>
      </c>
      <c r="B853" s="1">
        <v>42929</v>
      </c>
      <c r="C853" s="2">
        <v>0.45682870370370371</v>
      </c>
      <c r="D853" s="2">
        <v>0.4664699074074074</v>
      </c>
      <c r="G853" s="4">
        <v>6785899</v>
      </c>
      <c r="H853">
        <v>1</v>
      </c>
      <c r="J853">
        <v>5741700</v>
      </c>
      <c r="K853">
        <v>1</v>
      </c>
    </row>
    <row r="854" spans="1:11" x14ac:dyDescent="0.25">
      <c r="A854">
        <v>30178521</v>
      </c>
      <c r="B854" s="1">
        <v>42929</v>
      </c>
      <c r="C854" s="2">
        <v>0.45968750000000003</v>
      </c>
      <c r="D854" s="2">
        <v>0.46520833333333333</v>
      </c>
      <c r="G854" s="4">
        <v>6786847</v>
      </c>
      <c r="H854">
        <v>1</v>
      </c>
      <c r="J854">
        <v>5744555</v>
      </c>
      <c r="K854">
        <v>1</v>
      </c>
    </row>
    <row r="855" spans="1:11" x14ac:dyDescent="0.25">
      <c r="A855">
        <v>5014399</v>
      </c>
      <c r="B855" s="1">
        <v>42929</v>
      </c>
      <c r="C855" s="2">
        <v>0.46444444444444444</v>
      </c>
      <c r="D855" s="2">
        <v>0.46787037037037038</v>
      </c>
      <c r="G855" s="4">
        <v>6795454</v>
      </c>
      <c r="H855">
        <v>1</v>
      </c>
      <c r="J855">
        <v>5744567</v>
      </c>
      <c r="K855">
        <v>1</v>
      </c>
    </row>
    <row r="856" spans="1:11" x14ac:dyDescent="0.25">
      <c r="A856">
        <v>3984696</v>
      </c>
      <c r="B856" s="1">
        <v>42929</v>
      </c>
      <c r="C856" s="2">
        <v>0.46581018518518519</v>
      </c>
      <c r="D856" s="2">
        <v>0.46589120370370368</v>
      </c>
      <c r="G856" s="4">
        <v>6801890</v>
      </c>
      <c r="H856">
        <v>2</v>
      </c>
      <c r="J856">
        <v>5750549</v>
      </c>
      <c r="K856">
        <v>1</v>
      </c>
    </row>
    <row r="857" spans="1:11" x14ac:dyDescent="0.25">
      <c r="A857">
        <v>53386383</v>
      </c>
      <c r="B857" s="1">
        <v>42929</v>
      </c>
      <c r="C857" s="2">
        <v>0.47099537037037037</v>
      </c>
      <c r="D857" s="2">
        <v>0.47175925925925927</v>
      </c>
      <c r="G857" s="4">
        <v>6813775</v>
      </c>
      <c r="H857">
        <v>1</v>
      </c>
      <c r="J857">
        <v>5750819</v>
      </c>
      <c r="K857">
        <v>1</v>
      </c>
    </row>
    <row r="858" spans="1:11" x14ac:dyDescent="0.25">
      <c r="A858">
        <v>8733120283</v>
      </c>
      <c r="B858" s="1">
        <v>42929</v>
      </c>
      <c r="C858" s="2">
        <v>0.47134259259259259</v>
      </c>
      <c r="D858" s="2">
        <v>0.47659722222222223</v>
      </c>
      <c r="G858" s="4">
        <v>6818507</v>
      </c>
      <c r="H858">
        <v>1</v>
      </c>
      <c r="J858">
        <v>5758962</v>
      </c>
      <c r="K858">
        <v>1</v>
      </c>
    </row>
    <row r="859" spans="1:11" x14ac:dyDescent="0.25">
      <c r="A859">
        <v>6934405</v>
      </c>
      <c r="B859" s="1">
        <v>42929</v>
      </c>
      <c r="C859" s="2">
        <v>0.47321759259259261</v>
      </c>
      <c r="D859" s="2">
        <v>0.48008101851851853</v>
      </c>
      <c r="G859" s="4">
        <v>6821027</v>
      </c>
      <c r="H859">
        <v>1</v>
      </c>
      <c r="J859">
        <v>5759409</v>
      </c>
      <c r="K859">
        <v>1</v>
      </c>
    </row>
    <row r="860" spans="1:11" x14ac:dyDescent="0.25">
      <c r="A860">
        <v>54136845</v>
      </c>
      <c r="B860" s="1">
        <v>42929</v>
      </c>
      <c r="C860" s="2">
        <v>0.47890046296296296</v>
      </c>
      <c r="D860" s="2">
        <v>0.48042824074074075</v>
      </c>
      <c r="G860" s="4">
        <v>6833658</v>
      </c>
      <c r="H860">
        <v>1</v>
      </c>
      <c r="J860">
        <v>5786740</v>
      </c>
      <c r="K860">
        <v>1</v>
      </c>
    </row>
    <row r="861" spans="1:11" x14ac:dyDescent="0.25">
      <c r="A861">
        <v>76310343</v>
      </c>
      <c r="B861" s="1">
        <v>42929</v>
      </c>
      <c r="C861" s="2">
        <v>0.48312500000000003</v>
      </c>
      <c r="D861" s="2">
        <v>0.4889236111111111</v>
      </c>
      <c r="G861" s="4">
        <v>6844342</v>
      </c>
      <c r="H861">
        <v>1</v>
      </c>
      <c r="J861">
        <v>5788783</v>
      </c>
      <c r="K861">
        <v>1</v>
      </c>
    </row>
    <row r="862" spans="1:11" x14ac:dyDescent="0.25">
      <c r="A862">
        <v>9005999</v>
      </c>
      <c r="B862" s="1">
        <v>42929</v>
      </c>
      <c r="C862" s="2">
        <v>0.4878587962962963</v>
      </c>
      <c r="D862" s="2">
        <v>0.49609953703703702</v>
      </c>
      <c r="G862" s="4">
        <v>6855900</v>
      </c>
      <c r="H862">
        <v>1</v>
      </c>
      <c r="J862">
        <v>5809293</v>
      </c>
      <c r="K862">
        <v>1</v>
      </c>
    </row>
    <row r="863" spans="1:11" x14ac:dyDescent="0.25">
      <c r="A863">
        <v>7763451</v>
      </c>
      <c r="B863" s="1">
        <v>42929</v>
      </c>
      <c r="C863" s="2">
        <v>0.4911226851851852</v>
      </c>
      <c r="D863" s="2">
        <v>0.49859953703703702</v>
      </c>
      <c r="G863" s="4">
        <v>6859181</v>
      </c>
      <c r="H863">
        <v>1</v>
      </c>
      <c r="J863">
        <v>5815339</v>
      </c>
      <c r="K863">
        <v>1</v>
      </c>
    </row>
    <row r="864" spans="1:11" x14ac:dyDescent="0.25">
      <c r="A864">
        <v>3765001</v>
      </c>
      <c r="B864" s="1">
        <v>42929</v>
      </c>
      <c r="C864" s="2">
        <v>0.49283564814814818</v>
      </c>
      <c r="D864" s="2">
        <v>0.50396990740740744</v>
      </c>
      <c r="G864" s="4">
        <v>6865106</v>
      </c>
      <c r="H864">
        <v>2</v>
      </c>
      <c r="J864">
        <v>5822881</v>
      </c>
      <c r="K864">
        <v>1</v>
      </c>
    </row>
    <row r="865" spans="1:11" x14ac:dyDescent="0.25">
      <c r="A865">
        <v>8498076</v>
      </c>
      <c r="B865" s="1">
        <v>42929</v>
      </c>
      <c r="C865" s="2">
        <v>0.49493055555555554</v>
      </c>
      <c r="D865" s="2">
        <v>0.49898148148148147</v>
      </c>
      <c r="G865" s="4">
        <v>6865322</v>
      </c>
      <c r="H865">
        <v>1</v>
      </c>
      <c r="J865">
        <v>5829504</v>
      </c>
      <c r="K865">
        <v>1</v>
      </c>
    </row>
    <row r="866" spans="1:11" x14ac:dyDescent="0.25">
      <c r="A866">
        <v>4995171</v>
      </c>
      <c r="B866" s="1">
        <v>42929</v>
      </c>
      <c r="C866" s="2">
        <v>0.5006018518518518</v>
      </c>
      <c r="D866" s="2">
        <v>0.50388888888888894</v>
      </c>
      <c r="G866" s="4">
        <v>6878722</v>
      </c>
      <c r="H866">
        <v>1</v>
      </c>
      <c r="J866">
        <v>5835972</v>
      </c>
      <c r="K866">
        <v>1</v>
      </c>
    </row>
    <row r="867" spans="1:11" x14ac:dyDescent="0.25">
      <c r="A867">
        <v>8929993</v>
      </c>
      <c r="B867" s="1">
        <v>42929</v>
      </c>
      <c r="C867" s="2">
        <v>0.50173611111111116</v>
      </c>
      <c r="D867" s="2">
        <v>0.50722222222222224</v>
      </c>
      <c r="G867" s="4">
        <v>6884037</v>
      </c>
      <c r="H867">
        <v>1</v>
      </c>
      <c r="J867">
        <v>5850216</v>
      </c>
      <c r="K867">
        <v>1</v>
      </c>
    </row>
    <row r="868" spans="1:11" x14ac:dyDescent="0.25">
      <c r="A868">
        <v>7473804</v>
      </c>
      <c r="B868" s="1">
        <v>42929</v>
      </c>
      <c r="C868" s="2">
        <v>0.50675925925925924</v>
      </c>
      <c r="D868" s="2">
        <v>0.5138194444444445</v>
      </c>
      <c r="G868" s="4">
        <v>6890486</v>
      </c>
      <c r="H868">
        <v>1</v>
      </c>
      <c r="J868">
        <v>5854377</v>
      </c>
      <c r="K868">
        <v>1</v>
      </c>
    </row>
    <row r="869" spans="1:11" x14ac:dyDescent="0.25">
      <c r="A869">
        <v>1816002</v>
      </c>
      <c r="B869" s="1">
        <v>42929</v>
      </c>
      <c r="C869" s="2">
        <v>0.50732638888888892</v>
      </c>
      <c r="D869" s="2">
        <v>0.51005787037037043</v>
      </c>
      <c r="G869" s="4">
        <v>6891636</v>
      </c>
      <c r="H869">
        <v>1</v>
      </c>
      <c r="J869">
        <v>5856822</v>
      </c>
      <c r="K869">
        <v>1</v>
      </c>
    </row>
    <row r="870" spans="1:11" x14ac:dyDescent="0.25">
      <c r="A870">
        <v>4133182</v>
      </c>
      <c r="B870" s="1">
        <v>42929</v>
      </c>
      <c r="C870" s="2">
        <v>0.51061342592592596</v>
      </c>
      <c r="D870" s="2">
        <v>0.5118287037037037</v>
      </c>
      <c r="G870" s="4">
        <v>6892980</v>
      </c>
      <c r="H870">
        <v>1</v>
      </c>
      <c r="J870">
        <v>5859235</v>
      </c>
      <c r="K870">
        <v>1</v>
      </c>
    </row>
    <row r="871" spans="1:11" x14ac:dyDescent="0.25">
      <c r="A871">
        <v>63141248</v>
      </c>
      <c r="B871" s="1">
        <v>42929</v>
      </c>
      <c r="C871" s="2">
        <v>0.51224537037037032</v>
      </c>
      <c r="D871" s="2">
        <v>0.51730324074074074</v>
      </c>
      <c r="G871" s="4">
        <v>6894270</v>
      </c>
      <c r="H871">
        <v>1</v>
      </c>
      <c r="J871">
        <v>5881130</v>
      </c>
      <c r="K871">
        <v>1</v>
      </c>
    </row>
    <row r="872" spans="1:11" x14ac:dyDescent="0.25">
      <c r="A872">
        <v>7384686</v>
      </c>
      <c r="B872" s="1">
        <v>42929</v>
      </c>
      <c r="C872" s="2">
        <v>0.51616898148148149</v>
      </c>
      <c r="D872" s="2">
        <v>0.52461805555555552</v>
      </c>
      <c r="G872" s="4">
        <v>6896175</v>
      </c>
      <c r="H872">
        <v>1</v>
      </c>
      <c r="J872">
        <v>5883714</v>
      </c>
      <c r="K872">
        <v>1</v>
      </c>
    </row>
    <row r="873" spans="1:11" x14ac:dyDescent="0.25">
      <c r="A873">
        <v>3150344</v>
      </c>
      <c r="B873" s="1">
        <v>42929</v>
      </c>
      <c r="C873" s="2">
        <v>0.51709490740740738</v>
      </c>
      <c r="D873" s="2">
        <v>0.52684027777777775</v>
      </c>
      <c r="G873" s="4">
        <v>6896787</v>
      </c>
      <c r="H873">
        <v>1</v>
      </c>
      <c r="J873">
        <v>5893512</v>
      </c>
      <c r="K873">
        <v>1</v>
      </c>
    </row>
    <row r="874" spans="1:11" x14ac:dyDescent="0.25">
      <c r="A874">
        <v>6786847</v>
      </c>
      <c r="B874" s="1">
        <v>42929</v>
      </c>
      <c r="C874" s="2">
        <v>0.51986111111111111</v>
      </c>
      <c r="D874" s="2">
        <v>0.52924768518518517</v>
      </c>
      <c r="G874" s="4">
        <v>6897893</v>
      </c>
      <c r="H874">
        <v>1</v>
      </c>
      <c r="J874">
        <v>5894865</v>
      </c>
      <c r="K874">
        <v>1</v>
      </c>
    </row>
    <row r="875" spans="1:11" x14ac:dyDescent="0.25">
      <c r="A875">
        <v>2947889</v>
      </c>
      <c r="B875" s="1">
        <v>42929</v>
      </c>
      <c r="C875" s="2">
        <v>0.5232175925925926</v>
      </c>
      <c r="D875" s="2">
        <v>0.52965277777777775</v>
      </c>
      <c r="G875" s="4">
        <v>6900303</v>
      </c>
      <c r="H875">
        <v>1</v>
      </c>
      <c r="J875">
        <v>5900506</v>
      </c>
      <c r="K875">
        <v>1</v>
      </c>
    </row>
    <row r="876" spans="1:11" x14ac:dyDescent="0.25">
      <c r="A876">
        <v>28961250</v>
      </c>
      <c r="B876" s="1">
        <v>42929</v>
      </c>
      <c r="C876" s="2">
        <v>0.52353009259259264</v>
      </c>
      <c r="D876" s="2">
        <v>0.53097222222222218</v>
      </c>
      <c r="G876" s="4">
        <v>6905863</v>
      </c>
      <c r="H876">
        <v>2</v>
      </c>
      <c r="J876">
        <v>5900664</v>
      </c>
      <c r="K876">
        <v>1</v>
      </c>
    </row>
    <row r="877" spans="1:11" x14ac:dyDescent="0.25">
      <c r="A877">
        <v>3328479</v>
      </c>
      <c r="B877" s="1">
        <v>42929</v>
      </c>
      <c r="C877" s="2">
        <v>0.52668981481481481</v>
      </c>
      <c r="D877" s="2">
        <v>0.53594907407407411</v>
      </c>
      <c r="G877" s="4">
        <v>6919928</v>
      </c>
      <c r="H877">
        <v>1</v>
      </c>
      <c r="J877">
        <v>5912710</v>
      </c>
      <c r="K877">
        <v>1</v>
      </c>
    </row>
    <row r="878" spans="1:11" x14ac:dyDescent="0.25">
      <c r="A878">
        <v>61322035</v>
      </c>
      <c r="B878" s="1">
        <v>42929</v>
      </c>
      <c r="C878" s="2">
        <v>0.52906249999999999</v>
      </c>
      <c r="D878" s="2">
        <v>0.5294444444444445</v>
      </c>
      <c r="G878" s="4">
        <v>6920814</v>
      </c>
      <c r="H878">
        <v>1</v>
      </c>
      <c r="J878">
        <v>5913547</v>
      </c>
      <c r="K878">
        <v>1</v>
      </c>
    </row>
    <row r="879" spans="1:11" x14ac:dyDescent="0.25">
      <c r="A879">
        <v>40308049</v>
      </c>
      <c r="B879" s="1">
        <v>42929</v>
      </c>
      <c r="C879" s="2">
        <v>0.53047453703703706</v>
      </c>
      <c r="D879" s="2">
        <v>0.53797453703703701</v>
      </c>
      <c r="G879" s="4">
        <v>6922037</v>
      </c>
      <c r="H879">
        <v>1</v>
      </c>
      <c r="J879">
        <v>5913571</v>
      </c>
      <c r="K879">
        <v>1</v>
      </c>
    </row>
    <row r="880" spans="1:11" x14ac:dyDescent="0.25">
      <c r="A880">
        <v>7066778</v>
      </c>
      <c r="B880" s="1">
        <v>42929</v>
      </c>
      <c r="C880" s="2">
        <v>0.53484953703703708</v>
      </c>
      <c r="D880" s="2">
        <v>0.538599537037037</v>
      </c>
      <c r="G880" s="4">
        <v>6927270</v>
      </c>
      <c r="H880">
        <v>1</v>
      </c>
      <c r="J880">
        <v>5926011</v>
      </c>
      <c r="K880">
        <v>1</v>
      </c>
    </row>
    <row r="881" spans="1:11" x14ac:dyDescent="0.25">
      <c r="A881">
        <v>3434934</v>
      </c>
      <c r="B881" s="1">
        <v>42929</v>
      </c>
      <c r="C881" s="2">
        <v>0.54039351851851847</v>
      </c>
      <c r="D881" s="2">
        <v>0.55039351851851848</v>
      </c>
      <c r="G881" s="4">
        <v>6934405</v>
      </c>
      <c r="H881">
        <v>1</v>
      </c>
      <c r="J881">
        <v>5952625</v>
      </c>
      <c r="K881">
        <v>1</v>
      </c>
    </row>
    <row r="882" spans="1:11" x14ac:dyDescent="0.25">
      <c r="A882">
        <v>3017523</v>
      </c>
      <c r="B882" s="1">
        <v>42929</v>
      </c>
      <c r="C882" s="2">
        <v>0.54342592592592598</v>
      </c>
      <c r="D882" s="2">
        <v>0.54971064814814818</v>
      </c>
      <c r="G882" s="4">
        <v>6940373</v>
      </c>
      <c r="H882">
        <v>1</v>
      </c>
      <c r="J882">
        <v>5960122</v>
      </c>
      <c r="K882">
        <v>1</v>
      </c>
    </row>
    <row r="883" spans="1:11" x14ac:dyDescent="0.25">
      <c r="A883">
        <v>26699217</v>
      </c>
      <c r="B883" s="1">
        <v>42929</v>
      </c>
      <c r="C883" s="2">
        <v>0.5471759259259259</v>
      </c>
      <c r="D883" s="2">
        <v>0.55871527777777774</v>
      </c>
      <c r="G883" s="4">
        <v>6942059</v>
      </c>
      <c r="H883">
        <v>1</v>
      </c>
      <c r="J883">
        <v>5970183</v>
      </c>
      <c r="K883">
        <v>1</v>
      </c>
    </row>
    <row r="884" spans="1:11" x14ac:dyDescent="0.25">
      <c r="A884">
        <v>3192836</v>
      </c>
      <c r="B884" s="1">
        <v>42929</v>
      </c>
      <c r="C884" s="2">
        <v>0.54806712962962967</v>
      </c>
      <c r="D884" s="2">
        <v>0.54826388888888888</v>
      </c>
      <c r="G884" s="4">
        <v>6949463</v>
      </c>
      <c r="H884">
        <v>1</v>
      </c>
      <c r="J884">
        <v>5980925</v>
      </c>
      <c r="K884">
        <v>1</v>
      </c>
    </row>
    <row r="885" spans="1:11" x14ac:dyDescent="0.25">
      <c r="A885">
        <v>6979384</v>
      </c>
      <c r="B885" s="1">
        <v>42929</v>
      </c>
      <c r="C885" s="2">
        <v>0.55315972222222221</v>
      </c>
      <c r="D885" s="2">
        <v>0.56252314814814819</v>
      </c>
      <c r="G885" s="4">
        <v>6952061</v>
      </c>
      <c r="H885">
        <v>1</v>
      </c>
      <c r="J885">
        <v>5983034</v>
      </c>
      <c r="K885">
        <v>1</v>
      </c>
    </row>
    <row r="886" spans="1:11" x14ac:dyDescent="0.25">
      <c r="A886">
        <v>5277660</v>
      </c>
      <c r="B886" s="1">
        <v>42929</v>
      </c>
      <c r="C886" s="2">
        <v>0.55543981481481486</v>
      </c>
      <c r="D886" s="2">
        <v>0.56340277777777781</v>
      </c>
      <c r="G886" s="4">
        <v>6956143</v>
      </c>
      <c r="H886">
        <v>1</v>
      </c>
      <c r="J886">
        <v>5984039</v>
      </c>
      <c r="K886">
        <v>1</v>
      </c>
    </row>
    <row r="887" spans="1:11" x14ac:dyDescent="0.25">
      <c r="A887">
        <v>9543572</v>
      </c>
      <c r="B887" s="1">
        <v>42929</v>
      </c>
      <c r="C887" s="2">
        <v>0.55556712962962962</v>
      </c>
      <c r="D887" s="2">
        <v>0.56344907407407407</v>
      </c>
      <c r="G887" s="4">
        <v>6976431</v>
      </c>
      <c r="H887">
        <v>1</v>
      </c>
      <c r="J887">
        <v>5991516</v>
      </c>
      <c r="K887">
        <v>1</v>
      </c>
    </row>
    <row r="888" spans="1:11" x14ac:dyDescent="0.25">
      <c r="A888">
        <v>3984696</v>
      </c>
      <c r="B888" s="1">
        <v>42929</v>
      </c>
      <c r="C888" s="2">
        <v>0.55923611111111116</v>
      </c>
      <c r="D888" s="2">
        <v>0.5665162037037037</v>
      </c>
      <c r="G888" s="4">
        <v>6978234</v>
      </c>
      <c r="H888">
        <v>1</v>
      </c>
      <c r="J888">
        <v>5997385</v>
      </c>
      <c r="K888">
        <v>1</v>
      </c>
    </row>
    <row r="889" spans="1:11" x14ac:dyDescent="0.25">
      <c r="A889">
        <v>47855743</v>
      </c>
      <c r="B889" s="1">
        <v>42929</v>
      </c>
      <c r="C889" s="2">
        <v>0.56371527777777775</v>
      </c>
      <c r="D889" s="2">
        <v>0.57344907407407408</v>
      </c>
      <c r="G889" s="4">
        <v>6979384</v>
      </c>
      <c r="H889">
        <v>1</v>
      </c>
      <c r="J889">
        <v>6005020</v>
      </c>
      <c r="K889">
        <v>1</v>
      </c>
    </row>
    <row r="890" spans="1:11" x14ac:dyDescent="0.25">
      <c r="A890">
        <v>3095218</v>
      </c>
      <c r="B890" s="1">
        <v>42929</v>
      </c>
      <c r="C890" s="2">
        <v>0.56581018518518522</v>
      </c>
      <c r="D890" s="2">
        <v>0.57694444444444448</v>
      </c>
      <c r="G890" s="4">
        <v>6980867</v>
      </c>
      <c r="H890">
        <v>1</v>
      </c>
      <c r="J890">
        <v>6005355</v>
      </c>
      <c r="K890">
        <v>1</v>
      </c>
    </row>
    <row r="891" spans="1:11" x14ac:dyDescent="0.25">
      <c r="A891">
        <v>7933399</v>
      </c>
      <c r="B891" s="1">
        <v>42929</v>
      </c>
      <c r="C891" s="2">
        <v>0.57054398148148144</v>
      </c>
      <c r="D891" s="2">
        <v>0.57388888888888889</v>
      </c>
      <c r="G891" s="4">
        <v>6982652</v>
      </c>
      <c r="H891">
        <v>1</v>
      </c>
      <c r="J891">
        <v>6006309</v>
      </c>
      <c r="K891">
        <v>1</v>
      </c>
    </row>
    <row r="892" spans="1:11" x14ac:dyDescent="0.25">
      <c r="A892">
        <v>54821549</v>
      </c>
      <c r="B892" s="1">
        <v>42929</v>
      </c>
      <c r="C892" s="2">
        <v>0.57287037037037036</v>
      </c>
      <c r="D892" s="2">
        <v>0.57663194444444443</v>
      </c>
      <c r="G892" s="4">
        <v>6994188</v>
      </c>
      <c r="H892">
        <v>1</v>
      </c>
      <c r="J892">
        <v>6009110</v>
      </c>
      <c r="K892">
        <v>1</v>
      </c>
    </row>
    <row r="893" spans="1:11" x14ac:dyDescent="0.25">
      <c r="A893">
        <v>14919021</v>
      </c>
      <c r="B893" s="1">
        <v>42929</v>
      </c>
      <c r="C893" s="2">
        <v>0.57331018518518517</v>
      </c>
      <c r="D893" s="2">
        <v>0.57547453703703699</v>
      </c>
      <c r="G893" s="4">
        <v>6999348</v>
      </c>
      <c r="H893">
        <v>3</v>
      </c>
      <c r="J893">
        <v>6013508</v>
      </c>
      <c r="K893">
        <v>1</v>
      </c>
    </row>
    <row r="894" spans="1:11" x14ac:dyDescent="0.25">
      <c r="A894">
        <v>9175377</v>
      </c>
      <c r="B894" s="1">
        <v>42929</v>
      </c>
      <c r="C894" s="2">
        <v>0.57648148148148148</v>
      </c>
      <c r="D894" s="2">
        <v>0.57916666666666672</v>
      </c>
      <c r="G894" s="4">
        <v>7060245</v>
      </c>
      <c r="H894">
        <v>1</v>
      </c>
      <c r="J894">
        <v>6018613</v>
      </c>
      <c r="K894">
        <v>1</v>
      </c>
    </row>
    <row r="895" spans="1:11" x14ac:dyDescent="0.25">
      <c r="A895">
        <v>3656681</v>
      </c>
      <c r="B895" s="1">
        <v>42929</v>
      </c>
      <c r="C895" s="2">
        <v>0.58067129629629632</v>
      </c>
      <c r="D895" s="2">
        <v>0.59149305555555554</v>
      </c>
      <c r="G895" s="4">
        <v>7066389</v>
      </c>
      <c r="H895">
        <v>1</v>
      </c>
      <c r="J895">
        <v>6021417</v>
      </c>
      <c r="K895">
        <v>1</v>
      </c>
    </row>
    <row r="896" spans="1:11" x14ac:dyDescent="0.25">
      <c r="A896">
        <v>5741700</v>
      </c>
      <c r="B896" s="1">
        <v>42929</v>
      </c>
      <c r="C896" s="2">
        <v>0.58644675925925926</v>
      </c>
      <c r="D896" s="2">
        <v>0.5978472222222222</v>
      </c>
      <c r="G896" s="4">
        <v>7066778</v>
      </c>
      <c r="H896">
        <v>1</v>
      </c>
      <c r="J896">
        <v>6023049</v>
      </c>
      <c r="K896">
        <v>1</v>
      </c>
    </row>
    <row r="897" spans="1:11" x14ac:dyDescent="0.25">
      <c r="A897">
        <v>18816694</v>
      </c>
      <c r="B897" s="1">
        <v>42929</v>
      </c>
      <c r="C897" s="2">
        <v>0.59179398148148143</v>
      </c>
      <c r="D897" s="2">
        <v>0.60054398148148147</v>
      </c>
      <c r="G897" s="4">
        <v>7076463</v>
      </c>
      <c r="H897">
        <v>1</v>
      </c>
      <c r="J897">
        <v>6024447</v>
      </c>
      <c r="K897">
        <v>1</v>
      </c>
    </row>
    <row r="898" spans="1:11" x14ac:dyDescent="0.25">
      <c r="A898">
        <v>6177366</v>
      </c>
      <c r="B898" s="1">
        <v>42929</v>
      </c>
      <c r="C898" s="2">
        <v>0.59266203703703701</v>
      </c>
      <c r="D898" s="2">
        <v>0.59672453703703698</v>
      </c>
      <c r="G898" s="4">
        <v>7085993</v>
      </c>
      <c r="H898">
        <v>2</v>
      </c>
      <c r="J898">
        <v>6026397</v>
      </c>
      <c r="K898">
        <v>1</v>
      </c>
    </row>
    <row r="899" spans="1:11" x14ac:dyDescent="0.25">
      <c r="A899">
        <v>4221160</v>
      </c>
      <c r="B899" s="1">
        <v>42929</v>
      </c>
      <c r="C899" s="2">
        <v>0.59437499999999999</v>
      </c>
      <c r="D899" s="2">
        <v>0.60349537037037038</v>
      </c>
      <c r="G899" s="4">
        <v>7088840</v>
      </c>
      <c r="H899">
        <v>1</v>
      </c>
      <c r="J899">
        <v>6027120</v>
      </c>
      <c r="K899">
        <v>1</v>
      </c>
    </row>
    <row r="900" spans="1:11" x14ac:dyDescent="0.25">
      <c r="A900">
        <v>9339774</v>
      </c>
      <c r="B900" s="1">
        <v>42929</v>
      </c>
      <c r="C900" s="2">
        <v>0.59745370370370365</v>
      </c>
      <c r="D900" s="2">
        <v>0.607025462962963</v>
      </c>
      <c r="G900" s="4">
        <v>7097883</v>
      </c>
      <c r="H900">
        <v>1</v>
      </c>
      <c r="J900">
        <v>6045882</v>
      </c>
      <c r="K900">
        <v>1</v>
      </c>
    </row>
    <row r="901" spans="1:11" x14ac:dyDescent="0.25">
      <c r="A901">
        <v>46255010</v>
      </c>
      <c r="B901" s="1">
        <v>42929</v>
      </c>
      <c r="C901" s="2">
        <v>0.60008101851851847</v>
      </c>
      <c r="D901" s="2">
        <v>0.60182870370370367</v>
      </c>
      <c r="G901" s="4">
        <v>7110850</v>
      </c>
      <c r="H901">
        <v>1</v>
      </c>
      <c r="J901">
        <v>6047761</v>
      </c>
      <c r="K901">
        <v>1</v>
      </c>
    </row>
    <row r="902" spans="1:11" x14ac:dyDescent="0.25">
      <c r="A902">
        <v>91208799</v>
      </c>
      <c r="B902" s="1">
        <v>42929</v>
      </c>
      <c r="C902" s="2">
        <v>0.60311342592592587</v>
      </c>
      <c r="D902" s="2">
        <v>0.61048611111111106</v>
      </c>
      <c r="G902" s="4">
        <v>7114306</v>
      </c>
      <c r="H902">
        <v>1</v>
      </c>
      <c r="J902">
        <v>6050344</v>
      </c>
      <c r="K902">
        <v>1</v>
      </c>
    </row>
    <row r="903" spans="1:11" x14ac:dyDescent="0.25">
      <c r="A903">
        <v>7211782</v>
      </c>
      <c r="B903" s="1">
        <v>42929</v>
      </c>
      <c r="C903" s="2">
        <v>0.60773148148148148</v>
      </c>
      <c r="D903" s="2">
        <v>0.60799768518518515</v>
      </c>
      <c r="G903" s="4">
        <v>7118082</v>
      </c>
      <c r="H903">
        <v>2</v>
      </c>
      <c r="J903">
        <v>6050570</v>
      </c>
      <c r="K903">
        <v>1</v>
      </c>
    </row>
    <row r="904" spans="1:11" x14ac:dyDescent="0.25">
      <c r="A904">
        <v>3429335</v>
      </c>
      <c r="B904" s="1">
        <v>42929</v>
      </c>
      <c r="C904" s="2">
        <v>0.61346064814814816</v>
      </c>
      <c r="D904" s="2">
        <v>0.62468749999999995</v>
      </c>
      <c r="G904" s="4">
        <v>7123731</v>
      </c>
      <c r="H904">
        <v>1</v>
      </c>
      <c r="J904">
        <v>6051341</v>
      </c>
      <c r="K904">
        <v>1</v>
      </c>
    </row>
    <row r="905" spans="1:11" x14ac:dyDescent="0.25">
      <c r="A905">
        <v>3206241</v>
      </c>
      <c r="B905" s="1">
        <v>42929</v>
      </c>
      <c r="C905" s="2">
        <v>0.61614583333333328</v>
      </c>
      <c r="D905" s="2">
        <v>0.62736111111111115</v>
      </c>
      <c r="G905" s="4">
        <v>7126980</v>
      </c>
      <c r="H905">
        <v>1</v>
      </c>
      <c r="J905">
        <v>6055986</v>
      </c>
      <c r="K905">
        <v>1</v>
      </c>
    </row>
    <row r="906" spans="1:11" x14ac:dyDescent="0.25">
      <c r="A906">
        <v>8750670</v>
      </c>
      <c r="B906" s="1">
        <v>42929</v>
      </c>
      <c r="C906" s="2">
        <v>0.61686342592592591</v>
      </c>
      <c r="D906" s="2">
        <v>0.61760416666666662</v>
      </c>
      <c r="G906" s="4">
        <v>7151490</v>
      </c>
      <c r="H906">
        <v>1</v>
      </c>
      <c r="J906">
        <v>6056372</v>
      </c>
      <c r="K906">
        <v>1</v>
      </c>
    </row>
    <row r="907" spans="1:11" x14ac:dyDescent="0.25">
      <c r="A907">
        <v>7792679</v>
      </c>
      <c r="B907" s="1">
        <v>42929</v>
      </c>
      <c r="C907" s="2">
        <v>0.62046296296296299</v>
      </c>
      <c r="D907" s="2">
        <v>0.62071759259259263</v>
      </c>
      <c r="G907" s="4">
        <v>7160339</v>
      </c>
      <c r="H907">
        <v>1</v>
      </c>
      <c r="J907">
        <v>6062869</v>
      </c>
      <c r="K907">
        <v>1</v>
      </c>
    </row>
    <row r="908" spans="1:11" x14ac:dyDescent="0.25">
      <c r="A908">
        <v>9287211</v>
      </c>
      <c r="B908" s="1">
        <v>42929</v>
      </c>
      <c r="C908" s="2">
        <v>0.62178240740740742</v>
      </c>
      <c r="D908" s="2">
        <v>0.62540509259259258</v>
      </c>
      <c r="G908" s="4">
        <v>7166411</v>
      </c>
      <c r="H908">
        <v>1</v>
      </c>
      <c r="J908">
        <v>6070136</v>
      </c>
      <c r="K908">
        <v>1</v>
      </c>
    </row>
    <row r="909" spans="1:11" x14ac:dyDescent="0.25">
      <c r="A909">
        <v>1997542</v>
      </c>
      <c r="B909" s="1">
        <v>42929</v>
      </c>
      <c r="C909" s="2">
        <v>0.62749999999999995</v>
      </c>
      <c r="D909" s="2">
        <v>0.63146990740740738</v>
      </c>
      <c r="G909" s="4">
        <v>7191598</v>
      </c>
      <c r="H909">
        <v>1</v>
      </c>
      <c r="J909">
        <v>6070329</v>
      </c>
      <c r="K909">
        <v>1</v>
      </c>
    </row>
    <row r="910" spans="1:11" x14ac:dyDescent="0.25">
      <c r="A910">
        <v>3558582</v>
      </c>
      <c r="B910" s="1">
        <v>42930</v>
      </c>
      <c r="C910" s="2">
        <v>0.33658564814814818</v>
      </c>
      <c r="D910" s="2">
        <v>0.34384259259259259</v>
      </c>
      <c r="G910" s="4">
        <v>7203715</v>
      </c>
      <c r="H910">
        <v>1</v>
      </c>
      <c r="J910">
        <v>6087301</v>
      </c>
      <c r="K910">
        <v>1</v>
      </c>
    </row>
    <row r="911" spans="1:11" x14ac:dyDescent="0.25">
      <c r="A911">
        <v>25240352</v>
      </c>
      <c r="B911" s="1">
        <v>42930</v>
      </c>
      <c r="C911" s="2">
        <v>0.3369212962962963</v>
      </c>
      <c r="D911" s="2">
        <v>0.34468749999999998</v>
      </c>
      <c r="G911" s="4">
        <v>7207066</v>
      </c>
      <c r="H911">
        <v>1</v>
      </c>
      <c r="J911">
        <v>6087997</v>
      </c>
      <c r="K911">
        <v>1</v>
      </c>
    </row>
    <row r="912" spans="1:11" x14ac:dyDescent="0.25">
      <c r="A912">
        <v>5829504</v>
      </c>
      <c r="B912" s="1">
        <v>42930</v>
      </c>
      <c r="C912" s="2">
        <v>0.33802083333333333</v>
      </c>
      <c r="D912" s="2">
        <v>0.34233796296296298</v>
      </c>
      <c r="G912" s="4">
        <v>7211782</v>
      </c>
      <c r="H912">
        <v>1</v>
      </c>
      <c r="J912">
        <v>6118241</v>
      </c>
      <c r="K912">
        <v>1</v>
      </c>
    </row>
    <row r="913" spans="1:11" x14ac:dyDescent="0.25">
      <c r="A913">
        <v>97317489</v>
      </c>
      <c r="B913" s="1">
        <v>42930</v>
      </c>
      <c r="C913" s="2">
        <v>0.34062500000000001</v>
      </c>
      <c r="D913" s="2">
        <v>0.34333333333333332</v>
      </c>
      <c r="G913" s="4">
        <v>7215284</v>
      </c>
      <c r="H913">
        <v>2</v>
      </c>
      <c r="J913">
        <v>6124638</v>
      </c>
      <c r="K913">
        <v>1</v>
      </c>
    </row>
    <row r="914" spans="1:11" x14ac:dyDescent="0.25">
      <c r="A914">
        <v>53762222</v>
      </c>
      <c r="B914" s="1">
        <v>42930</v>
      </c>
      <c r="C914" s="2">
        <v>0.34262731481481479</v>
      </c>
      <c r="D914" s="2">
        <v>0.34824074074074074</v>
      </c>
      <c r="G914" s="4">
        <v>7219884</v>
      </c>
      <c r="H914">
        <v>1</v>
      </c>
      <c r="J914">
        <v>6131743</v>
      </c>
      <c r="K914">
        <v>1</v>
      </c>
    </row>
    <row r="915" spans="1:11" x14ac:dyDescent="0.25">
      <c r="A915">
        <v>3363840</v>
      </c>
      <c r="B915" s="1">
        <v>42930</v>
      </c>
      <c r="C915" s="2">
        <v>0.34431712962962963</v>
      </c>
      <c r="D915" s="2">
        <v>0.34605324074074073</v>
      </c>
      <c r="G915" s="4">
        <v>7224275</v>
      </c>
      <c r="H915">
        <v>1</v>
      </c>
      <c r="J915">
        <v>6146223</v>
      </c>
      <c r="K915">
        <v>1</v>
      </c>
    </row>
    <row r="916" spans="1:11" x14ac:dyDescent="0.25">
      <c r="A916">
        <v>5542324</v>
      </c>
      <c r="B916" s="1">
        <v>42930</v>
      </c>
      <c r="C916" s="2">
        <v>0.34528935185185183</v>
      </c>
      <c r="D916" s="2">
        <v>0.3541435185185185</v>
      </c>
      <c r="G916" s="4">
        <v>7225111</v>
      </c>
      <c r="H916">
        <v>1</v>
      </c>
      <c r="J916">
        <v>6151478</v>
      </c>
      <c r="K916">
        <v>1</v>
      </c>
    </row>
    <row r="917" spans="1:11" x14ac:dyDescent="0.25">
      <c r="A917">
        <v>9853612</v>
      </c>
      <c r="B917" s="1">
        <v>42930</v>
      </c>
      <c r="C917" s="2">
        <v>0.34848379629629628</v>
      </c>
      <c r="D917" s="2">
        <v>0.35927083333333332</v>
      </c>
      <c r="G917" s="4">
        <v>7226610</v>
      </c>
      <c r="H917">
        <v>1</v>
      </c>
      <c r="J917">
        <v>6156594</v>
      </c>
      <c r="K917">
        <v>1</v>
      </c>
    </row>
    <row r="918" spans="1:11" x14ac:dyDescent="0.25">
      <c r="A918">
        <v>5392799</v>
      </c>
      <c r="B918" s="1">
        <v>42930</v>
      </c>
      <c r="C918" s="2">
        <v>0.35270833333333335</v>
      </c>
      <c r="D918" s="2">
        <v>0.36254629629629631</v>
      </c>
      <c r="G918" s="4">
        <v>7230252</v>
      </c>
      <c r="H918">
        <v>1</v>
      </c>
      <c r="J918">
        <v>6158527</v>
      </c>
      <c r="K918">
        <v>1</v>
      </c>
    </row>
    <row r="919" spans="1:11" x14ac:dyDescent="0.25">
      <c r="A919">
        <v>1089768</v>
      </c>
      <c r="B919" s="1">
        <v>42930</v>
      </c>
      <c r="C919" s="2">
        <v>0.35497685185185185</v>
      </c>
      <c r="D919" s="2">
        <v>0.36493055555555554</v>
      </c>
      <c r="G919" s="4">
        <v>7236035</v>
      </c>
      <c r="H919">
        <v>3</v>
      </c>
      <c r="J919">
        <v>6161675</v>
      </c>
      <c r="K919">
        <v>1</v>
      </c>
    </row>
    <row r="920" spans="1:11" x14ac:dyDescent="0.25">
      <c r="A920">
        <v>4274311</v>
      </c>
      <c r="B920" s="1">
        <v>42930</v>
      </c>
      <c r="C920" s="2">
        <v>0.35699074074074072</v>
      </c>
      <c r="D920" s="2">
        <v>0.36554398148148148</v>
      </c>
      <c r="G920" s="4">
        <v>7269536</v>
      </c>
      <c r="H920">
        <v>1</v>
      </c>
      <c r="J920">
        <v>6177366</v>
      </c>
      <c r="K920">
        <v>1</v>
      </c>
    </row>
    <row r="921" spans="1:11" x14ac:dyDescent="0.25">
      <c r="A921">
        <v>8276893</v>
      </c>
      <c r="B921" s="1">
        <v>42930</v>
      </c>
      <c r="C921" s="2">
        <v>0.36056712962962961</v>
      </c>
      <c r="D921" s="2">
        <v>0.36929398148148146</v>
      </c>
      <c r="G921" s="4">
        <v>7273239</v>
      </c>
      <c r="H921">
        <v>1</v>
      </c>
      <c r="J921">
        <v>6191682</v>
      </c>
      <c r="K921">
        <v>1</v>
      </c>
    </row>
    <row r="922" spans="1:11" x14ac:dyDescent="0.25">
      <c r="A922">
        <v>24724114</v>
      </c>
      <c r="B922" s="1">
        <v>42930</v>
      </c>
      <c r="C922" s="2">
        <v>0.36212962962962963</v>
      </c>
      <c r="D922" s="2">
        <v>0.36342592592592593</v>
      </c>
      <c r="G922" s="4">
        <v>7275091</v>
      </c>
      <c r="H922">
        <v>2</v>
      </c>
      <c r="J922">
        <v>6194112</v>
      </c>
      <c r="K922">
        <v>1</v>
      </c>
    </row>
    <row r="923" spans="1:11" x14ac:dyDescent="0.25">
      <c r="A923">
        <v>23580194</v>
      </c>
      <c r="B923" s="1">
        <v>42930</v>
      </c>
      <c r="C923" s="2">
        <v>0.36516203703703703</v>
      </c>
      <c r="D923" s="2">
        <v>0.37596064814814817</v>
      </c>
      <c r="G923" s="4">
        <v>7279106</v>
      </c>
      <c r="H923">
        <v>1</v>
      </c>
      <c r="J923">
        <v>6218089</v>
      </c>
      <c r="K923">
        <v>1</v>
      </c>
    </row>
    <row r="924" spans="1:11" x14ac:dyDescent="0.25">
      <c r="A924">
        <v>1775131</v>
      </c>
      <c r="B924" s="1">
        <v>42930</v>
      </c>
      <c r="C924" s="2">
        <v>0.36922453703703706</v>
      </c>
      <c r="D924" s="2">
        <v>0.36994212962962963</v>
      </c>
      <c r="G924" s="4">
        <v>7288626</v>
      </c>
      <c r="H924">
        <v>1</v>
      </c>
      <c r="J924">
        <v>6220398</v>
      </c>
      <c r="K924">
        <v>1</v>
      </c>
    </row>
    <row r="925" spans="1:11" x14ac:dyDescent="0.25">
      <c r="A925">
        <v>8001915</v>
      </c>
      <c r="B925" s="1">
        <v>42930</v>
      </c>
      <c r="C925" s="2">
        <v>0.3712037037037037</v>
      </c>
      <c r="D925" s="2">
        <v>0.38064814814814812</v>
      </c>
      <c r="G925" s="4">
        <v>7291318</v>
      </c>
      <c r="H925">
        <v>1</v>
      </c>
      <c r="J925">
        <v>6242177</v>
      </c>
      <c r="K925">
        <v>1</v>
      </c>
    </row>
    <row r="926" spans="1:11" x14ac:dyDescent="0.25">
      <c r="A926">
        <v>7508054</v>
      </c>
      <c r="B926" s="1">
        <v>42930</v>
      </c>
      <c r="C926" s="2">
        <v>0.37480324074074073</v>
      </c>
      <c r="D926" s="2">
        <v>0.38201388888888888</v>
      </c>
      <c r="G926" s="4">
        <v>7292887</v>
      </c>
      <c r="H926">
        <v>1</v>
      </c>
      <c r="J926">
        <v>6251788</v>
      </c>
      <c r="K926">
        <v>1</v>
      </c>
    </row>
    <row r="927" spans="1:11" x14ac:dyDescent="0.25">
      <c r="A927">
        <v>5854377</v>
      </c>
      <c r="B927" s="1">
        <v>42930</v>
      </c>
      <c r="C927" s="2">
        <v>0.37506944444444446</v>
      </c>
      <c r="D927" s="2">
        <v>0.37829861111111113</v>
      </c>
      <c r="G927" s="4">
        <v>7295667</v>
      </c>
      <c r="H927">
        <v>1</v>
      </c>
      <c r="J927">
        <v>6257971</v>
      </c>
      <c r="K927">
        <v>1</v>
      </c>
    </row>
    <row r="928" spans="1:11" x14ac:dyDescent="0.25">
      <c r="A928">
        <v>3478173</v>
      </c>
      <c r="B928" s="1">
        <v>42930</v>
      </c>
      <c r="C928" s="2">
        <v>0.37942129629629628</v>
      </c>
      <c r="D928" s="2">
        <v>0.38388888888888889</v>
      </c>
      <c r="G928" s="4">
        <v>7320123</v>
      </c>
      <c r="H928">
        <v>1</v>
      </c>
      <c r="J928">
        <v>6269166</v>
      </c>
      <c r="K928">
        <v>1</v>
      </c>
    </row>
    <row r="929" spans="1:11" x14ac:dyDescent="0.25">
      <c r="A929">
        <v>3999937</v>
      </c>
      <c r="B929" s="1">
        <v>42930</v>
      </c>
      <c r="C929" s="2">
        <v>0.38447916666666665</v>
      </c>
      <c r="D929" s="2">
        <v>0.39068287037037036</v>
      </c>
      <c r="G929" s="4">
        <v>7321543</v>
      </c>
      <c r="H929">
        <v>1</v>
      </c>
      <c r="J929">
        <v>6270159</v>
      </c>
      <c r="K929">
        <v>1</v>
      </c>
    </row>
    <row r="930" spans="1:11" x14ac:dyDescent="0.25">
      <c r="A930">
        <v>83559673</v>
      </c>
      <c r="B930" s="1">
        <v>42930</v>
      </c>
      <c r="C930" s="2">
        <v>0.38571759259259258</v>
      </c>
      <c r="D930" s="2">
        <v>0.39630787037037035</v>
      </c>
      <c r="G930" s="4">
        <v>7322741</v>
      </c>
      <c r="H930">
        <v>1</v>
      </c>
      <c r="J930">
        <v>6290575</v>
      </c>
      <c r="K930">
        <v>1</v>
      </c>
    </row>
    <row r="931" spans="1:11" x14ac:dyDescent="0.25">
      <c r="A931">
        <v>1355775</v>
      </c>
      <c r="B931" s="1">
        <v>42930</v>
      </c>
      <c r="C931" s="2">
        <v>0.38942129629629629</v>
      </c>
      <c r="D931" s="2">
        <v>0.39034722222222223</v>
      </c>
      <c r="G931" s="4">
        <v>7340326</v>
      </c>
      <c r="H931">
        <v>1</v>
      </c>
      <c r="J931">
        <v>6299545</v>
      </c>
      <c r="K931">
        <v>1</v>
      </c>
    </row>
    <row r="932" spans="1:11" x14ac:dyDescent="0.25">
      <c r="A932">
        <v>3463982286</v>
      </c>
      <c r="B932" s="1">
        <v>42930</v>
      </c>
      <c r="C932" s="2">
        <v>0.39506944444444442</v>
      </c>
      <c r="D932" s="2">
        <v>0.40261574074074075</v>
      </c>
      <c r="G932" s="4">
        <v>7353916</v>
      </c>
      <c r="H932">
        <v>2</v>
      </c>
      <c r="J932">
        <v>6304174</v>
      </c>
      <c r="K932">
        <v>1</v>
      </c>
    </row>
    <row r="933" spans="1:11" x14ac:dyDescent="0.25">
      <c r="A933">
        <v>8870498</v>
      </c>
      <c r="B933" s="1">
        <v>42930</v>
      </c>
      <c r="C933" s="2">
        <v>0.4001736111111111</v>
      </c>
      <c r="D933" s="2">
        <v>0.40182870370370372</v>
      </c>
      <c r="G933" s="4">
        <v>7362963</v>
      </c>
      <c r="H933">
        <v>1</v>
      </c>
      <c r="J933">
        <v>6305758</v>
      </c>
      <c r="K933">
        <v>1</v>
      </c>
    </row>
    <row r="934" spans="1:11" x14ac:dyDescent="0.25">
      <c r="A934">
        <v>9894998</v>
      </c>
      <c r="B934" s="1">
        <v>42930</v>
      </c>
      <c r="C934" s="2">
        <v>0.40337962962962964</v>
      </c>
      <c r="D934" s="2">
        <v>0.41137731481481482</v>
      </c>
      <c r="G934" s="4">
        <v>7364500</v>
      </c>
      <c r="H934">
        <v>1</v>
      </c>
      <c r="J934">
        <v>6309138</v>
      </c>
      <c r="K934">
        <v>1</v>
      </c>
    </row>
    <row r="935" spans="1:11" x14ac:dyDescent="0.25">
      <c r="A935">
        <v>8841955</v>
      </c>
      <c r="B935" s="1">
        <v>42930</v>
      </c>
      <c r="C935" s="2">
        <v>0.40635416666666668</v>
      </c>
      <c r="D935" s="2">
        <v>0.40642361111111114</v>
      </c>
      <c r="G935" s="4">
        <v>7377702</v>
      </c>
      <c r="H935">
        <v>2</v>
      </c>
      <c r="J935">
        <v>6312012</v>
      </c>
      <c r="K935">
        <v>1</v>
      </c>
    </row>
    <row r="936" spans="1:11" x14ac:dyDescent="0.25">
      <c r="A936">
        <v>7379567</v>
      </c>
      <c r="B936" s="1">
        <v>42930</v>
      </c>
      <c r="C936" s="2">
        <v>0.4098148148148148</v>
      </c>
      <c r="D936" s="2">
        <v>0.41626157407407405</v>
      </c>
      <c r="G936" s="4">
        <v>7379567</v>
      </c>
      <c r="H936">
        <v>1</v>
      </c>
      <c r="J936">
        <v>6320579</v>
      </c>
      <c r="K936">
        <v>1</v>
      </c>
    </row>
    <row r="937" spans="1:11" x14ac:dyDescent="0.25">
      <c r="A937">
        <v>2092198</v>
      </c>
      <c r="B937" s="1">
        <v>42930</v>
      </c>
      <c r="C937" s="2">
        <v>0.41068287037037038</v>
      </c>
      <c r="D937" s="2">
        <v>0.41288194444444443</v>
      </c>
      <c r="G937" s="4">
        <v>7384686</v>
      </c>
      <c r="H937">
        <v>1</v>
      </c>
      <c r="J937">
        <v>6326108</v>
      </c>
      <c r="K937">
        <v>1</v>
      </c>
    </row>
    <row r="938" spans="1:11" x14ac:dyDescent="0.25">
      <c r="A938">
        <v>6006309</v>
      </c>
      <c r="B938" s="1">
        <v>42930</v>
      </c>
      <c r="C938" s="2">
        <v>0.41601851851851851</v>
      </c>
      <c r="D938" s="2">
        <v>0.41792824074074075</v>
      </c>
      <c r="G938" s="4">
        <v>7388260</v>
      </c>
      <c r="H938">
        <v>1</v>
      </c>
      <c r="J938">
        <v>6333341</v>
      </c>
      <c r="K938">
        <v>1</v>
      </c>
    </row>
    <row r="939" spans="1:11" x14ac:dyDescent="0.25">
      <c r="A939">
        <v>6736331</v>
      </c>
      <c r="B939" s="1">
        <v>42930</v>
      </c>
      <c r="C939" s="2">
        <v>0.41616898148148146</v>
      </c>
      <c r="D939" s="2">
        <v>0.42019675925925926</v>
      </c>
      <c r="G939" s="4">
        <v>7396921</v>
      </c>
      <c r="H939">
        <v>1</v>
      </c>
      <c r="J939">
        <v>6333547</v>
      </c>
      <c r="K939">
        <v>1</v>
      </c>
    </row>
    <row r="940" spans="1:11" x14ac:dyDescent="0.25">
      <c r="A940">
        <v>7291318</v>
      </c>
      <c r="B940" s="1">
        <v>42930</v>
      </c>
      <c r="C940" s="2">
        <v>0.41781249999999998</v>
      </c>
      <c r="D940" s="2">
        <v>0.42886574074074074</v>
      </c>
      <c r="G940" s="4">
        <v>7415603</v>
      </c>
      <c r="H940">
        <v>3</v>
      </c>
      <c r="J940">
        <v>6337931</v>
      </c>
      <c r="K940">
        <v>1</v>
      </c>
    </row>
    <row r="941" spans="1:11" x14ac:dyDescent="0.25">
      <c r="A941">
        <v>30178521</v>
      </c>
      <c r="B941" s="1">
        <v>42930</v>
      </c>
      <c r="C941" s="2">
        <v>0.42238425925925926</v>
      </c>
      <c r="D941" s="2">
        <v>0.42388888888888887</v>
      </c>
      <c r="G941" s="4">
        <v>7421094</v>
      </c>
      <c r="H941">
        <v>1</v>
      </c>
      <c r="J941">
        <v>6341482</v>
      </c>
      <c r="K941">
        <v>1</v>
      </c>
    </row>
    <row r="942" spans="1:11" x14ac:dyDescent="0.25">
      <c r="A942">
        <v>3232376</v>
      </c>
      <c r="B942" s="1">
        <v>42930</v>
      </c>
      <c r="C942" s="2">
        <v>0.42584490740740738</v>
      </c>
      <c r="D942" s="2">
        <v>0.43512731481481481</v>
      </c>
      <c r="G942" s="4">
        <v>7421868</v>
      </c>
      <c r="H942">
        <v>2</v>
      </c>
      <c r="J942">
        <v>6345014</v>
      </c>
      <c r="K942">
        <v>1</v>
      </c>
    </row>
    <row r="943" spans="1:11" x14ac:dyDescent="0.25">
      <c r="A943">
        <v>7536048937</v>
      </c>
      <c r="B943" s="1">
        <v>42930</v>
      </c>
      <c r="C943" s="2">
        <v>0.43115740740740743</v>
      </c>
      <c r="D943" s="2">
        <v>0.43990740740740741</v>
      </c>
      <c r="G943" s="4">
        <v>7432767</v>
      </c>
      <c r="H943">
        <v>2</v>
      </c>
      <c r="J943">
        <v>6357818</v>
      </c>
      <c r="K943">
        <v>1</v>
      </c>
    </row>
    <row r="944" spans="1:11" x14ac:dyDescent="0.25">
      <c r="A944">
        <v>6026397</v>
      </c>
      <c r="B944" s="1">
        <v>42930</v>
      </c>
      <c r="C944" s="2">
        <v>0.43362268518518521</v>
      </c>
      <c r="D944" s="2">
        <v>0.44447916666666665</v>
      </c>
      <c r="G944" s="4">
        <v>7439955</v>
      </c>
      <c r="H944">
        <v>1</v>
      </c>
      <c r="J944">
        <v>6367284</v>
      </c>
      <c r="K944">
        <v>1</v>
      </c>
    </row>
    <row r="945" spans="1:11" x14ac:dyDescent="0.25">
      <c r="A945">
        <v>54821549</v>
      </c>
      <c r="B945" s="1">
        <v>42930</v>
      </c>
      <c r="C945" s="2">
        <v>0.43517361111111114</v>
      </c>
      <c r="D945" s="2">
        <v>0.4466087962962963</v>
      </c>
      <c r="G945" s="4">
        <v>7449832</v>
      </c>
      <c r="H945">
        <v>1</v>
      </c>
      <c r="J945">
        <v>6374704</v>
      </c>
      <c r="K945">
        <v>1</v>
      </c>
    </row>
    <row r="946" spans="1:11" x14ac:dyDescent="0.25">
      <c r="A946">
        <v>4555937</v>
      </c>
      <c r="B946" s="1">
        <v>42930</v>
      </c>
      <c r="C946" s="2">
        <v>0.43956018518518519</v>
      </c>
      <c r="D946" s="2">
        <v>0.44253472222222223</v>
      </c>
      <c r="G946" s="4">
        <v>7456918</v>
      </c>
      <c r="H946">
        <v>1</v>
      </c>
      <c r="J946">
        <v>6384230</v>
      </c>
      <c r="K946">
        <v>1</v>
      </c>
    </row>
    <row r="947" spans="1:11" x14ac:dyDescent="0.25">
      <c r="A947">
        <v>65621292</v>
      </c>
      <c r="B947" s="1">
        <v>42930</v>
      </c>
      <c r="C947" s="2">
        <v>0.44060185185185186</v>
      </c>
      <c r="D947" s="2">
        <v>0.44655092592592593</v>
      </c>
      <c r="G947" s="4">
        <v>7457716</v>
      </c>
      <c r="H947">
        <v>1</v>
      </c>
      <c r="J947">
        <v>6386788</v>
      </c>
      <c r="K947">
        <v>1</v>
      </c>
    </row>
    <row r="948" spans="1:11" x14ac:dyDescent="0.25">
      <c r="A948">
        <v>13898038</v>
      </c>
      <c r="B948" s="1">
        <v>42930</v>
      </c>
      <c r="C948" s="2">
        <v>0.44072916666666667</v>
      </c>
      <c r="D948" s="2">
        <v>0.4496412037037037</v>
      </c>
      <c r="G948" s="4">
        <v>7467198</v>
      </c>
      <c r="H948">
        <v>1</v>
      </c>
      <c r="J948">
        <v>6420583</v>
      </c>
      <c r="K948">
        <v>1</v>
      </c>
    </row>
    <row r="949" spans="1:11" x14ac:dyDescent="0.25">
      <c r="A949">
        <v>6018613</v>
      </c>
      <c r="B949" s="1">
        <v>42930</v>
      </c>
      <c r="C949" s="2">
        <v>0.44295138888888891</v>
      </c>
      <c r="D949" s="2">
        <v>0.44545138888888891</v>
      </c>
      <c r="G949" s="4">
        <v>7471152</v>
      </c>
      <c r="H949">
        <v>1</v>
      </c>
      <c r="J949">
        <v>6426011</v>
      </c>
      <c r="K949">
        <v>1</v>
      </c>
    </row>
    <row r="950" spans="1:11" x14ac:dyDescent="0.25">
      <c r="A950">
        <v>7741751</v>
      </c>
      <c r="B950" s="1">
        <v>42930</v>
      </c>
      <c r="C950" s="2">
        <v>0.4450925925925926</v>
      </c>
      <c r="D950" s="2">
        <v>0.44888888888888889</v>
      </c>
      <c r="G950" s="4">
        <v>7473070</v>
      </c>
      <c r="H950">
        <v>1</v>
      </c>
      <c r="J950">
        <v>6426246</v>
      </c>
      <c r="K950">
        <v>1</v>
      </c>
    </row>
    <row r="951" spans="1:11" x14ac:dyDescent="0.25">
      <c r="A951">
        <v>5512492</v>
      </c>
      <c r="B951" s="1">
        <v>42930</v>
      </c>
      <c r="C951" s="2">
        <v>0.44538194444444446</v>
      </c>
      <c r="D951" s="2">
        <v>0.4525925925925926</v>
      </c>
      <c r="G951" s="4">
        <v>7473804</v>
      </c>
      <c r="H951">
        <v>2</v>
      </c>
      <c r="J951">
        <v>6434255</v>
      </c>
      <c r="K951">
        <v>1</v>
      </c>
    </row>
    <row r="952" spans="1:11" x14ac:dyDescent="0.25">
      <c r="A952">
        <v>36332723</v>
      </c>
      <c r="B952" s="1">
        <v>42930</v>
      </c>
      <c r="C952" s="2">
        <v>0.44593749999999999</v>
      </c>
      <c r="D952" s="2">
        <v>0.44957175925925924</v>
      </c>
      <c r="G952" s="4">
        <v>7488966</v>
      </c>
      <c r="H952">
        <v>1</v>
      </c>
      <c r="J952">
        <v>6439414</v>
      </c>
      <c r="K952">
        <v>1</v>
      </c>
    </row>
    <row r="953" spans="1:11" x14ac:dyDescent="0.25">
      <c r="A953">
        <v>28961250</v>
      </c>
      <c r="B953" s="1">
        <v>42930</v>
      </c>
      <c r="C953" s="2">
        <v>0.4478935185185185</v>
      </c>
      <c r="D953" s="2">
        <v>0.44805555555555554</v>
      </c>
      <c r="G953" s="4">
        <v>7503173</v>
      </c>
      <c r="H953">
        <v>1</v>
      </c>
      <c r="J953">
        <v>6460935</v>
      </c>
      <c r="K953">
        <v>1</v>
      </c>
    </row>
    <row r="954" spans="1:11" x14ac:dyDescent="0.25">
      <c r="A954">
        <v>96191858</v>
      </c>
      <c r="B954" s="1">
        <v>42930</v>
      </c>
      <c r="C954" s="2">
        <v>0.44916666666666666</v>
      </c>
      <c r="D954" s="2">
        <v>0.46023148148148146</v>
      </c>
      <c r="G954" s="4">
        <v>7507354</v>
      </c>
      <c r="H954">
        <v>1</v>
      </c>
      <c r="J954">
        <v>6461167</v>
      </c>
      <c r="K954">
        <v>1</v>
      </c>
    </row>
    <row r="955" spans="1:11" x14ac:dyDescent="0.25">
      <c r="A955">
        <v>49342013</v>
      </c>
      <c r="B955" s="1">
        <v>42930</v>
      </c>
      <c r="C955" s="2">
        <v>0.45233796296296297</v>
      </c>
      <c r="D955" s="2">
        <v>0.45649305555555558</v>
      </c>
      <c r="G955" s="4">
        <v>7507831</v>
      </c>
      <c r="H955">
        <v>1</v>
      </c>
      <c r="J955">
        <v>6465122</v>
      </c>
      <c r="K955">
        <v>1</v>
      </c>
    </row>
    <row r="956" spans="1:11" x14ac:dyDescent="0.25">
      <c r="A956">
        <v>2329556</v>
      </c>
      <c r="B956" s="1">
        <v>42930</v>
      </c>
      <c r="C956" s="2">
        <v>0.45667824074074076</v>
      </c>
      <c r="D956" s="2">
        <v>0.45679398148148148</v>
      </c>
      <c r="G956" s="4">
        <v>7508054</v>
      </c>
      <c r="H956">
        <v>1</v>
      </c>
      <c r="J956">
        <v>6468376</v>
      </c>
      <c r="K956">
        <v>1</v>
      </c>
    </row>
    <row r="957" spans="1:11" x14ac:dyDescent="0.25">
      <c r="A957">
        <v>2969264</v>
      </c>
      <c r="B957" s="1">
        <v>42930</v>
      </c>
      <c r="C957" s="2">
        <v>0.45930555555555558</v>
      </c>
      <c r="D957" s="2">
        <v>0.4634375</v>
      </c>
      <c r="G957" s="4">
        <v>7511410</v>
      </c>
      <c r="H957">
        <v>1</v>
      </c>
      <c r="J957">
        <v>6484436</v>
      </c>
      <c r="K957">
        <v>1</v>
      </c>
    </row>
    <row r="958" spans="1:11" x14ac:dyDescent="0.25">
      <c r="A958">
        <v>8498683</v>
      </c>
      <c r="B958" s="1">
        <v>42930</v>
      </c>
      <c r="C958" s="2">
        <v>0.45950231481481479</v>
      </c>
      <c r="D958" s="2">
        <v>0.46177083333333335</v>
      </c>
      <c r="G958" s="4">
        <v>7513392</v>
      </c>
      <c r="H958">
        <v>1</v>
      </c>
      <c r="J958">
        <v>6492842</v>
      </c>
      <c r="K958">
        <v>1</v>
      </c>
    </row>
    <row r="959" spans="1:11" x14ac:dyDescent="0.25">
      <c r="A959">
        <v>2341441</v>
      </c>
      <c r="B959" s="1">
        <v>42930</v>
      </c>
      <c r="C959" s="2">
        <v>0.46333333333333332</v>
      </c>
      <c r="D959" s="2">
        <v>0.46409722222222222</v>
      </c>
      <c r="G959" s="4">
        <v>7518300</v>
      </c>
      <c r="H959">
        <v>1</v>
      </c>
      <c r="J959">
        <v>6493406</v>
      </c>
      <c r="K959">
        <v>1</v>
      </c>
    </row>
    <row r="960" spans="1:11" x14ac:dyDescent="0.25">
      <c r="A960">
        <v>30270334</v>
      </c>
      <c r="B960" s="1">
        <v>42930</v>
      </c>
      <c r="C960" s="2">
        <v>0.46587962962962964</v>
      </c>
      <c r="D960" s="2">
        <v>0.46755787037037039</v>
      </c>
      <c r="G960" s="4">
        <v>7536096</v>
      </c>
      <c r="H960">
        <v>1</v>
      </c>
      <c r="J960">
        <v>6493766</v>
      </c>
      <c r="K960">
        <v>1</v>
      </c>
    </row>
    <row r="961" spans="1:11" x14ac:dyDescent="0.25">
      <c r="A961">
        <v>4657345</v>
      </c>
      <c r="B961" s="1">
        <v>42930</v>
      </c>
      <c r="C961" s="2">
        <v>0.46988425925925925</v>
      </c>
      <c r="D961" s="2">
        <v>0.47721064814814818</v>
      </c>
      <c r="G961" s="4">
        <v>7551668</v>
      </c>
      <c r="H961">
        <v>1</v>
      </c>
      <c r="J961">
        <v>6495153</v>
      </c>
      <c r="K961">
        <v>1</v>
      </c>
    </row>
    <row r="962" spans="1:11" x14ac:dyDescent="0.25">
      <c r="A962">
        <v>2145244</v>
      </c>
      <c r="B962" s="1">
        <v>42930</v>
      </c>
      <c r="C962" s="2">
        <v>0.47028935185185183</v>
      </c>
      <c r="D962" s="2">
        <v>0.47052083333333333</v>
      </c>
      <c r="G962" s="4">
        <v>7564861</v>
      </c>
      <c r="H962">
        <v>1</v>
      </c>
      <c r="J962">
        <v>6495517</v>
      </c>
      <c r="K962">
        <v>1</v>
      </c>
    </row>
    <row r="963" spans="1:11" x14ac:dyDescent="0.25">
      <c r="A963">
        <v>7627829</v>
      </c>
      <c r="B963" s="1">
        <v>42930</v>
      </c>
      <c r="C963" s="2">
        <v>0.4742824074074074</v>
      </c>
      <c r="D963" s="2">
        <v>0.48538194444444444</v>
      </c>
      <c r="G963" s="4">
        <v>7571642</v>
      </c>
      <c r="H963">
        <v>1</v>
      </c>
      <c r="J963">
        <v>6510330</v>
      </c>
      <c r="K963">
        <v>1</v>
      </c>
    </row>
    <row r="964" spans="1:11" x14ac:dyDescent="0.25">
      <c r="A964">
        <v>9182658</v>
      </c>
      <c r="B964" s="1">
        <v>42930</v>
      </c>
      <c r="C964" s="2">
        <v>0.47594907407407405</v>
      </c>
      <c r="D964" s="2">
        <v>0.47641203703703705</v>
      </c>
      <c r="G964" s="4">
        <v>7589993</v>
      </c>
      <c r="H964">
        <v>1</v>
      </c>
      <c r="J964">
        <v>6516512</v>
      </c>
      <c r="K964">
        <v>1</v>
      </c>
    </row>
    <row r="965" spans="1:11" x14ac:dyDescent="0.25">
      <c r="A965">
        <v>4191600</v>
      </c>
      <c r="B965" s="1">
        <v>42930</v>
      </c>
      <c r="C965" s="2">
        <v>0.47799768518518521</v>
      </c>
      <c r="D965" s="2">
        <v>0.47905092592592591</v>
      </c>
      <c r="G965" s="4">
        <v>7594764</v>
      </c>
      <c r="H965">
        <v>1</v>
      </c>
      <c r="J965">
        <v>6516836</v>
      </c>
      <c r="K965">
        <v>1</v>
      </c>
    </row>
    <row r="966" spans="1:11" x14ac:dyDescent="0.25">
      <c r="A966">
        <v>5492379</v>
      </c>
      <c r="B966" s="1">
        <v>42930</v>
      </c>
      <c r="C966" s="2">
        <v>0.47825231481481484</v>
      </c>
      <c r="D966" s="2">
        <v>0.48502314814814818</v>
      </c>
      <c r="G966" s="4">
        <v>7595348</v>
      </c>
      <c r="H966">
        <v>1</v>
      </c>
      <c r="J966">
        <v>6523054</v>
      </c>
      <c r="K966">
        <v>1</v>
      </c>
    </row>
    <row r="967" spans="1:11" x14ac:dyDescent="0.25">
      <c r="A967">
        <v>2861766</v>
      </c>
      <c r="B967" s="1">
        <v>42930</v>
      </c>
      <c r="C967" s="2">
        <v>0.48138888888888887</v>
      </c>
      <c r="D967" s="2">
        <v>0.48574074074074075</v>
      </c>
      <c r="G967" s="4">
        <v>7599611</v>
      </c>
      <c r="H967">
        <v>1</v>
      </c>
      <c r="J967">
        <v>6530661</v>
      </c>
      <c r="K967">
        <v>1</v>
      </c>
    </row>
    <row r="968" spans="1:11" x14ac:dyDescent="0.25">
      <c r="A968">
        <v>1309359</v>
      </c>
      <c r="B968" s="1">
        <v>42930</v>
      </c>
      <c r="C968" s="2">
        <v>0.48422453703703705</v>
      </c>
      <c r="D968" s="2">
        <v>0.48562499999999997</v>
      </c>
      <c r="G968" s="4">
        <v>7622819</v>
      </c>
      <c r="H968">
        <v>2</v>
      </c>
      <c r="J968">
        <v>6552755</v>
      </c>
      <c r="K968">
        <v>1</v>
      </c>
    </row>
    <row r="969" spans="1:11" x14ac:dyDescent="0.25">
      <c r="A969">
        <v>5272270</v>
      </c>
      <c r="B969" s="1">
        <v>42930</v>
      </c>
      <c r="C969" s="2">
        <v>0.48579861111111111</v>
      </c>
      <c r="D969" s="2">
        <v>0.49395833333333333</v>
      </c>
      <c r="G969" s="4">
        <v>7622848</v>
      </c>
      <c r="H969">
        <v>1</v>
      </c>
      <c r="J969">
        <v>6574044</v>
      </c>
      <c r="K969">
        <v>1</v>
      </c>
    </row>
    <row r="970" spans="1:11" x14ac:dyDescent="0.25">
      <c r="A970">
        <v>9266643</v>
      </c>
      <c r="B970" s="1">
        <v>42930</v>
      </c>
      <c r="C970" s="2">
        <v>0.48832175925925925</v>
      </c>
      <c r="D970" s="2">
        <v>0.49005787037037035</v>
      </c>
      <c r="G970" s="4">
        <v>7624070</v>
      </c>
      <c r="H970">
        <v>1</v>
      </c>
      <c r="J970">
        <v>6578914</v>
      </c>
      <c r="K970">
        <v>1</v>
      </c>
    </row>
    <row r="971" spans="1:11" x14ac:dyDescent="0.25">
      <c r="A971">
        <v>3460208</v>
      </c>
      <c r="B971" s="1">
        <v>42930</v>
      </c>
      <c r="C971" s="2">
        <v>0.49302083333333335</v>
      </c>
      <c r="D971" s="2">
        <v>0.50244212962962964</v>
      </c>
      <c r="G971" s="4">
        <v>7627829</v>
      </c>
      <c r="H971">
        <v>1</v>
      </c>
      <c r="J971">
        <v>6580951</v>
      </c>
      <c r="K971">
        <v>1</v>
      </c>
    </row>
    <row r="972" spans="1:11" x14ac:dyDescent="0.25">
      <c r="A972">
        <v>25545000</v>
      </c>
      <c r="B972" s="1">
        <v>42930</v>
      </c>
      <c r="C972" s="2">
        <v>0.4959722222222222</v>
      </c>
      <c r="D972" s="2">
        <v>0.50451388888888893</v>
      </c>
      <c r="G972" s="4">
        <v>7632647</v>
      </c>
      <c r="H972">
        <v>1</v>
      </c>
      <c r="J972">
        <v>6607648</v>
      </c>
      <c r="K972">
        <v>1</v>
      </c>
    </row>
    <row r="973" spans="1:11" x14ac:dyDescent="0.25">
      <c r="A973">
        <v>1207918</v>
      </c>
      <c r="B973" s="1">
        <v>42930</v>
      </c>
      <c r="C973" s="2">
        <v>0.50126157407407412</v>
      </c>
      <c r="D973" s="2">
        <v>0.51184027777777774</v>
      </c>
      <c r="G973" s="4">
        <v>7646265</v>
      </c>
      <c r="H973">
        <v>1</v>
      </c>
      <c r="J973">
        <v>6616163</v>
      </c>
      <c r="K973">
        <v>1</v>
      </c>
    </row>
    <row r="974" spans="1:11" x14ac:dyDescent="0.25">
      <c r="A974">
        <v>4471828</v>
      </c>
      <c r="B974" s="1">
        <v>42930</v>
      </c>
      <c r="C974" s="2">
        <v>0.50378472222222226</v>
      </c>
      <c r="D974" s="2">
        <v>0.51043981481481482</v>
      </c>
      <c r="G974" s="4">
        <v>7663988</v>
      </c>
      <c r="H974">
        <v>2</v>
      </c>
      <c r="J974">
        <v>6642574</v>
      </c>
      <c r="K974">
        <v>1</v>
      </c>
    </row>
    <row r="975" spans="1:11" x14ac:dyDescent="0.25">
      <c r="A975">
        <v>6516836</v>
      </c>
      <c r="B975" s="1">
        <v>42930</v>
      </c>
      <c r="C975" s="2">
        <v>0.50812500000000005</v>
      </c>
      <c r="D975" s="2">
        <v>0.50862268518518516</v>
      </c>
      <c r="G975" s="4">
        <v>7677384</v>
      </c>
      <c r="H975">
        <v>1</v>
      </c>
      <c r="J975">
        <v>6663334</v>
      </c>
      <c r="K975">
        <v>1</v>
      </c>
    </row>
    <row r="976" spans="1:11" x14ac:dyDescent="0.25">
      <c r="A976">
        <v>1197931</v>
      </c>
      <c r="B976" s="1">
        <v>42930</v>
      </c>
      <c r="C976" s="2">
        <v>0.51179398148148147</v>
      </c>
      <c r="D976" s="2">
        <v>0.51231481481481478</v>
      </c>
      <c r="G976" s="4">
        <v>7701901</v>
      </c>
      <c r="H976">
        <v>1</v>
      </c>
      <c r="J976">
        <v>6694568</v>
      </c>
      <c r="K976">
        <v>1</v>
      </c>
    </row>
    <row r="977" spans="1:11" x14ac:dyDescent="0.25">
      <c r="A977">
        <v>8750619</v>
      </c>
      <c r="B977" s="1">
        <v>42930</v>
      </c>
      <c r="C977" s="2">
        <v>0.51645833333333335</v>
      </c>
      <c r="D977" s="2">
        <v>0.51701388888888888</v>
      </c>
      <c r="G977" s="4">
        <v>7712618</v>
      </c>
      <c r="H977">
        <v>1</v>
      </c>
      <c r="J977">
        <v>6703754</v>
      </c>
      <c r="K977">
        <v>1</v>
      </c>
    </row>
    <row r="978" spans="1:11" x14ac:dyDescent="0.25">
      <c r="A978">
        <v>2076719</v>
      </c>
      <c r="B978" s="1">
        <v>42930</v>
      </c>
      <c r="C978" s="2">
        <v>0.52056712962962959</v>
      </c>
      <c r="D978" s="2">
        <v>0.52818287037037037</v>
      </c>
      <c r="G978" s="4">
        <v>7715424</v>
      </c>
      <c r="H978">
        <v>1</v>
      </c>
      <c r="J978">
        <v>6712006</v>
      </c>
      <c r="K978">
        <v>1</v>
      </c>
    </row>
    <row r="979" spans="1:11" x14ac:dyDescent="0.25">
      <c r="A979">
        <v>3131883</v>
      </c>
      <c r="B979" s="1">
        <v>42930</v>
      </c>
      <c r="C979" s="2">
        <v>0.52427083333333335</v>
      </c>
      <c r="D979" s="2">
        <v>0.52818287037037037</v>
      </c>
      <c r="G979" s="4">
        <v>7718350</v>
      </c>
      <c r="H979">
        <v>1</v>
      </c>
      <c r="J979">
        <v>6716140</v>
      </c>
      <c r="K979">
        <v>1</v>
      </c>
    </row>
    <row r="980" spans="1:11" x14ac:dyDescent="0.25">
      <c r="A980">
        <v>1552302</v>
      </c>
      <c r="B980" s="1">
        <v>42930</v>
      </c>
      <c r="C980" s="2">
        <v>0.52953703703703703</v>
      </c>
      <c r="D980" s="2">
        <v>0.54078703703703701</v>
      </c>
      <c r="G980" s="4">
        <v>7727942</v>
      </c>
      <c r="H980">
        <v>2</v>
      </c>
      <c r="J980">
        <v>6725216</v>
      </c>
      <c r="K980">
        <v>1</v>
      </c>
    </row>
    <row r="981" spans="1:11" x14ac:dyDescent="0.25">
      <c r="A981">
        <v>33708687</v>
      </c>
      <c r="B981" s="1">
        <v>42930</v>
      </c>
      <c r="C981" s="2">
        <v>0.53237268518518521</v>
      </c>
      <c r="D981" s="2">
        <v>0.53413194444444445</v>
      </c>
      <c r="G981" s="4">
        <v>7739841</v>
      </c>
      <c r="H981">
        <v>1</v>
      </c>
      <c r="J981">
        <v>6729705</v>
      </c>
      <c r="K981">
        <v>1</v>
      </c>
    </row>
    <row r="982" spans="1:11" x14ac:dyDescent="0.25">
      <c r="A982">
        <v>23123600</v>
      </c>
      <c r="B982" s="1">
        <v>42930</v>
      </c>
      <c r="C982" s="2">
        <v>0.53268518518518515</v>
      </c>
      <c r="D982" s="2">
        <v>0.54135416666666669</v>
      </c>
      <c r="G982" s="4">
        <v>7741751</v>
      </c>
      <c r="H982">
        <v>1</v>
      </c>
      <c r="J982">
        <v>6730442</v>
      </c>
      <c r="K982">
        <v>1</v>
      </c>
    </row>
    <row r="983" spans="1:11" x14ac:dyDescent="0.25">
      <c r="A983">
        <v>5913571</v>
      </c>
      <c r="B983" s="1">
        <v>42930</v>
      </c>
      <c r="C983" s="2">
        <v>0.53740740740740744</v>
      </c>
      <c r="D983" s="2">
        <v>0.54893518518518514</v>
      </c>
      <c r="G983" s="4">
        <v>7743548</v>
      </c>
      <c r="H983">
        <v>1</v>
      </c>
      <c r="J983">
        <v>6736331</v>
      </c>
      <c r="K983">
        <v>1</v>
      </c>
    </row>
    <row r="984" spans="1:11" x14ac:dyDescent="0.25">
      <c r="A984">
        <v>5790304</v>
      </c>
      <c r="B984" s="1">
        <v>42930</v>
      </c>
      <c r="C984" s="2">
        <v>0.53768518518518515</v>
      </c>
      <c r="D984" s="2">
        <v>0.53770833333333334</v>
      </c>
      <c r="G984" s="4">
        <v>7747085</v>
      </c>
      <c r="H984">
        <v>1</v>
      </c>
      <c r="J984">
        <v>6746757</v>
      </c>
      <c r="K984">
        <v>1</v>
      </c>
    </row>
    <row r="985" spans="1:11" x14ac:dyDescent="0.25">
      <c r="A985">
        <v>97953696</v>
      </c>
      <c r="B985" s="1">
        <v>42930</v>
      </c>
      <c r="C985" s="2">
        <v>0.53909722222222223</v>
      </c>
      <c r="D985" s="2">
        <v>0.54540509259259262</v>
      </c>
      <c r="G985" s="4">
        <v>7751076</v>
      </c>
      <c r="H985">
        <v>1</v>
      </c>
      <c r="J985">
        <v>6763741</v>
      </c>
      <c r="K985">
        <v>1</v>
      </c>
    </row>
    <row r="986" spans="1:11" x14ac:dyDescent="0.25">
      <c r="A986">
        <v>13588783</v>
      </c>
      <c r="B986" s="1">
        <v>42930</v>
      </c>
      <c r="C986" s="2">
        <v>0.54118055555555555</v>
      </c>
      <c r="D986" s="2">
        <v>0.54894675925925929</v>
      </c>
      <c r="G986" s="4">
        <v>7762020</v>
      </c>
      <c r="H986">
        <v>1</v>
      </c>
      <c r="J986">
        <v>6766881</v>
      </c>
      <c r="K986">
        <v>1</v>
      </c>
    </row>
    <row r="987" spans="1:11" x14ac:dyDescent="0.25">
      <c r="A987">
        <v>3300626</v>
      </c>
      <c r="B987" s="1">
        <v>42930</v>
      </c>
      <c r="C987" s="2">
        <v>0.54415509259259254</v>
      </c>
      <c r="D987" s="2">
        <v>0.55156249999999996</v>
      </c>
      <c r="G987" s="4">
        <v>7763451</v>
      </c>
      <c r="H987">
        <v>1</v>
      </c>
      <c r="J987">
        <v>6785899</v>
      </c>
      <c r="K987">
        <v>1</v>
      </c>
    </row>
    <row r="988" spans="1:11" x14ac:dyDescent="0.25">
      <c r="A988">
        <v>9849071</v>
      </c>
      <c r="B988" s="1">
        <v>42930</v>
      </c>
      <c r="C988" s="2">
        <v>0.54498842592592589</v>
      </c>
      <c r="D988" s="2">
        <v>0.54879629629629634</v>
      </c>
      <c r="G988" s="4">
        <v>7766265</v>
      </c>
      <c r="H988">
        <v>1</v>
      </c>
      <c r="J988">
        <v>6786847</v>
      </c>
      <c r="K988">
        <v>1</v>
      </c>
    </row>
    <row r="989" spans="1:11" x14ac:dyDescent="0.25">
      <c r="A989">
        <v>39697250</v>
      </c>
      <c r="B989" s="1">
        <v>42930</v>
      </c>
      <c r="C989" s="2">
        <v>0.54616898148148152</v>
      </c>
      <c r="D989" s="2">
        <v>0.55153935185185188</v>
      </c>
      <c r="G989" s="4">
        <v>7768277</v>
      </c>
      <c r="H989">
        <v>1</v>
      </c>
      <c r="J989">
        <v>6795454</v>
      </c>
      <c r="K989">
        <v>1</v>
      </c>
    </row>
    <row r="990" spans="1:11" x14ac:dyDescent="0.25">
      <c r="A990">
        <v>3826370863</v>
      </c>
      <c r="B990" s="1">
        <v>42930</v>
      </c>
      <c r="C990" s="2">
        <v>0.55155092592592592</v>
      </c>
      <c r="D990" s="2">
        <v>0.55709490740740741</v>
      </c>
      <c r="G990" s="4">
        <v>7769531</v>
      </c>
      <c r="H990">
        <v>1</v>
      </c>
      <c r="J990">
        <v>6813775</v>
      </c>
      <c r="K990">
        <v>1</v>
      </c>
    </row>
    <row r="991" spans="1:11" x14ac:dyDescent="0.25">
      <c r="A991">
        <v>9088452</v>
      </c>
      <c r="B991" s="1">
        <v>42930</v>
      </c>
      <c r="C991" s="2">
        <v>0.55473379629629627</v>
      </c>
      <c r="D991" s="2">
        <v>0.56253472222222223</v>
      </c>
      <c r="G991" s="4">
        <v>7773546</v>
      </c>
      <c r="H991">
        <v>1</v>
      </c>
      <c r="J991">
        <v>6818507</v>
      </c>
      <c r="K991">
        <v>1</v>
      </c>
    </row>
    <row r="992" spans="1:11" x14ac:dyDescent="0.25">
      <c r="A992">
        <v>8026912</v>
      </c>
      <c r="B992" s="1">
        <v>42930</v>
      </c>
      <c r="C992" s="2">
        <v>0.5561342592592593</v>
      </c>
      <c r="D992" s="2">
        <v>0.56366898148148148</v>
      </c>
      <c r="G992" s="4">
        <v>7779935</v>
      </c>
      <c r="H992">
        <v>1</v>
      </c>
      <c r="J992">
        <v>6821027</v>
      </c>
      <c r="K992">
        <v>1</v>
      </c>
    </row>
    <row r="993" spans="1:11" x14ac:dyDescent="0.25">
      <c r="A993">
        <v>24290062</v>
      </c>
      <c r="B993" s="1">
        <v>42930</v>
      </c>
      <c r="C993" s="2">
        <v>0.56141203703703701</v>
      </c>
      <c r="D993" s="2">
        <v>0.57055555555555559</v>
      </c>
      <c r="G993" s="4">
        <v>7781904</v>
      </c>
      <c r="H993">
        <v>1</v>
      </c>
      <c r="J993">
        <v>6833658</v>
      </c>
      <c r="K993">
        <v>1</v>
      </c>
    </row>
    <row r="994" spans="1:11" x14ac:dyDescent="0.25">
      <c r="A994">
        <v>6785899</v>
      </c>
      <c r="B994" s="1">
        <v>42930</v>
      </c>
      <c r="C994" s="2">
        <v>0.56650462962962966</v>
      </c>
      <c r="D994" s="2">
        <v>0.57533564814814819</v>
      </c>
      <c r="G994" s="4">
        <v>7792679</v>
      </c>
      <c r="H994">
        <v>1</v>
      </c>
      <c r="J994">
        <v>6844342</v>
      </c>
      <c r="K994">
        <v>1</v>
      </c>
    </row>
    <row r="995" spans="1:11" x14ac:dyDescent="0.25">
      <c r="A995">
        <v>75048005</v>
      </c>
      <c r="B995" s="1">
        <v>42930</v>
      </c>
      <c r="C995" s="2">
        <v>0.57197916666666671</v>
      </c>
      <c r="D995" s="2">
        <v>0.58081018518518523</v>
      </c>
      <c r="G995" s="4">
        <v>7792980</v>
      </c>
      <c r="H995">
        <v>1</v>
      </c>
      <c r="J995">
        <v>6855900</v>
      </c>
      <c r="K995">
        <v>1</v>
      </c>
    </row>
    <row r="996" spans="1:11" x14ac:dyDescent="0.25">
      <c r="A996">
        <v>97459926</v>
      </c>
      <c r="B996" s="1">
        <v>42930</v>
      </c>
      <c r="C996" s="2">
        <v>0.57262731481481477</v>
      </c>
      <c r="D996" s="2">
        <v>0.57991898148148147</v>
      </c>
      <c r="G996" s="4">
        <v>7795911</v>
      </c>
      <c r="H996">
        <v>3</v>
      </c>
      <c r="J996">
        <v>6859181</v>
      </c>
      <c r="K996">
        <v>1</v>
      </c>
    </row>
    <row r="997" spans="1:11" x14ac:dyDescent="0.25">
      <c r="A997">
        <v>9600226</v>
      </c>
      <c r="B997" s="1">
        <v>42930</v>
      </c>
      <c r="C997" s="2">
        <v>0.57451388888888888</v>
      </c>
      <c r="D997" s="2">
        <v>0.57847222222222228</v>
      </c>
      <c r="G997" s="4">
        <v>7826456</v>
      </c>
      <c r="H997">
        <v>1</v>
      </c>
      <c r="J997">
        <v>6865322</v>
      </c>
      <c r="K997">
        <v>1</v>
      </c>
    </row>
    <row r="998" spans="1:11" x14ac:dyDescent="0.25">
      <c r="A998">
        <v>9685747</v>
      </c>
      <c r="B998" s="1">
        <v>42930</v>
      </c>
      <c r="C998" s="2">
        <v>0.57810185185185181</v>
      </c>
      <c r="D998" s="2">
        <v>0.58810185185185182</v>
      </c>
      <c r="G998" s="4">
        <v>7834807</v>
      </c>
      <c r="H998">
        <v>1</v>
      </c>
      <c r="J998">
        <v>6878722</v>
      </c>
      <c r="K998">
        <v>1</v>
      </c>
    </row>
    <row r="999" spans="1:11" x14ac:dyDescent="0.25">
      <c r="A999">
        <v>3178616</v>
      </c>
      <c r="B999" s="1">
        <v>42930</v>
      </c>
      <c r="C999" s="2">
        <v>0.58233796296296292</v>
      </c>
      <c r="D999" s="2">
        <v>0.58734953703703707</v>
      </c>
      <c r="G999" s="4">
        <v>7836418</v>
      </c>
      <c r="H999">
        <v>1</v>
      </c>
      <c r="J999">
        <v>6884037</v>
      </c>
      <c r="K999">
        <v>1</v>
      </c>
    </row>
    <row r="1000" spans="1:11" x14ac:dyDescent="0.25">
      <c r="A1000">
        <v>9979899</v>
      </c>
      <c r="B1000" s="1">
        <v>42930</v>
      </c>
      <c r="C1000" s="2">
        <v>0.58810185185185182</v>
      </c>
      <c r="D1000" s="2">
        <v>0.59134259259259259</v>
      </c>
      <c r="G1000" s="4">
        <v>7841442</v>
      </c>
      <c r="H1000">
        <v>1</v>
      </c>
      <c r="J1000">
        <v>6890486</v>
      </c>
      <c r="K1000">
        <v>1</v>
      </c>
    </row>
    <row r="1001" spans="1:11" x14ac:dyDescent="0.25">
      <c r="A1001">
        <v>4575865</v>
      </c>
      <c r="B1001" s="1">
        <v>42930</v>
      </c>
      <c r="C1001" s="2">
        <v>0.58959490740740739</v>
      </c>
      <c r="D1001" s="2">
        <v>0.59105324074074073</v>
      </c>
      <c r="G1001" s="4">
        <v>7852624</v>
      </c>
      <c r="H1001">
        <v>1</v>
      </c>
      <c r="J1001">
        <v>6891636</v>
      </c>
      <c r="K1001">
        <v>1</v>
      </c>
    </row>
    <row r="1002" spans="1:11" x14ac:dyDescent="0.25">
      <c r="A1002">
        <v>1808444</v>
      </c>
      <c r="B1002" s="1">
        <v>42930</v>
      </c>
      <c r="C1002" s="2">
        <v>0.59284722222222219</v>
      </c>
      <c r="D1002" s="2">
        <v>0.59662037037037041</v>
      </c>
      <c r="G1002" s="4">
        <v>7857206</v>
      </c>
      <c r="H1002">
        <v>1</v>
      </c>
      <c r="J1002">
        <v>6892980</v>
      </c>
      <c r="K1002">
        <v>1</v>
      </c>
    </row>
    <row r="1003" spans="1:11" x14ac:dyDescent="0.25">
      <c r="A1003">
        <v>1649912</v>
      </c>
      <c r="B1003" s="1">
        <v>42930</v>
      </c>
      <c r="C1003" s="2">
        <v>0.59467592592592589</v>
      </c>
      <c r="D1003" s="2">
        <v>0.60392361111111115</v>
      </c>
      <c r="G1003" s="4">
        <v>7865428</v>
      </c>
      <c r="H1003">
        <v>1</v>
      </c>
      <c r="J1003">
        <v>6894270</v>
      </c>
      <c r="K1003">
        <v>1</v>
      </c>
    </row>
    <row r="1004" spans="1:11" x14ac:dyDescent="0.25">
      <c r="A1004">
        <v>6128500046</v>
      </c>
      <c r="B1004" s="1">
        <v>42930</v>
      </c>
      <c r="C1004" s="2">
        <v>0.5981481481481481</v>
      </c>
      <c r="D1004" s="2">
        <v>0.60513888888888889</v>
      </c>
      <c r="G1004" s="4">
        <v>7865609</v>
      </c>
      <c r="H1004">
        <v>1</v>
      </c>
      <c r="J1004">
        <v>6896175</v>
      </c>
      <c r="K1004">
        <v>1</v>
      </c>
    </row>
    <row r="1005" spans="1:11" x14ac:dyDescent="0.25">
      <c r="A1005">
        <v>6580951</v>
      </c>
      <c r="B1005" s="1">
        <v>42930</v>
      </c>
      <c r="C1005" s="2">
        <v>0.6001967592592593</v>
      </c>
      <c r="D1005" s="2">
        <v>0.60023148148148153</v>
      </c>
      <c r="G1005" s="4">
        <v>7872182</v>
      </c>
      <c r="H1005">
        <v>1</v>
      </c>
      <c r="J1005">
        <v>6896787</v>
      </c>
      <c r="K1005">
        <v>1</v>
      </c>
    </row>
    <row r="1006" spans="1:11" x14ac:dyDescent="0.25">
      <c r="A1006">
        <v>5536146</v>
      </c>
      <c r="B1006" s="1">
        <v>42930</v>
      </c>
      <c r="C1006" s="2">
        <v>0.60204861111111108</v>
      </c>
      <c r="D1006" s="2">
        <v>0.60319444444444448</v>
      </c>
      <c r="G1006" s="4">
        <v>7880396</v>
      </c>
      <c r="H1006">
        <v>1</v>
      </c>
      <c r="J1006">
        <v>6897893</v>
      </c>
      <c r="K1006">
        <v>1</v>
      </c>
    </row>
    <row r="1007" spans="1:11" x14ac:dyDescent="0.25">
      <c r="A1007">
        <v>7396921</v>
      </c>
      <c r="B1007" s="1">
        <v>42930</v>
      </c>
      <c r="C1007" s="2">
        <v>0.60775462962962967</v>
      </c>
      <c r="D1007" s="2">
        <v>0.61614583333333328</v>
      </c>
      <c r="G1007" s="4">
        <v>7880585</v>
      </c>
      <c r="H1007">
        <v>1</v>
      </c>
      <c r="J1007">
        <v>6900303</v>
      </c>
      <c r="K1007">
        <v>1</v>
      </c>
    </row>
    <row r="1008" spans="1:11" x14ac:dyDescent="0.25">
      <c r="A1008">
        <v>8331262</v>
      </c>
      <c r="B1008" s="1">
        <v>42930</v>
      </c>
      <c r="C1008" s="2">
        <v>0.61174768518518519</v>
      </c>
      <c r="D1008" s="2">
        <v>0.61697916666666663</v>
      </c>
      <c r="G1008" s="4">
        <v>7883595</v>
      </c>
      <c r="H1008">
        <v>1</v>
      </c>
      <c r="J1008">
        <v>6919928</v>
      </c>
      <c r="K1008">
        <v>1</v>
      </c>
    </row>
    <row r="1009" spans="1:11" x14ac:dyDescent="0.25">
      <c r="A1009">
        <v>5146166</v>
      </c>
      <c r="B1009" s="1">
        <v>42930</v>
      </c>
      <c r="C1009" s="2">
        <v>0.61546296296296299</v>
      </c>
      <c r="D1009" s="2">
        <v>0.62185185185185188</v>
      </c>
      <c r="G1009" s="4">
        <v>7891185</v>
      </c>
      <c r="H1009">
        <v>1</v>
      </c>
      <c r="J1009">
        <v>6920814</v>
      </c>
      <c r="K1009">
        <v>1</v>
      </c>
    </row>
    <row r="1010" spans="1:11" x14ac:dyDescent="0.25">
      <c r="A1010">
        <v>6729705</v>
      </c>
      <c r="B1010" s="1">
        <v>42930</v>
      </c>
      <c r="C1010" s="2">
        <v>0.62111111111111106</v>
      </c>
      <c r="D1010" s="2">
        <v>0.62814814814814812</v>
      </c>
      <c r="G1010" s="4">
        <v>7896629</v>
      </c>
      <c r="H1010">
        <v>1</v>
      </c>
      <c r="J1010">
        <v>6922037</v>
      </c>
      <c r="K1010">
        <v>1</v>
      </c>
    </row>
    <row r="1011" spans="1:11" x14ac:dyDescent="0.25">
      <c r="A1011">
        <v>5372125</v>
      </c>
      <c r="B1011" s="1">
        <v>42930</v>
      </c>
      <c r="C1011" s="2">
        <v>0.62517361111111114</v>
      </c>
      <c r="D1011" s="2">
        <v>0.62518518518518518</v>
      </c>
      <c r="G1011" s="4">
        <v>7904403</v>
      </c>
      <c r="H1011">
        <v>1</v>
      </c>
      <c r="J1011">
        <v>6927270</v>
      </c>
      <c r="K1011">
        <v>1</v>
      </c>
    </row>
    <row r="1012" spans="1:11" x14ac:dyDescent="0.25">
      <c r="A1012">
        <v>8870498</v>
      </c>
      <c r="B1012" s="1">
        <v>42933</v>
      </c>
      <c r="C1012" s="2">
        <v>0.33702546296296299</v>
      </c>
      <c r="D1012" s="2">
        <v>0.34466435185185185</v>
      </c>
      <c r="G1012" s="4">
        <v>7914439</v>
      </c>
      <c r="H1012">
        <v>2</v>
      </c>
      <c r="J1012">
        <v>6934405</v>
      </c>
      <c r="K1012">
        <v>1</v>
      </c>
    </row>
    <row r="1013" spans="1:11" x14ac:dyDescent="0.25">
      <c r="A1013">
        <v>7880585</v>
      </c>
      <c r="B1013" s="1">
        <v>42933</v>
      </c>
      <c r="C1013" s="2">
        <v>0.34074074074074073</v>
      </c>
      <c r="D1013" s="2">
        <v>0.34971064814814817</v>
      </c>
      <c r="G1013" s="4">
        <v>7915936</v>
      </c>
      <c r="H1013">
        <v>1</v>
      </c>
      <c r="J1013">
        <v>6940373</v>
      </c>
      <c r="K1013">
        <v>1</v>
      </c>
    </row>
    <row r="1014" spans="1:11" x14ac:dyDescent="0.25">
      <c r="A1014">
        <v>3652646</v>
      </c>
      <c r="B1014" s="1">
        <v>42933</v>
      </c>
      <c r="C1014" s="2">
        <v>0.34233796296296298</v>
      </c>
      <c r="D1014" s="2">
        <v>0.34569444444444447</v>
      </c>
      <c r="G1014" s="4">
        <v>7918038</v>
      </c>
      <c r="H1014">
        <v>1</v>
      </c>
      <c r="J1014">
        <v>6942059</v>
      </c>
      <c r="K1014">
        <v>1</v>
      </c>
    </row>
    <row r="1015" spans="1:11" x14ac:dyDescent="0.25">
      <c r="A1015">
        <v>3691457</v>
      </c>
      <c r="B1015" s="1">
        <v>42933</v>
      </c>
      <c r="C1015" s="2">
        <v>0.34688657407407408</v>
      </c>
      <c r="D1015" s="2">
        <v>0.35810185185185184</v>
      </c>
      <c r="G1015" s="4">
        <v>7933399</v>
      </c>
      <c r="H1015">
        <v>1</v>
      </c>
      <c r="J1015">
        <v>6949463</v>
      </c>
      <c r="K1015">
        <v>1</v>
      </c>
    </row>
    <row r="1016" spans="1:11" x14ac:dyDescent="0.25">
      <c r="A1016">
        <v>4344184930</v>
      </c>
      <c r="B1016" s="1">
        <v>42933</v>
      </c>
      <c r="C1016" s="2">
        <v>0.34866898148148145</v>
      </c>
      <c r="D1016" s="2">
        <v>0.35778935185185184</v>
      </c>
      <c r="G1016" s="4">
        <v>7937998</v>
      </c>
      <c r="H1016">
        <v>2</v>
      </c>
      <c r="J1016">
        <v>6952061</v>
      </c>
      <c r="K1016">
        <v>1</v>
      </c>
    </row>
    <row r="1017" spans="1:11" x14ac:dyDescent="0.25">
      <c r="A1017">
        <v>5290460</v>
      </c>
      <c r="B1017" s="1">
        <v>42933</v>
      </c>
      <c r="C1017" s="2">
        <v>0.3525578703703704</v>
      </c>
      <c r="D1017" s="2">
        <v>0.36346064814814816</v>
      </c>
      <c r="G1017" s="4">
        <v>7969038</v>
      </c>
      <c r="H1017">
        <v>1</v>
      </c>
      <c r="J1017">
        <v>6956143</v>
      </c>
      <c r="K1017">
        <v>1</v>
      </c>
    </row>
    <row r="1018" spans="1:11" x14ac:dyDescent="0.25">
      <c r="A1018">
        <v>6922037</v>
      </c>
      <c r="B1018" s="1">
        <v>42933</v>
      </c>
      <c r="C1018" s="2">
        <v>0.35569444444444442</v>
      </c>
      <c r="D1018" s="2">
        <v>0.35796296296296298</v>
      </c>
      <c r="G1018" s="4">
        <v>7972076</v>
      </c>
      <c r="H1018">
        <v>1</v>
      </c>
      <c r="J1018">
        <v>6976431</v>
      </c>
      <c r="K1018">
        <v>1</v>
      </c>
    </row>
    <row r="1019" spans="1:11" x14ac:dyDescent="0.25">
      <c r="A1019">
        <v>7060245</v>
      </c>
      <c r="B1019" s="1">
        <v>42933</v>
      </c>
      <c r="C1019" s="2">
        <v>0.35920138888888886</v>
      </c>
      <c r="D1019" s="2">
        <v>0.36319444444444443</v>
      </c>
      <c r="G1019" s="4">
        <v>7973319</v>
      </c>
      <c r="H1019">
        <v>1</v>
      </c>
      <c r="J1019">
        <v>6978234</v>
      </c>
      <c r="K1019">
        <v>1</v>
      </c>
    </row>
    <row r="1020" spans="1:11" x14ac:dyDescent="0.25">
      <c r="A1020">
        <v>5788783</v>
      </c>
      <c r="B1020" s="1">
        <v>42933</v>
      </c>
      <c r="C1020" s="2">
        <v>0.36114583333333333</v>
      </c>
      <c r="D1020" s="2">
        <v>0.36629629629629629</v>
      </c>
      <c r="G1020" s="4">
        <v>7973476</v>
      </c>
      <c r="H1020">
        <v>1</v>
      </c>
      <c r="J1020">
        <v>6979384</v>
      </c>
      <c r="K1020">
        <v>1</v>
      </c>
    </row>
    <row r="1021" spans="1:11" x14ac:dyDescent="0.25">
      <c r="A1021">
        <v>8647144</v>
      </c>
      <c r="B1021" s="1">
        <v>42933</v>
      </c>
      <c r="C1021" s="2">
        <v>0.36208333333333331</v>
      </c>
      <c r="D1021" s="2">
        <v>0.36282407407407408</v>
      </c>
      <c r="G1021" s="4">
        <v>7975900</v>
      </c>
      <c r="H1021">
        <v>1</v>
      </c>
      <c r="J1021">
        <v>6980867</v>
      </c>
      <c r="K1021">
        <v>1</v>
      </c>
    </row>
    <row r="1022" spans="1:11" x14ac:dyDescent="0.25">
      <c r="A1022">
        <v>24665933</v>
      </c>
      <c r="B1022" s="1">
        <v>42933</v>
      </c>
      <c r="C1022" s="2">
        <v>0.36373842592592592</v>
      </c>
      <c r="D1022" s="2">
        <v>0.36895833333333333</v>
      </c>
      <c r="G1022" s="4">
        <v>7977726</v>
      </c>
      <c r="H1022">
        <v>1</v>
      </c>
      <c r="J1022">
        <v>6982652</v>
      </c>
      <c r="K1022">
        <v>1</v>
      </c>
    </row>
    <row r="1023" spans="1:11" x14ac:dyDescent="0.25">
      <c r="A1023">
        <v>3326329</v>
      </c>
      <c r="B1023" s="1">
        <v>42933</v>
      </c>
      <c r="C1023" s="2">
        <v>0.36928240740740742</v>
      </c>
      <c r="D1023" s="2">
        <v>0.37148148148148147</v>
      </c>
      <c r="G1023" s="4">
        <v>7979313</v>
      </c>
      <c r="H1023">
        <v>1</v>
      </c>
      <c r="J1023">
        <v>6994188</v>
      </c>
      <c r="K1023">
        <v>1</v>
      </c>
    </row>
    <row r="1024" spans="1:11" x14ac:dyDescent="0.25">
      <c r="A1024">
        <v>3478111</v>
      </c>
      <c r="B1024" s="1">
        <v>42933</v>
      </c>
      <c r="C1024" s="2">
        <v>0.37144675925925924</v>
      </c>
      <c r="D1024" s="2">
        <v>0.37270833333333331</v>
      </c>
      <c r="G1024" s="4">
        <v>7980513</v>
      </c>
      <c r="H1024">
        <v>1</v>
      </c>
      <c r="J1024">
        <v>7060245</v>
      </c>
      <c r="K1024">
        <v>1</v>
      </c>
    </row>
    <row r="1025" spans="1:11" x14ac:dyDescent="0.25">
      <c r="A1025">
        <v>7937998</v>
      </c>
      <c r="B1025" s="1">
        <v>42933</v>
      </c>
      <c r="C1025" s="2">
        <v>0.37627314814814816</v>
      </c>
      <c r="D1025" s="2">
        <v>0.37802083333333331</v>
      </c>
      <c r="G1025" s="4">
        <v>7986409</v>
      </c>
      <c r="H1025">
        <v>1</v>
      </c>
      <c r="J1025">
        <v>7066389</v>
      </c>
      <c r="K1025">
        <v>1</v>
      </c>
    </row>
    <row r="1026" spans="1:11" x14ac:dyDescent="0.25">
      <c r="A1026">
        <v>82239478</v>
      </c>
      <c r="B1026" s="1">
        <v>42933</v>
      </c>
      <c r="C1026" s="2">
        <v>0.38178240740740743</v>
      </c>
      <c r="D1026" s="2">
        <v>0.38648148148148148</v>
      </c>
      <c r="G1026" s="4">
        <v>7988607</v>
      </c>
      <c r="H1026">
        <v>1</v>
      </c>
      <c r="J1026">
        <v>7066778</v>
      </c>
      <c r="K1026">
        <v>1</v>
      </c>
    </row>
    <row r="1027" spans="1:11" x14ac:dyDescent="0.25">
      <c r="A1027">
        <v>2557643</v>
      </c>
      <c r="B1027" s="1">
        <v>42933</v>
      </c>
      <c r="C1027" s="2">
        <v>0.38622685185185185</v>
      </c>
      <c r="D1027" s="2">
        <v>0.38957175925925924</v>
      </c>
      <c r="G1027" s="4">
        <v>7994769</v>
      </c>
      <c r="H1027">
        <v>1</v>
      </c>
      <c r="J1027">
        <v>7076463</v>
      </c>
      <c r="K1027">
        <v>1</v>
      </c>
    </row>
    <row r="1028" spans="1:11" x14ac:dyDescent="0.25">
      <c r="A1028">
        <v>4501726</v>
      </c>
      <c r="B1028" s="1">
        <v>42933</v>
      </c>
      <c r="C1028" s="2">
        <v>0.38754629629629628</v>
      </c>
      <c r="D1028" s="2">
        <v>0.39260416666666664</v>
      </c>
      <c r="G1028" s="4">
        <v>8001915</v>
      </c>
      <c r="H1028">
        <v>1</v>
      </c>
      <c r="J1028">
        <v>7088840</v>
      </c>
      <c r="K1028">
        <v>1</v>
      </c>
    </row>
    <row r="1029" spans="1:11" x14ac:dyDescent="0.25">
      <c r="A1029">
        <v>1415198</v>
      </c>
      <c r="B1029" s="1">
        <v>42933</v>
      </c>
      <c r="C1029" s="2">
        <v>0.38991898148148146</v>
      </c>
      <c r="D1029" s="2">
        <v>0.40072916666666669</v>
      </c>
      <c r="G1029" s="4">
        <v>8010775</v>
      </c>
      <c r="H1029">
        <v>1</v>
      </c>
      <c r="J1029">
        <v>7097883</v>
      </c>
      <c r="K1029">
        <v>1</v>
      </c>
    </row>
    <row r="1030" spans="1:11" x14ac:dyDescent="0.25">
      <c r="A1030">
        <v>23368531</v>
      </c>
      <c r="B1030" s="1">
        <v>42933</v>
      </c>
      <c r="C1030" s="2">
        <v>0.39103009259259258</v>
      </c>
      <c r="D1030" s="2">
        <v>0.39221064814814816</v>
      </c>
      <c r="G1030" s="4">
        <v>8023179</v>
      </c>
      <c r="H1030">
        <v>1</v>
      </c>
      <c r="J1030">
        <v>7110850</v>
      </c>
      <c r="K1030">
        <v>1</v>
      </c>
    </row>
    <row r="1031" spans="1:11" x14ac:dyDescent="0.25">
      <c r="A1031">
        <v>5750549</v>
      </c>
      <c r="B1031" s="1">
        <v>42933</v>
      </c>
      <c r="C1031" s="2">
        <v>0.3948726851851852</v>
      </c>
      <c r="D1031" s="2">
        <v>0.39504629629629628</v>
      </c>
      <c r="G1031" s="4">
        <v>8026912</v>
      </c>
      <c r="H1031">
        <v>1</v>
      </c>
      <c r="J1031">
        <v>7114306</v>
      </c>
      <c r="K1031">
        <v>1</v>
      </c>
    </row>
    <row r="1032" spans="1:11" x14ac:dyDescent="0.25">
      <c r="A1032">
        <v>3897850970</v>
      </c>
      <c r="B1032" s="1">
        <v>42933</v>
      </c>
      <c r="C1032" s="2">
        <v>0.3951736111111111</v>
      </c>
      <c r="D1032" s="2">
        <v>0.39697916666666666</v>
      </c>
      <c r="G1032" s="4">
        <v>8028777</v>
      </c>
      <c r="H1032">
        <v>1</v>
      </c>
      <c r="J1032">
        <v>7123731</v>
      </c>
      <c r="K1032">
        <v>1</v>
      </c>
    </row>
    <row r="1033" spans="1:11" x14ac:dyDescent="0.25">
      <c r="A1033">
        <v>2573868</v>
      </c>
      <c r="B1033" s="1">
        <v>42933</v>
      </c>
      <c r="C1033" s="2">
        <v>0.39962962962962961</v>
      </c>
      <c r="D1033" s="2">
        <v>0.40937499999999999</v>
      </c>
      <c r="G1033" s="4">
        <v>8041809</v>
      </c>
      <c r="H1033">
        <v>1</v>
      </c>
      <c r="J1033">
        <v>7126980</v>
      </c>
      <c r="K1033">
        <v>1</v>
      </c>
    </row>
    <row r="1034" spans="1:11" x14ac:dyDescent="0.25">
      <c r="A1034">
        <v>1701008</v>
      </c>
      <c r="B1034" s="1">
        <v>42933</v>
      </c>
      <c r="C1034" s="2">
        <v>0.40104166666666669</v>
      </c>
      <c r="D1034" s="2">
        <v>0.40837962962962965</v>
      </c>
      <c r="G1034" s="4">
        <v>8049834</v>
      </c>
      <c r="H1034">
        <v>1</v>
      </c>
      <c r="J1034">
        <v>7151490</v>
      </c>
      <c r="K1034">
        <v>1</v>
      </c>
    </row>
    <row r="1035" spans="1:11" x14ac:dyDescent="0.25">
      <c r="A1035">
        <v>1617146</v>
      </c>
      <c r="B1035" s="1">
        <v>42933</v>
      </c>
      <c r="C1035" s="2">
        <v>0.40575231481481483</v>
      </c>
      <c r="D1035" s="2">
        <v>0.41274305555555557</v>
      </c>
      <c r="G1035" s="4">
        <v>8056387</v>
      </c>
      <c r="H1035">
        <v>1</v>
      </c>
      <c r="J1035">
        <v>7160339</v>
      </c>
      <c r="K1035">
        <v>1</v>
      </c>
    </row>
    <row r="1036" spans="1:11" x14ac:dyDescent="0.25">
      <c r="A1036">
        <v>7085993</v>
      </c>
      <c r="B1036" s="1">
        <v>42933</v>
      </c>
      <c r="C1036" s="2">
        <v>0.40719907407407407</v>
      </c>
      <c r="D1036" s="2">
        <v>0.41578703703703701</v>
      </c>
      <c r="G1036" s="4">
        <v>8060169</v>
      </c>
      <c r="H1036">
        <v>1</v>
      </c>
      <c r="J1036">
        <v>7166411</v>
      </c>
      <c r="K1036">
        <v>1</v>
      </c>
    </row>
    <row r="1037" spans="1:11" x14ac:dyDescent="0.25">
      <c r="A1037">
        <v>73460179</v>
      </c>
      <c r="B1037" s="1">
        <v>42933</v>
      </c>
      <c r="C1037" s="2">
        <v>0.41060185185185183</v>
      </c>
      <c r="D1037" s="2">
        <v>0.41334490740740742</v>
      </c>
      <c r="G1037" s="4">
        <v>8063487</v>
      </c>
      <c r="H1037">
        <v>2</v>
      </c>
      <c r="J1037">
        <v>7191598</v>
      </c>
      <c r="K1037">
        <v>1</v>
      </c>
    </row>
    <row r="1038" spans="1:11" x14ac:dyDescent="0.25">
      <c r="A1038">
        <v>5983034</v>
      </c>
      <c r="B1038" s="1">
        <v>42933</v>
      </c>
      <c r="C1038" s="2">
        <v>0.41253472222222221</v>
      </c>
      <c r="D1038" s="2">
        <v>0.41753472222222221</v>
      </c>
      <c r="G1038" s="4">
        <v>8070345</v>
      </c>
      <c r="H1038">
        <v>1</v>
      </c>
      <c r="J1038">
        <v>7203715</v>
      </c>
      <c r="K1038">
        <v>1</v>
      </c>
    </row>
    <row r="1039" spans="1:11" x14ac:dyDescent="0.25">
      <c r="A1039">
        <v>16724936</v>
      </c>
      <c r="B1039" s="1">
        <v>42933</v>
      </c>
      <c r="C1039" s="2">
        <v>0.41317129629629629</v>
      </c>
      <c r="D1039" s="2">
        <v>0.41466435185185185</v>
      </c>
      <c r="G1039" s="4">
        <v>8077806</v>
      </c>
      <c r="H1039">
        <v>1</v>
      </c>
      <c r="J1039">
        <v>7207066</v>
      </c>
      <c r="K1039">
        <v>1</v>
      </c>
    </row>
    <row r="1040" spans="1:11" x14ac:dyDescent="0.25">
      <c r="A1040">
        <v>19343766</v>
      </c>
      <c r="B1040" s="1">
        <v>42933</v>
      </c>
      <c r="C1040" s="2">
        <v>0.41572916666666665</v>
      </c>
      <c r="D1040" s="2">
        <v>0.41825231481481484</v>
      </c>
      <c r="G1040" s="4">
        <v>8079505</v>
      </c>
      <c r="H1040">
        <v>2</v>
      </c>
      <c r="J1040">
        <v>7211782</v>
      </c>
      <c r="K1040">
        <v>1</v>
      </c>
    </row>
    <row r="1041" spans="1:11" x14ac:dyDescent="0.25">
      <c r="A1041">
        <v>7439955</v>
      </c>
      <c r="B1041" s="1">
        <v>42933</v>
      </c>
      <c r="C1041" s="2">
        <v>0.41716435185185186</v>
      </c>
      <c r="D1041" s="2">
        <v>0.4284722222222222</v>
      </c>
      <c r="G1041" s="4">
        <v>8086847</v>
      </c>
      <c r="H1041">
        <v>1</v>
      </c>
      <c r="J1041">
        <v>7219884</v>
      </c>
      <c r="K1041">
        <v>1</v>
      </c>
    </row>
    <row r="1042" spans="1:11" x14ac:dyDescent="0.25">
      <c r="A1042">
        <v>7224275</v>
      </c>
      <c r="B1042" s="1">
        <v>42933</v>
      </c>
      <c r="C1042" s="2">
        <v>0.41899305555555555</v>
      </c>
      <c r="D1042" s="2">
        <v>0.41968749999999999</v>
      </c>
      <c r="G1042" s="4">
        <v>8130722</v>
      </c>
      <c r="H1042">
        <v>1</v>
      </c>
      <c r="J1042">
        <v>7224275</v>
      </c>
      <c r="K1042">
        <v>1</v>
      </c>
    </row>
    <row r="1043" spans="1:11" x14ac:dyDescent="0.25">
      <c r="A1043">
        <v>1679471</v>
      </c>
      <c r="B1043" s="1">
        <v>42933</v>
      </c>
      <c r="C1043" s="2">
        <v>0.42386574074074074</v>
      </c>
      <c r="D1043" s="2">
        <v>0.42885416666666665</v>
      </c>
      <c r="G1043" s="4">
        <v>8133585</v>
      </c>
      <c r="H1043">
        <v>1</v>
      </c>
      <c r="J1043">
        <v>7225111</v>
      </c>
      <c r="K1043">
        <v>1</v>
      </c>
    </row>
    <row r="1044" spans="1:11" x14ac:dyDescent="0.25">
      <c r="A1044">
        <v>6270159</v>
      </c>
      <c r="B1044" s="1">
        <v>42933</v>
      </c>
      <c r="C1044" s="2">
        <v>0.42664351851851851</v>
      </c>
      <c r="D1044" s="2">
        <v>0.42697916666666669</v>
      </c>
      <c r="G1044" s="4">
        <v>8135542</v>
      </c>
      <c r="H1044">
        <v>1</v>
      </c>
      <c r="J1044">
        <v>7226610</v>
      </c>
      <c r="K1044">
        <v>1</v>
      </c>
    </row>
    <row r="1045" spans="1:11" x14ac:dyDescent="0.25">
      <c r="A1045">
        <v>1482340</v>
      </c>
      <c r="B1045" s="1">
        <v>42933</v>
      </c>
      <c r="C1045" s="2">
        <v>0.42983796296296295</v>
      </c>
      <c r="D1045" s="2">
        <v>0.43975694444444446</v>
      </c>
      <c r="G1045" s="4">
        <v>8136309</v>
      </c>
      <c r="H1045">
        <v>2</v>
      </c>
      <c r="J1045">
        <v>7230252</v>
      </c>
      <c r="K1045">
        <v>1</v>
      </c>
    </row>
    <row r="1046" spans="1:11" x14ac:dyDescent="0.25">
      <c r="A1046">
        <v>28185580</v>
      </c>
      <c r="B1046" s="1">
        <v>42933</v>
      </c>
      <c r="C1046" s="2">
        <v>0.43086805555555557</v>
      </c>
      <c r="D1046" s="2">
        <v>0.43388888888888888</v>
      </c>
      <c r="G1046" s="4">
        <v>8150086</v>
      </c>
      <c r="H1046">
        <v>1</v>
      </c>
      <c r="J1046">
        <v>7269536</v>
      </c>
      <c r="K1046">
        <v>1</v>
      </c>
    </row>
    <row r="1047" spans="1:11" x14ac:dyDescent="0.25">
      <c r="A1047">
        <v>4222605</v>
      </c>
      <c r="B1047" s="1">
        <v>42933</v>
      </c>
      <c r="C1047" s="2">
        <v>0.43375000000000002</v>
      </c>
      <c r="D1047" s="2">
        <v>0.43592592592592594</v>
      </c>
      <c r="G1047" s="4">
        <v>8156713</v>
      </c>
      <c r="H1047">
        <v>1</v>
      </c>
      <c r="J1047">
        <v>7273239</v>
      </c>
      <c r="K1047">
        <v>1</v>
      </c>
    </row>
    <row r="1048" spans="1:11" x14ac:dyDescent="0.25">
      <c r="A1048">
        <v>6689117</v>
      </c>
      <c r="B1048" s="1">
        <v>42933</v>
      </c>
      <c r="C1048" s="2">
        <v>0.43546296296296294</v>
      </c>
      <c r="D1048" s="2">
        <v>0.43662037037037038</v>
      </c>
      <c r="G1048" s="4">
        <v>8159466</v>
      </c>
      <c r="H1048">
        <v>1</v>
      </c>
      <c r="J1048">
        <v>7279106</v>
      </c>
      <c r="K1048">
        <v>1</v>
      </c>
    </row>
    <row r="1049" spans="1:11" x14ac:dyDescent="0.25">
      <c r="A1049">
        <v>3785540</v>
      </c>
      <c r="B1049" s="1">
        <v>42933</v>
      </c>
      <c r="C1049" s="2">
        <v>0.43569444444444444</v>
      </c>
      <c r="D1049" s="2">
        <v>0.4362037037037037</v>
      </c>
      <c r="G1049" s="4">
        <v>8159631</v>
      </c>
      <c r="H1049">
        <v>1</v>
      </c>
      <c r="J1049">
        <v>7288626</v>
      </c>
      <c r="K1049">
        <v>1</v>
      </c>
    </row>
    <row r="1050" spans="1:11" x14ac:dyDescent="0.25">
      <c r="A1050">
        <v>6151478</v>
      </c>
      <c r="B1050" s="1">
        <v>42933</v>
      </c>
      <c r="C1050" s="2">
        <v>0.44103009259259257</v>
      </c>
      <c r="D1050" s="2">
        <v>0.44807870370370373</v>
      </c>
      <c r="G1050" s="4">
        <v>8159788</v>
      </c>
      <c r="H1050">
        <v>1</v>
      </c>
      <c r="J1050">
        <v>7291318</v>
      </c>
      <c r="K1050">
        <v>1</v>
      </c>
    </row>
    <row r="1051" spans="1:11" x14ac:dyDescent="0.25">
      <c r="A1051">
        <v>9926754</v>
      </c>
      <c r="B1051" s="1">
        <v>42933</v>
      </c>
      <c r="C1051" s="2">
        <v>0.44421296296296298</v>
      </c>
      <c r="D1051" s="2">
        <v>0.44739583333333333</v>
      </c>
      <c r="G1051" s="4">
        <v>8163790</v>
      </c>
      <c r="H1051">
        <v>2</v>
      </c>
      <c r="J1051">
        <v>7292887</v>
      </c>
      <c r="K1051">
        <v>1</v>
      </c>
    </row>
    <row r="1052" spans="1:11" x14ac:dyDescent="0.25">
      <c r="A1052">
        <v>89098100</v>
      </c>
      <c r="B1052" s="1">
        <v>42933</v>
      </c>
      <c r="C1052" s="2">
        <v>0.44609953703703703</v>
      </c>
      <c r="D1052" s="2">
        <v>0.44979166666666665</v>
      </c>
      <c r="G1052" s="4">
        <v>8177683</v>
      </c>
      <c r="H1052">
        <v>1</v>
      </c>
      <c r="J1052">
        <v>7295667</v>
      </c>
      <c r="K1052">
        <v>1</v>
      </c>
    </row>
    <row r="1053" spans="1:11" x14ac:dyDescent="0.25">
      <c r="A1053">
        <v>6460935</v>
      </c>
      <c r="B1053" s="1">
        <v>42933</v>
      </c>
      <c r="C1053" s="2">
        <v>0.45122685185185185</v>
      </c>
      <c r="D1053" s="2">
        <v>0.45480324074074074</v>
      </c>
      <c r="G1053" s="4">
        <v>8183468</v>
      </c>
      <c r="H1053">
        <v>1</v>
      </c>
      <c r="J1053">
        <v>7320123</v>
      </c>
      <c r="K1053">
        <v>1</v>
      </c>
    </row>
    <row r="1054" spans="1:11" x14ac:dyDescent="0.25">
      <c r="A1054">
        <v>83559673</v>
      </c>
      <c r="B1054" s="1">
        <v>42933</v>
      </c>
      <c r="C1054" s="2">
        <v>0.45623842592592595</v>
      </c>
      <c r="D1054" s="2">
        <v>0.46062500000000001</v>
      </c>
      <c r="G1054" s="4">
        <v>8187780</v>
      </c>
      <c r="H1054">
        <v>1</v>
      </c>
      <c r="J1054">
        <v>7321543</v>
      </c>
      <c r="K1054">
        <v>1</v>
      </c>
    </row>
    <row r="1055" spans="1:11" x14ac:dyDescent="0.25">
      <c r="A1055">
        <v>1661633</v>
      </c>
      <c r="B1055" s="1">
        <v>42933</v>
      </c>
      <c r="C1055" s="2">
        <v>0.4611574074074074</v>
      </c>
      <c r="D1055" s="2">
        <v>0.46372685185185186</v>
      </c>
      <c r="G1055" s="4">
        <v>8195842</v>
      </c>
      <c r="H1055">
        <v>1</v>
      </c>
      <c r="J1055">
        <v>7322741</v>
      </c>
      <c r="K1055">
        <v>1</v>
      </c>
    </row>
    <row r="1056" spans="1:11" x14ac:dyDescent="0.25">
      <c r="A1056">
        <v>5809293</v>
      </c>
      <c r="B1056" s="1">
        <v>42933</v>
      </c>
      <c r="C1056" s="2">
        <v>0.46481481481481479</v>
      </c>
      <c r="D1056" s="2">
        <v>0.47425925925925927</v>
      </c>
      <c r="G1056" s="4">
        <v>8214927</v>
      </c>
      <c r="H1056">
        <v>2</v>
      </c>
      <c r="J1056">
        <v>7340326</v>
      </c>
      <c r="K1056">
        <v>1</v>
      </c>
    </row>
    <row r="1057" spans="1:11" x14ac:dyDescent="0.25">
      <c r="A1057">
        <v>5790304</v>
      </c>
      <c r="B1057" s="1">
        <v>42933</v>
      </c>
      <c r="C1057" s="2">
        <v>0.46655092592592595</v>
      </c>
      <c r="D1057" s="2">
        <v>0.47357638888888887</v>
      </c>
      <c r="G1057" s="4">
        <v>8223406</v>
      </c>
      <c r="H1057">
        <v>1</v>
      </c>
      <c r="J1057">
        <v>7362963</v>
      </c>
      <c r="K1057">
        <v>1</v>
      </c>
    </row>
    <row r="1058" spans="1:11" x14ac:dyDescent="0.25">
      <c r="A1058">
        <v>7088840</v>
      </c>
      <c r="B1058" s="1">
        <v>42933</v>
      </c>
      <c r="C1058" s="2">
        <v>0.46711805555555558</v>
      </c>
      <c r="D1058" s="2">
        <v>0.47856481481481483</v>
      </c>
      <c r="G1058" s="4">
        <v>8228350</v>
      </c>
      <c r="H1058">
        <v>1</v>
      </c>
      <c r="J1058">
        <v>7364500</v>
      </c>
      <c r="K1058">
        <v>1</v>
      </c>
    </row>
    <row r="1059" spans="1:11" x14ac:dyDescent="0.25">
      <c r="A1059">
        <v>1302112</v>
      </c>
      <c r="B1059" s="1">
        <v>42933</v>
      </c>
      <c r="C1059" s="2">
        <v>0.46939814814814818</v>
      </c>
      <c r="D1059" s="2">
        <v>0.47047453703703701</v>
      </c>
      <c r="G1059" s="4">
        <v>8233999</v>
      </c>
      <c r="H1059">
        <v>1</v>
      </c>
      <c r="J1059">
        <v>7379567</v>
      </c>
      <c r="K1059">
        <v>1</v>
      </c>
    </row>
    <row r="1060" spans="1:11" x14ac:dyDescent="0.25">
      <c r="A1060">
        <v>8299537</v>
      </c>
      <c r="B1060" s="1">
        <v>42933</v>
      </c>
      <c r="C1060" s="2">
        <v>0.47302083333333333</v>
      </c>
      <c r="D1060" s="2">
        <v>0.47939814814814813</v>
      </c>
      <c r="G1060" s="4">
        <v>8246306</v>
      </c>
      <c r="H1060">
        <v>1</v>
      </c>
      <c r="J1060">
        <v>7384686</v>
      </c>
      <c r="K1060">
        <v>1</v>
      </c>
    </row>
    <row r="1061" spans="1:11" x14ac:dyDescent="0.25">
      <c r="A1061">
        <v>1519891</v>
      </c>
      <c r="B1061" s="1">
        <v>42933</v>
      </c>
      <c r="C1061" s="2">
        <v>0.47604166666666664</v>
      </c>
      <c r="D1061" s="2">
        <v>0.48714120370370373</v>
      </c>
      <c r="G1061" s="4">
        <v>8249721</v>
      </c>
      <c r="H1061">
        <v>1</v>
      </c>
      <c r="J1061">
        <v>7388260</v>
      </c>
      <c r="K1061">
        <v>1</v>
      </c>
    </row>
    <row r="1062" spans="1:11" x14ac:dyDescent="0.25">
      <c r="A1062">
        <v>29771613</v>
      </c>
      <c r="B1062" s="1">
        <v>42933</v>
      </c>
      <c r="C1062" s="2">
        <v>0.47706018518518517</v>
      </c>
      <c r="D1062" s="2">
        <v>0.47881944444444446</v>
      </c>
      <c r="G1062" s="4">
        <v>8250018</v>
      </c>
      <c r="H1062">
        <v>2</v>
      </c>
      <c r="J1062">
        <v>7396921</v>
      </c>
      <c r="K1062">
        <v>1</v>
      </c>
    </row>
    <row r="1063" spans="1:11" x14ac:dyDescent="0.25">
      <c r="A1063">
        <v>9088045</v>
      </c>
      <c r="B1063" s="1">
        <v>42933</v>
      </c>
      <c r="C1063" s="2">
        <v>0.47714120370370372</v>
      </c>
      <c r="D1063" s="2">
        <v>0.47728009259259258</v>
      </c>
      <c r="G1063" s="4">
        <v>8251878</v>
      </c>
      <c r="H1063">
        <v>1</v>
      </c>
      <c r="J1063">
        <v>7421094</v>
      </c>
      <c r="K1063">
        <v>1</v>
      </c>
    </row>
    <row r="1064" spans="1:11" x14ac:dyDescent="0.25">
      <c r="A1064">
        <v>59864989</v>
      </c>
      <c r="B1064" s="1">
        <v>42933</v>
      </c>
      <c r="C1064" s="2">
        <v>0.48119212962962965</v>
      </c>
      <c r="D1064" s="2">
        <v>0.49038194444444444</v>
      </c>
      <c r="G1064" s="4">
        <v>8252939</v>
      </c>
      <c r="H1064">
        <v>1</v>
      </c>
      <c r="J1064">
        <v>7439955</v>
      </c>
      <c r="K1064">
        <v>1</v>
      </c>
    </row>
    <row r="1065" spans="1:11" x14ac:dyDescent="0.25">
      <c r="A1065">
        <v>2741017</v>
      </c>
      <c r="B1065" s="1">
        <v>42933</v>
      </c>
      <c r="C1065" s="2">
        <v>0.4838425925925926</v>
      </c>
      <c r="D1065" s="2">
        <v>0.49107638888888888</v>
      </c>
      <c r="G1065" s="4">
        <v>8253162</v>
      </c>
      <c r="H1065">
        <v>1</v>
      </c>
      <c r="J1065">
        <v>7449832</v>
      </c>
      <c r="K1065">
        <v>1</v>
      </c>
    </row>
    <row r="1066" spans="1:11" x14ac:dyDescent="0.25">
      <c r="A1066">
        <v>1092699</v>
      </c>
      <c r="B1066" s="1">
        <v>42933</v>
      </c>
      <c r="C1066" s="2">
        <v>0.48430555555555554</v>
      </c>
      <c r="D1066" s="2">
        <v>0.49372685185185183</v>
      </c>
      <c r="G1066" s="4">
        <v>8261808</v>
      </c>
      <c r="H1066">
        <v>1</v>
      </c>
      <c r="J1066">
        <v>7456918</v>
      </c>
      <c r="K1066">
        <v>1</v>
      </c>
    </row>
    <row r="1067" spans="1:11" x14ac:dyDescent="0.25">
      <c r="A1067">
        <v>3284714</v>
      </c>
      <c r="B1067" s="1">
        <v>42933</v>
      </c>
      <c r="C1067" s="2">
        <v>0.48533564814814817</v>
      </c>
      <c r="D1067" s="2">
        <v>0.49689814814814814</v>
      </c>
      <c r="G1067" s="4">
        <v>8270097</v>
      </c>
      <c r="H1067">
        <v>2</v>
      </c>
      <c r="J1067">
        <v>7457716</v>
      </c>
      <c r="K1067">
        <v>1</v>
      </c>
    </row>
    <row r="1068" spans="1:11" x14ac:dyDescent="0.25">
      <c r="A1068">
        <v>1822675725</v>
      </c>
      <c r="B1068" s="1">
        <v>42933</v>
      </c>
      <c r="C1068" s="2">
        <v>0.48542824074074076</v>
      </c>
      <c r="D1068" s="2">
        <v>0.49109953703703701</v>
      </c>
      <c r="G1068" s="4">
        <v>8276893</v>
      </c>
      <c r="H1068">
        <v>2</v>
      </c>
      <c r="J1068">
        <v>7467198</v>
      </c>
      <c r="K1068">
        <v>1</v>
      </c>
    </row>
    <row r="1069" spans="1:11" x14ac:dyDescent="0.25">
      <c r="A1069">
        <v>9595194</v>
      </c>
      <c r="B1069" s="1">
        <v>42933</v>
      </c>
      <c r="C1069" s="2">
        <v>0.48833333333333334</v>
      </c>
      <c r="D1069" s="2">
        <v>0.49960648148148146</v>
      </c>
      <c r="G1069" s="4">
        <v>8279741</v>
      </c>
      <c r="H1069">
        <v>1</v>
      </c>
      <c r="J1069">
        <v>7471152</v>
      </c>
      <c r="K1069">
        <v>1</v>
      </c>
    </row>
    <row r="1070" spans="1:11" x14ac:dyDescent="0.25">
      <c r="A1070">
        <v>5015921</v>
      </c>
      <c r="B1070" s="1">
        <v>42933</v>
      </c>
      <c r="C1070" s="2">
        <v>0.49362268518518521</v>
      </c>
      <c r="D1070" s="2">
        <v>0.49859953703703702</v>
      </c>
      <c r="G1070" s="4">
        <v>8284495</v>
      </c>
      <c r="H1070">
        <v>1</v>
      </c>
      <c r="J1070">
        <v>7473070</v>
      </c>
      <c r="K1070">
        <v>1</v>
      </c>
    </row>
    <row r="1071" spans="1:11" x14ac:dyDescent="0.25">
      <c r="A1071">
        <v>1015521</v>
      </c>
      <c r="B1071" s="1">
        <v>42933</v>
      </c>
      <c r="C1071" s="2">
        <v>0.49658564814814815</v>
      </c>
      <c r="D1071" s="2">
        <v>0.49866898148148148</v>
      </c>
      <c r="G1071" s="4">
        <v>8299537</v>
      </c>
      <c r="H1071">
        <v>1</v>
      </c>
      <c r="J1071">
        <v>7488966</v>
      </c>
      <c r="K1071">
        <v>1</v>
      </c>
    </row>
    <row r="1072" spans="1:11" x14ac:dyDescent="0.25">
      <c r="A1072">
        <v>4452201</v>
      </c>
      <c r="B1072" s="1">
        <v>42933</v>
      </c>
      <c r="C1072" s="2">
        <v>0.49760416666666668</v>
      </c>
      <c r="D1072" s="2">
        <v>0.50249999999999995</v>
      </c>
      <c r="G1072" s="4">
        <v>8313390</v>
      </c>
      <c r="H1072">
        <v>2</v>
      </c>
      <c r="J1072">
        <v>7503173</v>
      </c>
      <c r="K1072">
        <v>1</v>
      </c>
    </row>
    <row r="1073" spans="1:11" x14ac:dyDescent="0.25">
      <c r="A1073">
        <v>6801890</v>
      </c>
      <c r="B1073" s="1">
        <v>42933</v>
      </c>
      <c r="C1073" s="2">
        <v>0.50284722222222222</v>
      </c>
      <c r="D1073" s="2">
        <v>0.50736111111111115</v>
      </c>
      <c r="G1073" s="4">
        <v>8322522</v>
      </c>
      <c r="H1073">
        <v>1</v>
      </c>
      <c r="J1073">
        <v>7507354</v>
      </c>
      <c r="K1073">
        <v>1</v>
      </c>
    </row>
    <row r="1074" spans="1:11" x14ac:dyDescent="0.25">
      <c r="A1074">
        <v>19638469</v>
      </c>
      <c r="B1074" s="1">
        <v>42933</v>
      </c>
      <c r="C1074" s="2">
        <v>0.50768518518518524</v>
      </c>
      <c r="D1074" s="2">
        <v>0.51817129629629632</v>
      </c>
      <c r="G1074" s="4">
        <v>8322802</v>
      </c>
      <c r="H1074">
        <v>1</v>
      </c>
      <c r="J1074">
        <v>7507831</v>
      </c>
      <c r="K1074">
        <v>1</v>
      </c>
    </row>
    <row r="1075" spans="1:11" x14ac:dyDescent="0.25">
      <c r="A1075">
        <v>43897696</v>
      </c>
      <c r="B1075" s="1">
        <v>42933</v>
      </c>
      <c r="C1075" s="2">
        <v>0.51271990740740736</v>
      </c>
      <c r="D1075" s="2">
        <v>0.51616898148148149</v>
      </c>
      <c r="G1075" s="4">
        <v>8331262</v>
      </c>
      <c r="H1075">
        <v>1</v>
      </c>
      <c r="J1075">
        <v>7508054</v>
      </c>
      <c r="K1075">
        <v>1</v>
      </c>
    </row>
    <row r="1076" spans="1:11" x14ac:dyDescent="0.25">
      <c r="A1076">
        <v>8253162</v>
      </c>
      <c r="B1076" s="1">
        <v>42933</v>
      </c>
      <c r="C1076" s="2">
        <v>0.51468749999999996</v>
      </c>
      <c r="D1076" s="2">
        <v>0.5204050925925926</v>
      </c>
      <c r="G1076" s="4">
        <v>8362094</v>
      </c>
      <c r="H1076">
        <v>1</v>
      </c>
      <c r="J1076">
        <v>7511410</v>
      </c>
      <c r="K1076">
        <v>1</v>
      </c>
    </row>
    <row r="1077" spans="1:11" x14ac:dyDescent="0.25">
      <c r="A1077">
        <v>42038927</v>
      </c>
      <c r="B1077" s="1">
        <v>42933</v>
      </c>
      <c r="C1077" s="2">
        <v>0.51894675925925926</v>
      </c>
      <c r="D1077" s="2">
        <v>0.52336805555555554</v>
      </c>
      <c r="G1077" s="4">
        <v>8369815</v>
      </c>
      <c r="H1077">
        <v>2</v>
      </c>
      <c r="J1077">
        <v>7513392</v>
      </c>
      <c r="K1077">
        <v>1</v>
      </c>
    </row>
    <row r="1078" spans="1:11" x14ac:dyDescent="0.25">
      <c r="A1078">
        <v>5758962</v>
      </c>
      <c r="B1078" s="1">
        <v>42933</v>
      </c>
      <c r="C1078" s="2">
        <v>0.52460648148148148</v>
      </c>
      <c r="D1078" s="2">
        <v>0.53292824074074074</v>
      </c>
      <c r="G1078" s="4">
        <v>8375968</v>
      </c>
      <c r="H1078">
        <v>1</v>
      </c>
      <c r="J1078">
        <v>7518300</v>
      </c>
      <c r="K1078">
        <v>1</v>
      </c>
    </row>
    <row r="1079" spans="1:11" x14ac:dyDescent="0.25">
      <c r="A1079">
        <v>77096634</v>
      </c>
      <c r="B1079" s="1">
        <v>42933</v>
      </c>
      <c r="C1079" s="2">
        <v>0.52500000000000002</v>
      </c>
      <c r="D1079" s="2">
        <v>0.53071759259259255</v>
      </c>
      <c r="G1079" s="4">
        <v>8384647</v>
      </c>
      <c r="H1079">
        <v>1</v>
      </c>
      <c r="J1079">
        <v>7536096</v>
      </c>
      <c r="K1079">
        <v>1</v>
      </c>
    </row>
    <row r="1080" spans="1:11" x14ac:dyDescent="0.25">
      <c r="A1080">
        <v>8041809</v>
      </c>
      <c r="B1080" s="1">
        <v>42933</v>
      </c>
      <c r="C1080" s="2">
        <v>0.52508101851851852</v>
      </c>
      <c r="D1080" s="2">
        <v>0.53238425925925925</v>
      </c>
      <c r="G1080" s="4">
        <v>8385222</v>
      </c>
      <c r="H1080">
        <v>1</v>
      </c>
      <c r="J1080">
        <v>7551668</v>
      </c>
      <c r="K1080">
        <v>1</v>
      </c>
    </row>
    <row r="1081" spans="1:11" x14ac:dyDescent="0.25">
      <c r="A1081">
        <v>6735390</v>
      </c>
      <c r="B1081" s="1">
        <v>42933</v>
      </c>
      <c r="C1081" s="2">
        <v>0.52612268518518523</v>
      </c>
      <c r="D1081" s="2">
        <v>0.52849537037037042</v>
      </c>
      <c r="G1081" s="4">
        <v>8387594</v>
      </c>
      <c r="H1081">
        <v>1</v>
      </c>
      <c r="J1081">
        <v>7564861</v>
      </c>
      <c r="K1081">
        <v>1</v>
      </c>
    </row>
    <row r="1082" spans="1:11" x14ac:dyDescent="0.25">
      <c r="A1082">
        <v>93811207</v>
      </c>
      <c r="B1082" s="1">
        <v>42933</v>
      </c>
      <c r="C1082" s="2">
        <v>0.52707175925925931</v>
      </c>
      <c r="D1082" s="2">
        <v>0.53460648148148149</v>
      </c>
      <c r="G1082" s="4">
        <v>8400710</v>
      </c>
      <c r="H1082">
        <v>1</v>
      </c>
      <c r="J1082">
        <v>7571642</v>
      </c>
      <c r="K1082">
        <v>1</v>
      </c>
    </row>
    <row r="1083" spans="1:11" x14ac:dyDescent="0.25">
      <c r="A1083">
        <v>8079505</v>
      </c>
      <c r="B1083" s="1">
        <v>42933</v>
      </c>
      <c r="C1083" s="2">
        <v>0.52788194444444447</v>
      </c>
      <c r="D1083" s="2">
        <v>0.52908564814814818</v>
      </c>
      <c r="G1083" s="4">
        <v>8405292</v>
      </c>
      <c r="H1083">
        <v>1</v>
      </c>
      <c r="J1083">
        <v>7589993</v>
      </c>
      <c r="K1083">
        <v>1</v>
      </c>
    </row>
    <row r="1084" spans="1:11" x14ac:dyDescent="0.25">
      <c r="A1084">
        <v>3348581</v>
      </c>
      <c r="B1084" s="1">
        <v>42933</v>
      </c>
      <c r="C1084" s="2">
        <v>0.53150462962962963</v>
      </c>
      <c r="D1084" s="2">
        <v>0.54208333333333336</v>
      </c>
      <c r="G1084" s="4">
        <v>8405954</v>
      </c>
      <c r="H1084">
        <v>1</v>
      </c>
      <c r="J1084">
        <v>7594764</v>
      </c>
      <c r="K1084">
        <v>1</v>
      </c>
    </row>
    <row r="1085" spans="1:11" x14ac:dyDescent="0.25">
      <c r="A1085">
        <v>13484133</v>
      </c>
      <c r="B1085" s="1">
        <v>42933</v>
      </c>
      <c r="C1085" s="2">
        <v>0.53174768518518523</v>
      </c>
      <c r="D1085" s="2">
        <v>0.53931712962962963</v>
      </c>
      <c r="G1085" s="4">
        <v>8414788</v>
      </c>
      <c r="H1085">
        <v>1</v>
      </c>
      <c r="J1085">
        <v>7595348</v>
      </c>
      <c r="K1085">
        <v>1</v>
      </c>
    </row>
    <row r="1086" spans="1:11" x14ac:dyDescent="0.25">
      <c r="A1086">
        <v>3017523</v>
      </c>
      <c r="B1086" s="1">
        <v>42933</v>
      </c>
      <c r="C1086" s="2">
        <v>0.53241898148148148</v>
      </c>
      <c r="D1086" s="2">
        <v>0.54011574074074076</v>
      </c>
      <c r="G1086" s="4">
        <v>8424969</v>
      </c>
      <c r="H1086">
        <v>1</v>
      </c>
      <c r="J1086">
        <v>7599611</v>
      </c>
      <c r="K1086">
        <v>1</v>
      </c>
    </row>
    <row r="1087" spans="1:11" x14ac:dyDescent="0.25">
      <c r="A1087">
        <v>5464497</v>
      </c>
      <c r="B1087" s="1">
        <v>42933</v>
      </c>
      <c r="C1087" s="2">
        <v>0.53608796296296302</v>
      </c>
      <c r="D1087" s="2">
        <v>0.53657407407407409</v>
      </c>
      <c r="G1087" s="4">
        <v>8429072</v>
      </c>
      <c r="H1087">
        <v>1</v>
      </c>
      <c r="J1087">
        <v>7622848</v>
      </c>
      <c r="K1087">
        <v>1</v>
      </c>
    </row>
    <row r="1088" spans="1:11" x14ac:dyDescent="0.25">
      <c r="A1088">
        <v>5744567</v>
      </c>
      <c r="B1088" s="1">
        <v>42933</v>
      </c>
      <c r="C1088" s="2">
        <v>0.54048611111111111</v>
      </c>
      <c r="D1088" s="2">
        <v>0.54954861111111108</v>
      </c>
      <c r="G1088" s="4">
        <v>8434044</v>
      </c>
      <c r="H1088">
        <v>1</v>
      </c>
      <c r="J1088">
        <v>7624070</v>
      </c>
      <c r="K1088">
        <v>1</v>
      </c>
    </row>
    <row r="1089" spans="1:11" x14ac:dyDescent="0.25">
      <c r="A1089">
        <v>5107477025</v>
      </c>
      <c r="B1089" s="1">
        <v>42933</v>
      </c>
      <c r="C1089" s="2">
        <v>0.54495370370370366</v>
      </c>
      <c r="D1089" s="2">
        <v>0.5471759259259259</v>
      </c>
      <c r="G1089" s="4">
        <v>8449157</v>
      </c>
      <c r="H1089">
        <v>1</v>
      </c>
      <c r="J1089">
        <v>7627829</v>
      </c>
      <c r="K1089">
        <v>1</v>
      </c>
    </row>
    <row r="1090" spans="1:11" x14ac:dyDescent="0.25">
      <c r="A1090">
        <v>1332884</v>
      </c>
      <c r="B1090" s="1">
        <v>42933</v>
      </c>
      <c r="C1090" s="2">
        <v>0.546412037037037</v>
      </c>
      <c r="D1090" s="2">
        <v>0.54829861111111111</v>
      </c>
      <c r="G1090" s="4">
        <v>8461631</v>
      </c>
      <c r="H1090">
        <v>2</v>
      </c>
      <c r="J1090">
        <v>7632647</v>
      </c>
      <c r="K1090">
        <v>1</v>
      </c>
    </row>
    <row r="1091" spans="1:11" x14ac:dyDescent="0.25">
      <c r="A1091">
        <v>38823305</v>
      </c>
      <c r="B1091" s="1">
        <v>42933</v>
      </c>
      <c r="C1091" s="2">
        <v>0.54907407407407405</v>
      </c>
      <c r="D1091" s="2">
        <v>0.55969907407407404</v>
      </c>
      <c r="G1091" s="4">
        <v>8471021</v>
      </c>
      <c r="H1091">
        <v>1</v>
      </c>
      <c r="J1091">
        <v>7646265</v>
      </c>
      <c r="K1091">
        <v>1</v>
      </c>
    </row>
    <row r="1092" spans="1:11" x14ac:dyDescent="0.25">
      <c r="A1092">
        <v>7160339</v>
      </c>
      <c r="B1092" s="1">
        <v>42933</v>
      </c>
      <c r="C1092" s="2">
        <v>0.55456018518518524</v>
      </c>
      <c r="D1092" s="2">
        <v>0.5642476851851852</v>
      </c>
      <c r="G1092" s="4">
        <v>8471219</v>
      </c>
      <c r="H1092">
        <v>1</v>
      </c>
      <c r="J1092">
        <v>7677384</v>
      </c>
      <c r="K1092">
        <v>1</v>
      </c>
    </row>
    <row r="1093" spans="1:11" x14ac:dyDescent="0.25">
      <c r="A1093">
        <v>43277353</v>
      </c>
      <c r="B1093" s="1">
        <v>42933</v>
      </c>
      <c r="C1093" s="2">
        <v>0.55519675925925926</v>
      </c>
      <c r="D1093" s="2">
        <v>0.55809027777777775</v>
      </c>
      <c r="G1093" s="4">
        <v>8471544</v>
      </c>
      <c r="H1093">
        <v>1</v>
      </c>
      <c r="J1093">
        <v>7701901</v>
      </c>
      <c r="K1093">
        <v>1</v>
      </c>
    </row>
    <row r="1094" spans="1:11" x14ac:dyDescent="0.25">
      <c r="A1094">
        <v>8749135</v>
      </c>
      <c r="B1094" s="1">
        <v>42933</v>
      </c>
      <c r="C1094" s="2">
        <v>0.56083333333333329</v>
      </c>
      <c r="D1094" s="2">
        <v>0.56415509259259256</v>
      </c>
      <c r="G1094" s="4">
        <v>8487003</v>
      </c>
      <c r="H1094">
        <v>1</v>
      </c>
      <c r="J1094">
        <v>7712618</v>
      </c>
      <c r="K1094">
        <v>1</v>
      </c>
    </row>
    <row r="1095" spans="1:11" x14ac:dyDescent="0.25">
      <c r="A1095">
        <v>16977213</v>
      </c>
      <c r="B1095" s="1">
        <v>42933</v>
      </c>
      <c r="C1095" s="2">
        <v>0.56462962962962959</v>
      </c>
      <c r="D1095" s="2">
        <v>0.56841435185185185</v>
      </c>
      <c r="G1095" s="4">
        <v>8489588</v>
      </c>
      <c r="H1095">
        <v>1</v>
      </c>
      <c r="J1095">
        <v>7715424</v>
      </c>
      <c r="K1095">
        <v>1</v>
      </c>
    </row>
    <row r="1096" spans="1:11" x14ac:dyDescent="0.25">
      <c r="A1096">
        <v>13221411</v>
      </c>
      <c r="B1096" s="1">
        <v>42933</v>
      </c>
      <c r="C1096" s="2">
        <v>0.56511574074074078</v>
      </c>
      <c r="D1096" s="2">
        <v>0.57498842592592592</v>
      </c>
      <c r="G1096" s="4">
        <v>8493652</v>
      </c>
      <c r="H1096">
        <v>1</v>
      </c>
      <c r="J1096">
        <v>7718350</v>
      </c>
      <c r="K1096">
        <v>1</v>
      </c>
    </row>
    <row r="1097" spans="1:11" x14ac:dyDescent="0.25">
      <c r="A1097">
        <v>2653312</v>
      </c>
      <c r="B1097" s="1">
        <v>42933</v>
      </c>
      <c r="C1097" s="2">
        <v>0.56893518518518515</v>
      </c>
      <c r="D1097" s="2">
        <v>0.57289351851851855</v>
      </c>
      <c r="G1097" s="4">
        <v>8498076</v>
      </c>
      <c r="H1097">
        <v>2</v>
      </c>
      <c r="J1097">
        <v>7739841</v>
      </c>
      <c r="K1097">
        <v>1</v>
      </c>
    </row>
    <row r="1098" spans="1:11" x14ac:dyDescent="0.25">
      <c r="A1098">
        <v>4187727</v>
      </c>
      <c r="B1098" s="1">
        <v>42933</v>
      </c>
      <c r="C1098" s="2">
        <v>0.57038194444444446</v>
      </c>
      <c r="D1098" s="2">
        <v>0.57341435185185186</v>
      </c>
      <c r="G1098" s="4">
        <v>8498683</v>
      </c>
      <c r="H1098">
        <v>1</v>
      </c>
      <c r="J1098">
        <v>7741751</v>
      </c>
      <c r="K1098">
        <v>1</v>
      </c>
    </row>
    <row r="1099" spans="1:11" x14ac:dyDescent="0.25">
      <c r="A1099">
        <v>4370146</v>
      </c>
      <c r="B1099" s="1">
        <v>42933</v>
      </c>
      <c r="C1099" s="2">
        <v>0.57170138888888888</v>
      </c>
      <c r="D1099" s="2">
        <v>0.58212962962962966</v>
      </c>
      <c r="G1099" s="4">
        <v>8501225</v>
      </c>
      <c r="H1099">
        <v>1</v>
      </c>
      <c r="J1099">
        <v>7743548</v>
      </c>
      <c r="K1099">
        <v>1</v>
      </c>
    </row>
    <row r="1100" spans="1:11" x14ac:dyDescent="0.25">
      <c r="A1100">
        <v>5725773</v>
      </c>
      <c r="B1100" s="1">
        <v>42933</v>
      </c>
      <c r="C1100" s="2">
        <v>0.57466435185185183</v>
      </c>
      <c r="D1100" s="2">
        <v>0.58538194444444447</v>
      </c>
      <c r="G1100" s="4">
        <v>8501947</v>
      </c>
      <c r="H1100">
        <v>1</v>
      </c>
      <c r="J1100">
        <v>7747085</v>
      </c>
      <c r="K1100">
        <v>1</v>
      </c>
    </row>
    <row r="1101" spans="1:11" x14ac:dyDescent="0.25">
      <c r="A1101">
        <v>6345014</v>
      </c>
      <c r="B1101" s="1">
        <v>42933</v>
      </c>
      <c r="C1101" s="2">
        <v>0.58010416666666664</v>
      </c>
      <c r="D1101" s="2">
        <v>0.58166666666666667</v>
      </c>
      <c r="G1101" s="4">
        <v>8504601</v>
      </c>
      <c r="H1101">
        <v>1</v>
      </c>
      <c r="J1101">
        <v>7751076</v>
      </c>
      <c r="K1101">
        <v>1</v>
      </c>
    </row>
    <row r="1102" spans="1:11" x14ac:dyDescent="0.25">
      <c r="A1102">
        <v>7507831</v>
      </c>
      <c r="B1102" s="1">
        <v>42933</v>
      </c>
      <c r="C1102" s="2">
        <v>0.58545138888888892</v>
      </c>
      <c r="D1102" s="2">
        <v>0.59214120370370371</v>
      </c>
      <c r="G1102" s="4">
        <v>8512255</v>
      </c>
      <c r="H1102">
        <v>1</v>
      </c>
      <c r="J1102">
        <v>7762020</v>
      </c>
      <c r="K1102">
        <v>1</v>
      </c>
    </row>
    <row r="1103" spans="1:11" x14ac:dyDescent="0.25">
      <c r="A1103">
        <v>1198407</v>
      </c>
      <c r="B1103" s="1">
        <v>42933</v>
      </c>
      <c r="C1103" s="2">
        <v>0.59004629629629635</v>
      </c>
      <c r="D1103" s="2">
        <v>0.59799768518518515</v>
      </c>
      <c r="G1103" s="4">
        <v>8514016</v>
      </c>
      <c r="H1103">
        <v>1</v>
      </c>
      <c r="J1103">
        <v>7763451</v>
      </c>
      <c r="K1103">
        <v>1</v>
      </c>
    </row>
    <row r="1104" spans="1:11" x14ac:dyDescent="0.25">
      <c r="A1104">
        <v>4055319</v>
      </c>
      <c r="B1104" s="1">
        <v>42933</v>
      </c>
      <c r="C1104" s="2">
        <v>0.59471064814814811</v>
      </c>
      <c r="D1104" s="2">
        <v>0.60624999999999996</v>
      </c>
      <c r="G1104" s="4">
        <v>8534481</v>
      </c>
      <c r="H1104">
        <v>1</v>
      </c>
      <c r="J1104">
        <v>7766265</v>
      </c>
      <c r="K1104">
        <v>1</v>
      </c>
    </row>
    <row r="1105" spans="1:11" x14ac:dyDescent="0.25">
      <c r="A1105">
        <v>70730125</v>
      </c>
      <c r="B1105" s="1">
        <v>42933</v>
      </c>
      <c r="C1105" s="2">
        <v>0.59578703703703706</v>
      </c>
      <c r="D1105" s="2">
        <v>0.59671296296296295</v>
      </c>
      <c r="G1105" s="4">
        <v>8541151</v>
      </c>
      <c r="H1105">
        <v>1</v>
      </c>
      <c r="J1105">
        <v>7768277</v>
      </c>
      <c r="K1105">
        <v>1</v>
      </c>
    </row>
    <row r="1106" spans="1:11" x14ac:dyDescent="0.25">
      <c r="A1106">
        <v>45158089</v>
      </c>
      <c r="B1106" s="1">
        <v>42933</v>
      </c>
      <c r="C1106" s="2">
        <v>0.5962615740740741</v>
      </c>
      <c r="D1106" s="2">
        <v>0.59780092592592593</v>
      </c>
      <c r="G1106" s="4">
        <v>8570276</v>
      </c>
      <c r="H1106">
        <v>1</v>
      </c>
      <c r="J1106">
        <v>7769531</v>
      </c>
      <c r="K1106">
        <v>1</v>
      </c>
    </row>
    <row r="1107" spans="1:11" x14ac:dyDescent="0.25">
      <c r="A1107">
        <v>8159631</v>
      </c>
      <c r="B1107" s="1">
        <v>42933</v>
      </c>
      <c r="C1107" s="2">
        <v>0.59650462962962958</v>
      </c>
      <c r="D1107" s="2">
        <v>0.60144675925925928</v>
      </c>
      <c r="G1107" s="4">
        <v>8585321</v>
      </c>
      <c r="H1107">
        <v>2</v>
      </c>
      <c r="J1107">
        <v>7773546</v>
      </c>
      <c r="K1107">
        <v>1</v>
      </c>
    </row>
    <row r="1108" spans="1:11" x14ac:dyDescent="0.25">
      <c r="A1108">
        <v>2645518</v>
      </c>
      <c r="B1108" s="1">
        <v>42933</v>
      </c>
      <c r="C1108" s="2">
        <v>0.60025462962962961</v>
      </c>
      <c r="D1108" s="2">
        <v>0.60699074074074078</v>
      </c>
      <c r="G1108" s="4">
        <v>8590206</v>
      </c>
      <c r="H1108">
        <v>1</v>
      </c>
      <c r="J1108">
        <v>7779935</v>
      </c>
      <c r="K1108">
        <v>1</v>
      </c>
    </row>
    <row r="1109" spans="1:11" x14ac:dyDescent="0.25">
      <c r="A1109">
        <v>5199929</v>
      </c>
      <c r="B1109" s="1">
        <v>42933</v>
      </c>
      <c r="C1109" s="2">
        <v>0.60083333333333333</v>
      </c>
      <c r="D1109" s="2">
        <v>0.60971064814814813</v>
      </c>
      <c r="G1109" s="4">
        <v>8596442</v>
      </c>
      <c r="H1109">
        <v>1</v>
      </c>
      <c r="J1109">
        <v>7781904</v>
      </c>
      <c r="K1109">
        <v>1</v>
      </c>
    </row>
    <row r="1110" spans="1:11" x14ac:dyDescent="0.25">
      <c r="A1110">
        <v>4039284</v>
      </c>
      <c r="B1110" s="1">
        <v>42933</v>
      </c>
      <c r="C1110" s="2">
        <v>0.6021643518518518</v>
      </c>
      <c r="D1110" s="2">
        <v>0.60636574074074079</v>
      </c>
      <c r="G1110" s="4">
        <v>8596929</v>
      </c>
      <c r="H1110">
        <v>1</v>
      </c>
      <c r="J1110">
        <v>7792679</v>
      </c>
      <c r="K1110">
        <v>1</v>
      </c>
    </row>
    <row r="1111" spans="1:11" x14ac:dyDescent="0.25">
      <c r="A1111">
        <v>1431491</v>
      </c>
      <c r="B1111" s="1">
        <v>42933</v>
      </c>
      <c r="C1111" s="2">
        <v>0.60495370370370372</v>
      </c>
      <c r="D1111" s="2">
        <v>0.61153935185185182</v>
      </c>
      <c r="G1111" s="4">
        <v>8605742</v>
      </c>
      <c r="H1111">
        <v>1</v>
      </c>
      <c r="J1111">
        <v>7792980</v>
      </c>
      <c r="K1111">
        <v>1</v>
      </c>
    </row>
    <row r="1112" spans="1:11" x14ac:dyDescent="0.25">
      <c r="A1112">
        <v>39848401</v>
      </c>
      <c r="B1112" s="1">
        <v>42933</v>
      </c>
      <c r="C1112" s="2">
        <v>0.60783564814814817</v>
      </c>
      <c r="D1112" s="2">
        <v>0.60846064814814815</v>
      </c>
      <c r="G1112" s="4">
        <v>8622421</v>
      </c>
      <c r="H1112">
        <v>1</v>
      </c>
      <c r="J1112">
        <v>7826456</v>
      </c>
      <c r="K1112">
        <v>1</v>
      </c>
    </row>
    <row r="1113" spans="1:11" x14ac:dyDescent="0.25">
      <c r="A1113">
        <v>9225807</v>
      </c>
      <c r="B1113" s="1">
        <v>42933</v>
      </c>
      <c r="C1113" s="2">
        <v>0.61261574074074077</v>
      </c>
      <c r="D1113" s="2">
        <v>0.62048611111111107</v>
      </c>
      <c r="G1113" s="4">
        <v>8632893</v>
      </c>
      <c r="H1113">
        <v>1</v>
      </c>
      <c r="J1113">
        <v>7834807</v>
      </c>
      <c r="K1113">
        <v>1</v>
      </c>
    </row>
    <row r="1114" spans="1:11" x14ac:dyDescent="0.25">
      <c r="A1114">
        <v>7986409</v>
      </c>
      <c r="B1114" s="1">
        <v>42933</v>
      </c>
      <c r="C1114" s="2">
        <v>0.61473379629629632</v>
      </c>
      <c r="D1114" s="2">
        <v>0.61660879629629628</v>
      </c>
      <c r="G1114" s="4">
        <v>8647144</v>
      </c>
      <c r="H1114">
        <v>1</v>
      </c>
      <c r="J1114">
        <v>7836418</v>
      </c>
      <c r="K1114">
        <v>1</v>
      </c>
    </row>
    <row r="1115" spans="1:11" x14ac:dyDescent="0.25">
      <c r="A1115">
        <v>54554135</v>
      </c>
      <c r="B1115" s="1">
        <v>42933</v>
      </c>
      <c r="C1115" s="2">
        <v>0.61943287037037043</v>
      </c>
      <c r="D1115" s="2">
        <v>0.62100694444444449</v>
      </c>
      <c r="G1115" s="4">
        <v>8655825</v>
      </c>
      <c r="H1115">
        <v>1</v>
      </c>
      <c r="J1115">
        <v>7841442</v>
      </c>
      <c r="K1115">
        <v>1</v>
      </c>
    </row>
    <row r="1116" spans="1:11" x14ac:dyDescent="0.25">
      <c r="A1116">
        <v>1263080</v>
      </c>
      <c r="B1116" s="1">
        <v>42933</v>
      </c>
      <c r="C1116" s="2">
        <v>0.62292824074074071</v>
      </c>
      <c r="D1116" s="2">
        <v>0.63358796296296294</v>
      </c>
      <c r="G1116" s="4">
        <v>8667012</v>
      </c>
      <c r="H1116">
        <v>1</v>
      </c>
      <c r="J1116">
        <v>7852624</v>
      </c>
      <c r="K1116">
        <v>1</v>
      </c>
    </row>
    <row r="1117" spans="1:11" x14ac:dyDescent="0.25">
      <c r="A1117">
        <v>97953696</v>
      </c>
      <c r="B1117" s="1">
        <v>42933</v>
      </c>
      <c r="C1117" s="2">
        <v>0.62657407407407406</v>
      </c>
      <c r="D1117" s="2">
        <v>0.62818287037037035</v>
      </c>
      <c r="G1117" s="4">
        <v>8672623</v>
      </c>
      <c r="H1117">
        <v>1</v>
      </c>
      <c r="J1117">
        <v>7857206</v>
      </c>
      <c r="K1117">
        <v>1</v>
      </c>
    </row>
    <row r="1118" spans="1:11" x14ac:dyDescent="0.25">
      <c r="A1118">
        <v>9772824</v>
      </c>
      <c r="B1118" s="1">
        <v>42934</v>
      </c>
      <c r="C1118" s="2">
        <v>0.33355324074074072</v>
      </c>
      <c r="D1118" s="2">
        <v>0.33859953703703705</v>
      </c>
      <c r="G1118" s="4">
        <v>8672651</v>
      </c>
      <c r="H1118">
        <v>1</v>
      </c>
      <c r="J1118">
        <v>7865428</v>
      </c>
      <c r="K1118">
        <v>1</v>
      </c>
    </row>
    <row r="1119" spans="1:11" x14ac:dyDescent="0.25">
      <c r="A1119">
        <v>1157434</v>
      </c>
      <c r="B1119" s="1">
        <v>42934</v>
      </c>
      <c r="C1119" s="2">
        <v>0.33582175925925928</v>
      </c>
      <c r="D1119" s="2">
        <v>0.34681712962962963</v>
      </c>
      <c r="G1119" s="4">
        <v>8679036</v>
      </c>
      <c r="H1119">
        <v>3</v>
      </c>
      <c r="J1119">
        <v>7865609</v>
      </c>
      <c r="K1119">
        <v>1</v>
      </c>
    </row>
    <row r="1120" spans="1:11" x14ac:dyDescent="0.25">
      <c r="A1120">
        <v>8799928507</v>
      </c>
      <c r="B1120" s="1">
        <v>42934</v>
      </c>
      <c r="C1120" s="2">
        <v>0.34134259259259259</v>
      </c>
      <c r="D1120" s="2">
        <v>0.34931712962962963</v>
      </c>
      <c r="G1120" s="4">
        <v>8690793</v>
      </c>
      <c r="H1120">
        <v>1</v>
      </c>
      <c r="J1120">
        <v>7872182</v>
      </c>
      <c r="K1120">
        <v>1</v>
      </c>
    </row>
    <row r="1121" spans="1:11" x14ac:dyDescent="0.25">
      <c r="A1121">
        <v>5372891</v>
      </c>
      <c r="B1121" s="1">
        <v>42934</v>
      </c>
      <c r="C1121" s="2">
        <v>0.34586805555555555</v>
      </c>
      <c r="D1121" s="2">
        <v>0.34684027777777776</v>
      </c>
      <c r="G1121" s="4">
        <v>8691743</v>
      </c>
      <c r="H1121">
        <v>1</v>
      </c>
      <c r="J1121">
        <v>7880396</v>
      </c>
      <c r="K1121">
        <v>1</v>
      </c>
    </row>
    <row r="1122" spans="1:11" x14ac:dyDescent="0.25">
      <c r="A1122">
        <v>2663800</v>
      </c>
      <c r="B1122" s="1">
        <v>42934</v>
      </c>
      <c r="C1122" s="2">
        <v>0.35076388888888888</v>
      </c>
      <c r="D1122" s="2">
        <v>0.35863425925925924</v>
      </c>
      <c r="G1122" s="4">
        <v>8715278</v>
      </c>
      <c r="H1122">
        <v>1</v>
      </c>
      <c r="J1122">
        <v>7880585</v>
      </c>
      <c r="K1122">
        <v>1</v>
      </c>
    </row>
    <row r="1123" spans="1:11" x14ac:dyDescent="0.25">
      <c r="A1123">
        <v>32779069</v>
      </c>
      <c r="B1123" s="1">
        <v>42934</v>
      </c>
      <c r="C1123" s="2">
        <v>0.35430555555555554</v>
      </c>
      <c r="D1123" s="2">
        <v>0.36318287037037039</v>
      </c>
      <c r="G1123" s="4">
        <v>8723323</v>
      </c>
      <c r="H1123">
        <v>1</v>
      </c>
      <c r="J1123">
        <v>7883595</v>
      </c>
      <c r="K1123">
        <v>1</v>
      </c>
    </row>
    <row r="1124" spans="1:11" x14ac:dyDescent="0.25">
      <c r="A1124">
        <v>8261808</v>
      </c>
      <c r="B1124" s="1">
        <v>42934</v>
      </c>
      <c r="C1124" s="2">
        <v>0.35718749999999999</v>
      </c>
      <c r="D1124" s="2">
        <v>0.36684027777777778</v>
      </c>
      <c r="G1124" s="4">
        <v>8743781</v>
      </c>
      <c r="H1124">
        <v>1</v>
      </c>
      <c r="J1124">
        <v>7891185</v>
      </c>
      <c r="K1124">
        <v>1</v>
      </c>
    </row>
    <row r="1125" spans="1:11" x14ac:dyDescent="0.25">
      <c r="A1125">
        <v>7321543</v>
      </c>
      <c r="B1125" s="1">
        <v>42934</v>
      </c>
      <c r="C1125" s="2">
        <v>0.36151620370370369</v>
      </c>
      <c r="D1125" s="2">
        <v>0.3712037037037037</v>
      </c>
      <c r="G1125" s="4">
        <v>8748493</v>
      </c>
      <c r="H1125">
        <v>1</v>
      </c>
      <c r="J1125">
        <v>7896629</v>
      </c>
      <c r="K1125">
        <v>1</v>
      </c>
    </row>
    <row r="1126" spans="1:11" x14ac:dyDescent="0.25">
      <c r="A1126">
        <v>7513392</v>
      </c>
      <c r="B1126" s="1">
        <v>42934</v>
      </c>
      <c r="C1126" s="2">
        <v>0.36421296296296296</v>
      </c>
      <c r="D1126" s="2">
        <v>0.36640046296296297</v>
      </c>
      <c r="G1126" s="4">
        <v>8749135</v>
      </c>
      <c r="H1126">
        <v>1</v>
      </c>
      <c r="J1126">
        <v>7904403</v>
      </c>
      <c r="K1126">
        <v>1</v>
      </c>
    </row>
    <row r="1127" spans="1:11" x14ac:dyDescent="0.25">
      <c r="A1127">
        <v>77036136</v>
      </c>
      <c r="B1127" s="1">
        <v>42934</v>
      </c>
      <c r="C1127" s="2">
        <v>0.36937500000000001</v>
      </c>
      <c r="D1127" s="2">
        <v>0.37585648148148149</v>
      </c>
      <c r="G1127" s="4">
        <v>8750619</v>
      </c>
      <c r="H1127">
        <v>1</v>
      </c>
      <c r="J1127">
        <v>7915936</v>
      </c>
      <c r="K1127">
        <v>1</v>
      </c>
    </row>
    <row r="1128" spans="1:11" x14ac:dyDescent="0.25">
      <c r="A1128">
        <v>1700508</v>
      </c>
      <c r="B1128" s="1">
        <v>42934</v>
      </c>
      <c r="C1128" s="2">
        <v>0.37179398148148146</v>
      </c>
      <c r="D1128" s="2">
        <v>0.3828125</v>
      </c>
      <c r="G1128" s="4">
        <v>8750670</v>
      </c>
      <c r="H1128">
        <v>1</v>
      </c>
      <c r="J1128">
        <v>7918038</v>
      </c>
      <c r="K1128">
        <v>1</v>
      </c>
    </row>
    <row r="1129" spans="1:11" x14ac:dyDescent="0.25">
      <c r="A1129">
        <v>7872182</v>
      </c>
      <c r="B1129" s="1">
        <v>42934</v>
      </c>
      <c r="C1129" s="2">
        <v>0.3772800925925926</v>
      </c>
      <c r="D1129" s="2">
        <v>0.3837962962962963</v>
      </c>
      <c r="G1129" s="4">
        <v>8768896</v>
      </c>
      <c r="H1129">
        <v>2</v>
      </c>
      <c r="J1129">
        <v>7933399</v>
      </c>
      <c r="K1129">
        <v>1</v>
      </c>
    </row>
    <row r="1130" spans="1:11" x14ac:dyDescent="0.25">
      <c r="A1130">
        <v>84513035</v>
      </c>
      <c r="B1130" s="1">
        <v>42934</v>
      </c>
      <c r="C1130" s="2">
        <v>0.38017361111111109</v>
      </c>
      <c r="D1130" s="2">
        <v>0.38291666666666668</v>
      </c>
      <c r="G1130" s="4">
        <v>8770898</v>
      </c>
      <c r="H1130">
        <v>1</v>
      </c>
      <c r="J1130">
        <v>7969038</v>
      </c>
      <c r="K1130">
        <v>1</v>
      </c>
    </row>
    <row r="1131" spans="1:11" x14ac:dyDescent="0.25">
      <c r="A1131">
        <v>1775586</v>
      </c>
      <c r="B1131" s="1">
        <v>42934</v>
      </c>
      <c r="C1131" s="2">
        <v>0.38452546296296297</v>
      </c>
      <c r="D1131" s="2">
        <v>0.38978009259259261</v>
      </c>
      <c r="G1131" s="4">
        <v>8773356</v>
      </c>
      <c r="H1131">
        <v>1</v>
      </c>
      <c r="J1131">
        <v>7972076</v>
      </c>
      <c r="K1131">
        <v>1</v>
      </c>
    </row>
    <row r="1132" spans="1:11" x14ac:dyDescent="0.25">
      <c r="A1132">
        <v>1225082</v>
      </c>
      <c r="B1132" s="1">
        <v>42934</v>
      </c>
      <c r="C1132" s="2">
        <v>0.38516203703703705</v>
      </c>
      <c r="D1132" s="2">
        <v>0.38653935185185184</v>
      </c>
      <c r="G1132" s="4">
        <v>8802222</v>
      </c>
      <c r="H1132">
        <v>2</v>
      </c>
      <c r="J1132">
        <v>7973319</v>
      </c>
      <c r="K1132">
        <v>1</v>
      </c>
    </row>
    <row r="1133" spans="1:11" x14ac:dyDescent="0.25">
      <c r="A1133">
        <v>1586675</v>
      </c>
      <c r="B1133" s="1">
        <v>42934</v>
      </c>
      <c r="C1133" s="2">
        <v>0.39093749999999999</v>
      </c>
      <c r="D1133" s="2">
        <v>0.39787037037037037</v>
      </c>
      <c r="G1133" s="4">
        <v>8819206</v>
      </c>
      <c r="H1133">
        <v>1</v>
      </c>
      <c r="J1133">
        <v>7973476</v>
      </c>
      <c r="K1133">
        <v>1</v>
      </c>
    </row>
    <row r="1134" spans="1:11" x14ac:dyDescent="0.25">
      <c r="A1134">
        <v>2672229</v>
      </c>
      <c r="B1134" s="1">
        <v>42934</v>
      </c>
      <c r="C1134" s="2">
        <v>0.39552083333333332</v>
      </c>
      <c r="D1134" s="2">
        <v>0.4007175925925926</v>
      </c>
      <c r="G1134" s="4">
        <v>8825868</v>
      </c>
      <c r="H1134">
        <v>1</v>
      </c>
      <c r="J1134">
        <v>7975900</v>
      </c>
      <c r="K1134">
        <v>1</v>
      </c>
    </row>
    <row r="1135" spans="1:11" x14ac:dyDescent="0.25">
      <c r="A1135">
        <v>2443869</v>
      </c>
      <c r="B1135" s="1">
        <v>42934</v>
      </c>
      <c r="C1135" s="2">
        <v>0.39964120370370371</v>
      </c>
      <c r="D1135" s="2">
        <v>0.4074652777777778</v>
      </c>
      <c r="G1135" s="4">
        <v>8831940</v>
      </c>
      <c r="H1135">
        <v>1</v>
      </c>
      <c r="J1135">
        <v>7977726</v>
      </c>
      <c r="K1135">
        <v>1</v>
      </c>
    </row>
    <row r="1136" spans="1:11" x14ac:dyDescent="0.25">
      <c r="A1136">
        <v>7166411</v>
      </c>
      <c r="B1136" s="1">
        <v>42934</v>
      </c>
      <c r="C1136" s="2">
        <v>0.40263888888888888</v>
      </c>
      <c r="D1136" s="2">
        <v>0.40846064814814814</v>
      </c>
      <c r="G1136" s="4">
        <v>8838584</v>
      </c>
      <c r="H1136">
        <v>1</v>
      </c>
      <c r="J1136">
        <v>7979313</v>
      </c>
      <c r="K1136">
        <v>1</v>
      </c>
    </row>
    <row r="1137" spans="1:11" x14ac:dyDescent="0.25">
      <c r="A1137">
        <v>4657345</v>
      </c>
      <c r="B1137" s="1">
        <v>42934</v>
      </c>
      <c r="C1137" s="2">
        <v>0.40328703703703705</v>
      </c>
      <c r="D1137" s="2">
        <v>0.4140625</v>
      </c>
      <c r="G1137" s="4">
        <v>8840288</v>
      </c>
      <c r="H1137">
        <v>1</v>
      </c>
      <c r="J1137">
        <v>7980513</v>
      </c>
      <c r="K1137">
        <v>1</v>
      </c>
    </row>
    <row r="1138" spans="1:11" x14ac:dyDescent="0.25">
      <c r="A1138">
        <v>6070329</v>
      </c>
      <c r="B1138" s="1">
        <v>42934</v>
      </c>
      <c r="C1138" s="2">
        <v>0.40337962962962964</v>
      </c>
      <c r="D1138" s="2">
        <v>0.41432870370370373</v>
      </c>
      <c r="G1138" s="4">
        <v>8841955</v>
      </c>
      <c r="H1138">
        <v>1</v>
      </c>
      <c r="J1138">
        <v>7986409</v>
      </c>
      <c r="K1138">
        <v>1</v>
      </c>
    </row>
    <row r="1139" spans="1:11" x14ac:dyDescent="0.25">
      <c r="A1139">
        <v>4845362</v>
      </c>
      <c r="B1139" s="1">
        <v>42934</v>
      </c>
      <c r="C1139" s="2">
        <v>0.4034490740740741</v>
      </c>
      <c r="D1139" s="2">
        <v>0.40371527777777777</v>
      </c>
      <c r="G1139" s="4">
        <v>8849918</v>
      </c>
      <c r="H1139">
        <v>1</v>
      </c>
      <c r="J1139">
        <v>7988607</v>
      </c>
      <c r="K1139">
        <v>1</v>
      </c>
    </row>
    <row r="1140" spans="1:11" x14ac:dyDescent="0.25">
      <c r="A1140">
        <v>6333341</v>
      </c>
      <c r="B1140" s="1">
        <v>42934</v>
      </c>
      <c r="C1140" s="2">
        <v>0.40690972222222221</v>
      </c>
      <c r="D1140" s="2">
        <v>0.4103472222222222</v>
      </c>
      <c r="G1140" s="4">
        <v>8863988</v>
      </c>
      <c r="H1140">
        <v>1</v>
      </c>
      <c r="J1140">
        <v>7994769</v>
      </c>
      <c r="K1140">
        <v>1</v>
      </c>
    </row>
    <row r="1141" spans="1:11" x14ac:dyDescent="0.25">
      <c r="A1141">
        <v>5060909</v>
      </c>
      <c r="B1141" s="1">
        <v>42934</v>
      </c>
      <c r="C1141" s="2">
        <v>0.40699074074074076</v>
      </c>
      <c r="D1141" s="2">
        <v>0.41368055555555555</v>
      </c>
      <c r="G1141" s="4">
        <v>8865092</v>
      </c>
      <c r="H1141">
        <v>1</v>
      </c>
      <c r="J1141">
        <v>8001915</v>
      </c>
      <c r="K1141">
        <v>1</v>
      </c>
    </row>
    <row r="1142" spans="1:11" x14ac:dyDescent="0.25">
      <c r="A1142">
        <v>4673703944</v>
      </c>
      <c r="B1142" s="1">
        <v>42934</v>
      </c>
      <c r="C1142" s="2">
        <v>0.40822916666666664</v>
      </c>
      <c r="D1142" s="2">
        <v>0.41090277777777778</v>
      </c>
      <c r="G1142" s="4">
        <v>8870498</v>
      </c>
      <c r="H1142">
        <v>3</v>
      </c>
      <c r="J1142">
        <v>8010775</v>
      </c>
      <c r="K1142">
        <v>1</v>
      </c>
    </row>
    <row r="1143" spans="1:11" x14ac:dyDescent="0.25">
      <c r="A1143">
        <v>3178616</v>
      </c>
      <c r="B1143" s="1">
        <v>42934</v>
      </c>
      <c r="C1143" s="2">
        <v>0.40974537037037034</v>
      </c>
      <c r="D1143" s="2">
        <v>0.41177083333333331</v>
      </c>
      <c r="G1143" s="4">
        <v>8872311</v>
      </c>
      <c r="H1143">
        <v>1</v>
      </c>
      <c r="J1143">
        <v>8023179</v>
      </c>
      <c r="K1143">
        <v>1</v>
      </c>
    </row>
    <row r="1144" spans="1:11" x14ac:dyDescent="0.25">
      <c r="A1144">
        <v>2079170589</v>
      </c>
      <c r="B1144" s="1">
        <v>42934</v>
      </c>
      <c r="C1144" s="2">
        <v>0.41120370370370368</v>
      </c>
      <c r="D1144" s="2">
        <v>0.41769675925925925</v>
      </c>
      <c r="G1144" s="4">
        <v>8880275</v>
      </c>
      <c r="H1144">
        <v>1</v>
      </c>
      <c r="J1144">
        <v>8026912</v>
      </c>
      <c r="K1144">
        <v>1</v>
      </c>
    </row>
    <row r="1145" spans="1:11" x14ac:dyDescent="0.25">
      <c r="A1145">
        <v>9815754</v>
      </c>
      <c r="B1145" s="1">
        <v>42934</v>
      </c>
      <c r="C1145" s="2">
        <v>0.41260416666666666</v>
      </c>
      <c r="D1145" s="2">
        <v>0.41688657407407409</v>
      </c>
      <c r="G1145" s="4">
        <v>8885606</v>
      </c>
      <c r="H1145">
        <v>1</v>
      </c>
      <c r="J1145">
        <v>8028777</v>
      </c>
      <c r="K1145">
        <v>1</v>
      </c>
    </row>
    <row r="1146" spans="1:11" x14ac:dyDescent="0.25">
      <c r="A1146">
        <v>4111617</v>
      </c>
      <c r="B1146" s="1">
        <v>42934</v>
      </c>
      <c r="C1146" s="2">
        <v>0.41450231481481481</v>
      </c>
      <c r="D1146" s="2">
        <v>0.41574074074074074</v>
      </c>
      <c r="G1146" s="4">
        <v>8895257</v>
      </c>
      <c r="H1146">
        <v>1</v>
      </c>
      <c r="J1146">
        <v>8041809</v>
      </c>
      <c r="K1146">
        <v>1</v>
      </c>
    </row>
    <row r="1147" spans="1:11" x14ac:dyDescent="0.25">
      <c r="A1147">
        <v>1117628</v>
      </c>
      <c r="B1147" s="1">
        <v>42934</v>
      </c>
      <c r="C1147" s="2">
        <v>0.41652777777777777</v>
      </c>
      <c r="D1147" s="2">
        <v>0.42443287037037036</v>
      </c>
      <c r="G1147" s="4">
        <v>8900603</v>
      </c>
      <c r="H1147">
        <v>1</v>
      </c>
      <c r="J1147">
        <v>8049834</v>
      </c>
      <c r="K1147">
        <v>1</v>
      </c>
    </row>
    <row r="1148" spans="1:11" x14ac:dyDescent="0.25">
      <c r="A1148">
        <v>5487496</v>
      </c>
      <c r="B1148" s="1">
        <v>42934</v>
      </c>
      <c r="C1148" s="2">
        <v>0.42114583333333333</v>
      </c>
      <c r="D1148" s="2">
        <v>0.4230902777777778</v>
      </c>
      <c r="G1148" s="4">
        <v>8929993</v>
      </c>
      <c r="H1148">
        <v>1</v>
      </c>
      <c r="J1148">
        <v>8056387</v>
      </c>
      <c r="K1148">
        <v>1</v>
      </c>
    </row>
    <row r="1149" spans="1:11" x14ac:dyDescent="0.25">
      <c r="A1149">
        <v>1472682</v>
      </c>
      <c r="B1149" s="1">
        <v>42934</v>
      </c>
      <c r="C1149" s="2">
        <v>0.42533564814814817</v>
      </c>
      <c r="D1149" s="2">
        <v>0.43167824074074074</v>
      </c>
      <c r="G1149" s="4">
        <v>8936656</v>
      </c>
      <c r="H1149">
        <v>1</v>
      </c>
      <c r="J1149">
        <v>8060169</v>
      </c>
      <c r="K1149">
        <v>1</v>
      </c>
    </row>
    <row r="1150" spans="1:11" x14ac:dyDescent="0.25">
      <c r="A1150">
        <v>43885630</v>
      </c>
      <c r="B1150" s="1">
        <v>42934</v>
      </c>
      <c r="C1150" s="2">
        <v>0.42988425925925927</v>
      </c>
      <c r="D1150" s="2">
        <v>0.43424768518518519</v>
      </c>
      <c r="G1150" s="4">
        <v>8938444</v>
      </c>
      <c r="H1150">
        <v>1</v>
      </c>
      <c r="J1150">
        <v>8070345</v>
      </c>
      <c r="K1150">
        <v>1</v>
      </c>
    </row>
    <row r="1151" spans="1:11" x14ac:dyDescent="0.25">
      <c r="A1151">
        <v>5543741</v>
      </c>
      <c r="B1151" s="1">
        <v>42934</v>
      </c>
      <c r="C1151" s="2">
        <v>0.42997685185185186</v>
      </c>
      <c r="D1151" s="2">
        <v>0.43590277777777775</v>
      </c>
      <c r="G1151" s="4">
        <v>8953850</v>
      </c>
      <c r="H1151">
        <v>1</v>
      </c>
      <c r="J1151">
        <v>8077806</v>
      </c>
      <c r="K1151">
        <v>1</v>
      </c>
    </row>
    <row r="1152" spans="1:11" x14ac:dyDescent="0.25">
      <c r="A1152">
        <v>2590674</v>
      </c>
      <c r="B1152" s="1">
        <v>42934</v>
      </c>
      <c r="C1152" s="2">
        <v>0.43025462962962963</v>
      </c>
      <c r="D1152" s="2">
        <v>0.43677083333333333</v>
      </c>
      <c r="G1152" s="4">
        <v>8957203</v>
      </c>
      <c r="H1152">
        <v>1</v>
      </c>
      <c r="J1152">
        <v>8086847</v>
      </c>
      <c r="K1152">
        <v>1</v>
      </c>
    </row>
    <row r="1153" spans="1:11" x14ac:dyDescent="0.25">
      <c r="A1153">
        <v>4212838</v>
      </c>
      <c r="B1153" s="1">
        <v>42934</v>
      </c>
      <c r="C1153" s="2">
        <v>0.43420138888888887</v>
      </c>
      <c r="D1153" s="2">
        <v>0.43973379629629628</v>
      </c>
      <c r="G1153" s="4">
        <v>8967842</v>
      </c>
      <c r="H1153">
        <v>1</v>
      </c>
      <c r="J1153">
        <v>8130722</v>
      </c>
      <c r="K1153">
        <v>1</v>
      </c>
    </row>
    <row r="1154" spans="1:11" x14ac:dyDescent="0.25">
      <c r="A1154">
        <v>7836418</v>
      </c>
      <c r="B1154" s="1">
        <v>42934</v>
      </c>
      <c r="C1154" s="2">
        <v>0.4354513888888889</v>
      </c>
      <c r="D1154" s="2">
        <v>0.43745370370370368</v>
      </c>
      <c r="G1154" s="4">
        <v>8972366</v>
      </c>
      <c r="H1154">
        <v>1</v>
      </c>
      <c r="J1154">
        <v>8133585</v>
      </c>
      <c r="K1154">
        <v>1</v>
      </c>
    </row>
    <row r="1155" spans="1:11" x14ac:dyDescent="0.25">
      <c r="A1155">
        <v>2844911</v>
      </c>
      <c r="B1155" s="1">
        <v>42934</v>
      </c>
      <c r="C1155" s="2">
        <v>0.43821759259259258</v>
      </c>
      <c r="D1155" s="2">
        <v>0.44969907407407406</v>
      </c>
      <c r="G1155" s="4">
        <v>8982137</v>
      </c>
      <c r="H1155">
        <v>1</v>
      </c>
      <c r="J1155">
        <v>8135542</v>
      </c>
      <c r="K1155">
        <v>1</v>
      </c>
    </row>
    <row r="1156" spans="1:11" x14ac:dyDescent="0.25">
      <c r="A1156">
        <v>2861766</v>
      </c>
      <c r="B1156" s="1">
        <v>42934</v>
      </c>
      <c r="C1156" s="2">
        <v>0.4403125</v>
      </c>
      <c r="D1156" s="2">
        <v>0.4490972222222222</v>
      </c>
      <c r="G1156" s="4">
        <v>8984769</v>
      </c>
      <c r="H1156">
        <v>1</v>
      </c>
      <c r="J1156">
        <v>8150086</v>
      </c>
      <c r="K1156">
        <v>1</v>
      </c>
    </row>
    <row r="1157" spans="1:11" x14ac:dyDescent="0.25">
      <c r="A1157">
        <v>9655946</v>
      </c>
      <c r="B1157" s="1">
        <v>42934</v>
      </c>
      <c r="C1157" s="2">
        <v>0.44385416666666666</v>
      </c>
      <c r="D1157" s="2">
        <v>0.45193287037037039</v>
      </c>
      <c r="G1157" s="4">
        <v>8985437</v>
      </c>
      <c r="H1157">
        <v>1</v>
      </c>
      <c r="J1157">
        <v>8156713</v>
      </c>
      <c r="K1157">
        <v>1</v>
      </c>
    </row>
    <row r="1158" spans="1:11" x14ac:dyDescent="0.25">
      <c r="A1158">
        <v>6050570</v>
      </c>
      <c r="B1158" s="1">
        <v>42934</v>
      </c>
      <c r="C1158" s="2">
        <v>0.44744212962962965</v>
      </c>
      <c r="D1158" s="2">
        <v>0.45751157407407406</v>
      </c>
      <c r="G1158" s="4">
        <v>8991671</v>
      </c>
      <c r="H1158">
        <v>1</v>
      </c>
      <c r="J1158">
        <v>8159466</v>
      </c>
      <c r="K1158">
        <v>1</v>
      </c>
    </row>
    <row r="1159" spans="1:11" x14ac:dyDescent="0.25">
      <c r="A1159">
        <v>1607422</v>
      </c>
      <c r="B1159" s="1">
        <v>42934</v>
      </c>
      <c r="C1159" s="2">
        <v>0.45238425925925924</v>
      </c>
      <c r="D1159" s="2">
        <v>0.45937499999999998</v>
      </c>
      <c r="G1159" s="4">
        <v>9005999</v>
      </c>
      <c r="H1159">
        <v>1</v>
      </c>
      <c r="J1159">
        <v>8159631</v>
      </c>
      <c r="K1159">
        <v>1</v>
      </c>
    </row>
    <row r="1160" spans="1:11" x14ac:dyDescent="0.25">
      <c r="A1160">
        <v>1192412</v>
      </c>
      <c r="B1160" s="1">
        <v>42934</v>
      </c>
      <c r="C1160" s="2">
        <v>0.45417824074074076</v>
      </c>
      <c r="D1160" s="2">
        <v>0.46438657407407408</v>
      </c>
      <c r="G1160" s="4">
        <v>9021766</v>
      </c>
      <c r="H1160">
        <v>1</v>
      </c>
      <c r="J1160">
        <v>8159788</v>
      </c>
      <c r="K1160">
        <v>1</v>
      </c>
    </row>
    <row r="1161" spans="1:11" x14ac:dyDescent="0.25">
      <c r="A1161">
        <v>4959551431</v>
      </c>
      <c r="B1161" s="1">
        <v>42934</v>
      </c>
      <c r="C1161" s="2">
        <v>0.45437499999999997</v>
      </c>
      <c r="D1161" s="2">
        <v>0.45770833333333333</v>
      </c>
      <c r="G1161" s="4">
        <v>9039872</v>
      </c>
      <c r="H1161">
        <v>1</v>
      </c>
      <c r="J1161">
        <v>8177683</v>
      </c>
      <c r="K1161">
        <v>1</v>
      </c>
    </row>
    <row r="1162" spans="1:11" x14ac:dyDescent="0.25">
      <c r="A1162">
        <v>9808221</v>
      </c>
      <c r="B1162" s="1">
        <v>42934</v>
      </c>
      <c r="C1162" s="2">
        <v>0.45680555555555558</v>
      </c>
      <c r="D1162" s="2">
        <v>0.4636689814814815</v>
      </c>
      <c r="G1162" s="4">
        <v>9045402</v>
      </c>
      <c r="H1162">
        <v>1</v>
      </c>
      <c r="J1162">
        <v>8183468</v>
      </c>
      <c r="K1162">
        <v>1</v>
      </c>
    </row>
    <row r="1163" spans="1:11" x14ac:dyDescent="0.25">
      <c r="A1163">
        <v>8672623</v>
      </c>
      <c r="B1163" s="1">
        <v>42934</v>
      </c>
      <c r="C1163" s="2">
        <v>0.45947916666666666</v>
      </c>
      <c r="D1163" s="2">
        <v>0.46460648148148148</v>
      </c>
      <c r="G1163" s="4">
        <v>9046365</v>
      </c>
      <c r="H1163">
        <v>1</v>
      </c>
      <c r="J1163">
        <v>8187780</v>
      </c>
      <c r="K1163">
        <v>1</v>
      </c>
    </row>
    <row r="1164" spans="1:11" x14ac:dyDescent="0.25">
      <c r="A1164">
        <v>3862016</v>
      </c>
      <c r="B1164" s="1">
        <v>42934</v>
      </c>
      <c r="C1164" s="2">
        <v>0.46127314814814813</v>
      </c>
      <c r="D1164" s="2">
        <v>0.46726851851851853</v>
      </c>
      <c r="G1164" s="4">
        <v>9052582</v>
      </c>
      <c r="H1164">
        <v>1</v>
      </c>
      <c r="J1164">
        <v>8195842</v>
      </c>
      <c r="K1164">
        <v>1</v>
      </c>
    </row>
    <row r="1165" spans="1:11" x14ac:dyDescent="0.25">
      <c r="A1165">
        <v>16580449</v>
      </c>
      <c r="B1165" s="1">
        <v>42934</v>
      </c>
      <c r="C1165" s="2">
        <v>0.46130787037037035</v>
      </c>
      <c r="D1165" s="2">
        <v>0.47226851851851853</v>
      </c>
      <c r="G1165" s="4">
        <v>9052652</v>
      </c>
      <c r="H1165">
        <v>1</v>
      </c>
      <c r="J1165">
        <v>8223406</v>
      </c>
      <c r="K1165">
        <v>1</v>
      </c>
    </row>
    <row r="1166" spans="1:11" x14ac:dyDescent="0.25">
      <c r="A1166">
        <v>67064385</v>
      </c>
      <c r="B1166" s="1">
        <v>42934</v>
      </c>
      <c r="C1166" s="2">
        <v>0.46574074074074073</v>
      </c>
      <c r="D1166" s="2">
        <v>0.47495370370370371</v>
      </c>
      <c r="G1166" s="4">
        <v>9061957</v>
      </c>
      <c r="H1166">
        <v>1</v>
      </c>
      <c r="J1166">
        <v>8228350</v>
      </c>
      <c r="K1166">
        <v>1</v>
      </c>
    </row>
    <row r="1167" spans="1:11" x14ac:dyDescent="0.25">
      <c r="A1167">
        <v>2078150</v>
      </c>
      <c r="B1167" s="1">
        <v>42934</v>
      </c>
      <c r="C1167" s="2">
        <v>0.46872685185185187</v>
      </c>
      <c r="D1167" s="2">
        <v>0.47244212962962961</v>
      </c>
      <c r="G1167" s="4">
        <v>9065927</v>
      </c>
      <c r="H1167">
        <v>1</v>
      </c>
      <c r="J1167">
        <v>8233999</v>
      </c>
      <c r="K1167">
        <v>1</v>
      </c>
    </row>
    <row r="1168" spans="1:11" x14ac:dyDescent="0.25">
      <c r="A1168">
        <v>5094248</v>
      </c>
      <c r="B1168" s="1">
        <v>42934</v>
      </c>
      <c r="C1168" s="2">
        <v>0.47074074074074074</v>
      </c>
      <c r="D1168" s="2">
        <v>0.47409722222222223</v>
      </c>
      <c r="G1168" s="4">
        <v>9076015</v>
      </c>
      <c r="H1168">
        <v>1</v>
      </c>
      <c r="J1168">
        <v>8246306</v>
      </c>
      <c r="K1168">
        <v>1</v>
      </c>
    </row>
    <row r="1169" spans="1:11" x14ac:dyDescent="0.25">
      <c r="A1169">
        <v>2584185</v>
      </c>
      <c r="B1169" s="1">
        <v>42934</v>
      </c>
      <c r="C1169" s="2">
        <v>0.47208333333333335</v>
      </c>
      <c r="D1169" s="2">
        <v>0.48284722222222221</v>
      </c>
      <c r="G1169" s="4">
        <v>9084978</v>
      </c>
      <c r="H1169">
        <v>1</v>
      </c>
      <c r="J1169">
        <v>8249721</v>
      </c>
      <c r="K1169">
        <v>1</v>
      </c>
    </row>
    <row r="1170" spans="1:11" x14ac:dyDescent="0.25">
      <c r="A1170">
        <v>3346801494</v>
      </c>
      <c r="B1170" s="1">
        <v>42934</v>
      </c>
      <c r="C1170" s="2">
        <v>0.47394675925925928</v>
      </c>
      <c r="D1170" s="2">
        <v>0.48170138888888892</v>
      </c>
      <c r="G1170" s="4">
        <v>9088045</v>
      </c>
      <c r="H1170">
        <v>2</v>
      </c>
      <c r="J1170">
        <v>8251878</v>
      </c>
      <c r="K1170">
        <v>1</v>
      </c>
    </row>
    <row r="1171" spans="1:11" x14ac:dyDescent="0.25">
      <c r="A1171">
        <v>4535172</v>
      </c>
      <c r="B1171" s="1">
        <v>42934</v>
      </c>
      <c r="C1171" s="2">
        <v>0.4750462962962963</v>
      </c>
      <c r="D1171" s="2">
        <v>0.47592592592592592</v>
      </c>
      <c r="G1171" s="4">
        <v>9088452</v>
      </c>
      <c r="H1171">
        <v>2</v>
      </c>
      <c r="J1171">
        <v>8252939</v>
      </c>
      <c r="K1171">
        <v>1</v>
      </c>
    </row>
    <row r="1172" spans="1:11" x14ac:dyDescent="0.25">
      <c r="A1172">
        <v>8723323</v>
      </c>
      <c r="B1172" s="1">
        <v>42934</v>
      </c>
      <c r="C1172" s="2">
        <v>0.47505787037037039</v>
      </c>
      <c r="D1172" s="2">
        <v>0.48318287037037039</v>
      </c>
      <c r="G1172" s="4">
        <v>9091369</v>
      </c>
      <c r="H1172">
        <v>1</v>
      </c>
      <c r="J1172">
        <v>8253162</v>
      </c>
      <c r="K1172">
        <v>1</v>
      </c>
    </row>
    <row r="1173" spans="1:11" x14ac:dyDescent="0.25">
      <c r="A1173">
        <v>76845076</v>
      </c>
      <c r="B1173" s="1">
        <v>42934</v>
      </c>
      <c r="C1173" s="2">
        <v>0.47949074074074072</v>
      </c>
      <c r="D1173" s="2">
        <v>0.48335648148148147</v>
      </c>
      <c r="G1173" s="4">
        <v>9100303</v>
      </c>
      <c r="H1173">
        <v>1</v>
      </c>
      <c r="J1173">
        <v>8261808</v>
      </c>
      <c r="K1173">
        <v>1</v>
      </c>
    </row>
    <row r="1174" spans="1:11" x14ac:dyDescent="0.25">
      <c r="A1174">
        <v>12063341</v>
      </c>
      <c r="B1174" s="1">
        <v>42934</v>
      </c>
      <c r="C1174" s="2">
        <v>0.48378472222222224</v>
      </c>
      <c r="D1174" s="2">
        <v>0.48681712962962964</v>
      </c>
      <c r="G1174" s="4">
        <v>9120318</v>
      </c>
      <c r="H1174">
        <v>1</v>
      </c>
      <c r="J1174">
        <v>8279741</v>
      </c>
      <c r="K1174">
        <v>1</v>
      </c>
    </row>
    <row r="1175" spans="1:11" x14ac:dyDescent="0.25">
      <c r="A1175">
        <v>9866204</v>
      </c>
      <c r="B1175" s="1">
        <v>42934</v>
      </c>
      <c r="C1175" s="2">
        <v>0.48379629629629628</v>
      </c>
      <c r="D1175" s="2">
        <v>0.49018518518518517</v>
      </c>
      <c r="G1175" s="4">
        <v>9121149</v>
      </c>
      <c r="H1175">
        <v>1</v>
      </c>
      <c r="J1175">
        <v>8284495</v>
      </c>
      <c r="K1175">
        <v>1</v>
      </c>
    </row>
    <row r="1176" spans="1:11" x14ac:dyDescent="0.25">
      <c r="A1176">
        <v>9364912</v>
      </c>
      <c r="B1176" s="1">
        <v>42934</v>
      </c>
      <c r="C1176" s="2">
        <v>0.48715277777777777</v>
      </c>
      <c r="D1176" s="2">
        <v>0.49586805555555558</v>
      </c>
      <c r="G1176" s="4">
        <v>9132555</v>
      </c>
      <c r="H1176">
        <v>1</v>
      </c>
      <c r="J1176">
        <v>8299537</v>
      </c>
      <c r="K1176">
        <v>1</v>
      </c>
    </row>
    <row r="1177" spans="1:11" x14ac:dyDescent="0.25">
      <c r="A1177">
        <v>9975977</v>
      </c>
      <c r="B1177" s="1">
        <v>42934</v>
      </c>
      <c r="C1177" s="2">
        <v>0.48723379629629632</v>
      </c>
      <c r="D1177" s="2">
        <v>0.4914351851851852</v>
      </c>
      <c r="G1177" s="4">
        <v>9137235</v>
      </c>
      <c r="H1177">
        <v>1</v>
      </c>
      <c r="J1177">
        <v>8322522</v>
      </c>
      <c r="K1177">
        <v>1</v>
      </c>
    </row>
    <row r="1178" spans="1:11" x14ac:dyDescent="0.25">
      <c r="A1178">
        <v>8802222</v>
      </c>
      <c r="B1178" s="1">
        <v>42934</v>
      </c>
      <c r="C1178" s="2">
        <v>0.48899305555555556</v>
      </c>
      <c r="D1178" s="2">
        <v>0.49456018518518519</v>
      </c>
      <c r="G1178" s="4">
        <v>9147613</v>
      </c>
      <c r="H1178">
        <v>1</v>
      </c>
      <c r="J1178">
        <v>8322802</v>
      </c>
      <c r="K1178">
        <v>1</v>
      </c>
    </row>
    <row r="1179" spans="1:11" x14ac:dyDescent="0.25">
      <c r="A1179">
        <v>1552877</v>
      </c>
      <c r="B1179" s="1">
        <v>42934</v>
      </c>
      <c r="C1179" s="2">
        <v>0.49277777777777776</v>
      </c>
      <c r="D1179" s="2">
        <v>0.49600694444444443</v>
      </c>
      <c r="G1179" s="4">
        <v>9156106</v>
      </c>
      <c r="H1179">
        <v>1</v>
      </c>
      <c r="J1179">
        <v>8331262</v>
      </c>
      <c r="K1179">
        <v>1</v>
      </c>
    </row>
    <row r="1180" spans="1:11" x14ac:dyDescent="0.25">
      <c r="A1180">
        <v>6516534288</v>
      </c>
      <c r="B1180" s="1">
        <v>42934</v>
      </c>
      <c r="C1180" s="2">
        <v>0.49465277777777777</v>
      </c>
      <c r="D1180" s="2">
        <v>0.49899305555555556</v>
      </c>
      <c r="G1180" s="4">
        <v>9171025</v>
      </c>
      <c r="H1180">
        <v>1</v>
      </c>
      <c r="J1180">
        <v>8362094</v>
      </c>
      <c r="K1180">
        <v>1</v>
      </c>
    </row>
    <row r="1181" spans="1:11" x14ac:dyDescent="0.25">
      <c r="A1181">
        <v>68647777</v>
      </c>
      <c r="B1181" s="1">
        <v>42934</v>
      </c>
      <c r="C1181" s="2">
        <v>0.49968750000000001</v>
      </c>
      <c r="D1181" s="2">
        <v>0.50692129629629634</v>
      </c>
      <c r="G1181" s="4">
        <v>9175377</v>
      </c>
      <c r="H1181">
        <v>1</v>
      </c>
      <c r="J1181">
        <v>8375968</v>
      </c>
      <c r="K1181">
        <v>1</v>
      </c>
    </row>
    <row r="1182" spans="1:11" x14ac:dyDescent="0.25">
      <c r="A1182">
        <v>3360951</v>
      </c>
      <c r="B1182" s="1">
        <v>42934</v>
      </c>
      <c r="C1182" s="2">
        <v>0.50384259259259256</v>
      </c>
      <c r="D1182" s="2">
        <v>0.50868055555555558</v>
      </c>
      <c r="G1182" s="4">
        <v>9176754</v>
      </c>
      <c r="H1182">
        <v>1</v>
      </c>
      <c r="J1182">
        <v>8384647</v>
      </c>
      <c r="K1182">
        <v>1</v>
      </c>
    </row>
    <row r="1183" spans="1:11" x14ac:dyDescent="0.25">
      <c r="A1183">
        <v>9127211929</v>
      </c>
      <c r="B1183" s="1">
        <v>42934</v>
      </c>
      <c r="C1183" s="2">
        <v>0.50648148148148153</v>
      </c>
      <c r="D1183" s="2">
        <v>0.51042824074074078</v>
      </c>
      <c r="G1183" s="4">
        <v>9182658</v>
      </c>
      <c r="H1183">
        <v>1</v>
      </c>
      <c r="J1183">
        <v>8385222</v>
      </c>
      <c r="K1183">
        <v>1</v>
      </c>
    </row>
    <row r="1184" spans="1:11" x14ac:dyDescent="0.25">
      <c r="A1184">
        <v>9647309</v>
      </c>
      <c r="B1184" s="1">
        <v>42934</v>
      </c>
      <c r="C1184" s="2">
        <v>0.50979166666666664</v>
      </c>
      <c r="D1184" s="2">
        <v>0.51483796296296291</v>
      </c>
      <c r="G1184" s="4">
        <v>9183185</v>
      </c>
      <c r="H1184">
        <v>1</v>
      </c>
      <c r="J1184">
        <v>8387594</v>
      </c>
      <c r="K1184">
        <v>1</v>
      </c>
    </row>
    <row r="1185" spans="1:11" x14ac:dyDescent="0.25">
      <c r="A1185">
        <v>6024447</v>
      </c>
      <c r="B1185" s="1">
        <v>42934</v>
      </c>
      <c r="C1185" s="2">
        <v>0.51164351851851853</v>
      </c>
      <c r="D1185" s="2">
        <v>0.51975694444444442</v>
      </c>
      <c r="G1185" s="4">
        <v>9187410</v>
      </c>
      <c r="H1185">
        <v>1</v>
      </c>
      <c r="J1185">
        <v>8400710</v>
      </c>
      <c r="K1185">
        <v>1</v>
      </c>
    </row>
    <row r="1186" spans="1:11" x14ac:dyDescent="0.25">
      <c r="A1186">
        <v>12919749</v>
      </c>
      <c r="B1186" s="1">
        <v>42934</v>
      </c>
      <c r="C1186" s="2">
        <v>0.5161458333333333</v>
      </c>
      <c r="D1186" s="2">
        <v>0.5222106481481481</v>
      </c>
      <c r="G1186" s="4">
        <v>9192546</v>
      </c>
      <c r="H1186">
        <v>1</v>
      </c>
      <c r="J1186">
        <v>8405292</v>
      </c>
      <c r="K1186">
        <v>1</v>
      </c>
    </row>
    <row r="1187" spans="1:11" x14ac:dyDescent="0.25">
      <c r="A1187">
        <v>3287315</v>
      </c>
      <c r="B1187" s="1">
        <v>42934</v>
      </c>
      <c r="C1187" s="2">
        <v>0.51627314814814818</v>
      </c>
      <c r="D1187" s="2">
        <v>0.51844907407407403</v>
      </c>
      <c r="G1187" s="4">
        <v>9197309</v>
      </c>
      <c r="H1187">
        <v>1</v>
      </c>
      <c r="J1187">
        <v>8405954</v>
      </c>
      <c r="K1187">
        <v>1</v>
      </c>
    </row>
    <row r="1188" spans="1:11" x14ac:dyDescent="0.25">
      <c r="A1188">
        <v>9953379</v>
      </c>
      <c r="B1188" s="1">
        <v>42934</v>
      </c>
      <c r="C1188" s="2">
        <v>0.52061342592592597</v>
      </c>
      <c r="D1188" s="2">
        <v>0.52561342592592597</v>
      </c>
      <c r="G1188" s="4">
        <v>9219408</v>
      </c>
      <c r="H1188">
        <v>1</v>
      </c>
      <c r="J1188">
        <v>8414788</v>
      </c>
      <c r="K1188">
        <v>1</v>
      </c>
    </row>
    <row r="1189" spans="1:11" x14ac:dyDescent="0.25">
      <c r="A1189">
        <v>97558765</v>
      </c>
      <c r="B1189" s="1">
        <v>42934</v>
      </c>
      <c r="C1189" s="2">
        <v>0.5259490740740741</v>
      </c>
      <c r="D1189" s="2">
        <v>0.53439814814814812</v>
      </c>
      <c r="G1189" s="4">
        <v>9225043</v>
      </c>
      <c r="H1189">
        <v>1</v>
      </c>
      <c r="J1189">
        <v>8424969</v>
      </c>
      <c r="K1189">
        <v>1</v>
      </c>
    </row>
    <row r="1190" spans="1:11" x14ac:dyDescent="0.25">
      <c r="A1190">
        <v>2722706</v>
      </c>
      <c r="B1190" s="1">
        <v>42934</v>
      </c>
      <c r="C1190" s="2">
        <v>0.53025462962962966</v>
      </c>
      <c r="D1190" s="2">
        <v>0.53217592592592589</v>
      </c>
      <c r="G1190" s="4">
        <v>9225807</v>
      </c>
      <c r="H1190">
        <v>2</v>
      </c>
      <c r="J1190">
        <v>8429072</v>
      </c>
      <c r="K1190">
        <v>1</v>
      </c>
    </row>
    <row r="1191" spans="1:11" x14ac:dyDescent="0.25">
      <c r="A1191">
        <v>97876188</v>
      </c>
      <c r="B1191" s="1">
        <v>42934</v>
      </c>
      <c r="C1191" s="2">
        <v>0.53412037037037041</v>
      </c>
      <c r="D1191" s="2">
        <v>0.53467592592592594</v>
      </c>
      <c r="G1191" s="4">
        <v>9254070</v>
      </c>
      <c r="H1191">
        <v>1</v>
      </c>
      <c r="J1191">
        <v>8434044</v>
      </c>
      <c r="K1191">
        <v>1</v>
      </c>
    </row>
    <row r="1192" spans="1:11" x14ac:dyDescent="0.25">
      <c r="A1192">
        <v>4068728</v>
      </c>
      <c r="B1192" s="1">
        <v>42934</v>
      </c>
      <c r="C1192" s="2">
        <v>0.53760416666666666</v>
      </c>
      <c r="D1192" s="2">
        <v>0.546412037037037</v>
      </c>
      <c r="G1192" s="4">
        <v>9266643</v>
      </c>
      <c r="H1192">
        <v>1</v>
      </c>
      <c r="J1192">
        <v>8449157</v>
      </c>
      <c r="K1192">
        <v>1</v>
      </c>
    </row>
    <row r="1193" spans="1:11" x14ac:dyDescent="0.25">
      <c r="A1193">
        <v>7624070</v>
      </c>
      <c r="B1193" s="1">
        <v>42934</v>
      </c>
      <c r="C1193" s="2">
        <v>0.54335648148148152</v>
      </c>
      <c r="D1193" s="2">
        <v>0.55396990740740737</v>
      </c>
      <c r="G1193" s="4">
        <v>9270571</v>
      </c>
      <c r="H1193">
        <v>1</v>
      </c>
      <c r="J1193">
        <v>8471021</v>
      </c>
      <c r="K1193">
        <v>1</v>
      </c>
    </row>
    <row r="1194" spans="1:11" x14ac:dyDescent="0.25">
      <c r="A1194">
        <v>2419247</v>
      </c>
      <c r="B1194" s="1">
        <v>42934</v>
      </c>
      <c r="C1194" s="2">
        <v>0.54686342592592596</v>
      </c>
      <c r="D1194" s="2">
        <v>0.54782407407407407</v>
      </c>
      <c r="G1194" s="4">
        <v>9279730</v>
      </c>
      <c r="H1194">
        <v>1</v>
      </c>
      <c r="J1194">
        <v>8471219</v>
      </c>
      <c r="K1194">
        <v>1</v>
      </c>
    </row>
    <row r="1195" spans="1:11" x14ac:dyDescent="0.25">
      <c r="A1195">
        <v>5244597</v>
      </c>
      <c r="B1195" s="1">
        <v>42934</v>
      </c>
      <c r="C1195" s="2">
        <v>0.55008101851851854</v>
      </c>
      <c r="D1195" s="2">
        <v>0.55730324074074078</v>
      </c>
      <c r="G1195" s="4">
        <v>9282166</v>
      </c>
      <c r="H1195">
        <v>1</v>
      </c>
      <c r="J1195">
        <v>8471544</v>
      </c>
      <c r="K1195">
        <v>1</v>
      </c>
    </row>
    <row r="1196" spans="1:11" x14ac:dyDescent="0.25">
      <c r="A1196">
        <v>2005653</v>
      </c>
      <c r="B1196" s="1">
        <v>42934</v>
      </c>
      <c r="C1196" s="2">
        <v>0.55039351851851848</v>
      </c>
      <c r="D1196" s="2">
        <v>0.5572569444444444</v>
      </c>
      <c r="G1196" s="4">
        <v>9282666</v>
      </c>
      <c r="H1196">
        <v>1</v>
      </c>
      <c r="J1196">
        <v>8487003</v>
      </c>
      <c r="K1196">
        <v>1</v>
      </c>
    </row>
    <row r="1197" spans="1:11" x14ac:dyDescent="0.25">
      <c r="A1197">
        <v>7203715</v>
      </c>
      <c r="B1197" s="1">
        <v>42934</v>
      </c>
      <c r="C1197" s="2">
        <v>0.55447916666666663</v>
      </c>
      <c r="D1197" s="2">
        <v>0.56332175925925931</v>
      </c>
      <c r="G1197" s="4">
        <v>9283739</v>
      </c>
      <c r="H1197">
        <v>1</v>
      </c>
      <c r="J1197">
        <v>8489588</v>
      </c>
      <c r="K1197">
        <v>1</v>
      </c>
    </row>
    <row r="1198" spans="1:11" x14ac:dyDescent="0.25">
      <c r="A1198">
        <v>4520463</v>
      </c>
      <c r="B1198" s="1">
        <v>42934</v>
      </c>
      <c r="C1198" s="2">
        <v>0.55645833333333339</v>
      </c>
      <c r="D1198" s="2">
        <v>0.55648148148148147</v>
      </c>
      <c r="G1198" s="4">
        <v>9287211</v>
      </c>
      <c r="H1198">
        <v>1</v>
      </c>
      <c r="J1198">
        <v>8493652</v>
      </c>
      <c r="K1198">
        <v>1</v>
      </c>
    </row>
    <row r="1199" spans="1:11" x14ac:dyDescent="0.25">
      <c r="A1199">
        <v>4454837</v>
      </c>
      <c r="B1199" s="1">
        <v>42934</v>
      </c>
      <c r="C1199" s="2">
        <v>0.5621990740740741</v>
      </c>
      <c r="D1199" s="2">
        <v>0.56353009259259257</v>
      </c>
      <c r="G1199" s="4">
        <v>9294571</v>
      </c>
      <c r="H1199">
        <v>1</v>
      </c>
      <c r="J1199">
        <v>8498683</v>
      </c>
      <c r="K1199">
        <v>1</v>
      </c>
    </row>
    <row r="1200" spans="1:11" x14ac:dyDescent="0.25">
      <c r="A1200">
        <v>6999348</v>
      </c>
      <c r="B1200" s="1">
        <v>42934</v>
      </c>
      <c r="C1200" s="2">
        <v>0.56714120370370369</v>
      </c>
      <c r="D1200" s="2">
        <v>0.56869212962962967</v>
      </c>
      <c r="G1200" s="4">
        <v>9304830</v>
      </c>
      <c r="H1200">
        <v>2</v>
      </c>
      <c r="J1200">
        <v>8501225</v>
      </c>
      <c r="K1200">
        <v>1</v>
      </c>
    </row>
    <row r="1201" spans="1:11" x14ac:dyDescent="0.25">
      <c r="A1201">
        <v>90884366</v>
      </c>
      <c r="B1201" s="1">
        <v>42934</v>
      </c>
      <c r="C1201" s="2">
        <v>0.57276620370370368</v>
      </c>
      <c r="D1201" s="2">
        <v>0.57995370370370369</v>
      </c>
      <c r="G1201" s="4">
        <v>9305031</v>
      </c>
      <c r="H1201">
        <v>1</v>
      </c>
      <c r="J1201">
        <v>8501947</v>
      </c>
      <c r="K1201">
        <v>1</v>
      </c>
    </row>
    <row r="1202" spans="1:11" x14ac:dyDescent="0.25">
      <c r="A1202">
        <v>3121640</v>
      </c>
      <c r="B1202" s="1">
        <v>42934</v>
      </c>
      <c r="C1202" s="2">
        <v>0.57841435185185186</v>
      </c>
      <c r="D1202" s="2">
        <v>0.58364583333333331</v>
      </c>
      <c r="G1202" s="4">
        <v>9319894</v>
      </c>
      <c r="H1202">
        <v>1</v>
      </c>
      <c r="J1202">
        <v>8504601</v>
      </c>
      <c r="K1202">
        <v>1</v>
      </c>
    </row>
    <row r="1203" spans="1:11" x14ac:dyDescent="0.25">
      <c r="A1203">
        <v>5912710</v>
      </c>
      <c r="B1203" s="1">
        <v>42934</v>
      </c>
      <c r="C1203" s="2">
        <v>0.57988425925925924</v>
      </c>
      <c r="D1203" s="2">
        <v>0.58928240740740745</v>
      </c>
      <c r="G1203" s="4">
        <v>9321082</v>
      </c>
      <c r="H1203">
        <v>2</v>
      </c>
      <c r="J1203">
        <v>8512255</v>
      </c>
      <c r="K1203">
        <v>1</v>
      </c>
    </row>
    <row r="1204" spans="1:11" x14ac:dyDescent="0.25">
      <c r="A1204">
        <v>7118082</v>
      </c>
      <c r="B1204" s="1">
        <v>42934</v>
      </c>
      <c r="C1204" s="2">
        <v>0.58524305555555556</v>
      </c>
      <c r="D1204" s="2">
        <v>0.591400462962963</v>
      </c>
      <c r="G1204" s="4">
        <v>9328179</v>
      </c>
      <c r="H1204">
        <v>1</v>
      </c>
      <c r="J1204">
        <v>8514016</v>
      </c>
      <c r="K1204">
        <v>1</v>
      </c>
    </row>
    <row r="1205" spans="1:11" x14ac:dyDescent="0.25">
      <c r="A1205">
        <v>9100303</v>
      </c>
      <c r="B1205" s="1">
        <v>42934</v>
      </c>
      <c r="C1205" s="2">
        <v>0.58543981481481477</v>
      </c>
      <c r="D1205" s="2">
        <v>0.58929398148148149</v>
      </c>
      <c r="G1205" s="4">
        <v>9329226</v>
      </c>
      <c r="H1205">
        <v>1</v>
      </c>
      <c r="J1205">
        <v>8534481</v>
      </c>
      <c r="K1205">
        <v>1</v>
      </c>
    </row>
    <row r="1206" spans="1:11" x14ac:dyDescent="0.25">
      <c r="A1206">
        <v>25581178</v>
      </c>
      <c r="B1206" s="1">
        <v>42934</v>
      </c>
      <c r="C1206" s="2">
        <v>0.58942129629629625</v>
      </c>
      <c r="D1206" s="2">
        <v>0.59734953703703708</v>
      </c>
      <c r="G1206" s="4">
        <v>9339774</v>
      </c>
      <c r="H1206">
        <v>1</v>
      </c>
      <c r="J1206">
        <v>8541151</v>
      </c>
      <c r="K1206">
        <v>1</v>
      </c>
    </row>
    <row r="1207" spans="1:11" x14ac:dyDescent="0.25">
      <c r="A1207">
        <v>78976022</v>
      </c>
      <c r="B1207" s="1">
        <v>42934</v>
      </c>
      <c r="C1207" s="2">
        <v>0.59495370370370371</v>
      </c>
      <c r="D1207" s="2">
        <v>0.5965625</v>
      </c>
      <c r="G1207" s="4">
        <v>9340299</v>
      </c>
      <c r="H1207">
        <v>1</v>
      </c>
      <c r="J1207">
        <v>8570276</v>
      </c>
      <c r="K1207">
        <v>1</v>
      </c>
    </row>
    <row r="1208" spans="1:11" x14ac:dyDescent="0.25">
      <c r="A1208">
        <v>7781904</v>
      </c>
      <c r="B1208" s="1">
        <v>42934</v>
      </c>
      <c r="C1208" s="2">
        <v>0.59964120370370366</v>
      </c>
      <c r="D1208" s="2">
        <v>0.60444444444444445</v>
      </c>
      <c r="G1208" s="4">
        <v>9355422</v>
      </c>
      <c r="H1208">
        <v>1</v>
      </c>
      <c r="J1208">
        <v>8590206</v>
      </c>
      <c r="K1208">
        <v>1</v>
      </c>
    </row>
    <row r="1209" spans="1:11" x14ac:dyDescent="0.25">
      <c r="A1209">
        <v>7473804</v>
      </c>
      <c r="B1209" s="1">
        <v>42934</v>
      </c>
      <c r="C1209" s="2">
        <v>0.60268518518518521</v>
      </c>
      <c r="D1209" s="2">
        <v>0.60929398148148151</v>
      </c>
      <c r="G1209" s="4">
        <v>9356216</v>
      </c>
      <c r="H1209">
        <v>1</v>
      </c>
      <c r="J1209">
        <v>8596442</v>
      </c>
      <c r="K1209">
        <v>1</v>
      </c>
    </row>
    <row r="1210" spans="1:11" x14ac:dyDescent="0.25">
      <c r="A1210">
        <v>8474693946</v>
      </c>
      <c r="B1210" s="1">
        <v>42934</v>
      </c>
      <c r="C1210" s="2">
        <v>0.60423611111111108</v>
      </c>
      <c r="D1210" s="2">
        <v>0.61535879629629631</v>
      </c>
      <c r="G1210" s="4">
        <v>9356324</v>
      </c>
      <c r="H1210">
        <v>1</v>
      </c>
      <c r="J1210">
        <v>8596929</v>
      </c>
      <c r="K1210">
        <v>1</v>
      </c>
    </row>
    <row r="1211" spans="1:11" x14ac:dyDescent="0.25">
      <c r="A1211">
        <v>8984769</v>
      </c>
      <c r="B1211" s="1">
        <v>42934</v>
      </c>
      <c r="C1211" s="2">
        <v>0.60932870370370373</v>
      </c>
      <c r="D1211" s="2">
        <v>0.61124999999999996</v>
      </c>
      <c r="G1211" s="4">
        <v>9357185</v>
      </c>
      <c r="H1211">
        <v>1</v>
      </c>
      <c r="J1211">
        <v>8605742</v>
      </c>
      <c r="K1211">
        <v>1</v>
      </c>
    </row>
    <row r="1212" spans="1:11" x14ac:dyDescent="0.25">
      <c r="A1212">
        <v>40395856</v>
      </c>
      <c r="B1212" s="1">
        <v>42934</v>
      </c>
      <c r="C1212" s="2">
        <v>0.61365740740740737</v>
      </c>
      <c r="D1212" s="2">
        <v>0.61829861111111106</v>
      </c>
      <c r="G1212" s="4">
        <v>9364912</v>
      </c>
      <c r="H1212">
        <v>1</v>
      </c>
      <c r="J1212">
        <v>8622421</v>
      </c>
      <c r="K1212">
        <v>1</v>
      </c>
    </row>
    <row r="1213" spans="1:11" x14ac:dyDescent="0.25">
      <c r="A1213">
        <v>9728932</v>
      </c>
      <c r="B1213" s="1">
        <v>42934</v>
      </c>
      <c r="C1213" s="2">
        <v>0.61675925925925923</v>
      </c>
      <c r="D1213" s="2">
        <v>0.61790509259259263</v>
      </c>
      <c r="G1213" s="4">
        <v>9388066</v>
      </c>
      <c r="H1213">
        <v>1</v>
      </c>
      <c r="J1213">
        <v>8632893</v>
      </c>
      <c r="K1213">
        <v>1</v>
      </c>
    </row>
    <row r="1214" spans="1:11" x14ac:dyDescent="0.25">
      <c r="A1214">
        <v>8135542</v>
      </c>
      <c r="B1214" s="1">
        <v>42934</v>
      </c>
      <c r="C1214" s="2">
        <v>0.62184027777777773</v>
      </c>
      <c r="D1214" s="2">
        <v>0.63255787037037037</v>
      </c>
      <c r="G1214" s="4">
        <v>9398644</v>
      </c>
      <c r="H1214">
        <v>1</v>
      </c>
      <c r="J1214">
        <v>8647144</v>
      </c>
      <c r="K1214">
        <v>1</v>
      </c>
    </row>
    <row r="1215" spans="1:11" x14ac:dyDescent="0.25">
      <c r="A1215">
        <v>10093488</v>
      </c>
      <c r="B1215" s="1">
        <v>42934</v>
      </c>
      <c r="C1215" s="2">
        <v>0.62197916666666664</v>
      </c>
      <c r="D1215" s="2">
        <v>0.62238425925925922</v>
      </c>
      <c r="G1215" s="4">
        <v>9413315</v>
      </c>
      <c r="H1215">
        <v>4</v>
      </c>
      <c r="J1215">
        <v>8655825</v>
      </c>
      <c r="K1215">
        <v>1</v>
      </c>
    </row>
    <row r="1216" spans="1:11" x14ac:dyDescent="0.25">
      <c r="A1216">
        <v>4203418</v>
      </c>
      <c r="B1216" s="1">
        <v>42934</v>
      </c>
      <c r="C1216" s="2">
        <v>0.62556712962962968</v>
      </c>
      <c r="D1216" s="2">
        <v>0.63491898148148151</v>
      </c>
      <c r="G1216" s="4">
        <v>9418587</v>
      </c>
      <c r="H1216">
        <v>1</v>
      </c>
      <c r="J1216">
        <v>8667012</v>
      </c>
      <c r="K1216">
        <v>1</v>
      </c>
    </row>
    <row r="1217" spans="1:11" x14ac:dyDescent="0.25">
      <c r="A1217">
        <v>2456290</v>
      </c>
      <c r="B1217" s="1">
        <v>42935</v>
      </c>
      <c r="C1217" s="2">
        <v>0.33592592592592591</v>
      </c>
      <c r="D1217" s="2">
        <v>0.34680555555555553</v>
      </c>
      <c r="G1217" s="4">
        <v>9419117</v>
      </c>
      <c r="H1217">
        <v>1</v>
      </c>
      <c r="J1217">
        <v>8672623</v>
      </c>
      <c r="K1217">
        <v>1</v>
      </c>
    </row>
    <row r="1218" spans="1:11" x14ac:dyDescent="0.25">
      <c r="A1218">
        <v>27610972</v>
      </c>
      <c r="B1218" s="1">
        <v>42935</v>
      </c>
      <c r="C1218" s="2">
        <v>0.33888888888888891</v>
      </c>
      <c r="D1218" s="2">
        <v>0.3502777777777778</v>
      </c>
      <c r="G1218" s="4">
        <v>9422310</v>
      </c>
      <c r="H1218">
        <v>2</v>
      </c>
      <c r="J1218">
        <v>8672651</v>
      </c>
      <c r="K1218">
        <v>1</v>
      </c>
    </row>
    <row r="1219" spans="1:11" x14ac:dyDescent="0.25">
      <c r="A1219">
        <v>3073815</v>
      </c>
      <c r="B1219" s="1">
        <v>42935</v>
      </c>
      <c r="C1219" s="2">
        <v>0.34309027777777779</v>
      </c>
      <c r="D1219" s="2">
        <v>0.34798611111111111</v>
      </c>
      <c r="G1219" s="4">
        <v>9427353</v>
      </c>
      <c r="H1219">
        <v>1</v>
      </c>
      <c r="J1219">
        <v>8690793</v>
      </c>
      <c r="K1219">
        <v>1</v>
      </c>
    </row>
    <row r="1220" spans="1:11" x14ac:dyDescent="0.25">
      <c r="A1220">
        <v>9776810</v>
      </c>
      <c r="B1220" s="1">
        <v>42935</v>
      </c>
      <c r="C1220" s="2">
        <v>0.34704861111111113</v>
      </c>
      <c r="D1220" s="2">
        <v>0.35386574074074073</v>
      </c>
      <c r="G1220" s="4">
        <v>9446278</v>
      </c>
      <c r="H1220">
        <v>1</v>
      </c>
      <c r="J1220">
        <v>8691743</v>
      </c>
      <c r="K1220">
        <v>1</v>
      </c>
    </row>
    <row r="1221" spans="1:11" x14ac:dyDescent="0.25">
      <c r="A1221">
        <v>6763741</v>
      </c>
      <c r="B1221" s="1">
        <v>42935</v>
      </c>
      <c r="C1221" s="2">
        <v>0.35040509259259262</v>
      </c>
      <c r="D1221" s="2">
        <v>0.35600694444444442</v>
      </c>
      <c r="G1221" s="4">
        <v>9458504</v>
      </c>
      <c r="H1221">
        <v>1</v>
      </c>
      <c r="J1221">
        <v>8715278</v>
      </c>
      <c r="K1221">
        <v>1</v>
      </c>
    </row>
    <row r="1222" spans="1:11" x14ac:dyDescent="0.25">
      <c r="A1222">
        <v>2309436</v>
      </c>
      <c r="B1222" s="1">
        <v>42935</v>
      </c>
      <c r="C1222" s="2">
        <v>0.35304398148148147</v>
      </c>
      <c r="D1222" s="2">
        <v>0.35793981481481479</v>
      </c>
      <c r="G1222" s="4">
        <v>9468070</v>
      </c>
      <c r="H1222">
        <v>1</v>
      </c>
      <c r="J1222">
        <v>8723323</v>
      </c>
      <c r="K1222">
        <v>1</v>
      </c>
    </row>
    <row r="1223" spans="1:11" x14ac:dyDescent="0.25">
      <c r="A1223">
        <v>3131883</v>
      </c>
      <c r="B1223" s="1">
        <v>42935</v>
      </c>
      <c r="C1223" s="2">
        <v>0.35712962962962963</v>
      </c>
      <c r="D1223" s="2">
        <v>0.36243055555555553</v>
      </c>
      <c r="G1223" s="4">
        <v>9474267</v>
      </c>
      <c r="H1223">
        <v>1</v>
      </c>
      <c r="J1223">
        <v>8743781</v>
      </c>
      <c r="K1223">
        <v>1</v>
      </c>
    </row>
    <row r="1224" spans="1:11" x14ac:dyDescent="0.25">
      <c r="A1224">
        <v>69001821</v>
      </c>
      <c r="B1224" s="1">
        <v>42935</v>
      </c>
      <c r="C1224" s="2">
        <v>0.35835648148148147</v>
      </c>
      <c r="D1224" s="2">
        <v>0.36712962962962964</v>
      </c>
      <c r="G1224" s="4">
        <v>9475290</v>
      </c>
      <c r="H1224">
        <v>1</v>
      </c>
      <c r="J1224">
        <v>8748493</v>
      </c>
      <c r="K1224">
        <v>1</v>
      </c>
    </row>
    <row r="1225" spans="1:11" x14ac:dyDescent="0.25">
      <c r="A1225">
        <v>2150051</v>
      </c>
      <c r="B1225" s="1">
        <v>42935</v>
      </c>
      <c r="C1225" s="2">
        <v>0.36310185185185184</v>
      </c>
      <c r="D1225" s="2">
        <v>0.36723379629629632</v>
      </c>
      <c r="G1225" s="4">
        <v>9487255</v>
      </c>
      <c r="H1225">
        <v>1</v>
      </c>
      <c r="J1225">
        <v>8749135</v>
      </c>
      <c r="K1225">
        <v>1</v>
      </c>
    </row>
    <row r="1226" spans="1:11" x14ac:dyDescent="0.25">
      <c r="A1226">
        <v>9967523741</v>
      </c>
      <c r="B1226" s="1">
        <v>42935</v>
      </c>
      <c r="C1226" s="2">
        <v>0.36886574074074074</v>
      </c>
      <c r="D1226" s="2">
        <v>0.37324074074074076</v>
      </c>
      <c r="G1226" s="4">
        <v>9500083</v>
      </c>
      <c r="H1226">
        <v>1</v>
      </c>
      <c r="J1226">
        <v>8750619</v>
      </c>
      <c r="K1226">
        <v>1</v>
      </c>
    </row>
    <row r="1227" spans="1:11" x14ac:dyDescent="0.25">
      <c r="A1227">
        <v>23300236</v>
      </c>
      <c r="B1227" s="1">
        <v>42935</v>
      </c>
      <c r="C1227" s="2">
        <v>0.37094907407407407</v>
      </c>
      <c r="D1227" s="2">
        <v>0.37517361111111114</v>
      </c>
      <c r="G1227" s="4">
        <v>9502975</v>
      </c>
      <c r="H1227">
        <v>1</v>
      </c>
      <c r="J1227">
        <v>8750670</v>
      </c>
      <c r="K1227">
        <v>1</v>
      </c>
    </row>
    <row r="1228" spans="1:11" x14ac:dyDescent="0.25">
      <c r="A1228">
        <v>4714815</v>
      </c>
      <c r="B1228" s="1">
        <v>42935</v>
      </c>
      <c r="C1228" s="2">
        <v>0.37484953703703705</v>
      </c>
      <c r="D1228" s="2">
        <v>0.38143518518518521</v>
      </c>
      <c r="G1228" s="4">
        <v>9506446</v>
      </c>
      <c r="H1228">
        <v>1</v>
      </c>
      <c r="J1228">
        <v>8770898</v>
      </c>
      <c r="K1228">
        <v>1</v>
      </c>
    </row>
    <row r="1229" spans="1:11" x14ac:dyDescent="0.25">
      <c r="A1229">
        <v>80038636</v>
      </c>
      <c r="B1229" s="1">
        <v>42935</v>
      </c>
      <c r="C1229" s="2">
        <v>0.38028935185185186</v>
      </c>
      <c r="D1229" s="2">
        <v>0.38239583333333332</v>
      </c>
      <c r="G1229" s="4">
        <v>9521805</v>
      </c>
      <c r="H1229">
        <v>1</v>
      </c>
      <c r="J1229">
        <v>8773356</v>
      </c>
      <c r="K1229">
        <v>1</v>
      </c>
    </row>
    <row r="1230" spans="1:11" x14ac:dyDescent="0.25">
      <c r="A1230">
        <v>47596793</v>
      </c>
      <c r="B1230" s="1">
        <v>42935</v>
      </c>
      <c r="C1230" s="2">
        <v>0.38059027777777776</v>
      </c>
      <c r="D1230" s="2">
        <v>0.38280092592592591</v>
      </c>
      <c r="G1230" s="4">
        <v>9524588</v>
      </c>
      <c r="H1230">
        <v>1</v>
      </c>
      <c r="J1230">
        <v>8819206</v>
      </c>
      <c r="K1230">
        <v>1</v>
      </c>
    </row>
    <row r="1231" spans="1:11" x14ac:dyDescent="0.25">
      <c r="A1231">
        <v>6574044</v>
      </c>
      <c r="B1231" s="1">
        <v>42935</v>
      </c>
      <c r="C1231" s="2">
        <v>0.38173611111111111</v>
      </c>
      <c r="D1231" s="2">
        <v>0.38915509259259257</v>
      </c>
      <c r="G1231" s="4">
        <v>9526179</v>
      </c>
      <c r="H1231">
        <v>1</v>
      </c>
      <c r="J1231">
        <v>8825868</v>
      </c>
      <c r="K1231">
        <v>1</v>
      </c>
    </row>
    <row r="1232" spans="1:11" x14ac:dyDescent="0.25">
      <c r="A1232">
        <v>9475290</v>
      </c>
      <c r="B1232" s="1">
        <v>42935</v>
      </c>
      <c r="C1232" s="2">
        <v>0.38512731481481483</v>
      </c>
      <c r="D1232" s="2">
        <v>0.3947222222222222</v>
      </c>
      <c r="G1232" s="4">
        <v>9527543</v>
      </c>
      <c r="H1232">
        <v>1</v>
      </c>
      <c r="J1232">
        <v>8831940</v>
      </c>
      <c r="K1232">
        <v>1</v>
      </c>
    </row>
    <row r="1233" spans="1:11" x14ac:dyDescent="0.25">
      <c r="A1233">
        <v>4458725</v>
      </c>
      <c r="B1233" s="1">
        <v>42935</v>
      </c>
      <c r="C1233" s="2">
        <v>0.38533564814814814</v>
      </c>
      <c r="D1233" s="2">
        <v>0.39521990740740742</v>
      </c>
      <c r="G1233" s="4">
        <v>9535780</v>
      </c>
      <c r="H1233">
        <v>1</v>
      </c>
      <c r="J1233">
        <v>8838584</v>
      </c>
      <c r="K1233">
        <v>1</v>
      </c>
    </row>
    <row r="1234" spans="1:11" x14ac:dyDescent="0.25">
      <c r="A1234">
        <v>4785864</v>
      </c>
      <c r="B1234" s="1">
        <v>42935</v>
      </c>
      <c r="C1234" s="2">
        <v>0.38833333333333331</v>
      </c>
      <c r="D1234" s="2">
        <v>0.39069444444444446</v>
      </c>
      <c r="G1234" s="4">
        <v>9543572</v>
      </c>
      <c r="H1234">
        <v>1</v>
      </c>
      <c r="J1234">
        <v>8840288</v>
      </c>
      <c r="K1234">
        <v>1</v>
      </c>
    </row>
    <row r="1235" spans="1:11" x14ac:dyDescent="0.25">
      <c r="A1235">
        <v>3109039</v>
      </c>
      <c r="B1235" s="1">
        <v>42935</v>
      </c>
      <c r="C1235" s="2">
        <v>0.38979166666666665</v>
      </c>
      <c r="D1235" s="2">
        <v>0.39171296296296299</v>
      </c>
      <c r="G1235" s="4">
        <v>9547712</v>
      </c>
      <c r="H1235">
        <v>1</v>
      </c>
      <c r="J1235">
        <v>8841955</v>
      </c>
      <c r="K1235">
        <v>1</v>
      </c>
    </row>
    <row r="1236" spans="1:11" x14ac:dyDescent="0.25">
      <c r="A1236">
        <v>7340326</v>
      </c>
      <c r="B1236" s="1">
        <v>42935</v>
      </c>
      <c r="C1236" s="2">
        <v>0.3898611111111111</v>
      </c>
      <c r="D1236" s="2">
        <v>0.39067129629629632</v>
      </c>
      <c r="G1236" s="4">
        <v>9555643</v>
      </c>
      <c r="H1236">
        <v>2</v>
      </c>
      <c r="J1236">
        <v>8849918</v>
      </c>
      <c r="K1236">
        <v>1</v>
      </c>
    </row>
    <row r="1237" spans="1:11" x14ac:dyDescent="0.25">
      <c r="A1237">
        <v>7865428</v>
      </c>
      <c r="B1237" s="1">
        <v>42935</v>
      </c>
      <c r="C1237" s="2">
        <v>0.3941898148148148</v>
      </c>
      <c r="D1237" s="2">
        <v>0.40530092592592593</v>
      </c>
      <c r="G1237" s="4">
        <v>9560827</v>
      </c>
      <c r="H1237">
        <v>1</v>
      </c>
      <c r="J1237">
        <v>8863988</v>
      </c>
      <c r="K1237">
        <v>1</v>
      </c>
    </row>
    <row r="1238" spans="1:11" x14ac:dyDescent="0.25">
      <c r="A1238">
        <v>1467591</v>
      </c>
      <c r="B1238" s="1">
        <v>42935</v>
      </c>
      <c r="C1238" s="2">
        <v>0.39607638888888891</v>
      </c>
      <c r="D1238" s="2">
        <v>0.40442129629629631</v>
      </c>
      <c r="G1238" s="4">
        <v>9566647</v>
      </c>
      <c r="H1238">
        <v>2</v>
      </c>
      <c r="J1238">
        <v>8865092</v>
      </c>
      <c r="K1238">
        <v>1</v>
      </c>
    </row>
    <row r="1239" spans="1:11" x14ac:dyDescent="0.25">
      <c r="A1239">
        <v>2475157</v>
      </c>
      <c r="B1239" s="1">
        <v>42935</v>
      </c>
      <c r="C1239" s="2">
        <v>0.39937499999999998</v>
      </c>
      <c r="D1239" s="2">
        <v>0.40332175925925928</v>
      </c>
      <c r="G1239" s="4">
        <v>9570286</v>
      </c>
      <c r="H1239">
        <v>1</v>
      </c>
      <c r="J1239">
        <v>8872311</v>
      </c>
      <c r="K1239">
        <v>1</v>
      </c>
    </row>
    <row r="1240" spans="1:11" x14ac:dyDescent="0.25">
      <c r="A1240">
        <v>6023049</v>
      </c>
      <c r="B1240" s="1">
        <v>42935</v>
      </c>
      <c r="C1240" s="2">
        <v>0.39959490740740738</v>
      </c>
      <c r="D1240" s="2">
        <v>0.41099537037037037</v>
      </c>
      <c r="G1240" s="4">
        <v>9589060</v>
      </c>
      <c r="H1240">
        <v>1</v>
      </c>
      <c r="J1240">
        <v>8880275</v>
      </c>
      <c r="K1240">
        <v>1</v>
      </c>
    </row>
    <row r="1241" spans="1:11" x14ac:dyDescent="0.25">
      <c r="A1241">
        <v>39210366</v>
      </c>
      <c r="B1241" s="1">
        <v>42935</v>
      </c>
      <c r="C1241" s="2">
        <v>0.40234953703703702</v>
      </c>
      <c r="D1241" s="2">
        <v>0.40469907407407407</v>
      </c>
      <c r="G1241" s="4">
        <v>9591892</v>
      </c>
      <c r="H1241">
        <v>1</v>
      </c>
      <c r="J1241">
        <v>8885606</v>
      </c>
      <c r="K1241">
        <v>1</v>
      </c>
    </row>
    <row r="1242" spans="1:11" x14ac:dyDescent="0.25">
      <c r="A1242">
        <v>90880011</v>
      </c>
      <c r="B1242" s="1">
        <v>42935</v>
      </c>
      <c r="C1242" s="2">
        <v>0.40743055555555557</v>
      </c>
      <c r="D1242" s="2">
        <v>0.41255787037037039</v>
      </c>
      <c r="G1242" s="4">
        <v>9593481</v>
      </c>
      <c r="H1242">
        <v>1</v>
      </c>
      <c r="J1242">
        <v>8895257</v>
      </c>
      <c r="K1242">
        <v>1</v>
      </c>
    </row>
    <row r="1243" spans="1:11" x14ac:dyDescent="0.25">
      <c r="A1243">
        <v>4469748</v>
      </c>
      <c r="B1243" s="1">
        <v>42935</v>
      </c>
      <c r="C1243" s="2">
        <v>0.41121527777777778</v>
      </c>
      <c r="D1243" s="2">
        <v>0.41483796296296294</v>
      </c>
      <c r="G1243" s="4">
        <v>9595194</v>
      </c>
      <c r="H1243">
        <v>1</v>
      </c>
      <c r="J1243">
        <v>8900603</v>
      </c>
      <c r="K1243">
        <v>1</v>
      </c>
    </row>
    <row r="1244" spans="1:11" x14ac:dyDescent="0.25">
      <c r="A1244">
        <v>3931739393</v>
      </c>
      <c r="B1244" s="1">
        <v>42935</v>
      </c>
      <c r="C1244" s="2">
        <v>0.4127662037037037</v>
      </c>
      <c r="D1244" s="2">
        <v>0.42182870370370368</v>
      </c>
      <c r="G1244" s="4">
        <v>9600226</v>
      </c>
      <c r="H1244">
        <v>2</v>
      </c>
      <c r="J1244">
        <v>8929993</v>
      </c>
      <c r="K1244">
        <v>1</v>
      </c>
    </row>
    <row r="1245" spans="1:11" x14ac:dyDescent="0.25">
      <c r="A1245">
        <v>4079013</v>
      </c>
      <c r="B1245" s="1">
        <v>42935</v>
      </c>
      <c r="C1245" s="2">
        <v>0.41616898148148146</v>
      </c>
      <c r="D1245" s="2">
        <v>0.41717592592592595</v>
      </c>
      <c r="G1245" s="4">
        <v>9603024</v>
      </c>
      <c r="H1245">
        <v>1</v>
      </c>
      <c r="J1245">
        <v>8936656</v>
      </c>
      <c r="K1245">
        <v>1</v>
      </c>
    </row>
    <row r="1246" spans="1:11" x14ac:dyDescent="0.25">
      <c r="A1246">
        <v>7751076</v>
      </c>
      <c r="B1246" s="1">
        <v>42935</v>
      </c>
      <c r="C1246" s="2">
        <v>0.41996527777777776</v>
      </c>
      <c r="D1246" s="2">
        <v>0.42766203703703703</v>
      </c>
      <c r="G1246" s="4">
        <v>9610703</v>
      </c>
      <c r="H1246">
        <v>1</v>
      </c>
      <c r="J1246">
        <v>8938444</v>
      </c>
      <c r="K1246">
        <v>1</v>
      </c>
    </row>
    <row r="1247" spans="1:11" x14ac:dyDescent="0.25">
      <c r="A1247">
        <v>27684909</v>
      </c>
      <c r="B1247" s="1">
        <v>42935</v>
      </c>
      <c r="C1247" s="2">
        <v>0.42166666666666669</v>
      </c>
      <c r="D1247" s="2">
        <v>0.43111111111111111</v>
      </c>
      <c r="G1247" s="4">
        <v>9620895</v>
      </c>
      <c r="H1247">
        <v>1</v>
      </c>
      <c r="J1247">
        <v>8953850</v>
      </c>
      <c r="K1247">
        <v>1</v>
      </c>
    </row>
    <row r="1248" spans="1:11" x14ac:dyDescent="0.25">
      <c r="A1248">
        <v>1588418</v>
      </c>
      <c r="B1248" s="1">
        <v>42935</v>
      </c>
      <c r="C1248" s="2">
        <v>0.42422453703703705</v>
      </c>
      <c r="D1248" s="2">
        <v>0.43512731481481481</v>
      </c>
      <c r="G1248" s="4">
        <v>9620982</v>
      </c>
      <c r="H1248">
        <v>1</v>
      </c>
      <c r="J1248">
        <v>8957203</v>
      </c>
      <c r="K1248">
        <v>1</v>
      </c>
    </row>
    <row r="1249" spans="1:11" x14ac:dyDescent="0.25">
      <c r="A1249">
        <v>5333653356</v>
      </c>
      <c r="B1249" s="1">
        <v>42935</v>
      </c>
      <c r="C1249" s="2">
        <v>0.42684027777777778</v>
      </c>
      <c r="D1249" s="2">
        <v>0.43207175925925928</v>
      </c>
      <c r="G1249" s="4">
        <v>9647309</v>
      </c>
      <c r="H1249">
        <v>1</v>
      </c>
      <c r="J1249">
        <v>8967842</v>
      </c>
      <c r="K1249">
        <v>1</v>
      </c>
    </row>
    <row r="1250" spans="1:11" x14ac:dyDescent="0.25">
      <c r="A1250">
        <v>6305758</v>
      </c>
      <c r="B1250" s="1">
        <v>42935</v>
      </c>
      <c r="C1250" s="2">
        <v>0.42912037037037037</v>
      </c>
      <c r="D1250" s="2">
        <v>0.43425925925925923</v>
      </c>
      <c r="G1250" s="4">
        <v>9655946</v>
      </c>
      <c r="H1250">
        <v>1</v>
      </c>
      <c r="J1250">
        <v>8972366</v>
      </c>
      <c r="K1250">
        <v>1</v>
      </c>
    </row>
    <row r="1251" spans="1:11" x14ac:dyDescent="0.25">
      <c r="A1251">
        <v>45373038</v>
      </c>
      <c r="B1251" s="1">
        <v>42935</v>
      </c>
      <c r="C1251" s="2">
        <v>0.43180555555555555</v>
      </c>
      <c r="D1251" s="2">
        <v>0.44175925925925924</v>
      </c>
      <c r="G1251" s="4">
        <v>9662407</v>
      </c>
      <c r="H1251">
        <v>1</v>
      </c>
      <c r="J1251">
        <v>8982137</v>
      </c>
      <c r="K1251">
        <v>1</v>
      </c>
    </row>
    <row r="1252" spans="1:11" x14ac:dyDescent="0.25">
      <c r="A1252">
        <v>7589993</v>
      </c>
      <c r="B1252" s="1">
        <v>42935</v>
      </c>
      <c r="C1252" s="2">
        <v>0.43185185185185188</v>
      </c>
      <c r="D1252" s="2">
        <v>0.4382638888888889</v>
      </c>
      <c r="G1252" s="4">
        <v>9664191</v>
      </c>
      <c r="H1252">
        <v>1</v>
      </c>
      <c r="J1252">
        <v>8984769</v>
      </c>
      <c r="K1252">
        <v>1</v>
      </c>
    </row>
    <row r="1253" spans="1:11" x14ac:dyDescent="0.25">
      <c r="A1253">
        <v>5588421</v>
      </c>
      <c r="B1253" s="1">
        <v>42935</v>
      </c>
      <c r="C1253" s="2">
        <v>0.43365740740740738</v>
      </c>
      <c r="D1253" s="2">
        <v>0.43964120370370369</v>
      </c>
      <c r="G1253" s="4">
        <v>9664752</v>
      </c>
      <c r="H1253">
        <v>1</v>
      </c>
      <c r="J1253">
        <v>8985437</v>
      </c>
      <c r="K1253">
        <v>1</v>
      </c>
    </row>
    <row r="1254" spans="1:11" x14ac:dyDescent="0.25">
      <c r="A1254">
        <v>9662407</v>
      </c>
      <c r="B1254" s="1">
        <v>42935</v>
      </c>
      <c r="C1254" s="2">
        <v>0.43509259259259259</v>
      </c>
      <c r="D1254" s="2">
        <v>0.44364583333333335</v>
      </c>
      <c r="G1254" s="4">
        <v>9680416</v>
      </c>
      <c r="H1254">
        <v>1</v>
      </c>
      <c r="J1254">
        <v>8991671</v>
      </c>
      <c r="K1254">
        <v>1</v>
      </c>
    </row>
    <row r="1255" spans="1:11" x14ac:dyDescent="0.25">
      <c r="A1255">
        <v>3422062</v>
      </c>
      <c r="B1255" s="1">
        <v>42935</v>
      </c>
      <c r="C1255" s="2">
        <v>0.43734953703703705</v>
      </c>
      <c r="D1255" s="2">
        <v>0.44071759259259258</v>
      </c>
      <c r="G1255" s="4">
        <v>9683894</v>
      </c>
      <c r="H1255">
        <v>1</v>
      </c>
      <c r="J1255">
        <v>9005999</v>
      </c>
      <c r="K1255">
        <v>1</v>
      </c>
    </row>
    <row r="1256" spans="1:11" x14ac:dyDescent="0.25">
      <c r="A1256">
        <v>9305031</v>
      </c>
      <c r="B1256" s="1">
        <v>42935</v>
      </c>
      <c r="C1256" s="2">
        <v>0.43827546296296294</v>
      </c>
      <c r="D1256" s="2">
        <v>0.44968750000000002</v>
      </c>
      <c r="G1256" s="4">
        <v>9685747</v>
      </c>
      <c r="H1256">
        <v>2</v>
      </c>
      <c r="J1256">
        <v>9021766</v>
      </c>
      <c r="K1256">
        <v>1</v>
      </c>
    </row>
    <row r="1257" spans="1:11" x14ac:dyDescent="0.25">
      <c r="A1257">
        <v>4911005</v>
      </c>
      <c r="B1257" s="1">
        <v>42935</v>
      </c>
      <c r="C1257" s="2">
        <v>0.44305555555555554</v>
      </c>
      <c r="D1257" s="2">
        <v>0.45006944444444447</v>
      </c>
      <c r="G1257" s="4">
        <v>9689833</v>
      </c>
      <c r="H1257">
        <v>1</v>
      </c>
      <c r="J1257">
        <v>9039872</v>
      </c>
      <c r="K1257">
        <v>1</v>
      </c>
    </row>
    <row r="1258" spans="1:11" x14ac:dyDescent="0.25">
      <c r="A1258">
        <v>1391272</v>
      </c>
      <c r="B1258" s="1">
        <v>42935</v>
      </c>
      <c r="C1258" s="2">
        <v>0.44664351851851852</v>
      </c>
      <c r="D1258" s="2">
        <v>0.45725694444444442</v>
      </c>
      <c r="G1258" s="4">
        <v>9697189</v>
      </c>
      <c r="H1258">
        <v>1</v>
      </c>
      <c r="J1258">
        <v>9045402</v>
      </c>
      <c r="K1258">
        <v>1</v>
      </c>
    </row>
    <row r="1259" spans="1:11" x14ac:dyDescent="0.25">
      <c r="A1259">
        <v>5027404</v>
      </c>
      <c r="B1259" s="1">
        <v>42935</v>
      </c>
      <c r="C1259" s="2">
        <v>0.45211805555555556</v>
      </c>
      <c r="D1259" s="2">
        <v>0.4598726851851852</v>
      </c>
      <c r="G1259" s="4">
        <v>9709339</v>
      </c>
      <c r="H1259">
        <v>1</v>
      </c>
      <c r="J1259">
        <v>9046365</v>
      </c>
      <c r="K1259">
        <v>1</v>
      </c>
    </row>
    <row r="1260" spans="1:11" x14ac:dyDescent="0.25">
      <c r="A1260">
        <v>38244568</v>
      </c>
      <c r="B1260" s="1">
        <v>42935</v>
      </c>
      <c r="C1260" s="2">
        <v>0.45768518518518519</v>
      </c>
      <c r="D1260" s="2">
        <v>0.45837962962962964</v>
      </c>
      <c r="G1260" s="4">
        <v>9716545</v>
      </c>
      <c r="H1260">
        <v>1</v>
      </c>
      <c r="J1260">
        <v>9052582</v>
      </c>
      <c r="K1260">
        <v>1</v>
      </c>
    </row>
    <row r="1261" spans="1:11" x14ac:dyDescent="0.25">
      <c r="A1261">
        <v>64900068</v>
      </c>
      <c r="B1261" s="1">
        <v>42935</v>
      </c>
      <c r="C1261" s="2">
        <v>0.46217592592592593</v>
      </c>
      <c r="D1261" s="2">
        <v>0.46263888888888888</v>
      </c>
      <c r="G1261" s="4">
        <v>9722484</v>
      </c>
      <c r="H1261">
        <v>1</v>
      </c>
      <c r="J1261">
        <v>9052652</v>
      </c>
      <c r="K1261">
        <v>1</v>
      </c>
    </row>
    <row r="1262" spans="1:11" x14ac:dyDescent="0.25">
      <c r="A1262">
        <v>45015009</v>
      </c>
      <c r="B1262" s="1">
        <v>42935</v>
      </c>
      <c r="C1262" s="2">
        <v>0.46546296296296297</v>
      </c>
      <c r="D1262" s="2">
        <v>0.4740509259259259</v>
      </c>
      <c r="G1262" s="4">
        <v>9727873</v>
      </c>
      <c r="H1262">
        <v>1</v>
      </c>
      <c r="J1262">
        <v>9061957</v>
      </c>
      <c r="K1262">
        <v>1</v>
      </c>
    </row>
    <row r="1263" spans="1:11" x14ac:dyDescent="0.25">
      <c r="A1263">
        <v>20424852</v>
      </c>
      <c r="B1263" s="1">
        <v>42935</v>
      </c>
      <c r="C1263" s="2">
        <v>0.46773148148148147</v>
      </c>
      <c r="D1263" s="2">
        <v>0.47054398148148147</v>
      </c>
      <c r="G1263" s="4">
        <v>9728932</v>
      </c>
      <c r="H1263">
        <v>2</v>
      </c>
      <c r="J1263">
        <v>9065927</v>
      </c>
      <c r="K1263">
        <v>1</v>
      </c>
    </row>
    <row r="1264" spans="1:11" x14ac:dyDescent="0.25">
      <c r="A1264">
        <v>4471203</v>
      </c>
      <c r="B1264" s="1">
        <v>42935</v>
      </c>
      <c r="C1264" s="2">
        <v>0.47298611111111111</v>
      </c>
      <c r="D1264" s="2">
        <v>0.48247685185185185</v>
      </c>
      <c r="G1264" s="4">
        <v>9740908</v>
      </c>
      <c r="H1264">
        <v>1</v>
      </c>
      <c r="J1264">
        <v>9076015</v>
      </c>
      <c r="K1264">
        <v>1</v>
      </c>
    </row>
    <row r="1265" spans="1:11" x14ac:dyDescent="0.25">
      <c r="A1265">
        <v>8250018</v>
      </c>
      <c r="B1265" s="1">
        <v>42935</v>
      </c>
      <c r="C1265" s="2">
        <v>0.47843750000000002</v>
      </c>
      <c r="D1265" s="2">
        <v>0.48951388888888892</v>
      </c>
      <c r="G1265" s="4">
        <v>9747403</v>
      </c>
      <c r="H1265">
        <v>1</v>
      </c>
      <c r="J1265">
        <v>9084978</v>
      </c>
      <c r="K1265">
        <v>1</v>
      </c>
    </row>
    <row r="1266" spans="1:11" x14ac:dyDescent="0.25">
      <c r="A1266">
        <v>1161028310</v>
      </c>
      <c r="B1266" s="1">
        <v>42935</v>
      </c>
      <c r="C1266" s="2">
        <v>0.47843750000000002</v>
      </c>
      <c r="D1266" s="2">
        <v>0.48879629629629628</v>
      </c>
      <c r="G1266" s="4">
        <v>9747700</v>
      </c>
      <c r="H1266">
        <v>1</v>
      </c>
      <c r="J1266">
        <v>9091369</v>
      </c>
      <c r="K1266">
        <v>1</v>
      </c>
    </row>
    <row r="1267" spans="1:11" x14ac:dyDescent="0.25">
      <c r="A1267">
        <v>66465215</v>
      </c>
      <c r="B1267" s="1">
        <v>42935</v>
      </c>
      <c r="C1267" s="2">
        <v>0.48381944444444447</v>
      </c>
      <c r="D1267" s="2">
        <v>0.49505787037037036</v>
      </c>
      <c r="G1267" s="4">
        <v>9759222</v>
      </c>
      <c r="H1267">
        <v>1</v>
      </c>
      <c r="J1267">
        <v>9100303</v>
      </c>
      <c r="K1267">
        <v>1</v>
      </c>
    </row>
    <row r="1268" spans="1:11" x14ac:dyDescent="0.25">
      <c r="A1268">
        <v>6386788</v>
      </c>
      <c r="B1268" s="1">
        <v>42935</v>
      </c>
      <c r="C1268" s="2">
        <v>0.48822916666666666</v>
      </c>
      <c r="D1268" s="2">
        <v>0.49540509259259258</v>
      </c>
      <c r="G1268" s="4">
        <v>9763924</v>
      </c>
      <c r="H1268">
        <v>2</v>
      </c>
      <c r="J1268">
        <v>9120318</v>
      </c>
      <c r="K1268">
        <v>1</v>
      </c>
    </row>
    <row r="1269" spans="1:11" x14ac:dyDescent="0.25">
      <c r="A1269">
        <v>3589291</v>
      </c>
      <c r="B1269" s="1">
        <v>42935</v>
      </c>
      <c r="C1269" s="2">
        <v>0.4896064814814815</v>
      </c>
      <c r="D1269" s="2">
        <v>0.49828703703703703</v>
      </c>
      <c r="G1269" s="4">
        <v>9772824</v>
      </c>
      <c r="H1269">
        <v>2</v>
      </c>
      <c r="J1269">
        <v>9121149</v>
      </c>
      <c r="K1269">
        <v>1</v>
      </c>
    </row>
    <row r="1270" spans="1:11" x14ac:dyDescent="0.25">
      <c r="A1270">
        <v>9254070</v>
      </c>
      <c r="B1270" s="1">
        <v>42935</v>
      </c>
      <c r="C1270" s="2">
        <v>0.49270833333333336</v>
      </c>
      <c r="D1270" s="2">
        <v>0.49774305555555554</v>
      </c>
      <c r="G1270" s="4">
        <v>9773176</v>
      </c>
      <c r="H1270">
        <v>2</v>
      </c>
      <c r="J1270">
        <v>9132555</v>
      </c>
      <c r="K1270">
        <v>1</v>
      </c>
    </row>
    <row r="1271" spans="1:11" x14ac:dyDescent="0.25">
      <c r="A1271">
        <v>6337931</v>
      </c>
      <c r="B1271" s="1">
        <v>42935</v>
      </c>
      <c r="C1271" s="2">
        <v>0.49625000000000002</v>
      </c>
      <c r="D1271" s="2">
        <v>0.5058449074074074</v>
      </c>
      <c r="G1271" s="4">
        <v>9776810</v>
      </c>
      <c r="H1271">
        <v>1</v>
      </c>
      <c r="J1271">
        <v>9137235</v>
      </c>
      <c r="K1271">
        <v>1</v>
      </c>
    </row>
    <row r="1272" spans="1:11" x14ac:dyDescent="0.25">
      <c r="A1272">
        <v>3563037</v>
      </c>
      <c r="B1272" s="1">
        <v>42935</v>
      </c>
      <c r="C1272" s="2">
        <v>0.50173611111111116</v>
      </c>
      <c r="D1272" s="2">
        <v>0.5130555555555556</v>
      </c>
      <c r="G1272" s="4">
        <v>9777118</v>
      </c>
      <c r="H1272">
        <v>1</v>
      </c>
      <c r="J1272">
        <v>9147613</v>
      </c>
      <c r="K1272">
        <v>1</v>
      </c>
    </row>
    <row r="1273" spans="1:11" x14ac:dyDescent="0.25">
      <c r="A1273">
        <v>2302227</v>
      </c>
      <c r="B1273" s="1">
        <v>42935</v>
      </c>
      <c r="C1273" s="2">
        <v>0.50219907407407405</v>
      </c>
      <c r="D1273" s="2">
        <v>0.50804398148148144</v>
      </c>
      <c r="G1273" s="4">
        <v>9781981</v>
      </c>
      <c r="H1273">
        <v>1</v>
      </c>
      <c r="J1273">
        <v>9156106</v>
      </c>
      <c r="K1273">
        <v>1</v>
      </c>
    </row>
    <row r="1274" spans="1:11" x14ac:dyDescent="0.25">
      <c r="A1274">
        <v>24454566</v>
      </c>
      <c r="B1274" s="1">
        <v>42935</v>
      </c>
      <c r="C1274" s="2">
        <v>0.50749999999999995</v>
      </c>
      <c r="D1274" s="2">
        <v>0.51290509259259254</v>
      </c>
      <c r="G1274" s="4">
        <v>9788998</v>
      </c>
      <c r="H1274">
        <v>1</v>
      </c>
      <c r="J1274">
        <v>9171025</v>
      </c>
      <c r="K1274">
        <v>1</v>
      </c>
    </row>
    <row r="1275" spans="1:11" x14ac:dyDescent="0.25">
      <c r="A1275">
        <v>6551880</v>
      </c>
      <c r="B1275" s="1">
        <v>42935</v>
      </c>
      <c r="C1275" s="2">
        <v>0.50756944444444441</v>
      </c>
      <c r="D1275" s="2">
        <v>0.51126157407407402</v>
      </c>
      <c r="G1275" s="4">
        <v>9791237</v>
      </c>
      <c r="H1275">
        <v>1</v>
      </c>
      <c r="J1275">
        <v>9175377</v>
      </c>
      <c r="K1275">
        <v>1</v>
      </c>
    </row>
    <row r="1276" spans="1:11" x14ac:dyDescent="0.25">
      <c r="A1276">
        <v>6616163</v>
      </c>
      <c r="B1276" s="1">
        <v>42935</v>
      </c>
      <c r="C1276" s="2">
        <v>0.51325231481481481</v>
      </c>
      <c r="D1276" s="2">
        <v>0.51627314814814818</v>
      </c>
      <c r="G1276" s="4">
        <v>9797571</v>
      </c>
      <c r="H1276">
        <v>1</v>
      </c>
      <c r="J1276">
        <v>9176754</v>
      </c>
      <c r="K1276">
        <v>1</v>
      </c>
    </row>
    <row r="1277" spans="1:11" x14ac:dyDescent="0.25">
      <c r="A1277">
        <v>96381896</v>
      </c>
      <c r="B1277" s="1">
        <v>42935</v>
      </c>
      <c r="C1277" s="2">
        <v>0.5173726851851852</v>
      </c>
      <c r="D1277" s="2">
        <v>0.52055555555555555</v>
      </c>
      <c r="G1277" s="4">
        <v>9803006</v>
      </c>
      <c r="H1277">
        <v>1</v>
      </c>
      <c r="J1277">
        <v>9182658</v>
      </c>
      <c r="K1277">
        <v>1</v>
      </c>
    </row>
    <row r="1278" spans="1:11" x14ac:dyDescent="0.25">
      <c r="A1278">
        <v>6892980</v>
      </c>
      <c r="B1278" s="1">
        <v>42935</v>
      </c>
      <c r="C1278" s="2">
        <v>0.52288194444444447</v>
      </c>
      <c r="D1278" s="2">
        <v>0.52722222222222226</v>
      </c>
      <c r="G1278" s="4">
        <v>9803545</v>
      </c>
      <c r="H1278">
        <v>1</v>
      </c>
      <c r="J1278">
        <v>9183185</v>
      </c>
      <c r="K1278">
        <v>1</v>
      </c>
    </row>
    <row r="1279" spans="1:11" x14ac:dyDescent="0.25">
      <c r="A1279">
        <v>5341697748</v>
      </c>
      <c r="B1279" s="1">
        <v>42935</v>
      </c>
      <c r="C1279" s="2">
        <v>0.52349537037037042</v>
      </c>
      <c r="D1279" s="2">
        <v>0.53362268518518519</v>
      </c>
      <c r="G1279" s="4">
        <v>9804309</v>
      </c>
      <c r="H1279">
        <v>1</v>
      </c>
      <c r="J1279">
        <v>9187410</v>
      </c>
      <c r="K1279">
        <v>1</v>
      </c>
    </row>
    <row r="1280" spans="1:11" x14ac:dyDescent="0.25">
      <c r="A1280">
        <v>52064221</v>
      </c>
      <c r="B1280" s="1">
        <v>42935</v>
      </c>
      <c r="C1280" s="2">
        <v>0.52766203703703707</v>
      </c>
      <c r="D1280" s="2">
        <v>0.53917824074074072</v>
      </c>
      <c r="G1280" s="4">
        <v>9805082</v>
      </c>
      <c r="H1280">
        <v>1</v>
      </c>
      <c r="J1280">
        <v>9192546</v>
      </c>
      <c r="K1280">
        <v>1</v>
      </c>
    </row>
    <row r="1281" spans="1:11" x14ac:dyDescent="0.25">
      <c r="A1281">
        <v>5111892302</v>
      </c>
      <c r="B1281" s="1">
        <v>42935</v>
      </c>
      <c r="C1281" s="2">
        <v>0.53209490740740739</v>
      </c>
      <c r="D1281" s="2">
        <v>0.53931712962962963</v>
      </c>
      <c r="G1281" s="4">
        <v>9807682</v>
      </c>
      <c r="H1281">
        <v>1</v>
      </c>
      <c r="J1281">
        <v>9197309</v>
      </c>
      <c r="K1281">
        <v>1</v>
      </c>
    </row>
    <row r="1282" spans="1:11" x14ac:dyDescent="0.25">
      <c r="A1282">
        <v>7571642</v>
      </c>
      <c r="B1282" s="1">
        <v>42935</v>
      </c>
      <c r="C1282" s="2">
        <v>0.53540509259259261</v>
      </c>
      <c r="D1282" s="2">
        <v>0.53540509259259261</v>
      </c>
      <c r="G1282" s="4">
        <v>9808221</v>
      </c>
      <c r="H1282">
        <v>1</v>
      </c>
      <c r="J1282">
        <v>9219408</v>
      </c>
      <c r="K1282">
        <v>1</v>
      </c>
    </row>
    <row r="1283" spans="1:11" x14ac:dyDescent="0.25">
      <c r="A1283">
        <v>9570286</v>
      </c>
      <c r="B1283" s="1">
        <v>42935</v>
      </c>
      <c r="C1283" s="2">
        <v>0.53594907407407411</v>
      </c>
      <c r="D1283" s="2">
        <v>0.54584490740740743</v>
      </c>
      <c r="G1283" s="4">
        <v>9815754</v>
      </c>
      <c r="H1283">
        <v>2</v>
      </c>
      <c r="J1283">
        <v>9225043</v>
      </c>
      <c r="K1283">
        <v>1</v>
      </c>
    </row>
    <row r="1284" spans="1:11" x14ac:dyDescent="0.25">
      <c r="A1284">
        <v>7632647</v>
      </c>
      <c r="B1284" s="1">
        <v>42935</v>
      </c>
      <c r="C1284" s="2">
        <v>0.54052083333333334</v>
      </c>
      <c r="D1284" s="2">
        <v>0.54195601851851849</v>
      </c>
      <c r="G1284" s="4">
        <v>9827875</v>
      </c>
      <c r="H1284">
        <v>1</v>
      </c>
      <c r="J1284">
        <v>9254070</v>
      </c>
      <c r="K1284">
        <v>1</v>
      </c>
    </row>
    <row r="1285" spans="1:11" x14ac:dyDescent="0.25">
      <c r="A1285">
        <v>3437033</v>
      </c>
      <c r="B1285" s="1">
        <v>42935</v>
      </c>
      <c r="C1285" s="2">
        <v>0.54439814814814813</v>
      </c>
      <c r="D1285" s="2">
        <v>0.54800925925925925</v>
      </c>
      <c r="G1285" s="4">
        <v>9849071</v>
      </c>
      <c r="H1285">
        <v>2</v>
      </c>
      <c r="J1285">
        <v>9266643</v>
      </c>
      <c r="K1285">
        <v>1</v>
      </c>
    </row>
    <row r="1286" spans="1:11" x14ac:dyDescent="0.25">
      <c r="A1286">
        <v>81575080</v>
      </c>
      <c r="B1286" s="1">
        <v>42935</v>
      </c>
      <c r="C1286" s="2">
        <v>0.54996527777777782</v>
      </c>
      <c r="D1286" s="2">
        <v>0.55228009259259259</v>
      </c>
      <c r="G1286" s="4">
        <v>9849476</v>
      </c>
      <c r="H1286">
        <v>1</v>
      </c>
      <c r="J1286">
        <v>9270571</v>
      </c>
      <c r="K1286">
        <v>1</v>
      </c>
    </row>
    <row r="1287" spans="1:11" x14ac:dyDescent="0.25">
      <c r="A1287">
        <v>7677384</v>
      </c>
      <c r="B1287" s="1">
        <v>42935</v>
      </c>
      <c r="C1287" s="2">
        <v>0.55121527777777779</v>
      </c>
      <c r="D1287" s="2">
        <v>0.55539351851851848</v>
      </c>
      <c r="G1287" s="4">
        <v>9853612</v>
      </c>
      <c r="H1287">
        <v>1</v>
      </c>
      <c r="J1287">
        <v>9279730</v>
      </c>
      <c r="K1287">
        <v>1</v>
      </c>
    </row>
    <row r="1288" spans="1:11" x14ac:dyDescent="0.25">
      <c r="A1288">
        <v>6194112</v>
      </c>
      <c r="B1288" s="1">
        <v>42935</v>
      </c>
      <c r="C1288" s="2">
        <v>0.55174768518518513</v>
      </c>
      <c r="D1288" s="2">
        <v>0.5575</v>
      </c>
      <c r="G1288" s="4">
        <v>9861652</v>
      </c>
      <c r="H1288">
        <v>1</v>
      </c>
      <c r="J1288">
        <v>9282166</v>
      </c>
      <c r="K1288">
        <v>1</v>
      </c>
    </row>
    <row r="1289" spans="1:11" x14ac:dyDescent="0.25">
      <c r="A1289">
        <v>67913744</v>
      </c>
      <c r="B1289" s="1">
        <v>42935</v>
      </c>
      <c r="C1289" s="2">
        <v>0.55387731481481484</v>
      </c>
      <c r="D1289" s="2">
        <v>0.5645486111111111</v>
      </c>
      <c r="G1289" s="4">
        <v>9864502</v>
      </c>
      <c r="H1289">
        <v>1</v>
      </c>
      <c r="J1289">
        <v>9282666</v>
      </c>
      <c r="K1289">
        <v>1</v>
      </c>
    </row>
    <row r="1290" spans="1:11" x14ac:dyDescent="0.25">
      <c r="A1290">
        <v>9418587</v>
      </c>
      <c r="B1290" s="1">
        <v>42935</v>
      </c>
      <c r="C1290" s="2">
        <v>0.5591666666666667</v>
      </c>
      <c r="D1290" s="2">
        <v>0.56074074074074076</v>
      </c>
      <c r="G1290" s="4">
        <v>9865524</v>
      </c>
      <c r="H1290">
        <v>1</v>
      </c>
      <c r="J1290">
        <v>9283739</v>
      </c>
      <c r="K1290">
        <v>1</v>
      </c>
    </row>
    <row r="1291" spans="1:11" x14ac:dyDescent="0.25">
      <c r="A1291">
        <v>3273221616</v>
      </c>
      <c r="B1291" s="1">
        <v>42935</v>
      </c>
      <c r="C1291" s="2">
        <v>0.56276620370370367</v>
      </c>
      <c r="D1291" s="2">
        <v>0.56792824074074078</v>
      </c>
      <c r="G1291" s="4">
        <v>9865716</v>
      </c>
      <c r="H1291">
        <v>2</v>
      </c>
      <c r="J1291">
        <v>9287211</v>
      </c>
      <c r="K1291">
        <v>1</v>
      </c>
    </row>
    <row r="1292" spans="1:11" x14ac:dyDescent="0.25">
      <c r="A1292">
        <v>7364500</v>
      </c>
      <c r="B1292" s="1">
        <v>42935</v>
      </c>
      <c r="C1292" s="2">
        <v>0.5682638888888889</v>
      </c>
      <c r="D1292" s="2">
        <v>0.57974537037037033</v>
      </c>
      <c r="G1292" s="4">
        <v>9866204</v>
      </c>
      <c r="H1292">
        <v>1</v>
      </c>
      <c r="J1292">
        <v>9294571</v>
      </c>
      <c r="K1292">
        <v>1</v>
      </c>
    </row>
    <row r="1293" spans="1:11" x14ac:dyDescent="0.25">
      <c r="A1293">
        <v>69273048</v>
      </c>
      <c r="B1293" s="1">
        <v>42935</v>
      </c>
      <c r="C1293" s="2">
        <v>0.56847222222222227</v>
      </c>
      <c r="D1293" s="2">
        <v>0.57787037037037037</v>
      </c>
      <c r="G1293" s="4">
        <v>9866373</v>
      </c>
      <c r="H1293">
        <v>1</v>
      </c>
      <c r="J1293">
        <v>9305031</v>
      </c>
      <c r="K1293">
        <v>1</v>
      </c>
    </row>
    <row r="1294" spans="1:11" x14ac:dyDescent="0.25">
      <c r="A1294">
        <v>1345591</v>
      </c>
      <c r="B1294" s="1">
        <v>42935</v>
      </c>
      <c r="C1294" s="2">
        <v>0.5703125</v>
      </c>
      <c r="D1294" s="2">
        <v>0.57703703703703701</v>
      </c>
      <c r="G1294" s="4">
        <v>9870841</v>
      </c>
      <c r="H1294">
        <v>1</v>
      </c>
      <c r="J1294">
        <v>9319894</v>
      </c>
      <c r="K1294">
        <v>1</v>
      </c>
    </row>
    <row r="1295" spans="1:11" x14ac:dyDescent="0.25">
      <c r="A1295">
        <v>13674393</v>
      </c>
      <c r="B1295" s="1">
        <v>42935</v>
      </c>
      <c r="C1295" s="2">
        <v>0.57313657407407403</v>
      </c>
      <c r="D1295" s="2">
        <v>0.57559027777777783</v>
      </c>
      <c r="G1295" s="4">
        <v>9872216</v>
      </c>
      <c r="H1295">
        <v>1</v>
      </c>
      <c r="J1295">
        <v>9328179</v>
      </c>
      <c r="K1295">
        <v>1</v>
      </c>
    </row>
    <row r="1296" spans="1:11" x14ac:dyDescent="0.25">
      <c r="A1296">
        <v>5273579381</v>
      </c>
      <c r="B1296" s="1">
        <v>42935</v>
      </c>
      <c r="C1296" s="2">
        <v>0.57525462962962959</v>
      </c>
      <c r="D1296" s="2">
        <v>0.58087962962962958</v>
      </c>
      <c r="G1296" s="4">
        <v>9874705</v>
      </c>
      <c r="H1296">
        <v>1</v>
      </c>
      <c r="J1296">
        <v>9329226</v>
      </c>
      <c r="K1296">
        <v>1</v>
      </c>
    </row>
    <row r="1297" spans="1:11" x14ac:dyDescent="0.25">
      <c r="A1297">
        <v>5790304</v>
      </c>
      <c r="B1297" s="1">
        <v>42935</v>
      </c>
      <c r="C1297" s="2">
        <v>0.57974537037037033</v>
      </c>
      <c r="D1297" s="2">
        <v>0.58975694444444449</v>
      </c>
      <c r="G1297" s="4">
        <v>9878283</v>
      </c>
      <c r="H1297">
        <v>1</v>
      </c>
      <c r="J1297">
        <v>9339774</v>
      </c>
      <c r="K1297">
        <v>1</v>
      </c>
    </row>
    <row r="1298" spans="1:11" x14ac:dyDescent="0.25">
      <c r="A1298">
        <v>6551880</v>
      </c>
      <c r="B1298" s="1">
        <v>42935</v>
      </c>
      <c r="C1298" s="2">
        <v>0.58071759259259259</v>
      </c>
      <c r="D1298" s="2">
        <v>0.59002314814814816</v>
      </c>
      <c r="G1298" s="4">
        <v>9892639</v>
      </c>
      <c r="H1298">
        <v>1</v>
      </c>
      <c r="J1298">
        <v>9340299</v>
      </c>
      <c r="K1298">
        <v>1</v>
      </c>
    </row>
    <row r="1299" spans="1:11" x14ac:dyDescent="0.25">
      <c r="A1299">
        <v>2873323</v>
      </c>
      <c r="B1299" s="1">
        <v>42935</v>
      </c>
      <c r="C1299" s="2">
        <v>0.58622685185185186</v>
      </c>
      <c r="D1299" s="2">
        <v>0.5921643518518519</v>
      </c>
      <c r="G1299" s="4">
        <v>9894723</v>
      </c>
      <c r="H1299">
        <v>1</v>
      </c>
      <c r="J1299">
        <v>9355422</v>
      </c>
      <c r="K1299">
        <v>1</v>
      </c>
    </row>
    <row r="1300" spans="1:11" x14ac:dyDescent="0.25">
      <c r="A1300">
        <v>2733008</v>
      </c>
      <c r="B1300" s="1">
        <v>42935</v>
      </c>
      <c r="C1300" s="2">
        <v>0.5879861111111111</v>
      </c>
      <c r="D1300" s="2">
        <v>0.59103009259259254</v>
      </c>
      <c r="G1300" s="4">
        <v>9894998</v>
      </c>
      <c r="H1300">
        <v>2</v>
      </c>
      <c r="J1300">
        <v>9356216</v>
      </c>
      <c r="K1300">
        <v>1</v>
      </c>
    </row>
    <row r="1301" spans="1:11" x14ac:dyDescent="0.25">
      <c r="A1301">
        <v>7292887</v>
      </c>
      <c r="B1301" s="1">
        <v>42935</v>
      </c>
      <c r="C1301" s="2">
        <v>0.58810185185185182</v>
      </c>
      <c r="D1301" s="2">
        <v>0.59202546296296299</v>
      </c>
      <c r="G1301" s="4">
        <v>9905075</v>
      </c>
      <c r="H1301">
        <v>1</v>
      </c>
      <c r="J1301">
        <v>9356324</v>
      </c>
      <c r="K1301">
        <v>1</v>
      </c>
    </row>
    <row r="1302" spans="1:11" x14ac:dyDescent="0.25">
      <c r="A1302">
        <v>6855900</v>
      </c>
      <c r="B1302" s="1">
        <v>42935</v>
      </c>
      <c r="C1302" s="2">
        <v>0.59090277777777778</v>
      </c>
      <c r="D1302" s="2">
        <v>0.5923842592592593</v>
      </c>
      <c r="G1302" s="4">
        <v>9926754</v>
      </c>
      <c r="H1302">
        <v>1</v>
      </c>
      <c r="J1302">
        <v>9357185</v>
      </c>
      <c r="K1302">
        <v>1</v>
      </c>
    </row>
    <row r="1303" spans="1:11" x14ac:dyDescent="0.25">
      <c r="A1303">
        <v>2402827</v>
      </c>
      <c r="B1303" s="1">
        <v>42935</v>
      </c>
      <c r="C1303" s="2">
        <v>0.59659722222222222</v>
      </c>
      <c r="D1303" s="2">
        <v>0.60329861111111116</v>
      </c>
      <c r="G1303" s="4">
        <v>9932676</v>
      </c>
      <c r="H1303">
        <v>1</v>
      </c>
      <c r="J1303">
        <v>9364912</v>
      </c>
      <c r="K1303">
        <v>1</v>
      </c>
    </row>
    <row r="1304" spans="1:11" x14ac:dyDescent="0.25">
      <c r="A1304">
        <v>6510330</v>
      </c>
      <c r="B1304" s="1">
        <v>42935</v>
      </c>
      <c r="C1304" s="2">
        <v>0.5971643518518519</v>
      </c>
      <c r="D1304" s="2">
        <v>0.60538194444444449</v>
      </c>
      <c r="G1304" s="4">
        <v>9937257</v>
      </c>
      <c r="H1304">
        <v>1</v>
      </c>
      <c r="J1304">
        <v>9388066</v>
      </c>
      <c r="K1304">
        <v>1</v>
      </c>
    </row>
    <row r="1305" spans="1:11" x14ac:dyDescent="0.25">
      <c r="A1305">
        <v>9773176</v>
      </c>
      <c r="B1305" s="1">
        <v>42935</v>
      </c>
      <c r="C1305" s="2">
        <v>0.59719907407407402</v>
      </c>
      <c r="D1305" s="2">
        <v>0.60488425925925926</v>
      </c>
      <c r="G1305" s="4">
        <v>9941776</v>
      </c>
      <c r="H1305">
        <v>2</v>
      </c>
      <c r="J1305">
        <v>9398644</v>
      </c>
      <c r="K1305">
        <v>1</v>
      </c>
    </row>
    <row r="1306" spans="1:11" x14ac:dyDescent="0.25">
      <c r="A1306">
        <v>4065787</v>
      </c>
      <c r="B1306" s="1">
        <v>42935</v>
      </c>
      <c r="C1306" s="2">
        <v>0.6021643518518518</v>
      </c>
      <c r="D1306" s="2">
        <v>0.61331018518518521</v>
      </c>
      <c r="G1306" s="4">
        <v>9948096</v>
      </c>
      <c r="H1306">
        <v>1</v>
      </c>
      <c r="J1306">
        <v>9418587</v>
      </c>
      <c r="K1306">
        <v>1</v>
      </c>
    </row>
    <row r="1307" spans="1:11" x14ac:dyDescent="0.25">
      <c r="A1307">
        <v>4303543625</v>
      </c>
      <c r="B1307" s="1">
        <v>42935</v>
      </c>
      <c r="C1307" s="2">
        <v>0.60291666666666666</v>
      </c>
      <c r="D1307" s="2">
        <v>0.61086805555555557</v>
      </c>
      <c r="G1307" s="4">
        <v>9950462</v>
      </c>
      <c r="H1307">
        <v>1</v>
      </c>
      <c r="J1307">
        <v>9419117</v>
      </c>
      <c r="K1307">
        <v>1</v>
      </c>
    </row>
    <row r="1308" spans="1:11" x14ac:dyDescent="0.25">
      <c r="A1308">
        <v>3858766</v>
      </c>
      <c r="B1308" s="1">
        <v>42935</v>
      </c>
      <c r="C1308" s="2">
        <v>0.60624999999999996</v>
      </c>
      <c r="D1308" s="2">
        <v>0.6083912037037037</v>
      </c>
      <c r="G1308" s="4">
        <v>9953379</v>
      </c>
      <c r="H1308">
        <v>1</v>
      </c>
      <c r="J1308">
        <v>9427353</v>
      </c>
      <c r="K1308">
        <v>1</v>
      </c>
    </row>
    <row r="1309" spans="1:11" x14ac:dyDescent="0.25">
      <c r="A1309">
        <v>41852472</v>
      </c>
      <c r="B1309" s="1">
        <v>42935</v>
      </c>
      <c r="C1309" s="2">
        <v>0.60868055555555556</v>
      </c>
      <c r="D1309" s="2">
        <v>0.61019675925925931</v>
      </c>
      <c r="G1309" s="4">
        <v>9961121</v>
      </c>
      <c r="H1309">
        <v>1</v>
      </c>
      <c r="J1309">
        <v>9446278</v>
      </c>
      <c r="K1309">
        <v>1</v>
      </c>
    </row>
    <row r="1310" spans="1:11" x14ac:dyDescent="0.25">
      <c r="A1310">
        <v>25574074</v>
      </c>
      <c r="B1310" s="1">
        <v>42935</v>
      </c>
      <c r="C1310" s="2">
        <v>0.61081018518518515</v>
      </c>
      <c r="D1310" s="2">
        <v>0.62118055555555551</v>
      </c>
      <c r="G1310" s="4">
        <v>9967649</v>
      </c>
      <c r="H1310">
        <v>1</v>
      </c>
      <c r="J1310">
        <v>9458504</v>
      </c>
      <c r="K1310">
        <v>1</v>
      </c>
    </row>
    <row r="1311" spans="1:11" x14ac:dyDescent="0.25">
      <c r="A1311">
        <v>8690793</v>
      </c>
      <c r="B1311" s="1">
        <v>42935</v>
      </c>
      <c r="C1311" s="2">
        <v>0.61207175925925927</v>
      </c>
      <c r="D1311" s="2">
        <v>0.61613425925925924</v>
      </c>
      <c r="G1311" s="4">
        <v>9975967</v>
      </c>
      <c r="H1311">
        <v>1</v>
      </c>
      <c r="J1311">
        <v>9468070</v>
      </c>
      <c r="K1311">
        <v>1</v>
      </c>
    </row>
    <row r="1312" spans="1:11" x14ac:dyDescent="0.25">
      <c r="A1312">
        <v>8487003</v>
      </c>
      <c r="B1312" s="1">
        <v>42935</v>
      </c>
      <c r="C1312" s="2">
        <v>0.61648148148148152</v>
      </c>
      <c r="D1312" s="2">
        <v>0.62589120370370366</v>
      </c>
      <c r="G1312" s="4">
        <v>9975977</v>
      </c>
      <c r="H1312">
        <v>1</v>
      </c>
      <c r="J1312">
        <v>9474267</v>
      </c>
      <c r="K1312">
        <v>1</v>
      </c>
    </row>
    <row r="1313" spans="1:11" x14ac:dyDescent="0.25">
      <c r="A1313">
        <v>50583407</v>
      </c>
      <c r="B1313" s="1">
        <v>42935</v>
      </c>
      <c r="C1313" s="2">
        <v>0.62137731481481484</v>
      </c>
      <c r="D1313" s="2">
        <v>0.63218750000000001</v>
      </c>
      <c r="G1313" s="4">
        <v>9979899</v>
      </c>
      <c r="H1313">
        <v>1</v>
      </c>
      <c r="J1313">
        <v>9475290</v>
      </c>
      <c r="K1313">
        <v>1</v>
      </c>
    </row>
    <row r="1314" spans="1:11" x14ac:dyDescent="0.25">
      <c r="A1314">
        <v>4983193</v>
      </c>
      <c r="B1314" s="1">
        <v>42935</v>
      </c>
      <c r="C1314" s="2">
        <v>0.62288194444444445</v>
      </c>
      <c r="D1314" s="2">
        <v>0.63325231481481481</v>
      </c>
      <c r="G1314" s="4">
        <v>9983997</v>
      </c>
      <c r="H1314">
        <v>1</v>
      </c>
      <c r="J1314">
        <v>9487255</v>
      </c>
      <c r="K1314">
        <v>1</v>
      </c>
    </row>
    <row r="1315" spans="1:11" x14ac:dyDescent="0.25">
      <c r="A1315">
        <v>1316116</v>
      </c>
      <c r="B1315" s="1">
        <v>42935</v>
      </c>
      <c r="C1315" s="2">
        <v>0.62394675925925924</v>
      </c>
      <c r="D1315" s="2">
        <v>0.62461805555555561</v>
      </c>
      <c r="G1315" s="4">
        <v>10093488</v>
      </c>
      <c r="H1315">
        <v>1</v>
      </c>
      <c r="J1315">
        <v>9500083</v>
      </c>
      <c r="K1315">
        <v>1</v>
      </c>
    </row>
    <row r="1316" spans="1:11" x14ac:dyDescent="0.25">
      <c r="A1316">
        <v>5696056</v>
      </c>
      <c r="B1316" s="1">
        <v>42935</v>
      </c>
      <c r="C1316" s="2">
        <v>0.62967592592592592</v>
      </c>
      <c r="D1316" s="2">
        <v>0.63277777777777777</v>
      </c>
      <c r="G1316" s="4">
        <v>10201038</v>
      </c>
      <c r="H1316">
        <v>1</v>
      </c>
      <c r="J1316">
        <v>9502975</v>
      </c>
      <c r="K1316">
        <v>1</v>
      </c>
    </row>
    <row r="1317" spans="1:11" x14ac:dyDescent="0.25">
      <c r="A1317">
        <v>3574623</v>
      </c>
      <c r="B1317" s="1">
        <v>42936</v>
      </c>
      <c r="C1317" s="2">
        <v>0.33447916666666666</v>
      </c>
      <c r="D1317" s="2">
        <v>0.33721064814814816</v>
      </c>
      <c r="G1317" s="4">
        <v>10760583</v>
      </c>
      <c r="H1317">
        <v>1</v>
      </c>
      <c r="J1317">
        <v>9506446</v>
      </c>
      <c r="K1317">
        <v>1</v>
      </c>
    </row>
    <row r="1318" spans="1:11" x14ac:dyDescent="0.25">
      <c r="A1318">
        <v>71218936</v>
      </c>
      <c r="B1318" s="1">
        <v>42936</v>
      </c>
      <c r="C1318" s="2">
        <v>0.34012731481481484</v>
      </c>
      <c r="D1318" s="2">
        <v>0.34192129629629631</v>
      </c>
      <c r="G1318" s="4">
        <v>11070759</v>
      </c>
      <c r="H1318">
        <v>1</v>
      </c>
      <c r="J1318">
        <v>9521805</v>
      </c>
      <c r="K1318">
        <v>1</v>
      </c>
    </row>
    <row r="1319" spans="1:11" x14ac:dyDescent="0.25">
      <c r="A1319">
        <v>55621633</v>
      </c>
      <c r="B1319" s="1">
        <v>42936</v>
      </c>
      <c r="C1319" s="2">
        <v>0.34114583333333331</v>
      </c>
      <c r="D1319" s="2">
        <v>0.3525578703703704</v>
      </c>
      <c r="G1319" s="4">
        <v>11209967</v>
      </c>
      <c r="H1319">
        <v>1</v>
      </c>
      <c r="J1319">
        <v>9524588</v>
      </c>
      <c r="K1319">
        <v>1</v>
      </c>
    </row>
    <row r="1320" spans="1:11" x14ac:dyDescent="0.25">
      <c r="A1320">
        <v>1898174</v>
      </c>
      <c r="B1320" s="1">
        <v>42936</v>
      </c>
      <c r="C1320" s="2">
        <v>0.34371527777777777</v>
      </c>
      <c r="D1320" s="2">
        <v>0.34609953703703705</v>
      </c>
      <c r="G1320" s="4">
        <v>11274735</v>
      </c>
      <c r="H1320">
        <v>2</v>
      </c>
      <c r="J1320">
        <v>9526179</v>
      </c>
      <c r="K1320">
        <v>1</v>
      </c>
    </row>
    <row r="1321" spans="1:11" x14ac:dyDescent="0.25">
      <c r="A1321">
        <v>4844054</v>
      </c>
      <c r="B1321" s="1">
        <v>42936</v>
      </c>
      <c r="C1321" s="2">
        <v>0.34857638888888887</v>
      </c>
      <c r="D1321" s="2">
        <v>0.34998842592592594</v>
      </c>
      <c r="G1321" s="4">
        <v>11425383</v>
      </c>
      <c r="H1321">
        <v>1</v>
      </c>
      <c r="J1321">
        <v>9527543</v>
      </c>
      <c r="K1321">
        <v>1</v>
      </c>
    </row>
    <row r="1322" spans="1:11" x14ac:dyDescent="0.25">
      <c r="A1322">
        <v>7701901</v>
      </c>
      <c r="B1322" s="1">
        <v>42936</v>
      </c>
      <c r="C1322" s="2">
        <v>0.3533101851851852</v>
      </c>
      <c r="D1322" s="2">
        <v>0.3555787037037037</v>
      </c>
      <c r="G1322" s="4">
        <v>12063341</v>
      </c>
      <c r="H1322">
        <v>2</v>
      </c>
      <c r="J1322">
        <v>9535780</v>
      </c>
      <c r="K1322">
        <v>1</v>
      </c>
    </row>
    <row r="1323" spans="1:11" x14ac:dyDescent="0.25">
      <c r="A1323">
        <v>5900664</v>
      </c>
      <c r="B1323" s="1">
        <v>42936</v>
      </c>
      <c r="C1323" s="2">
        <v>0.3558912037037037</v>
      </c>
      <c r="D1323" s="2">
        <v>0.36550925925925926</v>
      </c>
      <c r="G1323" s="4">
        <v>12377650</v>
      </c>
      <c r="H1323">
        <v>1</v>
      </c>
      <c r="J1323">
        <v>9543572</v>
      </c>
      <c r="K1323">
        <v>1</v>
      </c>
    </row>
    <row r="1324" spans="1:11" x14ac:dyDescent="0.25">
      <c r="A1324">
        <v>4698731</v>
      </c>
      <c r="B1324" s="1">
        <v>42936</v>
      </c>
      <c r="C1324" s="2">
        <v>0.35894675925925928</v>
      </c>
      <c r="D1324" s="2">
        <v>0.3689351851851852</v>
      </c>
      <c r="G1324" s="4">
        <v>12471534</v>
      </c>
      <c r="H1324">
        <v>1</v>
      </c>
      <c r="J1324">
        <v>9547712</v>
      </c>
      <c r="K1324">
        <v>1</v>
      </c>
    </row>
    <row r="1325" spans="1:11" x14ac:dyDescent="0.25">
      <c r="A1325">
        <v>4606501</v>
      </c>
      <c r="B1325" s="1">
        <v>42936</v>
      </c>
      <c r="C1325" s="2">
        <v>0.36222222222222222</v>
      </c>
      <c r="D1325" s="2">
        <v>0.36548611111111112</v>
      </c>
      <c r="G1325" s="4">
        <v>12687991</v>
      </c>
      <c r="H1325">
        <v>1</v>
      </c>
      <c r="J1325">
        <v>9560827</v>
      </c>
      <c r="K1325">
        <v>1</v>
      </c>
    </row>
    <row r="1326" spans="1:11" x14ac:dyDescent="0.25">
      <c r="A1326">
        <v>3851940</v>
      </c>
      <c r="B1326" s="1">
        <v>42936</v>
      </c>
      <c r="C1326" s="2">
        <v>0.36473379629629632</v>
      </c>
      <c r="D1326" s="2">
        <v>0.36630787037037038</v>
      </c>
      <c r="G1326" s="4">
        <v>12721215</v>
      </c>
      <c r="H1326">
        <v>1</v>
      </c>
      <c r="J1326">
        <v>9570286</v>
      </c>
      <c r="K1326">
        <v>1</v>
      </c>
    </row>
    <row r="1327" spans="1:11" x14ac:dyDescent="0.25">
      <c r="A1327">
        <v>7972076</v>
      </c>
      <c r="B1327" s="1">
        <v>42936</v>
      </c>
      <c r="C1327" s="2">
        <v>0.37011574074074072</v>
      </c>
      <c r="D1327" s="2">
        <v>0.37928240740740743</v>
      </c>
      <c r="G1327" s="4">
        <v>12919749</v>
      </c>
      <c r="H1327">
        <v>1</v>
      </c>
      <c r="J1327">
        <v>9589060</v>
      </c>
      <c r="K1327">
        <v>1</v>
      </c>
    </row>
    <row r="1328" spans="1:11" x14ac:dyDescent="0.25">
      <c r="A1328">
        <v>1911796</v>
      </c>
      <c r="B1328" s="1">
        <v>42936</v>
      </c>
      <c r="C1328" s="2">
        <v>0.37506944444444446</v>
      </c>
      <c r="D1328" s="2">
        <v>0.38142361111111112</v>
      </c>
      <c r="G1328" s="4">
        <v>13221411</v>
      </c>
      <c r="H1328">
        <v>1</v>
      </c>
      <c r="J1328">
        <v>9591892</v>
      </c>
      <c r="K1328">
        <v>1</v>
      </c>
    </row>
    <row r="1329" spans="1:11" x14ac:dyDescent="0.25">
      <c r="A1329">
        <v>7362963</v>
      </c>
      <c r="B1329" s="1">
        <v>42936</v>
      </c>
      <c r="C1329" s="2">
        <v>0.37658564814814816</v>
      </c>
      <c r="D1329" s="2">
        <v>0.37936342592592592</v>
      </c>
      <c r="G1329" s="4">
        <v>13484133</v>
      </c>
      <c r="H1329">
        <v>4</v>
      </c>
      <c r="J1329">
        <v>9593481</v>
      </c>
      <c r="K1329">
        <v>1</v>
      </c>
    </row>
    <row r="1330" spans="1:11" x14ac:dyDescent="0.25">
      <c r="A1330">
        <v>24290062</v>
      </c>
      <c r="B1330" s="1">
        <v>42936</v>
      </c>
      <c r="C1330" s="2">
        <v>0.38047453703703704</v>
      </c>
      <c r="D1330" s="2">
        <v>0.39142361111111112</v>
      </c>
      <c r="G1330" s="4">
        <v>13494237</v>
      </c>
      <c r="H1330">
        <v>1</v>
      </c>
      <c r="J1330">
        <v>9595194</v>
      </c>
      <c r="K1330">
        <v>1</v>
      </c>
    </row>
    <row r="1331" spans="1:11" x14ac:dyDescent="0.25">
      <c r="A1331">
        <v>3086185</v>
      </c>
      <c r="B1331" s="1">
        <v>42936</v>
      </c>
      <c r="C1331" s="2">
        <v>0.38394675925925925</v>
      </c>
      <c r="D1331" s="2">
        <v>0.39547453703703705</v>
      </c>
      <c r="G1331" s="4">
        <v>13588783</v>
      </c>
      <c r="H1331">
        <v>1</v>
      </c>
      <c r="J1331">
        <v>9603024</v>
      </c>
      <c r="K1331">
        <v>1</v>
      </c>
    </row>
    <row r="1332" spans="1:11" x14ac:dyDescent="0.25">
      <c r="A1332">
        <v>7622819</v>
      </c>
      <c r="B1332" s="1">
        <v>42936</v>
      </c>
      <c r="C1332" s="2">
        <v>0.38599537037037035</v>
      </c>
      <c r="D1332" s="2">
        <v>0.39438657407407407</v>
      </c>
      <c r="G1332" s="4">
        <v>13639748</v>
      </c>
      <c r="H1332">
        <v>1</v>
      </c>
      <c r="J1332">
        <v>9610703</v>
      </c>
      <c r="K1332">
        <v>1</v>
      </c>
    </row>
    <row r="1333" spans="1:11" x14ac:dyDescent="0.25">
      <c r="A1333">
        <v>5610335</v>
      </c>
      <c r="B1333" s="1">
        <v>42936</v>
      </c>
      <c r="C1333" s="2">
        <v>0.39055555555555554</v>
      </c>
      <c r="D1333" s="2">
        <v>0.39101851851851854</v>
      </c>
      <c r="G1333" s="4">
        <v>13674393</v>
      </c>
      <c r="H1333">
        <v>1</v>
      </c>
      <c r="J1333">
        <v>9620895</v>
      </c>
      <c r="K1333">
        <v>1</v>
      </c>
    </row>
    <row r="1334" spans="1:11" x14ac:dyDescent="0.25">
      <c r="A1334">
        <v>97953696</v>
      </c>
      <c r="B1334" s="1">
        <v>42936</v>
      </c>
      <c r="C1334" s="2">
        <v>0.39373842592592595</v>
      </c>
      <c r="D1334" s="2">
        <v>0.40292824074074074</v>
      </c>
      <c r="G1334" s="4">
        <v>13898038</v>
      </c>
      <c r="H1334">
        <v>1</v>
      </c>
      <c r="J1334">
        <v>9620982</v>
      </c>
      <c r="K1334">
        <v>1</v>
      </c>
    </row>
    <row r="1335" spans="1:11" x14ac:dyDescent="0.25">
      <c r="A1335">
        <v>7432767</v>
      </c>
      <c r="B1335" s="1">
        <v>42936</v>
      </c>
      <c r="C1335" s="2">
        <v>0.39446759259259262</v>
      </c>
      <c r="D1335" s="2">
        <v>0.39841435185185187</v>
      </c>
      <c r="G1335" s="4">
        <v>13972929</v>
      </c>
      <c r="H1335">
        <v>1</v>
      </c>
      <c r="J1335">
        <v>9647309</v>
      </c>
      <c r="K1335">
        <v>1</v>
      </c>
    </row>
    <row r="1336" spans="1:11" x14ac:dyDescent="0.25">
      <c r="A1336">
        <v>2089993</v>
      </c>
      <c r="B1336" s="1">
        <v>42936</v>
      </c>
      <c r="C1336" s="2">
        <v>0.39810185185185187</v>
      </c>
      <c r="D1336" s="2">
        <v>0.39876157407407409</v>
      </c>
      <c r="G1336" s="4">
        <v>14201334</v>
      </c>
      <c r="H1336">
        <v>1</v>
      </c>
      <c r="J1336">
        <v>9655946</v>
      </c>
      <c r="K1336">
        <v>1</v>
      </c>
    </row>
    <row r="1337" spans="1:11" x14ac:dyDescent="0.25">
      <c r="A1337">
        <v>2635121</v>
      </c>
      <c r="B1337" s="1">
        <v>42936</v>
      </c>
      <c r="C1337" s="2">
        <v>0.39906249999999999</v>
      </c>
      <c r="D1337" s="2">
        <v>0.40487268518518521</v>
      </c>
      <c r="G1337" s="4">
        <v>14783929</v>
      </c>
      <c r="H1337">
        <v>2</v>
      </c>
      <c r="J1337">
        <v>9662407</v>
      </c>
      <c r="K1337">
        <v>1</v>
      </c>
    </row>
    <row r="1338" spans="1:11" x14ac:dyDescent="0.25">
      <c r="A1338">
        <v>6725216</v>
      </c>
      <c r="B1338" s="1">
        <v>42936</v>
      </c>
      <c r="C1338" s="2">
        <v>0.40190972222222221</v>
      </c>
      <c r="D1338" s="2">
        <v>0.40715277777777775</v>
      </c>
      <c r="G1338" s="4">
        <v>14919021</v>
      </c>
      <c r="H1338">
        <v>1</v>
      </c>
      <c r="J1338">
        <v>9664191</v>
      </c>
      <c r="K1338">
        <v>1</v>
      </c>
    </row>
    <row r="1339" spans="1:11" x14ac:dyDescent="0.25">
      <c r="A1339">
        <v>6530661</v>
      </c>
      <c r="B1339" s="1">
        <v>42936</v>
      </c>
      <c r="C1339" s="2">
        <v>0.40709490740740739</v>
      </c>
      <c r="D1339" s="2">
        <v>0.40795138888888888</v>
      </c>
      <c r="G1339" s="4">
        <v>15643568</v>
      </c>
      <c r="H1339">
        <v>1</v>
      </c>
      <c r="J1339">
        <v>9664752</v>
      </c>
      <c r="K1339">
        <v>1</v>
      </c>
    </row>
    <row r="1340" spans="1:11" x14ac:dyDescent="0.25">
      <c r="A1340">
        <v>8691743</v>
      </c>
      <c r="B1340" s="1">
        <v>42936</v>
      </c>
      <c r="C1340" s="2">
        <v>0.41228009259259257</v>
      </c>
      <c r="D1340" s="2">
        <v>0.42214120370370373</v>
      </c>
      <c r="G1340" s="4">
        <v>16303399</v>
      </c>
      <c r="H1340">
        <v>1</v>
      </c>
      <c r="J1340">
        <v>9680416</v>
      </c>
      <c r="K1340">
        <v>1</v>
      </c>
    </row>
    <row r="1341" spans="1:11" x14ac:dyDescent="0.25">
      <c r="A1341">
        <v>2771511</v>
      </c>
      <c r="B1341" s="1">
        <v>42936</v>
      </c>
      <c r="C1341" s="2">
        <v>0.41271990740740738</v>
      </c>
      <c r="D1341" s="2">
        <v>0.41487268518518516</v>
      </c>
      <c r="G1341" s="4">
        <v>16392077</v>
      </c>
      <c r="H1341">
        <v>1</v>
      </c>
      <c r="J1341">
        <v>9683894</v>
      </c>
      <c r="K1341">
        <v>1</v>
      </c>
    </row>
    <row r="1342" spans="1:11" x14ac:dyDescent="0.25">
      <c r="A1342">
        <v>7471152</v>
      </c>
      <c r="B1342" s="1">
        <v>42936</v>
      </c>
      <c r="C1342" s="2">
        <v>0.41456018518518517</v>
      </c>
      <c r="D1342" s="2">
        <v>0.41495370370370371</v>
      </c>
      <c r="G1342" s="4">
        <v>16527855</v>
      </c>
      <c r="H1342">
        <v>1</v>
      </c>
      <c r="J1342">
        <v>9689833</v>
      </c>
      <c r="K1342">
        <v>1</v>
      </c>
    </row>
    <row r="1343" spans="1:11" x14ac:dyDescent="0.25">
      <c r="A1343">
        <v>89691426</v>
      </c>
      <c r="B1343" s="1">
        <v>42936</v>
      </c>
      <c r="C1343" s="2">
        <v>0.41677083333333331</v>
      </c>
      <c r="D1343" s="2">
        <v>0.42192129629629632</v>
      </c>
      <c r="G1343" s="4">
        <v>16580449</v>
      </c>
      <c r="H1343">
        <v>1</v>
      </c>
      <c r="J1343">
        <v>9697189</v>
      </c>
      <c r="K1343">
        <v>1</v>
      </c>
    </row>
    <row r="1344" spans="1:11" x14ac:dyDescent="0.25">
      <c r="A1344">
        <v>5305478</v>
      </c>
      <c r="B1344" s="1">
        <v>42936</v>
      </c>
      <c r="C1344" s="2">
        <v>0.41980324074074077</v>
      </c>
      <c r="D1344" s="2">
        <v>0.42957175925925928</v>
      </c>
      <c r="G1344" s="4">
        <v>16592072</v>
      </c>
      <c r="H1344">
        <v>1</v>
      </c>
      <c r="J1344">
        <v>9709339</v>
      </c>
      <c r="K1344">
        <v>1</v>
      </c>
    </row>
    <row r="1345" spans="1:11" x14ac:dyDescent="0.25">
      <c r="A1345">
        <v>4305632</v>
      </c>
      <c r="B1345" s="1">
        <v>42936</v>
      </c>
      <c r="C1345" s="2">
        <v>0.42534722222222221</v>
      </c>
      <c r="D1345" s="2">
        <v>0.43634259259259262</v>
      </c>
      <c r="G1345" s="4">
        <v>16724936</v>
      </c>
      <c r="H1345">
        <v>1</v>
      </c>
      <c r="J1345">
        <v>9716545</v>
      </c>
      <c r="K1345">
        <v>1</v>
      </c>
    </row>
    <row r="1346" spans="1:11" x14ac:dyDescent="0.25">
      <c r="A1346">
        <v>9526179</v>
      </c>
      <c r="B1346" s="1">
        <v>42936</v>
      </c>
      <c r="C1346" s="2">
        <v>0.42761574074074077</v>
      </c>
      <c r="D1346" s="2">
        <v>0.4314236111111111</v>
      </c>
      <c r="G1346" s="4">
        <v>16775888</v>
      </c>
      <c r="H1346">
        <v>1</v>
      </c>
      <c r="J1346">
        <v>9722484</v>
      </c>
      <c r="K1346">
        <v>1</v>
      </c>
    </row>
    <row r="1347" spans="1:11" x14ac:dyDescent="0.25">
      <c r="A1347">
        <v>1268336</v>
      </c>
      <c r="B1347" s="1">
        <v>42936</v>
      </c>
      <c r="C1347" s="2">
        <v>0.43172453703703706</v>
      </c>
      <c r="D1347" s="2">
        <v>0.44153935185185184</v>
      </c>
      <c r="G1347" s="4">
        <v>16883712</v>
      </c>
      <c r="H1347">
        <v>1</v>
      </c>
      <c r="J1347">
        <v>9727873</v>
      </c>
      <c r="K1347">
        <v>1</v>
      </c>
    </row>
    <row r="1348" spans="1:11" x14ac:dyDescent="0.25">
      <c r="A1348">
        <v>7288626</v>
      </c>
      <c r="B1348" s="1">
        <v>42936</v>
      </c>
      <c r="C1348" s="2">
        <v>0.43606481481481479</v>
      </c>
      <c r="D1348" s="2">
        <v>0.44609953703703703</v>
      </c>
      <c r="G1348" s="4">
        <v>16977213</v>
      </c>
      <c r="H1348">
        <v>1</v>
      </c>
      <c r="J1348">
        <v>9740908</v>
      </c>
      <c r="K1348">
        <v>1</v>
      </c>
    </row>
    <row r="1349" spans="1:11" x14ac:dyDescent="0.25">
      <c r="A1349">
        <v>53117702</v>
      </c>
      <c r="B1349" s="1">
        <v>42936</v>
      </c>
      <c r="C1349" s="2">
        <v>0.44170138888888888</v>
      </c>
      <c r="D1349" s="2">
        <v>0.44903935185185184</v>
      </c>
      <c r="G1349" s="4">
        <v>16999529</v>
      </c>
      <c r="H1349">
        <v>1</v>
      </c>
      <c r="J1349">
        <v>9747403</v>
      </c>
      <c r="K1349">
        <v>1</v>
      </c>
    </row>
    <row r="1350" spans="1:11" x14ac:dyDescent="0.25">
      <c r="A1350">
        <v>10201038</v>
      </c>
      <c r="B1350" s="1">
        <v>42936</v>
      </c>
      <c r="C1350" s="2">
        <v>0.44615740740740739</v>
      </c>
      <c r="D1350" s="2">
        <v>0.45019675925925928</v>
      </c>
      <c r="G1350" s="4">
        <v>17005785</v>
      </c>
      <c r="H1350">
        <v>1</v>
      </c>
      <c r="J1350">
        <v>9747700</v>
      </c>
      <c r="K1350">
        <v>1</v>
      </c>
    </row>
    <row r="1351" spans="1:11" x14ac:dyDescent="0.25">
      <c r="A1351">
        <v>4738129</v>
      </c>
      <c r="B1351" s="1">
        <v>42936</v>
      </c>
      <c r="C1351" s="2">
        <v>0.4503935185185185</v>
      </c>
      <c r="D1351" s="2">
        <v>0.46037037037037037</v>
      </c>
      <c r="G1351" s="4">
        <v>17314583</v>
      </c>
      <c r="H1351">
        <v>1</v>
      </c>
      <c r="J1351">
        <v>9759222</v>
      </c>
      <c r="K1351">
        <v>1</v>
      </c>
    </row>
    <row r="1352" spans="1:11" x14ac:dyDescent="0.25">
      <c r="A1352">
        <v>3153023</v>
      </c>
      <c r="B1352" s="1">
        <v>42936</v>
      </c>
      <c r="C1352" s="2">
        <v>0.45503472222222224</v>
      </c>
      <c r="D1352" s="2">
        <v>0.45876157407407409</v>
      </c>
      <c r="G1352" s="4">
        <v>17490780</v>
      </c>
      <c r="H1352">
        <v>1</v>
      </c>
      <c r="J1352">
        <v>9776810</v>
      </c>
      <c r="K1352">
        <v>1</v>
      </c>
    </row>
    <row r="1353" spans="1:11" x14ac:dyDescent="0.25">
      <c r="A1353">
        <v>1747389</v>
      </c>
      <c r="B1353" s="1">
        <v>42936</v>
      </c>
      <c r="C1353" s="2">
        <v>0.45795138888888887</v>
      </c>
      <c r="D1353" s="2">
        <v>0.46004629629629629</v>
      </c>
      <c r="G1353" s="4">
        <v>17864361</v>
      </c>
      <c r="H1353">
        <v>1</v>
      </c>
      <c r="J1353">
        <v>9777118</v>
      </c>
      <c r="K1353">
        <v>1</v>
      </c>
    </row>
    <row r="1354" spans="1:11" x14ac:dyDescent="0.25">
      <c r="A1354">
        <v>5526425146</v>
      </c>
      <c r="B1354" s="1">
        <v>42936</v>
      </c>
      <c r="C1354" s="2">
        <v>0.46164351851851854</v>
      </c>
      <c r="D1354" s="2">
        <v>0.46197916666666666</v>
      </c>
      <c r="G1354" s="4">
        <v>18036364</v>
      </c>
      <c r="H1354">
        <v>2</v>
      </c>
      <c r="J1354">
        <v>9781981</v>
      </c>
      <c r="K1354">
        <v>1</v>
      </c>
    </row>
    <row r="1355" spans="1:11" x14ac:dyDescent="0.25">
      <c r="A1355">
        <v>93050839</v>
      </c>
      <c r="B1355" s="1">
        <v>42936</v>
      </c>
      <c r="C1355" s="2">
        <v>0.46225694444444443</v>
      </c>
      <c r="D1355" s="2">
        <v>0.46591435185185187</v>
      </c>
      <c r="G1355" s="4">
        <v>18070008</v>
      </c>
      <c r="H1355">
        <v>1</v>
      </c>
      <c r="J1355">
        <v>9788998</v>
      </c>
      <c r="K1355">
        <v>1</v>
      </c>
    </row>
    <row r="1356" spans="1:11" x14ac:dyDescent="0.25">
      <c r="A1356">
        <v>1288318920</v>
      </c>
      <c r="B1356" s="1">
        <v>42936</v>
      </c>
      <c r="C1356" s="2">
        <v>0.46606481481481482</v>
      </c>
      <c r="D1356" s="2">
        <v>0.47375</v>
      </c>
      <c r="G1356" s="4">
        <v>18084593</v>
      </c>
      <c r="H1356">
        <v>1</v>
      </c>
      <c r="J1356">
        <v>9791237</v>
      </c>
      <c r="K1356">
        <v>1</v>
      </c>
    </row>
    <row r="1357" spans="1:11" x14ac:dyDescent="0.25">
      <c r="A1357">
        <v>5613566</v>
      </c>
      <c r="B1357" s="1">
        <v>42936</v>
      </c>
      <c r="C1357" s="2">
        <v>0.47105324074074073</v>
      </c>
      <c r="D1357" s="2">
        <v>0.47146990740740741</v>
      </c>
      <c r="G1357" s="4">
        <v>18503160</v>
      </c>
      <c r="H1357">
        <v>1</v>
      </c>
      <c r="J1357">
        <v>9797571</v>
      </c>
      <c r="K1357">
        <v>1</v>
      </c>
    </row>
    <row r="1358" spans="1:11" x14ac:dyDescent="0.25">
      <c r="A1358">
        <v>2406196</v>
      </c>
      <c r="B1358" s="1">
        <v>42936</v>
      </c>
      <c r="C1358" s="2">
        <v>0.47244212962962961</v>
      </c>
      <c r="D1358" s="2">
        <v>0.48127314814814814</v>
      </c>
      <c r="G1358" s="4">
        <v>18636086</v>
      </c>
      <c r="H1358">
        <v>1</v>
      </c>
      <c r="J1358">
        <v>9803006</v>
      </c>
      <c r="K1358">
        <v>1</v>
      </c>
    </row>
    <row r="1359" spans="1:11" x14ac:dyDescent="0.25">
      <c r="A1359">
        <v>9046365</v>
      </c>
      <c r="B1359" s="1">
        <v>42936</v>
      </c>
      <c r="C1359" s="2">
        <v>0.47531250000000003</v>
      </c>
      <c r="D1359" s="2">
        <v>0.47684027777777777</v>
      </c>
      <c r="G1359" s="4">
        <v>18816694</v>
      </c>
      <c r="H1359">
        <v>1</v>
      </c>
      <c r="J1359">
        <v>9803545</v>
      </c>
      <c r="K1359">
        <v>1</v>
      </c>
    </row>
    <row r="1360" spans="1:11" x14ac:dyDescent="0.25">
      <c r="A1360">
        <v>5019634</v>
      </c>
      <c r="B1360" s="1">
        <v>42936</v>
      </c>
      <c r="C1360" s="2">
        <v>0.48032407407407407</v>
      </c>
      <c r="D1360" s="2">
        <v>0.4916550925925926</v>
      </c>
      <c r="G1360" s="4">
        <v>19116274</v>
      </c>
      <c r="H1360">
        <v>1</v>
      </c>
      <c r="J1360">
        <v>9804309</v>
      </c>
      <c r="K1360">
        <v>1</v>
      </c>
    </row>
    <row r="1361" spans="1:11" x14ac:dyDescent="0.25">
      <c r="A1361">
        <v>90993861</v>
      </c>
      <c r="B1361" s="1">
        <v>42936</v>
      </c>
      <c r="C1361" s="2">
        <v>0.48280092592592594</v>
      </c>
      <c r="D1361" s="2">
        <v>0.48798611111111112</v>
      </c>
      <c r="G1361" s="4">
        <v>19343766</v>
      </c>
      <c r="H1361">
        <v>1</v>
      </c>
      <c r="J1361">
        <v>9805082</v>
      </c>
      <c r="K1361">
        <v>1</v>
      </c>
    </row>
    <row r="1362" spans="1:11" x14ac:dyDescent="0.25">
      <c r="A1362">
        <v>4034491</v>
      </c>
      <c r="B1362" s="1">
        <v>42936</v>
      </c>
      <c r="C1362" s="2">
        <v>0.48813657407407407</v>
      </c>
      <c r="D1362" s="2">
        <v>0.49116898148148147</v>
      </c>
      <c r="G1362" s="4">
        <v>19638469</v>
      </c>
      <c r="H1362">
        <v>1</v>
      </c>
      <c r="J1362">
        <v>9807682</v>
      </c>
      <c r="K1362">
        <v>1</v>
      </c>
    </row>
    <row r="1363" spans="1:11" x14ac:dyDescent="0.25">
      <c r="A1363">
        <v>57395204</v>
      </c>
      <c r="B1363" s="1">
        <v>42936</v>
      </c>
      <c r="C1363" s="2">
        <v>0.49015046296296294</v>
      </c>
      <c r="D1363" s="2">
        <v>0.49456018518518519</v>
      </c>
      <c r="G1363" s="4">
        <v>19835498</v>
      </c>
      <c r="H1363">
        <v>1</v>
      </c>
      <c r="J1363">
        <v>9808221</v>
      </c>
      <c r="K1363">
        <v>1</v>
      </c>
    </row>
    <row r="1364" spans="1:11" x14ac:dyDescent="0.25">
      <c r="A1364">
        <v>9156106</v>
      </c>
      <c r="B1364" s="1">
        <v>42936</v>
      </c>
      <c r="C1364" s="2">
        <v>0.49103009259259262</v>
      </c>
      <c r="D1364" s="2">
        <v>0.4937037037037037</v>
      </c>
      <c r="G1364" s="4">
        <v>20149106</v>
      </c>
      <c r="H1364">
        <v>1</v>
      </c>
      <c r="J1364">
        <v>9827875</v>
      </c>
      <c r="K1364">
        <v>1</v>
      </c>
    </row>
    <row r="1365" spans="1:11" x14ac:dyDescent="0.25">
      <c r="A1365">
        <v>7076463</v>
      </c>
      <c r="B1365" s="1">
        <v>42936</v>
      </c>
      <c r="C1365" s="2">
        <v>0.49519675925925927</v>
      </c>
      <c r="D1365" s="2">
        <v>0.49532407407407408</v>
      </c>
      <c r="G1365" s="4">
        <v>20220216</v>
      </c>
      <c r="H1365">
        <v>1</v>
      </c>
      <c r="J1365">
        <v>9849476</v>
      </c>
      <c r="K1365">
        <v>1</v>
      </c>
    </row>
    <row r="1366" spans="1:11" x14ac:dyDescent="0.25">
      <c r="A1366">
        <v>3136675</v>
      </c>
      <c r="B1366" s="1">
        <v>42936</v>
      </c>
      <c r="C1366" s="2">
        <v>0.49833333333333335</v>
      </c>
      <c r="D1366" s="2">
        <v>0.50942129629629629</v>
      </c>
      <c r="G1366" s="4">
        <v>20349502</v>
      </c>
      <c r="H1366">
        <v>1</v>
      </c>
      <c r="J1366">
        <v>9853612</v>
      </c>
      <c r="K1366">
        <v>1</v>
      </c>
    </row>
    <row r="1367" spans="1:11" x14ac:dyDescent="0.25">
      <c r="A1367">
        <v>7826456</v>
      </c>
      <c r="B1367" s="1">
        <v>42936</v>
      </c>
      <c r="C1367" s="2">
        <v>0.50298611111111113</v>
      </c>
      <c r="D1367" s="2">
        <v>0.50312500000000004</v>
      </c>
      <c r="G1367" s="4">
        <v>20354301</v>
      </c>
      <c r="H1367">
        <v>1</v>
      </c>
      <c r="J1367">
        <v>9861652</v>
      </c>
      <c r="K1367">
        <v>1</v>
      </c>
    </row>
    <row r="1368" spans="1:11" x14ac:dyDescent="0.25">
      <c r="A1368">
        <v>4094662</v>
      </c>
      <c r="B1368" s="1">
        <v>42936</v>
      </c>
      <c r="C1368" s="2">
        <v>0.50581018518518517</v>
      </c>
      <c r="D1368" s="2">
        <v>0.51442129629629629</v>
      </c>
      <c r="G1368" s="4">
        <v>20424852</v>
      </c>
      <c r="H1368">
        <v>1</v>
      </c>
      <c r="J1368">
        <v>9864502</v>
      </c>
      <c r="K1368">
        <v>1</v>
      </c>
    </row>
    <row r="1369" spans="1:11" x14ac:dyDescent="0.25">
      <c r="A1369">
        <v>3134379</v>
      </c>
      <c r="B1369" s="1">
        <v>42936</v>
      </c>
      <c r="C1369" s="2">
        <v>0.508275462962963</v>
      </c>
      <c r="D1369" s="2">
        <v>0.51652777777777781</v>
      </c>
      <c r="G1369" s="4">
        <v>20485333</v>
      </c>
      <c r="H1369">
        <v>1</v>
      </c>
      <c r="J1369">
        <v>9865524</v>
      </c>
      <c r="K1369">
        <v>1</v>
      </c>
    </row>
    <row r="1370" spans="1:11" x14ac:dyDescent="0.25">
      <c r="A1370">
        <v>1119016</v>
      </c>
      <c r="B1370" s="1">
        <v>42936</v>
      </c>
      <c r="C1370" s="2">
        <v>0.50880787037037034</v>
      </c>
      <c r="D1370" s="2">
        <v>0.51409722222222221</v>
      </c>
      <c r="G1370" s="4">
        <v>20679187</v>
      </c>
      <c r="H1370">
        <v>3</v>
      </c>
      <c r="J1370">
        <v>9866204</v>
      </c>
      <c r="K1370">
        <v>1</v>
      </c>
    </row>
    <row r="1371" spans="1:11" x14ac:dyDescent="0.25">
      <c r="A1371">
        <v>3539762</v>
      </c>
      <c r="B1371" s="1">
        <v>42936</v>
      </c>
      <c r="C1371" s="2">
        <v>0.51028935185185187</v>
      </c>
      <c r="D1371" s="2">
        <v>0.52089120370370368</v>
      </c>
      <c r="G1371" s="4">
        <v>20735440</v>
      </c>
      <c r="H1371">
        <v>1</v>
      </c>
      <c r="J1371">
        <v>9866373</v>
      </c>
      <c r="K1371">
        <v>1</v>
      </c>
    </row>
    <row r="1372" spans="1:11" x14ac:dyDescent="0.25">
      <c r="A1372">
        <v>28601187</v>
      </c>
      <c r="B1372" s="1">
        <v>42936</v>
      </c>
      <c r="C1372" s="2">
        <v>0.51511574074074074</v>
      </c>
      <c r="D1372" s="2">
        <v>0.51787037037037043</v>
      </c>
      <c r="G1372" s="4">
        <v>21303266</v>
      </c>
      <c r="H1372">
        <v>1</v>
      </c>
      <c r="J1372">
        <v>9870841</v>
      </c>
      <c r="K1372">
        <v>1</v>
      </c>
    </row>
    <row r="1373" spans="1:11" x14ac:dyDescent="0.25">
      <c r="A1373">
        <v>2841969</v>
      </c>
      <c r="B1373" s="1">
        <v>42936</v>
      </c>
      <c r="C1373" s="2">
        <v>0.51512731481481477</v>
      </c>
      <c r="D1373" s="2">
        <v>0.51556712962962958</v>
      </c>
      <c r="G1373" s="4">
        <v>21677804</v>
      </c>
      <c r="H1373">
        <v>1</v>
      </c>
      <c r="J1373">
        <v>9872216</v>
      </c>
      <c r="K1373">
        <v>1</v>
      </c>
    </row>
    <row r="1374" spans="1:11" x14ac:dyDescent="0.25">
      <c r="A1374">
        <v>57957786</v>
      </c>
      <c r="B1374" s="1">
        <v>42936</v>
      </c>
      <c r="C1374" s="2">
        <v>0.51928240740740739</v>
      </c>
      <c r="D1374" s="2">
        <v>0.53030092592592593</v>
      </c>
      <c r="G1374" s="4">
        <v>21681406</v>
      </c>
      <c r="H1374">
        <v>1</v>
      </c>
      <c r="J1374">
        <v>9874705</v>
      </c>
      <c r="K1374">
        <v>1</v>
      </c>
    </row>
    <row r="1375" spans="1:11" x14ac:dyDescent="0.25">
      <c r="A1375">
        <v>6068132</v>
      </c>
      <c r="B1375" s="1">
        <v>42936</v>
      </c>
      <c r="C1375" s="2">
        <v>0.52225694444444448</v>
      </c>
      <c r="D1375" s="2">
        <v>0.5236574074074074</v>
      </c>
      <c r="G1375" s="4">
        <v>21996267</v>
      </c>
      <c r="H1375">
        <v>1</v>
      </c>
      <c r="J1375">
        <v>9878283</v>
      </c>
      <c r="K1375">
        <v>1</v>
      </c>
    </row>
    <row r="1376" spans="1:11" x14ac:dyDescent="0.25">
      <c r="A1376">
        <v>8195842</v>
      </c>
      <c r="B1376" s="1">
        <v>42936</v>
      </c>
      <c r="C1376" s="2">
        <v>0.52240740740740743</v>
      </c>
      <c r="D1376" s="2">
        <v>0.53074074074074074</v>
      </c>
      <c r="G1376" s="4">
        <v>22176115</v>
      </c>
      <c r="H1376">
        <v>1</v>
      </c>
      <c r="J1376">
        <v>9892639</v>
      </c>
      <c r="K1376">
        <v>1</v>
      </c>
    </row>
    <row r="1377" spans="1:11" x14ac:dyDescent="0.25">
      <c r="A1377">
        <v>98737794</v>
      </c>
      <c r="B1377" s="1">
        <v>42936</v>
      </c>
      <c r="C1377" s="2">
        <v>0.52379629629629632</v>
      </c>
      <c r="D1377" s="2">
        <v>0.52883101851851855</v>
      </c>
      <c r="G1377" s="4">
        <v>22266436</v>
      </c>
      <c r="H1377">
        <v>1</v>
      </c>
      <c r="J1377">
        <v>9894723</v>
      </c>
      <c r="K1377">
        <v>1</v>
      </c>
    </row>
    <row r="1378" spans="1:11" x14ac:dyDescent="0.25">
      <c r="A1378">
        <v>6523054</v>
      </c>
      <c r="B1378" s="1">
        <v>42936</v>
      </c>
      <c r="C1378" s="2">
        <v>0.52813657407407411</v>
      </c>
      <c r="D1378" s="2">
        <v>0.53877314814814814</v>
      </c>
      <c r="G1378" s="4">
        <v>22416837</v>
      </c>
      <c r="H1378">
        <v>1</v>
      </c>
      <c r="J1378">
        <v>9905075</v>
      </c>
      <c r="K1378">
        <v>1</v>
      </c>
    </row>
    <row r="1379" spans="1:11" x14ac:dyDescent="0.25">
      <c r="A1379">
        <v>26895957</v>
      </c>
      <c r="B1379" s="1">
        <v>42936</v>
      </c>
      <c r="C1379" s="2">
        <v>0.53083333333333338</v>
      </c>
      <c r="D1379" s="2">
        <v>0.53511574074074075</v>
      </c>
      <c r="G1379" s="4">
        <v>22583033</v>
      </c>
      <c r="H1379">
        <v>1</v>
      </c>
      <c r="J1379">
        <v>9926754</v>
      </c>
      <c r="K1379">
        <v>1</v>
      </c>
    </row>
    <row r="1380" spans="1:11" x14ac:dyDescent="0.25">
      <c r="A1380">
        <v>5254694</v>
      </c>
      <c r="B1380" s="1">
        <v>42936</v>
      </c>
      <c r="C1380" s="2">
        <v>0.5330555555555555</v>
      </c>
      <c r="D1380" s="2">
        <v>0.54049768518518515</v>
      </c>
      <c r="G1380" s="4">
        <v>22747425</v>
      </c>
      <c r="H1380">
        <v>2</v>
      </c>
      <c r="J1380">
        <v>9932676</v>
      </c>
      <c r="K1380">
        <v>1</v>
      </c>
    </row>
    <row r="1381" spans="1:11" x14ac:dyDescent="0.25">
      <c r="A1381">
        <v>3979680</v>
      </c>
      <c r="B1381" s="1">
        <v>42936</v>
      </c>
      <c r="C1381" s="2">
        <v>0.53820601851851857</v>
      </c>
      <c r="D1381" s="2">
        <v>0.54369212962962965</v>
      </c>
      <c r="G1381" s="4">
        <v>22966872</v>
      </c>
      <c r="H1381">
        <v>1</v>
      </c>
      <c r="J1381">
        <v>9937257</v>
      </c>
      <c r="K1381">
        <v>1</v>
      </c>
    </row>
    <row r="1382" spans="1:11" x14ac:dyDescent="0.25">
      <c r="A1382">
        <v>96424596</v>
      </c>
      <c r="B1382" s="1">
        <v>42936</v>
      </c>
      <c r="C1382" s="2">
        <v>0.53964120370370372</v>
      </c>
      <c r="D1382" s="2">
        <v>0.54423611111111114</v>
      </c>
      <c r="G1382" s="4">
        <v>23123600</v>
      </c>
      <c r="H1382">
        <v>2</v>
      </c>
      <c r="J1382">
        <v>9948096</v>
      </c>
      <c r="K1382">
        <v>1</v>
      </c>
    </row>
    <row r="1383" spans="1:11" x14ac:dyDescent="0.25">
      <c r="A1383">
        <v>4923459</v>
      </c>
      <c r="B1383" s="1">
        <v>42936</v>
      </c>
      <c r="C1383" s="2">
        <v>0.54450231481481481</v>
      </c>
      <c r="D1383" s="2">
        <v>0.55406250000000001</v>
      </c>
      <c r="G1383" s="4">
        <v>23300236</v>
      </c>
      <c r="H1383">
        <v>1</v>
      </c>
      <c r="J1383">
        <v>9950462</v>
      </c>
      <c r="K1383">
        <v>1</v>
      </c>
    </row>
    <row r="1384" spans="1:11" x14ac:dyDescent="0.25">
      <c r="A1384">
        <v>6719542</v>
      </c>
      <c r="B1384" s="1">
        <v>42936</v>
      </c>
      <c r="C1384" s="2">
        <v>0.54556712962962961</v>
      </c>
      <c r="D1384" s="2">
        <v>0.54894675925925929</v>
      </c>
      <c r="G1384" s="4">
        <v>23368531</v>
      </c>
      <c r="H1384">
        <v>1</v>
      </c>
      <c r="J1384">
        <v>9953379</v>
      </c>
      <c r="K1384">
        <v>1</v>
      </c>
    </row>
    <row r="1385" spans="1:11" x14ac:dyDescent="0.25">
      <c r="A1385">
        <v>81218024</v>
      </c>
      <c r="B1385" s="1">
        <v>42936</v>
      </c>
      <c r="C1385" s="2">
        <v>0.54946759259259259</v>
      </c>
      <c r="D1385" s="2">
        <v>0.55583333333333329</v>
      </c>
      <c r="G1385" s="4">
        <v>23504109</v>
      </c>
      <c r="H1385">
        <v>1</v>
      </c>
      <c r="J1385">
        <v>9961121</v>
      </c>
      <c r="K1385">
        <v>1</v>
      </c>
    </row>
    <row r="1386" spans="1:11" x14ac:dyDescent="0.25">
      <c r="A1386">
        <v>6552755</v>
      </c>
      <c r="B1386" s="1">
        <v>42936</v>
      </c>
      <c r="C1386" s="2">
        <v>0.55306712962962967</v>
      </c>
      <c r="D1386" s="2">
        <v>0.56304398148148149</v>
      </c>
      <c r="G1386" s="4">
        <v>23580194</v>
      </c>
      <c r="H1386">
        <v>1</v>
      </c>
      <c r="J1386">
        <v>9967649</v>
      </c>
      <c r="K1386">
        <v>1</v>
      </c>
    </row>
    <row r="1387" spans="1:11" x14ac:dyDescent="0.25">
      <c r="A1387">
        <v>44017210</v>
      </c>
      <c r="B1387" s="1">
        <v>42936</v>
      </c>
      <c r="C1387" s="2">
        <v>0.55476851851851849</v>
      </c>
      <c r="D1387" s="2">
        <v>0.56596064814814817</v>
      </c>
      <c r="G1387" s="4">
        <v>23715237</v>
      </c>
      <c r="H1387">
        <v>1</v>
      </c>
      <c r="J1387">
        <v>9975967</v>
      </c>
      <c r="K1387">
        <v>1</v>
      </c>
    </row>
    <row r="1388" spans="1:11" x14ac:dyDescent="0.25">
      <c r="A1388">
        <v>8679036</v>
      </c>
      <c r="B1388" s="1">
        <v>42936</v>
      </c>
      <c r="C1388" s="2">
        <v>0.55827546296296293</v>
      </c>
      <c r="D1388" s="2">
        <v>0.55864583333333329</v>
      </c>
      <c r="G1388" s="4">
        <v>24024164</v>
      </c>
      <c r="H1388">
        <v>1</v>
      </c>
      <c r="J1388">
        <v>9975977</v>
      </c>
      <c r="K1388">
        <v>1</v>
      </c>
    </row>
    <row r="1389" spans="1:11" x14ac:dyDescent="0.25">
      <c r="A1389">
        <v>64733982</v>
      </c>
      <c r="B1389" s="1">
        <v>42936</v>
      </c>
      <c r="C1389" s="2">
        <v>0.56180555555555556</v>
      </c>
      <c r="D1389" s="2">
        <v>0.56400462962962961</v>
      </c>
      <c r="G1389" s="4">
        <v>24290062</v>
      </c>
      <c r="H1389">
        <v>2</v>
      </c>
      <c r="J1389">
        <v>9979899</v>
      </c>
      <c r="K1389">
        <v>1</v>
      </c>
    </row>
    <row r="1390" spans="1:11" x14ac:dyDescent="0.25">
      <c r="A1390">
        <v>2289072</v>
      </c>
      <c r="B1390" s="1">
        <v>42936</v>
      </c>
      <c r="C1390" s="2">
        <v>0.56320601851851848</v>
      </c>
      <c r="D1390" s="2">
        <v>0.57020833333333332</v>
      </c>
      <c r="G1390" s="4">
        <v>24454566</v>
      </c>
      <c r="H1390">
        <v>1</v>
      </c>
      <c r="J1390">
        <v>9983997</v>
      </c>
      <c r="K1390">
        <v>1</v>
      </c>
    </row>
    <row r="1391" spans="1:11" x14ac:dyDescent="0.25">
      <c r="A1391">
        <v>71730854</v>
      </c>
      <c r="B1391" s="1">
        <v>42936</v>
      </c>
      <c r="C1391" s="2">
        <v>0.56537037037037041</v>
      </c>
      <c r="D1391" s="2">
        <v>0.57611111111111113</v>
      </c>
      <c r="G1391" s="4">
        <v>24665933</v>
      </c>
      <c r="H1391">
        <v>2</v>
      </c>
      <c r="J1391">
        <v>10093488</v>
      </c>
      <c r="K1391">
        <v>1</v>
      </c>
    </row>
    <row r="1392" spans="1:11" x14ac:dyDescent="0.25">
      <c r="A1392">
        <v>3757504</v>
      </c>
      <c r="B1392" s="1">
        <v>42936</v>
      </c>
      <c r="C1392" s="2">
        <v>0.57105324074074071</v>
      </c>
      <c r="D1392" s="2">
        <v>0.57465277777777779</v>
      </c>
      <c r="G1392" s="4">
        <v>24724114</v>
      </c>
      <c r="H1392">
        <v>1</v>
      </c>
      <c r="J1392">
        <v>10201038</v>
      </c>
      <c r="K1392">
        <v>1</v>
      </c>
    </row>
    <row r="1393" spans="1:11" x14ac:dyDescent="0.25">
      <c r="A1393">
        <v>8501225</v>
      </c>
      <c r="B1393" s="1">
        <v>42936</v>
      </c>
      <c r="C1393" s="2">
        <v>0.57517361111111109</v>
      </c>
      <c r="D1393" s="2">
        <v>0.57784722222222218</v>
      </c>
      <c r="G1393" s="4">
        <v>24724570</v>
      </c>
      <c r="H1393">
        <v>1</v>
      </c>
      <c r="J1393">
        <v>10760583</v>
      </c>
      <c r="K1393">
        <v>1</v>
      </c>
    </row>
    <row r="1394" spans="1:11" x14ac:dyDescent="0.25">
      <c r="A1394">
        <v>3704193</v>
      </c>
      <c r="B1394" s="1">
        <v>42936</v>
      </c>
      <c r="C1394" s="2">
        <v>0.57671296296296293</v>
      </c>
      <c r="D1394" s="2">
        <v>0.58539351851851851</v>
      </c>
      <c r="G1394" s="4">
        <v>24850212</v>
      </c>
      <c r="H1394">
        <v>1</v>
      </c>
      <c r="J1394">
        <v>11070759</v>
      </c>
      <c r="K1394">
        <v>1</v>
      </c>
    </row>
    <row r="1395" spans="1:11" x14ac:dyDescent="0.25">
      <c r="A1395">
        <v>4577789</v>
      </c>
      <c r="B1395" s="1">
        <v>42936</v>
      </c>
      <c r="C1395" s="2">
        <v>0.57781249999999995</v>
      </c>
      <c r="D1395" s="2">
        <v>0.57953703703703707</v>
      </c>
      <c r="G1395" s="4">
        <v>25133293</v>
      </c>
      <c r="H1395">
        <v>1</v>
      </c>
      <c r="J1395">
        <v>11209967</v>
      </c>
      <c r="K1395">
        <v>1</v>
      </c>
    </row>
    <row r="1396" spans="1:11" x14ac:dyDescent="0.25">
      <c r="A1396">
        <v>5730350</v>
      </c>
      <c r="B1396" s="1">
        <v>42936</v>
      </c>
      <c r="C1396" s="2">
        <v>0.58206018518518521</v>
      </c>
      <c r="D1396" s="2">
        <v>0.59037037037037032</v>
      </c>
      <c r="G1396" s="4">
        <v>25147401</v>
      </c>
      <c r="H1396">
        <v>1</v>
      </c>
      <c r="J1396">
        <v>11425383</v>
      </c>
      <c r="K1396">
        <v>1</v>
      </c>
    </row>
    <row r="1397" spans="1:11" x14ac:dyDescent="0.25">
      <c r="A1397">
        <v>8953850</v>
      </c>
      <c r="B1397" s="1">
        <v>42936</v>
      </c>
      <c r="C1397" s="2">
        <v>0.58328703703703699</v>
      </c>
      <c r="D1397" s="2">
        <v>0.5920023148148148</v>
      </c>
      <c r="G1397" s="4">
        <v>25194612</v>
      </c>
      <c r="H1397">
        <v>1</v>
      </c>
      <c r="J1397">
        <v>12377650</v>
      </c>
      <c r="K1397">
        <v>1</v>
      </c>
    </row>
    <row r="1398" spans="1:11" x14ac:dyDescent="0.25">
      <c r="A1398">
        <v>3109133</v>
      </c>
      <c r="B1398" s="1">
        <v>42936</v>
      </c>
      <c r="C1398" s="2">
        <v>0.58564814814814814</v>
      </c>
      <c r="D1398" s="2">
        <v>0.58964120370370365</v>
      </c>
      <c r="G1398" s="4">
        <v>25240352</v>
      </c>
      <c r="H1398">
        <v>1</v>
      </c>
      <c r="J1398">
        <v>12471534</v>
      </c>
      <c r="K1398">
        <v>1</v>
      </c>
    </row>
    <row r="1399" spans="1:11" x14ac:dyDescent="0.25">
      <c r="A1399">
        <v>3382699</v>
      </c>
      <c r="B1399" s="1">
        <v>42936</v>
      </c>
      <c r="C1399" s="2">
        <v>0.59053240740740742</v>
      </c>
      <c r="D1399" s="2">
        <v>0.59318287037037032</v>
      </c>
      <c r="G1399" s="4">
        <v>25459710</v>
      </c>
      <c r="H1399">
        <v>1</v>
      </c>
      <c r="J1399">
        <v>12687991</v>
      </c>
      <c r="K1399">
        <v>1</v>
      </c>
    </row>
    <row r="1400" spans="1:11" x14ac:dyDescent="0.25">
      <c r="A1400">
        <v>9132555</v>
      </c>
      <c r="B1400" s="1">
        <v>42936</v>
      </c>
      <c r="C1400" s="2">
        <v>0.59621527777777783</v>
      </c>
      <c r="D1400" s="2">
        <v>0.59906250000000005</v>
      </c>
      <c r="G1400" s="4">
        <v>25545000</v>
      </c>
      <c r="H1400">
        <v>1</v>
      </c>
      <c r="J1400">
        <v>12721215</v>
      </c>
      <c r="K1400">
        <v>1</v>
      </c>
    </row>
    <row r="1401" spans="1:11" x14ac:dyDescent="0.25">
      <c r="A1401">
        <v>5016981</v>
      </c>
      <c r="B1401" s="1">
        <v>42936</v>
      </c>
      <c r="C1401" s="2">
        <v>0.59693287037037035</v>
      </c>
      <c r="D1401" s="2">
        <v>0.59743055555555558</v>
      </c>
      <c r="G1401" s="4">
        <v>25574074</v>
      </c>
      <c r="H1401">
        <v>1</v>
      </c>
      <c r="J1401">
        <v>12919749</v>
      </c>
      <c r="K1401">
        <v>1</v>
      </c>
    </row>
    <row r="1402" spans="1:11" x14ac:dyDescent="0.25">
      <c r="A1402">
        <v>1294973</v>
      </c>
      <c r="B1402" s="1">
        <v>42936</v>
      </c>
      <c r="C1402" s="2">
        <v>0.59783564814814816</v>
      </c>
      <c r="D1402" s="2">
        <v>0.60715277777777776</v>
      </c>
      <c r="G1402" s="4">
        <v>25581178</v>
      </c>
      <c r="H1402">
        <v>1</v>
      </c>
      <c r="J1402">
        <v>13221411</v>
      </c>
      <c r="K1402">
        <v>1</v>
      </c>
    </row>
    <row r="1403" spans="1:11" x14ac:dyDescent="0.25">
      <c r="A1403">
        <v>7769531</v>
      </c>
      <c r="B1403" s="1">
        <v>42936</v>
      </c>
      <c r="C1403" s="2">
        <v>0.60048611111111116</v>
      </c>
      <c r="D1403" s="2">
        <v>0.60371527777777778</v>
      </c>
      <c r="G1403" s="4">
        <v>26204415</v>
      </c>
      <c r="H1403">
        <v>3</v>
      </c>
      <c r="J1403">
        <v>13494237</v>
      </c>
      <c r="K1403">
        <v>1</v>
      </c>
    </row>
    <row r="1404" spans="1:11" x14ac:dyDescent="0.25">
      <c r="A1404">
        <v>1068000</v>
      </c>
      <c r="B1404" s="1">
        <v>42936</v>
      </c>
      <c r="C1404" s="2">
        <v>0.60251157407407407</v>
      </c>
      <c r="D1404" s="2">
        <v>0.60608796296296297</v>
      </c>
      <c r="G1404" s="4">
        <v>26254490</v>
      </c>
      <c r="H1404">
        <v>1</v>
      </c>
      <c r="J1404">
        <v>13588783</v>
      </c>
      <c r="K1404">
        <v>1</v>
      </c>
    </row>
    <row r="1405" spans="1:11" x14ac:dyDescent="0.25">
      <c r="A1405">
        <v>1467591</v>
      </c>
      <c r="B1405" s="1">
        <v>42936</v>
      </c>
      <c r="C1405" s="2">
        <v>0.60277777777777775</v>
      </c>
      <c r="D1405" s="2">
        <v>0.61222222222222222</v>
      </c>
      <c r="G1405" s="4">
        <v>26463662</v>
      </c>
      <c r="H1405">
        <v>1</v>
      </c>
      <c r="J1405">
        <v>13639748</v>
      </c>
      <c r="K1405">
        <v>1</v>
      </c>
    </row>
    <row r="1406" spans="1:11" x14ac:dyDescent="0.25">
      <c r="A1406">
        <v>5980925</v>
      </c>
      <c r="B1406" s="1">
        <v>42936</v>
      </c>
      <c r="C1406" s="2">
        <v>0.60282407407407412</v>
      </c>
      <c r="D1406" s="2">
        <v>0.61041666666666672</v>
      </c>
      <c r="G1406" s="4">
        <v>26699217</v>
      </c>
      <c r="H1406">
        <v>1</v>
      </c>
      <c r="J1406">
        <v>13674393</v>
      </c>
      <c r="K1406">
        <v>1</v>
      </c>
    </row>
    <row r="1407" spans="1:11" x14ac:dyDescent="0.25">
      <c r="A1407">
        <v>9905075</v>
      </c>
      <c r="B1407" s="1">
        <v>42936</v>
      </c>
      <c r="C1407" s="2">
        <v>0.60693287037037036</v>
      </c>
      <c r="D1407" s="2">
        <v>0.61001157407407403</v>
      </c>
      <c r="G1407" s="4">
        <v>26766818</v>
      </c>
      <c r="H1407">
        <v>1</v>
      </c>
      <c r="J1407">
        <v>13898038</v>
      </c>
      <c r="K1407">
        <v>1</v>
      </c>
    </row>
    <row r="1408" spans="1:11" x14ac:dyDescent="0.25">
      <c r="A1408">
        <v>1043289</v>
      </c>
      <c r="B1408" s="1">
        <v>42936</v>
      </c>
      <c r="C1408" s="2">
        <v>0.60990740740740745</v>
      </c>
      <c r="D1408" s="2">
        <v>0.61383101851851851</v>
      </c>
      <c r="G1408" s="4">
        <v>26891502</v>
      </c>
      <c r="H1408">
        <v>1</v>
      </c>
      <c r="J1408">
        <v>13972929</v>
      </c>
      <c r="K1408">
        <v>1</v>
      </c>
    </row>
    <row r="1409" spans="1:11" x14ac:dyDescent="0.25">
      <c r="A1409">
        <v>8252939</v>
      </c>
      <c r="B1409" s="1">
        <v>42936</v>
      </c>
      <c r="C1409" s="2">
        <v>0.61320601851851853</v>
      </c>
      <c r="D1409" s="2">
        <v>0.62115740740740744</v>
      </c>
      <c r="G1409" s="4">
        <v>26895957</v>
      </c>
      <c r="H1409">
        <v>1</v>
      </c>
      <c r="J1409">
        <v>14201334</v>
      </c>
      <c r="K1409">
        <v>1</v>
      </c>
    </row>
    <row r="1410" spans="1:11" x14ac:dyDescent="0.25">
      <c r="A1410">
        <v>67748426</v>
      </c>
      <c r="B1410" s="1">
        <v>42936</v>
      </c>
      <c r="C1410" s="2">
        <v>0.61535879629629631</v>
      </c>
      <c r="D1410" s="2">
        <v>0.62503472222222223</v>
      </c>
      <c r="G1410" s="4">
        <v>27410048</v>
      </c>
      <c r="H1410">
        <v>1</v>
      </c>
      <c r="J1410">
        <v>14919021</v>
      </c>
      <c r="K1410">
        <v>1</v>
      </c>
    </row>
    <row r="1411" spans="1:11" x14ac:dyDescent="0.25">
      <c r="A1411">
        <v>4376637</v>
      </c>
      <c r="B1411" s="1">
        <v>42936</v>
      </c>
      <c r="C1411" s="2">
        <v>0.61559027777777775</v>
      </c>
      <c r="D1411" s="2">
        <v>0.62532407407407409</v>
      </c>
      <c r="G1411" s="4">
        <v>27487200</v>
      </c>
      <c r="H1411">
        <v>1</v>
      </c>
      <c r="J1411">
        <v>15643568</v>
      </c>
      <c r="K1411">
        <v>1</v>
      </c>
    </row>
    <row r="1412" spans="1:11" x14ac:dyDescent="0.25">
      <c r="A1412">
        <v>6426011</v>
      </c>
      <c r="B1412" s="1">
        <v>42936</v>
      </c>
      <c r="C1412" s="2">
        <v>0.62078703703703708</v>
      </c>
      <c r="D1412" s="2">
        <v>0.62863425925925931</v>
      </c>
      <c r="G1412" s="4">
        <v>27610972</v>
      </c>
      <c r="H1412">
        <v>1</v>
      </c>
      <c r="J1412">
        <v>16303399</v>
      </c>
      <c r="K1412">
        <v>1</v>
      </c>
    </row>
    <row r="1413" spans="1:11" x14ac:dyDescent="0.25">
      <c r="A1413">
        <v>9137235</v>
      </c>
      <c r="B1413" s="1">
        <v>42936</v>
      </c>
      <c r="C1413" s="2">
        <v>0.62524305555555559</v>
      </c>
      <c r="D1413" s="2">
        <v>0.62846064814814817</v>
      </c>
      <c r="G1413" s="4">
        <v>27684909</v>
      </c>
      <c r="H1413">
        <v>1</v>
      </c>
      <c r="J1413">
        <v>16392077</v>
      </c>
      <c r="K1413">
        <v>1</v>
      </c>
    </row>
    <row r="1414" spans="1:11" x14ac:dyDescent="0.25">
      <c r="A1414">
        <v>6735390</v>
      </c>
      <c r="B1414" s="1">
        <v>42937</v>
      </c>
      <c r="C1414" s="2">
        <v>0.33421296296296299</v>
      </c>
      <c r="D1414" s="2">
        <v>0.33674768518518516</v>
      </c>
      <c r="G1414" s="4">
        <v>27791497</v>
      </c>
      <c r="H1414">
        <v>3</v>
      </c>
      <c r="J1414">
        <v>16527855</v>
      </c>
      <c r="K1414">
        <v>1</v>
      </c>
    </row>
    <row r="1415" spans="1:11" x14ac:dyDescent="0.25">
      <c r="A1415">
        <v>7151490</v>
      </c>
      <c r="B1415" s="1">
        <v>42937</v>
      </c>
      <c r="C1415" s="2">
        <v>0.33513888888888888</v>
      </c>
      <c r="D1415" s="2">
        <v>0.33787037037037038</v>
      </c>
      <c r="G1415" s="4">
        <v>27798660</v>
      </c>
      <c r="H1415">
        <v>1</v>
      </c>
      <c r="J1415">
        <v>16580449</v>
      </c>
      <c r="K1415">
        <v>1</v>
      </c>
    </row>
    <row r="1416" spans="1:11" x14ac:dyDescent="0.25">
      <c r="A1416">
        <v>5138547</v>
      </c>
      <c r="B1416" s="1">
        <v>42937</v>
      </c>
      <c r="C1416" s="2">
        <v>0.33642361111111113</v>
      </c>
      <c r="D1416" s="2">
        <v>0.33778935185185183</v>
      </c>
      <c r="G1416" s="4">
        <v>27858818</v>
      </c>
      <c r="H1416">
        <v>1</v>
      </c>
      <c r="J1416">
        <v>16592072</v>
      </c>
      <c r="K1416">
        <v>1</v>
      </c>
    </row>
    <row r="1417" spans="1:11" x14ac:dyDescent="0.25">
      <c r="A1417">
        <v>79212542</v>
      </c>
      <c r="B1417" s="1">
        <v>42937</v>
      </c>
      <c r="C1417" s="2">
        <v>0.34157407407407409</v>
      </c>
      <c r="D1417" s="2">
        <v>0.34684027777777776</v>
      </c>
      <c r="G1417" s="4">
        <v>28145499</v>
      </c>
      <c r="H1417">
        <v>1</v>
      </c>
      <c r="J1417">
        <v>16724936</v>
      </c>
      <c r="K1417">
        <v>1</v>
      </c>
    </row>
    <row r="1418" spans="1:11" x14ac:dyDescent="0.25">
      <c r="A1418">
        <v>1507196</v>
      </c>
      <c r="B1418" s="1">
        <v>42937</v>
      </c>
      <c r="C1418" s="2">
        <v>0.34197916666666667</v>
      </c>
      <c r="D1418" s="2">
        <v>0.3460300925925926</v>
      </c>
      <c r="G1418" s="4">
        <v>28185580</v>
      </c>
      <c r="H1418">
        <v>1</v>
      </c>
      <c r="J1418">
        <v>16775888</v>
      </c>
      <c r="K1418">
        <v>1</v>
      </c>
    </row>
    <row r="1419" spans="1:11" x14ac:dyDescent="0.25">
      <c r="A1419">
        <v>8362094</v>
      </c>
      <c r="B1419" s="1">
        <v>42937</v>
      </c>
      <c r="C1419" s="2">
        <v>0.34567129629629628</v>
      </c>
      <c r="D1419" s="2">
        <v>0.34745370370370371</v>
      </c>
      <c r="G1419" s="4">
        <v>28282891</v>
      </c>
      <c r="H1419">
        <v>1</v>
      </c>
      <c r="J1419">
        <v>16883712</v>
      </c>
      <c r="K1419">
        <v>1</v>
      </c>
    </row>
    <row r="1420" spans="1:11" x14ac:dyDescent="0.25">
      <c r="A1420">
        <v>5379981</v>
      </c>
      <c r="B1420" s="1">
        <v>42937</v>
      </c>
      <c r="C1420" s="2">
        <v>0.34690972222222222</v>
      </c>
      <c r="D1420" s="2">
        <v>0.35206018518518517</v>
      </c>
      <c r="G1420" s="4">
        <v>28601187</v>
      </c>
      <c r="H1420">
        <v>1</v>
      </c>
      <c r="J1420">
        <v>16977213</v>
      </c>
      <c r="K1420">
        <v>1</v>
      </c>
    </row>
    <row r="1421" spans="1:11" x14ac:dyDescent="0.25">
      <c r="A1421">
        <v>4960672</v>
      </c>
      <c r="B1421" s="1">
        <v>42937</v>
      </c>
      <c r="C1421" s="2">
        <v>0.34745370370370371</v>
      </c>
      <c r="D1421" s="2">
        <v>0.3526273148148148</v>
      </c>
      <c r="G1421" s="4">
        <v>28791070</v>
      </c>
      <c r="H1421">
        <v>1</v>
      </c>
      <c r="J1421">
        <v>16999529</v>
      </c>
      <c r="K1421">
        <v>1</v>
      </c>
    </row>
    <row r="1422" spans="1:11" x14ac:dyDescent="0.25">
      <c r="A1422">
        <v>9052582</v>
      </c>
      <c r="B1422" s="1">
        <v>42937</v>
      </c>
      <c r="C1422" s="2">
        <v>0.34961805555555553</v>
      </c>
      <c r="D1422" s="2">
        <v>0.3535300925925926</v>
      </c>
      <c r="G1422" s="4">
        <v>28961250</v>
      </c>
      <c r="H1422">
        <v>2</v>
      </c>
      <c r="J1422">
        <v>17005785</v>
      </c>
      <c r="K1422">
        <v>1</v>
      </c>
    </row>
    <row r="1423" spans="1:11" x14ac:dyDescent="0.25">
      <c r="A1423">
        <v>2054346</v>
      </c>
      <c r="B1423" s="1">
        <v>42937</v>
      </c>
      <c r="C1423" s="2">
        <v>0.35003472222222221</v>
      </c>
      <c r="D1423" s="2">
        <v>0.35540509259259262</v>
      </c>
      <c r="G1423" s="4">
        <v>29121099</v>
      </c>
      <c r="H1423">
        <v>1</v>
      </c>
      <c r="J1423">
        <v>17314583</v>
      </c>
      <c r="K1423">
        <v>1</v>
      </c>
    </row>
    <row r="1424" spans="1:11" x14ac:dyDescent="0.25">
      <c r="A1424">
        <v>6070136</v>
      </c>
      <c r="B1424" s="1">
        <v>42937</v>
      </c>
      <c r="C1424" s="2">
        <v>0.3515625</v>
      </c>
      <c r="D1424" s="2">
        <v>0.35299768518518521</v>
      </c>
      <c r="G1424" s="4">
        <v>29391132</v>
      </c>
      <c r="H1424">
        <v>1</v>
      </c>
      <c r="J1424">
        <v>17490780</v>
      </c>
      <c r="K1424">
        <v>1</v>
      </c>
    </row>
    <row r="1425" spans="1:11" x14ac:dyDescent="0.25">
      <c r="A1425">
        <v>3086185</v>
      </c>
      <c r="B1425" s="1">
        <v>42937</v>
      </c>
      <c r="C1425" s="2">
        <v>0.35401620370370368</v>
      </c>
      <c r="D1425" s="2">
        <v>0.35944444444444446</v>
      </c>
      <c r="G1425" s="4">
        <v>29555837</v>
      </c>
      <c r="H1425">
        <v>1</v>
      </c>
      <c r="J1425">
        <v>17864361</v>
      </c>
      <c r="K1425">
        <v>1</v>
      </c>
    </row>
    <row r="1426" spans="1:11" x14ac:dyDescent="0.25">
      <c r="A1426">
        <v>6949463</v>
      </c>
      <c r="B1426" s="1">
        <v>42937</v>
      </c>
      <c r="C1426" s="2">
        <v>0.35912037037037037</v>
      </c>
      <c r="D1426" s="2">
        <v>0.36318287037037039</v>
      </c>
      <c r="G1426" s="4">
        <v>29771613</v>
      </c>
      <c r="H1426">
        <v>1</v>
      </c>
      <c r="J1426">
        <v>18070008</v>
      </c>
      <c r="K1426">
        <v>1</v>
      </c>
    </row>
    <row r="1427" spans="1:11" x14ac:dyDescent="0.25">
      <c r="A1427">
        <v>1626862</v>
      </c>
      <c r="B1427" s="1">
        <v>42937</v>
      </c>
      <c r="C1427" s="2">
        <v>0.36155092592592591</v>
      </c>
      <c r="D1427" s="2">
        <v>0.36355324074074075</v>
      </c>
      <c r="G1427" s="4">
        <v>29880225</v>
      </c>
      <c r="H1427">
        <v>1</v>
      </c>
      <c r="J1427">
        <v>18084593</v>
      </c>
      <c r="K1427">
        <v>1</v>
      </c>
    </row>
    <row r="1428" spans="1:11" x14ac:dyDescent="0.25">
      <c r="A1428">
        <v>99905503</v>
      </c>
      <c r="B1428" s="1">
        <v>42937</v>
      </c>
      <c r="C1428" s="2">
        <v>0.36631944444444442</v>
      </c>
      <c r="D1428" s="2">
        <v>0.37376157407407407</v>
      </c>
      <c r="G1428" s="4">
        <v>30178521</v>
      </c>
      <c r="H1428">
        <v>2</v>
      </c>
      <c r="J1428">
        <v>18503160</v>
      </c>
      <c r="K1428">
        <v>1</v>
      </c>
    </row>
    <row r="1429" spans="1:11" x14ac:dyDescent="0.25">
      <c r="A1429">
        <v>2753778</v>
      </c>
      <c r="B1429" s="1">
        <v>42937</v>
      </c>
      <c r="C1429" s="2">
        <v>0.37133101851851852</v>
      </c>
      <c r="D1429" s="2">
        <v>0.38075231481481481</v>
      </c>
      <c r="G1429" s="4">
        <v>30270334</v>
      </c>
      <c r="H1429">
        <v>1</v>
      </c>
      <c r="J1429">
        <v>18636086</v>
      </c>
      <c r="K1429">
        <v>1</v>
      </c>
    </row>
    <row r="1430" spans="1:11" x14ac:dyDescent="0.25">
      <c r="A1430">
        <v>3508755</v>
      </c>
      <c r="B1430" s="1">
        <v>42937</v>
      </c>
      <c r="C1430" s="2">
        <v>0.37569444444444444</v>
      </c>
      <c r="D1430" s="2">
        <v>0.38611111111111113</v>
      </c>
      <c r="G1430" s="4">
        <v>30678431</v>
      </c>
      <c r="H1430">
        <v>1</v>
      </c>
      <c r="J1430">
        <v>18816694</v>
      </c>
      <c r="K1430">
        <v>1</v>
      </c>
    </row>
    <row r="1431" spans="1:11" x14ac:dyDescent="0.25">
      <c r="A1431">
        <v>14783929</v>
      </c>
      <c r="B1431" s="1">
        <v>42937</v>
      </c>
      <c r="C1431" s="2">
        <v>0.37891203703703702</v>
      </c>
      <c r="D1431" s="2">
        <v>0.38443287037037038</v>
      </c>
      <c r="G1431" s="4">
        <v>30893038</v>
      </c>
      <c r="H1431">
        <v>2</v>
      </c>
      <c r="J1431">
        <v>19116274</v>
      </c>
      <c r="K1431">
        <v>1</v>
      </c>
    </row>
    <row r="1432" spans="1:11" x14ac:dyDescent="0.25">
      <c r="A1432">
        <v>1409543</v>
      </c>
      <c r="B1432" s="1">
        <v>42937</v>
      </c>
      <c r="C1432" s="2">
        <v>0.38086805555555553</v>
      </c>
      <c r="D1432" s="2">
        <v>0.38918981481481479</v>
      </c>
      <c r="G1432" s="4">
        <v>31516318</v>
      </c>
      <c r="H1432">
        <v>1</v>
      </c>
      <c r="J1432">
        <v>19343766</v>
      </c>
      <c r="K1432">
        <v>1</v>
      </c>
    </row>
    <row r="1433" spans="1:11" x14ac:dyDescent="0.25">
      <c r="A1433">
        <v>6891636</v>
      </c>
      <c r="B1433" s="1">
        <v>42937</v>
      </c>
      <c r="C1433" s="2">
        <v>0.38633101851851853</v>
      </c>
      <c r="D1433" s="2">
        <v>0.38923611111111112</v>
      </c>
      <c r="G1433" s="4">
        <v>32779069</v>
      </c>
      <c r="H1433">
        <v>1</v>
      </c>
      <c r="J1433">
        <v>19638469</v>
      </c>
      <c r="K1433">
        <v>1</v>
      </c>
    </row>
    <row r="1434" spans="1:11" x14ac:dyDescent="0.25">
      <c r="A1434">
        <v>8541151</v>
      </c>
      <c r="B1434" s="1">
        <v>42937</v>
      </c>
      <c r="C1434" s="2">
        <v>0.38848379629629631</v>
      </c>
      <c r="D1434" s="2">
        <v>0.39874999999999999</v>
      </c>
      <c r="G1434" s="4">
        <v>33166727</v>
      </c>
      <c r="H1434">
        <v>1</v>
      </c>
      <c r="J1434">
        <v>19835498</v>
      </c>
      <c r="K1434">
        <v>1</v>
      </c>
    </row>
    <row r="1435" spans="1:11" x14ac:dyDescent="0.25">
      <c r="A1435">
        <v>8322802</v>
      </c>
      <c r="B1435" s="1">
        <v>42937</v>
      </c>
      <c r="C1435" s="2">
        <v>0.39089120370370373</v>
      </c>
      <c r="D1435" s="2">
        <v>0.39620370370370372</v>
      </c>
      <c r="G1435" s="4">
        <v>33320202</v>
      </c>
      <c r="H1435">
        <v>1</v>
      </c>
      <c r="J1435">
        <v>20149106</v>
      </c>
      <c r="K1435">
        <v>1</v>
      </c>
    </row>
    <row r="1436" spans="1:11" x14ac:dyDescent="0.25">
      <c r="A1436">
        <v>30678431</v>
      </c>
      <c r="B1436" s="1">
        <v>42937</v>
      </c>
      <c r="C1436" s="2">
        <v>0.39469907407407406</v>
      </c>
      <c r="D1436" s="2">
        <v>0.40141203703703704</v>
      </c>
      <c r="G1436" s="4">
        <v>33708687</v>
      </c>
      <c r="H1436">
        <v>1</v>
      </c>
      <c r="J1436">
        <v>20220216</v>
      </c>
      <c r="K1436">
        <v>1</v>
      </c>
    </row>
    <row r="1437" spans="1:11" x14ac:dyDescent="0.25">
      <c r="A1437">
        <v>41837828</v>
      </c>
      <c r="B1437" s="1">
        <v>42937</v>
      </c>
      <c r="C1437" s="2">
        <v>0.39953703703703702</v>
      </c>
      <c r="D1437" s="2">
        <v>0.40038194444444447</v>
      </c>
      <c r="G1437" s="4">
        <v>34556399</v>
      </c>
      <c r="H1437">
        <v>1</v>
      </c>
      <c r="J1437">
        <v>20349502</v>
      </c>
      <c r="K1437">
        <v>1</v>
      </c>
    </row>
    <row r="1438" spans="1:11" x14ac:dyDescent="0.25">
      <c r="A1438">
        <v>13639748</v>
      </c>
      <c r="B1438" s="1">
        <v>42937</v>
      </c>
      <c r="C1438" s="2">
        <v>0.40379629629629632</v>
      </c>
      <c r="D1438" s="2">
        <v>0.40822916666666664</v>
      </c>
      <c r="G1438" s="4">
        <v>34628061</v>
      </c>
      <c r="H1438">
        <v>1</v>
      </c>
      <c r="J1438">
        <v>20354301</v>
      </c>
      <c r="K1438">
        <v>1</v>
      </c>
    </row>
    <row r="1439" spans="1:11" x14ac:dyDescent="0.25">
      <c r="A1439">
        <v>8972366</v>
      </c>
      <c r="B1439" s="1">
        <v>42937</v>
      </c>
      <c r="C1439" s="2">
        <v>0.40462962962962962</v>
      </c>
      <c r="D1439" s="2">
        <v>0.40875</v>
      </c>
      <c r="G1439" s="4">
        <v>34964547</v>
      </c>
      <c r="H1439">
        <v>1</v>
      </c>
      <c r="J1439">
        <v>20424852</v>
      </c>
      <c r="K1439">
        <v>1</v>
      </c>
    </row>
    <row r="1440" spans="1:11" x14ac:dyDescent="0.25">
      <c r="A1440">
        <v>5233531</v>
      </c>
      <c r="B1440" s="1">
        <v>42937</v>
      </c>
      <c r="C1440" s="2">
        <v>0.40465277777777775</v>
      </c>
      <c r="D1440" s="2">
        <v>0.40887731481481482</v>
      </c>
      <c r="G1440" s="4">
        <v>35281950</v>
      </c>
      <c r="H1440">
        <v>1</v>
      </c>
      <c r="J1440">
        <v>20485333</v>
      </c>
      <c r="K1440">
        <v>1</v>
      </c>
    </row>
    <row r="1441" spans="1:11" x14ac:dyDescent="0.25">
      <c r="A1441">
        <v>3691176</v>
      </c>
      <c r="B1441" s="1">
        <v>42937</v>
      </c>
      <c r="C1441" s="2">
        <v>0.40505787037037039</v>
      </c>
      <c r="D1441" s="2">
        <v>0.40561342592592592</v>
      </c>
      <c r="G1441" s="4">
        <v>35634368</v>
      </c>
      <c r="H1441">
        <v>1</v>
      </c>
      <c r="J1441">
        <v>20735440</v>
      </c>
      <c r="K1441">
        <v>1</v>
      </c>
    </row>
    <row r="1442" spans="1:11" x14ac:dyDescent="0.25">
      <c r="A1442">
        <v>66377806</v>
      </c>
      <c r="B1442" s="1">
        <v>42937</v>
      </c>
      <c r="C1442" s="2">
        <v>0.40694444444444444</v>
      </c>
      <c r="D1442" s="2">
        <v>0.40991898148148148</v>
      </c>
      <c r="G1442" s="4">
        <v>36332723</v>
      </c>
      <c r="H1442">
        <v>1</v>
      </c>
      <c r="J1442">
        <v>21303266</v>
      </c>
      <c r="K1442">
        <v>1</v>
      </c>
    </row>
    <row r="1443" spans="1:11" x14ac:dyDescent="0.25">
      <c r="A1443">
        <v>6357818</v>
      </c>
      <c r="B1443" s="1">
        <v>42937</v>
      </c>
      <c r="C1443" s="2">
        <v>0.41228009259259257</v>
      </c>
      <c r="D1443" s="2">
        <v>0.41648148148148151</v>
      </c>
      <c r="G1443" s="4">
        <v>36929553</v>
      </c>
      <c r="H1443">
        <v>1</v>
      </c>
      <c r="J1443">
        <v>21677804</v>
      </c>
      <c r="K1443">
        <v>1</v>
      </c>
    </row>
    <row r="1444" spans="1:11" x14ac:dyDescent="0.25">
      <c r="A1444">
        <v>7123731</v>
      </c>
      <c r="B1444" s="1">
        <v>42937</v>
      </c>
      <c r="C1444" s="2">
        <v>0.41494212962962962</v>
      </c>
      <c r="D1444" s="2">
        <v>0.41641203703703705</v>
      </c>
      <c r="G1444" s="4">
        <v>37032078</v>
      </c>
      <c r="H1444">
        <v>1</v>
      </c>
      <c r="J1444">
        <v>21681406</v>
      </c>
      <c r="K1444">
        <v>1</v>
      </c>
    </row>
    <row r="1445" spans="1:11" x14ac:dyDescent="0.25">
      <c r="A1445">
        <v>91907883</v>
      </c>
      <c r="B1445" s="1">
        <v>42937</v>
      </c>
      <c r="C1445" s="2">
        <v>0.42054398148148148</v>
      </c>
      <c r="D1445" s="2">
        <v>0.42721064814814813</v>
      </c>
      <c r="G1445" s="4">
        <v>37077953</v>
      </c>
      <c r="H1445">
        <v>1</v>
      </c>
      <c r="J1445">
        <v>21996267</v>
      </c>
      <c r="K1445">
        <v>1</v>
      </c>
    </row>
    <row r="1446" spans="1:11" x14ac:dyDescent="0.25">
      <c r="A1446">
        <v>69734527</v>
      </c>
      <c r="B1446" s="1">
        <v>42937</v>
      </c>
      <c r="C1446" s="2">
        <v>0.42084490740740743</v>
      </c>
      <c r="D1446" s="2">
        <v>0.43167824074074074</v>
      </c>
      <c r="G1446" s="4">
        <v>37838778</v>
      </c>
      <c r="H1446">
        <v>1</v>
      </c>
      <c r="J1446">
        <v>22176115</v>
      </c>
      <c r="K1446">
        <v>1</v>
      </c>
    </row>
    <row r="1447" spans="1:11" x14ac:dyDescent="0.25">
      <c r="A1447">
        <v>7536096</v>
      </c>
      <c r="B1447" s="1">
        <v>42937</v>
      </c>
      <c r="C1447" s="2">
        <v>0.42357638888888888</v>
      </c>
      <c r="D1447" s="2">
        <v>0.4322685185185185</v>
      </c>
      <c r="G1447" s="4">
        <v>37906881</v>
      </c>
      <c r="H1447">
        <v>1</v>
      </c>
      <c r="J1447">
        <v>22266436</v>
      </c>
      <c r="K1447">
        <v>1</v>
      </c>
    </row>
    <row r="1448" spans="1:11" x14ac:dyDescent="0.25">
      <c r="A1448">
        <v>60158843</v>
      </c>
      <c r="B1448" s="1">
        <v>42937</v>
      </c>
      <c r="C1448" s="2">
        <v>0.42814814814814817</v>
      </c>
      <c r="D1448" s="2">
        <v>0.43784722222222222</v>
      </c>
      <c r="G1448" s="4">
        <v>37930610</v>
      </c>
      <c r="H1448">
        <v>1</v>
      </c>
      <c r="J1448">
        <v>22416837</v>
      </c>
      <c r="K1448">
        <v>1</v>
      </c>
    </row>
    <row r="1449" spans="1:11" x14ac:dyDescent="0.25">
      <c r="A1449">
        <v>6942059</v>
      </c>
      <c r="B1449" s="1">
        <v>42937</v>
      </c>
      <c r="C1449" s="2">
        <v>0.43002314814814813</v>
      </c>
      <c r="D1449" s="2">
        <v>0.43030092592592595</v>
      </c>
      <c r="G1449" s="4">
        <v>38047574</v>
      </c>
      <c r="H1449">
        <v>1</v>
      </c>
      <c r="J1449">
        <v>22583033</v>
      </c>
      <c r="K1449">
        <v>1</v>
      </c>
    </row>
    <row r="1450" spans="1:11" x14ac:dyDescent="0.25">
      <c r="A1450">
        <v>28282891</v>
      </c>
      <c r="B1450" s="1">
        <v>42937</v>
      </c>
      <c r="C1450" s="2">
        <v>0.4307523148148148</v>
      </c>
      <c r="D1450" s="2">
        <v>0.4412847222222222</v>
      </c>
      <c r="G1450" s="4">
        <v>38063903</v>
      </c>
      <c r="H1450">
        <v>2</v>
      </c>
      <c r="J1450">
        <v>22966872</v>
      </c>
      <c r="K1450">
        <v>1</v>
      </c>
    </row>
    <row r="1451" spans="1:11" x14ac:dyDescent="0.25">
      <c r="A1451">
        <v>1617146</v>
      </c>
      <c r="B1451" s="1">
        <v>42937</v>
      </c>
      <c r="C1451" s="2">
        <v>0.43400462962962966</v>
      </c>
      <c r="D1451" s="2">
        <v>0.44041666666666668</v>
      </c>
      <c r="G1451" s="4">
        <v>38244568</v>
      </c>
      <c r="H1451">
        <v>3</v>
      </c>
      <c r="J1451">
        <v>23300236</v>
      </c>
      <c r="K1451">
        <v>1</v>
      </c>
    </row>
    <row r="1452" spans="1:11" x14ac:dyDescent="0.25">
      <c r="A1452">
        <v>2186880</v>
      </c>
      <c r="B1452" s="1">
        <v>42937</v>
      </c>
      <c r="C1452" s="2">
        <v>0.43582175925925926</v>
      </c>
      <c r="D1452" s="2">
        <v>0.44550925925925927</v>
      </c>
      <c r="G1452" s="4">
        <v>38535407</v>
      </c>
      <c r="H1452">
        <v>3</v>
      </c>
      <c r="J1452">
        <v>23368531</v>
      </c>
      <c r="K1452">
        <v>1</v>
      </c>
    </row>
    <row r="1453" spans="1:11" x14ac:dyDescent="0.25">
      <c r="A1453">
        <v>92461001</v>
      </c>
      <c r="B1453" s="1">
        <v>42937</v>
      </c>
      <c r="C1453" s="2">
        <v>0.43730324074074073</v>
      </c>
      <c r="D1453" s="2">
        <v>0.44869212962962962</v>
      </c>
      <c r="G1453" s="4">
        <v>38823305</v>
      </c>
      <c r="H1453">
        <v>1</v>
      </c>
      <c r="J1453">
        <v>23504109</v>
      </c>
      <c r="K1453">
        <v>1</v>
      </c>
    </row>
    <row r="1454" spans="1:11" x14ac:dyDescent="0.25">
      <c r="A1454">
        <v>4657345</v>
      </c>
      <c r="B1454" s="1">
        <v>42937</v>
      </c>
      <c r="C1454" s="2">
        <v>0.44291666666666668</v>
      </c>
      <c r="D1454" s="2">
        <v>0.45256944444444447</v>
      </c>
      <c r="G1454" s="4">
        <v>39210366</v>
      </c>
      <c r="H1454">
        <v>1</v>
      </c>
      <c r="J1454">
        <v>23580194</v>
      </c>
      <c r="K1454">
        <v>1</v>
      </c>
    </row>
    <row r="1455" spans="1:11" x14ac:dyDescent="0.25">
      <c r="A1455">
        <v>16775888</v>
      </c>
      <c r="B1455" s="1">
        <v>42937</v>
      </c>
      <c r="C1455" s="2">
        <v>0.4478240740740741</v>
      </c>
      <c r="D1455" s="2">
        <v>0.45548611111111109</v>
      </c>
      <c r="G1455" s="4">
        <v>39663331</v>
      </c>
      <c r="H1455">
        <v>1</v>
      </c>
      <c r="J1455">
        <v>23715237</v>
      </c>
      <c r="K1455">
        <v>1</v>
      </c>
    </row>
    <row r="1456" spans="1:11" x14ac:dyDescent="0.25">
      <c r="A1456">
        <v>97953696</v>
      </c>
      <c r="B1456" s="1">
        <v>42937</v>
      </c>
      <c r="C1456" s="2">
        <v>0.45187500000000003</v>
      </c>
      <c r="D1456" s="2">
        <v>0.45925925925925926</v>
      </c>
      <c r="G1456" s="4">
        <v>39669014</v>
      </c>
      <c r="H1456">
        <v>2</v>
      </c>
      <c r="J1456">
        <v>24024164</v>
      </c>
      <c r="K1456">
        <v>1</v>
      </c>
    </row>
    <row r="1457" spans="1:11" x14ac:dyDescent="0.25">
      <c r="A1457">
        <v>1166111</v>
      </c>
      <c r="B1457" s="1">
        <v>42937</v>
      </c>
      <c r="C1457" s="2">
        <v>0.45458333333333334</v>
      </c>
      <c r="D1457" s="2">
        <v>0.46295138888888887</v>
      </c>
      <c r="G1457" s="4">
        <v>39697250</v>
      </c>
      <c r="H1457">
        <v>2</v>
      </c>
      <c r="J1457">
        <v>24454566</v>
      </c>
      <c r="K1457">
        <v>1</v>
      </c>
    </row>
    <row r="1458" spans="1:11" x14ac:dyDescent="0.25">
      <c r="A1458">
        <v>91907883</v>
      </c>
      <c r="B1458" s="1">
        <v>42937</v>
      </c>
      <c r="C1458" s="2">
        <v>0.45689814814814816</v>
      </c>
      <c r="D1458" s="2">
        <v>0.4574537037037037</v>
      </c>
      <c r="G1458" s="4">
        <v>39793981</v>
      </c>
      <c r="H1458">
        <v>1</v>
      </c>
      <c r="J1458">
        <v>24724114</v>
      </c>
      <c r="K1458">
        <v>1</v>
      </c>
    </row>
    <row r="1459" spans="1:11" x14ac:dyDescent="0.25">
      <c r="A1459">
        <v>9225043</v>
      </c>
      <c r="B1459" s="1">
        <v>42937</v>
      </c>
      <c r="C1459" s="2">
        <v>0.4612384259259259</v>
      </c>
      <c r="D1459" s="2">
        <v>0.46285879629629628</v>
      </c>
      <c r="G1459" s="4">
        <v>39848401</v>
      </c>
      <c r="H1459">
        <v>2</v>
      </c>
      <c r="J1459">
        <v>24724570</v>
      </c>
      <c r="K1459">
        <v>1</v>
      </c>
    </row>
    <row r="1460" spans="1:11" x14ac:dyDescent="0.25">
      <c r="A1460">
        <v>6408952</v>
      </c>
      <c r="B1460" s="1">
        <v>42937</v>
      </c>
      <c r="C1460" s="2">
        <v>0.46553240740740742</v>
      </c>
      <c r="D1460" s="2">
        <v>0.47234953703703703</v>
      </c>
      <c r="G1460" s="4">
        <v>39921944</v>
      </c>
      <c r="H1460">
        <v>1</v>
      </c>
      <c r="J1460">
        <v>24850212</v>
      </c>
      <c r="K1460">
        <v>1</v>
      </c>
    </row>
    <row r="1461" spans="1:11" x14ac:dyDescent="0.25">
      <c r="A1461">
        <v>81010250</v>
      </c>
      <c r="B1461" s="1">
        <v>42937</v>
      </c>
      <c r="C1461" s="2">
        <v>0.47075231481481483</v>
      </c>
      <c r="D1461" s="2">
        <v>0.47239583333333335</v>
      </c>
      <c r="G1461" s="4">
        <v>40120881</v>
      </c>
      <c r="H1461">
        <v>1</v>
      </c>
      <c r="J1461">
        <v>25133293</v>
      </c>
      <c r="K1461">
        <v>1</v>
      </c>
    </row>
    <row r="1462" spans="1:11" x14ac:dyDescent="0.25">
      <c r="A1462">
        <v>8596442</v>
      </c>
      <c r="B1462" s="1">
        <v>42937</v>
      </c>
      <c r="C1462" s="2">
        <v>0.47105324074074073</v>
      </c>
      <c r="D1462" s="2">
        <v>0.48011574074074076</v>
      </c>
      <c r="G1462" s="4">
        <v>40308049</v>
      </c>
      <c r="H1462">
        <v>1</v>
      </c>
      <c r="J1462">
        <v>25147401</v>
      </c>
      <c r="K1462">
        <v>1</v>
      </c>
    </row>
    <row r="1463" spans="1:11" x14ac:dyDescent="0.25">
      <c r="A1463">
        <v>79890857</v>
      </c>
      <c r="B1463" s="1">
        <v>42937</v>
      </c>
      <c r="C1463" s="2">
        <v>0.47285879629629629</v>
      </c>
      <c r="D1463" s="2">
        <v>0.47846064814814815</v>
      </c>
      <c r="G1463" s="4">
        <v>40395856</v>
      </c>
      <c r="H1463">
        <v>1</v>
      </c>
      <c r="J1463">
        <v>25194612</v>
      </c>
      <c r="K1463">
        <v>1</v>
      </c>
    </row>
    <row r="1464" spans="1:11" x14ac:dyDescent="0.25">
      <c r="A1464">
        <v>3804078</v>
      </c>
      <c r="B1464" s="1">
        <v>42937</v>
      </c>
      <c r="C1464" s="2">
        <v>0.4729976851851852</v>
      </c>
      <c r="D1464" s="2">
        <v>0.48243055555555553</v>
      </c>
      <c r="G1464" s="4">
        <v>40965486</v>
      </c>
      <c r="H1464">
        <v>1</v>
      </c>
      <c r="J1464">
        <v>25240352</v>
      </c>
      <c r="K1464">
        <v>1</v>
      </c>
    </row>
    <row r="1465" spans="1:11" x14ac:dyDescent="0.25">
      <c r="A1465">
        <v>6312012</v>
      </c>
      <c r="B1465" s="1">
        <v>42937</v>
      </c>
      <c r="C1465" s="2">
        <v>0.47697916666666668</v>
      </c>
      <c r="D1465" s="2">
        <v>0.48678240740740741</v>
      </c>
      <c r="G1465" s="4">
        <v>41144838</v>
      </c>
      <c r="H1465">
        <v>1</v>
      </c>
      <c r="J1465">
        <v>25459710</v>
      </c>
      <c r="K1465">
        <v>1</v>
      </c>
    </row>
    <row r="1466" spans="1:11" x14ac:dyDescent="0.25">
      <c r="A1466">
        <v>7322741</v>
      </c>
      <c r="B1466" s="1">
        <v>42937</v>
      </c>
      <c r="C1466" s="2">
        <v>0.47833333333333333</v>
      </c>
      <c r="D1466" s="2">
        <v>0.48989583333333331</v>
      </c>
      <c r="G1466" s="4">
        <v>41156424</v>
      </c>
      <c r="H1466">
        <v>1</v>
      </c>
      <c r="J1466">
        <v>25545000</v>
      </c>
      <c r="K1466">
        <v>1</v>
      </c>
    </row>
    <row r="1467" spans="1:11" x14ac:dyDescent="0.25">
      <c r="A1467">
        <v>2354992</v>
      </c>
      <c r="B1467" s="1">
        <v>42937</v>
      </c>
      <c r="C1467" s="2">
        <v>0.4828587962962963</v>
      </c>
      <c r="D1467" s="2">
        <v>0.48295138888888889</v>
      </c>
      <c r="G1467" s="4">
        <v>41210751</v>
      </c>
      <c r="H1467">
        <v>1</v>
      </c>
      <c r="J1467">
        <v>25574074</v>
      </c>
      <c r="K1467">
        <v>1</v>
      </c>
    </row>
    <row r="1468" spans="1:11" x14ac:dyDescent="0.25">
      <c r="A1468">
        <v>1766133</v>
      </c>
      <c r="B1468" s="1">
        <v>42937</v>
      </c>
      <c r="C1468" s="2">
        <v>0.48439814814814813</v>
      </c>
      <c r="D1468" s="2">
        <v>0.4878587962962963</v>
      </c>
      <c r="G1468" s="4">
        <v>41837828</v>
      </c>
      <c r="H1468">
        <v>1</v>
      </c>
      <c r="J1468">
        <v>25581178</v>
      </c>
      <c r="K1468">
        <v>1</v>
      </c>
    </row>
    <row r="1469" spans="1:11" x14ac:dyDescent="0.25">
      <c r="A1469">
        <v>2922327</v>
      </c>
      <c r="B1469" s="1">
        <v>42937</v>
      </c>
      <c r="C1469" s="2">
        <v>0.48690972222222223</v>
      </c>
      <c r="D1469" s="2">
        <v>0.49665509259259261</v>
      </c>
      <c r="G1469" s="4">
        <v>41852472</v>
      </c>
      <c r="H1469">
        <v>2</v>
      </c>
      <c r="J1469">
        <v>26254490</v>
      </c>
      <c r="K1469">
        <v>1</v>
      </c>
    </row>
    <row r="1470" spans="1:11" x14ac:dyDescent="0.25">
      <c r="A1470">
        <v>8679036</v>
      </c>
      <c r="B1470" s="1">
        <v>42937</v>
      </c>
      <c r="C1470" s="2">
        <v>0.4924189814814815</v>
      </c>
      <c r="D1470" s="2">
        <v>0.49381944444444442</v>
      </c>
      <c r="G1470" s="4">
        <v>41974998</v>
      </c>
      <c r="H1470">
        <v>1</v>
      </c>
      <c r="J1470">
        <v>26463662</v>
      </c>
      <c r="K1470">
        <v>1</v>
      </c>
    </row>
    <row r="1471" spans="1:11" x14ac:dyDescent="0.25">
      <c r="A1471">
        <v>1469705</v>
      </c>
      <c r="B1471" s="1">
        <v>42937</v>
      </c>
      <c r="C1471" s="2">
        <v>0.49327546296296299</v>
      </c>
      <c r="D1471" s="2">
        <v>0.50351851851851848</v>
      </c>
      <c r="G1471" s="4">
        <v>42038927</v>
      </c>
      <c r="H1471">
        <v>1</v>
      </c>
      <c r="J1471">
        <v>26699217</v>
      </c>
      <c r="K1471">
        <v>1</v>
      </c>
    </row>
    <row r="1472" spans="1:11" x14ac:dyDescent="0.25">
      <c r="A1472">
        <v>8079505</v>
      </c>
      <c r="B1472" s="1">
        <v>42937</v>
      </c>
      <c r="C1472" s="2">
        <v>0.49811342592592595</v>
      </c>
      <c r="D1472" s="2">
        <v>0.5065277777777778</v>
      </c>
      <c r="G1472" s="4">
        <v>42373338</v>
      </c>
      <c r="H1472">
        <v>1</v>
      </c>
      <c r="J1472">
        <v>26766818</v>
      </c>
      <c r="K1472">
        <v>1</v>
      </c>
    </row>
    <row r="1473" spans="1:11" x14ac:dyDescent="0.25">
      <c r="A1473">
        <v>4661635</v>
      </c>
      <c r="B1473" s="1">
        <v>42937</v>
      </c>
      <c r="C1473" s="2">
        <v>0.50016203703703699</v>
      </c>
      <c r="D1473" s="2">
        <v>0.50506944444444446</v>
      </c>
      <c r="G1473" s="4">
        <v>42603700</v>
      </c>
      <c r="H1473">
        <v>1</v>
      </c>
      <c r="J1473">
        <v>26891502</v>
      </c>
      <c r="K1473">
        <v>1</v>
      </c>
    </row>
    <row r="1474" spans="1:11" x14ac:dyDescent="0.25">
      <c r="A1474">
        <v>4497624</v>
      </c>
      <c r="B1474" s="1">
        <v>42937</v>
      </c>
      <c r="C1474" s="2">
        <v>0.50284722222222222</v>
      </c>
      <c r="D1474" s="2">
        <v>0.51432870370370365</v>
      </c>
      <c r="G1474" s="4">
        <v>42722517</v>
      </c>
      <c r="H1474">
        <v>1</v>
      </c>
      <c r="J1474">
        <v>26895957</v>
      </c>
      <c r="K1474">
        <v>1</v>
      </c>
    </row>
    <row r="1475" spans="1:11" x14ac:dyDescent="0.25">
      <c r="A1475">
        <v>52468382</v>
      </c>
      <c r="B1475" s="1">
        <v>42937</v>
      </c>
      <c r="C1475" s="2">
        <v>0.50840277777777776</v>
      </c>
      <c r="D1475" s="2">
        <v>0.50968749999999996</v>
      </c>
      <c r="G1475" s="4">
        <v>43019885</v>
      </c>
      <c r="H1475">
        <v>1</v>
      </c>
      <c r="J1475">
        <v>27410048</v>
      </c>
      <c r="K1475">
        <v>1</v>
      </c>
    </row>
    <row r="1476" spans="1:11" x14ac:dyDescent="0.25">
      <c r="A1476">
        <v>5687077</v>
      </c>
      <c r="B1476" s="1">
        <v>42937</v>
      </c>
      <c r="C1476" s="2">
        <v>0.51200231481481484</v>
      </c>
      <c r="D1476" s="2">
        <v>0.52253472222222219</v>
      </c>
      <c r="G1476" s="4">
        <v>43109897</v>
      </c>
      <c r="H1476">
        <v>2</v>
      </c>
      <c r="J1476">
        <v>27487200</v>
      </c>
      <c r="K1476">
        <v>1</v>
      </c>
    </row>
    <row r="1477" spans="1:11" x14ac:dyDescent="0.25">
      <c r="A1477">
        <v>3914070</v>
      </c>
      <c r="B1477" s="1">
        <v>42937</v>
      </c>
      <c r="C1477" s="2">
        <v>0.51249999999999996</v>
      </c>
      <c r="D1477" s="2">
        <v>0.51405092592592594</v>
      </c>
      <c r="G1477" s="4">
        <v>43277353</v>
      </c>
      <c r="H1477">
        <v>1</v>
      </c>
      <c r="J1477">
        <v>27610972</v>
      </c>
      <c r="K1477">
        <v>1</v>
      </c>
    </row>
    <row r="1478" spans="1:11" x14ac:dyDescent="0.25">
      <c r="A1478">
        <v>84684423</v>
      </c>
      <c r="B1478" s="1">
        <v>42937</v>
      </c>
      <c r="C1478" s="2">
        <v>0.51520833333333338</v>
      </c>
      <c r="D1478" s="2">
        <v>0.51918981481481485</v>
      </c>
      <c r="G1478" s="4">
        <v>43885630</v>
      </c>
      <c r="H1478">
        <v>1</v>
      </c>
      <c r="J1478">
        <v>27684909</v>
      </c>
      <c r="K1478">
        <v>1</v>
      </c>
    </row>
    <row r="1479" spans="1:11" x14ac:dyDescent="0.25">
      <c r="A1479">
        <v>6493406</v>
      </c>
      <c r="B1479" s="1">
        <v>42937</v>
      </c>
      <c r="C1479" s="2">
        <v>0.51936342592592588</v>
      </c>
      <c r="D1479" s="2">
        <v>0.52559027777777778</v>
      </c>
      <c r="G1479" s="4">
        <v>43897696</v>
      </c>
      <c r="H1479">
        <v>1</v>
      </c>
      <c r="J1479">
        <v>27798660</v>
      </c>
      <c r="K1479">
        <v>1</v>
      </c>
    </row>
    <row r="1480" spans="1:11" x14ac:dyDescent="0.25">
      <c r="A1480">
        <v>1563816</v>
      </c>
      <c r="B1480" s="1">
        <v>42937</v>
      </c>
      <c r="C1480" s="2">
        <v>0.52243055555555551</v>
      </c>
      <c r="D1480" s="2">
        <v>0.52681712962962968</v>
      </c>
      <c r="G1480" s="4">
        <v>44017210</v>
      </c>
      <c r="H1480">
        <v>1</v>
      </c>
      <c r="J1480">
        <v>27858818</v>
      </c>
      <c r="K1480">
        <v>1</v>
      </c>
    </row>
    <row r="1481" spans="1:11" x14ac:dyDescent="0.25">
      <c r="A1481">
        <v>7779935</v>
      </c>
      <c r="B1481" s="1">
        <v>42937</v>
      </c>
      <c r="C1481" s="2">
        <v>0.52469907407407412</v>
      </c>
      <c r="D1481" s="2">
        <v>0.53218750000000004</v>
      </c>
      <c r="G1481" s="4">
        <v>44200961</v>
      </c>
      <c r="H1481">
        <v>1</v>
      </c>
      <c r="J1481">
        <v>28145499</v>
      </c>
      <c r="K1481">
        <v>1</v>
      </c>
    </row>
    <row r="1482" spans="1:11" x14ac:dyDescent="0.25">
      <c r="A1482">
        <v>4429479</v>
      </c>
      <c r="B1482" s="1">
        <v>42937</v>
      </c>
      <c r="C1482" s="2">
        <v>0.52749999999999997</v>
      </c>
      <c r="D1482" s="2">
        <v>0.53034722222222219</v>
      </c>
      <c r="G1482" s="4">
        <v>44302763</v>
      </c>
      <c r="H1482">
        <v>1</v>
      </c>
      <c r="J1482">
        <v>28185580</v>
      </c>
      <c r="K1482">
        <v>1</v>
      </c>
    </row>
    <row r="1483" spans="1:11" x14ac:dyDescent="0.25">
      <c r="A1483">
        <v>2963652</v>
      </c>
      <c r="B1483" s="1">
        <v>42937</v>
      </c>
      <c r="C1483" s="2">
        <v>0.53240740740740744</v>
      </c>
      <c r="D1483" s="2">
        <v>0.53785879629629629</v>
      </c>
      <c r="G1483" s="4">
        <v>44765837</v>
      </c>
      <c r="H1483">
        <v>1</v>
      </c>
      <c r="J1483">
        <v>28282891</v>
      </c>
      <c r="K1483">
        <v>1</v>
      </c>
    </row>
    <row r="1484" spans="1:11" x14ac:dyDescent="0.25">
      <c r="A1484">
        <v>91032395</v>
      </c>
      <c r="B1484" s="1">
        <v>42937</v>
      </c>
      <c r="C1484" s="2">
        <v>0.53811342592592593</v>
      </c>
      <c r="D1484" s="2">
        <v>0.54365740740740742</v>
      </c>
      <c r="G1484" s="4">
        <v>44882393</v>
      </c>
      <c r="H1484">
        <v>1</v>
      </c>
      <c r="J1484">
        <v>28601187</v>
      </c>
      <c r="K1484">
        <v>1</v>
      </c>
    </row>
    <row r="1485" spans="1:11" x14ac:dyDescent="0.25">
      <c r="A1485">
        <v>6999348</v>
      </c>
      <c r="B1485" s="1">
        <v>42937</v>
      </c>
      <c r="C1485" s="2">
        <v>0.53831018518518514</v>
      </c>
      <c r="D1485" s="2">
        <v>0.53998842592592589</v>
      </c>
      <c r="G1485" s="4">
        <v>44937926</v>
      </c>
      <c r="H1485">
        <v>1</v>
      </c>
      <c r="J1485">
        <v>28791070</v>
      </c>
      <c r="K1485">
        <v>1</v>
      </c>
    </row>
    <row r="1486" spans="1:11" x14ac:dyDescent="0.25">
      <c r="A1486">
        <v>4424322</v>
      </c>
      <c r="B1486" s="1">
        <v>42937</v>
      </c>
      <c r="C1486" s="2">
        <v>0.54233796296296299</v>
      </c>
      <c r="D1486" s="2">
        <v>0.55148148148148146</v>
      </c>
      <c r="G1486" s="4">
        <v>45015009</v>
      </c>
      <c r="H1486">
        <v>1</v>
      </c>
      <c r="J1486">
        <v>29121099</v>
      </c>
      <c r="K1486">
        <v>1</v>
      </c>
    </row>
    <row r="1487" spans="1:11" x14ac:dyDescent="0.25">
      <c r="A1487">
        <v>9500083</v>
      </c>
      <c r="B1487" s="1">
        <v>42937</v>
      </c>
      <c r="C1487" s="2">
        <v>0.54631944444444447</v>
      </c>
      <c r="D1487" s="2">
        <v>0.55652777777777773</v>
      </c>
      <c r="G1487" s="4">
        <v>45081794</v>
      </c>
      <c r="H1487">
        <v>2</v>
      </c>
      <c r="J1487">
        <v>29391132</v>
      </c>
      <c r="K1487">
        <v>1</v>
      </c>
    </row>
    <row r="1488" spans="1:11" x14ac:dyDescent="0.25">
      <c r="A1488">
        <v>2912297</v>
      </c>
      <c r="B1488" s="1">
        <v>42937</v>
      </c>
      <c r="C1488" s="2">
        <v>0.54761574074074071</v>
      </c>
      <c r="D1488" s="2">
        <v>0.55443287037037037</v>
      </c>
      <c r="G1488" s="4">
        <v>45158089</v>
      </c>
      <c r="H1488">
        <v>1</v>
      </c>
      <c r="J1488">
        <v>29555837</v>
      </c>
      <c r="K1488">
        <v>1</v>
      </c>
    </row>
    <row r="1489" spans="1:11" x14ac:dyDescent="0.25">
      <c r="A1489">
        <v>4303945</v>
      </c>
      <c r="B1489" s="1">
        <v>42937</v>
      </c>
      <c r="C1489" s="2">
        <v>0.54953703703703705</v>
      </c>
      <c r="D1489" s="2">
        <v>0.55783564814814812</v>
      </c>
      <c r="G1489" s="4">
        <v>45232967</v>
      </c>
      <c r="H1489">
        <v>1</v>
      </c>
      <c r="J1489">
        <v>29771613</v>
      </c>
      <c r="K1489">
        <v>1</v>
      </c>
    </row>
    <row r="1490" spans="1:11" x14ac:dyDescent="0.25">
      <c r="A1490">
        <v>3264546470</v>
      </c>
      <c r="B1490" s="1">
        <v>42937</v>
      </c>
      <c r="C1490" s="2">
        <v>0.55311342592592594</v>
      </c>
      <c r="D1490" s="2">
        <v>0.55469907407407404</v>
      </c>
      <c r="G1490" s="4">
        <v>45373038</v>
      </c>
      <c r="H1490">
        <v>1</v>
      </c>
      <c r="J1490">
        <v>29880225</v>
      </c>
      <c r="K1490">
        <v>1</v>
      </c>
    </row>
    <row r="1491" spans="1:11" x14ac:dyDescent="0.25">
      <c r="A1491">
        <v>7275091</v>
      </c>
      <c r="B1491" s="1">
        <v>42937</v>
      </c>
      <c r="C1491" s="2">
        <v>0.55652777777777773</v>
      </c>
      <c r="D1491" s="2">
        <v>0.56657407407407412</v>
      </c>
      <c r="G1491" s="4">
        <v>45862784</v>
      </c>
      <c r="H1491">
        <v>1</v>
      </c>
      <c r="J1491">
        <v>30270334</v>
      </c>
      <c r="K1491">
        <v>1</v>
      </c>
    </row>
    <row r="1492" spans="1:11" x14ac:dyDescent="0.25">
      <c r="A1492">
        <v>9021766</v>
      </c>
      <c r="B1492" s="1">
        <v>42937</v>
      </c>
      <c r="C1492" s="2">
        <v>0.5575</v>
      </c>
      <c r="D1492" s="2">
        <v>0.56418981481481478</v>
      </c>
      <c r="G1492" s="4">
        <v>45940361</v>
      </c>
      <c r="H1492">
        <v>1</v>
      </c>
      <c r="J1492">
        <v>30678431</v>
      </c>
      <c r="K1492">
        <v>1</v>
      </c>
    </row>
    <row r="1493" spans="1:11" x14ac:dyDescent="0.25">
      <c r="A1493">
        <v>1500342</v>
      </c>
      <c r="B1493" s="1">
        <v>42937</v>
      </c>
      <c r="C1493" s="2">
        <v>0.56297453703703704</v>
      </c>
      <c r="D1493" s="2">
        <v>0.56752314814814819</v>
      </c>
      <c r="G1493" s="4">
        <v>45948073</v>
      </c>
      <c r="H1493">
        <v>3</v>
      </c>
      <c r="J1493">
        <v>31516318</v>
      </c>
      <c r="K1493">
        <v>1</v>
      </c>
    </row>
    <row r="1494" spans="1:11" x14ac:dyDescent="0.25">
      <c r="A1494">
        <v>7295667</v>
      </c>
      <c r="B1494" s="1">
        <v>42937</v>
      </c>
      <c r="C1494" s="2">
        <v>0.56578703703703703</v>
      </c>
      <c r="D1494" s="2">
        <v>0.57518518518518513</v>
      </c>
      <c r="G1494" s="4">
        <v>46023878</v>
      </c>
      <c r="H1494">
        <v>1</v>
      </c>
      <c r="J1494">
        <v>32779069</v>
      </c>
      <c r="K1494">
        <v>1</v>
      </c>
    </row>
    <row r="1495" spans="1:11" x14ac:dyDescent="0.25">
      <c r="A1495">
        <v>5512237</v>
      </c>
      <c r="B1495" s="1">
        <v>42937</v>
      </c>
      <c r="C1495" s="2">
        <v>0.5713773148148148</v>
      </c>
      <c r="D1495" s="2">
        <v>0.58107638888888891</v>
      </c>
      <c r="G1495" s="4">
        <v>46255010</v>
      </c>
      <c r="H1495">
        <v>1</v>
      </c>
      <c r="J1495">
        <v>33166727</v>
      </c>
      <c r="K1495">
        <v>1</v>
      </c>
    </row>
    <row r="1496" spans="1:11" x14ac:dyDescent="0.25">
      <c r="A1496">
        <v>22266436</v>
      </c>
      <c r="B1496" s="1">
        <v>42937</v>
      </c>
      <c r="C1496" s="2">
        <v>0.57549768518518518</v>
      </c>
      <c r="D1496" s="2">
        <v>0.57925925925925925</v>
      </c>
      <c r="G1496" s="4">
        <v>47025160</v>
      </c>
      <c r="H1496">
        <v>1</v>
      </c>
      <c r="J1496">
        <v>33320202</v>
      </c>
      <c r="K1496">
        <v>1</v>
      </c>
    </row>
    <row r="1497" spans="1:11" x14ac:dyDescent="0.25">
      <c r="A1497">
        <v>60885211</v>
      </c>
      <c r="B1497" s="1">
        <v>42937</v>
      </c>
      <c r="C1497" s="2">
        <v>0.57828703703703699</v>
      </c>
      <c r="D1497" s="2">
        <v>0.58940972222222221</v>
      </c>
      <c r="G1497" s="4">
        <v>47261256</v>
      </c>
      <c r="H1497">
        <v>1</v>
      </c>
      <c r="J1497">
        <v>33708687</v>
      </c>
      <c r="K1497">
        <v>1</v>
      </c>
    </row>
    <row r="1498" spans="1:11" x14ac:dyDescent="0.25">
      <c r="A1498">
        <v>4379415</v>
      </c>
      <c r="B1498" s="1">
        <v>42937</v>
      </c>
      <c r="C1498" s="2">
        <v>0.57983796296296297</v>
      </c>
      <c r="D1498" s="2">
        <v>0.58756944444444448</v>
      </c>
      <c r="G1498" s="4">
        <v>47596793</v>
      </c>
      <c r="H1498">
        <v>1</v>
      </c>
      <c r="J1498">
        <v>34556399</v>
      </c>
      <c r="K1498">
        <v>1</v>
      </c>
    </row>
    <row r="1499" spans="1:11" x14ac:dyDescent="0.25">
      <c r="A1499">
        <v>22747425</v>
      </c>
      <c r="B1499" s="1">
        <v>42937</v>
      </c>
      <c r="C1499" s="2">
        <v>0.58520833333333333</v>
      </c>
      <c r="D1499" s="2">
        <v>0.59646990740740746</v>
      </c>
      <c r="G1499" s="4">
        <v>47615054</v>
      </c>
      <c r="H1499">
        <v>1</v>
      </c>
      <c r="J1499">
        <v>34628061</v>
      </c>
      <c r="K1499">
        <v>1</v>
      </c>
    </row>
    <row r="1500" spans="1:11" x14ac:dyDescent="0.25">
      <c r="A1500">
        <v>3858766</v>
      </c>
      <c r="B1500" s="1">
        <v>42937</v>
      </c>
      <c r="C1500" s="2">
        <v>0.59026620370370375</v>
      </c>
      <c r="D1500" s="2">
        <v>0.59652777777777777</v>
      </c>
      <c r="G1500" s="4">
        <v>47677051</v>
      </c>
      <c r="H1500">
        <v>1</v>
      </c>
      <c r="J1500">
        <v>34964547</v>
      </c>
      <c r="K1500">
        <v>1</v>
      </c>
    </row>
    <row r="1501" spans="1:11" x14ac:dyDescent="0.25">
      <c r="A1501">
        <v>6231537</v>
      </c>
      <c r="B1501" s="1">
        <v>42937</v>
      </c>
      <c r="C1501" s="2">
        <v>0.59401620370370367</v>
      </c>
      <c r="D1501" s="2">
        <v>0.60012731481481485</v>
      </c>
      <c r="G1501" s="4">
        <v>47707639</v>
      </c>
      <c r="H1501">
        <v>1</v>
      </c>
      <c r="J1501">
        <v>35281950</v>
      </c>
      <c r="K1501">
        <v>1</v>
      </c>
    </row>
    <row r="1502" spans="1:11" x14ac:dyDescent="0.25">
      <c r="A1502">
        <v>1296262</v>
      </c>
      <c r="B1502" s="1">
        <v>42937</v>
      </c>
      <c r="C1502" s="2">
        <v>0.59712962962962968</v>
      </c>
      <c r="D1502" s="2">
        <v>0.6026273148148148</v>
      </c>
      <c r="G1502" s="4">
        <v>47855743</v>
      </c>
      <c r="H1502">
        <v>1</v>
      </c>
      <c r="J1502">
        <v>35634368</v>
      </c>
      <c r="K1502">
        <v>1</v>
      </c>
    </row>
    <row r="1503" spans="1:11" x14ac:dyDescent="0.25">
      <c r="A1503">
        <v>6175467</v>
      </c>
      <c r="B1503" s="1">
        <v>42937</v>
      </c>
      <c r="C1503" s="2">
        <v>0.60185185185185186</v>
      </c>
      <c r="D1503" s="2">
        <v>0.61021990740740739</v>
      </c>
      <c r="G1503" s="4">
        <v>48497496</v>
      </c>
      <c r="H1503">
        <v>1</v>
      </c>
      <c r="J1503">
        <v>36332723</v>
      </c>
      <c r="K1503">
        <v>1</v>
      </c>
    </row>
    <row r="1504" spans="1:11" x14ac:dyDescent="0.25">
      <c r="A1504">
        <v>6434255</v>
      </c>
      <c r="B1504" s="1">
        <v>42937</v>
      </c>
      <c r="C1504" s="2">
        <v>0.60196759259259258</v>
      </c>
      <c r="D1504" s="2">
        <v>0.60356481481481483</v>
      </c>
      <c r="G1504" s="4">
        <v>48529464</v>
      </c>
      <c r="H1504">
        <v>1</v>
      </c>
      <c r="J1504">
        <v>36929553</v>
      </c>
      <c r="K1504">
        <v>1</v>
      </c>
    </row>
    <row r="1505" spans="1:11" x14ac:dyDescent="0.25">
      <c r="A1505">
        <v>2723614</v>
      </c>
      <c r="B1505" s="1">
        <v>42937</v>
      </c>
      <c r="C1505" s="2">
        <v>0.60465277777777782</v>
      </c>
      <c r="D1505" s="2">
        <v>0.60886574074074074</v>
      </c>
      <c r="G1505" s="4">
        <v>48625903</v>
      </c>
      <c r="H1505">
        <v>1</v>
      </c>
      <c r="J1505">
        <v>37032078</v>
      </c>
      <c r="K1505">
        <v>1</v>
      </c>
    </row>
    <row r="1506" spans="1:11" x14ac:dyDescent="0.25">
      <c r="A1506">
        <v>92326393</v>
      </c>
      <c r="B1506" s="1">
        <v>42937</v>
      </c>
      <c r="C1506" s="2">
        <v>0.60782407407407413</v>
      </c>
      <c r="D1506" s="2">
        <v>0.61331018518518521</v>
      </c>
      <c r="G1506" s="4">
        <v>48630026</v>
      </c>
      <c r="H1506">
        <v>1</v>
      </c>
      <c r="J1506">
        <v>37077953</v>
      </c>
      <c r="K1506">
        <v>1</v>
      </c>
    </row>
    <row r="1507" spans="1:11" x14ac:dyDescent="0.25">
      <c r="A1507">
        <v>5039266</v>
      </c>
      <c r="B1507" s="1">
        <v>42937</v>
      </c>
      <c r="C1507" s="2">
        <v>0.6121875</v>
      </c>
      <c r="D1507" s="2">
        <v>0.6181712962962963</v>
      </c>
      <c r="G1507" s="4">
        <v>48661666</v>
      </c>
      <c r="H1507">
        <v>1</v>
      </c>
      <c r="J1507">
        <v>37838778</v>
      </c>
      <c r="K1507">
        <v>1</v>
      </c>
    </row>
    <row r="1508" spans="1:11" x14ac:dyDescent="0.25">
      <c r="A1508">
        <v>3861280</v>
      </c>
      <c r="B1508" s="1">
        <v>42937</v>
      </c>
      <c r="C1508" s="2">
        <v>0.6147569444444444</v>
      </c>
      <c r="D1508" s="2">
        <v>0.62420138888888888</v>
      </c>
      <c r="G1508" s="4">
        <v>48676568</v>
      </c>
      <c r="H1508">
        <v>2</v>
      </c>
      <c r="J1508">
        <v>37906881</v>
      </c>
      <c r="K1508">
        <v>1</v>
      </c>
    </row>
    <row r="1509" spans="1:11" x14ac:dyDescent="0.25">
      <c r="A1509">
        <v>3982833</v>
      </c>
      <c r="B1509" s="1">
        <v>42937</v>
      </c>
      <c r="C1509" s="2">
        <v>0.61690972222222218</v>
      </c>
      <c r="D1509" s="2">
        <v>0.62290509259259264</v>
      </c>
      <c r="G1509" s="4">
        <v>48919339</v>
      </c>
      <c r="H1509">
        <v>1</v>
      </c>
      <c r="J1509">
        <v>37930610</v>
      </c>
      <c r="K1509">
        <v>1</v>
      </c>
    </row>
    <row r="1510" spans="1:11" x14ac:dyDescent="0.25">
      <c r="A1510">
        <v>5835972</v>
      </c>
      <c r="B1510" s="1">
        <v>42937</v>
      </c>
      <c r="C1510" s="2">
        <v>0.6206828703703704</v>
      </c>
      <c r="D1510" s="2">
        <v>0.62291666666666667</v>
      </c>
      <c r="G1510" s="4">
        <v>49093359</v>
      </c>
      <c r="H1510">
        <v>1</v>
      </c>
      <c r="J1510">
        <v>38047574</v>
      </c>
      <c r="K1510">
        <v>1</v>
      </c>
    </row>
    <row r="1511" spans="1:11" x14ac:dyDescent="0.25">
      <c r="A1511">
        <v>98382147</v>
      </c>
      <c r="B1511" s="1">
        <v>42937</v>
      </c>
      <c r="C1511" s="2">
        <v>0.62484953703703705</v>
      </c>
      <c r="D1511" s="2">
        <v>0.62848379629629625</v>
      </c>
      <c r="G1511" s="4">
        <v>49158974</v>
      </c>
      <c r="H1511">
        <v>1</v>
      </c>
      <c r="J1511">
        <v>38823305</v>
      </c>
      <c r="K1511">
        <v>1</v>
      </c>
    </row>
    <row r="1512" spans="1:11" x14ac:dyDescent="0.25">
      <c r="A1512">
        <v>9427353</v>
      </c>
      <c r="B1512" s="1">
        <v>42937</v>
      </c>
      <c r="C1512" s="2">
        <v>0.62612268518518521</v>
      </c>
      <c r="D1512" s="2">
        <v>0.62835648148148149</v>
      </c>
      <c r="G1512" s="4">
        <v>49278984</v>
      </c>
      <c r="H1512">
        <v>1</v>
      </c>
      <c r="J1512">
        <v>39210366</v>
      </c>
      <c r="K1512">
        <v>1</v>
      </c>
    </row>
    <row r="1513" spans="1:11" x14ac:dyDescent="0.25">
      <c r="A1513">
        <v>11274735</v>
      </c>
      <c r="B1513" s="1">
        <v>42940</v>
      </c>
      <c r="C1513" s="2">
        <v>0.33624999999999999</v>
      </c>
      <c r="D1513" s="2">
        <v>0.34670138888888891</v>
      </c>
      <c r="G1513" s="4">
        <v>49342013</v>
      </c>
      <c r="H1513">
        <v>2</v>
      </c>
      <c r="J1513">
        <v>39663331</v>
      </c>
      <c r="K1513">
        <v>1</v>
      </c>
    </row>
    <row r="1514" spans="1:11" x14ac:dyDescent="0.25">
      <c r="A1514">
        <v>9727873</v>
      </c>
      <c r="B1514" s="1">
        <v>42940</v>
      </c>
      <c r="C1514" s="2">
        <v>0.33728009259259262</v>
      </c>
      <c r="D1514" s="2">
        <v>0.34291666666666665</v>
      </c>
      <c r="G1514" s="4">
        <v>49390412</v>
      </c>
      <c r="H1514">
        <v>1</v>
      </c>
      <c r="J1514">
        <v>39793981</v>
      </c>
      <c r="K1514">
        <v>1</v>
      </c>
    </row>
    <row r="1515" spans="1:11" x14ac:dyDescent="0.25">
      <c r="A1515">
        <v>4804872</v>
      </c>
      <c r="B1515" s="1">
        <v>42940</v>
      </c>
      <c r="C1515" s="2">
        <v>0.3402662037037037</v>
      </c>
      <c r="D1515" s="2">
        <v>0.34250000000000003</v>
      </c>
      <c r="G1515" s="4">
        <v>49840829</v>
      </c>
      <c r="H1515">
        <v>1</v>
      </c>
      <c r="J1515">
        <v>39921944</v>
      </c>
      <c r="K1515">
        <v>1</v>
      </c>
    </row>
    <row r="1516" spans="1:11" x14ac:dyDescent="0.25">
      <c r="A1516">
        <v>22583033</v>
      </c>
      <c r="B1516" s="1">
        <v>42940</v>
      </c>
      <c r="C1516" s="2">
        <v>0.34495370370370371</v>
      </c>
      <c r="D1516" s="2">
        <v>0.3467824074074074</v>
      </c>
      <c r="G1516" s="4">
        <v>49920930</v>
      </c>
      <c r="H1516">
        <v>1</v>
      </c>
      <c r="J1516">
        <v>40120881</v>
      </c>
      <c r="K1516">
        <v>1</v>
      </c>
    </row>
    <row r="1517" spans="1:11" x14ac:dyDescent="0.25">
      <c r="A1517">
        <v>4056070</v>
      </c>
      <c r="B1517" s="1">
        <v>42940</v>
      </c>
      <c r="C1517" s="2">
        <v>0.3480787037037037</v>
      </c>
      <c r="D1517" s="2">
        <v>0.35413194444444446</v>
      </c>
      <c r="G1517" s="4">
        <v>50583407</v>
      </c>
      <c r="H1517">
        <v>1</v>
      </c>
      <c r="J1517">
        <v>40308049</v>
      </c>
      <c r="K1517">
        <v>1</v>
      </c>
    </row>
    <row r="1518" spans="1:11" x14ac:dyDescent="0.25">
      <c r="A1518">
        <v>2701816</v>
      </c>
      <c r="B1518" s="1">
        <v>42940</v>
      </c>
      <c r="C1518" s="2">
        <v>0.34879629629629627</v>
      </c>
      <c r="D1518" s="2">
        <v>0.35699074074074072</v>
      </c>
      <c r="G1518" s="4">
        <v>51367705</v>
      </c>
      <c r="H1518">
        <v>1</v>
      </c>
      <c r="J1518">
        <v>40395856</v>
      </c>
      <c r="K1518">
        <v>1</v>
      </c>
    </row>
    <row r="1519" spans="1:11" x14ac:dyDescent="0.25">
      <c r="A1519">
        <v>20735440</v>
      </c>
      <c r="B1519" s="1">
        <v>42940</v>
      </c>
      <c r="C1519" s="2">
        <v>0.35041666666666665</v>
      </c>
      <c r="D1519" s="2">
        <v>0.35834490740740743</v>
      </c>
      <c r="G1519" s="4">
        <v>51855396</v>
      </c>
      <c r="H1519">
        <v>1</v>
      </c>
      <c r="J1519">
        <v>40965486</v>
      </c>
      <c r="K1519">
        <v>1</v>
      </c>
    </row>
    <row r="1520" spans="1:11" x14ac:dyDescent="0.25">
      <c r="A1520">
        <v>9076015</v>
      </c>
      <c r="B1520" s="1">
        <v>42940</v>
      </c>
      <c r="C1520" s="2">
        <v>0.35129629629629627</v>
      </c>
      <c r="D1520" s="2">
        <v>0.35626157407407405</v>
      </c>
      <c r="G1520" s="4">
        <v>52064221</v>
      </c>
      <c r="H1520">
        <v>1</v>
      </c>
      <c r="J1520">
        <v>41144838</v>
      </c>
      <c r="K1520">
        <v>1</v>
      </c>
    </row>
    <row r="1521" spans="1:11" x14ac:dyDescent="0.25">
      <c r="A1521">
        <v>11070759</v>
      </c>
      <c r="B1521" s="1">
        <v>42940</v>
      </c>
      <c r="C1521" s="2">
        <v>0.35653935185185187</v>
      </c>
      <c r="D1521" s="2">
        <v>0.35864583333333333</v>
      </c>
      <c r="G1521" s="4">
        <v>52165701</v>
      </c>
      <c r="H1521">
        <v>2</v>
      </c>
      <c r="J1521">
        <v>41156424</v>
      </c>
      <c r="K1521">
        <v>1</v>
      </c>
    </row>
    <row r="1522" spans="1:11" x14ac:dyDescent="0.25">
      <c r="A1522">
        <v>22176115</v>
      </c>
      <c r="B1522" s="1">
        <v>42940</v>
      </c>
      <c r="C1522" s="2">
        <v>0.35991898148148149</v>
      </c>
      <c r="D1522" s="2">
        <v>0.36880787037037038</v>
      </c>
      <c r="G1522" s="4">
        <v>52214055</v>
      </c>
      <c r="H1522">
        <v>1</v>
      </c>
      <c r="J1522">
        <v>41210751</v>
      </c>
      <c r="K1522">
        <v>1</v>
      </c>
    </row>
    <row r="1523" spans="1:11" x14ac:dyDescent="0.25">
      <c r="A1523">
        <v>7456918</v>
      </c>
      <c r="B1523" s="1">
        <v>42940</v>
      </c>
      <c r="C1523" s="2">
        <v>0.36061342592592593</v>
      </c>
      <c r="D1523" s="2">
        <v>0.36667824074074074</v>
      </c>
      <c r="G1523" s="4">
        <v>52391912</v>
      </c>
      <c r="H1523">
        <v>1</v>
      </c>
      <c r="J1523">
        <v>41837828</v>
      </c>
      <c r="K1523">
        <v>1</v>
      </c>
    </row>
    <row r="1524" spans="1:11" x14ac:dyDescent="0.25">
      <c r="A1524">
        <v>6896787</v>
      </c>
      <c r="B1524" s="1">
        <v>42940</v>
      </c>
      <c r="C1524" s="2">
        <v>0.36243055555555553</v>
      </c>
      <c r="D1524" s="2">
        <v>0.36993055555555554</v>
      </c>
      <c r="G1524" s="4">
        <v>52468382</v>
      </c>
      <c r="H1524">
        <v>1</v>
      </c>
      <c r="J1524">
        <v>41974998</v>
      </c>
      <c r="K1524">
        <v>1</v>
      </c>
    </row>
    <row r="1525" spans="1:11" x14ac:dyDescent="0.25">
      <c r="A1525">
        <v>6561564994</v>
      </c>
      <c r="B1525" s="1">
        <v>42940</v>
      </c>
      <c r="C1525" s="2">
        <v>0.36334490740740738</v>
      </c>
      <c r="D1525" s="2">
        <v>0.3696875</v>
      </c>
      <c r="G1525" s="4">
        <v>53117702</v>
      </c>
      <c r="H1525">
        <v>1</v>
      </c>
      <c r="J1525">
        <v>42038927</v>
      </c>
      <c r="K1525">
        <v>1</v>
      </c>
    </row>
    <row r="1526" spans="1:11" x14ac:dyDescent="0.25">
      <c r="A1526">
        <v>8414788</v>
      </c>
      <c r="B1526" s="1">
        <v>42940</v>
      </c>
      <c r="C1526" s="2">
        <v>0.36887731481481484</v>
      </c>
      <c r="D1526" s="2">
        <v>0.37443287037037037</v>
      </c>
      <c r="G1526" s="4">
        <v>53370610</v>
      </c>
      <c r="H1526">
        <v>1</v>
      </c>
      <c r="J1526">
        <v>42373338</v>
      </c>
      <c r="K1526">
        <v>1</v>
      </c>
    </row>
    <row r="1527" spans="1:11" x14ac:dyDescent="0.25">
      <c r="A1527">
        <v>7896629</v>
      </c>
      <c r="B1527" s="1">
        <v>42940</v>
      </c>
      <c r="C1527" s="2">
        <v>0.37025462962962963</v>
      </c>
      <c r="D1527" s="2">
        <v>0.3785648148148148</v>
      </c>
      <c r="G1527" s="4">
        <v>53378457</v>
      </c>
      <c r="H1527">
        <v>1</v>
      </c>
      <c r="J1527">
        <v>42603700</v>
      </c>
      <c r="K1527">
        <v>1</v>
      </c>
    </row>
    <row r="1528" spans="1:11" x14ac:dyDescent="0.25">
      <c r="A1528">
        <v>5970183</v>
      </c>
      <c r="B1528" s="1">
        <v>42940</v>
      </c>
      <c r="C1528" s="2">
        <v>0.37150462962962966</v>
      </c>
      <c r="D1528" s="2">
        <v>0.37246527777777777</v>
      </c>
      <c r="G1528" s="4">
        <v>53386383</v>
      </c>
      <c r="H1528">
        <v>1</v>
      </c>
      <c r="J1528">
        <v>42722517</v>
      </c>
      <c r="K1528">
        <v>1</v>
      </c>
    </row>
    <row r="1529" spans="1:11" x14ac:dyDescent="0.25">
      <c r="A1529">
        <v>57891628</v>
      </c>
      <c r="B1529" s="1">
        <v>42940</v>
      </c>
      <c r="C1529" s="2">
        <v>0.37296296296296294</v>
      </c>
      <c r="D1529" s="2">
        <v>0.38413194444444443</v>
      </c>
      <c r="G1529" s="4">
        <v>53762222</v>
      </c>
      <c r="H1529">
        <v>1</v>
      </c>
      <c r="J1529">
        <v>43019885</v>
      </c>
      <c r="K1529">
        <v>1</v>
      </c>
    </row>
    <row r="1530" spans="1:11" x14ac:dyDescent="0.25">
      <c r="A1530">
        <v>53378457</v>
      </c>
      <c r="B1530" s="1">
        <v>42940</v>
      </c>
      <c r="C1530" s="2">
        <v>0.3777314814814815</v>
      </c>
      <c r="D1530" s="2">
        <v>0.38680555555555557</v>
      </c>
      <c r="G1530" s="4">
        <v>54006070</v>
      </c>
      <c r="H1530">
        <v>1</v>
      </c>
      <c r="J1530">
        <v>43277353</v>
      </c>
      <c r="K1530">
        <v>1</v>
      </c>
    </row>
    <row r="1531" spans="1:11" x14ac:dyDescent="0.25">
      <c r="A1531">
        <v>88666908</v>
      </c>
      <c r="B1531" s="1">
        <v>42940</v>
      </c>
      <c r="C1531" s="2">
        <v>0.37983796296296296</v>
      </c>
      <c r="D1531" s="2">
        <v>0.38929398148148148</v>
      </c>
      <c r="G1531" s="4">
        <v>54136845</v>
      </c>
      <c r="H1531">
        <v>2</v>
      </c>
      <c r="J1531">
        <v>43885630</v>
      </c>
      <c r="K1531">
        <v>1</v>
      </c>
    </row>
    <row r="1532" spans="1:11" x14ac:dyDescent="0.25">
      <c r="A1532">
        <v>9279730</v>
      </c>
      <c r="B1532" s="1">
        <v>42940</v>
      </c>
      <c r="C1532" s="2">
        <v>0.38046296296296295</v>
      </c>
      <c r="D1532" s="2">
        <v>0.38836805555555554</v>
      </c>
      <c r="G1532" s="4">
        <v>54536153</v>
      </c>
      <c r="H1532">
        <v>1</v>
      </c>
      <c r="J1532">
        <v>43897696</v>
      </c>
      <c r="K1532">
        <v>1</v>
      </c>
    </row>
    <row r="1533" spans="1:11" x14ac:dyDescent="0.25">
      <c r="A1533">
        <v>2928766</v>
      </c>
      <c r="B1533" s="1">
        <v>42940</v>
      </c>
      <c r="C1533" s="2">
        <v>0.38156250000000003</v>
      </c>
      <c r="D1533" s="2">
        <v>0.3893402777777778</v>
      </c>
      <c r="G1533" s="4">
        <v>54554135</v>
      </c>
      <c r="H1533">
        <v>1</v>
      </c>
      <c r="J1533">
        <v>44017210</v>
      </c>
      <c r="K1533">
        <v>1</v>
      </c>
    </row>
    <row r="1534" spans="1:11" x14ac:dyDescent="0.25">
      <c r="A1534">
        <v>4334364</v>
      </c>
      <c r="B1534" s="1">
        <v>42940</v>
      </c>
      <c r="C1534" s="2">
        <v>0.3837962962962963</v>
      </c>
      <c r="D1534" s="2">
        <v>0.39385416666666667</v>
      </c>
      <c r="G1534" s="4">
        <v>54586484</v>
      </c>
      <c r="H1534">
        <v>3</v>
      </c>
      <c r="J1534">
        <v>44200961</v>
      </c>
      <c r="K1534">
        <v>1</v>
      </c>
    </row>
    <row r="1535" spans="1:11" x14ac:dyDescent="0.25">
      <c r="A1535">
        <v>8405292</v>
      </c>
      <c r="B1535" s="1">
        <v>42940</v>
      </c>
      <c r="C1535" s="2">
        <v>0.38635416666666667</v>
      </c>
      <c r="D1535" s="2">
        <v>0.39378472222222222</v>
      </c>
      <c r="G1535" s="4">
        <v>54713807</v>
      </c>
      <c r="H1535">
        <v>1</v>
      </c>
      <c r="J1535">
        <v>44302763</v>
      </c>
      <c r="K1535">
        <v>1</v>
      </c>
    </row>
    <row r="1536" spans="1:11" x14ac:dyDescent="0.25">
      <c r="A1536">
        <v>9870841</v>
      </c>
      <c r="B1536" s="1">
        <v>42940</v>
      </c>
      <c r="C1536" s="2">
        <v>0.39209490740740743</v>
      </c>
      <c r="D1536" s="2">
        <v>0.39672453703703703</v>
      </c>
      <c r="G1536" s="4">
        <v>54821549</v>
      </c>
      <c r="H1536">
        <v>2</v>
      </c>
      <c r="J1536">
        <v>44765837</v>
      </c>
      <c r="K1536">
        <v>1</v>
      </c>
    </row>
    <row r="1537" spans="1:11" x14ac:dyDescent="0.25">
      <c r="A1537">
        <v>9722484</v>
      </c>
      <c r="B1537" s="1">
        <v>42940</v>
      </c>
      <c r="C1537" s="2">
        <v>0.39383101851851854</v>
      </c>
      <c r="D1537" s="2">
        <v>0.39630787037037035</v>
      </c>
      <c r="G1537" s="4">
        <v>54840810</v>
      </c>
      <c r="H1537">
        <v>2</v>
      </c>
      <c r="J1537">
        <v>44882393</v>
      </c>
      <c r="K1537">
        <v>1</v>
      </c>
    </row>
    <row r="1538" spans="1:11" x14ac:dyDescent="0.25">
      <c r="A1538">
        <v>1159432</v>
      </c>
      <c r="B1538" s="1">
        <v>42940</v>
      </c>
      <c r="C1538" s="2">
        <v>0.39391203703703703</v>
      </c>
      <c r="D1538" s="2">
        <v>0.39478009259259261</v>
      </c>
      <c r="G1538" s="4">
        <v>55462392</v>
      </c>
      <c r="H1538">
        <v>1</v>
      </c>
      <c r="J1538">
        <v>44937926</v>
      </c>
      <c r="K1538">
        <v>1</v>
      </c>
    </row>
    <row r="1539" spans="1:11" x14ac:dyDescent="0.25">
      <c r="A1539">
        <v>25194612</v>
      </c>
      <c r="B1539" s="1">
        <v>42940</v>
      </c>
      <c r="C1539" s="2">
        <v>0.39516203703703706</v>
      </c>
      <c r="D1539" s="2">
        <v>0.4057986111111111</v>
      </c>
      <c r="G1539" s="4">
        <v>55464931</v>
      </c>
      <c r="H1539">
        <v>1</v>
      </c>
      <c r="J1539">
        <v>45015009</v>
      </c>
      <c r="K1539">
        <v>1</v>
      </c>
    </row>
    <row r="1540" spans="1:11" x14ac:dyDescent="0.25">
      <c r="A1540">
        <v>1117628</v>
      </c>
      <c r="B1540" s="1">
        <v>42940</v>
      </c>
      <c r="C1540" s="2">
        <v>0.39614583333333331</v>
      </c>
      <c r="D1540" s="2">
        <v>0.39976851851851852</v>
      </c>
      <c r="G1540" s="4">
        <v>55614678</v>
      </c>
      <c r="H1540">
        <v>1</v>
      </c>
      <c r="J1540">
        <v>45158089</v>
      </c>
      <c r="K1540">
        <v>1</v>
      </c>
    </row>
    <row r="1541" spans="1:11" x14ac:dyDescent="0.25">
      <c r="A1541">
        <v>3624713</v>
      </c>
      <c r="B1541" s="1">
        <v>42940</v>
      </c>
      <c r="C1541" s="2">
        <v>0.39864583333333331</v>
      </c>
      <c r="D1541" s="2">
        <v>0.40440972222222221</v>
      </c>
      <c r="G1541" s="4">
        <v>55621633</v>
      </c>
      <c r="H1541">
        <v>1</v>
      </c>
      <c r="J1541">
        <v>45232967</v>
      </c>
      <c r="K1541">
        <v>1</v>
      </c>
    </row>
    <row r="1542" spans="1:11" x14ac:dyDescent="0.25">
      <c r="A1542">
        <v>5616210</v>
      </c>
      <c r="B1542" s="1">
        <v>42940</v>
      </c>
      <c r="C1542" s="2">
        <v>0.39956018518518521</v>
      </c>
      <c r="D1542" s="2">
        <v>0.40803240740740743</v>
      </c>
      <c r="G1542" s="4">
        <v>55896338</v>
      </c>
      <c r="H1542">
        <v>1</v>
      </c>
      <c r="J1542">
        <v>45373038</v>
      </c>
      <c r="K1542">
        <v>1</v>
      </c>
    </row>
    <row r="1543" spans="1:11" x14ac:dyDescent="0.25">
      <c r="A1543">
        <v>6772052</v>
      </c>
      <c r="B1543" s="1">
        <v>42940</v>
      </c>
      <c r="C1543" s="2">
        <v>0.40263888888888888</v>
      </c>
      <c r="D1543" s="2">
        <v>0.40825231481481483</v>
      </c>
      <c r="G1543" s="4">
        <v>56115408</v>
      </c>
      <c r="H1543">
        <v>1</v>
      </c>
      <c r="J1543">
        <v>45862784</v>
      </c>
      <c r="K1543">
        <v>1</v>
      </c>
    </row>
    <row r="1544" spans="1:11" x14ac:dyDescent="0.25">
      <c r="A1544">
        <v>3305212</v>
      </c>
      <c r="B1544" s="1">
        <v>42940</v>
      </c>
      <c r="C1544" s="2">
        <v>0.40641203703703704</v>
      </c>
      <c r="D1544" s="2">
        <v>0.41187499999999999</v>
      </c>
      <c r="G1544" s="4">
        <v>56127547</v>
      </c>
      <c r="H1544">
        <v>1</v>
      </c>
      <c r="J1544">
        <v>45940361</v>
      </c>
      <c r="K1544">
        <v>1</v>
      </c>
    </row>
    <row r="1545" spans="1:11" x14ac:dyDescent="0.25">
      <c r="A1545">
        <v>72701808</v>
      </c>
      <c r="B1545" s="1">
        <v>42940</v>
      </c>
      <c r="C1545" s="2">
        <v>0.40930555555555553</v>
      </c>
      <c r="D1545" s="2">
        <v>0.41968749999999999</v>
      </c>
      <c r="G1545" s="4">
        <v>57101974</v>
      </c>
      <c r="H1545">
        <v>1</v>
      </c>
      <c r="J1545">
        <v>46023878</v>
      </c>
      <c r="K1545">
        <v>1</v>
      </c>
    </row>
    <row r="1546" spans="1:11" x14ac:dyDescent="0.25">
      <c r="A1546">
        <v>4285095</v>
      </c>
      <c r="B1546" s="1">
        <v>42940</v>
      </c>
      <c r="C1546" s="2">
        <v>0.41351851851851851</v>
      </c>
      <c r="D1546" s="2">
        <v>0.41790509259259262</v>
      </c>
      <c r="G1546" s="4">
        <v>57211290</v>
      </c>
      <c r="H1546">
        <v>1</v>
      </c>
      <c r="J1546">
        <v>46255010</v>
      </c>
      <c r="K1546">
        <v>1</v>
      </c>
    </row>
    <row r="1547" spans="1:11" x14ac:dyDescent="0.25">
      <c r="A1547">
        <v>2585298</v>
      </c>
      <c r="B1547" s="1">
        <v>42940</v>
      </c>
      <c r="C1547" s="2">
        <v>0.41853009259259261</v>
      </c>
      <c r="D1547" s="2">
        <v>0.42252314814814818</v>
      </c>
      <c r="G1547" s="4">
        <v>57395204</v>
      </c>
      <c r="H1547">
        <v>1</v>
      </c>
      <c r="J1547">
        <v>47025160</v>
      </c>
      <c r="K1547">
        <v>1</v>
      </c>
    </row>
    <row r="1548" spans="1:11" x14ac:dyDescent="0.25">
      <c r="A1548">
        <v>2947035</v>
      </c>
      <c r="B1548" s="1">
        <v>42940</v>
      </c>
      <c r="C1548" s="2">
        <v>0.42241898148148149</v>
      </c>
      <c r="D1548" s="2">
        <v>0.42863425925925924</v>
      </c>
      <c r="G1548" s="4">
        <v>57891628</v>
      </c>
      <c r="H1548">
        <v>2</v>
      </c>
      <c r="J1548">
        <v>47261256</v>
      </c>
      <c r="K1548">
        <v>1</v>
      </c>
    </row>
    <row r="1549" spans="1:11" x14ac:dyDescent="0.25">
      <c r="A1549">
        <v>6615729</v>
      </c>
      <c r="B1549" s="1">
        <v>42940</v>
      </c>
      <c r="C1549" s="2">
        <v>0.42561342592592594</v>
      </c>
      <c r="D1549" s="2">
        <v>0.42799768518518516</v>
      </c>
      <c r="G1549" s="4">
        <v>57957786</v>
      </c>
      <c r="H1549">
        <v>1</v>
      </c>
      <c r="J1549">
        <v>47596793</v>
      </c>
      <c r="K1549">
        <v>1</v>
      </c>
    </row>
    <row r="1550" spans="1:11" x14ac:dyDescent="0.25">
      <c r="A1550">
        <v>2135609</v>
      </c>
      <c r="B1550" s="1">
        <v>42940</v>
      </c>
      <c r="C1550" s="2">
        <v>0.42563657407407407</v>
      </c>
      <c r="D1550" s="2">
        <v>0.42670138888888887</v>
      </c>
      <c r="G1550" s="4">
        <v>58037769</v>
      </c>
      <c r="H1550">
        <v>1</v>
      </c>
      <c r="J1550">
        <v>47615054</v>
      </c>
      <c r="K1550">
        <v>1</v>
      </c>
    </row>
    <row r="1551" spans="1:11" x14ac:dyDescent="0.25">
      <c r="A1551">
        <v>2697566</v>
      </c>
      <c r="B1551" s="1">
        <v>42940</v>
      </c>
      <c r="C1551" s="2">
        <v>0.42951388888888886</v>
      </c>
      <c r="D1551" s="2">
        <v>0.44059027777777776</v>
      </c>
      <c r="G1551" s="4">
        <v>58067439</v>
      </c>
      <c r="H1551">
        <v>1</v>
      </c>
      <c r="J1551">
        <v>47677051</v>
      </c>
      <c r="K1551">
        <v>1</v>
      </c>
    </row>
    <row r="1552" spans="1:11" x14ac:dyDescent="0.25">
      <c r="A1552">
        <v>2569721</v>
      </c>
      <c r="B1552" s="1">
        <v>42940</v>
      </c>
      <c r="C1552" s="2">
        <v>0.43133101851851852</v>
      </c>
      <c r="D1552" s="2">
        <v>0.43762731481481482</v>
      </c>
      <c r="G1552" s="4">
        <v>58420185</v>
      </c>
      <c r="H1552">
        <v>2</v>
      </c>
      <c r="J1552">
        <v>47707639</v>
      </c>
      <c r="K1552">
        <v>1</v>
      </c>
    </row>
    <row r="1553" spans="1:11" x14ac:dyDescent="0.25">
      <c r="A1553">
        <v>96375379</v>
      </c>
      <c r="B1553" s="1">
        <v>42940</v>
      </c>
      <c r="C1553" s="2">
        <v>0.43637731481481479</v>
      </c>
      <c r="D1553" s="2">
        <v>0.44526620370370368</v>
      </c>
      <c r="G1553" s="4">
        <v>59508384</v>
      </c>
      <c r="H1553">
        <v>1</v>
      </c>
      <c r="J1553">
        <v>47855743</v>
      </c>
      <c r="K1553">
        <v>1</v>
      </c>
    </row>
    <row r="1554" spans="1:11" x14ac:dyDescent="0.25">
      <c r="A1554">
        <v>3968528766</v>
      </c>
      <c r="B1554" s="1">
        <v>42940</v>
      </c>
      <c r="C1554" s="2">
        <v>0.44081018518518517</v>
      </c>
      <c r="D1554" s="2">
        <v>0.44767361111111109</v>
      </c>
      <c r="G1554" s="4">
        <v>59723258</v>
      </c>
      <c r="H1554">
        <v>1</v>
      </c>
      <c r="J1554">
        <v>48497496</v>
      </c>
      <c r="K1554">
        <v>1</v>
      </c>
    </row>
    <row r="1555" spans="1:11" x14ac:dyDescent="0.25">
      <c r="A1555">
        <v>8133585</v>
      </c>
      <c r="B1555" s="1">
        <v>42940</v>
      </c>
      <c r="C1555" s="2">
        <v>0.44185185185185183</v>
      </c>
      <c r="D1555" s="2">
        <v>0.44634259259259257</v>
      </c>
      <c r="G1555" s="4">
        <v>59864989</v>
      </c>
      <c r="H1555">
        <v>1</v>
      </c>
      <c r="J1555">
        <v>48529464</v>
      </c>
      <c r="K1555">
        <v>1</v>
      </c>
    </row>
    <row r="1556" spans="1:11" x14ac:dyDescent="0.25">
      <c r="A1556">
        <v>45232967</v>
      </c>
      <c r="B1556" s="1">
        <v>42940</v>
      </c>
      <c r="C1556" s="2">
        <v>0.4462962962962963</v>
      </c>
      <c r="D1556" s="2">
        <v>0.44753472222222224</v>
      </c>
      <c r="G1556" s="4">
        <v>59984179</v>
      </c>
      <c r="H1556">
        <v>1</v>
      </c>
      <c r="J1556">
        <v>48625903</v>
      </c>
      <c r="K1556">
        <v>1</v>
      </c>
    </row>
    <row r="1557" spans="1:11" x14ac:dyDescent="0.25">
      <c r="A1557">
        <v>8900603</v>
      </c>
      <c r="B1557" s="1">
        <v>42940</v>
      </c>
      <c r="C1557" s="2">
        <v>0.44680555555555557</v>
      </c>
      <c r="D1557" s="2">
        <v>0.45518518518518519</v>
      </c>
      <c r="G1557" s="4">
        <v>60113139</v>
      </c>
      <c r="H1557">
        <v>2</v>
      </c>
      <c r="J1557">
        <v>48630026</v>
      </c>
      <c r="K1557">
        <v>1</v>
      </c>
    </row>
    <row r="1558" spans="1:11" x14ac:dyDescent="0.25">
      <c r="A1558">
        <v>9413315</v>
      </c>
      <c r="B1558" s="1">
        <v>42940</v>
      </c>
      <c r="C1558" s="2">
        <v>0.4490277777777778</v>
      </c>
      <c r="D1558" s="2">
        <v>0.45984953703703701</v>
      </c>
      <c r="G1558" s="4">
        <v>60158843</v>
      </c>
      <c r="H1558">
        <v>1</v>
      </c>
      <c r="J1558">
        <v>48661666</v>
      </c>
      <c r="K1558">
        <v>1</v>
      </c>
    </row>
    <row r="1559" spans="1:11" x14ac:dyDescent="0.25">
      <c r="A1559">
        <v>9781981</v>
      </c>
      <c r="B1559" s="1">
        <v>42940</v>
      </c>
      <c r="C1559" s="2">
        <v>0.45392361111111112</v>
      </c>
      <c r="D1559" s="2">
        <v>0.4582060185185185</v>
      </c>
      <c r="G1559" s="4">
        <v>60454232</v>
      </c>
      <c r="H1559">
        <v>1</v>
      </c>
      <c r="J1559">
        <v>48919339</v>
      </c>
      <c r="K1559">
        <v>1</v>
      </c>
    </row>
    <row r="1560" spans="1:11" x14ac:dyDescent="0.25">
      <c r="A1560">
        <v>9527543</v>
      </c>
      <c r="B1560" s="1">
        <v>42940</v>
      </c>
      <c r="C1560" s="2">
        <v>0.45481481481481484</v>
      </c>
      <c r="D1560" s="2">
        <v>0.45863425925925927</v>
      </c>
      <c r="G1560" s="4">
        <v>60885211</v>
      </c>
      <c r="H1560">
        <v>1</v>
      </c>
      <c r="J1560">
        <v>49093359</v>
      </c>
      <c r="K1560">
        <v>1</v>
      </c>
    </row>
    <row r="1561" spans="1:11" x14ac:dyDescent="0.25">
      <c r="A1561">
        <v>91626903</v>
      </c>
      <c r="B1561" s="1">
        <v>42940</v>
      </c>
      <c r="C1561" s="2">
        <v>0.45930555555555558</v>
      </c>
      <c r="D1561" s="2">
        <v>0.46885416666666668</v>
      </c>
      <c r="G1561" s="4">
        <v>61228399</v>
      </c>
      <c r="H1561">
        <v>1</v>
      </c>
      <c r="J1561">
        <v>49158974</v>
      </c>
      <c r="K1561">
        <v>1</v>
      </c>
    </row>
    <row r="1562" spans="1:11" x14ac:dyDescent="0.25">
      <c r="A1562">
        <v>1475008</v>
      </c>
      <c r="B1562" s="1">
        <v>42940</v>
      </c>
      <c r="C1562" s="2">
        <v>0.46489583333333334</v>
      </c>
      <c r="D1562" s="2">
        <v>0.47530092592592593</v>
      </c>
      <c r="G1562" s="4">
        <v>61322035</v>
      </c>
      <c r="H1562">
        <v>1</v>
      </c>
      <c r="J1562">
        <v>49278984</v>
      </c>
      <c r="K1562">
        <v>1</v>
      </c>
    </row>
    <row r="1563" spans="1:11" x14ac:dyDescent="0.25">
      <c r="A1563">
        <v>4767842</v>
      </c>
      <c r="B1563" s="1">
        <v>42940</v>
      </c>
      <c r="C1563" s="2">
        <v>0.46971064814814817</v>
      </c>
      <c r="D1563" s="2">
        <v>0.47116898148148151</v>
      </c>
      <c r="G1563" s="4">
        <v>61527800</v>
      </c>
      <c r="H1563">
        <v>1</v>
      </c>
      <c r="J1563">
        <v>49390412</v>
      </c>
      <c r="K1563">
        <v>1</v>
      </c>
    </row>
    <row r="1564" spans="1:11" x14ac:dyDescent="0.25">
      <c r="A1564">
        <v>64586869</v>
      </c>
      <c r="B1564" s="1">
        <v>42940</v>
      </c>
      <c r="C1564" s="2">
        <v>0.47188657407407408</v>
      </c>
      <c r="D1564" s="2">
        <v>0.47260416666666666</v>
      </c>
      <c r="G1564" s="4">
        <v>61812355</v>
      </c>
      <c r="H1564">
        <v>1</v>
      </c>
      <c r="J1564">
        <v>49840829</v>
      </c>
      <c r="K1564">
        <v>1</v>
      </c>
    </row>
    <row r="1565" spans="1:11" x14ac:dyDescent="0.25">
      <c r="A1565">
        <v>7066389</v>
      </c>
      <c r="B1565" s="1">
        <v>42940</v>
      </c>
      <c r="C1565" s="2">
        <v>0.47590277777777779</v>
      </c>
      <c r="D1565" s="2">
        <v>0.47621527777777778</v>
      </c>
      <c r="G1565" s="4">
        <v>62016185</v>
      </c>
      <c r="H1565">
        <v>2</v>
      </c>
      <c r="J1565">
        <v>49920930</v>
      </c>
      <c r="K1565">
        <v>1</v>
      </c>
    </row>
    <row r="1566" spans="1:11" x14ac:dyDescent="0.25">
      <c r="A1566">
        <v>28791070</v>
      </c>
      <c r="B1566" s="1">
        <v>42940</v>
      </c>
      <c r="C1566" s="2">
        <v>0.48082175925925924</v>
      </c>
      <c r="D1566" s="2">
        <v>0.49135416666666665</v>
      </c>
      <c r="G1566" s="4">
        <v>62086163</v>
      </c>
      <c r="H1566">
        <v>2</v>
      </c>
      <c r="J1566">
        <v>50583407</v>
      </c>
      <c r="K1566">
        <v>1</v>
      </c>
    </row>
    <row r="1567" spans="1:11" x14ac:dyDescent="0.25">
      <c r="A1567">
        <v>5094248</v>
      </c>
      <c r="B1567" s="1">
        <v>42940</v>
      </c>
      <c r="C1567" s="2">
        <v>0.48358796296296297</v>
      </c>
      <c r="D1567" s="2">
        <v>0.48965277777777777</v>
      </c>
      <c r="G1567" s="4">
        <v>62150310</v>
      </c>
      <c r="H1567">
        <v>1</v>
      </c>
      <c r="J1567">
        <v>51367705</v>
      </c>
      <c r="K1567">
        <v>1</v>
      </c>
    </row>
    <row r="1568" spans="1:11" x14ac:dyDescent="0.25">
      <c r="A1568">
        <v>44882393</v>
      </c>
      <c r="B1568" s="1">
        <v>42940</v>
      </c>
      <c r="C1568" s="2">
        <v>0.4866550925925926</v>
      </c>
      <c r="D1568" s="2">
        <v>0.49528935185185186</v>
      </c>
      <c r="G1568" s="4">
        <v>62653835</v>
      </c>
      <c r="H1568">
        <v>1</v>
      </c>
      <c r="J1568">
        <v>51855396</v>
      </c>
      <c r="K1568">
        <v>1</v>
      </c>
    </row>
    <row r="1569" spans="1:11" x14ac:dyDescent="0.25">
      <c r="A1569">
        <v>29391132</v>
      </c>
      <c r="B1569" s="1">
        <v>42940</v>
      </c>
      <c r="C1569" s="2">
        <v>0.48770833333333335</v>
      </c>
      <c r="D1569" s="2">
        <v>0.49613425925925925</v>
      </c>
      <c r="G1569" s="4">
        <v>62836073</v>
      </c>
      <c r="H1569">
        <v>1</v>
      </c>
      <c r="J1569">
        <v>52064221</v>
      </c>
      <c r="K1569">
        <v>1</v>
      </c>
    </row>
    <row r="1570" spans="1:11" x14ac:dyDescent="0.25">
      <c r="A1570">
        <v>9892639</v>
      </c>
      <c r="B1570" s="1">
        <v>42940</v>
      </c>
      <c r="C1570" s="2">
        <v>0.48836805555555557</v>
      </c>
      <c r="D1570" s="2">
        <v>0.48893518518518519</v>
      </c>
      <c r="G1570" s="4">
        <v>63141248</v>
      </c>
      <c r="H1570">
        <v>1</v>
      </c>
      <c r="J1570">
        <v>52214055</v>
      </c>
      <c r="K1570">
        <v>1</v>
      </c>
    </row>
    <row r="1571" spans="1:11" x14ac:dyDescent="0.25">
      <c r="A1571">
        <v>3979295</v>
      </c>
      <c r="B1571" s="1">
        <v>42940</v>
      </c>
      <c r="C1571" s="2">
        <v>0.49062499999999998</v>
      </c>
      <c r="D1571" s="2">
        <v>0.49767361111111114</v>
      </c>
      <c r="G1571" s="4">
        <v>63291235</v>
      </c>
      <c r="H1571">
        <v>1</v>
      </c>
      <c r="J1571">
        <v>52391912</v>
      </c>
      <c r="K1571">
        <v>1</v>
      </c>
    </row>
    <row r="1572" spans="1:11" x14ac:dyDescent="0.25">
      <c r="A1572">
        <v>8471219</v>
      </c>
      <c r="B1572" s="1">
        <v>42940</v>
      </c>
      <c r="C1572" s="2">
        <v>0.49229166666666668</v>
      </c>
      <c r="D1572" s="2">
        <v>0.49554398148148149</v>
      </c>
      <c r="G1572" s="4">
        <v>63492662</v>
      </c>
      <c r="H1572">
        <v>1</v>
      </c>
      <c r="J1572">
        <v>52468382</v>
      </c>
      <c r="K1572">
        <v>1</v>
      </c>
    </row>
    <row r="1573" spans="1:11" x14ac:dyDescent="0.25">
      <c r="A1573">
        <v>5631380</v>
      </c>
      <c r="B1573" s="1">
        <v>42940</v>
      </c>
      <c r="C1573" s="2">
        <v>0.49274305555555553</v>
      </c>
      <c r="D1573" s="2">
        <v>0.50315972222222227</v>
      </c>
      <c r="G1573" s="4">
        <v>63613334</v>
      </c>
      <c r="H1573">
        <v>1</v>
      </c>
      <c r="J1573">
        <v>53117702</v>
      </c>
      <c r="K1573">
        <v>1</v>
      </c>
    </row>
    <row r="1574" spans="1:11" x14ac:dyDescent="0.25">
      <c r="A1574">
        <v>6309138</v>
      </c>
      <c r="B1574" s="1">
        <v>42940</v>
      </c>
      <c r="C1574" s="2">
        <v>0.49416666666666664</v>
      </c>
      <c r="D1574" s="2">
        <v>0.49465277777777777</v>
      </c>
      <c r="G1574" s="4">
        <v>64586869</v>
      </c>
      <c r="H1574">
        <v>1</v>
      </c>
      <c r="J1574">
        <v>53370610</v>
      </c>
      <c r="K1574">
        <v>1</v>
      </c>
    </row>
    <row r="1575" spans="1:11" x14ac:dyDescent="0.25">
      <c r="A1575">
        <v>72287838</v>
      </c>
      <c r="B1575" s="1">
        <v>42940</v>
      </c>
      <c r="C1575" s="2">
        <v>0.49633101851851852</v>
      </c>
      <c r="D1575" s="2">
        <v>0.50209490740740736</v>
      </c>
      <c r="G1575" s="4">
        <v>64733982</v>
      </c>
      <c r="H1575">
        <v>1</v>
      </c>
      <c r="J1575">
        <v>53378457</v>
      </c>
      <c r="K1575">
        <v>1</v>
      </c>
    </row>
    <row r="1576" spans="1:11" x14ac:dyDescent="0.25">
      <c r="A1576">
        <v>2515441</v>
      </c>
      <c r="B1576" s="1">
        <v>42940</v>
      </c>
      <c r="C1576" s="2">
        <v>0.49857638888888889</v>
      </c>
      <c r="D1576" s="2">
        <v>0.50195601851851857</v>
      </c>
      <c r="G1576" s="4">
        <v>64900068</v>
      </c>
      <c r="H1576">
        <v>1</v>
      </c>
      <c r="J1576">
        <v>53386383</v>
      </c>
      <c r="K1576">
        <v>1</v>
      </c>
    </row>
    <row r="1577" spans="1:11" x14ac:dyDescent="0.25">
      <c r="A1577">
        <v>8056387</v>
      </c>
      <c r="B1577" s="1">
        <v>42940</v>
      </c>
      <c r="C1577" s="2">
        <v>0.50306712962962963</v>
      </c>
      <c r="D1577" s="2">
        <v>0.51333333333333331</v>
      </c>
      <c r="G1577" s="4">
        <v>64932677</v>
      </c>
      <c r="H1577">
        <v>1</v>
      </c>
      <c r="J1577">
        <v>53762222</v>
      </c>
      <c r="K1577">
        <v>1</v>
      </c>
    </row>
    <row r="1578" spans="1:11" x14ac:dyDescent="0.25">
      <c r="A1578">
        <v>5489867</v>
      </c>
      <c r="B1578" s="1">
        <v>42940</v>
      </c>
      <c r="C1578" s="2">
        <v>0.50583333333333336</v>
      </c>
      <c r="D1578" s="2">
        <v>0.51407407407407413</v>
      </c>
      <c r="G1578" s="4">
        <v>65166542</v>
      </c>
      <c r="H1578">
        <v>1</v>
      </c>
      <c r="J1578">
        <v>54006070</v>
      </c>
      <c r="K1578">
        <v>1</v>
      </c>
    </row>
    <row r="1579" spans="1:11" x14ac:dyDescent="0.25">
      <c r="A1579">
        <v>5528648</v>
      </c>
      <c r="B1579" s="1">
        <v>42940</v>
      </c>
      <c r="C1579" s="2">
        <v>0.50611111111111107</v>
      </c>
      <c r="D1579" s="2">
        <v>0.51354166666666667</v>
      </c>
      <c r="G1579" s="4">
        <v>65621292</v>
      </c>
      <c r="H1579">
        <v>1</v>
      </c>
      <c r="J1579">
        <v>54536153</v>
      </c>
      <c r="K1579">
        <v>1</v>
      </c>
    </row>
    <row r="1580" spans="1:11" x14ac:dyDescent="0.25">
      <c r="A1580">
        <v>4293872</v>
      </c>
      <c r="B1580" s="1">
        <v>42940</v>
      </c>
      <c r="C1580" s="2">
        <v>0.50714120370370375</v>
      </c>
      <c r="D1580" s="2">
        <v>0.51232638888888893</v>
      </c>
      <c r="G1580" s="4">
        <v>65923776</v>
      </c>
      <c r="H1580">
        <v>1</v>
      </c>
      <c r="J1580">
        <v>54554135</v>
      </c>
      <c r="K1580">
        <v>1</v>
      </c>
    </row>
    <row r="1581" spans="1:11" x14ac:dyDescent="0.25">
      <c r="A1581">
        <v>99625946</v>
      </c>
      <c r="B1581" s="1">
        <v>42940</v>
      </c>
      <c r="C1581" s="2">
        <v>0.51270833333333332</v>
      </c>
      <c r="D1581" s="2">
        <v>0.52407407407407403</v>
      </c>
      <c r="G1581" s="4">
        <v>66336445</v>
      </c>
      <c r="H1581">
        <v>1</v>
      </c>
      <c r="J1581">
        <v>54713807</v>
      </c>
      <c r="K1581">
        <v>1</v>
      </c>
    </row>
    <row r="1582" spans="1:11" x14ac:dyDescent="0.25">
      <c r="A1582">
        <v>9827875</v>
      </c>
      <c r="B1582" s="1">
        <v>42940</v>
      </c>
      <c r="C1582" s="2">
        <v>0.51512731481481477</v>
      </c>
      <c r="D1582" s="2">
        <v>0.51954861111111106</v>
      </c>
      <c r="G1582" s="4">
        <v>66377806</v>
      </c>
      <c r="H1582">
        <v>1</v>
      </c>
      <c r="J1582">
        <v>55462392</v>
      </c>
      <c r="K1582">
        <v>1</v>
      </c>
    </row>
    <row r="1583" spans="1:11" x14ac:dyDescent="0.25">
      <c r="A1583">
        <v>40120881</v>
      </c>
      <c r="B1583" s="1">
        <v>42940</v>
      </c>
      <c r="C1583" s="2">
        <v>0.51746527777777773</v>
      </c>
      <c r="D1583" s="2">
        <v>0.52686342592592594</v>
      </c>
      <c r="G1583" s="4">
        <v>66465215</v>
      </c>
      <c r="H1583">
        <v>1</v>
      </c>
      <c r="J1583">
        <v>55464931</v>
      </c>
      <c r="K1583">
        <v>1</v>
      </c>
    </row>
    <row r="1584" spans="1:11" x14ac:dyDescent="0.25">
      <c r="A1584">
        <v>42373338</v>
      </c>
      <c r="B1584" s="1">
        <v>42940</v>
      </c>
      <c r="C1584" s="2">
        <v>0.51962962962962966</v>
      </c>
      <c r="D1584" s="2">
        <v>0.53030092592592593</v>
      </c>
      <c r="G1584" s="4">
        <v>66638685</v>
      </c>
      <c r="H1584">
        <v>1</v>
      </c>
      <c r="J1584">
        <v>55614678</v>
      </c>
      <c r="K1584">
        <v>1</v>
      </c>
    </row>
    <row r="1585" spans="1:11" x14ac:dyDescent="0.25">
      <c r="A1585">
        <v>39697250</v>
      </c>
      <c r="B1585" s="1">
        <v>42940</v>
      </c>
      <c r="C1585" s="2">
        <v>0.52520833333333339</v>
      </c>
      <c r="D1585" s="2">
        <v>0.52866898148148145</v>
      </c>
      <c r="G1585" s="4">
        <v>66800387</v>
      </c>
      <c r="H1585">
        <v>3</v>
      </c>
      <c r="J1585">
        <v>55621633</v>
      </c>
      <c r="K1585">
        <v>1</v>
      </c>
    </row>
    <row r="1586" spans="1:11" x14ac:dyDescent="0.25">
      <c r="A1586">
        <v>55464931</v>
      </c>
      <c r="B1586" s="1">
        <v>42940</v>
      </c>
      <c r="C1586" s="2">
        <v>0.5285185185185185</v>
      </c>
      <c r="D1586" s="2">
        <v>0.53349537037037043</v>
      </c>
      <c r="G1586" s="4">
        <v>66871690</v>
      </c>
      <c r="H1586">
        <v>2</v>
      </c>
      <c r="J1586">
        <v>55896338</v>
      </c>
      <c r="K1586">
        <v>1</v>
      </c>
    </row>
    <row r="1587" spans="1:11" x14ac:dyDescent="0.25">
      <c r="A1587">
        <v>3616291</v>
      </c>
      <c r="B1587" s="1">
        <v>42940</v>
      </c>
      <c r="C1587" s="2">
        <v>0.53403935185185181</v>
      </c>
      <c r="D1587" s="2">
        <v>0.54538194444444443</v>
      </c>
      <c r="G1587" s="4">
        <v>67064385</v>
      </c>
      <c r="H1587">
        <v>2</v>
      </c>
      <c r="J1587">
        <v>56115408</v>
      </c>
      <c r="K1587">
        <v>1</v>
      </c>
    </row>
    <row r="1588" spans="1:11" x14ac:dyDescent="0.25">
      <c r="A1588">
        <v>3473734</v>
      </c>
      <c r="B1588" s="1">
        <v>42940</v>
      </c>
      <c r="C1588" s="2">
        <v>0.53949074074074077</v>
      </c>
      <c r="D1588" s="2">
        <v>0.54844907407407406</v>
      </c>
      <c r="G1588" s="4">
        <v>67688044</v>
      </c>
      <c r="H1588">
        <v>1</v>
      </c>
      <c r="J1588">
        <v>56127547</v>
      </c>
      <c r="K1588">
        <v>1</v>
      </c>
    </row>
    <row r="1589" spans="1:11" x14ac:dyDescent="0.25">
      <c r="A1589">
        <v>63492662</v>
      </c>
      <c r="B1589" s="1">
        <v>42940</v>
      </c>
      <c r="C1589" s="2">
        <v>0.54060185185185183</v>
      </c>
      <c r="D1589" s="2">
        <v>0.54240740740740745</v>
      </c>
      <c r="G1589" s="4">
        <v>67748426</v>
      </c>
      <c r="H1589">
        <v>2</v>
      </c>
      <c r="J1589">
        <v>57101974</v>
      </c>
      <c r="K1589">
        <v>1</v>
      </c>
    </row>
    <row r="1590" spans="1:11" x14ac:dyDescent="0.25">
      <c r="A1590">
        <v>2104331</v>
      </c>
      <c r="B1590" s="1">
        <v>42940</v>
      </c>
      <c r="C1590" s="2">
        <v>0.54410879629629627</v>
      </c>
      <c r="D1590" s="2">
        <v>0.55207175925925922</v>
      </c>
      <c r="G1590" s="4">
        <v>67913744</v>
      </c>
      <c r="H1590">
        <v>1</v>
      </c>
      <c r="J1590">
        <v>57211290</v>
      </c>
      <c r="K1590">
        <v>1</v>
      </c>
    </row>
    <row r="1591" spans="1:11" x14ac:dyDescent="0.25">
      <c r="A1591">
        <v>9555643</v>
      </c>
      <c r="B1591" s="1">
        <v>42940</v>
      </c>
      <c r="C1591" s="2">
        <v>0.54478009259259264</v>
      </c>
      <c r="D1591" s="2">
        <v>0.55106481481481484</v>
      </c>
      <c r="G1591" s="4">
        <v>67964973</v>
      </c>
      <c r="H1591">
        <v>2</v>
      </c>
      <c r="J1591">
        <v>57395204</v>
      </c>
      <c r="K1591">
        <v>1</v>
      </c>
    </row>
    <row r="1592" spans="1:11" x14ac:dyDescent="0.25">
      <c r="A1592">
        <v>5220235</v>
      </c>
      <c r="B1592" s="1">
        <v>42940</v>
      </c>
      <c r="C1592" s="2">
        <v>0.54741898148148149</v>
      </c>
      <c r="D1592" s="2">
        <v>0.54915509259259254</v>
      </c>
      <c r="G1592" s="4">
        <v>68043713</v>
      </c>
      <c r="H1592">
        <v>1</v>
      </c>
      <c r="J1592">
        <v>57957786</v>
      </c>
      <c r="K1592">
        <v>1</v>
      </c>
    </row>
    <row r="1593" spans="1:11" x14ac:dyDescent="0.25">
      <c r="A1593">
        <v>26254490</v>
      </c>
      <c r="B1593" s="1">
        <v>42940</v>
      </c>
      <c r="C1593" s="2">
        <v>0.54773148148148143</v>
      </c>
      <c r="D1593" s="2">
        <v>0.55074074074074075</v>
      </c>
      <c r="G1593" s="4">
        <v>68647339</v>
      </c>
      <c r="H1593">
        <v>1</v>
      </c>
      <c r="J1593">
        <v>58037769</v>
      </c>
      <c r="K1593">
        <v>1</v>
      </c>
    </row>
    <row r="1594" spans="1:11" x14ac:dyDescent="0.25">
      <c r="A1594">
        <v>26463662</v>
      </c>
      <c r="B1594" s="1">
        <v>42940</v>
      </c>
      <c r="C1594" s="2">
        <v>0.55153935185185188</v>
      </c>
      <c r="D1594" s="2">
        <v>0.56090277777777775</v>
      </c>
      <c r="G1594" s="4">
        <v>68647777</v>
      </c>
      <c r="H1594">
        <v>1</v>
      </c>
      <c r="J1594">
        <v>58067439</v>
      </c>
      <c r="K1594">
        <v>1</v>
      </c>
    </row>
    <row r="1595" spans="1:11" x14ac:dyDescent="0.25">
      <c r="A1595">
        <v>2853860</v>
      </c>
      <c r="B1595" s="1">
        <v>42940</v>
      </c>
      <c r="C1595" s="2">
        <v>0.55491898148148144</v>
      </c>
      <c r="D1595" s="2">
        <v>0.55787037037037035</v>
      </c>
      <c r="G1595" s="4">
        <v>68677362</v>
      </c>
      <c r="H1595">
        <v>1</v>
      </c>
      <c r="J1595">
        <v>59508384</v>
      </c>
      <c r="K1595">
        <v>1</v>
      </c>
    </row>
    <row r="1596" spans="1:11" x14ac:dyDescent="0.25">
      <c r="A1596">
        <v>1829028</v>
      </c>
      <c r="B1596" s="1">
        <v>42940</v>
      </c>
      <c r="C1596" s="2">
        <v>0.5602893518518518</v>
      </c>
      <c r="D1596" s="2">
        <v>0.57128472222222226</v>
      </c>
      <c r="G1596" s="4">
        <v>68966479</v>
      </c>
      <c r="H1596">
        <v>1</v>
      </c>
      <c r="J1596">
        <v>59723258</v>
      </c>
      <c r="K1596">
        <v>1</v>
      </c>
    </row>
    <row r="1597" spans="1:11" x14ac:dyDescent="0.25">
      <c r="A1597">
        <v>1365581</v>
      </c>
      <c r="B1597" s="1">
        <v>42940</v>
      </c>
      <c r="C1597" s="2">
        <v>0.56196759259259255</v>
      </c>
      <c r="D1597" s="2">
        <v>0.57019675925925928</v>
      </c>
      <c r="G1597" s="4">
        <v>69001821</v>
      </c>
      <c r="H1597">
        <v>1</v>
      </c>
      <c r="J1597">
        <v>59864989</v>
      </c>
      <c r="K1597">
        <v>1</v>
      </c>
    </row>
    <row r="1598" spans="1:11" x14ac:dyDescent="0.25">
      <c r="A1598">
        <v>66800387</v>
      </c>
      <c r="B1598" s="1">
        <v>42940</v>
      </c>
      <c r="C1598" s="2">
        <v>0.5634837962962963</v>
      </c>
      <c r="D1598" s="2">
        <v>0.56763888888888892</v>
      </c>
      <c r="G1598" s="4">
        <v>69273048</v>
      </c>
      <c r="H1598">
        <v>1</v>
      </c>
      <c r="J1598">
        <v>59984179</v>
      </c>
      <c r="K1598">
        <v>1</v>
      </c>
    </row>
    <row r="1599" spans="1:11" x14ac:dyDescent="0.25">
      <c r="A1599">
        <v>9282666</v>
      </c>
      <c r="B1599" s="1">
        <v>42940</v>
      </c>
      <c r="C1599" s="2">
        <v>0.56879629629629624</v>
      </c>
      <c r="D1599" s="2">
        <v>0.56934027777777774</v>
      </c>
      <c r="G1599" s="4">
        <v>69734527</v>
      </c>
      <c r="H1599">
        <v>1</v>
      </c>
      <c r="J1599">
        <v>60158843</v>
      </c>
      <c r="K1599">
        <v>1</v>
      </c>
    </row>
    <row r="1600" spans="1:11" x14ac:dyDescent="0.25">
      <c r="A1600">
        <v>7994769</v>
      </c>
      <c r="B1600" s="1">
        <v>42940</v>
      </c>
      <c r="C1600" s="2">
        <v>0.56980324074074074</v>
      </c>
      <c r="D1600" s="2">
        <v>0.57826388888888891</v>
      </c>
      <c r="G1600" s="4">
        <v>70367818</v>
      </c>
      <c r="H1600">
        <v>1</v>
      </c>
      <c r="J1600">
        <v>60454232</v>
      </c>
      <c r="K1600">
        <v>1</v>
      </c>
    </row>
    <row r="1601" spans="1:11" x14ac:dyDescent="0.25">
      <c r="A1601">
        <v>3638038</v>
      </c>
      <c r="B1601" s="1">
        <v>42940</v>
      </c>
      <c r="C1601" s="2">
        <v>0.57262731481481477</v>
      </c>
      <c r="D1601" s="2">
        <v>0.57846064814814813</v>
      </c>
      <c r="G1601" s="4">
        <v>70606958</v>
      </c>
      <c r="H1601">
        <v>1</v>
      </c>
      <c r="J1601">
        <v>60885211</v>
      </c>
      <c r="K1601">
        <v>1</v>
      </c>
    </row>
    <row r="1602" spans="1:11" x14ac:dyDescent="0.25">
      <c r="A1602">
        <v>5221005</v>
      </c>
      <c r="B1602" s="1">
        <v>42940</v>
      </c>
      <c r="C1602" s="2">
        <v>0.57321759259259264</v>
      </c>
      <c r="D1602" s="2">
        <v>0.57461805555555556</v>
      </c>
      <c r="G1602" s="4">
        <v>70678482</v>
      </c>
      <c r="H1602">
        <v>1</v>
      </c>
      <c r="J1602">
        <v>61228399</v>
      </c>
      <c r="K1602">
        <v>1</v>
      </c>
    </row>
    <row r="1603" spans="1:11" x14ac:dyDescent="0.25">
      <c r="A1603">
        <v>3150344</v>
      </c>
      <c r="B1603" s="1">
        <v>42940</v>
      </c>
      <c r="C1603" s="2">
        <v>0.57322916666666668</v>
      </c>
      <c r="D1603" s="2">
        <v>0.58089120370370373</v>
      </c>
      <c r="G1603" s="4">
        <v>70730125</v>
      </c>
      <c r="H1603">
        <v>2</v>
      </c>
      <c r="J1603">
        <v>61322035</v>
      </c>
      <c r="K1603">
        <v>1</v>
      </c>
    </row>
    <row r="1604" spans="1:11" x14ac:dyDescent="0.25">
      <c r="A1604">
        <v>2780765</v>
      </c>
      <c r="B1604" s="1">
        <v>42940</v>
      </c>
      <c r="C1604" s="2">
        <v>0.57582175925925927</v>
      </c>
      <c r="D1604" s="2">
        <v>0.57693287037037033</v>
      </c>
      <c r="G1604" s="4">
        <v>70786056</v>
      </c>
      <c r="H1604">
        <v>1</v>
      </c>
      <c r="J1604">
        <v>61527800</v>
      </c>
      <c r="K1604">
        <v>1</v>
      </c>
    </row>
    <row r="1605" spans="1:11" x14ac:dyDescent="0.25">
      <c r="A1605">
        <v>3720500</v>
      </c>
      <c r="B1605" s="1">
        <v>42940</v>
      </c>
      <c r="C1605" s="2">
        <v>0.57660879629629624</v>
      </c>
      <c r="D1605" s="2">
        <v>0.58250000000000002</v>
      </c>
      <c r="G1605" s="4">
        <v>71021004</v>
      </c>
      <c r="H1605">
        <v>1</v>
      </c>
      <c r="J1605">
        <v>61812355</v>
      </c>
      <c r="K1605">
        <v>1</v>
      </c>
    </row>
    <row r="1606" spans="1:11" x14ac:dyDescent="0.25">
      <c r="A1606">
        <v>89419064</v>
      </c>
      <c r="B1606" s="1">
        <v>42940</v>
      </c>
      <c r="C1606" s="2">
        <v>0.57850694444444439</v>
      </c>
      <c r="D1606" s="2">
        <v>0.58456018518518515</v>
      </c>
      <c r="G1606" s="4">
        <v>71036125</v>
      </c>
      <c r="H1606">
        <v>1</v>
      </c>
      <c r="J1606">
        <v>62150310</v>
      </c>
      <c r="K1606">
        <v>1</v>
      </c>
    </row>
    <row r="1607" spans="1:11" x14ac:dyDescent="0.25">
      <c r="A1607">
        <v>9961121</v>
      </c>
      <c r="B1607" s="1">
        <v>42940</v>
      </c>
      <c r="C1607" s="2">
        <v>0.58304398148148151</v>
      </c>
      <c r="D1607" s="2">
        <v>0.58518518518518514</v>
      </c>
      <c r="G1607" s="4">
        <v>71207090</v>
      </c>
      <c r="H1607">
        <v>1</v>
      </c>
      <c r="J1607">
        <v>62653835</v>
      </c>
      <c r="K1607">
        <v>1</v>
      </c>
    </row>
    <row r="1608" spans="1:11" x14ac:dyDescent="0.25">
      <c r="A1608">
        <v>5303411</v>
      </c>
      <c r="B1608" s="1">
        <v>42940</v>
      </c>
      <c r="C1608" s="2">
        <v>0.58652777777777776</v>
      </c>
      <c r="D1608" s="2">
        <v>0.5917824074074074</v>
      </c>
      <c r="G1608" s="4">
        <v>71218936</v>
      </c>
      <c r="H1608">
        <v>1</v>
      </c>
      <c r="J1608">
        <v>62836073</v>
      </c>
      <c r="K1608">
        <v>1</v>
      </c>
    </row>
    <row r="1609" spans="1:11" x14ac:dyDescent="0.25">
      <c r="A1609">
        <v>4657345</v>
      </c>
      <c r="B1609" s="1">
        <v>42940</v>
      </c>
      <c r="C1609" s="2">
        <v>0.58981481481481479</v>
      </c>
      <c r="D1609" s="2">
        <v>0.59037037037037032</v>
      </c>
      <c r="G1609" s="4">
        <v>71564278</v>
      </c>
      <c r="H1609">
        <v>1</v>
      </c>
      <c r="J1609">
        <v>63141248</v>
      </c>
      <c r="K1609">
        <v>1</v>
      </c>
    </row>
    <row r="1610" spans="1:11" x14ac:dyDescent="0.25">
      <c r="A1610">
        <v>5850216</v>
      </c>
      <c r="B1610" s="1">
        <v>42940</v>
      </c>
      <c r="C1610" s="2">
        <v>0.59325231481481477</v>
      </c>
      <c r="D1610" s="2">
        <v>0.59866898148148151</v>
      </c>
      <c r="G1610" s="4">
        <v>71730854</v>
      </c>
      <c r="H1610">
        <v>1</v>
      </c>
      <c r="J1610">
        <v>63291235</v>
      </c>
      <c r="K1610">
        <v>1</v>
      </c>
    </row>
    <row r="1611" spans="1:11" x14ac:dyDescent="0.25">
      <c r="A1611">
        <v>4927402</v>
      </c>
      <c r="B1611" s="1">
        <v>42940</v>
      </c>
      <c r="C1611" s="2">
        <v>0.59351851851851856</v>
      </c>
      <c r="D1611" s="2">
        <v>0.60163194444444446</v>
      </c>
      <c r="G1611" s="4">
        <v>71807686</v>
      </c>
      <c r="H1611">
        <v>1</v>
      </c>
      <c r="J1611">
        <v>63492662</v>
      </c>
      <c r="K1611">
        <v>1</v>
      </c>
    </row>
    <row r="1612" spans="1:11" x14ac:dyDescent="0.25">
      <c r="A1612">
        <v>60113139</v>
      </c>
      <c r="B1612" s="1">
        <v>42940</v>
      </c>
      <c r="C1612" s="2">
        <v>0.59663194444444445</v>
      </c>
      <c r="D1612" s="2">
        <v>0.60359953703703706</v>
      </c>
      <c r="G1612" s="4">
        <v>72014227</v>
      </c>
      <c r="H1612">
        <v>1</v>
      </c>
      <c r="J1612">
        <v>63613334</v>
      </c>
      <c r="K1612">
        <v>1</v>
      </c>
    </row>
    <row r="1613" spans="1:11" x14ac:dyDescent="0.25">
      <c r="A1613">
        <v>2644526</v>
      </c>
      <c r="B1613" s="1">
        <v>42940</v>
      </c>
      <c r="C1613" s="2">
        <v>0.59864583333333332</v>
      </c>
      <c r="D1613" s="2">
        <v>0.6056597222222222</v>
      </c>
      <c r="G1613" s="4">
        <v>72287838</v>
      </c>
      <c r="H1613">
        <v>1</v>
      </c>
      <c r="J1613">
        <v>64586869</v>
      </c>
      <c r="K1613">
        <v>1</v>
      </c>
    </row>
    <row r="1614" spans="1:11" x14ac:dyDescent="0.25">
      <c r="A1614">
        <v>7226610</v>
      </c>
      <c r="B1614" s="1">
        <v>42940</v>
      </c>
      <c r="C1614" s="2">
        <v>0.6005787037037037</v>
      </c>
      <c r="D1614" s="2">
        <v>0.6107407407407407</v>
      </c>
      <c r="G1614" s="4">
        <v>72289518</v>
      </c>
      <c r="H1614">
        <v>1</v>
      </c>
      <c r="J1614">
        <v>64733982</v>
      </c>
      <c r="K1614">
        <v>1</v>
      </c>
    </row>
    <row r="1615" spans="1:11" x14ac:dyDescent="0.25">
      <c r="A1615">
        <v>9328179</v>
      </c>
      <c r="B1615" s="1">
        <v>42940</v>
      </c>
      <c r="C1615" s="2">
        <v>0.60211805555555553</v>
      </c>
      <c r="D1615" s="2">
        <v>0.60282407407407412</v>
      </c>
      <c r="G1615" s="4">
        <v>72312196</v>
      </c>
      <c r="H1615">
        <v>1</v>
      </c>
      <c r="J1615">
        <v>64900068</v>
      </c>
      <c r="K1615">
        <v>1</v>
      </c>
    </row>
    <row r="1616" spans="1:11" x14ac:dyDescent="0.25">
      <c r="A1616">
        <v>7457716</v>
      </c>
      <c r="B1616" s="1">
        <v>42940</v>
      </c>
      <c r="C1616" s="2">
        <v>0.6068634259259259</v>
      </c>
      <c r="D1616" s="2">
        <v>0.61152777777777778</v>
      </c>
      <c r="G1616" s="4">
        <v>72701808</v>
      </c>
      <c r="H1616">
        <v>1</v>
      </c>
      <c r="J1616">
        <v>64932677</v>
      </c>
      <c r="K1616">
        <v>1</v>
      </c>
    </row>
    <row r="1617" spans="1:11" x14ac:dyDescent="0.25">
      <c r="A1617">
        <v>1739364</v>
      </c>
      <c r="B1617" s="1">
        <v>42940</v>
      </c>
      <c r="C1617" s="2">
        <v>0.61100694444444448</v>
      </c>
      <c r="D1617" s="2">
        <v>0.62071759259259263</v>
      </c>
      <c r="G1617" s="4">
        <v>73042148</v>
      </c>
      <c r="H1617">
        <v>1</v>
      </c>
      <c r="J1617">
        <v>65166542</v>
      </c>
      <c r="K1617">
        <v>1</v>
      </c>
    </row>
    <row r="1618" spans="1:11" x14ac:dyDescent="0.25">
      <c r="A1618">
        <v>1677537</v>
      </c>
      <c r="B1618" s="1">
        <v>42940</v>
      </c>
      <c r="C1618" s="2">
        <v>0.61471064814814813</v>
      </c>
      <c r="D1618" s="2">
        <v>0.62232638888888892</v>
      </c>
      <c r="G1618" s="4">
        <v>73284745</v>
      </c>
      <c r="H1618">
        <v>1</v>
      </c>
      <c r="J1618">
        <v>65621292</v>
      </c>
      <c r="K1618">
        <v>1</v>
      </c>
    </row>
    <row r="1619" spans="1:11" x14ac:dyDescent="0.25">
      <c r="A1619">
        <v>55614678</v>
      </c>
      <c r="B1619" s="1">
        <v>42940</v>
      </c>
      <c r="C1619" s="2">
        <v>0.61826388888888884</v>
      </c>
      <c r="D1619" s="2">
        <v>0.62091435185185184</v>
      </c>
      <c r="G1619" s="4">
        <v>73350537</v>
      </c>
      <c r="H1619">
        <v>2</v>
      </c>
      <c r="J1619">
        <v>65923776</v>
      </c>
      <c r="K1619">
        <v>1</v>
      </c>
    </row>
    <row r="1620" spans="1:11" x14ac:dyDescent="0.25">
      <c r="A1620">
        <v>4272221</v>
      </c>
      <c r="B1620" s="1">
        <v>42940</v>
      </c>
      <c r="C1620" s="2">
        <v>0.62152777777777779</v>
      </c>
      <c r="D1620" s="2">
        <v>0.62572916666666667</v>
      </c>
      <c r="G1620" s="4">
        <v>73460179</v>
      </c>
      <c r="H1620">
        <v>1</v>
      </c>
      <c r="J1620">
        <v>66336445</v>
      </c>
      <c r="K1620">
        <v>1</v>
      </c>
    </row>
    <row r="1621" spans="1:11" x14ac:dyDescent="0.25">
      <c r="A1621">
        <v>1740380</v>
      </c>
      <c r="B1621" s="1">
        <v>42940</v>
      </c>
      <c r="C1621" s="2">
        <v>0.62605324074074076</v>
      </c>
      <c r="D1621" s="2">
        <v>0.63655092592592588</v>
      </c>
      <c r="G1621" s="4">
        <v>73690742</v>
      </c>
      <c r="H1621">
        <v>2</v>
      </c>
      <c r="J1621">
        <v>66377806</v>
      </c>
      <c r="K1621">
        <v>1</v>
      </c>
    </row>
    <row r="1622" spans="1:11" x14ac:dyDescent="0.25">
      <c r="A1622">
        <v>6005355</v>
      </c>
      <c r="B1622" s="1">
        <v>42941</v>
      </c>
      <c r="C1622" s="2">
        <v>0.33688657407407407</v>
      </c>
      <c r="D1622" s="2">
        <v>0.34452546296296294</v>
      </c>
      <c r="G1622" s="4">
        <v>73970924</v>
      </c>
      <c r="H1622">
        <v>1</v>
      </c>
      <c r="J1622">
        <v>66465215</v>
      </c>
      <c r="K1622">
        <v>1</v>
      </c>
    </row>
    <row r="1623" spans="1:11" x14ac:dyDescent="0.25">
      <c r="A1623">
        <v>2400590</v>
      </c>
      <c r="B1623" s="1">
        <v>42941</v>
      </c>
      <c r="C1623" s="2">
        <v>0.34145833333333331</v>
      </c>
      <c r="D1623" s="2">
        <v>0.34645833333333331</v>
      </c>
      <c r="G1623" s="4">
        <v>74135093</v>
      </c>
      <c r="H1623">
        <v>1</v>
      </c>
      <c r="J1623">
        <v>66638685</v>
      </c>
      <c r="K1623">
        <v>1</v>
      </c>
    </row>
    <row r="1624" spans="1:11" x14ac:dyDescent="0.25">
      <c r="A1624">
        <v>7918038</v>
      </c>
      <c r="B1624" s="1">
        <v>42941</v>
      </c>
      <c r="C1624" s="2">
        <v>0.34278935185185183</v>
      </c>
      <c r="D1624" s="2">
        <v>0.34370370370370368</v>
      </c>
      <c r="G1624" s="4">
        <v>75048005</v>
      </c>
      <c r="H1624">
        <v>1</v>
      </c>
      <c r="J1624">
        <v>67688044</v>
      </c>
      <c r="K1624">
        <v>1</v>
      </c>
    </row>
    <row r="1625" spans="1:11" x14ac:dyDescent="0.25">
      <c r="A1625">
        <v>7969038</v>
      </c>
      <c r="B1625" s="1">
        <v>42941</v>
      </c>
      <c r="C1625" s="2">
        <v>0.34605324074074073</v>
      </c>
      <c r="D1625" s="2">
        <v>0.35744212962962962</v>
      </c>
      <c r="G1625" s="4">
        <v>75122204</v>
      </c>
      <c r="H1625">
        <v>1</v>
      </c>
      <c r="J1625">
        <v>67913744</v>
      </c>
      <c r="K1625">
        <v>1</v>
      </c>
    </row>
    <row r="1626" spans="1:11" x14ac:dyDescent="0.25">
      <c r="A1626">
        <v>5833452</v>
      </c>
      <c r="B1626" s="1">
        <v>42941</v>
      </c>
      <c r="C1626" s="2">
        <v>0.34989583333333335</v>
      </c>
      <c r="D1626" s="2">
        <v>0.35214120370370372</v>
      </c>
      <c r="G1626" s="4">
        <v>75645195</v>
      </c>
      <c r="H1626">
        <v>1</v>
      </c>
      <c r="J1626">
        <v>68043713</v>
      </c>
      <c r="K1626">
        <v>1</v>
      </c>
    </row>
    <row r="1627" spans="1:11" x14ac:dyDescent="0.25">
      <c r="A1627">
        <v>11425383</v>
      </c>
      <c r="B1627" s="1">
        <v>42941</v>
      </c>
      <c r="C1627" s="2">
        <v>0.35267361111111112</v>
      </c>
      <c r="D1627" s="2">
        <v>0.36171296296296296</v>
      </c>
      <c r="G1627" s="4">
        <v>75818182</v>
      </c>
      <c r="H1627">
        <v>1</v>
      </c>
      <c r="J1627">
        <v>68647339</v>
      </c>
      <c r="K1627">
        <v>1</v>
      </c>
    </row>
    <row r="1628" spans="1:11" x14ac:dyDescent="0.25">
      <c r="A1628">
        <v>2900584</v>
      </c>
      <c r="B1628" s="1">
        <v>42941</v>
      </c>
      <c r="C1628" s="2">
        <v>0.35335648148148147</v>
      </c>
      <c r="D1628" s="2">
        <v>0.36329861111111111</v>
      </c>
      <c r="G1628" s="4">
        <v>75873682</v>
      </c>
      <c r="H1628">
        <v>1</v>
      </c>
      <c r="J1628">
        <v>68647777</v>
      </c>
      <c r="K1628">
        <v>1</v>
      </c>
    </row>
    <row r="1629" spans="1:11" x14ac:dyDescent="0.25">
      <c r="A1629">
        <v>77705897</v>
      </c>
      <c r="B1629" s="1">
        <v>42941</v>
      </c>
      <c r="C1629" s="2">
        <v>0.35603009259259261</v>
      </c>
      <c r="D1629" s="2">
        <v>0.35928240740740741</v>
      </c>
      <c r="G1629" s="4">
        <v>76099906</v>
      </c>
      <c r="H1629">
        <v>1</v>
      </c>
      <c r="J1629">
        <v>68677362</v>
      </c>
      <c r="K1629">
        <v>1</v>
      </c>
    </row>
    <row r="1630" spans="1:11" x14ac:dyDescent="0.25">
      <c r="A1630">
        <v>48497496</v>
      </c>
      <c r="B1630" s="1">
        <v>42941</v>
      </c>
      <c r="C1630" s="2">
        <v>0.35881944444444447</v>
      </c>
      <c r="D1630" s="2">
        <v>0.36379629629629628</v>
      </c>
      <c r="G1630" s="4">
        <v>76139570</v>
      </c>
      <c r="H1630">
        <v>1</v>
      </c>
      <c r="J1630">
        <v>68966479</v>
      </c>
      <c r="K1630">
        <v>1</v>
      </c>
    </row>
    <row r="1631" spans="1:11" x14ac:dyDescent="0.25">
      <c r="A1631">
        <v>98695684</v>
      </c>
      <c r="B1631" s="1">
        <v>42941</v>
      </c>
      <c r="C1631" s="2">
        <v>0.3634722222222222</v>
      </c>
      <c r="D1631" s="2">
        <v>0.37498842592592591</v>
      </c>
      <c r="G1631" s="4">
        <v>76310343</v>
      </c>
      <c r="H1631">
        <v>1</v>
      </c>
      <c r="J1631">
        <v>69001821</v>
      </c>
      <c r="K1631">
        <v>1</v>
      </c>
    </row>
    <row r="1632" spans="1:11" x14ac:dyDescent="0.25">
      <c r="A1632">
        <v>7712618</v>
      </c>
      <c r="B1632" s="1">
        <v>42941</v>
      </c>
      <c r="C1632" s="2">
        <v>0.36773148148148149</v>
      </c>
      <c r="D1632" s="2">
        <v>0.37118055555555557</v>
      </c>
      <c r="G1632" s="4">
        <v>76644634</v>
      </c>
      <c r="H1632">
        <v>1</v>
      </c>
      <c r="J1632">
        <v>69273048</v>
      </c>
      <c r="K1632">
        <v>1</v>
      </c>
    </row>
    <row r="1633" spans="1:11" x14ac:dyDescent="0.25">
      <c r="A1633">
        <v>8872311</v>
      </c>
      <c r="B1633" s="1">
        <v>42941</v>
      </c>
      <c r="C1633" s="2">
        <v>0.36854166666666666</v>
      </c>
      <c r="D1633" s="2">
        <v>0.37072916666666667</v>
      </c>
      <c r="G1633" s="4">
        <v>76777492</v>
      </c>
      <c r="H1633">
        <v>1</v>
      </c>
      <c r="J1633">
        <v>69734527</v>
      </c>
      <c r="K1633">
        <v>1</v>
      </c>
    </row>
    <row r="1634" spans="1:11" x14ac:dyDescent="0.25">
      <c r="A1634">
        <v>6056372</v>
      </c>
      <c r="B1634" s="1">
        <v>42941</v>
      </c>
      <c r="C1634" s="2">
        <v>0.36930555555555555</v>
      </c>
      <c r="D1634" s="2">
        <v>0.37615740740740738</v>
      </c>
      <c r="G1634" s="4">
        <v>76845076</v>
      </c>
      <c r="H1634">
        <v>1</v>
      </c>
      <c r="J1634">
        <v>70367818</v>
      </c>
      <c r="K1634">
        <v>1</v>
      </c>
    </row>
    <row r="1635" spans="1:11" x14ac:dyDescent="0.25">
      <c r="A1635">
        <v>8936656</v>
      </c>
      <c r="B1635" s="1">
        <v>42941</v>
      </c>
      <c r="C1635" s="2">
        <v>0.37222222222222223</v>
      </c>
      <c r="D1635" s="2">
        <v>0.37883101851851853</v>
      </c>
      <c r="G1635" s="4">
        <v>77036136</v>
      </c>
      <c r="H1635">
        <v>1</v>
      </c>
      <c r="J1635">
        <v>70606958</v>
      </c>
      <c r="K1635">
        <v>1</v>
      </c>
    </row>
    <row r="1636" spans="1:11" x14ac:dyDescent="0.25">
      <c r="A1636">
        <v>22966872</v>
      </c>
      <c r="B1636" s="1">
        <v>42941</v>
      </c>
      <c r="C1636" s="2">
        <v>0.37277777777777776</v>
      </c>
      <c r="D1636" s="2">
        <v>0.37791666666666668</v>
      </c>
      <c r="G1636" s="4">
        <v>77096634</v>
      </c>
      <c r="H1636">
        <v>1</v>
      </c>
      <c r="J1636">
        <v>70678482</v>
      </c>
      <c r="K1636">
        <v>1</v>
      </c>
    </row>
    <row r="1637" spans="1:11" x14ac:dyDescent="0.25">
      <c r="A1637">
        <v>3908162</v>
      </c>
      <c r="B1637" s="1">
        <v>42941</v>
      </c>
      <c r="C1637" s="2">
        <v>0.37805555555555553</v>
      </c>
      <c r="D1637" s="2">
        <v>0.38770833333333332</v>
      </c>
      <c r="G1637" s="4">
        <v>77607017</v>
      </c>
      <c r="H1637">
        <v>1</v>
      </c>
      <c r="J1637">
        <v>70786056</v>
      </c>
      <c r="K1637">
        <v>1</v>
      </c>
    </row>
    <row r="1638" spans="1:11" x14ac:dyDescent="0.25">
      <c r="A1638">
        <v>20485333</v>
      </c>
      <c r="B1638" s="1">
        <v>42941</v>
      </c>
      <c r="C1638" s="2">
        <v>0.38230324074074074</v>
      </c>
      <c r="D1638" s="2">
        <v>0.39293981481481483</v>
      </c>
      <c r="G1638" s="4">
        <v>77705897</v>
      </c>
      <c r="H1638">
        <v>2</v>
      </c>
      <c r="J1638">
        <v>71021004</v>
      </c>
      <c r="K1638">
        <v>1</v>
      </c>
    </row>
    <row r="1639" spans="1:11" x14ac:dyDescent="0.25">
      <c r="A1639">
        <v>78709747</v>
      </c>
      <c r="B1639" s="1">
        <v>42941</v>
      </c>
      <c r="C1639" s="2">
        <v>0.38638888888888889</v>
      </c>
      <c r="D1639" s="2">
        <v>0.38983796296296297</v>
      </c>
      <c r="G1639" s="4">
        <v>77869622</v>
      </c>
      <c r="H1639">
        <v>1</v>
      </c>
      <c r="J1639">
        <v>71036125</v>
      </c>
      <c r="K1639">
        <v>1</v>
      </c>
    </row>
    <row r="1640" spans="1:11" x14ac:dyDescent="0.25">
      <c r="A1640">
        <v>1859884</v>
      </c>
      <c r="B1640" s="1">
        <v>42941</v>
      </c>
      <c r="C1640" s="2">
        <v>0.38668981481481479</v>
      </c>
      <c r="D1640" s="2">
        <v>0.3913773148148148</v>
      </c>
      <c r="G1640" s="4">
        <v>77946476</v>
      </c>
      <c r="H1640">
        <v>1</v>
      </c>
      <c r="J1640">
        <v>71207090</v>
      </c>
      <c r="K1640">
        <v>1</v>
      </c>
    </row>
    <row r="1641" spans="1:11" x14ac:dyDescent="0.25">
      <c r="A1641">
        <v>2866546</v>
      </c>
      <c r="B1641" s="1">
        <v>42941</v>
      </c>
      <c r="C1641" s="2">
        <v>0.39038194444444446</v>
      </c>
      <c r="D1641" s="2">
        <v>0.39797453703703706</v>
      </c>
      <c r="G1641" s="4">
        <v>78009874</v>
      </c>
      <c r="H1641">
        <v>1</v>
      </c>
      <c r="J1641">
        <v>71218936</v>
      </c>
      <c r="K1641">
        <v>1</v>
      </c>
    </row>
    <row r="1642" spans="1:11" x14ac:dyDescent="0.25">
      <c r="A1642">
        <v>23715237</v>
      </c>
      <c r="B1642" s="1">
        <v>42941</v>
      </c>
      <c r="C1642" s="2">
        <v>0.39152777777777775</v>
      </c>
      <c r="D1642" s="2">
        <v>0.39559027777777778</v>
      </c>
      <c r="G1642" s="4">
        <v>78709747</v>
      </c>
      <c r="H1642">
        <v>1</v>
      </c>
      <c r="J1642">
        <v>71564278</v>
      </c>
      <c r="K1642">
        <v>1</v>
      </c>
    </row>
    <row r="1643" spans="1:11" x14ac:dyDescent="0.25">
      <c r="A1643">
        <v>6013508</v>
      </c>
      <c r="B1643" s="1">
        <v>42941</v>
      </c>
      <c r="C1643" s="2">
        <v>0.39195601851851852</v>
      </c>
      <c r="D1643" s="2">
        <v>0.39401620370370372</v>
      </c>
      <c r="G1643" s="4">
        <v>78940032</v>
      </c>
      <c r="H1643">
        <v>1</v>
      </c>
      <c r="J1643">
        <v>71730854</v>
      </c>
      <c r="K1643">
        <v>1</v>
      </c>
    </row>
    <row r="1644" spans="1:11" x14ac:dyDescent="0.25">
      <c r="A1644">
        <v>6175467</v>
      </c>
      <c r="B1644" s="1">
        <v>42941</v>
      </c>
      <c r="C1644" s="2">
        <v>0.39753472222222225</v>
      </c>
      <c r="D1644" s="2">
        <v>0.40424768518518517</v>
      </c>
      <c r="G1644" s="4">
        <v>78976022</v>
      </c>
      <c r="H1644">
        <v>1</v>
      </c>
      <c r="J1644">
        <v>71807686</v>
      </c>
      <c r="K1644">
        <v>1</v>
      </c>
    </row>
    <row r="1645" spans="1:11" x14ac:dyDescent="0.25">
      <c r="A1645">
        <v>22416837</v>
      </c>
      <c r="B1645" s="1">
        <v>42941</v>
      </c>
      <c r="C1645" s="2">
        <v>0.39881944444444445</v>
      </c>
      <c r="D1645" s="2">
        <v>0.40244212962962961</v>
      </c>
      <c r="G1645" s="4">
        <v>79212542</v>
      </c>
      <c r="H1645">
        <v>1</v>
      </c>
      <c r="J1645">
        <v>72014227</v>
      </c>
      <c r="K1645">
        <v>1</v>
      </c>
    </row>
    <row r="1646" spans="1:11" x14ac:dyDescent="0.25">
      <c r="A1646">
        <v>9065927</v>
      </c>
      <c r="B1646" s="1">
        <v>42941</v>
      </c>
      <c r="C1646" s="2">
        <v>0.3991898148148148</v>
      </c>
      <c r="D1646" s="2">
        <v>0.40934027777777776</v>
      </c>
      <c r="G1646" s="4">
        <v>79381100</v>
      </c>
      <c r="H1646">
        <v>2</v>
      </c>
      <c r="J1646">
        <v>72287838</v>
      </c>
      <c r="K1646">
        <v>1</v>
      </c>
    </row>
    <row r="1647" spans="1:11" x14ac:dyDescent="0.25">
      <c r="A1647">
        <v>8849918</v>
      </c>
      <c r="B1647" s="1">
        <v>42941</v>
      </c>
      <c r="C1647" s="2">
        <v>0.40263888888888888</v>
      </c>
      <c r="D1647" s="2">
        <v>0.40636574074074072</v>
      </c>
      <c r="G1647" s="4">
        <v>79698655</v>
      </c>
      <c r="H1647">
        <v>1</v>
      </c>
      <c r="J1647">
        <v>72289518</v>
      </c>
      <c r="K1647">
        <v>1</v>
      </c>
    </row>
    <row r="1648" spans="1:11" x14ac:dyDescent="0.25">
      <c r="A1648">
        <v>8250018</v>
      </c>
      <c r="B1648" s="1">
        <v>42941</v>
      </c>
      <c r="C1648" s="2">
        <v>0.40552083333333333</v>
      </c>
      <c r="D1648" s="2">
        <v>0.41104166666666669</v>
      </c>
      <c r="G1648" s="4">
        <v>79890857</v>
      </c>
      <c r="H1648">
        <v>2</v>
      </c>
      <c r="J1648">
        <v>72312196</v>
      </c>
      <c r="K1648">
        <v>1</v>
      </c>
    </row>
    <row r="1649" spans="1:11" x14ac:dyDescent="0.25">
      <c r="A1649">
        <v>20349502</v>
      </c>
      <c r="B1649" s="1">
        <v>42941</v>
      </c>
      <c r="C1649" s="2">
        <v>0.40979166666666667</v>
      </c>
      <c r="D1649" s="2">
        <v>0.41252314814814817</v>
      </c>
      <c r="G1649" s="4">
        <v>80038636</v>
      </c>
      <c r="H1649">
        <v>2</v>
      </c>
      <c r="J1649">
        <v>72701808</v>
      </c>
      <c r="K1649">
        <v>1</v>
      </c>
    </row>
    <row r="1650" spans="1:11" x14ac:dyDescent="0.25">
      <c r="A1650">
        <v>9894723</v>
      </c>
      <c r="B1650" s="1">
        <v>42941</v>
      </c>
      <c r="C1650" s="2">
        <v>0.40988425925925925</v>
      </c>
      <c r="D1650" s="2">
        <v>0.41157407407407409</v>
      </c>
      <c r="G1650" s="4">
        <v>80306197</v>
      </c>
      <c r="H1650">
        <v>1</v>
      </c>
      <c r="J1650">
        <v>73042148</v>
      </c>
      <c r="K1650">
        <v>1</v>
      </c>
    </row>
    <row r="1651" spans="1:11" x14ac:dyDescent="0.25">
      <c r="A1651">
        <v>9458504</v>
      </c>
      <c r="B1651" s="1">
        <v>42941</v>
      </c>
      <c r="C1651" s="2">
        <v>0.41054398148148147</v>
      </c>
      <c r="D1651" s="2">
        <v>0.41620370370370369</v>
      </c>
      <c r="G1651" s="4">
        <v>80907155</v>
      </c>
      <c r="H1651">
        <v>1</v>
      </c>
      <c r="J1651">
        <v>73284745</v>
      </c>
      <c r="K1651">
        <v>1</v>
      </c>
    </row>
    <row r="1652" spans="1:11" x14ac:dyDescent="0.25">
      <c r="A1652">
        <v>6741642</v>
      </c>
      <c r="B1652" s="1">
        <v>42941</v>
      </c>
      <c r="C1652" s="2">
        <v>0.41449074074074072</v>
      </c>
      <c r="D1652" s="2">
        <v>0.42371527777777779</v>
      </c>
      <c r="G1652" s="4">
        <v>81010250</v>
      </c>
      <c r="H1652">
        <v>1</v>
      </c>
      <c r="J1652">
        <v>73460179</v>
      </c>
      <c r="K1652">
        <v>1</v>
      </c>
    </row>
    <row r="1653" spans="1:11" x14ac:dyDescent="0.25">
      <c r="A1653">
        <v>4824710</v>
      </c>
      <c r="B1653" s="1">
        <v>42941</v>
      </c>
      <c r="C1653" s="2">
        <v>0.42008101851851853</v>
      </c>
      <c r="D1653" s="2">
        <v>0.4206597222222222</v>
      </c>
      <c r="G1653" s="4">
        <v>81218024</v>
      </c>
      <c r="H1653">
        <v>1</v>
      </c>
      <c r="J1653">
        <v>73970924</v>
      </c>
      <c r="K1653">
        <v>1</v>
      </c>
    </row>
    <row r="1654" spans="1:11" x14ac:dyDescent="0.25">
      <c r="A1654">
        <v>6465122</v>
      </c>
      <c r="B1654" s="1">
        <v>42941</v>
      </c>
      <c r="C1654" s="2">
        <v>0.42188657407407409</v>
      </c>
      <c r="D1654" s="2">
        <v>0.43138888888888888</v>
      </c>
      <c r="G1654" s="4">
        <v>81575080</v>
      </c>
      <c r="H1654">
        <v>1</v>
      </c>
      <c r="J1654">
        <v>74135093</v>
      </c>
      <c r="K1654">
        <v>1</v>
      </c>
    </row>
    <row r="1655" spans="1:11" x14ac:dyDescent="0.25">
      <c r="A1655">
        <v>6940373</v>
      </c>
      <c r="B1655" s="1">
        <v>42941</v>
      </c>
      <c r="C1655" s="2">
        <v>0.42711805555555554</v>
      </c>
      <c r="D1655" s="2">
        <v>0.43450231481481483</v>
      </c>
      <c r="G1655" s="4">
        <v>81613163</v>
      </c>
      <c r="H1655">
        <v>2</v>
      </c>
      <c r="J1655">
        <v>75048005</v>
      </c>
      <c r="K1655">
        <v>1</v>
      </c>
    </row>
    <row r="1656" spans="1:11" x14ac:dyDescent="0.25">
      <c r="A1656">
        <v>81613163</v>
      </c>
      <c r="B1656" s="1">
        <v>42941</v>
      </c>
      <c r="C1656" s="2">
        <v>0.43004629629629632</v>
      </c>
      <c r="D1656" s="2">
        <v>0.43855324074074076</v>
      </c>
      <c r="G1656" s="4">
        <v>81880891</v>
      </c>
      <c r="H1656">
        <v>1</v>
      </c>
      <c r="J1656">
        <v>75122204</v>
      </c>
      <c r="K1656">
        <v>1</v>
      </c>
    </row>
    <row r="1657" spans="1:11" x14ac:dyDescent="0.25">
      <c r="A1657">
        <v>9894998</v>
      </c>
      <c r="B1657" s="1">
        <v>42941</v>
      </c>
      <c r="C1657" s="2">
        <v>0.4344675925925926</v>
      </c>
      <c r="D1657" s="2">
        <v>0.44442129629629629</v>
      </c>
      <c r="G1657" s="4">
        <v>82239478</v>
      </c>
      <c r="H1657">
        <v>1</v>
      </c>
      <c r="J1657">
        <v>75645195</v>
      </c>
      <c r="K1657">
        <v>1</v>
      </c>
    </row>
    <row r="1658" spans="1:11" x14ac:dyDescent="0.25">
      <c r="A1658">
        <v>7663988</v>
      </c>
      <c r="B1658" s="1">
        <v>42941</v>
      </c>
      <c r="C1658" s="2">
        <v>0.43884259259259262</v>
      </c>
      <c r="D1658" s="2">
        <v>0.44464120370370369</v>
      </c>
      <c r="G1658" s="4">
        <v>82949156</v>
      </c>
      <c r="H1658">
        <v>1</v>
      </c>
      <c r="J1658">
        <v>75818182</v>
      </c>
      <c r="K1658">
        <v>1</v>
      </c>
    </row>
    <row r="1659" spans="1:11" x14ac:dyDescent="0.25">
      <c r="A1659">
        <v>29555837</v>
      </c>
      <c r="B1659" s="1">
        <v>42941</v>
      </c>
      <c r="C1659" s="2">
        <v>0.44231481481481483</v>
      </c>
      <c r="D1659" s="2">
        <v>0.45185185185185184</v>
      </c>
      <c r="G1659" s="4">
        <v>83559673</v>
      </c>
      <c r="H1659">
        <v>2</v>
      </c>
      <c r="J1659">
        <v>75873682</v>
      </c>
      <c r="K1659">
        <v>1</v>
      </c>
    </row>
    <row r="1660" spans="1:11" x14ac:dyDescent="0.25">
      <c r="A1660">
        <v>6890486</v>
      </c>
      <c r="B1660" s="1">
        <v>42941</v>
      </c>
      <c r="C1660" s="2">
        <v>0.44594907407407408</v>
      </c>
      <c r="D1660" s="2">
        <v>0.45099537037037035</v>
      </c>
      <c r="G1660" s="4">
        <v>83707586</v>
      </c>
      <c r="H1660">
        <v>1</v>
      </c>
      <c r="J1660">
        <v>76099906</v>
      </c>
      <c r="K1660">
        <v>1</v>
      </c>
    </row>
    <row r="1661" spans="1:11" x14ac:dyDescent="0.25">
      <c r="A1661">
        <v>1992079</v>
      </c>
      <c r="B1661" s="1">
        <v>42941</v>
      </c>
      <c r="C1661" s="2">
        <v>0.45004629629629628</v>
      </c>
      <c r="D1661" s="2">
        <v>0.45568287037037036</v>
      </c>
      <c r="G1661" s="4">
        <v>84513035</v>
      </c>
      <c r="H1661">
        <v>1</v>
      </c>
      <c r="J1661">
        <v>76139570</v>
      </c>
      <c r="K1661">
        <v>1</v>
      </c>
    </row>
    <row r="1662" spans="1:11" x14ac:dyDescent="0.25">
      <c r="A1662">
        <v>7599611</v>
      </c>
      <c r="B1662" s="1">
        <v>42941</v>
      </c>
      <c r="C1662" s="2">
        <v>0.45217592592592593</v>
      </c>
      <c r="D1662" s="2">
        <v>0.4568402777777778</v>
      </c>
      <c r="G1662" s="4">
        <v>84589848</v>
      </c>
      <c r="H1662">
        <v>3</v>
      </c>
      <c r="J1662">
        <v>76310343</v>
      </c>
      <c r="K1662">
        <v>1</v>
      </c>
    </row>
    <row r="1663" spans="1:11" x14ac:dyDescent="0.25">
      <c r="A1663">
        <v>1418351</v>
      </c>
      <c r="B1663" s="1">
        <v>42941</v>
      </c>
      <c r="C1663" s="2">
        <v>0.45377314814814818</v>
      </c>
      <c r="D1663" s="2">
        <v>0.45409722222222221</v>
      </c>
      <c r="G1663" s="4">
        <v>84684423</v>
      </c>
      <c r="H1663">
        <v>1</v>
      </c>
      <c r="J1663">
        <v>76644634</v>
      </c>
      <c r="K1663">
        <v>1</v>
      </c>
    </row>
    <row r="1664" spans="1:11" x14ac:dyDescent="0.25">
      <c r="A1664">
        <v>5883714</v>
      </c>
      <c r="B1664" s="1">
        <v>42941</v>
      </c>
      <c r="C1664" s="2">
        <v>0.45886574074074077</v>
      </c>
      <c r="D1664" s="2">
        <v>0.46630787037037036</v>
      </c>
      <c r="G1664" s="4">
        <v>85422307</v>
      </c>
      <c r="H1664">
        <v>1</v>
      </c>
      <c r="J1664">
        <v>76777492</v>
      </c>
      <c r="K1664">
        <v>1</v>
      </c>
    </row>
    <row r="1665" spans="1:11" x14ac:dyDescent="0.25">
      <c r="A1665">
        <v>1457083</v>
      </c>
      <c r="B1665" s="1">
        <v>42941</v>
      </c>
      <c r="C1665" s="2">
        <v>0.46381944444444445</v>
      </c>
      <c r="D1665" s="2">
        <v>0.47520833333333334</v>
      </c>
      <c r="G1665" s="4">
        <v>85598139</v>
      </c>
      <c r="H1665">
        <v>1</v>
      </c>
      <c r="J1665">
        <v>76845076</v>
      </c>
      <c r="K1665">
        <v>1</v>
      </c>
    </row>
    <row r="1666" spans="1:11" x14ac:dyDescent="0.25">
      <c r="A1666">
        <v>9948096</v>
      </c>
      <c r="B1666" s="1">
        <v>42941</v>
      </c>
      <c r="C1666" s="2">
        <v>0.46564814814814814</v>
      </c>
      <c r="D1666" s="2">
        <v>0.47028935185185183</v>
      </c>
      <c r="G1666" s="4">
        <v>85666950</v>
      </c>
      <c r="H1666">
        <v>1</v>
      </c>
      <c r="J1666">
        <v>77036136</v>
      </c>
      <c r="K1666">
        <v>1</v>
      </c>
    </row>
    <row r="1667" spans="1:11" x14ac:dyDescent="0.25">
      <c r="A1667">
        <v>2567031</v>
      </c>
      <c r="B1667" s="1">
        <v>42941</v>
      </c>
      <c r="C1667" s="2">
        <v>0.47077546296296297</v>
      </c>
      <c r="D1667" s="2">
        <v>0.47538194444444443</v>
      </c>
      <c r="G1667" s="4">
        <v>85838361</v>
      </c>
      <c r="H1667">
        <v>1</v>
      </c>
      <c r="J1667">
        <v>77096634</v>
      </c>
      <c r="K1667">
        <v>1</v>
      </c>
    </row>
    <row r="1668" spans="1:11" x14ac:dyDescent="0.25">
      <c r="A1668">
        <v>5952625</v>
      </c>
      <c r="B1668" s="1">
        <v>42941</v>
      </c>
      <c r="C1668" s="2">
        <v>0.4729976851851852</v>
      </c>
      <c r="D1668" s="2">
        <v>0.47553240740740743</v>
      </c>
      <c r="G1668" s="4">
        <v>86774913</v>
      </c>
      <c r="H1668">
        <v>1</v>
      </c>
      <c r="J1668">
        <v>77607017</v>
      </c>
      <c r="K1668">
        <v>1</v>
      </c>
    </row>
    <row r="1669" spans="1:11" x14ac:dyDescent="0.25">
      <c r="A1669">
        <v>8284495</v>
      </c>
      <c r="B1669" s="1">
        <v>42941</v>
      </c>
      <c r="C1669" s="2">
        <v>0.47385416666666669</v>
      </c>
      <c r="D1669" s="2">
        <v>0.47505787037037039</v>
      </c>
      <c r="G1669" s="4">
        <v>86965710</v>
      </c>
      <c r="H1669">
        <v>1</v>
      </c>
      <c r="J1669">
        <v>77869622</v>
      </c>
      <c r="K1669">
        <v>1</v>
      </c>
    </row>
    <row r="1670" spans="1:11" x14ac:dyDescent="0.25">
      <c r="A1670">
        <v>5354141</v>
      </c>
      <c r="B1670" s="1">
        <v>42941</v>
      </c>
      <c r="C1670" s="2">
        <v>0.47591435185185182</v>
      </c>
      <c r="D1670" s="2">
        <v>0.47734953703703703</v>
      </c>
      <c r="G1670" s="4">
        <v>87702896</v>
      </c>
      <c r="H1670">
        <v>2</v>
      </c>
      <c r="J1670">
        <v>77946476</v>
      </c>
      <c r="K1670">
        <v>1</v>
      </c>
    </row>
    <row r="1671" spans="1:11" x14ac:dyDescent="0.25">
      <c r="A1671">
        <v>5713477</v>
      </c>
      <c r="B1671" s="1">
        <v>42941</v>
      </c>
      <c r="C1671" s="2">
        <v>0.4770138888888889</v>
      </c>
      <c r="D1671" s="2">
        <v>0.48685185185185187</v>
      </c>
      <c r="G1671" s="4">
        <v>88366261</v>
      </c>
      <c r="H1671">
        <v>1</v>
      </c>
      <c r="J1671">
        <v>78009874</v>
      </c>
      <c r="K1671">
        <v>1</v>
      </c>
    </row>
    <row r="1672" spans="1:11" x14ac:dyDescent="0.25">
      <c r="A1672">
        <v>6865322</v>
      </c>
      <c r="B1672" s="1">
        <v>42941</v>
      </c>
      <c r="C1672" s="2">
        <v>0.47781249999999997</v>
      </c>
      <c r="D1672" s="2">
        <v>0.48425925925925928</v>
      </c>
      <c r="G1672" s="4">
        <v>88664428</v>
      </c>
      <c r="H1672">
        <v>1</v>
      </c>
      <c r="J1672">
        <v>78709747</v>
      </c>
      <c r="K1672">
        <v>1</v>
      </c>
    </row>
    <row r="1673" spans="1:11" x14ac:dyDescent="0.25">
      <c r="A1673">
        <v>9007177570</v>
      </c>
      <c r="B1673" s="1">
        <v>42941</v>
      </c>
      <c r="C1673" s="2">
        <v>0.47957175925925927</v>
      </c>
      <c r="D1673" s="2">
        <v>0.48254629629629631</v>
      </c>
      <c r="G1673" s="4">
        <v>88666908</v>
      </c>
      <c r="H1673">
        <v>1</v>
      </c>
      <c r="J1673">
        <v>78940032</v>
      </c>
      <c r="K1673">
        <v>1</v>
      </c>
    </row>
    <row r="1674" spans="1:11" x14ac:dyDescent="0.25">
      <c r="A1674">
        <v>49920930</v>
      </c>
      <c r="B1674" s="1">
        <v>42941</v>
      </c>
      <c r="C1674" s="2">
        <v>0.48457175925925927</v>
      </c>
      <c r="D1674" s="2">
        <v>0.48851851851851852</v>
      </c>
      <c r="G1674" s="4">
        <v>88929709</v>
      </c>
      <c r="H1674">
        <v>1</v>
      </c>
      <c r="J1674">
        <v>78976022</v>
      </c>
      <c r="K1674">
        <v>1</v>
      </c>
    </row>
    <row r="1675" spans="1:11" x14ac:dyDescent="0.25">
      <c r="A1675">
        <v>3624713</v>
      </c>
      <c r="B1675" s="1">
        <v>42941</v>
      </c>
      <c r="C1675" s="2">
        <v>0.48563657407407407</v>
      </c>
      <c r="D1675" s="2">
        <v>0.49687500000000001</v>
      </c>
      <c r="G1675" s="4">
        <v>88929925</v>
      </c>
      <c r="H1675">
        <v>1</v>
      </c>
      <c r="J1675">
        <v>79212542</v>
      </c>
      <c r="K1675">
        <v>1</v>
      </c>
    </row>
    <row r="1676" spans="1:11" x14ac:dyDescent="0.25">
      <c r="A1676">
        <v>39848401</v>
      </c>
      <c r="B1676" s="1">
        <v>42941</v>
      </c>
      <c r="C1676" s="2">
        <v>0.48615740740740743</v>
      </c>
      <c r="D1676" s="2">
        <v>0.49478009259259259</v>
      </c>
      <c r="G1676" s="4">
        <v>89098100</v>
      </c>
      <c r="H1676">
        <v>1</v>
      </c>
      <c r="J1676">
        <v>79698655</v>
      </c>
      <c r="K1676">
        <v>1</v>
      </c>
    </row>
    <row r="1677" spans="1:11" x14ac:dyDescent="0.25">
      <c r="A1677">
        <v>4131448</v>
      </c>
      <c r="B1677" s="1">
        <v>42941</v>
      </c>
      <c r="C1677" s="2">
        <v>0.48975694444444445</v>
      </c>
      <c r="D1677" s="2">
        <v>0.49530092592592595</v>
      </c>
      <c r="G1677" s="4">
        <v>89263578</v>
      </c>
      <c r="H1677">
        <v>1</v>
      </c>
      <c r="J1677">
        <v>80306197</v>
      </c>
      <c r="K1677">
        <v>1</v>
      </c>
    </row>
    <row r="1678" spans="1:11" x14ac:dyDescent="0.25">
      <c r="A1678">
        <v>2239958</v>
      </c>
      <c r="B1678" s="1">
        <v>42941</v>
      </c>
      <c r="C1678" s="2">
        <v>0.49523148148148149</v>
      </c>
      <c r="D1678" s="2">
        <v>0.49962962962962965</v>
      </c>
      <c r="G1678" s="4">
        <v>89419064</v>
      </c>
      <c r="H1678">
        <v>1</v>
      </c>
      <c r="J1678">
        <v>80907155</v>
      </c>
      <c r="K1678">
        <v>1</v>
      </c>
    </row>
    <row r="1679" spans="1:11" x14ac:dyDescent="0.25">
      <c r="A1679">
        <v>3680149</v>
      </c>
      <c r="B1679" s="1">
        <v>42941</v>
      </c>
      <c r="C1679" s="2">
        <v>0.49556712962962962</v>
      </c>
      <c r="D1679" s="2">
        <v>0.49927083333333333</v>
      </c>
      <c r="G1679" s="4">
        <v>89691426</v>
      </c>
      <c r="H1679">
        <v>1</v>
      </c>
      <c r="J1679">
        <v>81010250</v>
      </c>
      <c r="K1679">
        <v>1</v>
      </c>
    </row>
    <row r="1680" spans="1:11" x14ac:dyDescent="0.25">
      <c r="A1680">
        <v>3654212</v>
      </c>
      <c r="B1680" s="1">
        <v>42941</v>
      </c>
      <c r="C1680" s="2">
        <v>0.49739583333333331</v>
      </c>
      <c r="D1680" s="2">
        <v>0.49787037037037035</v>
      </c>
      <c r="G1680" s="4">
        <v>89814525</v>
      </c>
      <c r="H1680">
        <v>1</v>
      </c>
      <c r="J1680">
        <v>81218024</v>
      </c>
      <c r="K1680">
        <v>1</v>
      </c>
    </row>
    <row r="1681" spans="1:11" x14ac:dyDescent="0.25">
      <c r="A1681">
        <v>3192053</v>
      </c>
      <c r="B1681" s="1">
        <v>42941</v>
      </c>
      <c r="C1681" s="2">
        <v>0.49796296296296294</v>
      </c>
      <c r="D1681" s="2">
        <v>0.5053009259259259</v>
      </c>
      <c r="G1681" s="4">
        <v>90271112</v>
      </c>
      <c r="H1681">
        <v>1</v>
      </c>
      <c r="J1681">
        <v>81575080</v>
      </c>
      <c r="K1681">
        <v>1</v>
      </c>
    </row>
    <row r="1682" spans="1:11" x14ac:dyDescent="0.25">
      <c r="A1682">
        <v>2355456</v>
      </c>
      <c r="B1682" s="1">
        <v>42941</v>
      </c>
      <c r="C1682" s="2">
        <v>0.50027777777777782</v>
      </c>
      <c r="D1682" s="2">
        <v>0.50983796296296291</v>
      </c>
      <c r="G1682" s="4">
        <v>90417363</v>
      </c>
      <c r="H1682">
        <v>1</v>
      </c>
      <c r="J1682">
        <v>81880891</v>
      </c>
      <c r="K1682">
        <v>1</v>
      </c>
    </row>
    <row r="1683" spans="1:11" x14ac:dyDescent="0.25">
      <c r="A1683">
        <v>64932677</v>
      </c>
      <c r="B1683" s="1">
        <v>42941</v>
      </c>
      <c r="C1683" s="2">
        <v>0.50436342592592598</v>
      </c>
      <c r="D1683" s="2">
        <v>0.51339120370370372</v>
      </c>
      <c r="G1683" s="4">
        <v>90532439</v>
      </c>
      <c r="H1683">
        <v>1</v>
      </c>
      <c r="J1683">
        <v>82239478</v>
      </c>
      <c r="K1683">
        <v>1</v>
      </c>
    </row>
    <row r="1684" spans="1:11" x14ac:dyDescent="0.25">
      <c r="A1684">
        <v>9419117</v>
      </c>
      <c r="B1684" s="1">
        <v>42941</v>
      </c>
      <c r="C1684" s="2">
        <v>0.50545138888888885</v>
      </c>
      <c r="D1684" s="2">
        <v>0.50761574074074078</v>
      </c>
      <c r="G1684" s="4">
        <v>90533733</v>
      </c>
      <c r="H1684">
        <v>1</v>
      </c>
      <c r="J1684">
        <v>82949156</v>
      </c>
      <c r="K1684">
        <v>1</v>
      </c>
    </row>
    <row r="1685" spans="1:11" x14ac:dyDescent="0.25">
      <c r="A1685">
        <v>2509631</v>
      </c>
      <c r="B1685" s="1">
        <v>42941</v>
      </c>
      <c r="C1685" s="2">
        <v>0.51025462962962964</v>
      </c>
      <c r="D1685" s="2">
        <v>0.52134259259259264</v>
      </c>
      <c r="G1685" s="4">
        <v>90762334</v>
      </c>
      <c r="H1685">
        <v>1</v>
      </c>
      <c r="J1685">
        <v>83707586</v>
      </c>
      <c r="K1685">
        <v>1</v>
      </c>
    </row>
    <row r="1686" spans="1:11" x14ac:dyDescent="0.25">
      <c r="A1686">
        <v>4505950</v>
      </c>
      <c r="B1686" s="1">
        <v>42941</v>
      </c>
      <c r="C1686" s="2">
        <v>0.51373842592592589</v>
      </c>
      <c r="D1686" s="2">
        <v>0.52304398148148146</v>
      </c>
      <c r="G1686" s="4">
        <v>90880011</v>
      </c>
      <c r="H1686">
        <v>1</v>
      </c>
      <c r="J1686">
        <v>84513035</v>
      </c>
      <c r="K1686">
        <v>1</v>
      </c>
    </row>
    <row r="1687" spans="1:11" x14ac:dyDescent="0.25">
      <c r="A1687">
        <v>39663331</v>
      </c>
      <c r="B1687" s="1">
        <v>42941</v>
      </c>
      <c r="C1687" s="2">
        <v>0.51447916666666671</v>
      </c>
      <c r="D1687" s="2">
        <v>0.51800925925925922</v>
      </c>
      <c r="G1687" s="4">
        <v>90884366</v>
      </c>
      <c r="H1687">
        <v>1</v>
      </c>
      <c r="J1687">
        <v>84684423</v>
      </c>
      <c r="K1687">
        <v>1</v>
      </c>
    </row>
    <row r="1688" spans="1:11" x14ac:dyDescent="0.25">
      <c r="A1688">
        <v>73350537</v>
      </c>
      <c r="B1688" s="1">
        <v>42941</v>
      </c>
      <c r="C1688" s="2">
        <v>0.51847222222222222</v>
      </c>
      <c r="D1688" s="2">
        <v>0.5267708333333333</v>
      </c>
      <c r="G1688" s="4">
        <v>90993861</v>
      </c>
      <c r="H1688">
        <v>1</v>
      </c>
      <c r="J1688">
        <v>85422307</v>
      </c>
      <c r="K1688">
        <v>1</v>
      </c>
    </row>
    <row r="1689" spans="1:11" x14ac:dyDescent="0.25">
      <c r="A1689">
        <v>36929553</v>
      </c>
      <c r="B1689" s="1">
        <v>42941</v>
      </c>
      <c r="C1689" s="2">
        <v>0.52155092592592589</v>
      </c>
      <c r="D1689" s="2">
        <v>0.52667824074074077</v>
      </c>
      <c r="G1689" s="4">
        <v>91032395</v>
      </c>
      <c r="H1689">
        <v>1</v>
      </c>
      <c r="J1689">
        <v>85598139</v>
      </c>
      <c r="K1689">
        <v>1</v>
      </c>
    </row>
    <row r="1690" spans="1:11" x14ac:dyDescent="0.25">
      <c r="A1690">
        <v>74135093</v>
      </c>
      <c r="B1690" s="1">
        <v>42941</v>
      </c>
      <c r="C1690" s="2">
        <v>0.52232638888888894</v>
      </c>
      <c r="D1690" s="2">
        <v>0.52666666666666662</v>
      </c>
      <c r="G1690" s="4">
        <v>91129571</v>
      </c>
      <c r="H1690">
        <v>1</v>
      </c>
      <c r="J1690">
        <v>85666950</v>
      </c>
      <c r="K1690">
        <v>1</v>
      </c>
    </row>
    <row r="1691" spans="1:11" x14ac:dyDescent="0.25">
      <c r="A1691">
        <v>3505978</v>
      </c>
      <c r="B1691" s="1">
        <v>42941</v>
      </c>
      <c r="C1691" s="2">
        <v>0.52393518518518523</v>
      </c>
      <c r="D1691" s="2">
        <v>0.53479166666666667</v>
      </c>
      <c r="G1691" s="4">
        <v>91208799</v>
      </c>
      <c r="H1691">
        <v>1</v>
      </c>
      <c r="J1691">
        <v>85838361</v>
      </c>
      <c r="K1691">
        <v>1</v>
      </c>
    </row>
    <row r="1692" spans="1:11" x14ac:dyDescent="0.25">
      <c r="A1692">
        <v>4483996</v>
      </c>
      <c r="B1692" s="1">
        <v>42941</v>
      </c>
      <c r="C1692" s="2">
        <v>0.52584490740740741</v>
      </c>
      <c r="D1692" s="2">
        <v>0.53660879629629632</v>
      </c>
      <c r="G1692" s="4">
        <v>91626903</v>
      </c>
      <c r="H1692">
        <v>1</v>
      </c>
      <c r="J1692">
        <v>86774913</v>
      </c>
      <c r="K1692">
        <v>1</v>
      </c>
    </row>
    <row r="1693" spans="1:11" x14ac:dyDescent="0.25">
      <c r="A1693">
        <v>6264844</v>
      </c>
      <c r="B1693" s="1">
        <v>42941</v>
      </c>
      <c r="C1693" s="2">
        <v>0.52655092592592589</v>
      </c>
      <c r="D1693" s="2">
        <v>0.52703703703703708</v>
      </c>
      <c r="G1693" s="4">
        <v>91743317</v>
      </c>
      <c r="H1693">
        <v>1</v>
      </c>
      <c r="J1693">
        <v>86965710</v>
      </c>
      <c r="K1693">
        <v>1</v>
      </c>
    </row>
    <row r="1694" spans="1:11" x14ac:dyDescent="0.25">
      <c r="A1694">
        <v>92127966</v>
      </c>
      <c r="B1694" s="1">
        <v>42941</v>
      </c>
      <c r="C1694" s="2">
        <v>0.5317708333333333</v>
      </c>
      <c r="D1694" s="2">
        <v>0.53724537037037035</v>
      </c>
      <c r="G1694" s="4">
        <v>91907883</v>
      </c>
      <c r="H1694">
        <v>2</v>
      </c>
      <c r="J1694">
        <v>88366261</v>
      </c>
      <c r="K1694">
        <v>1</v>
      </c>
    </row>
    <row r="1695" spans="1:11" x14ac:dyDescent="0.25">
      <c r="A1695">
        <v>7353916</v>
      </c>
      <c r="B1695" s="1">
        <v>42941</v>
      </c>
      <c r="C1695" s="2">
        <v>0.53456018518518522</v>
      </c>
      <c r="D1695" s="2">
        <v>0.53718750000000004</v>
      </c>
      <c r="G1695" s="4">
        <v>92127966</v>
      </c>
      <c r="H1695">
        <v>1</v>
      </c>
      <c r="J1695">
        <v>88664428</v>
      </c>
      <c r="K1695">
        <v>1</v>
      </c>
    </row>
    <row r="1696" spans="1:11" x14ac:dyDescent="0.25">
      <c r="A1696">
        <v>5440420</v>
      </c>
      <c r="B1696" s="1">
        <v>42941</v>
      </c>
      <c r="C1696" s="2">
        <v>0.53535879629629635</v>
      </c>
      <c r="D1696" s="2">
        <v>0.54219907407407408</v>
      </c>
      <c r="G1696" s="4">
        <v>92326393</v>
      </c>
      <c r="H1696">
        <v>1</v>
      </c>
      <c r="J1696">
        <v>88666908</v>
      </c>
      <c r="K1696">
        <v>1</v>
      </c>
    </row>
    <row r="1697" spans="1:11" x14ac:dyDescent="0.25">
      <c r="A1697">
        <v>8840288</v>
      </c>
      <c r="B1697" s="1">
        <v>42941</v>
      </c>
      <c r="C1697" s="2">
        <v>0.53964120370370372</v>
      </c>
      <c r="D1697" s="2">
        <v>0.54101851851851857</v>
      </c>
      <c r="G1697" s="4">
        <v>92414932</v>
      </c>
      <c r="H1697">
        <v>1</v>
      </c>
      <c r="J1697">
        <v>88929709</v>
      </c>
      <c r="K1697">
        <v>1</v>
      </c>
    </row>
    <row r="1698" spans="1:11" x14ac:dyDescent="0.25">
      <c r="A1698">
        <v>9007177570</v>
      </c>
      <c r="B1698" s="1">
        <v>42941</v>
      </c>
      <c r="C1698" s="2">
        <v>0.54324074074074069</v>
      </c>
      <c r="D1698" s="2">
        <v>0.54956018518518523</v>
      </c>
      <c r="G1698" s="4">
        <v>92461001</v>
      </c>
      <c r="H1698">
        <v>1</v>
      </c>
      <c r="J1698">
        <v>88929925</v>
      </c>
      <c r="K1698">
        <v>1</v>
      </c>
    </row>
    <row r="1699" spans="1:11" x14ac:dyDescent="0.25">
      <c r="A1699">
        <v>24850212</v>
      </c>
      <c r="B1699" s="1">
        <v>42941</v>
      </c>
      <c r="C1699" s="2">
        <v>0.54350694444444447</v>
      </c>
      <c r="D1699" s="2">
        <v>0.54767361111111112</v>
      </c>
      <c r="G1699" s="4">
        <v>92597723</v>
      </c>
      <c r="H1699">
        <v>1</v>
      </c>
      <c r="J1699">
        <v>89098100</v>
      </c>
      <c r="K1699">
        <v>1</v>
      </c>
    </row>
    <row r="1700" spans="1:11" x14ac:dyDescent="0.25">
      <c r="A1700">
        <v>7857206</v>
      </c>
      <c r="B1700" s="1">
        <v>42941</v>
      </c>
      <c r="C1700" s="2">
        <v>0.54858796296296297</v>
      </c>
      <c r="D1700" s="2">
        <v>0.55077546296296298</v>
      </c>
      <c r="G1700" s="4">
        <v>93050839</v>
      </c>
      <c r="H1700">
        <v>1</v>
      </c>
      <c r="J1700">
        <v>89263578</v>
      </c>
      <c r="K1700">
        <v>1</v>
      </c>
    </row>
    <row r="1701" spans="1:11" x14ac:dyDescent="0.25">
      <c r="A1701">
        <v>9007177570</v>
      </c>
      <c r="B1701" s="1">
        <v>42941</v>
      </c>
      <c r="C1701" s="2">
        <v>0.5519560185185185</v>
      </c>
      <c r="D1701" s="2">
        <v>0.55625000000000002</v>
      </c>
      <c r="G1701" s="4">
        <v>93611539</v>
      </c>
      <c r="H1701">
        <v>2</v>
      </c>
      <c r="J1701">
        <v>89419064</v>
      </c>
      <c r="K1701">
        <v>1</v>
      </c>
    </row>
    <row r="1702" spans="1:11" x14ac:dyDescent="0.25">
      <c r="A1702">
        <v>96375379</v>
      </c>
      <c r="B1702" s="1">
        <v>42941</v>
      </c>
      <c r="C1702" s="2">
        <v>0.55320601851851847</v>
      </c>
      <c r="D1702" s="2">
        <v>0.55569444444444449</v>
      </c>
      <c r="G1702" s="4">
        <v>93696449</v>
      </c>
      <c r="H1702">
        <v>4</v>
      </c>
      <c r="J1702">
        <v>89691426</v>
      </c>
      <c r="K1702">
        <v>1</v>
      </c>
    </row>
    <row r="1703" spans="1:11" x14ac:dyDescent="0.25">
      <c r="A1703">
        <v>6146223</v>
      </c>
      <c r="B1703" s="1">
        <v>42941</v>
      </c>
      <c r="C1703" s="2">
        <v>0.55517361111111108</v>
      </c>
      <c r="D1703" s="2">
        <v>0.56013888888888885</v>
      </c>
      <c r="G1703" s="4">
        <v>93794133</v>
      </c>
      <c r="H1703">
        <v>1</v>
      </c>
      <c r="J1703">
        <v>89814525</v>
      </c>
      <c r="K1703">
        <v>1</v>
      </c>
    </row>
    <row r="1704" spans="1:11" x14ac:dyDescent="0.25">
      <c r="A1704">
        <v>7119239917</v>
      </c>
      <c r="B1704" s="1">
        <v>42941</v>
      </c>
      <c r="C1704" s="2">
        <v>0.56033564814814818</v>
      </c>
      <c r="D1704" s="2">
        <v>0.56570601851851854</v>
      </c>
      <c r="G1704" s="4">
        <v>93811207</v>
      </c>
      <c r="H1704">
        <v>1</v>
      </c>
      <c r="J1704">
        <v>90271112</v>
      </c>
      <c r="K1704">
        <v>1</v>
      </c>
    </row>
    <row r="1705" spans="1:11" x14ac:dyDescent="0.25">
      <c r="A1705">
        <v>8622421</v>
      </c>
      <c r="B1705" s="1">
        <v>42941</v>
      </c>
      <c r="C1705" s="2">
        <v>0.56459490740740736</v>
      </c>
      <c r="D1705" s="2">
        <v>0.56638888888888894</v>
      </c>
      <c r="G1705" s="4">
        <v>94197168</v>
      </c>
      <c r="H1705">
        <v>1</v>
      </c>
      <c r="J1705">
        <v>90417363</v>
      </c>
      <c r="K1705">
        <v>1</v>
      </c>
    </row>
    <row r="1706" spans="1:11" x14ac:dyDescent="0.25">
      <c r="A1706">
        <v>2304726</v>
      </c>
      <c r="B1706" s="1">
        <v>42941</v>
      </c>
      <c r="C1706" s="2">
        <v>0.56620370370370365</v>
      </c>
      <c r="D1706" s="2">
        <v>0.57226851851851857</v>
      </c>
      <c r="G1706" s="4">
        <v>94634526</v>
      </c>
      <c r="H1706">
        <v>1</v>
      </c>
      <c r="J1706">
        <v>90532439</v>
      </c>
      <c r="K1706">
        <v>1</v>
      </c>
    </row>
    <row r="1707" spans="1:11" x14ac:dyDescent="0.25">
      <c r="A1707">
        <v>9183185</v>
      </c>
      <c r="B1707" s="1">
        <v>42941</v>
      </c>
      <c r="C1707" s="2">
        <v>0.56643518518518521</v>
      </c>
      <c r="D1707" s="2">
        <v>0.5687268518518519</v>
      </c>
      <c r="G1707" s="4">
        <v>94989369</v>
      </c>
      <c r="H1707">
        <v>1</v>
      </c>
      <c r="J1707">
        <v>90533733</v>
      </c>
      <c r="K1707">
        <v>1</v>
      </c>
    </row>
    <row r="1708" spans="1:11" x14ac:dyDescent="0.25">
      <c r="A1708">
        <v>2185216</v>
      </c>
      <c r="B1708" s="1">
        <v>42941</v>
      </c>
      <c r="C1708" s="2">
        <v>0.56959490740740737</v>
      </c>
      <c r="D1708" s="2">
        <v>0.57927083333333329</v>
      </c>
      <c r="G1708" s="4">
        <v>95211263</v>
      </c>
      <c r="H1708">
        <v>1</v>
      </c>
      <c r="J1708">
        <v>90762334</v>
      </c>
      <c r="K1708">
        <v>1</v>
      </c>
    </row>
    <row r="1709" spans="1:11" x14ac:dyDescent="0.25">
      <c r="A1709">
        <v>9664191</v>
      </c>
      <c r="B1709" s="1">
        <v>42941</v>
      </c>
      <c r="C1709" s="2">
        <v>0.56974537037037032</v>
      </c>
      <c r="D1709" s="2">
        <v>0.57015046296296301</v>
      </c>
      <c r="G1709" s="4">
        <v>95805020</v>
      </c>
      <c r="H1709">
        <v>1</v>
      </c>
      <c r="J1709">
        <v>90880011</v>
      </c>
      <c r="K1709">
        <v>1</v>
      </c>
    </row>
    <row r="1710" spans="1:11" x14ac:dyDescent="0.25">
      <c r="A1710">
        <v>8743781</v>
      </c>
      <c r="B1710" s="1">
        <v>42941</v>
      </c>
      <c r="C1710" s="2">
        <v>0.57284722222222217</v>
      </c>
      <c r="D1710" s="2">
        <v>0.58149305555555553</v>
      </c>
      <c r="G1710" s="4">
        <v>96191858</v>
      </c>
      <c r="H1710">
        <v>3</v>
      </c>
      <c r="J1710">
        <v>90884366</v>
      </c>
      <c r="K1710">
        <v>1</v>
      </c>
    </row>
    <row r="1711" spans="1:11" x14ac:dyDescent="0.25">
      <c r="A1711">
        <v>97997759</v>
      </c>
      <c r="B1711" s="1">
        <v>42941</v>
      </c>
      <c r="C1711" s="2">
        <v>0.57335648148148144</v>
      </c>
      <c r="D1711" s="2">
        <v>0.5735069444444445</v>
      </c>
      <c r="G1711" s="4">
        <v>96302157</v>
      </c>
      <c r="H1711">
        <v>1</v>
      </c>
      <c r="J1711">
        <v>90993861</v>
      </c>
      <c r="K1711">
        <v>1</v>
      </c>
    </row>
    <row r="1712" spans="1:11" x14ac:dyDescent="0.25">
      <c r="A1712">
        <v>4100331</v>
      </c>
      <c r="B1712" s="1">
        <v>42941</v>
      </c>
      <c r="C1712" s="2">
        <v>0.57863425925925926</v>
      </c>
      <c r="D1712" s="2">
        <v>0.58030092592592597</v>
      </c>
      <c r="G1712" s="4">
        <v>96323047</v>
      </c>
      <c r="H1712">
        <v>1</v>
      </c>
      <c r="J1712">
        <v>91032395</v>
      </c>
      <c r="K1712">
        <v>1</v>
      </c>
    </row>
    <row r="1713" spans="1:11" x14ac:dyDescent="0.25">
      <c r="A1713">
        <v>7215284</v>
      </c>
      <c r="B1713" s="1">
        <v>42941</v>
      </c>
      <c r="C1713" s="2">
        <v>0.57974537037037033</v>
      </c>
      <c r="D1713" s="2">
        <v>0.59083333333333332</v>
      </c>
      <c r="G1713" s="4">
        <v>96375379</v>
      </c>
      <c r="H1713">
        <v>4</v>
      </c>
      <c r="J1713">
        <v>91129571</v>
      </c>
      <c r="K1713">
        <v>1</v>
      </c>
    </row>
    <row r="1714" spans="1:11" x14ac:dyDescent="0.25">
      <c r="A1714">
        <v>9474267</v>
      </c>
      <c r="B1714" s="1">
        <v>42941</v>
      </c>
      <c r="C1714" s="2">
        <v>0.58423611111111107</v>
      </c>
      <c r="D1714" s="2">
        <v>0.59392361111111114</v>
      </c>
      <c r="G1714" s="4">
        <v>96381896</v>
      </c>
      <c r="H1714">
        <v>1</v>
      </c>
      <c r="J1714">
        <v>91208799</v>
      </c>
      <c r="K1714">
        <v>1</v>
      </c>
    </row>
    <row r="1715" spans="1:11" x14ac:dyDescent="0.25">
      <c r="A1715">
        <v>3200206</v>
      </c>
      <c r="B1715" s="1">
        <v>42941</v>
      </c>
      <c r="C1715" s="2">
        <v>0.58784722222222219</v>
      </c>
      <c r="D1715" s="2">
        <v>0.59894675925925922</v>
      </c>
      <c r="G1715" s="4">
        <v>96404523</v>
      </c>
      <c r="H1715">
        <v>1</v>
      </c>
      <c r="J1715">
        <v>91626903</v>
      </c>
      <c r="K1715">
        <v>1</v>
      </c>
    </row>
    <row r="1716" spans="1:11" x14ac:dyDescent="0.25">
      <c r="A1716">
        <v>72014227</v>
      </c>
      <c r="B1716" s="1">
        <v>42941</v>
      </c>
      <c r="C1716" s="2">
        <v>0.58899305555555559</v>
      </c>
      <c r="D1716" s="2">
        <v>0.59116898148148145</v>
      </c>
      <c r="G1716" s="4">
        <v>96424596</v>
      </c>
      <c r="H1716">
        <v>1</v>
      </c>
      <c r="J1716">
        <v>91743317</v>
      </c>
      <c r="K1716">
        <v>1</v>
      </c>
    </row>
    <row r="1717" spans="1:11" x14ac:dyDescent="0.25">
      <c r="A1717">
        <v>3976931</v>
      </c>
      <c r="B1717" s="1">
        <v>42941</v>
      </c>
      <c r="C1717" s="2">
        <v>0.59350694444444441</v>
      </c>
      <c r="D1717" s="2">
        <v>0.59811342592592598</v>
      </c>
      <c r="G1717" s="4">
        <v>96620804</v>
      </c>
      <c r="H1717">
        <v>1</v>
      </c>
      <c r="J1717">
        <v>92127966</v>
      </c>
      <c r="K1717">
        <v>1</v>
      </c>
    </row>
    <row r="1718" spans="1:11" x14ac:dyDescent="0.25">
      <c r="A1718">
        <v>6717763</v>
      </c>
      <c r="B1718" s="1">
        <v>42941</v>
      </c>
      <c r="C1718" s="2">
        <v>0.596099537037037</v>
      </c>
      <c r="D1718" s="2">
        <v>0.60069444444444442</v>
      </c>
      <c r="G1718" s="4">
        <v>96736796</v>
      </c>
      <c r="H1718">
        <v>1</v>
      </c>
      <c r="J1718">
        <v>92326393</v>
      </c>
      <c r="K1718">
        <v>1</v>
      </c>
    </row>
    <row r="1719" spans="1:11" x14ac:dyDescent="0.25">
      <c r="A1719">
        <v>2117176</v>
      </c>
      <c r="B1719" s="1">
        <v>42941</v>
      </c>
      <c r="C1719" s="2">
        <v>0.5995138888888889</v>
      </c>
      <c r="D1719" s="2">
        <v>0.60322916666666671</v>
      </c>
      <c r="G1719" s="4">
        <v>96949751</v>
      </c>
      <c r="H1719">
        <v>2</v>
      </c>
      <c r="J1719">
        <v>92414932</v>
      </c>
      <c r="K1719">
        <v>1</v>
      </c>
    </row>
    <row r="1720" spans="1:11" x14ac:dyDescent="0.25">
      <c r="A1720">
        <v>67688044</v>
      </c>
      <c r="B1720" s="1">
        <v>42941</v>
      </c>
      <c r="C1720" s="2">
        <v>0.60341435185185188</v>
      </c>
      <c r="D1720" s="2">
        <v>0.60423611111111108</v>
      </c>
      <c r="G1720" s="4">
        <v>96977805</v>
      </c>
      <c r="H1720">
        <v>1</v>
      </c>
      <c r="J1720">
        <v>92461001</v>
      </c>
      <c r="K1720">
        <v>1</v>
      </c>
    </row>
    <row r="1721" spans="1:11" x14ac:dyDescent="0.25">
      <c r="A1721">
        <v>3824371</v>
      </c>
      <c r="B1721" s="1">
        <v>42941</v>
      </c>
      <c r="C1721" s="2">
        <v>0.60442129629629626</v>
      </c>
      <c r="D1721" s="2">
        <v>0.61266203703703703</v>
      </c>
      <c r="G1721" s="4">
        <v>97317489</v>
      </c>
      <c r="H1721">
        <v>2</v>
      </c>
      <c r="J1721">
        <v>92597723</v>
      </c>
      <c r="K1721">
        <v>1</v>
      </c>
    </row>
    <row r="1722" spans="1:11" x14ac:dyDescent="0.25">
      <c r="A1722">
        <v>3025855</v>
      </c>
      <c r="B1722" s="1">
        <v>42941</v>
      </c>
      <c r="C1722" s="2">
        <v>0.60601851851851851</v>
      </c>
      <c r="D1722" s="2">
        <v>0.60782407407407413</v>
      </c>
      <c r="G1722" s="4">
        <v>97459926</v>
      </c>
      <c r="H1722">
        <v>1</v>
      </c>
      <c r="J1722">
        <v>93050839</v>
      </c>
      <c r="K1722">
        <v>1</v>
      </c>
    </row>
    <row r="1723" spans="1:11" x14ac:dyDescent="0.25">
      <c r="A1723">
        <v>8773356</v>
      </c>
      <c r="B1723" s="1">
        <v>42941</v>
      </c>
      <c r="C1723" s="2">
        <v>0.60879629629629628</v>
      </c>
      <c r="D1723" s="2">
        <v>0.61106481481481478</v>
      </c>
      <c r="G1723" s="4">
        <v>97558765</v>
      </c>
      <c r="H1723">
        <v>1</v>
      </c>
      <c r="J1723">
        <v>93794133</v>
      </c>
      <c r="K1723">
        <v>1</v>
      </c>
    </row>
    <row r="1724" spans="1:11" x14ac:dyDescent="0.25">
      <c r="A1724">
        <v>1211446</v>
      </c>
      <c r="B1724" s="1">
        <v>42941</v>
      </c>
      <c r="C1724" s="2">
        <v>0.61202546296296301</v>
      </c>
      <c r="D1724" s="2">
        <v>0.62135416666666665</v>
      </c>
      <c r="G1724" s="4">
        <v>97596112</v>
      </c>
      <c r="H1724">
        <v>1</v>
      </c>
      <c r="J1724">
        <v>93811207</v>
      </c>
      <c r="K1724">
        <v>1</v>
      </c>
    </row>
    <row r="1725" spans="1:11" x14ac:dyDescent="0.25">
      <c r="A1725">
        <v>3607585</v>
      </c>
      <c r="B1725" s="1">
        <v>42941</v>
      </c>
      <c r="C1725" s="2">
        <v>0.61460648148148145</v>
      </c>
      <c r="D1725" s="2">
        <v>0.62116898148148147</v>
      </c>
      <c r="G1725" s="4">
        <v>97646706</v>
      </c>
      <c r="H1725">
        <v>1</v>
      </c>
      <c r="J1725">
        <v>94197168</v>
      </c>
      <c r="K1725">
        <v>1</v>
      </c>
    </row>
    <row r="1726" spans="1:11" x14ac:dyDescent="0.25">
      <c r="A1726">
        <v>5492379</v>
      </c>
      <c r="B1726" s="1">
        <v>42941</v>
      </c>
      <c r="C1726" s="2">
        <v>0.61895833333333339</v>
      </c>
      <c r="D1726" s="2">
        <v>0.61971064814814814</v>
      </c>
      <c r="G1726" s="4">
        <v>97782375</v>
      </c>
      <c r="H1726">
        <v>1</v>
      </c>
      <c r="J1726">
        <v>94634526</v>
      </c>
      <c r="K1726">
        <v>1</v>
      </c>
    </row>
    <row r="1727" spans="1:11" x14ac:dyDescent="0.25">
      <c r="A1727">
        <v>84589848</v>
      </c>
      <c r="B1727" s="1">
        <v>42941</v>
      </c>
      <c r="C1727" s="2">
        <v>0.61971064814814814</v>
      </c>
      <c r="D1727" s="2">
        <v>0.62334490740740744</v>
      </c>
      <c r="G1727" s="4">
        <v>97798921</v>
      </c>
      <c r="H1727">
        <v>3</v>
      </c>
      <c r="J1727">
        <v>94989369</v>
      </c>
      <c r="K1727">
        <v>1</v>
      </c>
    </row>
    <row r="1728" spans="1:11" x14ac:dyDescent="0.25">
      <c r="A1728">
        <v>7622848</v>
      </c>
      <c r="B1728" s="1">
        <v>42941</v>
      </c>
      <c r="C1728" s="2">
        <v>0.62008101851851849</v>
      </c>
      <c r="D1728" s="2">
        <v>0.62776620370370373</v>
      </c>
      <c r="G1728" s="4">
        <v>97876188</v>
      </c>
      <c r="H1728">
        <v>1</v>
      </c>
      <c r="J1728">
        <v>95211263</v>
      </c>
      <c r="K1728">
        <v>1</v>
      </c>
    </row>
    <row r="1729" spans="1:11" x14ac:dyDescent="0.25">
      <c r="A1729">
        <v>7883595</v>
      </c>
      <c r="B1729" s="1">
        <v>42941</v>
      </c>
      <c r="C1729" s="2">
        <v>0.62149305555555556</v>
      </c>
      <c r="D1729" s="2">
        <v>0.624537037037037</v>
      </c>
      <c r="G1729" s="4">
        <v>97953696</v>
      </c>
      <c r="H1729">
        <v>5</v>
      </c>
      <c r="J1729">
        <v>95805020</v>
      </c>
      <c r="K1729">
        <v>1</v>
      </c>
    </row>
    <row r="1730" spans="1:11" x14ac:dyDescent="0.25">
      <c r="A1730">
        <v>4804872</v>
      </c>
      <c r="B1730" s="1">
        <v>42941</v>
      </c>
      <c r="C1730" s="2">
        <v>0.62472222222222218</v>
      </c>
      <c r="D1730" s="2">
        <v>0.6360069444444445</v>
      </c>
      <c r="G1730" s="4">
        <v>97997759</v>
      </c>
      <c r="H1730">
        <v>1</v>
      </c>
      <c r="J1730">
        <v>96302157</v>
      </c>
      <c r="K1730">
        <v>1</v>
      </c>
    </row>
    <row r="1731" spans="1:11" x14ac:dyDescent="0.25">
      <c r="A1731">
        <v>61812355</v>
      </c>
      <c r="B1731" s="1">
        <v>42941</v>
      </c>
      <c r="C1731" s="2">
        <v>0.6292592592592593</v>
      </c>
      <c r="D1731" s="2">
        <v>0.63806712962962964</v>
      </c>
      <c r="G1731" s="4">
        <v>98021540</v>
      </c>
      <c r="H1731">
        <v>1</v>
      </c>
      <c r="J1731">
        <v>96323047</v>
      </c>
      <c r="K1731">
        <v>1</v>
      </c>
    </row>
    <row r="1732" spans="1:11" x14ac:dyDescent="0.25">
      <c r="A1732">
        <v>6493766</v>
      </c>
      <c r="B1732" s="1">
        <v>42942</v>
      </c>
      <c r="C1732" s="2">
        <v>0.33584490740740741</v>
      </c>
      <c r="D1732" s="2">
        <v>0.33677083333333335</v>
      </c>
      <c r="G1732" s="4">
        <v>98238772</v>
      </c>
      <c r="H1732">
        <v>1</v>
      </c>
      <c r="J1732">
        <v>96381896</v>
      </c>
      <c r="K1732">
        <v>1</v>
      </c>
    </row>
    <row r="1733" spans="1:11" x14ac:dyDescent="0.25">
      <c r="A1733">
        <v>4965118</v>
      </c>
      <c r="B1733" s="1">
        <v>42942</v>
      </c>
      <c r="C1733" s="2">
        <v>0.33710648148148148</v>
      </c>
      <c r="D1733" s="2">
        <v>0.34759259259259262</v>
      </c>
      <c r="G1733" s="4">
        <v>98382147</v>
      </c>
      <c r="H1733">
        <v>1</v>
      </c>
      <c r="J1733">
        <v>96404523</v>
      </c>
      <c r="K1733">
        <v>1</v>
      </c>
    </row>
    <row r="1734" spans="1:11" x14ac:dyDescent="0.25">
      <c r="A1734">
        <v>7973476</v>
      </c>
      <c r="B1734" s="1">
        <v>42942</v>
      </c>
      <c r="C1734" s="2">
        <v>0.34250000000000003</v>
      </c>
      <c r="D1734" s="2">
        <v>0.35003472222222221</v>
      </c>
      <c r="G1734" s="4">
        <v>98391891</v>
      </c>
      <c r="H1734">
        <v>1</v>
      </c>
      <c r="J1734">
        <v>96424596</v>
      </c>
      <c r="K1734">
        <v>1</v>
      </c>
    </row>
    <row r="1735" spans="1:11" x14ac:dyDescent="0.25">
      <c r="A1735">
        <v>6642574</v>
      </c>
      <c r="B1735" s="1">
        <v>42942</v>
      </c>
      <c r="C1735" s="2">
        <v>0.34575231481481483</v>
      </c>
      <c r="D1735" s="2">
        <v>0.35645833333333332</v>
      </c>
      <c r="G1735" s="4">
        <v>98695684</v>
      </c>
      <c r="H1735">
        <v>1</v>
      </c>
      <c r="J1735">
        <v>96620804</v>
      </c>
      <c r="K1735">
        <v>1</v>
      </c>
    </row>
    <row r="1736" spans="1:11" x14ac:dyDescent="0.25">
      <c r="A1736">
        <v>2325155</v>
      </c>
      <c r="B1736" s="1">
        <v>42942</v>
      </c>
      <c r="C1736" s="2">
        <v>0.34759259259259262</v>
      </c>
      <c r="D1736" s="2">
        <v>0.35511574074074076</v>
      </c>
      <c r="G1736" s="4">
        <v>98737794</v>
      </c>
      <c r="H1736">
        <v>1</v>
      </c>
      <c r="J1736">
        <v>96736796</v>
      </c>
      <c r="K1736">
        <v>1</v>
      </c>
    </row>
    <row r="1737" spans="1:11" x14ac:dyDescent="0.25">
      <c r="A1737">
        <v>1340323</v>
      </c>
      <c r="B1737" s="1">
        <v>42942</v>
      </c>
      <c r="C1737" s="2">
        <v>0.34994212962962962</v>
      </c>
      <c r="D1737" s="2">
        <v>0.35781249999999998</v>
      </c>
      <c r="G1737" s="4">
        <v>98939809</v>
      </c>
      <c r="H1737">
        <v>2</v>
      </c>
      <c r="J1737">
        <v>96977805</v>
      </c>
      <c r="K1737">
        <v>1</v>
      </c>
    </row>
    <row r="1738" spans="1:11" x14ac:dyDescent="0.25">
      <c r="A1738">
        <v>8957203</v>
      </c>
      <c r="B1738" s="1">
        <v>42942</v>
      </c>
      <c r="C1738" s="2">
        <v>0.35454861111111113</v>
      </c>
      <c r="D1738" s="2">
        <v>0.3629398148148148</v>
      </c>
      <c r="G1738" s="4">
        <v>99056276</v>
      </c>
      <c r="H1738">
        <v>1</v>
      </c>
      <c r="J1738">
        <v>97459926</v>
      </c>
      <c r="K1738">
        <v>1</v>
      </c>
    </row>
    <row r="1739" spans="1:11" x14ac:dyDescent="0.25">
      <c r="A1739">
        <v>8276893</v>
      </c>
      <c r="B1739" s="1">
        <v>42942</v>
      </c>
      <c r="C1739" s="2">
        <v>0.3590740740740741</v>
      </c>
      <c r="D1739" s="2">
        <v>0.36600694444444443</v>
      </c>
      <c r="G1739" s="4">
        <v>99162491</v>
      </c>
      <c r="H1739">
        <v>2</v>
      </c>
      <c r="J1739">
        <v>97558765</v>
      </c>
      <c r="K1739">
        <v>1</v>
      </c>
    </row>
    <row r="1740" spans="1:11" x14ac:dyDescent="0.25">
      <c r="A1740">
        <v>7894591002</v>
      </c>
      <c r="B1740" s="1">
        <v>42942</v>
      </c>
      <c r="C1740" s="2">
        <v>0.36476851851851849</v>
      </c>
      <c r="D1740" s="2">
        <v>0.37505787037037036</v>
      </c>
      <c r="G1740" s="4">
        <v>99625315</v>
      </c>
      <c r="H1740">
        <v>1</v>
      </c>
      <c r="J1740">
        <v>97596112</v>
      </c>
      <c r="K1740">
        <v>1</v>
      </c>
    </row>
    <row r="1741" spans="1:11" x14ac:dyDescent="0.25">
      <c r="A1741">
        <v>26891502</v>
      </c>
      <c r="B1741" s="1">
        <v>42942</v>
      </c>
      <c r="C1741" s="2">
        <v>0.3697685185185185</v>
      </c>
      <c r="D1741" s="2">
        <v>0.37656250000000002</v>
      </c>
      <c r="G1741" s="4">
        <v>99625946</v>
      </c>
      <c r="H1741">
        <v>1</v>
      </c>
      <c r="J1741">
        <v>97646706</v>
      </c>
      <c r="K1741">
        <v>1</v>
      </c>
    </row>
    <row r="1742" spans="1:11" x14ac:dyDescent="0.25">
      <c r="A1742">
        <v>71021004</v>
      </c>
      <c r="B1742" s="1">
        <v>42942</v>
      </c>
      <c r="C1742" s="2">
        <v>0.37305555555555553</v>
      </c>
      <c r="D1742" s="2">
        <v>0.38090277777777776</v>
      </c>
      <c r="G1742" s="4">
        <v>99905503</v>
      </c>
      <c r="H1742">
        <v>1</v>
      </c>
      <c r="J1742">
        <v>97782375</v>
      </c>
      <c r="K1742">
        <v>1</v>
      </c>
    </row>
    <row r="1743" spans="1:11" x14ac:dyDescent="0.25">
      <c r="A1743">
        <v>17314583</v>
      </c>
      <c r="B1743" s="1">
        <v>42942</v>
      </c>
      <c r="C1743" s="2">
        <v>0.37843749999999998</v>
      </c>
      <c r="D1743" s="2">
        <v>0.38879629629629631</v>
      </c>
      <c r="G1743" s="4">
        <v>1088377750</v>
      </c>
      <c r="H1743">
        <v>2</v>
      </c>
      <c r="J1743">
        <v>97876188</v>
      </c>
      <c r="K1743">
        <v>1</v>
      </c>
    </row>
    <row r="1744" spans="1:11" x14ac:dyDescent="0.25">
      <c r="A1744">
        <v>3972159</v>
      </c>
      <c r="B1744" s="1">
        <v>42942</v>
      </c>
      <c r="C1744" s="2">
        <v>0.37895833333333334</v>
      </c>
      <c r="D1744" s="2">
        <v>0.38263888888888886</v>
      </c>
      <c r="G1744" s="4">
        <v>1090396060</v>
      </c>
      <c r="H1744">
        <v>1</v>
      </c>
      <c r="J1744">
        <v>97997759</v>
      </c>
      <c r="K1744">
        <v>1</v>
      </c>
    </row>
    <row r="1745" spans="1:11" x14ac:dyDescent="0.25">
      <c r="A1745">
        <v>94989369</v>
      </c>
      <c r="B1745" s="1">
        <v>42942</v>
      </c>
      <c r="C1745" s="2">
        <v>0.37965277777777778</v>
      </c>
      <c r="D1745" s="2">
        <v>0.39068287037037036</v>
      </c>
      <c r="G1745" s="4">
        <v>1094486764</v>
      </c>
      <c r="H1745">
        <v>1</v>
      </c>
      <c r="J1745">
        <v>98021540</v>
      </c>
      <c r="K1745">
        <v>1</v>
      </c>
    </row>
    <row r="1746" spans="1:11" x14ac:dyDescent="0.25">
      <c r="A1746">
        <v>4857453</v>
      </c>
      <c r="B1746" s="1">
        <v>42942</v>
      </c>
      <c r="C1746" s="2">
        <v>0.38013888888888892</v>
      </c>
      <c r="D1746" s="2">
        <v>0.385625</v>
      </c>
      <c r="G1746" s="4">
        <v>1161028310</v>
      </c>
      <c r="H1746">
        <v>1</v>
      </c>
      <c r="J1746">
        <v>98238772</v>
      </c>
      <c r="K1746">
        <v>1</v>
      </c>
    </row>
    <row r="1747" spans="1:11" x14ac:dyDescent="0.25">
      <c r="A1747">
        <v>7980513</v>
      </c>
      <c r="B1747" s="1">
        <v>42942</v>
      </c>
      <c r="C1747" s="2">
        <v>0.38197916666666665</v>
      </c>
      <c r="D1747" s="2">
        <v>0.38288194444444446</v>
      </c>
      <c r="G1747" s="4">
        <v>1288318920</v>
      </c>
      <c r="H1747">
        <v>1</v>
      </c>
      <c r="J1747">
        <v>98382147</v>
      </c>
      <c r="K1747">
        <v>1</v>
      </c>
    </row>
    <row r="1748" spans="1:11" x14ac:dyDescent="0.25">
      <c r="A1748">
        <v>6896175</v>
      </c>
      <c r="B1748" s="1">
        <v>42942</v>
      </c>
      <c r="C1748" s="2">
        <v>0.38309027777777777</v>
      </c>
      <c r="D1748" s="2">
        <v>0.38425925925925924</v>
      </c>
      <c r="G1748" s="4">
        <v>1308483040</v>
      </c>
      <c r="H1748">
        <v>1</v>
      </c>
      <c r="J1748">
        <v>98391891</v>
      </c>
      <c r="K1748">
        <v>1</v>
      </c>
    </row>
    <row r="1749" spans="1:11" x14ac:dyDescent="0.25">
      <c r="A1749">
        <v>1689993</v>
      </c>
      <c r="B1749" s="1">
        <v>42942</v>
      </c>
      <c r="C1749" s="2">
        <v>0.38337962962962963</v>
      </c>
      <c r="D1749" s="2">
        <v>0.38748842592592592</v>
      </c>
      <c r="G1749" s="4">
        <v>1521041994</v>
      </c>
      <c r="H1749">
        <v>1</v>
      </c>
      <c r="J1749">
        <v>98695684</v>
      </c>
      <c r="K1749">
        <v>1</v>
      </c>
    </row>
    <row r="1750" spans="1:11" x14ac:dyDescent="0.25">
      <c r="A1750">
        <v>1183006</v>
      </c>
      <c r="B1750" s="1">
        <v>42942</v>
      </c>
      <c r="C1750" s="2">
        <v>0.38601851851851854</v>
      </c>
      <c r="D1750" s="2">
        <v>0.39283564814814814</v>
      </c>
      <c r="G1750" s="4">
        <v>1661643168</v>
      </c>
      <c r="H1750">
        <v>1</v>
      </c>
      <c r="J1750">
        <v>98737794</v>
      </c>
      <c r="K1750">
        <v>1</v>
      </c>
    </row>
    <row r="1751" spans="1:11" x14ac:dyDescent="0.25">
      <c r="A1751">
        <v>9446278</v>
      </c>
      <c r="B1751" s="1">
        <v>42942</v>
      </c>
      <c r="C1751" s="2">
        <v>0.38871527777777776</v>
      </c>
      <c r="D1751" s="2">
        <v>0.38982638888888888</v>
      </c>
      <c r="G1751" s="4">
        <v>1731500345</v>
      </c>
      <c r="H1751">
        <v>1</v>
      </c>
      <c r="J1751">
        <v>99056276</v>
      </c>
      <c r="K1751">
        <v>1</v>
      </c>
    </row>
    <row r="1752" spans="1:11" x14ac:dyDescent="0.25">
      <c r="A1752">
        <v>2445944</v>
      </c>
      <c r="B1752" s="1">
        <v>42942</v>
      </c>
      <c r="C1752" s="2">
        <v>0.3895601851851852</v>
      </c>
      <c r="D1752" s="2">
        <v>0.39548611111111109</v>
      </c>
      <c r="G1752" s="4">
        <v>1774304298</v>
      </c>
      <c r="H1752">
        <v>1</v>
      </c>
      <c r="J1752">
        <v>99625315</v>
      </c>
      <c r="K1752">
        <v>1</v>
      </c>
    </row>
    <row r="1753" spans="1:11" x14ac:dyDescent="0.25">
      <c r="A1753">
        <v>4404713</v>
      </c>
      <c r="B1753" s="1">
        <v>42942</v>
      </c>
      <c r="C1753" s="2">
        <v>0.39533564814814814</v>
      </c>
      <c r="D1753" s="2">
        <v>0.39599537037037036</v>
      </c>
      <c r="G1753" s="4">
        <v>1822675725</v>
      </c>
      <c r="H1753">
        <v>1</v>
      </c>
      <c r="J1753">
        <v>99625946</v>
      </c>
      <c r="K1753">
        <v>1</v>
      </c>
    </row>
    <row r="1754" spans="1:11" x14ac:dyDescent="0.25">
      <c r="A1754">
        <v>6495153</v>
      </c>
      <c r="B1754" s="1">
        <v>42942</v>
      </c>
      <c r="C1754" s="2">
        <v>0.4001736111111111</v>
      </c>
      <c r="D1754" s="2">
        <v>0.40406249999999999</v>
      </c>
      <c r="G1754" s="4">
        <v>1858872516</v>
      </c>
      <c r="H1754">
        <v>1</v>
      </c>
      <c r="J1754">
        <v>99905503</v>
      </c>
      <c r="K1754">
        <v>1</v>
      </c>
    </row>
    <row r="1755" spans="1:11" x14ac:dyDescent="0.25">
      <c r="A1755">
        <v>2684831</v>
      </c>
      <c r="B1755" s="1">
        <v>42942</v>
      </c>
      <c r="C1755" s="2">
        <v>0.40130787037037036</v>
      </c>
      <c r="D1755" s="2">
        <v>0.40658564814814813</v>
      </c>
      <c r="G1755" s="4">
        <v>1936989939</v>
      </c>
      <c r="H1755">
        <v>1</v>
      </c>
      <c r="J1755">
        <v>1090396060</v>
      </c>
      <c r="K1755">
        <v>1</v>
      </c>
    </row>
    <row r="1756" spans="1:11" x14ac:dyDescent="0.25">
      <c r="A1756">
        <v>8748493</v>
      </c>
      <c r="B1756" s="1">
        <v>42942</v>
      </c>
      <c r="C1756" s="2">
        <v>0.40415509259259258</v>
      </c>
      <c r="D1756" s="2">
        <v>0.40443287037037035</v>
      </c>
      <c r="G1756" s="4">
        <v>1972250241</v>
      </c>
      <c r="H1756">
        <v>1</v>
      </c>
      <c r="J1756">
        <v>1094486764</v>
      </c>
      <c r="K1756">
        <v>1</v>
      </c>
    </row>
    <row r="1757" spans="1:11" x14ac:dyDescent="0.25">
      <c r="A1757">
        <v>7230252</v>
      </c>
      <c r="B1757" s="1">
        <v>42942</v>
      </c>
      <c r="C1757" s="2">
        <v>0.40771990740740743</v>
      </c>
      <c r="D1757" s="2">
        <v>0.41290509259259262</v>
      </c>
      <c r="G1757" s="4">
        <v>1973826522</v>
      </c>
      <c r="H1757">
        <v>2</v>
      </c>
      <c r="J1757">
        <v>1161028310</v>
      </c>
      <c r="K1757">
        <v>1</v>
      </c>
    </row>
    <row r="1758" spans="1:11" x14ac:dyDescent="0.25">
      <c r="A1758">
        <v>5082463</v>
      </c>
      <c r="B1758" s="1">
        <v>42942</v>
      </c>
      <c r="C1758" s="2">
        <v>0.41269675925925925</v>
      </c>
      <c r="D1758" s="2">
        <v>0.42046296296296298</v>
      </c>
      <c r="G1758" s="4">
        <v>2021941339</v>
      </c>
      <c r="H1758">
        <v>1</v>
      </c>
      <c r="J1758">
        <v>1288318920</v>
      </c>
      <c r="K1758">
        <v>1</v>
      </c>
    </row>
    <row r="1759" spans="1:11" x14ac:dyDescent="0.25">
      <c r="A1759">
        <v>1830054</v>
      </c>
      <c r="B1759" s="1">
        <v>42942</v>
      </c>
      <c r="C1759" s="2">
        <v>0.41390046296296296</v>
      </c>
      <c r="D1759" s="2">
        <v>0.42016203703703703</v>
      </c>
      <c r="G1759" s="4">
        <v>2079170589</v>
      </c>
      <c r="H1759">
        <v>1</v>
      </c>
      <c r="J1759">
        <v>1308483040</v>
      </c>
      <c r="K1759">
        <v>1</v>
      </c>
    </row>
    <row r="1760" spans="1:11" x14ac:dyDescent="0.25">
      <c r="A1760">
        <v>5223970</v>
      </c>
      <c r="B1760" s="1">
        <v>42942</v>
      </c>
      <c r="C1760" s="2">
        <v>0.41413194444444446</v>
      </c>
      <c r="D1760" s="2">
        <v>0.41684027777777777</v>
      </c>
      <c r="G1760" s="4">
        <v>2109147679</v>
      </c>
      <c r="H1760">
        <v>5</v>
      </c>
      <c r="J1760">
        <v>1521041994</v>
      </c>
      <c r="K1760">
        <v>1</v>
      </c>
    </row>
    <row r="1761" spans="1:11" x14ac:dyDescent="0.25">
      <c r="A1761">
        <v>8369071681</v>
      </c>
      <c r="B1761" s="1">
        <v>42942</v>
      </c>
      <c r="C1761" s="2">
        <v>0.41935185185185186</v>
      </c>
      <c r="D1761" s="2">
        <v>0.42133101851851851</v>
      </c>
      <c r="G1761" s="4">
        <v>2211277198</v>
      </c>
      <c r="H1761">
        <v>2</v>
      </c>
      <c r="J1761">
        <v>1661643168</v>
      </c>
      <c r="K1761">
        <v>1</v>
      </c>
    </row>
    <row r="1762" spans="1:11" x14ac:dyDescent="0.25">
      <c r="A1762">
        <v>5582631</v>
      </c>
      <c r="B1762" s="1">
        <v>42942</v>
      </c>
      <c r="C1762" s="2">
        <v>0.42229166666666668</v>
      </c>
      <c r="D1762" s="2">
        <v>0.42271990740740739</v>
      </c>
      <c r="G1762" s="4">
        <v>2756059784</v>
      </c>
      <c r="H1762">
        <v>1</v>
      </c>
      <c r="J1762">
        <v>1731500345</v>
      </c>
      <c r="K1762">
        <v>1</v>
      </c>
    </row>
    <row r="1763" spans="1:11" x14ac:dyDescent="0.25">
      <c r="A1763">
        <v>68043713</v>
      </c>
      <c r="B1763" s="1">
        <v>42942</v>
      </c>
      <c r="C1763" s="2">
        <v>0.42366898148148147</v>
      </c>
      <c r="D1763" s="2">
        <v>0.42792824074074076</v>
      </c>
      <c r="G1763" s="4">
        <v>2890519255</v>
      </c>
      <c r="H1763">
        <v>2</v>
      </c>
      <c r="J1763">
        <v>1774304298</v>
      </c>
      <c r="K1763">
        <v>1</v>
      </c>
    </row>
    <row r="1764" spans="1:11" x14ac:dyDescent="0.25">
      <c r="A1764">
        <v>89263578</v>
      </c>
      <c r="B1764" s="1">
        <v>42942</v>
      </c>
      <c r="C1764" s="2">
        <v>0.42912037037037037</v>
      </c>
      <c r="D1764" s="2">
        <v>0.43753472222222223</v>
      </c>
      <c r="G1764" s="4">
        <v>3264546470</v>
      </c>
      <c r="H1764">
        <v>1</v>
      </c>
      <c r="J1764">
        <v>1822675725</v>
      </c>
      <c r="K1764">
        <v>1</v>
      </c>
    </row>
    <row r="1765" spans="1:11" x14ac:dyDescent="0.25">
      <c r="A1765">
        <v>7511410</v>
      </c>
      <c r="B1765" s="1">
        <v>42942</v>
      </c>
      <c r="C1765" s="2">
        <v>0.43304398148148149</v>
      </c>
      <c r="D1765" s="2">
        <v>0.43761574074074072</v>
      </c>
      <c r="G1765" s="4">
        <v>3273221616</v>
      </c>
      <c r="H1765">
        <v>1</v>
      </c>
      <c r="J1765">
        <v>1858872516</v>
      </c>
      <c r="K1765">
        <v>1</v>
      </c>
    </row>
    <row r="1766" spans="1:11" x14ac:dyDescent="0.25">
      <c r="A1766">
        <v>2128803</v>
      </c>
      <c r="B1766" s="1">
        <v>42942</v>
      </c>
      <c r="C1766" s="2">
        <v>0.43815972222222221</v>
      </c>
      <c r="D1766" s="2">
        <v>0.44572916666666668</v>
      </c>
      <c r="G1766" s="4">
        <v>3346801494</v>
      </c>
      <c r="H1766">
        <v>1</v>
      </c>
      <c r="J1766">
        <v>1936989939</v>
      </c>
      <c r="K1766">
        <v>1</v>
      </c>
    </row>
    <row r="1767" spans="1:11" x14ac:dyDescent="0.25">
      <c r="A1767">
        <v>3135285</v>
      </c>
      <c r="B1767" s="1">
        <v>42942</v>
      </c>
      <c r="C1767" s="2">
        <v>0.43896990740740743</v>
      </c>
      <c r="D1767" s="2">
        <v>0.44863425925925926</v>
      </c>
      <c r="G1767" s="4">
        <v>3379007610</v>
      </c>
      <c r="H1767">
        <v>1</v>
      </c>
      <c r="J1767">
        <v>1972250241</v>
      </c>
      <c r="K1767">
        <v>1</v>
      </c>
    </row>
    <row r="1768" spans="1:11" x14ac:dyDescent="0.25">
      <c r="A1768">
        <v>5231877</v>
      </c>
      <c r="B1768" s="1">
        <v>42942</v>
      </c>
      <c r="C1768" s="2">
        <v>0.44265046296296295</v>
      </c>
      <c r="D1768" s="2">
        <v>0.45337962962962963</v>
      </c>
      <c r="G1768" s="4">
        <v>3408462348</v>
      </c>
      <c r="H1768">
        <v>1</v>
      </c>
      <c r="J1768">
        <v>2021941339</v>
      </c>
      <c r="K1768">
        <v>1</v>
      </c>
    </row>
    <row r="1769" spans="1:11" x14ac:dyDescent="0.25">
      <c r="A1769">
        <v>98391891</v>
      </c>
      <c r="B1769" s="1">
        <v>42942</v>
      </c>
      <c r="C1769" s="2">
        <v>0.44289351851851849</v>
      </c>
      <c r="D1769" s="2">
        <v>0.44364583333333335</v>
      </c>
      <c r="G1769" s="4">
        <v>3414247278</v>
      </c>
      <c r="H1769">
        <v>1</v>
      </c>
      <c r="J1769">
        <v>2079170589</v>
      </c>
      <c r="K1769">
        <v>1</v>
      </c>
    </row>
    <row r="1770" spans="1:11" x14ac:dyDescent="0.25">
      <c r="A1770">
        <v>9865524</v>
      </c>
      <c r="B1770" s="1">
        <v>42942</v>
      </c>
      <c r="C1770" s="2">
        <v>0.44298611111111114</v>
      </c>
      <c r="D1770" s="2">
        <v>0.45023148148148145</v>
      </c>
      <c r="G1770" s="4">
        <v>3463982286</v>
      </c>
      <c r="H1770">
        <v>1</v>
      </c>
      <c r="J1770">
        <v>2756059784</v>
      </c>
      <c r="K1770">
        <v>1</v>
      </c>
    </row>
    <row r="1771" spans="1:11" x14ac:dyDescent="0.25">
      <c r="A1771">
        <v>7988607</v>
      </c>
      <c r="B1771" s="1">
        <v>42942</v>
      </c>
      <c r="C1771" s="2">
        <v>0.44300925925925927</v>
      </c>
      <c r="D1771" s="2">
        <v>0.4513773148148148</v>
      </c>
      <c r="G1771" s="4">
        <v>3758539398</v>
      </c>
      <c r="H1771">
        <v>1</v>
      </c>
      <c r="J1771">
        <v>3264546470</v>
      </c>
      <c r="K1771">
        <v>1</v>
      </c>
    </row>
    <row r="1772" spans="1:11" x14ac:dyDescent="0.25">
      <c r="A1772">
        <v>4599598</v>
      </c>
      <c r="B1772" s="1">
        <v>42942</v>
      </c>
      <c r="C1772" s="2">
        <v>0.44710648148148147</v>
      </c>
      <c r="D1772" s="2">
        <v>0.45658564814814817</v>
      </c>
      <c r="G1772" s="4">
        <v>3826370863</v>
      </c>
      <c r="H1772">
        <v>1</v>
      </c>
      <c r="J1772">
        <v>3273221616</v>
      </c>
      <c r="K1772">
        <v>1</v>
      </c>
    </row>
    <row r="1773" spans="1:11" x14ac:dyDescent="0.25">
      <c r="A1773">
        <v>59984179</v>
      </c>
      <c r="B1773" s="1">
        <v>42942</v>
      </c>
      <c r="C1773" s="2">
        <v>0.44815972222222222</v>
      </c>
      <c r="D1773" s="2">
        <v>0.45435185185185184</v>
      </c>
      <c r="G1773" s="4">
        <v>3897850970</v>
      </c>
      <c r="H1773">
        <v>1</v>
      </c>
      <c r="J1773">
        <v>3346801494</v>
      </c>
      <c r="K1773">
        <v>1</v>
      </c>
    </row>
    <row r="1774" spans="1:11" x14ac:dyDescent="0.25">
      <c r="A1774">
        <v>9763924</v>
      </c>
      <c r="B1774" s="1">
        <v>42942</v>
      </c>
      <c r="C1774" s="2">
        <v>0.44972222222222225</v>
      </c>
      <c r="D1774" s="2">
        <v>0.45559027777777777</v>
      </c>
      <c r="G1774" s="4">
        <v>3931739393</v>
      </c>
      <c r="H1774">
        <v>1</v>
      </c>
      <c r="J1774">
        <v>3379007610</v>
      </c>
      <c r="K1774">
        <v>1</v>
      </c>
    </row>
    <row r="1775" spans="1:11" x14ac:dyDescent="0.25">
      <c r="A1775">
        <v>1531672</v>
      </c>
      <c r="B1775" s="1">
        <v>42942</v>
      </c>
      <c r="C1775" s="2">
        <v>0.45021990740740742</v>
      </c>
      <c r="D1775" s="2">
        <v>0.46079861111111109</v>
      </c>
      <c r="G1775" s="4">
        <v>3968528766</v>
      </c>
      <c r="H1775">
        <v>1</v>
      </c>
      <c r="J1775">
        <v>3408462348</v>
      </c>
      <c r="K1775">
        <v>1</v>
      </c>
    </row>
    <row r="1776" spans="1:11" x14ac:dyDescent="0.25">
      <c r="A1776">
        <v>59723258</v>
      </c>
      <c r="B1776" s="1">
        <v>42942</v>
      </c>
      <c r="C1776" s="2">
        <v>0.4503125</v>
      </c>
      <c r="D1776" s="2">
        <v>0.4601736111111111</v>
      </c>
      <c r="G1776" s="4">
        <v>3981821518</v>
      </c>
      <c r="H1776">
        <v>1</v>
      </c>
      <c r="J1776">
        <v>3414247278</v>
      </c>
      <c r="K1776">
        <v>1</v>
      </c>
    </row>
    <row r="1777" spans="1:11" x14ac:dyDescent="0.25">
      <c r="A1777">
        <v>6878722</v>
      </c>
      <c r="B1777" s="1">
        <v>42942</v>
      </c>
      <c r="C1777" s="2">
        <v>0.45333333333333331</v>
      </c>
      <c r="D1777" s="2">
        <v>0.45443287037037039</v>
      </c>
      <c r="G1777" s="4">
        <v>4045129075</v>
      </c>
      <c r="H1777">
        <v>1</v>
      </c>
      <c r="J1777">
        <v>3463982286</v>
      </c>
      <c r="K1777">
        <v>1</v>
      </c>
    </row>
    <row r="1778" spans="1:11" x14ac:dyDescent="0.25">
      <c r="A1778">
        <v>49278984</v>
      </c>
      <c r="B1778" s="1">
        <v>42942</v>
      </c>
      <c r="C1778" s="2">
        <v>0.45531250000000001</v>
      </c>
      <c r="D1778" s="2">
        <v>0.45717592592592593</v>
      </c>
      <c r="G1778" s="4">
        <v>4303543625</v>
      </c>
      <c r="H1778">
        <v>1</v>
      </c>
      <c r="J1778">
        <v>3758539398</v>
      </c>
      <c r="K1778">
        <v>1</v>
      </c>
    </row>
    <row r="1779" spans="1:11" x14ac:dyDescent="0.25">
      <c r="A1779">
        <v>5672312</v>
      </c>
      <c r="B1779" s="1">
        <v>42942</v>
      </c>
      <c r="C1779" s="2">
        <v>0.45554398148148151</v>
      </c>
      <c r="D1779" s="2">
        <v>0.45913194444444444</v>
      </c>
      <c r="G1779" s="4">
        <v>4344184930</v>
      </c>
      <c r="H1779">
        <v>1</v>
      </c>
      <c r="J1779">
        <v>3826370863</v>
      </c>
      <c r="K1779">
        <v>1</v>
      </c>
    </row>
    <row r="1780" spans="1:11" x14ac:dyDescent="0.25">
      <c r="A1780">
        <v>9716545</v>
      </c>
      <c r="B1780" s="1">
        <v>42942</v>
      </c>
      <c r="C1780" s="2">
        <v>0.45726851851851852</v>
      </c>
      <c r="D1780" s="2">
        <v>0.46751157407407407</v>
      </c>
      <c r="G1780" s="4">
        <v>4569864426</v>
      </c>
      <c r="H1780">
        <v>1</v>
      </c>
      <c r="J1780">
        <v>3897850970</v>
      </c>
      <c r="K1780">
        <v>1</v>
      </c>
    </row>
    <row r="1781" spans="1:11" x14ac:dyDescent="0.25">
      <c r="A1781">
        <v>97953696</v>
      </c>
      <c r="B1781" s="1">
        <v>42942</v>
      </c>
      <c r="C1781" s="2">
        <v>0.46297453703703706</v>
      </c>
      <c r="D1781" s="2">
        <v>0.47129629629629627</v>
      </c>
      <c r="G1781" s="4">
        <v>4600571814</v>
      </c>
      <c r="H1781">
        <v>2</v>
      </c>
      <c r="J1781">
        <v>3931739393</v>
      </c>
      <c r="K1781">
        <v>1</v>
      </c>
    </row>
    <row r="1782" spans="1:11" x14ac:dyDescent="0.25">
      <c r="A1782">
        <v>18636086</v>
      </c>
      <c r="B1782" s="1">
        <v>42942</v>
      </c>
      <c r="C1782" s="2">
        <v>0.46431712962962962</v>
      </c>
      <c r="D1782" s="2">
        <v>0.47060185185185183</v>
      </c>
      <c r="G1782" s="4">
        <v>4673703944</v>
      </c>
      <c r="H1782">
        <v>1</v>
      </c>
      <c r="J1782">
        <v>3968528766</v>
      </c>
      <c r="K1782">
        <v>1</v>
      </c>
    </row>
    <row r="1783" spans="1:11" x14ac:dyDescent="0.25">
      <c r="A1783">
        <v>2071691</v>
      </c>
      <c r="B1783" s="1">
        <v>42942</v>
      </c>
      <c r="C1783" s="2">
        <v>0.46703703703703703</v>
      </c>
      <c r="D1783" s="2">
        <v>0.47262731481481479</v>
      </c>
      <c r="G1783" s="4">
        <v>4941247888</v>
      </c>
      <c r="H1783">
        <v>1</v>
      </c>
      <c r="J1783">
        <v>3981821518</v>
      </c>
      <c r="K1783">
        <v>1</v>
      </c>
    </row>
    <row r="1784" spans="1:11" x14ac:dyDescent="0.25">
      <c r="A1784">
        <v>8023179</v>
      </c>
      <c r="B1784" s="1">
        <v>42942</v>
      </c>
      <c r="C1784" s="2">
        <v>0.46703703703703703</v>
      </c>
      <c r="D1784" s="2">
        <v>0.47568287037037038</v>
      </c>
      <c r="G1784" s="4">
        <v>4959551431</v>
      </c>
      <c r="H1784">
        <v>1</v>
      </c>
      <c r="J1784">
        <v>4045129075</v>
      </c>
      <c r="K1784">
        <v>1</v>
      </c>
    </row>
    <row r="1785" spans="1:11" x14ac:dyDescent="0.25">
      <c r="A1785">
        <v>3533421</v>
      </c>
      <c r="B1785" s="1">
        <v>42942</v>
      </c>
      <c r="C1785" s="2">
        <v>0.47266203703703702</v>
      </c>
      <c r="D1785" s="2">
        <v>0.48297453703703702</v>
      </c>
      <c r="G1785" s="4">
        <v>5107477025</v>
      </c>
      <c r="H1785">
        <v>3</v>
      </c>
      <c r="J1785">
        <v>4303543625</v>
      </c>
      <c r="K1785">
        <v>1</v>
      </c>
    </row>
    <row r="1786" spans="1:11" x14ac:dyDescent="0.25">
      <c r="A1786">
        <v>1160932</v>
      </c>
      <c r="B1786" s="1">
        <v>42942</v>
      </c>
      <c r="C1786" s="2">
        <v>0.47515046296296298</v>
      </c>
      <c r="D1786" s="2">
        <v>0.47552083333333334</v>
      </c>
      <c r="G1786" s="4">
        <v>5111892302</v>
      </c>
      <c r="H1786">
        <v>2</v>
      </c>
      <c r="J1786">
        <v>4344184930</v>
      </c>
      <c r="K1786">
        <v>1</v>
      </c>
    </row>
    <row r="1787" spans="1:11" x14ac:dyDescent="0.25">
      <c r="A1787">
        <v>6320579</v>
      </c>
      <c r="B1787" s="1">
        <v>42942</v>
      </c>
      <c r="C1787" s="2">
        <v>0.48082175925925924</v>
      </c>
      <c r="D1787" s="2">
        <v>0.48585648148148147</v>
      </c>
      <c r="G1787" s="4">
        <v>5273579381</v>
      </c>
      <c r="H1787">
        <v>1</v>
      </c>
      <c r="J1787">
        <v>4569864426</v>
      </c>
      <c r="K1787">
        <v>1</v>
      </c>
    </row>
    <row r="1788" spans="1:11" x14ac:dyDescent="0.25">
      <c r="A1788">
        <v>6021417</v>
      </c>
      <c r="B1788" s="1">
        <v>42942</v>
      </c>
      <c r="C1788" s="2">
        <v>0.48534722222222221</v>
      </c>
      <c r="D1788" s="2">
        <v>0.48814814814814816</v>
      </c>
      <c r="G1788" s="4">
        <v>5333653356</v>
      </c>
      <c r="H1788">
        <v>1</v>
      </c>
      <c r="J1788">
        <v>4673703944</v>
      </c>
      <c r="K1788">
        <v>1</v>
      </c>
    </row>
    <row r="1789" spans="1:11" x14ac:dyDescent="0.25">
      <c r="A1789">
        <v>3638658</v>
      </c>
      <c r="B1789" s="1">
        <v>42942</v>
      </c>
      <c r="C1789" s="2">
        <v>0.48700231481481482</v>
      </c>
      <c r="D1789" s="2">
        <v>0.49305555555555558</v>
      </c>
      <c r="G1789" s="4">
        <v>5341697748</v>
      </c>
      <c r="H1789">
        <v>2</v>
      </c>
      <c r="J1789">
        <v>4941247888</v>
      </c>
      <c r="K1789">
        <v>1</v>
      </c>
    </row>
    <row r="1790" spans="1:11" x14ac:dyDescent="0.25">
      <c r="A1790">
        <v>7595348</v>
      </c>
      <c r="B1790" s="1">
        <v>42942</v>
      </c>
      <c r="C1790" s="2">
        <v>0.48849537037037039</v>
      </c>
      <c r="D1790" s="2">
        <v>0.49665509259259261</v>
      </c>
      <c r="G1790" s="4">
        <v>5387521845</v>
      </c>
      <c r="H1790">
        <v>1</v>
      </c>
      <c r="J1790">
        <v>4959551431</v>
      </c>
      <c r="K1790">
        <v>1</v>
      </c>
    </row>
    <row r="1791" spans="1:11" x14ac:dyDescent="0.25">
      <c r="A1791">
        <v>6637746981</v>
      </c>
      <c r="B1791" s="1">
        <v>42942</v>
      </c>
      <c r="C1791" s="2">
        <v>0.49020833333333336</v>
      </c>
      <c r="D1791" s="2">
        <v>0.49932870370370369</v>
      </c>
      <c r="G1791" s="4">
        <v>5526425146</v>
      </c>
      <c r="H1791">
        <v>1</v>
      </c>
      <c r="J1791">
        <v>5273579381</v>
      </c>
      <c r="K1791">
        <v>1</v>
      </c>
    </row>
    <row r="1792" spans="1:11" x14ac:dyDescent="0.25">
      <c r="A1792">
        <v>8501947</v>
      </c>
      <c r="B1792" s="1">
        <v>42942</v>
      </c>
      <c r="C1792" s="2">
        <v>0.49135416666666665</v>
      </c>
      <c r="D1792" s="2">
        <v>0.49472222222222223</v>
      </c>
      <c r="G1792" s="4">
        <v>5820632164</v>
      </c>
      <c r="H1792">
        <v>1</v>
      </c>
      <c r="J1792">
        <v>5333653356</v>
      </c>
      <c r="K1792">
        <v>1</v>
      </c>
    </row>
    <row r="1793" spans="1:11" x14ac:dyDescent="0.25">
      <c r="A1793">
        <v>85666950</v>
      </c>
      <c r="B1793" s="1">
        <v>42942</v>
      </c>
      <c r="C1793" s="2">
        <v>0.49417824074074074</v>
      </c>
      <c r="D1793" s="2">
        <v>0.50312500000000004</v>
      </c>
      <c r="G1793" s="4">
        <v>5839324907</v>
      </c>
      <c r="H1793">
        <v>1</v>
      </c>
      <c r="J1793">
        <v>5387521845</v>
      </c>
      <c r="K1793">
        <v>1</v>
      </c>
    </row>
    <row r="1794" spans="1:11" x14ac:dyDescent="0.25">
      <c r="A1794">
        <v>72289518</v>
      </c>
      <c r="B1794" s="1">
        <v>42942</v>
      </c>
      <c r="C1794" s="2">
        <v>0.49541666666666667</v>
      </c>
      <c r="D1794" s="2">
        <v>0.49947916666666664</v>
      </c>
      <c r="G1794" s="4">
        <v>5912377607</v>
      </c>
      <c r="H1794">
        <v>1</v>
      </c>
      <c r="J1794">
        <v>5526425146</v>
      </c>
      <c r="K1794">
        <v>1</v>
      </c>
    </row>
    <row r="1795" spans="1:11" x14ac:dyDescent="0.25">
      <c r="A1795">
        <v>4419123</v>
      </c>
      <c r="B1795" s="1">
        <v>42942</v>
      </c>
      <c r="C1795" s="2">
        <v>0.49952546296296296</v>
      </c>
      <c r="D1795" s="2">
        <v>0.50207175925925929</v>
      </c>
      <c r="G1795" s="4">
        <v>6128500046</v>
      </c>
      <c r="H1795">
        <v>1</v>
      </c>
      <c r="J1795">
        <v>5820632164</v>
      </c>
      <c r="K1795">
        <v>1</v>
      </c>
    </row>
    <row r="1796" spans="1:11" x14ac:dyDescent="0.25">
      <c r="A1796">
        <v>75645195</v>
      </c>
      <c r="B1796" s="1">
        <v>42942</v>
      </c>
      <c r="C1796" s="2">
        <v>0.5046180555555555</v>
      </c>
      <c r="D1796" s="2">
        <v>0.50491898148148151</v>
      </c>
      <c r="G1796" s="4">
        <v>6248157784</v>
      </c>
      <c r="H1796">
        <v>1</v>
      </c>
      <c r="J1796">
        <v>5839324907</v>
      </c>
      <c r="K1796">
        <v>1</v>
      </c>
    </row>
    <row r="1797" spans="1:11" x14ac:dyDescent="0.25">
      <c r="A1797">
        <v>4305960</v>
      </c>
      <c r="B1797" s="1">
        <v>42942</v>
      </c>
      <c r="C1797" s="2">
        <v>0.50671296296296298</v>
      </c>
      <c r="D1797" s="2">
        <v>0.51233796296296297</v>
      </c>
      <c r="G1797" s="4">
        <v>6275284312</v>
      </c>
      <c r="H1797">
        <v>2</v>
      </c>
      <c r="J1797">
        <v>5912377607</v>
      </c>
      <c r="K1797">
        <v>1</v>
      </c>
    </row>
    <row r="1798" spans="1:11" x14ac:dyDescent="0.25">
      <c r="A1798">
        <v>21681406</v>
      </c>
      <c r="B1798" s="1">
        <v>42942</v>
      </c>
      <c r="C1798" s="2">
        <v>0.50876157407407407</v>
      </c>
      <c r="D1798" s="2">
        <v>0.51472222222222219</v>
      </c>
      <c r="G1798" s="4">
        <v>6293367175</v>
      </c>
      <c r="H1798">
        <v>1</v>
      </c>
      <c r="J1798">
        <v>6128500046</v>
      </c>
      <c r="K1798">
        <v>1</v>
      </c>
    </row>
    <row r="1799" spans="1:11" x14ac:dyDescent="0.25">
      <c r="A1799">
        <v>6401011</v>
      </c>
      <c r="B1799" s="1">
        <v>42942</v>
      </c>
      <c r="C1799" s="2">
        <v>0.51140046296296293</v>
      </c>
      <c r="D1799" s="2">
        <v>0.5186574074074074</v>
      </c>
      <c r="G1799" s="4">
        <v>6516534288</v>
      </c>
      <c r="H1799">
        <v>1</v>
      </c>
      <c r="J1799">
        <v>6248157784</v>
      </c>
      <c r="K1799">
        <v>1</v>
      </c>
    </row>
    <row r="1800" spans="1:11" x14ac:dyDescent="0.25">
      <c r="A1800">
        <v>1879412</v>
      </c>
      <c r="B1800" s="1">
        <v>42942</v>
      </c>
      <c r="C1800" s="2">
        <v>0.51546296296296301</v>
      </c>
      <c r="D1800" s="2">
        <v>0.52481481481481485</v>
      </c>
      <c r="G1800" s="4">
        <v>6561564994</v>
      </c>
      <c r="H1800">
        <v>2</v>
      </c>
      <c r="J1800">
        <v>6293367175</v>
      </c>
      <c r="K1800">
        <v>1</v>
      </c>
    </row>
    <row r="1801" spans="1:11" x14ac:dyDescent="0.25">
      <c r="A1801">
        <v>6218089</v>
      </c>
      <c r="B1801" s="1">
        <v>42942</v>
      </c>
      <c r="C1801" s="2">
        <v>0.51712962962962961</v>
      </c>
      <c r="D1801" s="2">
        <v>0.52177083333333329</v>
      </c>
      <c r="G1801" s="4">
        <v>6637746981</v>
      </c>
      <c r="H1801">
        <v>1</v>
      </c>
      <c r="J1801">
        <v>6516534288</v>
      </c>
      <c r="K1801">
        <v>1</v>
      </c>
    </row>
    <row r="1802" spans="1:11" x14ac:dyDescent="0.25">
      <c r="A1802">
        <v>3408462348</v>
      </c>
      <c r="B1802" s="1">
        <v>42942</v>
      </c>
      <c r="C1802" s="2">
        <v>0.52173611111111107</v>
      </c>
      <c r="D1802" s="2">
        <v>0.52998842592592588</v>
      </c>
      <c r="G1802" s="4">
        <v>6644360383</v>
      </c>
      <c r="H1802">
        <v>1</v>
      </c>
      <c r="J1802">
        <v>6637746981</v>
      </c>
      <c r="K1802">
        <v>1</v>
      </c>
    </row>
    <row r="1803" spans="1:11" x14ac:dyDescent="0.25">
      <c r="A1803">
        <v>9535780</v>
      </c>
      <c r="B1803" s="1">
        <v>42942</v>
      </c>
      <c r="C1803" s="2">
        <v>0.52265046296296291</v>
      </c>
      <c r="D1803" s="2">
        <v>0.53091435185185187</v>
      </c>
      <c r="G1803" s="4">
        <v>6700458395</v>
      </c>
      <c r="H1803">
        <v>1</v>
      </c>
      <c r="J1803">
        <v>6644360383</v>
      </c>
      <c r="K1803">
        <v>1</v>
      </c>
    </row>
    <row r="1804" spans="1:11" x14ac:dyDescent="0.25">
      <c r="A1804">
        <v>4945889</v>
      </c>
      <c r="B1804" s="1">
        <v>42942</v>
      </c>
      <c r="C1804" s="2">
        <v>0.52790509259259255</v>
      </c>
      <c r="D1804" s="2">
        <v>0.53581018518518519</v>
      </c>
      <c r="G1804" s="4">
        <v>6760428735</v>
      </c>
      <c r="H1804">
        <v>1</v>
      </c>
      <c r="J1804">
        <v>6700458395</v>
      </c>
      <c r="K1804">
        <v>1</v>
      </c>
    </row>
    <row r="1805" spans="1:11" x14ac:dyDescent="0.25">
      <c r="A1805">
        <v>8985437</v>
      </c>
      <c r="B1805" s="1">
        <v>42942</v>
      </c>
      <c r="C1805" s="2">
        <v>0.52937500000000004</v>
      </c>
      <c r="D1805" s="2">
        <v>0.53609953703703705</v>
      </c>
      <c r="G1805" s="4">
        <v>6766787935</v>
      </c>
      <c r="H1805">
        <v>1</v>
      </c>
      <c r="J1805">
        <v>6760428735</v>
      </c>
      <c r="K1805">
        <v>1</v>
      </c>
    </row>
    <row r="1806" spans="1:11" x14ac:dyDescent="0.25">
      <c r="A1806">
        <v>57891628</v>
      </c>
      <c r="B1806" s="1">
        <v>42942</v>
      </c>
      <c r="C1806" s="2">
        <v>0.53282407407407406</v>
      </c>
      <c r="D1806" s="2">
        <v>0.53501157407407407</v>
      </c>
      <c r="G1806" s="4">
        <v>6943996503</v>
      </c>
      <c r="H1806">
        <v>1</v>
      </c>
      <c r="J1806">
        <v>6766787935</v>
      </c>
      <c r="K1806">
        <v>1</v>
      </c>
    </row>
    <row r="1807" spans="1:11" x14ac:dyDescent="0.25">
      <c r="A1807">
        <v>9772824</v>
      </c>
      <c r="B1807" s="1">
        <v>42942</v>
      </c>
      <c r="C1807" s="2">
        <v>0.53344907407407405</v>
      </c>
      <c r="D1807" s="2">
        <v>0.54386574074074079</v>
      </c>
      <c r="G1807" s="4">
        <v>6965661375</v>
      </c>
      <c r="H1807">
        <v>1</v>
      </c>
      <c r="J1807">
        <v>6943996503</v>
      </c>
      <c r="K1807">
        <v>1</v>
      </c>
    </row>
    <row r="1808" spans="1:11" x14ac:dyDescent="0.25">
      <c r="A1808">
        <v>4154521</v>
      </c>
      <c r="B1808" s="1">
        <v>42942</v>
      </c>
      <c r="C1808" s="2">
        <v>0.53439814814814812</v>
      </c>
      <c r="D1808" s="2">
        <v>0.53813657407407411</v>
      </c>
      <c r="G1808" s="4">
        <v>7119239917</v>
      </c>
      <c r="H1808">
        <v>1</v>
      </c>
      <c r="J1808">
        <v>6965661375</v>
      </c>
      <c r="K1808">
        <v>1</v>
      </c>
    </row>
    <row r="1809" spans="1:11" x14ac:dyDescent="0.25">
      <c r="A1809">
        <v>96977805</v>
      </c>
      <c r="B1809" s="1">
        <v>42942</v>
      </c>
      <c r="C1809" s="2">
        <v>0.53601851851851856</v>
      </c>
      <c r="D1809" s="2">
        <v>0.54394675925925928</v>
      </c>
      <c r="G1809" s="4">
        <v>7138804596</v>
      </c>
      <c r="H1809">
        <v>1</v>
      </c>
      <c r="J1809">
        <v>7119239917</v>
      </c>
      <c r="K1809">
        <v>1</v>
      </c>
    </row>
    <row r="1810" spans="1:11" x14ac:dyDescent="0.25">
      <c r="A1810">
        <v>24665933</v>
      </c>
      <c r="B1810" s="1">
        <v>42942</v>
      </c>
      <c r="C1810" s="2">
        <v>0.53666666666666663</v>
      </c>
      <c r="D1810" s="2">
        <v>0.5370949074074074</v>
      </c>
      <c r="G1810" s="4">
        <v>7318247385</v>
      </c>
      <c r="H1810">
        <v>1</v>
      </c>
      <c r="J1810">
        <v>7138804596</v>
      </c>
      <c r="K1810">
        <v>1</v>
      </c>
    </row>
    <row r="1811" spans="1:11" x14ac:dyDescent="0.25">
      <c r="A1811">
        <v>5465004</v>
      </c>
      <c r="B1811" s="1">
        <v>42942</v>
      </c>
      <c r="C1811" s="2">
        <v>0.54017361111111106</v>
      </c>
      <c r="D1811" s="2">
        <v>0.54915509259259254</v>
      </c>
      <c r="G1811" s="4">
        <v>7451541965</v>
      </c>
      <c r="H1811">
        <v>1</v>
      </c>
      <c r="J1811">
        <v>7318247385</v>
      </c>
      <c r="K1811">
        <v>1</v>
      </c>
    </row>
    <row r="1812" spans="1:11" x14ac:dyDescent="0.25">
      <c r="A1812">
        <v>9560827</v>
      </c>
      <c r="B1812" s="1">
        <v>42942</v>
      </c>
      <c r="C1812" s="2">
        <v>0.54069444444444448</v>
      </c>
      <c r="D1812" s="2">
        <v>0.55103009259259261</v>
      </c>
      <c r="G1812" s="4">
        <v>7536048937</v>
      </c>
      <c r="H1812">
        <v>1</v>
      </c>
      <c r="J1812">
        <v>7451541965</v>
      </c>
      <c r="K1812">
        <v>1</v>
      </c>
    </row>
    <row r="1813" spans="1:11" x14ac:dyDescent="0.25">
      <c r="A1813">
        <v>3443287</v>
      </c>
      <c r="B1813" s="1">
        <v>42942</v>
      </c>
      <c r="C1813" s="2">
        <v>0.54593749999999996</v>
      </c>
      <c r="D1813" s="2">
        <v>0.55622685185185183</v>
      </c>
      <c r="G1813" s="4">
        <v>7662302259</v>
      </c>
      <c r="H1813">
        <v>1</v>
      </c>
      <c r="J1813">
        <v>7536048937</v>
      </c>
      <c r="K1813">
        <v>1</v>
      </c>
    </row>
    <row r="1814" spans="1:11" x14ac:dyDescent="0.25">
      <c r="A1814">
        <v>7551668</v>
      </c>
      <c r="B1814" s="1">
        <v>42942</v>
      </c>
      <c r="C1814" s="2">
        <v>0.55053240740740739</v>
      </c>
      <c r="D1814" s="2">
        <v>0.55672453703703706</v>
      </c>
      <c r="G1814" s="4">
        <v>7775602353</v>
      </c>
      <c r="H1814">
        <v>1</v>
      </c>
      <c r="J1814">
        <v>7662302259</v>
      </c>
      <c r="K1814">
        <v>1</v>
      </c>
    </row>
    <row r="1815" spans="1:11" x14ac:dyDescent="0.25">
      <c r="A1815">
        <v>3189059</v>
      </c>
      <c r="B1815" s="1">
        <v>42942</v>
      </c>
      <c r="C1815" s="2">
        <v>0.55462962962962958</v>
      </c>
      <c r="D1815" s="2">
        <v>0.56101851851851847</v>
      </c>
      <c r="G1815" s="4">
        <v>7894591002</v>
      </c>
      <c r="H1815">
        <v>1</v>
      </c>
      <c r="J1815">
        <v>7775602353</v>
      </c>
      <c r="K1815">
        <v>1</v>
      </c>
    </row>
    <row r="1816" spans="1:11" x14ac:dyDescent="0.25">
      <c r="A1816">
        <v>9061957</v>
      </c>
      <c r="B1816" s="1">
        <v>42942</v>
      </c>
      <c r="C1816" s="2">
        <v>0.55604166666666666</v>
      </c>
      <c r="D1816" s="2">
        <v>0.56381944444444443</v>
      </c>
      <c r="G1816" s="4">
        <v>8045338707</v>
      </c>
      <c r="H1816">
        <v>1</v>
      </c>
      <c r="J1816">
        <v>7894591002</v>
      </c>
      <c r="K1816">
        <v>1</v>
      </c>
    </row>
    <row r="1817" spans="1:11" x14ac:dyDescent="0.25">
      <c r="A1817">
        <v>2109147679</v>
      </c>
      <c r="B1817" s="1">
        <v>42942</v>
      </c>
      <c r="C1817" s="2">
        <v>0.56098379629629624</v>
      </c>
      <c r="D1817" s="2">
        <v>0.56753472222222223</v>
      </c>
      <c r="G1817" s="4">
        <v>8126744698</v>
      </c>
      <c r="H1817">
        <v>1</v>
      </c>
      <c r="J1817">
        <v>8045338707</v>
      </c>
      <c r="K1817">
        <v>1</v>
      </c>
    </row>
    <row r="1818" spans="1:11" x14ac:dyDescent="0.25">
      <c r="A1818">
        <v>59508384</v>
      </c>
      <c r="B1818" s="1">
        <v>42942</v>
      </c>
      <c r="C1818" s="2">
        <v>0.56232638888888886</v>
      </c>
      <c r="D1818" s="2">
        <v>0.56594907407407402</v>
      </c>
      <c r="G1818" s="4">
        <v>8211396842</v>
      </c>
      <c r="H1818">
        <v>1</v>
      </c>
      <c r="J1818">
        <v>8126744698</v>
      </c>
      <c r="K1818">
        <v>1</v>
      </c>
    </row>
    <row r="1819" spans="1:11" x14ac:dyDescent="0.25">
      <c r="A1819">
        <v>48529464</v>
      </c>
      <c r="B1819" s="1">
        <v>42942</v>
      </c>
      <c r="C1819" s="2">
        <v>0.56283564814814813</v>
      </c>
      <c r="D1819" s="2">
        <v>0.56427083333333339</v>
      </c>
      <c r="G1819" s="4">
        <v>8369071681</v>
      </c>
      <c r="H1819">
        <v>1</v>
      </c>
      <c r="J1819">
        <v>8211396842</v>
      </c>
      <c r="K1819">
        <v>1</v>
      </c>
    </row>
    <row r="1820" spans="1:11" x14ac:dyDescent="0.25">
      <c r="A1820">
        <v>4082744</v>
      </c>
      <c r="B1820" s="1">
        <v>42942</v>
      </c>
      <c r="C1820" s="2">
        <v>0.56481481481481477</v>
      </c>
      <c r="D1820" s="2">
        <v>0.57565972222222217</v>
      </c>
      <c r="G1820" s="4">
        <v>8474693946</v>
      </c>
      <c r="H1820">
        <v>1</v>
      </c>
      <c r="J1820">
        <v>8369071681</v>
      </c>
      <c r="K1820">
        <v>1</v>
      </c>
    </row>
    <row r="1821" spans="1:11" x14ac:dyDescent="0.25">
      <c r="A1821">
        <v>2395447</v>
      </c>
      <c r="B1821" s="1">
        <v>42942</v>
      </c>
      <c r="C1821" s="2">
        <v>0.56805555555555554</v>
      </c>
      <c r="D1821" s="2">
        <v>0.56937499999999996</v>
      </c>
      <c r="G1821" s="4">
        <v>8685299481</v>
      </c>
      <c r="H1821">
        <v>1</v>
      </c>
      <c r="J1821">
        <v>8474693946</v>
      </c>
      <c r="K1821">
        <v>1</v>
      </c>
    </row>
    <row r="1822" spans="1:11" x14ac:dyDescent="0.25">
      <c r="A1822">
        <v>96620804</v>
      </c>
      <c r="B1822" s="1">
        <v>42942</v>
      </c>
      <c r="C1822" s="2">
        <v>0.56945601851851857</v>
      </c>
      <c r="D1822" s="2">
        <v>0.5776041666666667</v>
      </c>
      <c r="G1822" s="4">
        <v>8733120283</v>
      </c>
      <c r="H1822">
        <v>1</v>
      </c>
      <c r="J1822">
        <v>8685299481</v>
      </c>
      <c r="K1822">
        <v>1</v>
      </c>
    </row>
    <row r="1823" spans="1:11" x14ac:dyDescent="0.25">
      <c r="A1823">
        <v>9489003225</v>
      </c>
      <c r="B1823" s="1">
        <v>42942</v>
      </c>
      <c r="C1823" s="2">
        <v>0.57263888888888892</v>
      </c>
      <c r="D1823" s="2">
        <v>0.57309027777777777</v>
      </c>
      <c r="G1823" s="4">
        <v>8799570155</v>
      </c>
      <c r="H1823">
        <v>1</v>
      </c>
      <c r="J1823">
        <v>8733120283</v>
      </c>
      <c r="K1823">
        <v>1</v>
      </c>
    </row>
    <row r="1824" spans="1:11" x14ac:dyDescent="0.25">
      <c r="A1824">
        <v>6897893</v>
      </c>
      <c r="B1824" s="1">
        <v>42942</v>
      </c>
      <c r="C1824" s="2">
        <v>0.57662037037037039</v>
      </c>
      <c r="D1824" s="2">
        <v>0.58204861111111106</v>
      </c>
      <c r="G1824" s="4">
        <v>8799928507</v>
      </c>
      <c r="H1824">
        <v>1</v>
      </c>
      <c r="J1824">
        <v>8799570155</v>
      </c>
      <c r="K1824">
        <v>1</v>
      </c>
    </row>
    <row r="1825" spans="1:11" x14ac:dyDescent="0.25">
      <c r="A1825">
        <v>9759222</v>
      </c>
      <c r="B1825" s="1">
        <v>42942</v>
      </c>
      <c r="C1825" s="2">
        <v>0.58021990740740736</v>
      </c>
      <c r="D1825" s="2">
        <v>0.58726851851851847</v>
      </c>
      <c r="G1825" s="4">
        <v>9007177570</v>
      </c>
      <c r="H1825">
        <v>3</v>
      </c>
      <c r="J1825">
        <v>8799928507</v>
      </c>
      <c r="K1825">
        <v>1</v>
      </c>
    </row>
    <row r="1826" spans="1:11" x14ac:dyDescent="0.25">
      <c r="A1826">
        <v>39793981</v>
      </c>
      <c r="B1826" s="1">
        <v>42942</v>
      </c>
      <c r="C1826" s="2">
        <v>0.58101851851851849</v>
      </c>
      <c r="D1826" s="2">
        <v>0.58164351851851848</v>
      </c>
      <c r="G1826" s="4">
        <v>9028434625</v>
      </c>
      <c r="H1826">
        <v>1</v>
      </c>
      <c r="J1826">
        <v>9028434625</v>
      </c>
      <c r="K1826">
        <v>1</v>
      </c>
    </row>
    <row r="1827" spans="1:11" x14ac:dyDescent="0.25">
      <c r="A1827">
        <v>3759991</v>
      </c>
      <c r="B1827" s="1">
        <v>42942</v>
      </c>
      <c r="C1827" s="2">
        <v>0.58408564814814812</v>
      </c>
      <c r="D1827" s="2">
        <v>0.58677083333333335</v>
      </c>
      <c r="G1827" s="4">
        <v>9127211929</v>
      </c>
      <c r="H1827">
        <v>1</v>
      </c>
      <c r="J1827">
        <v>9127211929</v>
      </c>
      <c r="K1827">
        <v>1</v>
      </c>
    </row>
    <row r="1828" spans="1:11" x14ac:dyDescent="0.25">
      <c r="A1828">
        <v>37838778</v>
      </c>
      <c r="B1828" s="1">
        <v>42942</v>
      </c>
      <c r="C1828" s="2">
        <v>0.58770833333333339</v>
      </c>
      <c r="D1828" s="2">
        <v>0.59591435185185182</v>
      </c>
      <c r="G1828" s="4">
        <v>9233918039</v>
      </c>
      <c r="H1828">
        <v>1</v>
      </c>
      <c r="J1828">
        <v>9233918039</v>
      </c>
      <c r="K1828">
        <v>1</v>
      </c>
    </row>
    <row r="1829" spans="1:11" x14ac:dyDescent="0.25">
      <c r="A1829">
        <v>3785540</v>
      </c>
      <c r="B1829" s="1">
        <v>42942</v>
      </c>
      <c r="C1829" s="2">
        <v>0.59261574074074075</v>
      </c>
      <c r="D1829" s="2">
        <v>0.60343749999999996</v>
      </c>
      <c r="G1829" s="4">
        <v>9259392564</v>
      </c>
      <c r="H1829">
        <v>1</v>
      </c>
      <c r="J1829">
        <v>9259392564</v>
      </c>
      <c r="K1829">
        <v>1</v>
      </c>
    </row>
    <row r="1830" spans="1:11" x14ac:dyDescent="0.25">
      <c r="A1830">
        <v>9689833</v>
      </c>
      <c r="B1830" s="1">
        <v>42942</v>
      </c>
      <c r="C1830" s="2">
        <v>0.5932291666666667</v>
      </c>
      <c r="D1830" s="2">
        <v>0.59943287037037041</v>
      </c>
      <c r="G1830" s="4">
        <v>9346036178</v>
      </c>
      <c r="H1830">
        <v>1</v>
      </c>
      <c r="J1830">
        <v>9346036178</v>
      </c>
      <c r="K1830">
        <v>1</v>
      </c>
    </row>
    <row r="1831" spans="1:11" x14ac:dyDescent="0.25">
      <c r="A1831">
        <v>8136309</v>
      </c>
      <c r="B1831" s="1">
        <v>42942</v>
      </c>
      <c r="C1831" s="2">
        <v>0.59876157407407404</v>
      </c>
      <c r="D1831" s="2">
        <v>0.60951388888888891</v>
      </c>
      <c r="G1831" s="4">
        <v>9415767851</v>
      </c>
      <c r="H1831">
        <v>1</v>
      </c>
      <c r="J1831">
        <v>9415767851</v>
      </c>
      <c r="K1831">
        <v>1</v>
      </c>
    </row>
    <row r="1832" spans="1:11" x14ac:dyDescent="0.25">
      <c r="A1832">
        <v>1177203</v>
      </c>
      <c r="B1832" s="1">
        <v>42942</v>
      </c>
      <c r="C1832" s="2">
        <v>0.60384259259259254</v>
      </c>
      <c r="D1832" s="2">
        <v>0.60452546296296295</v>
      </c>
      <c r="G1832" s="4">
        <v>9489003225</v>
      </c>
      <c r="H1832">
        <v>1</v>
      </c>
      <c r="J1832">
        <v>9489003225</v>
      </c>
      <c r="K1832">
        <v>1</v>
      </c>
    </row>
    <row r="1833" spans="1:11" x14ac:dyDescent="0.25">
      <c r="A1833">
        <v>6060835</v>
      </c>
      <c r="B1833" s="1">
        <v>42942</v>
      </c>
      <c r="C1833" s="2">
        <v>0.60623842592592592</v>
      </c>
      <c r="D1833" s="2">
        <v>0.61055555555555552</v>
      </c>
      <c r="G1833" s="4">
        <v>9532678004</v>
      </c>
      <c r="H1833">
        <v>1</v>
      </c>
      <c r="J1833">
        <v>9532678004</v>
      </c>
      <c r="K1833">
        <v>1</v>
      </c>
    </row>
    <row r="1834" spans="1:11" x14ac:dyDescent="0.25">
      <c r="A1834">
        <v>8534481</v>
      </c>
      <c r="B1834" s="1">
        <v>42942</v>
      </c>
      <c r="C1834" s="2">
        <v>0.60950231481481476</v>
      </c>
      <c r="D1834" s="2">
        <v>0.61940972222222224</v>
      </c>
      <c r="G1834" s="4">
        <v>9533304954</v>
      </c>
      <c r="H1834">
        <v>1</v>
      </c>
      <c r="J1834">
        <v>9533304954</v>
      </c>
      <c r="K1834">
        <v>1</v>
      </c>
    </row>
    <row r="1835" spans="1:11" x14ac:dyDescent="0.25">
      <c r="A1835">
        <v>4959594</v>
      </c>
      <c r="B1835" s="1">
        <v>42942</v>
      </c>
      <c r="C1835" s="2">
        <v>0.61371527777777779</v>
      </c>
      <c r="D1835" s="2">
        <v>0.6235532407407407</v>
      </c>
      <c r="G1835" s="4">
        <v>9564752674</v>
      </c>
      <c r="H1835">
        <v>1</v>
      </c>
      <c r="J1835">
        <v>9564752674</v>
      </c>
      <c r="K1835">
        <v>1</v>
      </c>
    </row>
    <row r="1836" spans="1:11" x14ac:dyDescent="0.25">
      <c r="A1836">
        <v>1047809</v>
      </c>
      <c r="B1836" s="1">
        <v>42942</v>
      </c>
      <c r="C1836" s="2">
        <v>0.61724537037037042</v>
      </c>
      <c r="D1836" s="2">
        <v>0.62866898148148154</v>
      </c>
      <c r="G1836" s="4">
        <v>9906846123</v>
      </c>
      <c r="H1836">
        <v>1</v>
      </c>
      <c r="J1836">
        <v>9906846123</v>
      </c>
      <c r="K1836">
        <v>1</v>
      </c>
    </row>
    <row r="1837" spans="1:11" x14ac:dyDescent="0.25">
      <c r="A1837">
        <v>3437033</v>
      </c>
      <c r="B1837" s="1">
        <v>42942</v>
      </c>
      <c r="C1837" s="2">
        <v>0.62089120370370365</v>
      </c>
      <c r="D1837" s="2">
        <v>0.62159722222222225</v>
      </c>
      <c r="G1837" s="4">
        <v>9967523741</v>
      </c>
      <c r="H1837">
        <v>1</v>
      </c>
      <c r="J1837">
        <v>9967523741</v>
      </c>
      <c r="K1837">
        <v>1</v>
      </c>
    </row>
    <row r="1838" spans="1:11" x14ac:dyDescent="0.25">
      <c r="A1838">
        <v>6801890</v>
      </c>
      <c r="B1838" s="1">
        <v>42942</v>
      </c>
      <c r="C1838" s="2">
        <v>0.62467592592592591</v>
      </c>
      <c r="D1838" s="2">
        <v>0.62690972222222219</v>
      </c>
      <c r="G1838" s="4" t="s">
        <v>5</v>
      </c>
      <c r="H1838">
        <v>2148</v>
      </c>
    </row>
    <row r="1839" spans="1:11" x14ac:dyDescent="0.25">
      <c r="A1839">
        <v>2604004</v>
      </c>
      <c r="B1839" s="1">
        <v>42942</v>
      </c>
      <c r="C1839" s="2">
        <v>0.6277314814814815</v>
      </c>
      <c r="D1839" s="2">
        <v>0.63423611111111111</v>
      </c>
    </row>
    <row r="1840" spans="1:11" x14ac:dyDescent="0.25">
      <c r="A1840">
        <v>4379524</v>
      </c>
      <c r="B1840" s="1">
        <v>42943</v>
      </c>
      <c r="C1840" s="2">
        <v>0.33751157407407406</v>
      </c>
      <c r="D1840" s="2">
        <v>0.33754629629629629</v>
      </c>
    </row>
    <row r="1841" spans="1:4" x14ac:dyDescent="0.25">
      <c r="A1841">
        <v>12377650</v>
      </c>
      <c r="B1841" s="1">
        <v>42943</v>
      </c>
      <c r="C1841" s="2">
        <v>0.33943287037037034</v>
      </c>
      <c r="D1841" s="2">
        <v>0.34292824074074074</v>
      </c>
    </row>
    <row r="1842" spans="1:4" x14ac:dyDescent="0.25">
      <c r="A1842">
        <v>77869622</v>
      </c>
      <c r="B1842" s="1">
        <v>42943</v>
      </c>
      <c r="C1842" s="2">
        <v>0.34219907407407407</v>
      </c>
      <c r="D1842" s="2">
        <v>0.35170138888888891</v>
      </c>
    </row>
    <row r="1843" spans="1:4" x14ac:dyDescent="0.25">
      <c r="A1843">
        <v>3414247278</v>
      </c>
      <c r="B1843" s="1">
        <v>42943</v>
      </c>
      <c r="C1843" s="2">
        <v>0.34658564814814813</v>
      </c>
      <c r="D1843" s="2">
        <v>0.34666666666666668</v>
      </c>
    </row>
    <row r="1844" spans="1:4" x14ac:dyDescent="0.25">
      <c r="A1844">
        <v>5839324907</v>
      </c>
      <c r="B1844" s="1">
        <v>42943</v>
      </c>
      <c r="C1844" s="2">
        <v>0.3490509259259259</v>
      </c>
      <c r="D1844" s="2">
        <v>0.35481481481481481</v>
      </c>
    </row>
    <row r="1845" spans="1:4" x14ac:dyDescent="0.25">
      <c r="A1845">
        <v>4852863</v>
      </c>
      <c r="B1845" s="1">
        <v>42943</v>
      </c>
      <c r="C1845" s="2">
        <v>0.34975694444444444</v>
      </c>
      <c r="D1845" s="2">
        <v>0.35971064814814813</v>
      </c>
    </row>
    <row r="1846" spans="1:4" x14ac:dyDescent="0.25">
      <c r="A1846">
        <v>3245936</v>
      </c>
      <c r="B1846" s="1">
        <v>42943</v>
      </c>
      <c r="C1846" s="2">
        <v>0.35116898148148146</v>
      </c>
      <c r="D1846" s="2">
        <v>0.35408564814814814</v>
      </c>
    </row>
    <row r="1847" spans="1:4" x14ac:dyDescent="0.25">
      <c r="A1847">
        <v>6674505</v>
      </c>
      <c r="B1847" s="1">
        <v>42943</v>
      </c>
      <c r="C1847" s="2">
        <v>0.35136574074074073</v>
      </c>
      <c r="D1847" s="2">
        <v>0.35390046296296296</v>
      </c>
    </row>
    <row r="1848" spans="1:4" x14ac:dyDescent="0.25">
      <c r="A1848">
        <v>9591892</v>
      </c>
      <c r="B1848" s="1">
        <v>42943</v>
      </c>
      <c r="C1848" s="2">
        <v>0.35487268518518517</v>
      </c>
      <c r="D1848" s="2">
        <v>0.36251157407407408</v>
      </c>
    </row>
    <row r="1849" spans="1:4" x14ac:dyDescent="0.25">
      <c r="A1849">
        <v>96404523</v>
      </c>
      <c r="B1849" s="1">
        <v>42943</v>
      </c>
      <c r="C1849" s="2">
        <v>0.35592592592592592</v>
      </c>
      <c r="D1849" s="2">
        <v>0.36366898148148147</v>
      </c>
    </row>
    <row r="1850" spans="1:4" x14ac:dyDescent="0.25">
      <c r="A1850">
        <v>1405478</v>
      </c>
      <c r="B1850" s="1">
        <v>42943</v>
      </c>
      <c r="C1850" s="2">
        <v>0.35940972222222223</v>
      </c>
      <c r="D1850" s="2">
        <v>0.36412037037037037</v>
      </c>
    </row>
    <row r="1851" spans="1:4" x14ac:dyDescent="0.25">
      <c r="A1851">
        <v>5900506</v>
      </c>
      <c r="B1851" s="1">
        <v>42943</v>
      </c>
      <c r="C1851" s="2">
        <v>0.36026620370370371</v>
      </c>
      <c r="D1851" s="2">
        <v>0.36319444444444443</v>
      </c>
    </row>
    <row r="1852" spans="1:4" x14ac:dyDescent="0.25">
      <c r="A1852">
        <v>6060835</v>
      </c>
      <c r="B1852" s="1">
        <v>42943</v>
      </c>
      <c r="C1852" s="2">
        <v>0.36148148148148146</v>
      </c>
      <c r="D1852" s="2">
        <v>0.3721990740740741</v>
      </c>
    </row>
    <row r="1853" spans="1:4" x14ac:dyDescent="0.25">
      <c r="A1853">
        <v>8880275</v>
      </c>
      <c r="B1853" s="1">
        <v>42943</v>
      </c>
      <c r="C1853" s="2">
        <v>0.36598379629629629</v>
      </c>
      <c r="D1853" s="2">
        <v>0.37474537037037037</v>
      </c>
    </row>
    <row r="1854" spans="1:4" x14ac:dyDescent="0.25">
      <c r="A1854">
        <v>57101974</v>
      </c>
      <c r="B1854" s="1">
        <v>42943</v>
      </c>
      <c r="C1854" s="2">
        <v>0.37133101851851852</v>
      </c>
      <c r="D1854" s="2">
        <v>0.37923611111111111</v>
      </c>
    </row>
    <row r="1855" spans="1:4" x14ac:dyDescent="0.25">
      <c r="A1855">
        <v>2096100</v>
      </c>
      <c r="B1855" s="1">
        <v>42943</v>
      </c>
      <c r="C1855" s="2">
        <v>0.3717361111111111</v>
      </c>
      <c r="D1855" s="2">
        <v>0.37253472222222223</v>
      </c>
    </row>
    <row r="1856" spans="1:4" x14ac:dyDescent="0.25">
      <c r="A1856">
        <v>2366545</v>
      </c>
      <c r="B1856" s="1">
        <v>42943</v>
      </c>
      <c r="C1856" s="2">
        <v>0.3737152777777778</v>
      </c>
      <c r="D1856" s="2">
        <v>0.37967592592592592</v>
      </c>
    </row>
    <row r="1857" spans="1:4" x14ac:dyDescent="0.25">
      <c r="A1857">
        <v>2260131</v>
      </c>
      <c r="B1857" s="1">
        <v>42943</v>
      </c>
      <c r="C1857" s="2">
        <v>0.37664351851851852</v>
      </c>
      <c r="D1857" s="2">
        <v>0.38442129629629629</v>
      </c>
    </row>
    <row r="1858" spans="1:4" x14ac:dyDescent="0.25">
      <c r="A1858">
        <v>75818182</v>
      </c>
      <c r="B1858" s="1">
        <v>42943</v>
      </c>
      <c r="C1858" s="2">
        <v>0.37973379629629628</v>
      </c>
      <c r="D1858" s="2">
        <v>0.38395833333333335</v>
      </c>
    </row>
    <row r="1859" spans="1:4" x14ac:dyDescent="0.25">
      <c r="A1859">
        <v>1247125</v>
      </c>
      <c r="B1859" s="1">
        <v>42943</v>
      </c>
      <c r="C1859" s="2">
        <v>0.38461805555555556</v>
      </c>
      <c r="D1859" s="2">
        <v>0.39339120370370373</v>
      </c>
    </row>
    <row r="1860" spans="1:4" x14ac:dyDescent="0.25">
      <c r="A1860">
        <v>3733011</v>
      </c>
      <c r="B1860" s="1">
        <v>42943</v>
      </c>
      <c r="C1860" s="2">
        <v>0.38571759259259258</v>
      </c>
      <c r="D1860" s="2">
        <v>0.39556712962962964</v>
      </c>
    </row>
    <row r="1861" spans="1:4" x14ac:dyDescent="0.25">
      <c r="A1861">
        <v>6615729</v>
      </c>
      <c r="B1861" s="1">
        <v>42943</v>
      </c>
      <c r="C1861" s="2">
        <v>0.38997685185185182</v>
      </c>
      <c r="D1861" s="2">
        <v>0.39743055555555556</v>
      </c>
    </row>
    <row r="1862" spans="1:4" x14ac:dyDescent="0.25">
      <c r="A1862">
        <v>6844342</v>
      </c>
      <c r="B1862" s="1">
        <v>42943</v>
      </c>
      <c r="C1862" s="2">
        <v>0.39451388888888889</v>
      </c>
      <c r="D1862" s="2">
        <v>0.39609953703703704</v>
      </c>
    </row>
    <row r="1863" spans="1:4" x14ac:dyDescent="0.25">
      <c r="A1863">
        <v>8369815</v>
      </c>
      <c r="B1863" s="1">
        <v>42943</v>
      </c>
      <c r="C1863" s="2">
        <v>0.3967013888888889</v>
      </c>
      <c r="D1863" s="2">
        <v>0.40182870370370372</v>
      </c>
    </row>
    <row r="1864" spans="1:4" x14ac:dyDescent="0.25">
      <c r="A1864">
        <v>9304830</v>
      </c>
      <c r="B1864" s="1">
        <v>42943</v>
      </c>
      <c r="C1864" s="2">
        <v>0.39812500000000001</v>
      </c>
      <c r="D1864" s="2">
        <v>0.39895833333333336</v>
      </c>
    </row>
    <row r="1865" spans="1:4" x14ac:dyDescent="0.25">
      <c r="A1865">
        <v>1117708</v>
      </c>
      <c r="B1865" s="1">
        <v>42943</v>
      </c>
      <c r="C1865" s="2">
        <v>0.40266203703703701</v>
      </c>
      <c r="D1865" s="2">
        <v>0.4073148148148148</v>
      </c>
    </row>
    <row r="1866" spans="1:4" x14ac:dyDescent="0.25">
      <c r="A1866">
        <v>6055986</v>
      </c>
      <c r="B1866" s="1">
        <v>42943</v>
      </c>
      <c r="C1866" s="2">
        <v>0.40710648148148149</v>
      </c>
      <c r="D1866" s="2">
        <v>0.40740740740740738</v>
      </c>
    </row>
    <row r="1867" spans="1:4" x14ac:dyDescent="0.25">
      <c r="A1867">
        <v>4569864426</v>
      </c>
      <c r="B1867" s="1">
        <v>42943</v>
      </c>
      <c r="C1867" s="2">
        <v>0.40751157407407407</v>
      </c>
      <c r="D1867" s="2">
        <v>0.41725694444444444</v>
      </c>
    </row>
    <row r="1868" spans="1:4" x14ac:dyDescent="0.25">
      <c r="A1868">
        <v>2781512</v>
      </c>
      <c r="B1868" s="1">
        <v>42943</v>
      </c>
      <c r="C1868" s="2">
        <v>0.41244212962962962</v>
      </c>
      <c r="D1868" s="2">
        <v>0.41619212962962965</v>
      </c>
    </row>
    <row r="1869" spans="1:4" x14ac:dyDescent="0.25">
      <c r="A1869">
        <v>3093964</v>
      </c>
      <c r="B1869" s="1">
        <v>42943</v>
      </c>
      <c r="C1869" s="2">
        <v>0.41363425925925928</v>
      </c>
      <c r="D1869" s="2">
        <v>0.41902777777777778</v>
      </c>
    </row>
    <row r="1870" spans="1:4" x14ac:dyDescent="0.25">
      <c r="A1870">
        <v>9413315</v>
      </c>
      <c r="B1870" s="1">
        <v>42943</v>
      </c>
      <c r="C1870" s="2">
        <v>0.41783564814814816</v>
      </c>
      <c r="D1870" s="2">
        <v>0.42383101851851851</v>
      </c>
    </row>
    <row r="1871" spans="1:4" x14ac:dyDescent="0.25">
      <c r="A1871">
        <v>1890121</v>
      </c>
      <c r="B1871" s="1">
        <v>42943</v>
      </c>
      <c r="C1871" s="2">
        <v>0.42357638888888888</v>
      </c>
      <c r="D1871" s="2">
        <v>0.43</v>
      </c>
    </row>
    <row r="1872" spans="1:4" x14ac:dyDescent="0.25">
      <c r="A1872">
        <v>9906846123</v>
      </c>
      <c r="B1872" s="1">
        <v>42943</v>
      </c>
      <c r="C1872" s="2">
        <v>0.424375</v>
      </c>
      <c r="D1872" s="2">
        <v>0.42505787037037035</v>
      </c>
    </row>
    <row r="1873" spans="1:4" x14ac:dyDescent="0.25">
      <c r="A1873">
        <v>12063341</v>
      </c>
      <c r="B1873" s="1">
        <v>42943</v>
      </c>
      <c r="C1873" s="2">
        <v>0.42849537037037039</v>
      </c>
      <c r="D1873" s="2">
        <v>0.4372800925925926</v>
      </c>
    </row>
    <row r="1874" spans="1:4" x14ac:dyDescent="0.25">
      <c r="A1874">
        <v>27798660</v>
      </c>
      <c r="B1874" s="1">
        <v>42943</v>
      </c>
      <c r="C1874" s="2">
        <v>0.42925925925925928</v>
      </c>
      <c r="D1874" s="2">
        <v>0.43239583333333331</v>
      </c>
    </row>
    <row r="1875" spans="1:4" x14ac:dyDescent="0.25">
      <c r="A1875">
        <v>37077953</v>
      </c>
      <c r="B1875" s="1">
        <v>42943</v>
      </c>
      <c r="C1875" s="2">
        <v>0.43262731481481481</v>
      </c>
      <c r="D1875" s="2">
        <v>0.43929398148148147</v>
      </c>
    </row>
    <row r="1876" spans="1:4" x14ac:dyDescent="0.25">
      <c r="A1876">
        <v>70606958</v>
      </c>
      <c r="B1876" s="1">
        <v>42943</v>
      </c>
      <c r="C1876" s="2">
        <v>0.43387731481481484</v>
      </c>
      <c r="D1876" s="2">
        <v>0.44252314814814814</v>
      </c>
    </row>
    <row r="1877" spans="1:4" x14ac:dyDescent="0.25">
      <c r="A1877">
        <v>21303266</v>
      </c>
      <c r="B1877" s="1">
        <v>42943</v>
      </c>
      <c r="C1877" s="2">
        <v>0.4384953703703704</v>
      </c>
      <c r="D1877" s="2">
        <v>0.44209490740740742</v>
      </c>
    </row>
    <row r="1878" spans="1:4" x14ac:dyDescent="0.25">
      <c r="A1878">
        <v>66871690</v>
      </c>
      <c r="B1878" s="1">
        <v>42943</v>
      </c>
      <c r="C1878" s="2">
        <v>0.44003472222222223</v>
      </c>
      <c r="D1878" s="2">
        <v>0.44219907407407405</v>
      </c>
    </row>
    <row r="1879" spans="1:4" x14ac:dyDescent="0.25">
      <c r="A1879">
        <v>88366261</v>
      </c>
      <c r="B1879" s="1">
        <v>42943</v>
      </c>
      <c r="C1879" s="2">
        <v>0.44006944444444446</v>
      </c>
      <c r="D1879" s="2">
        <v>0.44208333333333333</v>
      </c>
    </row>
    <row r="1880" spans="1:4" x14ac:dyDescent="0.25">
      <c r="A1880">
        <v>9506446</v>
      </c>
      <c r="B1880" s="1">
        <v>42943</v>
      </c>
      <c r="C1880" s="2">
        <v>0.44490740740740742</v>
      </c>
      <c r="D1880" s="2">
        <v>0.45071759259259259</v>
      </c>
    </row>
    <row r="1881" spans="1:4" x14ac:dyDescent="0.25">
      <c r="A1881">
        <v>9225807</v>
      </c>
      <c r="B1881" s="1">
        <v>42943</v>
      </c>
      <c r="C1881" s="2">
        <v>0.44996527777777778</v>
      </c>
      <c r="D1881" s="2">
        <v>0.45952546296296298</v>
      </c>
    </row>
    <row r="1882" spans="1:4" x14ac:dyDescent="0.25">
      <c r="A1882">
        <v>6956143</v>
      </c>
      <c r="B1882" s="1">
        <v>42943</v>
      </c>
      <c r="C1882" s="2">
        <v>0.45157407407407407</v>
      </c>
      <c r="D1882" s="2">
        <v>0.455625</v>
      </c>
    </row>
    <row r="1883" spans="1:4" x14ac:dyDescent="0.25">
      <c r="A1883">
        <v>1472253</v>
      </c>
      <c r="B1883" s="1">
        <v>42943</v>
      </c>
      <c r="C1883" s="2">
        <v>0.45729166666666665</v>
      </c>
      <c r="D1883" s="2">
        <v>0.46041666666666664</v>
      </c>
    </row>
    <row r="1884" spans="1:4" x14ac:dyDescent="0.25">
      <c r="A1884">
        <v>4025325</v>
      </c>
      <c r="B1884" s="1">
        <v>42943</v>
      </c>
      <c r="C1884" s="2">
        <v>0.46151620370370372</v>
      </c>
      <c r="D1884" s="2">
        <v>0.46604166666666669</v>
      </c>
    </row>
    <row r="1885" spans="1:4" x14ac:dyDescent="0.25">
      <c r="A1885">
        <v>6220398</v>
      </c>
      <c r="B1885" s="1">
        <v>42943</v>
      </c>
      <c r="C1885" s="2">
        <v>0.46175925925925926</v>
      </c>
      <c r="D1885" s="2">
        <v>0.46263888888888888</v>
      </c>
    </row>
    <row r="1886" spans="1:4" x14ac:dyDescent="0.25">
      <c r="A1886">
        <v>6326108</v>
      </c>
      <c r="B1886" s="1">
        <v>42943</v>
      </c>
      <c r="C1886" s="2">
        <v>0.46474537037037039</v>
      </c>
      <c r="D1886" s="2">
        <v>0.47486111111111112</v>
      </c>
    </row>
    <row r="1887" spans="1:4" x14ac:dyDescent="0.25">
      <c r="A1887">
        <v>88929709</v>
      </c>
      <c r="B1887" s="1">
        <v>42943</v>
      </c>
      <c r="C1887" s="2">
        <v>0.46687499999999998</v>
      </c>
      <c r="D1887" s="2">
        <v>0.47510416666666666</v>
      </c>
    </row>
    <row r="1888" spans="1:4" x14ac:dyDescent="0.25">
      <c r="A1888">
        <v>3004967</v>
      </c>
      <c r="B1888" s="1">
        <v>42943</v>
      </c>
      <c r="C1888" s="2">
        <v>0.4707175925925926</v>
      </c>
      <c r="D1888" s="2">
        <v>0.47547453703703701</v>
      </c>
    </row>
    <row r="1889" spans="1:4" x14ac:dyDescent="0.25">
      <c r="A1889">
        <v>1721264</v>
      </c>
      <c r="B1889" s="1">
        <v>42943</v>
      </c>
      <c r="C1889" s="2">
        <v>0.47394675925925928</v>
      </c>
      <c r="D1889" s="2">
        <v>0.47922453703703705</v>
      </c>
    </row>
    <row r="1890" spans="1:4" x14ac:dyDescent="0.25">
      <c r="A1890">
        <v>5231877</v>
      </c>
      <c r="B1890" s="1">
        <v>42943</v>
      </c>
      <c r="C1890" s="2">
        <v>0.47550925925925924</v>
      </c>
      <c r="D1890" s="2">
        <v>0.47930555555555554</v>
      </c>
    </row>
    <row r="1891" spans="1:4" x14ac:dyDescent="0.25">
      <c r="A1891">
        <v>92414932</v>
      </c>
      <c r="B1891" s="1">
        <v>42943</v>
      </c>
      <c r="C1891" s="2">
        <v>0.48085648148148147</v>
      </c>
      <c r="D1891" s="2">
        <v>0.48893518518518519</v>
      </c>
    </row>
    <row r="1892" spans="1:4" x14ac:dyDescent="0.25">
      <c r="A1892">
        <v>3202610</v>
      </c>
      <c r="B1892" s="1">
        <v>42943</v>
      </c>
      <c r="C1892" s="2">
        <v>0.48528935185185185</v>
      </c>
      <c r="D1892" s="2">
        <v>0.48694444444444446</v>
      </c>
    </row>
    <row r="1893" spans="1:4" x14ac:dyDescent="0.25">
      <c r="A1893">
        <v>2825289</v>
      </c>
      <c r="B1893" s="1">
        <v>42943</v>
      </c>
      <c r="C1893" s="2">
        <v>0.4855902777777778</v>
      </c>
      <c r="D1893" s="2">
        <v>0.49710648148148145</v>
      </c>
    </row>
    <row r="1894" spans="1:4" x14ac:dyDescent="0.25">
      <c r="A1894">
        <v>7915936</v>
      </c>
      <c r="B1894" s="1">
        <v>42943</v>
      </c>
      <c r="C1894" s="2">
        <v>0.49075231481481479</v>
      </c>
      <c r="D1894" s="2">
        <v>0.49836805555555558</v>
      </c>
    </row>
    <row r="1895" spans="1:4" x14ac:dyDescent="0.25">
      <c r="A1895">
        <v>3680072</v>
      </c>
      <c r="B1895" s="1">
        <v>42943</v>
      </c>
      <c r="C1895" s="2">
        <v>0.49561342592592594</v>
      </c>
      <c r="D1895" s="2">
        <v>0.49716435185185187</v>
      </c>
    </row>
    <row r="1896" spans="1:4" x14ac:dyDescent="0.25">
      <c r="A1896">
        <v>6980867</v>
      </c>
      <c r="B1896" s="1">
        <v>42943</v>
      </c>
      <c r="C1896" s="2">
        <v>0.49716435185185187</v>
      </c>
      <c r="D1896" s="2">
        <v>0.50270833333333331</v>
      </c>
    </row>
    <row r="1897" spans="1:4" x14ac:dyDescent="0.25">
      <c r="A1897">
        <v>3656681</v>
      </c>
      <c r="B1897" s="1">
        <v>42943</v>
      </c>
      <c r="C1897" s="2">
        <v>0.50123842592592593</v>
      </c>
      <c r="D1897" s="2">
        <v>0.5084143518518518</v>
      </c>
    </row>
    <row r="1898" spans="1:4" x14ac:dyDescent="0.25">
      <c r="A1898">
        <v>4445684</v>
      </c>
      <c r="B1898" s="1">
        <v>42943</v>
      </c>
      <c r="C1898" s="2">
        <v>0.50361111111111112</v>
      </c>
      <c r="D1898" s="2">
        <v>0.51285879629629627</v>
      </c>
    </row>
    <row r="1899" spans="1:4" x14ac:dyDescent="0.25">
      <c r="A1899">
        <v>9864502</v>
      </c>
      <c r="B1899" s="1">
        <v>42943</v>
      </c>
      <c r="C1899" s="2">
        <v>0.50722222222222224</v>
      </c>
      <c r="D1899" s="2">
        <v>0.50762731481481482</v>
      </c>
    </row>
    <row r="1900" spans="1:4" x14ac:dyDescent="0.25">
      <c r="A1900">
        <v>5881130</v>
      </c>
      <c r="B1900" s="1">
        <v>42943</v>
      </c>
      <c r="C1900" s="2">
        <v>0.51086805555555559</v>
      </c>
      <c r="D1900" s="2">
        <v>0.516087962962963</v>
      </c>
    </row>
    <row r="1901" spans="1:4" x14ac:dyDescent="0.25">
      <c r="A1901">
        <v>2056567</v>
      </c>
      <c r="B1901" s="1">
        <v>42943</v>
      </c>
      <c r="C1901" s="2">
        <v>0.51563657407407404</v>
      </c>
      <c r="D1901" s="2">
        <v>0.52396990740740745</v>
      </c>
    </row>
    <row r="1902" spans="1:4" x14ac:dyDescent="0.25">
      <c r="A1902">
        <v>62150310</v>
      </c>
      <c r="B1902" s="1">
        <v>42943</v>
      </c>
      <c r="C1902" s="2">
        <v>0.52003472222222225</v>
      </c>
      <c r="D1902" s="2">
        <v>0.52927083333333336</v>
      </c>
    </row>
    <row r="1903" spans="1:4" x14ac:dyDescent="0.25">
      <c r="A1903">
        <v>9340299</v>
      </c>
      <c r="B1903" s="1">
        <v>42943</v>
      </c>
      <c r="C1903" s="2">
        <v>0.52034722222222218</v>
      </c>
      <c r="D1903" s="2">
        <v>0.52137731481481486</v>
      </c>
    </row>
    <row r="1904" spans="1:4" x14ac:dyDescent="0.25">
      <c r="A1904">
        <v>3912924</v>
      </c>
      <c r="B1904" s="1">
        <v>42943</v>
      </c>
      <c r="C1904" s="2">
        <v>0.52368055555555559</v>
      </c>
      <c r="D1904" s="2">
        <v>0.52627314814814818</v>
      </c>
    </row>
    <row r="1905" spans="1:4" x14ac:dyDescent="0.25">
      <c r="A1905">
        <v>8159466</v>
      </c>
      <c r="B1905" s="1">
        <v>42943</v>
      </c>
      <c r="C1905" s="2">
        <v>0.52460648148148148</v>
      </c>
      <c r="D1905" s="2">
        <v>0.52971064814814817</v>
      </c>
    </row>
    <row r="1906" spans="1:4" x14ac:dyDescent="0.25">
      <c r="A1906">
        <v>7467198</v>
      </c>
      <c r="B1906" s="1">
        <v>42943</v>
      </c>
      <c r="C1906" s="2">
        <v>0.52993055555555557</v>
      </c>
      <c r="D1906" s="2">
        <v>0.53739583333333329</v>
      </c>
    </row>
    <row r="1907" spans="1:4" x14ac:dyDescent="0.25">
      <c r="A1907">
        <v>4703748</v>
      </c>
      <c r="B1907" s="1">
        <v>42943</v>
      </c>
      <c r="C1907" s="2">
        <v>0.53315972222222219</v>
      </c>
      <c r="D1907" s="2">
        <v>0.53454861111111107</v>
      </c>
    </row>
    <row r="1908" spans="1:4" x14ac:dyDescent="0.25">
      <c r="A1908">
        <v>1165705</v>
      </c>
      <c r="B1908" s="1">
        <v>42943</v>
      </c>
      <c r="C1908" s="2">
        <v>0.53666666666666663</v>
      </c>
      <c r="D1908" s="2">
        <v>0.54100694444444442</v>
      </c>
    </row>
    <row r="1909" spans="1:4" x14ac:dyDescent="0.25">
      <c r="A1909">
        <v>90762334</v>
      </c>
      <c r="B1909" s="1">
        <v>42943</v>
      </c>
      <c r="C1909" s="2">
        <v>0.54144675925925922</v>
      </c>
      <c r="D1909" s="2">
        <v>0.54313657407407412</v>
      </c>
    </row>
    <row r="1910" spans="1:4" x14ac:dyDescent="0.25">
      <c r="A1910">
        <v>16527855</v>
      </c>
      <c r="B1910" s="1">
        <v>42943</v>
      </c>
      <c r="C1910" s="2">
        <v>0.54194444444444445</v>
      </c>
      <c r="D1910" s="2">
        <v>0.5513541666666667</v>
      </c>
    </row>
    <row r="1911" spans="1:4" x14ac:dyDescent="0.25">
      <c r="A1911">
        <v>1055495</v>
      </c>
      <c r="B1911" s="1">
        <v>42943</v>
      </c>
      <c r="C1911" s="2">
        <v>0.54600694444444442</v>
      </c>
      <c r="D1911" s="2">
        <v>0.54866898148148147</v>
      </c>
    </row>
    <row r="1912" spans="1:4" x14ac:dyDescent="0.25">
      <c r="A1912">
        <v>9120318</v>
      </c>
      <c r="B1912" s="1">
        <v>42943</v>
      </c>
      <c r="C1912" s="2">
        <v>0.54690972222222223</v>
      </c>
      <c r="D1912" s="2">
        <v>0.54707175925925922</v>
      </c>
    </row>
    <row r="1913" spans="1:4" x14ac:dyDescent="0.25">
      <c r="A1913">
        <v>4030817</v>
      </c>
      <c r="B1913" s="1">
        <v>42943</v>
      </c>
      <c r="C1913" s="2">
        <v>0.55092592592592593</v>
      </c>
      <c r="D1913" s="2">
        <v>0.56030092592592595</v>
      </c>
    </row>
    <row r="1914" spans="1:4" x14ac:dyDescent="0.25">
      <c r="A1914">
        <v>1025756</v>
      </c>
      <c r="B1914" s="1">
        <v>42943</v>
      </c>
      <c r="C1914" s="2">
        <v>0.55116898148148152</v>
      </c>
      <c r="D1914" s="2">
        <v>0.56047453703703709</v>
      </c>
    </row>
    <row r="1915" spans="1:4" x14ac:dyDescent="0.25">
      <c r="A1915">
        <v>29880225</v>
      </c>
      <c r="B1915" s="1">
        <v>42943</v>
      </c>
      <c r="C1915" s="2">
        <v>0.55174768518518513</v>
      </c>
      <c r="D1915" s="2">
        <v>0.55920138888888893</v>
      </c>
    </row>
    <row r="1916" spans="1:4" x14ac:dyDescent="0.25">
      <c r="A1916">
        <v>4791902</v>
      </c>
      <c r="B1916" s="1">
        <v>42943</v>
      </c>
      <c r="C1916" s="2">
        <v>0.55718749999999995</v>
      </c>
      <c r="D1916" s="2">
        <v>0.55753472222222222</v>
      </c>
    </row>
    <row r="1917" spans="1:4" x14ac:dyDescent="0.25">
      <c r="A1917">
        <v>5228419</v>
      </c>
      <c r="B1917" s="1">
        <v>42943</v>
      </c>
      <c r="C1917" s="2">
        <v>0.55995370370370368</v>
      </c>
      <c r="D1917" s="2">
        <v>0.56405092592592587</v>
      </c>
    </row>
    <row r="1918" spans="1:4" x14ac:dyDescent="0.25">
      <c r="A1918">
        <v>8991671</v>
      </c>
      <c r="B1918" s="1">
        <v>42943</v>
      </c>
      <c r="C1918" s="2">
        <v>0.56268518518518518</v>
      </c>
      <c r="D1918" s="2">
        <v>0.56517361111111108</v>
      </c>
    </row>
    <row r="1919" spans="1:4" x14ac:dyDescent="0.25">
      <c r="A1919">
        <v>8045338707</v>
      </c>
      <c r="B1919" s="1">
        <v>42943</v>
      </c>
      <c r="C1919" s="2">
        <v>0.56680555555555556</v>
      </c>
      <c r="D1919" s="2">
        <v>0.56877314814814817</v>
      </c>
    </row>
    <row r="1920" spans="1:4" x14ac:dyDescent="0.25">
      <c r="A1920">
        <v>9192546</v>
      </c>
      <c r="B1920" s="1">
        <v>42943</v>
      </c>
      <c r="C1920" s="2">
        <v>0.57233796296296291</v>
      </c>
      <c r="D1920" s="2">
        <v>0.57620370370370366</v>
      </c>
    </row>
    <row r="1921" spans="1:4" x14ac:dyDescent="0.25">
      <c r="A1921">
        <v>9664752</v>
      </c>
      <c r="B1921" s="1">
        <v>42943</v>
      </c>
      <c r="C1921" s="2">
        <v>0.57563657407407409</v>
      </c>
      <c r="D1921" s="2">
        <v>0.57976851851851852</v>
      </c>
    </row>
    <row r="1922" spans="1:4" x14ac:dyDescent="0.25">
      <c r="A1922">
        <v>62653835</v>
      </c>
      <c r="B1922" s="1">
        <v>42943</v>
      </c>
      <c r="C1922" s="2">
        <v>0.58034722222222224</v>
      </c>
      <c r="D1922" s="2">
        <v>0.58803240740740736</v>
      </c>
    </row>
    <row r="1923" spans="1:4" x14ac:dyDescent="0.25">
      <c r="A1923">
        <v>6087301</v>
      </c>
      <c r="B1923" s="1">
        <v>42943</v>
      </c>
      <c r="C1923" s="2">
        <v>0.58589120370370373</v>
      </c>
      <c r="D1923" s="2">
        <v>0.59706018518518522</v>
      </c>
    </row>
    <row r="1924" spans="1:4" x14ac:dyDescent="0.25">
      <c r="A1924">
        <v>3864488</v>
      </c>
      <c r="B1924" s="1">
        <v>42943</v>
      </c>
      <c r="C1924" s="2">
        <v>0.58601851851851849</v>
      </c>
      <c r="D1924" s="2">
        <v>0.58971064814814811</v>
      </c>
    </row>
    <row r="1925" spans="1:4" x14ac:dyDescent="0.25">
      <c r="A1925">
        <v>5604405</v>
      </c>
      <c r="B1925" s="1">
        <v>42943</v>
      </c>
      <c r="C1925" s="2">
        <v>0.58655092592592595</v>
      </c>
      <c r="D1925" s="2">
        <v>0.59761574074074075</v>
      </c>
    </row>
    <row r="1926" spans="1:4" x14ac:dyDescent="0.25">
      <c r="A1926">
        <v>4774889</v>
      </c>
      <c r="B1926" s="1">
        <v>42943</v>
      </c>
      <c r="C1926" s="2">
        <v>0.58733796296296292</v>
      </c>
      <c r="D1926" s="2">
        <v>0.59475694444444449</v>
      </c>
    </row>
    <row r="1927" spans="1:4" x14ac:dyDescent="0.25">
      <c r="A1927">
        <v>4017213</v>
      </c>
      <c r="B1927" s="1">
        <v>42943</v>
      </c>
      <c r="C1927" s="2">
        <v>0.59228009259259262</v>
      </c>
      <c r="D1927" s="2">
        <v>0.60034722222222225</v>
      </c>
    </row>
    <row r="1928" spans="1:4" x14ac:dyDescent="0.25">
      <c r="A1928">
        <v>4720934</v>
      </c>
      <c r="B1928" s="1">
        <v>42943</v>
      </c>
      <c r="C1928" s="2">
        <v>0.59624999999999995</v>
      </c>
      <c r="D1928" s="2">
        <v>0.59810185185185183</v>
      </c>
    </row>
    <row r="1929" spans="1:4" x14ac:dyDescent="0.25">
      <c r="A1929">
        <v>13494237</v>
      </c>
      <c r="B1929" s="1">
        <v>42943</v>
      </c>
      <c r="C1929" s="2">
        <v>0.60160879629629627</v>
      </c>
      <c r="D1929" s="2">
        <v>0.61234953703703698</v>
      </c>
    </row>
    <row r="1930" spans="1:4" x14ac:dyDescent="0.25">
      <c r="A1930">
        <v>71807686</v>
      </c>
      <c r="B1930" s="1">
        <v>42943</v>
      </c>
      <c r="C1930" s="2">
        <v>0.60339120370370369</v>
      </c>
      <c r="D1930" s="2">
        <v>0.61410879629629633</v>
      </c>
    </row>
    <row r="1931" spans="1:4" x14ac:dyDescent="0.25">
      <c r="A1931">
        <v>7865609</v>
      </c>
      <c r="B1931" s="1">
        <v>42943</v>
      </c>
      <c r="C1931" s="2">
        <v>0.60826388888888894</v>
      </c>
      <c r="D1931" s="2">
        <v>0.61071759259259262</v>
      </c>
    </row>
    <row r="1932" spans="1:4" x14ac:dyDescent="0.25">
      <c r="A1932">
        <v>5318850</v>
      </c>
      <c r="B1932" s="1">
        <v>42943</v>
      </c>
      <c r="C1932" s="2">
        <v>0.61053240740740744</v>
      </c>
      <c r="D1932" s="2">
        <v>0.61406249999999996</v>
      </c>
    </row>
    <row r="1933" spans="1:4" x14ac:dyDescent="0.25">
      <c r="A1933">
        <v>63613334</v>
      </c>
      <c r="B1933" s="1">
        <v>42943</v>
      </c>
      <c r="C1933" s="2">
        <v>0.61393518518518519</v>
      </c>
      <c r="D1933" s="2">
        <v>0.61831018518518521</v>
      </c>
    </row>
    <row r="1934" spans="1:4" x14ac:dyDescent="0.25">
      <c r="A1934">
        <v>2256093</v>
      </c>
      <c r="B1934" s="1">
        <v>42943</v>
      </c>
      <c r="C1934" s="2">
        <v>0.61958333333333337</v>
      </c>
      <c r="D1934" s="2">
        <v>0.62275462962962957</v>
      </c>
    </row>
    <row r="1935" spans="1:4" x14ac:dyDescent="0.25">
      <c r="A1935">
        <v>7421094</v>
      </c>
      <c r="B1935" s="1">
        <v>42943</v>
      </c>
      <c r="C1935" s="2">
        <v>0.62206018518518513</v>
      </c>
      <c r="D1935" s="2">
        <v>0.62554398148148149</v>
      </c>
    </row>
    <row r="1936" spans="1:4" x14ac:dyDescent="0.25">
      <c r="A1936">
        <v>5376362</v>
      </c>
      <c r="B1936" s="1">
        <v>42943</v>
      </c>
      <c r="C1936" s="2">
        <v>0.6255208333333333</v>
      </c>
      <c r="D1936" s="2">
        <v>0.63026620370370368</v>
      </c>
    </row>
    <row r="1937" spans="1:4" x14ac:dyDescent="0.25">
      <c r="A1937">
        <v>8967842</v>
      </c>
      <c r="B1937" s="1">
        <v>42944</v>
      </c>
      <c r="C1937" s="2">
        <v>0.3369328703703704</v>
      </c>
      <c r="D1937" s="2">
        <v>0.34400462962962963</v>
      </c>
    </row>
    <row r="1938" spans="1:4" x14ac:dyDescent="0.25">
      <c r="A1938">
        <v>76644634</v>
      </c>
      <c r="B1938" s="1">
        <v>42944</v>
      </c>
      <c r="C1938" s="2">
        <v>0.33696759259259257</v>
      </c>
      <c r="D1938" s="2">
        <v>0.33809027777777778</v>
      </c>
    </row>
    <row r="1939" spans="1:4" x14ac:dyDescent="0.25">
      <c r="A1939">
        <v>7622819</v>
      </c>
      <c r="B1939" s="1">
        <v>42944</v>
      </c>
      <c r="C1939" s="2">
        <v>0.33831018518518519</v>
      </c>
      <c r="D1939" s="2">
        <v>0.34758101851851853</v>
      </c>
    </row>
    <row r="1940" spans="1:4" x14ac:dyDescent="0.25">
      <c r="A1940">
        <v>3524259</v>
      </c>
      <c r="B1940" s="1">
        <v>42944</v>
      </c>
      <c r="C1940" s="2">
        <v>0.33927083333333335</v>
      </c>
      <c r="D1940" s="2">
        <v>0.34861111111111109</v>
      </c>
    </row>
    <row r="1941" spans="1:4" x14ac:dyDescent="0.25">
      <c r="A1941">
        <v>5550678</v>
      </c>
      <c r="B1941" s="1">
        <v>42944</v>
      </c>
      <c r="C1941" s="2">
        <v>0.34497685185185184</v>
      </c>
      <c r="D1941" s="2">
        <v>0.35487268518518517</v>
      </c>
    </row>
    <row r="1942" spans="1:4" x14ac:dyDescent="0.25">
      <c r="A1942">
        <v>41852472</v>
      </c>
      <c r="B1942" s="1">
        <v>42944</v>
      </c>
      <c r="C1942" s="2">
        <v>0.34826388888888887</v>
      </c>
      <c r="D1942" s="2">
        <v>0.34871527777777778</v>
      </c>
    </row>
    <row r="1943" spans="1:4" x14ac:dyDescent="0.25">
      <c r="A1943">
        <v>8799570155</v>
      </c>
      <c r="B1943" s="1">
        <v>42944</v>
      </c>
      <c r="C1943" s="2">
        <v>0.34932870370370372</v>
      </c>
      <c r="D1943" s="2">
        <v>0.35365740740740742</v>
      </c>
    </row>
    <row r="1944" spans="1:4" x14ac:dyDescent="0.25">
      <c r="A1944">
        <v>9329226</v>
      </c>
      <c r="B1944" s="1">
        <v>42944</v>
      </c>
      <c r="C1944" s="2">
        <v>0.34983796296296299</v>
      </c>
      <c r="D1944" s="2">
        <v>0.35505787037037034</v>
      </c>
    </row>
    <row r="1945" spans="1:4" x14ac:dyDescent="0.25">
      <c r="A1945">
        <v>9219408</v>
      </c>
      <c r="B1945" s="1">
        <v>42944</v>
      </c>
      <c r="C1945" s="2">
        <v>0.35519675925925925</v>
      </c>
      <c r="D1945" s="2">
        <v>0.36072916666666666</v>
      </c>
    </row>
    <row r="1946" spans="1:4" x14ac:dyDescent="0.25">
      <c r="A1946">
        <v>2163209</v>
      </c>
      <c r="B1946" s="1">
        <v>42944</v>
      </c>
      <c r="C1946" s="2">
        <v>0.35749999999999998</v>
      </c>
      <c r="D1946" s="2">
        <v>0.36791666666666667</v>
      </c>
    </row>
    <row r="1947" spans="1:4" x14ac:dyDescent="0.25">
      <c r="A1947">
        <v>98021540</v>
      </c>
      <c r="B1947" s="1">
        <v>42944</v>
      </c>
      <c r="C1947" s="2">
        <v>0.35806712962962961</v>
      </c>
      <c r="D1947" s="2">
        <v>0.36835648148148148</v>
      </c>
    </row>
    <row r="1948" spans="1:4" x14ac:dyDescent="0.25">
      <c r="A1948">
        <v>58420185</v>
      </c>
      <c r="B1948" s="1">
        <v>42944</v>
      </c>
      <c r="C1948" s="2">
        <v>0.35957175925925927</v>
      </c>
      <c r="D1948" s="2">
        <v>0.3616435185185185</v>
      </c>
    </row>
    <row r="1949" spans="1:4" x14ac:dyDescent="0.25">
      <c r="A1949">
        <v>2188847</v>
      </c>
      <c r="B1949" s="1">
        <v>42944</v>
      </c>
      <c r="C1949" s="2">
        <v>0.36321759259259262</v>
      </c>
      <c r="D1949" s="2">
        <v>0.36689814814814814</v>
      </c>
    </row>
    <row r="1950" spans="1:4" x14ac:dyDescent="0.25">
      <c r="A1950">
        <v>2419817</v>
      </c>
      <c r="B1950" s="1">
        <v>42944</v>
      </c>
      <c r="C1950" s="2">
        <v>0.36768518518518517</v>
      </c>
      <c r="D1950" s="2">
        <v>0.3742476851851852</v>
      </c>
    </row>
    <row r="1951" spans="1:4" x14ac:dyDescent="0.25">
      <c r="A1951">
        <v>8938444</v>
      </c>
      <c r="B1951" s="1">
        <v>42944</v>
      </c>
      <c r="C1951" s="2">
        <v>0.37162037037037038</v>
      </c>
      <c r="D1951" s="2">
        <v>0.37275462962962963</v>
      </c>
    </row>
    <row r="1952" spans="1:4" x14ac:dyDescent="0.25">
      <c r="A1952">
        <v>8512255</v>
      </c>
      <c r="B1952" s="1">
        <v>42944</v>
      </c>
      <c r="C1952" s="2">
        <v>0.37327546296296299</v>
      </c>
      <c r="D1952" s="2">
        <v>0.37962962962962965</v>
      </c>
    </row>
    <row r="1953" spans="1:4" x14ac:dyDescent="0.25">
      <c r="A1953">
        <v>7488966</v>
      </c>
      <c r="B1953" s="1">
        <v>42944</v>
      </c>
      <c r="C1953" s="2">
        <v>0.37513888888888891</v>
      </c>
      <c r="D1953" s="2">
        <v>0.3775</v>
      </c>
    </row>
    <row r="1954" spans="1:4" x14ac:dyDescent="0.25">
      <c r="A1954">
        <v>6068132</v>
      </c>
      <c r="B1954" s="1">
        <v>42944</v>
      </c>
      <c r="C1954" s="2">
        <v>0.37793981481481481</v>
      </c>
      <c r="D1954" s="2">
        <v>0.3873611111111111</v>
      </c>
    </row>
    <row r="1955" spans="1:4" x14ac:dyDescent="0.25">
      <c r="A1955">
        <v>6131743</v>
      </c>
      <c r="B1955" s="1">
        <v>42944</v>
      </c>
      <c r="C1955" s="2">
        <v>0.38305555555555554</v>
      </c>
      <c r="D1955" s="2">
        <v>0.38718750000000002</v>
      </c>
    </row>
    <row r="1956" spans="1:4" x14ac:dyDescent="0.25">
      <c r="A1956">
        <v>71564278</v>
      </c>
      <c r="B1956" s="1">
        <v>42944</v>
      </c>
      <c r="C1956" s="2">
        <v>0.38849537037037035</v>
      </c>
      <c r="D1956" s="2">
        <v>0.39708333333333334</v>
      </c>
    </row>
    <row r="1957" spans="1:4" x14ac:dyDescent="0.25">
      <c r="A1957">
        <v>4529192</v>
      </c>
      <c r="B1957" s="1">
        <v>42944</v>
      </c>
      <c r="C1957" s="2">
        <v>0.39005787037037037</v>
      </c>
      <c r="D1957" s="2">
        <v>0.39561342592592591</v>
      </c>
    </row>
    <row r="1958" spans="1:4" x14ac:dyDescent="0.25">
      <c r="A1958">
        <v>2193730</v>
      </c>
      <c r="B1958" s="1">
        <v>42944</v>
      </c>
      <c r="C1958" s="2">
        <v>0.39269675925925923</v>
      </c>
      <c r="D1958" s="2">
        <v>0.40126157407407409</v>
      </c>
    </row>
    <row r="1959" spans="1:4" x14ac:dyDescent="0.25">
      <c r="A1959">
        <v>3120387</v>
      </c>
      <c r="B1959" s="1">
        <v>42944</v>
      </c>
      <c r="C1959" s="2">
        <v>0.39303240740740741</v>
      </c>
      <c r="D1959" s="2">
        <v>0.39657407407407408</v>
      </c>
    </row>
    <row r="1960" spans="1:4" x14ac:dyDescent="0.25">
      <c r="A1960">
        <v>5726531</v>
      </c>
      <c r="B1960" s="1">
        <v>42944</v>
      </c>
      <c r="C1960" s="2">
        <v>0.39825231481481482</v>
      </c>
      <c r="D1960" s="2">
        <v>0.39855324074074072</v>
      </c>
    </row>
    <row r="1961" spans="1:4" x14ac:dyDescent="0.25">
      <c r="A1961">
        <v>5076649</v>
      </c>
      <c r="B1961" s="1">
        <v>42944</v>
      </c>
      <c r="C1961" s="2">
        <v>0.39922453703703703</v>
      </c>
      <c r="D1961" s="2">
        <v>0.40482638888888889</v>
      </c>
    </row>
    <row r="1962" spans="1:4" x14ac:dyDescent="0.25">
      <c r="A1962">
        <v>98939809</v>
      </c>
      <c r="B1962" s="1">
        <v>42944</v>
      </c>
      <c r="C1962" s="2">
        <v>0.40277777777777779</v>
      </c>
      <c r="D1962" s="2">
        <v>0.40599537037037037</v>
      </c>
    </row>
    <row r="1963" spans="1:4" x14ac:dyDescent="0.25">
      <c r="A1963">
        <v>2005653</v>
      </c>
      <c r="B1963" s="1">
        <v>42944</v>
      </c>
      <c r="C1963" s="2">
        <v>0.40842592592592591</v>
      </c>
      <c r="D1963" s="2">
        <v>0.41866898148148146</v>
      </c>
    </row>
    <row r="1964" spans="1:4" x14ac:dyDescent="0.25">
      <c r="A1964">
        <v>4659808</v>
      </c>
      <c r="B1964" s="1">
        <v>42944</v>
      </c>
      <c r="C1964" s="2">
        <v>0.40956018518518517</v>
      </c>
      <c r="D1964" s="2">
        <v>0.41278935185185184</v>
      </c>
    </row>
    <row r="1965" spans="1:4" x14ac:dyDescent="0.25">
      <c r="A1965">
        <v>60113139</v>
      </c>
      <c r="B1965" s="1">
        <v>42944</v>
      </c>
      <c r="C1965" s="2">
        <v>0.41228009259259257</v>
      </c>
      <c r="D1965" s="2">
        <v>0.41718749999999999</v>
      </c>
    </row>
    <row r="1966" spans="1:4" x14ac:dyDescent="0.25">
      <c r="A1966">
        <v>55896338</v>
      </c>
      <c r="B1966" s="1">
        <v>42944</v>
      </c>
      <c r="C1966" s="2">
        <v>0.41521990740740738</v>
      </c>
      <c r="D1966" s="2">
        <v>0.41893518518518519</v>
      </c>
    </row>
    <row r="1967" spans="1:4" x14ac:dyDescent="0.25">
      <c r="A1967">
        <v>9747403</v>
      </c>
      <c r="B1967" s="1">
        <v>42944</v>
      </c>
      <c r="C1967" s="2">
        <v>0.42093750000000002</v>
      </c>
      <c r="D1967" s="2">
        <v>0.42825231481481479</v>
      </c>
    </row>
    <row r="1968" spans="1:4" x14ac:dyDescent="0.25">
      <c r="A1968">
        <v>5687447</v>
      </c>
      <c r="B1968" s="1">
        <v>42944</v>
      </c>
      <c r="C1968" s="2">
        <v>0.42295138888888889</v>
      </c>
      <c r="D1968" s="2">
        <v>0.42423611111111109</v>
      </c>
    </row>
    <row r="1969" spans="1:4" x14ac:dyDescent="0.25">
      <c r="A1969">
        <v>78940032</v>
      </c>
      <c r="B1969" s="1">
        <v>42944</v>
      </c>
      <c r="C1969" s="2">
        <v>0.42478009259259258</v>
      </c>
      <c r="D1969" s="2">
        <v>0.43118055555555557</v>
      </c>
    </row>
    <row r="1970" spans="1:4" x14ac:dyDescent="0.25">
      <c r="A1970">
        <v>1094486764</v>
      </c>
      <c r="B1970" s="1">
        <v>42944</v>
      </c>
      <c r="C1970" s="2">
        <v>0.42781249999999998</v>
      </c>
      <c r="D1970" s="2">
        <v>0.43763888888888891</v>
      </c>
    </row>
    <row r="1971" spans="1:4" x14ac:dyDescent="0.25">
      <c r="A1971">
        <v>2611045</v>
      </c>
      <c r="B1971" s="1">
        <v>42944</v>
      </c>
      <c r="C1971" s="2">
        <v>0.43131944444444442</v>
      </c>
      <c r="D1971" s="2">
        <v>0.4387152777777778</v>
      </c>
    </row>
    <row r="1972" spans="1:4" x14ac:dyDescent="0.25">
      <c r="A1972">
        <v>6047761</v>
      </c>
      <c r="B1972" s="1">
        <v>42944</v>
      </c>
      <c r="C1972" s="2">
        <v>0.43351851851851853</v>
      </c>
      <c r="D1972" s="2">
        <v>0.4412152777777778</v>
      </c>
    </row>
    <row r="1973" spans="1:4" x14ac:dyDescent="0.25">
      <c r="A1973">
        <v>4154521</v>
      </c>
      <c r="B1973" s="1">
        <v>42944</v>
      </c>
      <c r="C1973" s="2">
        <v>0.43552083333333336</v>
      </c>
      <c r="D1973" s="2">
        <v>0.44587962962962963</v>
      </c>
    </row>
    <row r="1974" spans="1:4" x14ac:dyDescent="0.25">
      <c r="A1974">
        <v>8895257</v>
      </c>
      <c r="B1974" s="1">
        <v>42944</v>
      </c>
      <c r="C1974" s="2">
        <v>0.43975694444444446</v>
      </c>
      <c r="D1974" s="2">
        <v>0.4472800925925926</v>
      </c>
    </row>
    <row r="1975" spans="1:4" x14ac:dyDescent="0.25">
      <c r="A1975">
        <v>2199311</v>
      </c>
      <c r="B1975" s="1">
        <v>42944</v>
      </c>
      <c r="C1975" s="2">
        <v>0.44490740740740742</v>
      </c>
      <c r="D1975" s="2">
        <v>0.44578703703703704</v>
      </c>
    </row>
    <row r="1976" spans="1:4" x14ac:dyDescent="0.25">
      <c r="A1976">
        <v>17864361</v>
      </c>
      <c r="B1976" s="1">
        <v>42944</v>
      </c>
      <c r="C1976" s="2">
        <v>0.44605324074074076</v>
      </c>
      <c r="D1976" s="2">
        <v>0.45253472222222224</v>
      </c>
    </row>
    <row r="1977" spans="1:4" x14ac:dyDescent="0.25">
      <c r="A1977">
        <v>6943996503</v>
      </c>
      <c r="B1977" s="1">
        <v>42944</v>
      </c>
      <c r="C1977" s="2">
        <v>0.4506134259259259</v>
      </c>
      <c r="D1977" s="2">
        <v>0.45674768518518516</v>
      </c>
    </row>
    <row r="1978" spans="1:4" x14ac:dyDescent="0.25">
      <c r="A1978">
        <v>9547712</v>
      </c>
      <c r="B1978" s="1">
        <v>42944</v>
      </c>
      <c r="C1978" s="2">
        <v>0.45546296296296296</v>
      </c>
      <c r="D1978" s="2">
        <v>0.46259259259259261</v>
      </c>
    </row>
    <row r="1979" spans="1:4" x14ac:dyDescent="0.25">
      <c r="A1979">
        <v>3925701</v>
      </c>
      <c r="B1979" s="1">
        <v>42944</v>
      </c>
      <c r="C1979" s="2">
        <v>0.45756944444444442</v>
      </c>
      <c r="D1979" s="2">
        <v>0.46141203703703704</v>
      </c>
    </row>
    <row r="1980" spans="1:4" x14ac:dyDescent="0.25">
      <c r="A1980">
        <v>97317489</v>
      </c>
      <c r="B1980" s="1">
        <v>42944</v>
      </c>
      <c r="C1980" s="2">
        <v>0.46269675925925924</v>
      </c>
      <c r="D1980" s="2">
        <v>0.46620370370370373</v>
      </c>
    </row>
    <row r="1981" spans="1:4" x14ac:dyDescent="0.25">
      <c r="A1981">
        <v>78009874</v>
      </c>
      <c r="B1981" s="1">
        <v>42944</v>
      </c>
      <c r="C1981" s="2">
        <v>0.46400462962962963</v>
      </c>
      <c r="D1981" s="2">
        <v>0.46545138888888887</v>
      </c>
    </row>
    <row r="1982" spans="1:4" x14ac:dyDescent="0.25">
      <c r="A1982">
        <v>8590206</v>
      </c>
      <c r="B1982" s="1">
        <v>42944</v>
      </c>
      <c r="C1982" s="2">
        <v>0.46763888888888888</v>
      </c>
      <c r="D1982" s="2">
        <v>0.47359953703703705</v>
      </c>
    </row>
    <row r="1983" spans="1:4" x14ac:dyDescent="0.25">
      <c r="A1983">
        <v>7273239</v>
      </c>
      <c r="B1983" s="1">
        <v>42944</v>
      </c>
      <c r="C1983" s="2">
        <v>0.47111111111111109</v>
      </c>
      <c r="D1983" s="2">
        <v>0.48017361111111112</v>
      </c>
    </row>
    <row r="1984" spans="1:4" x14ac:dyDescent="0.25">
      <c r="A1984">
        <v>9975967</v>
      </c>
      <c r="B1984" s="1">
        <v>42944</v>
      </c>
      <c r="C1984" s="2">
        <v>0.47454861111111113</v>
      </c>
      <c r="D1984" s="2">
        <v>0.47562500000000002</v>
      </c>
    </row>
    <row r="1985" spans="1:4" x14ac:dyDescent="0.25">
      <c r="A1985">
        <v>2134315</v>
      </c>
      <c r="B1985" s="1">
        <v>42944</v>
      </c>
      <c r="C1985" s="2">
        <v>0.47733796296296294</v>
      </c>
      <c r="D1985" s="2">
        <v>0.48003472222222221</v>
      </c>
    </row>
    <row r="1986" spans="1:4" x14ac:dyDescent="0.25">
      <c r="A1986">
        <v>6919928</v>
      </c>
      <c r="B1986" s="1">
        <v>42944</v>
      </c>
      <c r="C1986" s="2">
        <v>0.4783101851851852</v>
      </c>
      <c r="D1986" s="2">
        <v>0.48770833333333335</v>
      </c>
    </row>
    <row r="1987" spans="1:4" x14ac:dyDescent="0.25">
      <c r="A1987">
        <v>45081794</v>
      </c>
      <c r="B1987" s="1">
        <v>42944</v>
      </c>
      <c r="C1987" s="2">
        <v>0.47928240740740741</v>
      </c>
      <c r="D1987" s="2">
        <v>0.481875</v>
      </c>
    </row>
    <row r="1988" spans="1:4" x14ac:dyDescent="0.25">
      <c r="A1988">
        <v>1661633</v>
      </c>
      <c r="B1988" s="1">
        <v>42944</v>
      </c>
      <c r="C1988" s="2">
        <v>0.48042824074074075</v>
      </c>
      <c r="D1988" s="2">
        <v>0.48422453703703705</v>
      </c>
    </row>
    <row r="1989" spans="1:4" x14ac:dyDescent="0.25">
      <c r="A1989">
        <v>1639829</v>
      </c>
      <c r="B1989" s="1">
        <v>42944</v>
      </c>
      <c r="C1989" s="2">
        <v>0.4815740740740741</v>
      </c>
      <c r="D1989" s="2">
        <v>0.48802083333333335</v>
      </c>
    </row>
    <row r="1990" spans="1:4" x14ac:dyDescent="0.25">
      <c r="A1990">
        <v>8585321</v>
      </c>
      <c r="B1990" s="1">
        <v>42944</v>
      </c>
      <c r="C1990" s="2">
        <v>0.4836111111111111</v>
      </c>
      <c r="D1990" s="2">
        <v>0.48996527777777776</v>
      </c>
    </row>
    <row r="1991" spans="1:4" x14ac:dyDescent="0.25">
      <c r="A1991">
        <v>1661643168</v>
      </c>
      <c r="B1991" s="1">
        <v>42944</v>
      </c>
      <c r="C1991" s="2">
        <v>0.48609953703703701</v>
      </c>
      <c r="D1991" s="2">
        <v>0.48850694444444442</v>
      </c>
    </row>
    <row r="1992" spans="1:4" x14ac:dyDescent="0.25">
      <c r="A1992">
        <v>5136126</v>
      </c>
      <c r="B1992" s="1">
        <v>42944</v>
      </c>
      <c r="C1992" s="2">
        <v>0.49048611111111112</v>
      </c>
      <c r="D1992" s="2">
        <v>0.49685185185185188</v>
      </c>
    </row>
    <row r="1993" spans="1:4" x14ac:dyDescent="0.25">
      <c r="A1993">
        <v>9747700</v>
      </c>
      <c r="B1993" s="1">
        <v>42944</v>
      </c>
      <c r="C1993" s="2">
        <v>0.49305555555555558</v>
      </c>
      <c r="D1993" s="2">
        <v>0.50435185185185183</v>
      </c>
    </row>
    <row r="1994" spans="1:4" x14ac:dyDescent="0.25">
      <c r="A1994">
        <v>8387594</v>
      </c>
      <c r="B1994" s="1">
        <v>42944</v>
      </c>
      <c r="C1994" s="2">
        <v>0.49401620370370369</v>
      </c>
      <c r="D1994" s="2">
        <v>0.49682870370370369</v>
      </c>
    </row>
    <row r="1995" spans="1:4" x14ac:dyDescent="0.25">
      <c r="A1995">
        <v>65166542</v>
      </c>
      <c r="B1995" s="1">
        <v>42944</v>
      </c>
      <c r="C1995" s="2">
        <v>0.49554398148148149</v>
      </c>
      <c r="D1995" s="2">
        <v>0.49667824074074074</v>
      </c>
    </row>
    <row r="1996" spans="1:4" x14ac:dyDescent="0.25">
      <c r="A1996">
        <v>77607017</v>
      </c>
      <c r="B1996" s="1">
        <v>42944</v>
      </c>
      <c r="C1996" s="2">
        <v>0.49858796296296298</v>
      </c>
      <c r="D1996" s="2">
        <v>0.50891203703703702</v>
      </c>
    </row>
    <row r="1997" spans="1:4" x14ac:dyDescent="0.25">
      <c r="A1997">
        <v>9028434625</v>
      </c>
      <c r="B1997" s="1">
        <v>42944</v>
      </c>
      <c r="C1997" s="2">
        <v>0.50208333333333333</v>
      </c>
      <c r="D1997" s="2">
        <v>0.5110069444444445</v>
      </c>
    </row>
    <row r="1998" spans="1:4" x14ac:dyDescent="0.25">
      <c r="A1998">
        <v>7503173</v>
      </c>
      <c r="B1998" s="1">
        <v>42944</v>
      </c>
      <c r="C1998" s="2">
        <v>0.50390046296296298</v>
      </c>
      <c r="D1998" s="2">
        <v>0.50619212962962967</v>
      </c>
    </row>
    <row r="1999" spans="1:4" x14ac:dyDescent="0.25">
      <c r="A1999">
        <v>9039872</v>
      </c>
      <c r="B1999" s="1">
        <v>42944</v>
      </c>
      <c r="C1999" s="2">
        <v>0.50825231481481481</v>
      </c>
      <c r="D1999" s="2">
        <v>0.5168518518518519</v>
      </c>
    </row>
    <row r="2000" spans="1:4" x14ac:dyDescent="0.25">
      <c r="A2000">
        <v>45940361</v>
      </c>
      <c r="B2000" s="1">
        <v>42944</v>
      </c>
      <c r="C2000" s="2">
        <v>0.50982638888888887</v>
      </c>
      <c r="D2000" s="2">
        <v>0.51537037037037037</v>
      </c>
    </row>
    <row r="2001" spans="1:4" x14ac:dyDescent="0.25">
      <c r="A2001">
        <v>6242177</v>
      </c>
      <c r="B2001" s="1">
        <v>42944</v>
      </c>
      <c r="C2001" s="2">
        <v>0.5138773148148148</v>
      </c>
      <c r="D2001" s="2">
        <v>0.52096064814814813</v>
      </c>
    </row>
    <row r="2002" spans="1:4" x14ac:dyDescent="0.25">
      <c r="A2002">
        <v>60454232</v>
      </c>
      <c r="B2002" s="1">
        <v>42944</v>
      </c>
      <c r="C2002" s="2">
        <v>0.5149421296296296</v>
      </c>
      <c r="D2002" s="2">
        <v>0.5248032407407407</v>
      </c>
    </row>
    <row r="2003" spans="1:4" x14ac:dyDescent="0.25">
      <c r="A2003">
        <v>4060894</v>
      </c>
      <c r="B2003" s="1">
        <v>42944</v>
      </c>
      <c r="C2003" s="2">
        <v>0.51730324074074074</v>
      </c>
      <c r="D2003" s="2">
        <v>0.51848379629629626</v>
      </c>
    </row>
    <row r="2004" spans="1:4" x14ac:dyDescent="0.25">
      <c r="A2004">
        <v>8223406</v>
      </c>
      <c r="B2004" s="1">
        <v>42944</v>
      </c>
      <c r="C2004" s="2">
        <v>0.51908564814814817</v>
      </c>
      <c r="D2004" s="2">
        <v>0.51929398148148154</v>
      </c>
    </row>
    <row r="2005" spans="1:4" x14ac:dyDescent="0.25">
      <c r="A2005">
        <v>43109897</v>
      </c>
      <c r="B2005" s="1">
        <v>42944</v>
      </c>
      <c r="C2005" s="2">
        <v>0.52467592592592593</v>
      </c>
      <c r="D2005" s="2">
        <v>0.53178240740740745</v>
      </c>
    </row>
    <row r="2006" spans="1:4" x14ac:dyDescent="0.25">
      <c r="A2006">
        <v>95805020</v>
      </c>
      <c r="B2006" s="1">
        <v>42944</v>
      </c>
      <c r="C2006" s="2">
        <v>0.52603009259259259</v>
      </c>
      <c r="D2006" s="2">
        <v>0.53304398148148147</v>
      </c>
    </row>
    <row r="2007" spans="1:4" x14ac:dyDescent="0.25">
      <c r="A2007">
        <v>2849439</v>
      </c>
      <c r="B2007" s="1">
        <v>42944</v>
      </c>
      <c r="C2007" s="2">
        <v>0.52813657407407411</v>
      </c>
      <c r="D2007" s="2">
        <v>0.53039351851851857</v>
      </c>
    </row>
    <row r="2008" spans="1:4" x14ac:dyDescent="0.25">
      <c r="A2008">
        <v>9589060</v>
      </c>
      <c r="B2008" s="1">
        <v>42944</v>
      </c>
      <c r="C2008" s="2">
        <v>0.53310185185185188</v>
      </c>
      <c r="D2008" s="2">
        <v>0.53871527777777772</v>
      </c>
    </row>
    <row r="2009" spans="1:4" x14ac:dyDescent="0.25">
      <c r="A2009">
        <v>2603125</v>
      </c>
      <c r="B2009" s="1">
        <v>42944</v>
      </c>
      <c r="C2009" s="2">
        <v>0.53541666666666665</v>
      </c>
      <c r="D2009" s="2">
        <v>0.53666666666666663</v>
      </c>
    </row>
    <row r="2010" spans="1:4" x14ac:dyDescent="0.25">
      <c r="A2010">
        <v>8770898</v>
      </c>
      <c r="B2010" s="1">
        <v>42944</v>
      </c>
      <c r="C2010" s="2">
        <v>0.53773148148148153</v>
      </c>
      <c r="D2010" s="2">
        <v>0.54628472222222224</v>
      </c>
    </row>
    <row r="2011" spans="1:4" x14ac:dyDescent="0.25">
      <c r="A2011">
        <v>3224960</v>
      </c>
      <c r="B2011" s="1">
        <v>42944</v>
      </c>
      <c r="C2011" s="2">
        <v>0.54221064814814812</v>
      </c>
      <c r="D2011" s="2">
        <v>0.54947916666666663</v>
      </c>
    </row>
    <row r="2012" spans="1:4" x14ac:dyDescent="0.25">
      <c r="A2012">
        <v>4150421</v>
      </c>
      <c r="B2012" s="1">
        <v>42944</v>
      </c>
      <c r="C2012" s="2">
        <v>0.54599537037037038</v>
      </c>
      <c r="D2012" s="2">
        <v>0.54759259259259263</v>
      </c>
    </row>
    <row r="2013" spans="1:4" x14ac:dyDescent="0.25">
      <c r="A2013">
        <v>44302763</v>
      </c>
      <c r="B2013" s="1">
        <v>42944</v>
      </c>
      <c r="C2013" s="2">
        <v>0.54905092592592597</v>
      </c>
      <c r="D2013" s="2">
        <v>0.55343750000000003</v>
      </c>
    </row>
    <row r="2014" spans="1:4" x14ac:dyDescent="0.25">
      <c r="A2014">
        <v>1922212</v>
      </c>
      <c r="B2014" s="1">
        <v>42944</v>
      </c>
      <c r="C2014" s="2">
        <v>0.55334490740740738</v>
      </c>
      <c r="D2014" s="2">
        <v>0.56339120370370366</v>
      </c>
    </row>
    <row r="2015" spans="1:4" x14ac:dyDescent="0.25">
      <c r="A2015">
        <v>9603024</v>
      </c>
      <c r="B2015" s="1">
        <v>42944</v>
      </c>
      <c r="C2015" s="2">
        <v>0.55806712962962968</v>
      </c>
      <c r="D2015" s="2">
        <v>0.55923611111111116</v>
      </c>
    </row>
    <row r="2016" spans="1:4" x14ac:dyDescent="0.25">
      <c r="A2016">
        <v>1640513</v>
      </c>
      <c r="B2016" s="1">
        <v>42944</v>
      </c>
      <c r="C2016" s="2">
        <v>0.56162037037037038</v>
      </c>
      <c r="D2016" s="2">
        <v>0.56876157407407413</v>
      </c>
    </row>
    <row r="2017" spans="1:4" x14ac:dyDescent="0.25">
      <c r="A2017">
        <v>16592072</v>
      </c>
      <c r="B2017" s="1">
        <v>42944</v>
      </c>
      <c r="C2017" s="2">
        <v>0.56673611111111111</v>
      </c>
      <c r="D2017" s="2">
        <v>0.57725694444444442</v>
      </c>
    </row>
    <row r="2018" spans="1:4" x14ac:dyDescent="0.25">
      <c r="A2018">
        <v>4895290</v>
      </c>
      <c r="B2018" s="1">
        <v>42944</v>
      </c>
      <c r="C2018" s="2">
        <v>0.56821759259259264</v>
      </c>
      <c r="D2018" s="2">
        <v>0.5773611111111111</v>
      </c>
    </row>
    <row r="2019" spans="1:4" x14ac:dyDescent="0.25">
      <c r="A2019">
        <v>5277660</v>
      </c>
      <c r="B2019" s="1">
        <v>42944</v>
      </c>
      <c r="C2019" s="2">
        <v>0.57050925925925922</v>
      </c>
      <c r="D2019" s="2">
        <v>0.58049768518518519</v>
      </c>
    </row>
    <row r="2020" spans="1:4" x14ac:dyDescent="0.25">
      <c r="A2020">
        <v>8715278</v>
      </c>
      <c r="B2020" s="1">
        <v>42944</v>
      </c>
      <c r="C2020" s="2">
        <v>0.57146990740740744</v>
      </c>
      <c r="D2020" s="2">
        <v>0.57642361111111107</v>
      </c>
    </row>
    <row r="2021" spans="1:4" x14ac:dyDescent="0.25">
      <c r="A2021">
        <v>1462418</v>
      </c>
      <c r="B2021" s="1">
        <v>42944</v>
      </c>
      <c r="C2021" s="2">
        <v>0.57186342592592587</v>
      </c>
      <c r="D2021" s="2">
        <v>0.57379629629629625</v>
      </c>
    </row>
    <row r="2022" spans="1:4" x14ac:dyDescent="0.25">
      <c r="A2022">
        <v>8077806</v>
      </c>
      <c r="B2022" s="1">
        <v>42944</v>
      </c>
      <c r="C2022" s="2">
        <v>0.57629629629629631</v>
      </c>
      <c r="D2022" s="2">
        <v>0.58628472222222228</v>
      </c>
    </row>
    <row r="2023" spans="1:4" x14ac:dyDescent="0.25">
      <c r="A2023">
        <v>5759409</v>
      </c>
      <c r="B2023" s="1">
        <v>42944</v>
      </c>
      <c r="C2023" s="2">
        <v>0.57835648148148144</v>
      </c>
      <c r="D2023" s="2">
        <v>0.58644675925925926</v>
      </c>
    </row>
    <row r="2024" spans="1:4" x14ac:dyDescent="0.25">
      <c r="A2024">
        <v>6257971</v>
      </c>
      <c r="B2024" s="1">
        <v>42944</v>
      </c>
      <c r="C2024" s="2">
        <v>0.58331018518518518</v>
      </c>
      <c r="D2024" s="2">
        <v>0.58539351851851851</v>
      </c>
    </row>
    <row r="2025" spans="1:4" x14ac:dyDescent="0.25">
      <c r="A2025">
        <v>91129571</v>
      </c>
      <c r="B2025" s="1">
        <v>42944</v>
      </c>
      <c r="C2025" s="2">
        <v>0.58353009259259259</v>
      </c>
      <c r="D2025" s="2">
        <v>0.58950231481481485</v>
      </c>
    </row>
    <row r="2026" spans="1:4" x14ac:dyDescent="0.25">
      <c r="A2026">
        <v>6884037</v>
      </c>
      <c r="B2026" s="1">
        <v>42944</v>
      </c>
      <c r="C2026" s="2">
        <v>0.58892361111111113</v>
      </c>
      <c r="D2026" s="2">
        <v>0.59381944444444446</v>
      </c>
    </row>
    <row r="2027" spans="1:4" x14ac:dyDescent="0.25">
      <c r="A2027">
        <v>6657074</v>
      </c>
      <c r="B2027" s="1">
        <v>42944</v>
      </c>
      <c r="C2027" s="2">
        <v>0.59035879629629628</v>
      </c>
      <c r="D2027" s="2">
        <v>0.5992939814814815</v>
      </c>
    </row>
    <row r="2028" spans="1:4" x14ac:dyDescent="0.25">
      <c r="A2028">
        <v>2211277198</v>
      </c>
      <c r="B2028" s="1">
        <v>42944</v>
      </c>
      <c r="C2028" s="2">
        <v>0.59439814814814818</v>
      </c>
      <c r="D2028" s="2">
        <v>0.60048611111111116</v>
      </c>
    </row>
    <row r="2029" spans="1:4" x14ac:dyDescent="0.25">
      <c r="A2029">
        <v>26766818</v>
      </c>
      <c r="B2029" s="1">
        <v>42944</v>
      </c>
      <c r="C2029" s="2">
        <v>0.59788194444444442</v>
      </c>
      <c r="D2029" s="2">
        <v>0.60576388888888888</v>
      </c>
    </row>
    <row r="2030" spans="1:4" x14ac:dyDescent="0.25">
      <c r="A2030">
        <v>4473835</v>
      </c>
      <c r="B2030" s="1">
        <v>42944</v>
      </c>
      <c r="C2030" s="2">
        <v>0.60322916666666671</v>
      </c>
      <c r="D2030" s="2">
        <v>0.60628472222222218</v>
      </c>
    </row>
    <row r="2031" spans="1:4" x14ac:dyDescent="0.25">
      <c r="A2031">
        <v>9941776</v>
      </c>
      <c r="B2031" s="1">
        <v>42944</v>
      </c>
      <c r="C2031" s="2">
        <v>0.60745370370370366</v>
      </c>
      <c r="D2031" s="2">
        <v>0.61017361111111112</v>
      </c>
    </row>
    <row r="2032" spans="1:4" x14ac:dyDescent="0.25">
      <c r="A2032">
        <v>9045402</v>
      </c>
      <c r="B2032" s="1">
        <v>42944</v>
      </c>
      <c r="C2032" s="2">
        <v>0.61322916666666671</v>
      </c>
      <c r="D2032" s="2">
        <v>0.62153935185185183</v>
      </c>
    </row>
    <row r="2033" spans="1:4" x14ac:dyDescent="0.25">
      <c r="A2033">
        <v>7662302259</v>
      </c>
      <c r="B2033" s="1">
        <v>42944</v>
      </c>
      <c r="C2033" s="2">
        <v>0.61570601851851847</v>
      </c>
      <c r="D2033" s="2">
        <v>0.62429398148148152</v>
      </c>
    </row>
    <row r="2034" spans="1:4" x14ac:dyDescent="0.25">
      <c r="A2034">
        <v>2756059784</v>
      </c>
      <c r="B2034" s="1">
        <v>42944</v>
      </c>
      <c r="C2034" s="2">
        <v>0.61962962962962964</v>
      </c>
      <c r="D2034" s="2">
        <v>0.62399305555555551</v>
      </c>
    </row>
    <row r="2035" spans="1:4" x14ac:dyDescent="0.25">
      <c r="A2035">
        <v>8667012</v>
      </c>
      <c r="B2035" s="1">
        <v>42944</v>
      </c>
      <c r="C2035" s="2">
        <v>0.62204861111111109</v>
      </c>
      <c r="D2035" s="2">
        <v>0.62440972222222224</v>
      </c>
    </row>
    <row r="2036" spans="1:4" x14ac:dyDescent="0.25">
      <c r="A2036">
        <v>34964547</v>
      </c>
      <c r="B2036" s="1">
        <v>42944</v>
      </c>
      <c r="C2036" s="2">
        <v>0.62502314814814819</v>
      </c>
      <c r="D2036" s="2">
        <v>0.63574074074074072</v>
      </c>
    </row>
    <row r="2037" spans="1:4" x14ac:dyDescent="0.25">
      <c r="A2037">
        <v>9357185</v>
      </c>
      <c r="B2037" s="1">
        <v>42947</v>
      </c>
      <c r="C2037" s="2">
        <v>0.3342013888888889</v>
      </c>
      <c r="D2037" s="2">
        <v>0.34159722222222222</v>
      </c>
    </row>
    <row r="2038" spans="1:4" x14ac:dyDescent="0.25">
      <c r="A2038">
        <v>12471534</v>
      </c>
      <c r="B2038" s="1">
        <v>42947</v>
      </c>
      <c r="C2038" s="2">
        <v>0.33929398148148149</v>
      </c>
      <c r="D2038" s="2">
        <v>0.34349537037037037</v>
      </c>
    </row>
    <row r="2039" spans="1:4" x14ac:dyDescent="0.25">
      <c r="A2039">
        <v>1003402</v>
      </c>
      <c r="B2039" s="1">
        <v>42947</v>
      </c>
      <c r="C2039" s="2">
        <v>0.34378472222222223</v>
      </c>
      <c r="D2039" s="2">
        <v>0.34677083333333331</v>
      </c>
    </row>
    <row r="2040" spans="1:4" x14ac:dyDescent="0.25">
      <c r="A2040">
        <v>4509550</v>
      </c>
      <c r="B2040" s="1">
        <v>42947</v>
      </c>
      <c r="C2040" s="2">
        <v>0.34609953703703705</v>
      </c>
      <c r="D2040" s="2">
        <v>0.35118055555555555</v>
      </c>
    </row>
    <row r="2041" spans="1:4" x14ac:dyDescent="0.25">
      <c r="A2041">
        <v>5356824</v>
      </c>
      <c r="B2041" s="1">
        <v>42947</v>
      </c>
      <c r="C2041" s="2">
        <v>0.35167824074074072</v>
      </c>
      <c r="D2041" s="2">
        <v>0.35538194444444443</v>
      </c>
    </row>
    <row r="2042" spans="1:4" x14ac:dyDescent="0.25">
      <c r="A2042">
        <v>4293872</v>
      </c>
      <c r="B2042" s="1">
        <v>42947</v>
      </c>
      <c r="C2042" s="2">
        <v>0.35333333333333333</v>
      </c>
      <c r="D2042" s="2">
        <v>0.35844907407407406</v>
      </c>
    </row>
    <row r="2043" spans="1:4" x14ac:dyDescent="0.25">
      <c r="A2043">
        <v>5086182</v>
      </c>
      <c r="B2043" s="1">
        <v>42947</v>
      </c>
      <c r="C2043" s="2">
        <v>0.35793981481481479</v>
      </c>
      <c r="D2043" s="2">
        <v>0.36571759259259257</v>
      </c>
    </row>
    <row r="2044" spans="1:4" x14ac:dyDescent="0.25">
      <c r="A2044">
        <v>6175467</v>
      </c>
      <c r="B2044" s="1">
        <v>42947</v>
      </c>
      <c r="C2044" s="2">
        <v>0.35976851851851854</v>
      </c>
      <c r="D2044" s="2">
        <v>0.36883101851851852</v>
      </c>
    </row>
    <row r="2045" spans="1:4" x14ac:dyDescent="0.25">
      <c r="A2045">
        <v>2107985</v>
      </c>
      <c r="B2045" s="1">
        <v>42947</v>
      </c>
      <c r="C2045" s="2">
        <v>0.36394675925925923</v>
      </c>
      <c r="D2045" s="2">
        <v>0.37373842592592593</v>
      </c>
    </row>
    <row r="2046" spans="1:4" x14ac:dyDescent="0.25">
      <c r="A2046">
        <v>9388066</v>
      </c>
      <c r="B2046" s="1">
        <v>42947</v>
      </c>
      <c r="C2046" s="2">
        <v>0.36552083333333335</v>
      </c>
      <c r="D2046" s="2">
        <v>0.3696990740740741</v>
      </c>
    </row>
    <row r="2047" spans="1:4" x14ac:dyDescent="0.25">
      <c r="A2047">
        <v>4614100</v>
      </c>
      <c r="B2047" s="1">
        <v>42947</v>
      </c>
      <c r="C2047" s="2">
        <v>0.36776620370370372</v>
      </c>
      <c r="D2047" s="2">
        <v>0.37584490740740739</v>
      </c>
    </row>
    <row r="2048" spans="1:4" x14ac:dyDescent="0.25">
      <c r="A2048">
        <v>8279741</v>
      </c>
      <c r="B2048" s="1">
        <v>42947</v>
      </c>
      <c r="C2048" s="2">
        <v>0.37170138888888887</v>
      </c>
      <c r="D2048" s="2">
        <v>0.38305555555555554</v>
      </c>
    </row>
    <row r="2049" spans="1:4" x14ac:dyDescent="0.25">
      <c r="A2049">
        <v>9564752674</v>
      </c>
      <c r="B2049" s="1">
        <v>42947</v>
      </c>
      <c r="C2049" s="2">
        <v>0.37239583333333331</v>
      </c>
      <c r="D2049" s="2">
        <v>0.37680555555555556</v>
      </c>
    </row>
    <row r="2050" spans="1:4" x14ac:dyDescent="0.25">
      <c r="A2050">
        <v>1451455</v>
      </c>
      <c r="B2050" s="1">
        <v>42947</v>
      </c>
      <c r="C2050" s="2">
        <v>0.37714120370370369</v>
      </c>
      <c r="D2050" s="2">
        <v>0.38119212962962962</v>
      </c>
    </row>
    <row r="2051" spans="1:4" x14ac:dyDescent="0.25">
      <c r="A2051">
        <v>8156713</v>
      </c>
      <c r="B2051" s="1">
        <v>42947</v>
      </c>
      <c r="C2051" s="2">
        <v>0.38130787037037039</v>
      </c>
      <c r="D2051" s="2">
        <v>0.38280092592592591</v>
      </c>
    </row>
    <row r="2052" spans="1:4" x14ac:dyDescent="0.25">
      <c r="A2052">
        <v>24024164</v>
      </c>
      <c r="B2052" s="1">
        <v>42947</v>
      </c>
      <c r="C2052" s="2">
        <v>0.38135416666666666</v>
      </c>
      <c r="D2052" s="2">
        <v>0.38210648148148146</v>
      </c>
    </row>
    <row r="2053" spans="1:4" x14ac:dyDescent="0.25">
      <c r="A2053">
        <v>75122204</v>
      </c>
      <c r="B2053" s="1">
        <v>42947</v>
      </c>
      <c r="C2053" s="2">
        <v>0.38641203703703703</v>
      </c>
      <c r="D2053" s="2">
        <v>0.39549768518518519</v>
      </c>
    </row>
    <row r="2054" spans="1:4" x14ac:dyDescent="0.25">
      <c r="A2054">
        <v>33166727</v>
      </c>
      <c r="B2054" s="1">
        <v>42947</v>
      </c>
      <c r="C2054" s="2">
        <v>0.38927083333333334</v>
      </c>
      <c r="D2054" s="2">
        <v>0.39721064814814816</v>
      </c>
    </row>
    <row r="2055" spans="1:4" x14ac:dyDescent="0.25">
      <c r="A2055">
        <v>4293872</v>
      </c>
      <c r="B2055" s="1">
        <v>42947</v>
      </c>
      <c r="C2055" s="2">
        <v>0.39023148148148146</v>
      </c>
      <c r="D2055" s="2">
        <v>0.39748842592592593</v>
      </c>
    </row>
    <row r="2056" spans="1:4" x14ac:dyDescent="0.25">
      <c r="A2056">
        <v>3017523</v>
      </c>
      <c r="B2056" s="1">
        <v>42947</v>
      </c>
      <c r="C2056" s="2">
        <v>0.3934259259259259</v>
      </c>
      <c r="D2056" s="2">
        <v>0.40181712962962962</v>
      </c>
    </row>
    <row r="2057" spans="1:4" x14ac:dyDescent="0.25">
      <c r="A2057">
        <v>5087484</v>
      </c>
      <c r="B2057" s="1">
        <v>42947</v>
      </c>
      <c r="C2057" s="2">
        <v>0.39766203703703706</v>
      </c>
      <c r="D2057" s="2">
        <v>0.39957175925925925</v>
      </c>
    </row>
    <row r="2058" spans="1:4" x14ac:dyDescent="0.25">
      <c r="A2058">
        <v>47615054</v>
      </c>
      <c r="B2058" s="1">
        <v>42947</v>
      </c>
      <c r="C2058" s="2">
        <v>0.39878472222222222</v>
      </c>
      <c r="D2058" s="2">
        <v>0.40041666666666664</v>
      </c>
    </row>
    <row r="2059" spans="1:4" x14ac:dyDescent="0.25">
      <c r="A2059">
        <v>7775602353</v>
      </c>
      <c r="B2059" s="1">
        <v>42947</v>
      </c>
      <c r="C2059" s="2">
        <v>0.40313657407407405</v>
      </c>
      <c r="D2059" s="2">
        <v>0.40773148148148147</v>
      </c>
    </row>
    <row r="2060" spans="1:4" x14ac:dyDescent="0.25">
      <c r="A2060">
        <v>9533304954</v>
      </c>
      <c r="B2060" s="1">
        <v>42947</v>
      </c>
      <c r="C2060" s="2">
        <v>0.40328703703703705</v>
      </c>
      <c r="D2060" s="2">
        <v>0.41405092592592591</v>
      </c>
    </row>
    <row r="2061" spans="1:4" x14ac:dyDescent="0.25">
      <c r="A2061">
        <v>5147651</v>
      </c>
      <c r="B2061" s="1">
        <v>42947</v>
      </c>
      <c r="C2061" s="2">
        <v>0.40497685185185184</v>
      </c>
      <c r="D2061" s="2">
        <v>0.41167824074074072</v>
      </c>
    </row>
    <row r="2062" spans="1:4" x14ac:dyDescent="0.25">
      <c r="A2062">
        <v>7564861</v>
      </c>
      <c r="B2062" s="1">
        <v>42947</v>
      </c>
      <c r="C2062" s="2">
        <v>0.40725694444444444</v>
      </c>
      <c r="D2062" s="2">
        <v>0.41819444444444442</v>
      </c>
    </row>
    <row r="2063" spans="1:4" x14ac:dyDescent="0.25">
      <c r="A2063">
        <v>8163790</v>
      </c>
      <c r="B2063" s="1">
        <v>42947</v>
      </c>
      <c r="C2063" s="2">
        <v>0.40787037037037038</v>
      </c>
      <c r="D2063" s="2">
        <v>0.40846064814814814</v>
      </c>
    </row>
    <row r="2064" spans="1:4" x14ac:dyDescent="0.25">
      <c r="A2064">
        <v>37930610</v>
      </c>
      <c r="B2064" s="1">
        <v>42947</v>
      </c>
      <c r="C2064" s="2">
        <v>0.41334490740740742</v>
      </c>
      <c r="D2064" s="2">
        <v>0.4239236111111111</v>
      </c>
    </row>
    <row r="2065" spans="1:4" x14ac:dyDescent="0.25">
      <c r="A2065">
        <v>7518300</v>
      </c>
      <c r="B2065" s="1">
        <v>42947</v>
      </c>
      <c r="C2065" s="2">
        <v>0.41337962962962965</v>
      </c>
      <c r="D2065" s="2">
        <v>0.41743055555555558</v>
      </c>
    </row>
    <row r="2066" spans="1:4" x14ac:dyDescent="0.25">
      <c r="A2066">
        <v>9233918039</v>
      </c>
      <c r="B2066" s="1">
        <v>42947</v>
      </c>
      <c r="C2066" s="2">
        <v>0.41523148148148148</v>
      </c>
      <c r="D2066" s="2">
        <v>0.42322916666666666</v>
      </c>
    </row>
    <row r="2067" spans="1:4" x14ac:dyDescent="0.25">
      <c r="A2067">
        <v>5744555</v>
      </c>
      <c r="B2067" s="1">
        <v>42947</v>
      </c>
      <c r="C2067" s="2">
        <v>0.41841435185185183</v>
      </c>
      <c r="D2067" s="2">
        <v>0.42677083333333332</v>
      </c>
    </row>
    <row r="2068" spans="1:4" x14ac:dyDescent="0.25">
      <c r="A2068">
        <v>17005785</v>
      </c>
      <c r="B2068" s="1">
        <v>42947</v>
      </c>
      <c r="C2068" s="2">
        <v>0.41873842592592592</v>
      </c>
      <c r="D2068" s="2">
        <v>0.42502314814814812</v>
      </c>
    </row>
    <row r="2069" spans="1:4" x14ac:dyDescent="0.25">
      <c r="A2069">
        <v>35281950</v>
      </c>
      <c r="B2069" s="1">
        <v>42947</v>
      </c>
      <c r="C2069" s="2">
        <v>0.41952546296296295</v>
      </c>
      <c r="D2069" s="2">
        <v>0.42105324074074074</v>
      </c>
    </row>
    <row r="2070" spans="1:4" x14ac:dyDescent="0.25">
      <c r="A2070">
        <v>54840810</v>
      </c>
      <c r="B2070" s="1">
        <v>42947</v>
      </c>
      <c r="C2070" s="2">
        <v>0.4211111111111111</v>
      </c>
      <c r="D2070" s="2">
        <v>0.42442129629629627</v>
      </c>
    </row>
    <row r="2071" spans="1:4" x14ac:dyDescent="0.25">
      <c r="A2071">
        <v>3236046</v>
      </c>
      <c r="B2071" s="1">
        <v>42947</v>
      </c>
      <c r="C2071" s="2">
        <v>0.42247685185185185</v>
      </c>
      <c r="D2071" s="2">
        <v>0.4268865740740741</v>
      </c>
    </row>
    <row r="2072" spans="1:4" x14ac:dyDescent="0.25">
      <c r="A2072">
        <v>20149106</v>
      </c>
      <c r="B2072" s="1">
        <v>42947</v>
      </c>
      <c r="C2072" s="2">
        <v>0.42586805555555557</v>
      </c>
      <c r="D2072" s="2">
        <v>0.42711805555555554</v>
      </c>
    </row>
    <row r="2073" spans="1:4" x14ac:dyDescent="0.25">
      <c r="A2073">
        <v>6124638</v>
      </c>
      <c r="B2073" s="1">
        <v>42947</v>
      </c>
      <c r="C2073" s="2">
        <v>0.43162037037037038</v>
      </c>
      <c r="D2073" s="2">
        <v>0.44153935185185184</v>
      </c>
    </row>
    <row r="2074" spans="1:4" x14ac:dyDescent="0.25">
      <c r="A2074">
        <v>1090396060</v>
      </c>
      <c r="B2074" s="1">
        <v>42947</v>
      </c>
      <c r="C2074" s="2">
        <v>0.43663194444444442</v>
      </c>
      <c r="D2074" s="2">
        <v>0.43993055555555555</v>
      </c>
    </row>
    <row r="2075" spans="1:4" x14ac:dyDescent="0.25">
      <c r="A2075">
        <v>9355422</v>
      </c>
      <c r="B2075" s="1">
        <v>42947</v>
      </c>
      <c r="C2075" s="2">
        <v>0.43686342592592592</v>
      </c>
      <c r="D2075" s="2">
        <v>0.44393518518518521</v>
      </c>
    </row>
    <row r="2076" spans="1:4" x14ac:dyDescent="0.25">
      <c r="A2076">
        <v>9950462</v>
      </c>
      <c r="B2076" s="1">
        <v>42947</v>
      </c>
      <c r="C2076" s="2">
        <v>0.44243055555555555</v>
      </c>
      <c r="D2076" s="2">
        <v>0.45349537037037035</v>
      </c>
    </row>
    <row r="2077" spans="1:4" x14ac:dyDescent="0.25">
      <c r="A2077">
        <v>2474506</v>
      </c>
      <c r="B2077" s="1">
        <v>42947</v>
      </c>
      <c r="C2077" s="2">
        <v>0.44802083333333331</v>
      </c>
      <c r="D2077" s="2">
        <v>0.45892361111111113</v>
      </c>
    </row>
    <row r="2078" spans="1:4" x14ac:dyDescent="0.25">
      <c r="A2078">
        <v>2462682</v>
      </c>
      <c r="B2078" s="1">
        <v>42947</v>
      </c>
      <c r="C2078" s="2">
        <v>0.45243055555555556</v>
      </c>
      <c r="D2078" s="2">
        <v>0.45275462962962965</v>
      </c>
    </row>
    <row r="2079" spans="1:4" x14ac:dyDescent="0.25">
      <c r="A2079">
        <v>8159788</v>
      </c>
      <c r="B2079" s="1">
        <v>42947</v>
      </c>
      <c r="C2079" s="2">
        <v>0.45399305555555558</v>
      </c>
      <c r="D2079" s="2">
        <v>0.46392361111111113</v>
      </c>
    </row>
    <row r="2080" spans="1:4" x14ac:dyDescent="0.25">
      <c r="A2080">
        <v>8802222</v>
      </c>
      <c r="B2080" s="1">
        <v>42947</v>
      </c>
      <c r="C2080" s="2">
        <v>0.4572222222222222</v>
      </c>
      <c r="D2080" s="2">
        <v>0.45910879629629631</v>
      </c>
    </row>
    <row r="2081" spans="1:4" x14ac:dyDescent="0.25">
      <c r="A2081">
        <v>6384230</v>
      </c>
      <c r="B2081" s="1">
        <v>42947</v>
      </c>
      <c r="C2081" s="2">
        <v>0.45846064814814813</v>
      </c>
      <c r="D2081" s="2">
        <v>0.46900462962962963</v>
      </c>
    </row>
    <row r="2082" spans="1:4" x14ac:dyDescent="0.25">
      <c r="A2082">
        <v>48676568</v>
      </c>
      <c r="B2082" s="1">
        <v>42947</v>
      </c>
      <c r="C2082" s="2">
        <v>0.45945601851851853</v>
      </c>
      <c r="D2082" s="2">
        <v>0.46525462962962966</v>
      </c>
    </row>
    <row r="2083" spans="1:4" x14ac:dyDescent="0.25">
      <c r="A2083">
        <v>3691457</v>
      </c>
      <c r="B2083" s="1">
        <v>42947</v>
      </c>
      <c r="C2083" s="2">
        <v>0.46119212962962963</v>
      </c>
      <c r="D2083" s="2">
        <v>0.4725347222222222</v>
      </c>
    </row>
    <row r="2084" spans="1:4" x14ac:dyDescent="0.25">
      <c r="A2084">
        <v>3263854</v>
      </c>
      <c r="B2084" s="1">
        <v>42947</v>
      </c>
      <c r="C2084" s="2">
        <v>0.46311342592592591</v>
      </c>
      <c r="D2084" s="2">
        <v>0.46394675925925927</v>
      </c>
    </row>
    <row r="2085" spans="1:4" x14ac:dyDescent="0.25">
      <c r="A2085">
        <v>8489588</v>
      </c>
      <c r="B2085" s="1">
        <v>42947</v>
      </c>
      <c r="C2085" s="2">
        <v>0.46803240740740742</v>
      </c>
      <c r="D2085" s="2">
        <v>0.47423611111111114</v>
      </c>
    </row>
    <row r="2086" spans="1:4" x14ac:dyDescent="0.25">
      <c r="A2086">
        <v>57211290</v>
      </c>
      <c r="B2086" s="1">
        <v>42947</v>
      </c>
      <c r="C2086" s="2">
        <v>0.46987268518518521</v>
      </c>
      <c r="D2086" s="2">
        <v>0.47664351851851849</v>
      </c>
    </row>
    <row r="2087" spans="1:4" x14ac:dyDescent="0.25">
      <c r="A2087">
        <v>67748426</v>
      </c>
      <c r="B2087" s="1">
        <v>42947</v>
      </c>
      <c r="C2087" s="2">
        <v>0.47158564814814813</v>
      </c>
      <c r="D2087" s="2">
        <v>0.47471064814814817</v>
      </c>
    </row>
    <row r="2088" spans="1:4" x14ac:dyDescent="0.25">
      <c r="A2088">
        <v>7225111</v>
      </c>
      <c r="B2088" s="1">
        <v>42947</v>
      </c>
      <c r="C2088" s="2">
        <v>0.47314814814814815</v>
      </c>
      <c r="D2088" s="2">
        <v>0.47643518518518518</v>
      </c>
    </row>
    <row r="2089" spans="1:4" x14ac:dyDescent="0.25">
      <c r="A2089">
        <v>5418543</v>
      </c>
      <c r="B2089" s="1">
        <v>42947</v>
      </c>
      <c r="C2089" s="2">
        <v>0.47315972222222225</v>
      </c>
      <c r="D2089" s="2">
        <v>0.47687499999999999</v>
      </c>
    </row>
    <row r="2090" spans="1:4" x14ac:dyDescent="0.25">
      <c r="A2090">
        <v>6439414</v>
      </c>
      <c r="B2090" s="1">
        <v>42947</v>
      </c>
      <c r="C2090" s="2">
        <v>0.47349537037037037</v>
      </c>
      <c r="D2090" s="2">
        <v>0.47881944444444446</v>
      </c>
    </row>
    <row r="2091" spans="1:4" x14ac:dyDescent="0.25">
      <c r="A2091">
        <v>3478173</v>
      </c>
      <c r="B2091" s="1">
        <v>42947</v>
      </c>
      <c r="C2091" s="2">
        <v>0.47357638888888887</v>
      </c>
      <c r="D2091" s="2">
        <v>0.47564814814814815</v>
      </c>
    </row>
    <row r="2092" spans="1:4" x14ac:dyDescent="0.25">
      <c r="A2092">
        <v>3691457</v>
      </c>
      <c r="B2092" s="1">
        <v>42947</v>
      </c>
      <c r="C2092" s="2">
        <v>0.47366898148148145</v>
      </c>
      <c r="D2092" s="2">
        <v>0.48020833333333335</v>
      </c>
    </row>
    <row r="2093" spans="1:4" x14ac:dyDescent="0.25">
      <c r="A2093">
        <v>6717763</v>
      </c>
      <c r="B2093" s="1">
        <v>42947</v>
      </c>
      <c r="C2093" s="2">
        <v>0.47851851851851851</v>
      </c>
      <c r="D2093" s="2">
        <v>0.48517361111111112</v>
      </c>
    </row>
    <row r="2094" spans="1:4" x14ac:dyDescent="0.25">
      <c r="A2094">
        <v>61228399</v>
      </c>
      <c r="B2094" s="1">
        <v>42947</v>
      </c>
      <c r="C2094" s="2">
        <v>0.48053240740740738</v>
      </c>
      <c r="D2094" s="2">
        <v>0.48828703703703702</v>
      </c>
    </row>
    <row r="2095" spans="1:4" x14ac:dyDescent="0.25">
      <c r="A2095">
        <v>9282166</v>
      </c>
      <c r="B2095" s="1">
        <v>42947</v>
      </c>
      <c r="C2095" s="2">
        <v>0.48141203703703705</v>
      </c>
      <c r="D2095" s="2">
        <v>0.49063657407407407</v>
      </c>
    </row>
    <row r="2096" spans="1:4" x14ac:dyDescent="0.25">
      <c r="A2096">
        <v>6426246</v>
      </c>
      <c r="B2096" s="1">
        <v>42947</v>
      </c>
      <c r="C2096" s="2">
        <v>0.48174768518518518</v>
      </c>
      <c r="D2096" s="2">
        <v>0.48682870370370368</v>
      </c>
    </row>
    <row r="2097" spans="1:4" x14ac:dyDescent="0.25">
      <c r="A2097">
        <v>8585321</v>
      </c>
      <c r="B2097" s="1">
        <v>42947</v>
      </c>
      <c r="C2097" s="2">
        <v>0.48424768518518518</v>
      </c>
      <c r="D2097" s="2">
        <v>0.48873842592592592</v>
      </c>
    </row>
    <row r="2098" spans="1:4" x14ac:dyDescent="0.25">
      <c r="A2098">
        <v>9791237</v>
      </c>
      <c r="B2098" s="1">
        <v>42947</v>
      </c>
      <c r="C2098" s="2">
        <v>0.48635416666666664</v>
      </c>
      <c r="D2098" s="2">
        <v>0.49025462962962962</v>
      </c>
    </row>
    <row r="2099" spans="1:4" x14ac:dyDescent="0.25">
      <c r="A2099">
        <v>1830251</v>
      </c>
      <c r="B2099" s="1">
        <v>42947</v>
      </c>
      <c r="C2099" s="2">
        <v>0.48893518518518519</v>
      </c>
      <c r="D2099" s="2">
        <v>0.49787037037037035</v>
      </c>
    </row>
    <row r="2100" spans="1:4" x14ac:dyDescent="0.25">
      <c r="A2100">
        <v>42603700</v>
      </c>
      <c r="B2100" s="1">
        <v>42947</v>
      </c>
      <c r="C2100" s="2">
        <v>0.49409722222222224</v>
      </c>
      <c r="D2100" s="2">
        <v>0.50521990740740741</v>
      </c>
    </row>
    <row r="2101" spans="1:4" x14ac:dyDescent="0.25">
      <c r="A2101">
        <v>3983714</v>
      </c>
      <c r="B2101" s="1">
        <v>42947</v>
      </c>
      <c r="C2101" s="2">
        <v>0.49849537037037039</v>
      </c>
      <c r="D2101" s="2">
        <v>0.5092592592592593</v>
      </c>
    </row>
    <row r="2102" spans="1:4" x14ac:dyDescent="0.25">
      <c r="A2102">
        <v>4520226</v>
      </c>
      <c r="B2102" s="1">
        <v>42947</v>
      </c>
      <c r="C2102" s="2">
        <v>0.49903935185185183</v>
      </c>
      <c r="D2102" s="2">
        <v>0.51059027777777777</v>
      </c>
    </row>
    <row r="2103" spans="1:4" x14ac:dyDescent="0.25">
      <c r="A2103">
        <v>6999348</v>
      </c>
      <c r="B2103" s="1">
        <v>42947</v>
      </c>
      <c r="C2103" s="2">
        <v>0.50065972222222221</v>
      </c>
      <c r="D2103" s="2">
        <v>0.50898148148148148</v>
      </c>
    </row>
    <row r="2104" spans="1:4" x14ac:dyDescent="0.25">
      <c r="A2104">
        <v>3767866</v>
      </c>
      <c r="B2104" s="1">
        <v>42947</v>
      </c>
      <c r="C2104" s="2">
        <v>0.5040972222222222</v>
      </c>
      <c r="D2104" s="2">
        <v>0.50971064814814815</v>
      </c>
    </row>
    <row r="2105" spans="1:4" x14ac:dyDescent="0.25">
      <c r="A2105">
        <v>49342013</v>
      </c>
      <c r="B2105" s="1">
        <v>42947</v>
      </c>
      <c r="C2105" s="2">
        <v>0.50410879629629635</v>
      </c>
      <c r="D2105" s="2">
        <v>0.50539351851851855</v>
      </c>
    </row>
    <row r="2106" spans="1:4" x14ac:dyDescent="0.25">
      <c r="A2106">
        <v>6051341</v>
      </c>
      <c r="B2106" s="1">
        <v>42947</v>
      </c>
      <c r="C2106" s="2">
        <v>0.50980324074074079</v>
      </c>
      <c r="D2106" s="2">
        <v>0.51123842592592594</v>
      </c>
    </row>
    <row r="2107" spans="1:4" x14ac:dyDescent="0.25">
      <c r="A2107">
        <v>4326245</v>
      </c>
      <c r="B2107" s="1">
        <v>42947</v>
      </c>
      <c r="C2107" s="2">
        <v>0.51331018518518523</v>
      </c>
      <c r="D2107" s="2">
        <v>0.51490740740740737</v>
      </c>
    </row>
    <row r="2108" spans="1:4" x14ac:dyDescent="0.25">
      <c r="A2108">
        <v>5356378</v>
      </c>
      <c r="B2108" s="1">
        <v>42947</v>
      </c>
      <c r="C2108" s="2">
        <v>0.51811342592592591</v>
      </c>
      <c r="D2108" s="2">
        <v>0.51965277777777774</v>
      </c>
    </row>
    <row r="2109" spans="1:4" x14ac:dyDescent="0.25">
      <c r="A2109">
        <v>1302842</v>
      </c>
      <c r="B2109" s="1">
        <v>42947</v>
      </c>
      <c r="C2109" s="2">
        <v>0.52203703703703708</v>
      </c>
      <c r="D2109" s="2">
        <v>0.53162037037037035</v>
      </c>
    </row>
    <row r="2110" spans="1:4" x14ac:dyDescent="0.25">
      <c r="A2110">
        <v>2025194</v>
      </c>
      <c r="B2110" s="1">
        <v>42947</v>
      </c>
      <c r="C2110" s="2">
        <v>0.52238425925925924</v>
      </c>
      <c r="D2110" s="2">
        <v>0.52749999999999997</v>
      </c>
    </row>
    <row r="2111" spans="1:4" x14ac:dyDescent="0.25">
      <c r="A2111">
        <v>6703754</v>
      </c>
      <c r="B2111" s="1">
        <v>42947</v>
      </c>
      <c r="C2111" s="2">
        <v>0.5237384259259259</v>
      </c>
      <c r="D2111" s="2">
        <v>0.52431712962962962</v>
      </c>
    </row>
    <row r="2112" spans="1:4" x14ac:dyDescent="0.25">
      <c r="A2112">
        <v>86965710</v>
      </c>
      <c r="B2112" s="1">
        <v>42947</v>
      </c>
      <c r="C2112" s="2">
        <v>0.52516203703703701</v>
      </c>
      <c r="D2112" s="2">
        <v>0.52825231481481483</v>
      </c>
    </row>
    <row r="2113" spans="1:4" x14ac:dyDescent="0.25">
      <c r="A2113">
        <v>9797571</v>
      </c>
      <c r="B2113" s="1">
        <v>42947</v>
      </c>
      <c r="C2113" s="2">
        <v>0.53011574074074075</v>
      </c>
      <c r="D2113" s="2">
        <v>0.5342824074074074</v>
      </c>
    </row>
    <row r="2114" spans="1:4" x14ac:dyDescent="0.25">
      <c r="A2114">
        <v>34628061</v>
      </c>
      <c r="B2114" s="1">
        <v>42947</v>
      </c>
      <c r="C2114" s="2">
        <v>0.53206018518518516</v>
      </c>
      <c r="D2114" s="2">
        <v>0.53396990740740746</v>
      </c>
    </row>
    <row r="2115" spans="1:4" x14ac:dyDescent="0.25">
      <c r="A2115">
        <v>6716140</v>
      </c>
      <c r="B2115" s="1">
        <v>42947</v>
      </c>
      <c r="C2115" s="2">
        <v>0.53451388888888884</v>
      </c>
      <c r="D2115" s="2">
        <v>0.54087962962962965</v>
      </c>
    </row>
    <row r="2116" spans="1:4" x14ac:dyDescent="0.25">
      <c r="A2116">
        <v>9709339</v>
      </c>
      <c r="B2116" s="1">
        <v>42947</v>
      </c>
      <c r="C2116" s="2">
        <v>0.53622685185185182</v>
      </c>
      <c r="D2116" s="2">
        <v>0.54399305555555555</v>
      </c>
    </row>
    <row r="2117" spans="1:4" x14ac:dyDescent="0.25">
      <c r="A2117">
        <v>1331802</v>
      </c>
      <c r="B2117" s="1">
        <v>42947</v>
      </c>
      <c r="C2117" s="2">
        <v>0.5376967592592593</v>
      </c>
      <c r="D2117" s="2">
        <v>0.54113425925925929</v>
      </c>
    </row>
    <row r="2118" spans="1:4" x14ac:dyDescent="0.25">
      <c r="A2118">
        <v>9413315</v>
      </c>
      <c r="B2118" s="1">
        <v>42947</v>
      </c>
      <c r="C2118" s="2">
        <v>0.53961805555555553</v>
      </c>
      <c r="D2118" s="2">
        <v>0.54870370370370369</v>
      </c>
    </row>
    <row r="2119" spans="1:4" x14ac:dyDescent="0.25">
      <c r="A2119">
        <v>9555643</v>
      </c>
      <c r="B2119" s="1">
        <v>42947</v>
      </c>
      <c r="C2119" s="2">
        <v>0.5415740740740741</v>
      </c>
      <c r="D2119" s="2">
        <v>0.54230324074074077</v>
      </c>
    </row>
    <row r="2120" spans="1:4" x14ac:dyDescent="0.25">
      <c r="A2120">
        <v>4824250</v>
      </c>
      <c r="B2120" s="1">
        <v>42947</v>
      </c>
      <c r="C2120" s="2">
        <v>0.54670138888888886</v>
      </c>
      <c r="D2120" s="2">
        <v>0.55440972222222218</v>
      </c>
    </row>
    <row r="2121" spans="1:4" x14ac:dyDescent="0.25">
      <c r="A2121">
        <v>3931914</v>
      </c>
      <c r="B2121" s="1">
        <v>42947</v>
      </c>
      <c r="C2121" s="2">
        <v>0.55063657407407407</v>
      </c>
      <c r="D2121" s="2">
        <v>0.55451388888888886</v>
      </c>
    </row>
    <row r="2122" spans="1:4" x14ac:dyDescent="0.25">
      <c r="A2122">
        <v>79698655</v>
      </c>
      <c r="B2122" s="1">
        <v>42947</v>
      </c>
      <c r="C2122" s="2">
        <v>0.55182870370370374</v>
      </c>
      <c r="D2122" s="2">
        <v>0.55775462962962963</v>
      </c>
    </row>
    <row r="2123" spans="1:4" x14ac:dyDescent="0.25">
      <c r="A2123">
        <v>5387521845</v>
      </c>
      <c r="B2123" s="1">
        <v>42947</v>
      </c>
      <c r="C2123" s="2">
        <v>0.55717592592592591</v>
      </c>
      <c r="D2123" s="2">
        <v>0.56000000000000005</v>
      </c>
    </row>
    <row r="2124" spans="1:4" x14ac:dyDescent="0.25">
      <c r="A2124">
        <v>84589848</v>
      </c>
      <c r="B2124" s="1">
        <v>42947</v>
      </c>
      <c r="C2124" s="2">
        <v>0.56119212962962961</v>
      </c>
      <c r="D2124" s="2">
        <v>0.56221064814814814</v>
      </c>
    </row>
    <row r="2125" spans="1:4" x14ac:dyDescent="0.25">
      <c r="A2125">
        <v>1927908</v>
      </c>
      <c r="B2125" s="1">
        <v>42947</v>
      </c>
      <c r="C2125" s="2">
        <v>0.56452546296296291</v>
      </c>
      <c r="D2125" s="2">
        <v>0.5725231481481482</v>
      </c>
    </row>
    <row r="2126" spans="1:4" x14ac:dyDescent="0.25">
      <c r="A2126">
        <v>7975900</v>
      </c>
      <c r="B2126" s="1">
        <v>42947</v>
      </c>
      <c r="C2126" s="2">
        <v>0.56582175925925926</v>
      </c>
      <c r="D2126" s="2">
        <v>0.57314814814814818</v>
      </c>
    </row>
    <row r="2127" spans="1:4" x14ac:dyDescent="0.25">
      <c r="A2127">
        <v>1731500345</v>
      </c>
      <c r="B2127" s="1">
        <v>42947</v>
      </c>
      <c r="C2127" s="2">
        <v>0.56916666666666671</v>
      </c>
      <c r="D2127" s="2">
        <v>0.57851851851851854</v>
      </c>
    </row>
    <row r="2128" spans="1:4" x14ac:dyDescent="0.25">
      <c r="A2128">
        <v>5926011</v>
      </c>
      <c r="B2128" s="1">
        <v>42947</v>
      </c>
      <c r="C2128" s="2">
        <v>0.57268518518518519</v>
      </c>
      <c r="D2128" s="2">
        <v>0.58170138888888889</v>
      </c>
    </row>
    <row r="2129" spans="1:4" x14ac:dyDescent="0.25">
      <c r="A2129">
        <v>6408952</v>
      </c>
      <c r="B2129" s="1">
        <v>42947</v>
      </c>
      <c r="C2129" s="2">
        <v>0.57740740740740737</v>
      </c>
      <c r="D2129" s="2">
        <v>0.58895833333333336</v>
      </c>
    </row>
    <row r="2130" spans="1:4" x14ac:dyDescent="0.25">
      <c r="A2130">
        <v>53370610</v>
      </c>
      <c r="B2130" s="1">
        <v>42947</v>
      </c>
      <c r="C2130" s="2">
        <v>0.57822916666666668</v>
      </c>
      <c r="D2130" s="2">
        <v>0.57994212962962965</v>
      </c>
    </row>
    <row r="2131" spans="1:4" x14ac:dyDescent="0.25">
      <c r="A2131">
        <v>8060169</v>
      </c>
      <c r="B2131" s="1">
        <v>42947</v>
      </c>
      <c r="C2131" s="2">
        <v>0.57874999999999999</v>
      </c>
      <c r="D2131" s="2">
        <v>0.58307870370370374</v>
      </c>
    </row>
    <row r="2132" spans="1:4" x14ac:dyDescent="0.25">
      <c r="A2132">
        <v>9147613</v>
      </c>
      <c r="B2132" s="1">
        <v>42947</v>
      </c>
      <c r="C2132" s="2">
        <v>0.57952546296296292</v>
      </c>
      <c r="D2132" s="2">
        <v>0.58090277777777777</v>
      </c>
    </row>
    <row r="2133" spans="1:4" x14ac:dyDescent="0.25">
      <c r="A2133">
        <v>4505950</v>
      </c>
      <c r="B2133" s="1">
        <v>42947</v>
      </c>
      <c r="C2133" s="2">
        <v>0.58163194444444444</v>
      </c>
      <c r="D2133" s="2">
        <v>0.5872222222222222</v>
      </c>
    </row>
    <row r="2134" spans="1:4" x14ac:dyDescent="0.25">
      <c r="A2134">
        <v>3537655</v>
      </c>
      <c r="B2134" s="1">
        <v>42947</v>
      </c>
      <c r="C2134" s="2">
        <v>0.58287037037037037</v>
      </c>
      <c r="D2134" s="2">
        <v>0.58347222222222217</v>
      </c>
    </row>
    <row r="2135" spans="1:4" x14ac:dyDescent="0.25">
      <c r="A2135">
        <v>1583683</v>
      </c>
      <c r="B2135" s="1">
        <v>42947</v>
      </c>
      <c r="C2135" s="2">
        <v>0.58784722222222219</v>
      </c>
      <c r="D2135" s="2">
        <v>0.58940972222222221</v>
      </c>
    </row>
    <row r="2136" spans="1:4" x14ac:dyDescent="0.25">
      <c r="A2136">
        <v>96302157</v>
      </c>
      <c r="B2136" s="1">
        <v>42947</v>
      </c>
      <c r="C2136" s="2">
        <v>0.59052083333333338</v>
      </c>
      <c r="D2136" s="2">
        <v>0.59702546296296299</v>
      </c>
    </row>
    <row r="2137" spans="1:4" x14ac:dyDescent="0.25">
      <c r="A2137">
        <v>1809111</v>
      </c>
      <c r="B2137" s="1">
        <v>42947</v>
      </c>
      <c r="C2137" s="2">
        <v>0.59290509259259261</v>
      </c>
      <c r="D2137" s="2">
        <v>0.60322916666666671</v>
      </c>
    </row>
    <row r="2138" spans="1:4" x14ac:dyDescent="0.25">
      <c r="A2138">
        <v>8493652</v>
      </c>
      <c r="B2138" s="1">
        <v>42947</v>
      </c>
      <c r="C2138" s="2">
        <v>0.59569444444444442</v>
      </c>
      <c r="D2138" s="2">
        <v>0.60372685185185182</v>
      </c>
    </row>
    <row r="2139" spans="1:4" x14ac:dyDescent="0.25">
      <c r="A2139">
        <v>1026326</v>
      </c>
      <c r="B2139" s="1">
        <v>42947</v>
      </c>
      <c r="C2139" s="2">
        <v>0.59736111111111112</v>
      </c>
      <c r="D2139" s="2">
        <v>0.60046296296296298</v>
      </c>
    </row>
    <row r="2140" spans="1:4" x14ac:dyDescent="0.25">
      <c r="A2140">
        <v>1475165</v>
      </c>
      <c r="B2140" s="1">
        <v>42947</v>
      </c>
      <c r="C2140" s="2">
        <v>0.60197916666666662</v>
      </c>
      <c r="D2140" s="2">
        <v>0.60856481481481484</v>
      </c>
    </row>
    <row r="2141" spans="1:4" x14ac:dyDescent="0.25">
      <c r="A2141">
        <v>6264844</v>
      </c>
      <c r="B2141" s="1">
        <v>42947</v>
      </c>
      <c r="C2141" s="2">
        <v>0.60348379629629634</v>
      </c>
      <c r="D2141" s="2">
        <v>0.61365740740740737</v>
      </c>
    </row>
    <row r="2142" spans="1:4" x14ac:dyDescent="0.25">
      <c r="A2142">
        <v>9861652</v>
      </c>
      <c r="B2142" s="1">
        <v>42947</v>
      </c>
      <c r="C2142" s="2">
        <v>0.60519675925925931</v>
      </c>
      <c r="D2142" s="2">
        <v>0.61221064814814818</v>
      </c>
    </row>
    <row r="2143" spans="1:4" x14ac:dyDescent="0.25">
      <c r="A2143">
        <v>5446203</v>
      </c>
      <c r="B2143" s="1">
        <v>42947</v>
      </c>
      <c r="C2143" s="2">
        <v>0.60825231481481479</v>
      </c>
      <c r="D2143" s="2">
        <v>0.61048611111111106</v>
      </c>
    </row>
    <row r="2144" spans="1:4" x14ac:dyDescent="0.25">
      <c r="A2144">
        <v>7762020</v>
      </c>
      <c r="B2144" s="1">
        <v>42947</v>
      </c>
      <c r="C2144" s="2">
        <v>0.61159722222222224</v>
      </c>
      <c r="D2144" s="2">
        <v>0.61434027777777778</v>
      </c>
    </row>
    <row r="2145" spans="1:4" x14ac:dyDescent="0.25">
      <c r="A2145">
        <v>4045129075</v>
      </c>
      <c r="B2145" s="1">
        <v>42947</v>
      </c>
      <c r="C2145" s="2">
        <v>0.61328703703703702</v>
      </c>
      <c r="D2145" s="2">
        <v>0.61828703703703702</v>
      </c>
    </row>
    <row r="2146" spans="1:4" x14ac:dyDescent="0.25">
      <c r="A2146">
        <v>96736796</v>
      </c>
      <c r="B2146" s="1">
        <v>42947</v>
      </c>
      <c r="C2146" s="2">
        <v>0.61524305555555558</v>
      </c>
      <c r="D2146" s="2">
        <v>0.62432870370370375</v>
      </c>
    </row>
    <row r="2147" spans="1:4" x14ac:dyDescent="0.25">
      <c r="A2147">
        <v>1035023</v>
      </c>
      <c r="B2147" s="1">
        <v>42947</v>
      </c>
      <c r="C2147" s="2">
        <v>0.61821759259259257</v>
      </c>
      <c r="D2147" s="2">
        <v>0.62706018518518514</v>
      </c>
    </row>
    <row r="2148" spans="1:4" x14ac:dyDescent="0.25">
      <c r="A2148">
        <v>9941776</v>
      </c>
      <c r="B2148" s="1">
        <v>42947</v>
      </c>
      <c r="C2148" s="2">
        <v>0.62299768518518517</v>
      </c>
      <c r="D2148" s="2">
        <v>0.62311342592592589</v>
      </c>
    </row>
    <row r="2149" spans="1:4" x14ac:dyDescent="0.25">
      <c r="A2149">
        <v>6401011</v>
      </c>
      <c r="B2149" s="1">
        <v>42947</v>
      </c>
      <c r="C2149" s="2">
        <v>0.62693287037037038</v>
      </c>
      <c r="D2149" s="2">
        <v>0.62837962962962968</v>
      </c>
    </row>
  </sheetData>
  <sortState xmlns:xlrd2="http://schemas.microsoft.com/office/spreadsheetml/2017/richdata2" ref="J4:K1837">
    <sortCondition descending="1" ref="K4:K18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3F46-792D-4DE3-8430-B4B04C649CD1}">
  <dimension ref="A1:R2149"/>
  <sheetViews>
    <sheetView topLeftCell="C19" workbookViewId="0">
      <selection activeCell="V38" sqref="V38"/>
    </sheetView>
  </sheetViews>
  <sheetFormatPr defaultRowHeight="15" x14ac:dyDescent="0.25"/>
  <cols>
    <col min="1" max="1" width="11" bestFit="1" customWidth="1"/>
    <col min="2" max="2" width="11" customWidth="1"/>
    <col min="3" max="3" width="10.140625" bestFit="1" customWidth="1"/>
    <col min="4" max="4" width="11.42578125" bestFit="1" customWidth="1"/>
    <col min="5" max="5" width="11.85546875" bestFit="1" customWidth="1"/>
    <col min="9" max="10" width="17.7109375" bestFit="1" customWidth="1"/>
    <col min="11" max="12" width="11.140625" bestFit="1" customWidth="1"/>
    <col min="13" max="13" width="14.28515625" bestFit="1" customWidth="1"/>
    <col min="16" max="16" width="10.140625" bestFit="1" customWidth="1"/>
    <col min="17" max="17" width="11.42578125" bestFit="1" customWidth="1"/>
    <col min="18" max="18" width="11.140625" bestFit="1" customWidth="1"/>
  </cols>
  <sheetData>
    <row r="1" spans="1:18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</row>
    <row r="2" spans="1:18" x14ac:dyDescent="0.25">
      <c r="A2">
        <v>3539762</v>
      </c>
      <c r="B2" t="str">
        <f>IF(LEN(A2)=7, "stacjonarny", IF(LEN(A2)=8, "komorkowy", "zagraniczny"))</f>
        <v>stacjonarny</v>
      </c>
      <c r="C2" s="1">
        <v>42919</v>
      </c>
      <c r="D2" s="2">
        <v>0.33673611111111112</v>
      </c>
      <c r="E2" s="2">
        <v>0.34821759259259261</v>
      </c>
    </row>
    <row r="3" spans="1:18" x14ac:dyDescent="0.25">
      <c r="A3">
        <v>4546455</v>
      </c>
      <c r="B3" t="str">
        <f t="shared" ref="B3:B66" si="0">IF(LEN(A3)=7, "stacjonarny", IF(LEN(A3)=8, "komorkowy", "zagraniczny"))</f>
        <v>stacjonarny</v>
      </c>
      <c r="C3" s="1">
        <v>42919</v>
      </c>
      <c r="D3" s="2">
        <v>0.34037037037037038</v>
      </c>
      <c r="E3" s="2">
        <v>0.34983796296296299</v>
      </c>
    </row>
    <row r="4" spans="1:18" x14ac:dyDescent="0.25">
      <c r="A4">
        <v>4546455</v>
      </c>
      <c r="B4" t="str">
        <f t="shared" si="0"/>
        <v>stacjonarny</v>
      </c>
      <c r="C4" s="1">
        <v>42919</v>
      </c>
      <c r="D4" s="2">
        <v>0.34042824074074074</v>
      </c>
      <c r="E4" s="2">
        <v>0.35046296296296298</v>
      </c>
    </row>
    <row r="5" spans="1:18" x14ac:dyDescent="0.25">
      <c r="A5">
        <v>6900303</v>
      </c>
      <c r="B5" t="str">
        <f t="shared" si="0"/>
        <v>stacjonarny</v>
      </c>
      <c r="C5" s="1">
        <v>42919</v>
      </c>
      <c r="D5" s="2">
        <v>0.34362268518518518</v>
      </c>
      <c r="E5" s="2">
        <v>0.3482986111111111</v>
      </c>
      <c r="I5" s="3" t="s">
        <v>9</v>
      </c>
      <c r="J5" s="3" t="s">
        <v>10</v>
      </c>
      <c r="P5" t="s">
        <v>14</v>
      </c>
      <c r="Q5" t="s">
        <v>11</v>
      </c>
      <c r="R5" t="s">
        <v>12</v>
      </c>
    </row>
    <row r="6" spans="1:18" x14ac:dyDescent="0.25">
      <c r="A6">
        <v>4250194</v>
      </c>
      <c r="B6" t="str">
        <f t="shared" si="0"/>
        <v>stacjonarny</v>
      </c>
      <c r="C6" s="1">
        <v>42919</v>
      </c>
      <c r="D6" s="2">
        <v>0.34399305555555554</v>
      </c>
      <c r="E6" s="2">
        <v>0.34872685185185187</v>
      </c>
      <c r="I6" s="3" t="s">
        <v>4</v>
      </c>
      <c r="J6" t="s">
        <v>11</v>
      </c>
      <c r="K6" t="s">
        <v>12</v>
      </c>
      <c r="L6" t="s">
        <v>13</v>
      </c>
      <c r="M6" t="s">
        <v>5</v>
      </c>
      <c r="P6" s="5">
        <v>42919</v>
      </c>
      <c r="Q6">
        <v>27</v>
      </c>
      <c r="R6">
        <v>67</v>
      </c>
    </row>
    <row r="7" spans="1:18" x14ac:dyDescent="0.25">
      <c r="A7">
        <v>54586484</v>
      </c>
      <c r="B7" t="str">
        <f t="shared" si="0"/>
        <v>komorkowy</v>
      </c>
      <c r="C7" s="1">
        <v>42919</v>
      </c>
      <c r="D7" s="2">
        <v>0.3460185185185185</v>
      </c>
      <c r="E7" s="2">
        <v>0.34969907407407408</v>
      </c>
      <c r="I7" s="5">
        <v>42919</v>
      </c>
      <c r="J7">
        <v>27</v>
      </c>
      <c r="K7">
        <v>67</v>
      </c>
      <c r="L7">
        <v>3</v>
      </c>
      <c r="M7">
        <v>97</v>
      </c>
      <c r="P7" s="5">
        <v>42920</v>
      </c>
      <c r="Q7">
        <v>23</v>
      </c>
      <c r="R7">
        <v>68</v>
      </c>
    </row>
    <row r="8" spans="1:18" x14ac:dyDescent="0.25">
      <c r="A8">
        <v>26204415</v>
      </c>
      <c r="B8" t="str">
        <f t="shared" si="0"/>
        <v>komorkowy</v>
      </c>
      <c r="C8" s="1">
        <v>42919</v>
      </c>
      <c r="D8" s="2">
        <v>0.34880787037037037</v>
      </c>
      <c r="E8" s="2">
        <v>0.35023148148148148</v>
      </c>
      <c r="I8" s="5">
        <v>42920</v>
      </c>
      <c r="J8">
        <v>23</v>
      </c>
      <c r="K8">
        <v>68</v>
      </c>
      <c r="L8">
        <v>6</v>
      </c>
      <c r="M8">
        <v>97</v>
      </c>
      <c r="P8" s="5">
        <v>42921</v>
      </c>
      <c r="Q8">
        <v>24</v>
      </c>
      <c r="R8">
        <v>79</v>
      </c>
    </row>
    <row r="9" spans="1:18" x14ac:dyDescent="0.25">
      <c r="A9">
        <v>8596929</v>
      </c>
      <c r="B9" t="str">
        <f t="shared" si="0"/>
        <v>stacjonarny</v>
      </c>
      <c r="C9" s="1">
        <v>42919</v>
      </c>
      <c r="D9" s="2">
        <v>0.35322916666666665</v>
      </c>
      <c r="E9" s="2">
        <v>0.35968749999999999</v>
      </c>
      <c r="I9" s="5">
        <v>42921</v>
      </c>
      <c r="J9">
        <v>24</v>
      </c>
      <c r="K9">
        <v>79</v>
      </c>
      <c r="L9">
        <v>10</v>
      </c>
      <c r="M9">
        <v>113</v>
      </c>
      <c r="P9" s="5">
        <v>42922</v>
      </c>
      <c r="Q9">
        <v>20</v>
      </c>
      <c r="R9">
        <v>78</v>
      </c>
    </row>
    <row r="10" spans="1:18" x14ac:dyDescent="0.25">
      <c r="A10">
        <v>4546455</v>
      </c>
      <c r="B10" t="str">
        <f t="shared" si="0"/>
        <v>stacjonarny</v>
      </c>
      <c r="C10" s="1">
        <v>42919</v>
      </c>
      <c r="D10" s="2">
        <v>0.35723379629629631</v>
      </c>
      <c r="E10" s="2">
        <v>0.36699074074074073</v>
      </c>
      <c r="I10" s="5">
        <v>42922</v>
      </c>
      <c r="J10">
        <v>20</v>
      </c>
      <c r="K10">
        <v>78</v>
      </c>
      <c r="L10">
        <v>7</v>
      </c>
      <c r="M10">
        <v>105</v>
      </c>
      <c r="P10" s="5">
        <v>42923</v>
      </c>
      <c r="Q10">
        <v>31</v>
      </c>
      <c r="R10">
        <v>69</v>
      </c>
    </row>
    <row r="11" spans="1:18" x14ac:dyDescent="0.25">
      <c r="A11">
        <v>44937926</v>
      </c>
      <c r="B11" t="str">
        <f t="shared" si="0"/>
        <v>komorkowy</v>
      </c>
      <c r="C11" s="1">
        <v>42919</v>
      </c>
      <c r="D11" s="2">
        <v>0.36178240740740741</v>
      </c>
      <c r="E11" s="2">
        <v>0.37260416666666668</v>
      </c>
      <c r="I11" s="5">
        <v>42923</v>
      </c>
      <c r="J11">
        <v>31</v>
      </c>
      <c r="K11">
        <v>69</v>
      </c>
      <c r="L11">
        <v>5</v>
      </c>
      <c r="M11">
        <v>105</v>
      </c>
      <c r="P11" s="5">
        <v>42926</v>
      </c>
      <c r="Q11">
        <v>23</v>
      </c>
      <c r="R11">
        <v>73</v>
      </c>
    </row>
    <row r="12" spans="1:18" x14ac:dyDescent="0.25">
      <c r="A12">
        <v>5816822</v>
      </c>
      <c r="B12" t="str">
        <f t="shared" si="0"/>
        <v>stacjonarny</v>
      </c>
      <c r="C12" s="1">
        <v>42919</v>
      </c>
      <c r="D12" s="2">
        <v>0.36702546296296296</v>
      </c>
      <c r="E12" s="2">
        <v>0.37568287037037035</v>
      </c>
      <c r="I12" s="5">
        <v>42926</v>
      </c>
      <c r="J12">
        <v>23</v>
      </c>
      <c r="K12">
        <v>73</v>
      </c>
      <c r="L12">
        <v>5</v>
      </c>
      <c r="M12">
        <v>101</v>
      </c>
      <c r="P12" s="5">
        <v>42927</v>
      </c>
      <c r="Q12">
        <v>27</v>
      </c>
      <c r="R12">
        <v>60</v>
      </c>
    </row>
    <row r="13" spans="1:18" x14ac:dyDescent="0.25">
      <c r="A13">
        <v>96191858</v>
      </c>
      <c r="B13" t="str">
        <f t="shared" si="0"/>
        <v>komorkowy</v>
      </c>
      <c r="C13" s="1">
        <v>42919</v>
      </c>
      <c r="D13" s="2">
        <v>0.36861111111111111</v>
      </c>
      <c r="E13" s="2">
        <v>0.37554398148148149</v>
      </c>
      <c r="I13" s="5">
        <v>42927</v>
      </c>
      <c r="J13">
        <v>27</v>
      </c>
      <c r="K13">
        <v>60</v>
      </c>
      <c r="L13">
        <v>6</v>
      </c>
      <c r="M13">
        <v>93</v>
      </c>
      <c r="P13" s="5">
        <v>42928</v>
      </c>
      <c r="Q13">
        <v>27</v>
      </c>
      <c r="R13">
        <v>70</v>
      </c>
    </row>
    <row r="14" spans="1:18" x14ac:dyDescent="0.25">
      <c r="A14">
        <v>47261256</v>
      </c>
      <c r="B14" t="str">
        <f t="shared" si="0"/>
        <v>komorkowy</v>
      </c>
      <c r="C14" s="1">
        <v>42919</v>
      </c>
      <c r="D14" s="2">
        <v>0.37017361111111113</v>
      </c>
      <c r="E14" s="2">
        <v>0.37328703703703703</v>
      </c>
      <c r="I14" s="5">
        <v>42928</v>
      </c>
      <c r="J14">
        <v>27</v>
      </c>
      <c r="K14">
        <v>70</v>
      </c>
      <c r="L14">
        <v>6</v>
      </c>
      <c r="M14">
        <v>103</v>
      </c>
      <c r="P14" s="5">
        <v>42929</v>
      </c>
      <c r="Q14">
        <v>24</v>
      </c>
      <c r="R14">
        <v>67</v>
      </c>
    </row>
    <row r="15" spans="1:18" x14ac:dyDescent="0.25">
      <c r="A15">
        <v>26204415</v>
      </c>
      <c r="B15" t="str">
        <f t="shared" si="0"/>
        <v>komorkowy</v>
      </c>
      <c r="C15" s="1">
        <v>42919</v>
      </c>
      <c r="D15" s="2">
        <v>0.37516203703703704</v>
      </c>
      <c r="E15" s="2">
        <v>0.38424768518518521</v>
      </c>
      <c r="I15" s="5">
        <v>42929</v>
      </c>
      <c r="J15">
        <v>24</v>
      </c>
      <c r="K15">
        <v>67</v>
      </c>
      <c r="L15">
        <v>3</v>
      </c>
      <c r="M15">
        <v>94</v>
      </c>
      <c r="P15" s="5">
        <v>42930</v>
      </c>
      <c r="Q15">
        <v>24</v>
      </c>
      <c r="R15">
        <v>74</v>
      </c>
    </row>
    <row r="16" spans="1:18" x14ac:dyDescent="0.25">
      <c r="A16">
        <v>22747425</v>
      </c>
      <c r="B16" t="str">
        <f t="shared" si="0"/>
        <v>komorkowy</v>
      </c>
      <c r="C16" s="1">
        <v>42919</v>
      </c>
      <c r="D16" s="2">
        <v>0.37719907407407405</v>
      </c>
      <c r="E16" s="2">
        <v>0.38513888888888886</v>
      </c>
      <c r="I16" s="5">
        <v>42930</v>
      </c>
      <c r="J16">
        <v>24</v>
      </c>
      <c r="K16">
        <v>74</v>
      </c>
      <c r="L16">
        <v>4</v>
      </c>
      <c r="M16">
        <v>102</v>
      </c>
      <c r="P16" s="5">
        <v>42933</v>
      </c>
      <c r="Q16">
        <v>26</v>
      </c>
      <c r="R16">
        <v>76</v>
      </c>
    </row>
    <row r="17" spans="1:18" x14ac:dyDescent="0.25">
      <c r="A17">
        <v>96191858</v>
      </c>
      <c r="B17" t="str">
        <f t="shared" si="0"/>
        <v>komorkowy</v>
      </c>
      <c r="C17" s="1">
        <v>42919</v>
      </c>
      <c r="D17" s="2">
        <v>0.37987268518518519</v>
      </c>
      <c r="E17" s="2">
        <v>0.38802083333333331</v>
      </c>
      <c r="I17" s="5">
        <v>42933</v>
      </c>
      <c r="J17">
        <v>26</v>
      </c>
      <c r="K17">
        <v>76</v>
      </c>
      <c r="L17">
        <v>4</v>
      </c>
      <c r="M17">
        <v>106</v>
      </c>
      <c r="P17" s="5">
        <v>42934</v>
      </c>
      <c r="Q17">
        <v>17</v>
      </c>
      <c r="R17">
        <v>74</v>
      </c>
    </row>
    <row r="18" spans="1:18" x14ac:dyDescent="0.25">
      <c r="A18">
        <v>5816822</v>
      </c>
      <c r="B18" t="str">
        <f t="shared" si="0"/>
        <v>stacjonarny</v>
      </c>
      <c r="C18" s="1">
        <v>42919</v>
      </c>
      <c r="D18" s="2">
        <v>0.38123842592592594</v>
      </c>
      <c r="E18" s="2">
        <v>0.38390046296296299</v>
      </c>
      <c r="I18" s="5">
        <v>42934</v>
      </c>
      <c r="J18">
        <v>17</v>
      </c>
      <c r="K18">
        <v>74</v>
      </c>
      <c r="L18">
        <v>8</v>
      </c>
      <c r="M18">
        <v>99</v>
      </c>
      <c r="P18" s="5">
        <v>42935</v>
      </c>
      <c r="Q18">
        <v>24</v>
      </c>
      <c r="R18">
        <v>67</v>
      </c>
    </row>
    <row r="19" spans="1:18" x14ac:dyDescent="0.25">
      <c r="A19">
        <v>3352943</v>
      </c>
      <c r="B19" t="str">
        <f t="shared" si="0"/>
        <v>stacjonarny</v>
      </c>
      <c r="C19" s="1">
        <v>42919</v>
      </c>
      <c r="D19" s="2">
        <v>0.38701388888888888</v>
      </c>
      <c r="E19" s="2">
        <v>0.3943402777777778</v>
      </c>
      <c r="I19" s="5">
        <v>42935</v>
      </c>
      <c r="J19">
        <v>24</v>
      </c>
      <c r="K19">
        <v>67</v>
      </c>
      <c r="L19">
        <v>9</v>
      </c>
      <c r="M19">
        <v>100</v>
      </c>
      <c r="P19" s="5">
        <v>42936</v>
      </c>
      <c r="Q19">
        <v>20</v>
      </c>
      <c r="R19">
        <v>75</v>
      </c>
    </row>
    <row r="20" spans="1:18" x14ac:dyDescent="0.25">
      <c r="A20">
        <v>35634368</v>
      </c>
      <c r="B20" t="str">
        <f t="shared" si="0"/>
        <v>komorkowy</v>
      </c>
      <c r="C20" s="1">
        <v>42919</v>
      </c>
      <c r="D20" s="2">
        <v>0.39181712962962961</v>
      </c>
      <c r="E20" s="2">
        <v>0.40334490740740742</v>
      </c>
      <c r="I20" s="5">
        <v>42936</v>
      </c>
      <c r="J20">
        <v>20</v>
      </c>
      <c r="K20">
        <v>75</v>
      </c>
      <c r="L20">
        <v>2</v>
      </c>
      <c r="M20">
        <v>97</v>
      </c>
      <c r="P20" s="5">
        <v>42937</v>
      </c>
      <c r="Q20">
        <v>25</v>
      </c>
      <c r="R20">
        <v>73</v>
      </c>
    </row>
    <row r="21" spans="1:18" x14ac:dyDescent="0.25">
      <c r="A21">
        <v>8313390</v>
      </c>
      <c r="B21" t="str">
        <f t="shared" si="0"/>
        <v>stacjonarny</v>
      </c>
      <c r="C21" s="1">
        <v>42919</v>
      </c>
      <c r="D21" s="2">
        <v>0.39571759259259259</v>
      </c>
      <c r="E21" s="2">
        <v>0.39844907407407409</v>
      </c>
      <c r="I21" s="5">
        <v>42937</v>
      </c>
      <c r="J21">
        <v>25</v>
      </c>
      <c r="K21">
        <v>73</v>
      </c>
      <c r="L21">
        <v>1</v>
      </c>
      <c r="M21">
        <v>99</v>
      </c>
      <c r="P21" s="5">
        <v>42940</v>
      </c>
      <c r="Q21">
        <v>30</v>
      </c>
      <c r="R21">
        <v>77</v>
      </c>
    </row>
    <row r="22" spans="1:18" x14ac:dyDescent="0.25">
      <c r="A22">
        <v>3954712</v>
      </c>
      <c r="B22" t="str">
        <f t="shared" si="0"/>
        <v>stacjonarny</v>
      </c>
      <c r="C22" s="1">
        <v>42919</v>
      </c>
      <c r="D22" s="2">
        <v>0.39876157407407409</v>
      </c>
      <c r="E22" s="2">
        <v>0.40207175925925925</v>
      </c>
      <c r="I22" s="5">
        <v>42940</v>
      </c>
      <c r="J22">
        <v>30</v>
      </c>
      <c r="K22">
        <v>77</v>
      </c>
      <c r="L22">
        <v>2</v>
      </c>
      <c r="M22">
        <v>109</v>
      </c>
      <c r="P22" s="5">
        <v>42941</v>
      </c>
      <c r="Q22">
        <v>27</v>
      </c>
      <c r="R22">
        <v>79</v>
      </c>
    </row>
    <row r="23" spans="1:18" x14ac:dyDescent="0.25">
      <c r="A23">
        <v>2109147679</v>
      </c>
      <c r="B23" t="str">
        <f t="shared" si="0"/>
        <v>zagraniczny</v>
      </c>
      <c r="C23" s="1">
        <v>42919</v>
      </c>
      <c r="D23" s="2">
        <v>0.40035879629629628</v>
      </c>
      <c r="E23" s="2">
        <v>0.41166666666666668</v>
      </c>
      <c r="I23" s="5">
        <v>42941</v>
      </c>
      <c r="J23">
        <v>27</v>
      </c>
      <c r="K23">
        <v>79</v>
      </c>
      <c r="L23">
        <v>4</v>
      </c>
      <c r="M23">
        <v>110</v>
      </c>
      <c r="P23" s="5">
        <v>42942</v>
      </c>
      <c r="Q23">
        <v>24</v>
      </c>
      <c r="R23">
        <v>78</v>
      </c>
    </row>
    <row r="24" spans="1:18" x14ac:dyDescent="0.25">
      <c r="A24">
        <v>1787732</v>
      </c>
      <c r="B24" t="str">
        <f t="shared" si="0"/>
        <v>stacjonarny</v>
      </c>
      <c r="C24" s="1">
        <v>42919</v>
      </c>
      <c r="D24" s="2">
        <v>0.4052546296296296</v>
      </c>
      <c r="E24" s="2">
        <v>0.41048611111111111</v>
      </c>
      <c r="I24" s="5">
        <v>42942</v>
      </c>
      <c r="J24">
        <v>24</v>
      </c>
      <c r="K24">
        <v>78</v>
      </c>
      <c r="L24">
        <v>6</v>
      </c>
      <c r="M24">
        <v>108</v>
      </c>
      <c r="P24" s="5">
        <v>42943</v>
      </c>
      <c r="Q24">
        <v>22</v>
      </c>
      <c r="R24">
        <v>70</v>
      </c>
    </row>
    <row r="25" spans="1:18" x14ac:dyDescent="0.25">
      <c r="A25">
        <v>7834807</v>
      </c>
      <c r="B25" t="str">
        <f t="shared" si="0"/>
        <v>stacjonarny</v>
      </c>
      <c r="C25" s="1">
        <v>42919</v>
      </c>
      <c r="D25" s="2">
        <v>0.40980324074074076</v>
      </c>
      <c r="E25" s="2">
        <v>0.41035879629629629</v>
      </c>
      <c r="I25" s="5">
        <v>42943</v>
      </c>
      <c r="J25">
        <v>22</v>
      </c>
      <c r="K25">
        <v>70</v>
      </c>
      <c r="L25">
        <v>5</v>
      </c>
      <c r="M25">
        <v>97</v>
      </c>
      <c r="P25" s="5">
        <v>42944</v>
      </c>
      <c r="Q25">
        <v>24</v>
      </c>
      <c r="R25">
        <v>68</v>
      </c>
    </row>
    <row r="26" spans="1:18" x14ac:dyDescent="0.25">
      <c r="A26">
        <v>33320202</v>
      </c>
      <c r="B26" t="str">
        <f t="shared" si="0"/>
        <v>komorkowy</v>
      </c>
      <c r="C26" s="1">
        <v>42919</v>
      </c>
      <c r="D26" s="2">
        <v>0.41506944444444444</v>
      </c>
      <c r="E26" s="2">
        <v>0.42621527777777779</v>
      </c>
      <c r="I26" s="5">
        <v>42944</v>
      </c>
      <c r="J26">
        <v>24</v>
      </c>
      <c r="K26">
        <v>68</v>
      </c>
      <c r="L26">
        <v>8</v>
      </c>
      <c r="M26">
        <v>100</v>
      </c>
      <c r="P26" s="5">
        <v>42947</v>
      </c>
      <c r="Q26">
        <v>23</v>
      </c>
      <c r="R26">
        <v>82</v>
      </c>
    </row>
    <row r="27" spans="1:18" x14ac:dyDescent="0.25">
      <c r="A27">
        <v>1488369</v>
      </c>
      <c r="B27" t="str">
        <f t="shared" si="0"/>
        <v>stacjonarny</v>
      </c>
      <c r="C27" s="1">
        <v>42919</v>
      </c>
      <c r="D27" s="2">
        <v>0.41612268518518519</v>
      </c>
      <c r="E27" s="2">
        <v>0.41756944444444444</v>
      </c>
      <c r="I27" s="5">
        <v>42947</v>
      </c>
      <c r="J27">
        <v>23</v>
      </c>
      <c r="K27">
        <v>82</v>
      </c>
      <c r="L27">
        <v>8</v>
      </c>
      <c r="M27">
        <v>113</v>
      </c>
    </row>
    <row r="28" spans="1:18" x14ac:dyDescent="0.25">
      <c r="A28">
        <v>2631285</v>
      </c>
      <c r="B28" t="str">
        <f t="shared" si="0"/>
        <v>stacjonarny</v>
      </c>
      <c r="C28" s="1">
        <v>42919</v>
      </c>
      <c r="D28" s="2">
        <v>0.4176273148148148</v>
      </c>
      <c r="E28" s="2">
        <v>0.42375000000000002</v>
      </c>
      <c r="I28" s="5" t="s">
        <v>5</v>
      </c>
      <c r="J28">
        <v>512</v>
      </c>
      <c r="K28">
        <v>1524</v>
      </c>
      <c r="L28">
        <v>112</v>
      </c>
      <c r="M28">
        <v>2148</v>
      </c>
    </row>
    <row r="29" spans="1:18" x14ac:dyDescent="0.25">
      <c r="A29">
        <v>7415603</v>
      </c>
      <c r="B29" t="str">
        <f t="shared" si="0"/>
        <v>stacjonarny</v>
      </c>
      <c r="C29" s="1">
        <v>42919</v>
      </c>
      <c r="D29" s="2">
        <v>0.42078703703703701</v>
      </c>
      <c r="E29" s="2">
        <v>0.43216435185185187</v>
      </c>
    </row>
    <row r="30" spans="1:18" x14ac:dyDescent="0.25">
      <c r="A30">
        <v>96375379</v>
      </c>
      <c r="B30" t="str">
        <f t="shared" si="0"/>
        <v>komorkowy</v>
      </c>
      <c r="C30" s="1">
        <v>42919</v>
      </c>
      <c r="D30" s="2">
        <v>0.42447916666666669</v>
      </c>
      <c r="E30" s="2">
        <v>0.42660879629629628</v>
      </c>
    </row>
    <row r="31" spans="1:18" x14ac:dyDescent="0.25">
      <c r="A31">
        <v>6976431</v>
      </c>
      <c r="B31" t="str">
        <f t="shared" si="0"/>
        <v>stacjonarny</v>
      </c>
      <c r="C31" s="1">
        <v>42919</v>
      </c>
      <c r="D31" s="2">
        <v>0.4281712962962963</v>
      </c>
      <c r="E31" s="2">
        <v>0.43692129629629628</v>
      </c>
    </row>
    <row r="32" spans="1:18" x14ac:dyDescent="0.25">
      <c r="A32">
        <v>4093292</v>
      </c>
      <c r="B32" t="str">
        <f t="shared" si="0"/>
        <v>stacjonarny</v>
      </c>
      <c r="C32" s="1">
        <v>42919</v>
      </c>
      <c r="D32" s="2">
        <v>0.43038194444444444</v>
      </c>
      <c r="E32" s="2">
        <v>0.43494212962962964</v>
      </c>
    </row>
    <row r="33" spans="1:5" x14ac:dyDescent="0.25">
      <c r="A33">
        <v>6312575</v>
      </c>
      <c r="B33" t="str">
        <f t="shared" si="0"/>
        <v>stacjonarny</v>
      </c>
      <c r="C33" s="1">
        <v>42919</v>
      </c>
      <c r="D33" s="2">
        <v>0.4309837962962963</v>
      </c>
      <c r="E33" s="2">
        <v>0.43748842592592591</v>
      </c>
    </row>
    <row r="34" spans="1:5" x14ac:dyDescent="0.25">
      <c r="A34">
        <v>38535407</v>
      </c>
      <c r="B34" t="str">
        <f t="shared" si="0"/>
        <v>komorkowy</v>
      </c>
      <c r="C34" s="1">
        <v>42919</v>
      </c>
      <c r="D34" s="2">
        <v>0.43593749999999998</v>
      </c>
      <c r="E34" s="2">
        <v>0.44417824074074075</v>
      </c>
    </row>
    <row r="35" spans="1:5" x14ac:dyDescent="0.25">
      <c r="A35">
        <v>38535407</v>
      </c>
      <c r="B35" t="str">
        <f t="shared" si="0"/>
        <v>komorkowy</v>
      </c>
      <c r="C35" s="1">
        <v>42919</v>
      </c>
      <c r="D35" s="2">
        <v>0.43824074074074076</v>
      </c>
      <c r="E35" s="2">
        <v>0.43913194444444442</v>
      </c>
    </row>
    <row r="36" spans="1:5" x14ac:dyDescent="0.25">
      <c r="A36">
        <v>9413315</v>
      </c>
      <c r="B36" t="str">
        <f t="shared" si="0"/>
        <v>stacjonarny</v>
      </c>
      <c r="C36" s="1">
        <v>42919</v>
      </c>
      <c r="D36" s="2">
        <v>0.44313657407407409</v>
      </c>
      <c r="E36" s="2">
        <v>0.45300925925925928</v>
      </c>
    </row>
    <row r="37" spans="1:5" x14ac:dyDescent="0.25">
      <c r="A37">
        <v>8514016</v>
      </c>
      <c r="B37" t="str">
        <f t="shared" si="0"/>
        <v>stacjonarny</v>
      </c>
      <c r="C37" s="1">
        <v>42919</v>
      </c>
      <c r="D37" s="2">
        <v>0.44778935185185187</v>
      </c>
      <c r="E37" s="2">
        <v>0.44998842592592592</v>
      </c>
    </row>
    <row r="38" spans="1:5" x14ac:dyDescent="0.25">
      <c r="A38">
        <v>40965486</v>
      </c>
      <c r="B38" t="str">
        <f t="shared" si="0"/>
        <v>komorkowy</v>
      </c>
      <c r="C38" s="1">
        <v>42919</v>
      </c>
      <c r="D38" s="2">
        <v>0.44945601851851852</v>
      </c>
      <c r="E38" s="2">
        <v>0.46011574074074074</v>
      </c>
    </row>
    <row r="39" spans="1:5" x14ac:dyDescent="0.25">
      <c r="A39">
        <v>4546455</v>
      </c>
      <c r="B39" t="str">
        <f t="shared" si="0"/>
        <v>stacjonarny</v>
      </c>
      <c r="C39" s="1">
        <v>42919</v>
      </c>
      <c r="D39" s="2">
        <v>0.45270833333333332</v>
      </c>
      <c r="E39" s="2">
        <v>0.45620370370370372</v>
      </c>
    </row>
    <row r="40" spans="1:5" x14ac:dyDescent="0.25">
      <c r="A40">
        <v>1435049</v>
      </c>
      <c r="B40" t="str">
        <f t="shared" si="0"/>
        <v>stacjonarny</v>
      </c>
      <c r="C40" s="1">
        <v>42919</v>
      </c>
      <c r="D40" s="2">
        <v>0.45494212962962965</v>
      </c>
      <c r="E40" s="2">
        <v>0.45567129629629627</v>
      </c>
    </row>
    <row r="41" spans="1:5" x14ac:dyDescent="0.25">
      <c r="A41">
        <v>85598139</v>
      </c>
      <c r="B41" t="str">
        <f t="shared" si="0"/>
        <v>komorkowy</v>
      </c>
      <c r="C41" s="1">
        <v>42919</v>
      </c>
      <c r="D41" s="2">
        <v>0.45608796296296295</v>
      </c>
      <c r="E41" s="2">
        <v>0.46314814814814814</v>
      </c>
    </row>
    <row r="42" spans="1:5" x14ac:dyDescent="0.25">
      <c r="A42">
        <v>1787732</v>
      </c>
      <c r="B42" t="str">
        <f t="shared" si="0"/>
        <v>stacjonarny</v>
      </c>
      <c r="C42" s="1">
        <v>42919</v>
      </c>
      <c r="D42" s="2">
        <v>0.46151620370370372</v>
      </c>
      <c r="E42" s="2">
        <v>0.46546296296296297</v>
      </c>
    </row>
    <row r="43" spans="1:5" x14ac:dyDescent="0.25">
      <c r="A43">
        <v>1926053</v>
      </c>
      <c r="B43" t="str">
        <f t="shared" si="0"/>
        <v>stacjonarny</v>
      </c>
      <c r="C43" s="1">
        <v>42919</v>
      </c>
      <c r="D43" s="2">
        <v>0.46155092592592595</v>
      </c>
      <c r="E43" s="2">
        <v>0.46766203703703701</v>
      </c>
    </row>
    <row r="44" spans="1:5" x14ac:dyDescent="0.25">
      <c r="A44">
        <v>82949156</v>
      </c>
      <c r="B44" t="str">
        <f t="shared" si="0"/>
        <v>komorkowy</v>
      </c>
      <c r="C44" s="1">
        <v>42919</v>
      </c>
      <c r="D44" s="2">
        <v>0.46224537037037039</v>
      </c>
      <c r="E44" s="2">
        <v>0.46390046296296295</v>
      </c>
    </row>
    <row r="45" spans="1:5" x14ac:dyDescent="0.25">
      <c r="A45">
        <v>73690742</v>
      </c>
      <c r="B45" t="str">
        <f t="shared" si="0"/>
        <v>komorkowy</v>
      </c>
      <c r="C45" s="1">
        <v>42919</v>
      </c>
      <c r="D45" s="2">
        <v>0.46766203703703701</v>
      </c>
      <c r="E45" s="2">
        <v>0.4767939814814815</v>
      </c>
    </row>
    <row r="46" spans="1:5" x14ac:dyDescent="0.25">
      <c r="A46">
        <v>5107477025</v>
      </c>
      <c r="B46" t="str">
        <f t="shared" si="0"/>
        <v>zagraniczny</v>
      </c>
      <c r="C46" s="1">
        <v>42919</v>
      </c>
      <c r="D46" s="2">
        <v>0.47125</v>
      </c>
      <c r="E46" s="2">
        <v>0.47871527777777778</v>
      </c>
    </row>
    <row r="47" spans="1:5" x14ac:dyDescent="0.25">
      <c r="A47">
        <v>4787793</v>
      </c>
      <c r="B47" t="str">
        <f t="shared" si="0"/>
        <v>stacjonarny</v>
      </c>
      <c r="C47" s="1">
        <v>42919</v>
      </c>
      <c r="D47" s="2">
        <v>0.47584490740740742</v>
      </c>
      <c r="E47" s="2">
        <v>0.48518518518518516</v>
      </c>
    </row>
    <row r="48" spans="1:5" x14ac:dyDescent="0.25">
      <c r="A48">
        <v>79381100</v>
      </c>
      <c r="B48" t="str">
        <f t="shared" si="0"/>
        <v>komorkowy</v>
      </c>
      <c r="C48" s="1">
        <v>42919</v>
      </c>
      <c r="D48" s="2">
        <v>0.48078703703703701</v>
      </c>
      <c r="E48" s="2">
        <v>0.48550925925925925</v>
      </c>
    </row>
    <row r="49" spans="1:5" x14ac:dyDescent="0.25">
      <c r="A49">
        <v>4146159</v>
      </c>
      <c r="B49" t="str">
        <f t="shared" si="0"/>
        <v>stacjonarny</v>
      </c>
      <c r="C49" s="1">
        <v>42919</v>
      </c>
      <c r="D49" s="2">
        <v>0.48123842592592592</v>
      </c>
      <c r="E49" s="2">
        <v>0.49261574074074072</v>
      </c>
    </row>
    <row r="50" spans="1:5" x14ac:dyDescent="0.25">
      <c r="A50">
        <v>13484133</v>
      </c>
      <c r="B50" t="str">
        <f t="shared" si="0"/>
        <v>komorkowy</v>
      </c>
      <c r="C50" s="1">
        <v>42919</v>
      </c>
      <c r="D50" s="2">
        <v>0.48254629629629631</v>
      </c>
      <c r="E50" s="2">
        <v>0.48739583333333331</v>
      </c>
    </row>
    <row r="51" spans="1:5" x14ac:dyDescent="0.25">
      <c r="A51">
        <v>4657345</v>
      </c>
      <c r="B51" t="str">
        <f t="shared" si="0"/>
        <v>stacjonarny</v>
      </c>
      <c r="C51" s="1">
        <v>42919</v>
      </c>
      <c r="D51" s="2">
        <v>0.48489583333333336</v>
      </c>
      <c r="E51" s="2">
        <v>0.48734953703703704</v>
      </c>
    </row>
    <row r="52" spans="1:5" x14ac:dyDescent="0.25">
      <c r="A52">
        <v>3697935</v>
      </c>
      <c r="B52" t="str">
        <f t="shared" si="0"/>
        <v>stacjonarny</v>
      </c>
      <c r="C52" s="1">
        <v>42919</v>
      </c>
      <c r="D52" s="2">
        <v>0.49054398148148148</v>
      </c>
      <c r="E52" s="2">
        <v>0.49251157407407409</v>
      </c>
    </row>
    <row r="53" spans="1:5" x14ac:dyDescent="0.25">
      <c r="A53">
        <v>2668991</v>
      </c>
      <c r="B53" t="str">
        <f t="shared" si="0"/>
        <v>stacjonarny</v>
      </c>
      <c r="C53" s="1">
        <v>42919</v>
      </c>
      <c r="D53" s="2">
        <v>0.49284722222222221</v>
      </c>
      <c r="E53" s="2">
        <v>0.50354166666666667</v>
      </c>
    </row>
    <row r="54" spans="1:5" x14ac:dyDescent="0.25">
      <c r="A54">
        <v>3520189</v>
      </c>
      <c r="B54" t="str">
        <f t="shared" si="0"/>
        <v>stacjonarny</v>
      </c>
      <c r="C54" s="1">
        <v>42919</v>
      </c>
      <c r="D54" s="2">
        <v>0.49862268518518521</v>
      </c>
      <c r="E54" s="2">
        <v>0.50287037037037041</v>
      </c>
    </row>
    <row r="55" spans="1:5" x14ac:dyDescent="0.25">
      <c r="A55">
        <v>4546455</v>
      </c>
      <c r="B55" t="str">
        <f t="shared" si="0"/>
        <v>stacjonarny</v>
      </c>
      <c r="C55" s="1">
        <v>42919</v>
      </c>
      <c r="D55" s="2">
        <v>0.50089120370370366</v>
      </c>
      <c r="E55" s="2">
        <v>0.50876157407407407</v>
      </c>
    </row>
    <row r="56" spans="1:5" x14ac:dyDescent="0.25">
      <c r="A56">
        <v>3897347</v>
      </c>
      <c r="B56" t="str">
        <f t="shared" si="0"/>
        <v>stacjonarny</v>
      </c>
      <c r="C56" s="1">
        <v>42919</v>
      </c>
      <c r="D56" s="2">
        <v>0.50549768518518523</v>
      </c>
      <c r="E56" s="2">
        <v>0.5100231481481482</v>
      </c>
    </row>
    <row r="57" spans="1:5" x14ac:dyDescent="0.25">
      <c r="A57">
        <v>1867016</v>
      </c>
      <c r="B57" t="str">
        <f t="shared" si="0"/>
        <v>stacjonarny</v>
      </c>
      <c r="C57" s="1">
        <v>42919</v>
      </c>
      <c r="D57" s="2">
        <v>0.50910879629629635</v>
      </c>
      <c r="E57" s="2">
        <v>0.50930555555555557</v>
      </c>
    </row>
    <row r="58" spans="1:5" x14ac:dyDescent="0.25">
      <c r="A58">
        <v>96949751</v>
      </c>
      <c r="B58" t="str">
        <f t="shared" si="0"/>
        <v>komorkowy</v>
      </c>
      <c r="C58" s="1">
        <v>42919</v>
      </c>
      <c r="D58" s="2">
        <v>0.51262731481481483</v>
      </c>
      <c r="E58" s="2">
        <v>0.5142592592592593</v>
      </c>
    </row>
    <row r="59" spans="1:5" x14ac:dyDescent="0.25">
      <c r="A59">
        <v>81613163</v>
      </c>
      <c r="B59" t="str">
        <f t="shared" si="0"/>
        <v>komorkowy</v>
      </c>
      <c r="C59" s="1">
        <v>42919</v>
      </c>
      <c r="D59" s="2">
        <v>0.5175925925925926</v>
      </c>
      <c r="E59" s="2">
        <v>0.52021990740740742</v>
      </c>
    </row>
    <row r="60" spans="1:5" x14ac:dyDescent="0.25">
      <c r="A60">
        <v>4250194</v>
      </c>
      <c r="B60" t="str">
        <f t="shared" si="0"/>
        <v>stacjonarny</v>
      </c>
      <c r="C60" s="1">
        <v>42919</v>
      </c>
      <c r="D60" s="2">
        <v>0.52217592592592588</v>
      </c>
      <c r="E60" s="2">
        <v>0.52918981481481486</v>
      </c>
    </row>
    <row r="61" spans="1:5" x14ac:dyDescent="0.25">
      <c r="A61">
        <v>6050344</v>
      </c>
      <c r="B61" t="str">
        <f t="shared" si="0"/>
        <v>stacjonarny</v>
      </c>
      <c r="C61" s="1">
        <v>42919</v>
      </c>
      <c r="D61" s="2">
        <v>0.52444444444444449</v>
      </c>
      <c r="E61" s="2">
        <v>0.52681712962962968</v>
      </c>
    </row>
    <row r="62" spans="1:5" x14ac:dyDescent="0.25">
      <c r="A62">
        <v>4546455</v>
      </c>
      <c r="B62" t="str">
        <f t="shared" si="0"/>
        <v>stacjonarny</v>
      </c>
      <c r="C62" s="1">
        <v>42919</v>
      </c>
      <c r="D62" s="2">
        <v>0.5258680555555556</v>
      </c>
      <c r="E62" s="2">
        <v>0.53531249999999997</v>
      </c>
    </row>
    <row r="63" spans="1:5" x14ac:dyDescent="0.25">
      <c r="A63">
        <v>7727942</v>
      </c>
      <c r="B63" t="str">
        <f t="shared" si="0"/>
        <v>stacjonarny</v>
      </c>
      <c r="C63" s="1">
        <v>42919</v>
      </c>
      <c r="D63" s="2">
        <v>0.53013888888888894</v>
      </c>
      <c r="E63" s="2">
        <v>0.53707175925925921</v>
      </c>
    </row>
    <row r="64" spans="1:5" x14ac:dyDescent="0.25">
      <c r="A64">
        <v>8249721</v>
      </c>
      <c r="B64" t="str">
        <f t="shared" si="0"/>
        <v>stacjonarny</v>
      </c>
      <c r="C64" s="1">
        <v>42919</v>
      </c>
      <c r="D64" s="2">
        <v>0.53486111111111112</v>
      </c>
      <c r="E64" s="2">
        <v>0.53756944444444443</v>
      </c>
    </row>
    <row r="65" spans="1:5" x14ac:dyDescent="0.25">
      <c r="A65">
        <v>6894270</v>
      </c>
      <c r="B65" t="str">
        <f t="shared" si="0"/>
        <v>stacjonarny</v>
      </c>
      <c r="C65" s="1">
        <v>42919</v>
      </c>
      <c r="D65" s="2">
        <v>0.53488425925925931</v>
      </c>
      <c r="E65" s="2">
        <v>0.53523148148148147</v>
      </c>
    </row>
    <row r="66" spans="1:5" x14ac:dyDescent="0.25">
      <c r="A66">
        <v>3095218</v>
      </c>
      <c r="B66" t="str">
        <f t="shared" si="0"/>
        <v>stacjonarny</v>
      </c>
      <c r="C66" s="1">
        <v>42919</v>
      </c>
      <c r="D66" s="2">
        <v>0.5358680555555555</v>
      </c>
      <c r="E66" s="2">
        <v>0.54329861111111111</v>
      </c>
    </row>
    <row r="67" spans="1:5" x14ac:dyDescent="0.25">
      <c r="A67">
        <v>45081794</v>
      </c>
      <c r="B67" t="str">
        <f t="shared" ref="B67:B130" si="1">IF(LEN(A67)=7, "stacjonarny", IF(LEN(A67)=8, "komorkowy", "zagraniczny"))</f>
        <v>komorkowy</v>
      </c>
      <c r="C67" s="1">
        <v>42919</v>
      </c>
      <c r="D67" s="2">
        <v>0.54016203703703702</v>
      </c>
      <c r="E67" s="2">
        <v>0.54297453703703702</v>
      </c>
    </row>
    <row r="68" spans="1:5" x14ac:dyDescent="0.25">
      <c r="A68">
        <v>3533271</v>
      </c>
      <c r="B68" t="str">
        <f t="shared" si="1"/>
        <v>stacjonarny</v>
      </c>
      <c r="C68" s="1">
        <v>42919</v>
      </c>
      <c r="D68" s="2">
        <v>0.54280092592592588</v>
      </c>
      <c r="E68" s="2">
        <v>0.54478009259259264</v>
      </c>
    </row>
    <row r="69" spans="1:5" x14ac:dyDescent="0.25">
      <c r="A69">
        <v>7415603</v>
      </c>
      <c r="B69" t="str">
        <f t="shared" si="1"/>
        <v>stacjonarny</v>
      </c>
      <c r="C69" s="1">
        <v>42919</v>
      </c>
      <c r="D69" s="2">
        <v>0.54848379629629629</v>
      </c>
      <c r="E69" s="2">
        <v>0.5578819444444445</v>
      </c>
    </row>
    <row r="70" spans="1:5" x14ac:dyDescent="0.25">
      <c r="A70">
        <v>9088452</v>
      </c>
      <c r="B70" t="str">
        <f t="shared" si="1"/>
        <v>stacjonarny</v>
      </c>
      <c r="C70" s="1">
        <v>42919</v>
      </c>
      <c r="D70" s="2">
        <v>0.55283564814814812</v>
      </c>
      <c r="E70" s="2">
        <v>0.55756944444444445</v>
      </c>
    </row>
    <row r="71" spans="1:5" x14ac:dyDescent="0.25">
      <c r="A71">
        <v>3379401</v>
      </c>
      <c r="B71" t="str">
        <f t="shared" si="1"/>
        <v>stacjonarny</v>
      </c>
      <c r="C71" s="1">
        <v>42919</v>
      </c>
      <c r="D71" s="2">
        <v>0.55576388888888884</v>
      </c>
      <c r="E71" s="2">
        <v>0.56342592592592589</v>
      </c>
    </row>
    <row r="72" spans="1:5" x14ac:dyDescent="0.25">
      <c r="A72">
        <v>73350537</v>
      </c>
      <c r="B72" t="str">
        <f t="shared" si="1"/>
        <v>komorkowy</v>
      </c>
      <c r="C72" s="1">
        <v>42919</v>
      </c>
      <c r="D72" s="2">
        <v>0.55722222222222217</v>
      </c>
      <c r="E72" s="2">
        <v>0.55787037037037035</v>
      </c>
    </row>
    <row r="73" spans="1:5" x14ac:dyDescent="0.25">
      <c r="A73">
        <v>83707586</v>
      </c>
      <c r="B73" t="str">
        <f t="shared" si="1"/>
        <v>komorkowy</v>
      </c>
      <c r="C73" s="1">
        <v>42919</v>
      </c>
      <c r="D73" s="2">
        <v>0.55803240740740745</v>
      </c>
      <c r="E73" s="2">
        <v>0.56174768518518514</v>
      </c>
    </row>
    <row r="74" spans="1:5" x14ac:dyDescent="0.25">
      <c r="A74">
        <v>5107477025</v>
      </c>
      <c r="B74" t="str">
        <f t="shared" si="1"/>
        <v>zagraniczny</v>
      </c>
      <c r="C74" s="1">
        <v>42919</v>
      </c>
      <c r="D74" s="2">
        <v>0.55888888888888888</v>
      </c>
      <c r="E74" s="2">
        <v>0.56745370370370374</v>
      </c>
    </row>
    <row r="75" spans="1:5" x14ac:dyDescent="0.25">
      <c r="A75">
        <v>1480206</v>
      </c>
      <c r="B75" t="str">
        <f t="shared" si="1"/>
        <v>stacjonarny</v>
      </c>
      <c r="C75" s="1">
        <v>42919</v>
      </c>
      <c r="D75" s="2">
        <v>0.5645486111111111</v>
      </c>
      <c r="E75" s="2">
        <v>0.56458333333333333</v>
      </c>
    </row>
    <row r="76" spans="1:5" x14ac:dyDescent="0.25">
      <c r="A76">
        <v>3095218</v>
      </c>
      <c r="B76" t="str">
        <f t="shared" si="1"/>
        <v>stacjonarny</v>
      </c>
      <c r="C76" s="1">
        <v>42919</v>
      </c>
      <c r="D76" s="2">
        <v>0.56555555555555559</v>
      </c>
      <c r="E76" s="2">
        <v>0.56557870370370367</v>
      </c>
    </row>
    <row r="77" spans="1:5" x14ac:dyDescent="0.25">
      <c r="A77">
        <v>2028923</v>
      </c>
      <c r="B77" t="str">
        <f t="shared" si="1"/>
        <v>stacjonarny</v>
      </c>
      <c r="C77" s="1">
        <v>42919</v>
      </c>
      <c r="D77" s="2">
        <v>0.56800925925925927</v>
      </c>
      <c r="E77" s="2">
        <v>0.57093749999999999</v>
      </c>
    </row>
    <row r="78" spans="1:5" x14ac:dyDescent="0.25">
      <c r="A78">
        <v>81880891</v>
      </c>
      <c r="B78" t="str">
        <f t="shared" si="1"/>
        <v>komorkowy</v>
      </c>
      <c r="C78" s="1">
        <v>42919</v>
      </c>
      <c r="D78" s="2">
        <v>0.57141203703703702</v>
      </c>
      <c r="E78" s="2">
        <v>0.57547453703703699</v>
      </c>
    </row>
    <row r="79" spans="1:5" x14ac:dyDescent="0.25">
      <c r="A79">
        <v>4274149</v>
      </c>
      <c r="B79" t="str">
        <f t="shared" si="1"/>
        <v>stacjonarny</v>
      </c>
      <c r="C79" s="1">
        <v>42919</v>
      </c>
      <c r="D79" s="2">
        <v>0.5717592592592593</v>
      </c>
      <c r="E79" s="2">
        <v>0.58065972222222217</v>
      </c>
    </row>
    <row r="80" spans="1:5" x14ac:dyDescent="0.25">
      <c r="A80">
        <v>3505978</v>
      </c>
      <c r="B80" t="str">
        <f t="shared" si="1"/>
        <v>stacjonarny</v>
      </c>
      <c r="C80" s="1">
        <v>42919</v>
      </c>
      <c r="D80" s="2">
        <v>0.57642361111111107</v>
      </c>
      <c r="E80" s="2">
        <v>0.5799305555555555</v>
      </c>
    </row>
    <row r="81" spans="1:5" x14ac:dyDescent="0.25">
      <c r="A81">
        <v>8504601</v>
      </c>
      <c r="B81" t="str">
        <f t="shared" si="1"/>
        <v>stacjonarny</v>
      </c>
      <c r="C81" s="1">
        <v>42919</v>
      </c>
      <c r="D81" s="2">
        <v>0.57958333333333334</v>
      </c>
      <c r="E81" s="2">
        <v>0.58056712962962964</v>
      </c>
    </row>
    <row r="82" spans="1:5" x14ac:dyDescent="0.25">
      <c r="A82">
        <v>8214927</v>
      </c>
      <c r="B82" t="str">
        <f t="shared" si="1"/>
        <v>stacjonarny</v>
      </c>
      <c r="C82" s="1">
        <v>42919</v>
      </c>
      <c r="D82" s="2">
        <v>0.5819212962962963</v>
      </c>
      <c r="E82" s="2">
        <v>0.59106481481481477</v>
      </c>
    </row>
    <row r="83" spans="1:5" x14ac:dyDescent="0.25">
      <c r="A83">
        <v>5913547</v>
      </c>
      <c r="B83" t="str">
        <f t="shared" si="1"/>
        <v>stacjonarny</v>
      </c>
      <c r="C83" s="1">
        <v>42919</v>
      </c>
      <c r="D83" s="2">
        <v>0.58414351851851853</v>
      </c>
      <c r="E83" s="2">
        <v>0.5861574074074074</v>
      </c>
    </row>
    <row r="84" spans="1:5" x14ac:dyDescent="0.25">
      <c r="A84">
        <v>3505978</v>
      </c>
      <c r="B84" t="str">
        <f t="shared" si="1"/>
        <v>stacjonarny</v>
      </c>
      <c r="C84" s="1">
        <v>42919</v>
      </c>
      <c r="D84" s="2">
        <v>0.58699074074074076</v>
      </c>
      <c r="E84" s="2">
        <v>0.59060185185185188</v>
      </c>
    </row>
    <row r="85" spans="1:5" x14ac:dyDescent="0.25">
      <c r="A85">
        <v>14783929</v>
      </c>
      <c r="B85" t="str">
        <f t="shared" si="1"/>
        <v>komorkowy</v>
      </c>
      <c r="C85" s="1">
        <v>42919</v>
      </c>
      <c r="D85" s="2">
        <v>0.5902546296296296</v>
      </c>
      <c r="E85" s="2">
        <v>0.59516203703703707</v>
      </c>
    </row>
    <row r="86" spans="1:5" x14ac:dyDescent="0.25">
      <c r="A86">
        <v>2915745</v>
      </c>
      <c r="B86" t="str">
        <f t="shared" si="1"/>
        <v>stacjonarny</v>
      </c>
      <c r="C86" s="1">
        <v>42919</v>
      </c>
      <c r="D86" s="2">
        <v>0.59324074074074074</v>
      </c>
      <c r="E86" s="2">
        <v>0.6029282407407407</v>
      </c>
    </row>
    <row r="87" spans="1:5" x14ac:dyDescent="0.25">
      <c r="A87">
        <v>1100142</v>
      </c>
      <c r="B87" t="str">
        <f t="shared" si="1"/>
        <v>stacjonarny</v>
      </c>
      <c r="C87" s="1">
        <v>42919</v>
      </c>
      <c r="D87" s="2">
        <v>0.59710648148148149</v>
      </c>
      <c r="E87" s="2">
        <v>0.6003356481481481</v>
      </c>
    </row>
    <row r="88" spans="1:5" x14ac:dyDescent="0.25">
      <c r="A88">
        <v>7795911</v>
      </c>
      <c r="B88" t="str">
        <f t="shared" si="1"/>
        <v>stacjonarny</v>
      </c>
      <c r="C88" s="1">
        <v>42919</v>
      </c>
      <c r="D88" s="2">
        <v>0.60196759259259258</v>
      </c>
      <c r="E88" s="2">
        <v>0.61259259259259258</v>
      </c>
    </row>
    <row r="89" spans="1:5" x14ac:dyDescent="0.25">
      <c r="A89">
        <v>1709455</v>
      </c>
      <c r="B89" t="str">
        <f t="shared" si="1"/>
        <v>stacjonarny</v>
      </c>
      <c r="C89" s="1">
        <v>42919</v>
      </c>
      <c r="D89" s="2">
        <v>0.60313657407407406</v>
      </c>
      <c r="E89" s="2">
        <v>0.60765046296296299</v>
      </c>
    </row>
    <row r="90" spans="1:5" x14ac:dyDescent="0.25">
      <c r="A90">
        <v>54586484</v>
      </c>
      <c r="B90" t="str">
        <f t="shared" si="1"/>
        <v>komorkowy</v>
      </c>
      <c r="C90" s="1">
        <v>42919</v>
      </c>
      <c r="D90" s="2">
        <v>0.60753472222222227</v>
      </c>
      <c r="E90" s="2">
        <v>0.61120370370370369</v>
      </c>
    </row>
    <row r="91" spans="1:5" x14ac:dyDescent="0.25">
      <c r="A91">
        <v>6674505</v>
      </c>
      <c r="B91" t="str">
        <f t="shared" si="1"/>
        <v>stacjonarny</v>
      </c>
      <c r="C91" s="1">
        <v>42919</v>
      </c>
      <c r="D91" s="2">
        <v>0.61243055555555559</v>
      </c>
      <c r="E91" s="2">
        <v>0.62267361111111108</v>
      </c>
    </row>
    <row r="92" spans="1:5" x14ac:dyDescent="0.25">
      <c r="A92">
        <v>6920814</v>
      </c>
      <c r="B92" t="str">
        <f t="shared" si="1"/>
        <v>stacjonarny</v>
      </c>
      <c r="C92" s="1">
        <v>42919</v>
      </c>
      <c r="D92" s="2">
        <v>0.6141550925925926</v>
      </c>
      <c r="E92" s="2">
        <v>0.61440972222222223</v>
      </c>
    </row>
    <row r="93" spans="1:5" x14ac:dyDescent="0.25">
      <c r="A93">
        <v>6161675</v>
      </c>
      <c r="B93" t="str">
        <f t="shared" si="1"/>
        <v>stacjonarny</v>
      </c>
      <c r="C93" s="1">
        <v>42919</v>
      </c>
      <c r="D93" s="2">
        <v>0.61449074074074073</v>
      </c>
      <c r="E93" s="2">
        <v>0.62415509259259261</v>
      </c>
    </row>
    <row r="94" spans="1:5" x14ac:dyDescent="0.25">
      <c r="A94">
        <v>8498076</v>
      </c>
      <c r="B94" t="str">
        <f t="shared" si="1"/>
        <v>stacjonarny</v>
      </c>
      <c r="C94" s="1">
        <v>42919</v>
      </c>
      <c r="D94" s="2">
        <v>0.61523148148148143</v>
      </c>
      <c r="E94" s="2">
        <v>0.62223379629629627</v>
      </c>
    </row>
    <row r="95" spans="1:5" x14ac:dyDescent="0.25">
      <c r="A95">
        <v>4174785</v>
      </c>
      <c r="B95" t="str">
        <f t="shared" si="1"/>
        <v>stacjonarny</v>
      </c>
      <c r="C95" s="1">
        <v>42919</v>
      </c>
      <c r="D95" s="2">
        <v>0.61624999999999996</v>
      </c>
      <c r="E95" s="2">
        <v>0.62702546296296291</v>
      </c>
    </row>
    <row r="96" spans="1:5" x14ac:dyDescent="0.25">
      <c r="A96">
        <v>3776937</v>
      </c>
      <c r="B96" t="str">
        <f t="shared" si="1"/>
        <v>stacjonarny</v>
      </c>
      <c r="C96" s="1">
        <v>42919</v>
      </c>
      <c r="D96" s="2">
        <v>0.61767361111111108</v>
      </c>
      <c r="E96" s="2">
        <v>0.6234143518518519</v>
      </c>
    </row>
    <row r="97" spans="1:5" x14ac:dyDescent="0.25">
      <c r="A97">
        <v>2636055</v>
      </c>
      <c r="B97" t="str">
        <f t="shared" si="1"/>
        <v>stacjonarny</v>
      </c>
      <c r="C97" s="1">
        <v>42919</v>
      </c>
      <c r="D97" s="2">
        <v>0.62174768518518519</v>
      </c>
      <c r="E97" s="2">
        <v>0.62206018518518513</v>
      </c>
    </row>
    <row r="98" spans="1:5" x14ac:dyDescent="0.25">
      <c r="A98">
        <v>4555937</v>
      </c>
      <c r="B98" t="str">
        <f t="shared" si="1"/>
        <v>stacjonarny</v>
      </c>
      <c r="C98" s="1">
        <v>42919</v>
      </c>
      <c r="D98" s="2">
        <v>0.62645833333333334</v>
      </c>
      <c r="E98" s="2">
        <v>0.63792824074074073</v>
      </c>
    </row>
    <row r="99" spans="1:5" x14ac:dyDescent="0.25">
      <c r="A99">
        <v>80306197</v>
      </c>
      <c r="B99" t="str">
        <f t="shared" si="1"/>
        <v>komorkowy</v>
      </c>
      <c r="C99" s="1">
        <v>42920</v>
      </c>
      <c r="D99" s="2">
        <v>0.33644675925925926</v>
      </c>
      <c r="E99" s="2">
        <v>0.33884259259259258</v>
      </c>
    </row>
    <row r="100" spans="1:5" x14ac:dyDescent="0.25">
      <c r="A100">
        <v>99162491</v>
      </c>
      <c r="B100" t="str">
        <f t="shared" si="1"/>
        <v>komorkowy</v>
      </c>
      <c r="C100" s="1">
        <v>42920</v>
      </c>
      <c r="D100" s="2">
        <v>0.33944444444444444</v>
      </c>
      <c r="E100" s="2">
        <v>0.35085648148148146</v>
      </c>
    </row>
    <row r="101" spans="1:5" x14ac:dyDescent="0.25">
      <c r="A101">
        <v>2109147679</v>
      </c>
      <c r="B101" t="str">
        <f t="shared" si="1"/>
        <v>zagraniczny</v>
      </c>
      <c r="C101" s="1">
        <v>42920</v>
      </c>
      <c r="D101" s="2">
        <v>0.34505787037037039</v>
      </c>
      <c r="E101" s="2">
        <v>0.35395833333333332</v>
      </c>
    </row>
    <row r="102" spans="1:5" x14ac:dyDescent="0.25">
      <c r="A102">
        <v>9422310</v>
      </c>
      <c r="B102" t="str">
        <f t="shared" si="1"/>
        <v>stacjonarny</v>
      </c>
      <c r="C102" s="1">
        <v>42920</v>
      </c>
      <c r="D102" s="2">
        <v>0.35071759259259261</v>
      </c>
      <c r="E102" s="2">
        <v>0.36206018518518518</v>
      </c>
    </row>
    <row r="103" spans="1:5" x14ac:dyDescent="0.25">
      <c r="A103">
        <v>20679187</v>
      </c>
      <c r="B103" t="str">
        <f t="shared" si="1"/>
        <v>komorkowy</v>
      </c>
      <c r="C103" s="1">
        <v>42920</v>
      </c>
      <c r="D103" s="2">
        <v>0.35372685185185188</v>
      </c>
      <c r="E103" s="2">
        <v>0.3595949074074074</v>
      </c>
    </row>
    <row r="104" spans="1:5" x14ac:dyDescent="0.25">
      <c r="A104">
        <v>6087997</v>
      </c>
      <c r="B104" t="str">
        <f t="shared" si="1"/>
        <v>stacjonarny</v>
      </c>
      <c r="C104" s="1">
        <v>42920</v>
      </c>
      <c r="D104" s="2">
        <v>0.35653935185185187</v>
      </c>
      <c r="E104" s="2">
        <v>0.36062499999999997</v>
      </c>
    </row>
    <row r="105" spans="1:5" x14ac:dyDescent="0.25">
      <c r="A105">
        <v>20679187</v>
      </c>
      <c r="B105" t="str">
        <f t="shared" si="1"/>
        <v>komorkowy</v>
      </c>
      <c r="C105" s="1">
        <v>42920</v>
      </c>
      <c r="D105" s="2">
        <v>0.35850694444444442</v>
      </c>
      <c r="E105" s="2">
        <v>0.36371527777777779</v>
      </c>
    </row>
    <row r="106" spans="1:5" x14ac:dyDescent="0.25">
      <c r="A106">
        <v>5253133</v>
      </c>
      <c r="B106" t="str">
        <f t="shared" si="1"/>
        <v>stacjonarny</v>
      </c>
      <c r="C106" s="1">
        <v>42920</v>
      </c>
      <c r="D106" s="2">
        <v>0.35986111111111113</v>
      </c>
      <c r="E106" s="2">
        <v>0.36961805555555555</v>
      </c>
    </row>
    <row r="107" spans="1:5" x14ac:dyDescent="0.25">
      <c r="A107">
        <v>96949751</v>
      </c>
      <c r="B107" t="str">
        <f t="shared" si="1"/>
        <v>komorkowy</v>
      </c>
      <c r="C107" s="1">
        <v>42920</v>
      </c>
      <c r="D107" s="2">
        <v>0.36465277777777777</v>
      </c>
      <c r="E107" s="2">
        <v>0.36525462962962962</v>
      </c>
    </row>
    <row r="108" spans="1:5" x14ac:dyDescent="0.25">
      <c r="A108">
        <v>1508356</v>
      </c>
      <c r="B108" t="str">
        <f t="shared" si="1"/>
        <v>stacjonarny</v>
      </c>
      <c r="C108" s="1">
        <v>42920</v>
      </c>
      <c r="D108" s="2">
        <v>0.37013888888888891</v>
      </c>
      <c r="E108" s="2">
        <v>0.38033564814814813</v>
      </c>
    </row>
    <row r="109" spans="1:5" x14ac:dyDescent="0.25">
      <c r="A109">
        <v>9171025</v>
      </c>
      <c r="B109" t="str">
        <f t="shared" si="1"/>
        <v>stacjonarny</v>
      </c>
      <c r="C109" s="1">
        <v>42920</v>
      </c>
      <c r="D109" s="2">
        <v>0.37292824074074077</v>
      </c>
      <c r="E109" s="2">
        <v>0.38390046296296299</v>
      </c>
    </row>
    <row r="110" spans="1:5" x14ac:dyDescent="0.25">
      <c r="A110">
        <v>7191598</v>
      </c>
      <c r="B110" t="str">
        <f t="shared" si="1"/>
        <v>stacjonarny</v>
      </c>
      <c r="C110" s="1">
        <v>42920</v>
      </c>
      <c r="D110" s="2">
        <v>0.37559027777777776</v>
      </c>
      <c r="E110" s="2">
        <v>0.37986111111111109</v>
      </c>
    </row>
    <row r="111" spans="1:5" x14ac:dyDescent="0.25">
      <c r="A111">
        <v>3505978</v>
      </c>
      <c r="B111" t="str">
        <f t="shared" si="1"/>
        <v>stacjonarny</v>
      </c>
      <c r="C111" s="1">
        <v>42920</v>
      </c>
      <c r="D111" s="2">
        <v>0.37769675925925927</v>
      </c>
      <c r="E111" s="2">
        <v>0.38211805555555556</v>
      </c>
    </row>
    <row r="112" spans="1:5" x14ac:dyDescent="0.25">
      <c r="A112">
        <v>90533733</v>
      </c>
      <c r="B112" t="str">
        <f t="shared" si="1"/>
        <v>komorkowy</v>
      </c>
      <c r="C112" s="1">
        <v>42920</v>
      </c>
      <c r="D112" s="2">
        <v>0.38092592592592595</v>
      </c>
      <c r="E112" s="2">
        <v>0.38866898148148149</v>
      </c>
    </row>
    <row r="113" spans="1:5" x14ac:dyDescent="0.25">
      <c r="A113">
        <v>6859181</v>
      </c>
      <c r="B113" t="str">
        <f t="shared" si="1"/>
        <v>stacjonarny</v>
      </c>
      <c r="C113" s="1">
        <v>42920</v>
      </c>
      <c r="D113" s="2">
        <v>0.38188657407407406</v>
      </c>
      <c r="E113" s="2">
        <v>0.38545138888888891</v>
      </c>
    </row>
    <row r="114" spans="1:5" x14ac:dyDescent="0.25">
      <c r="A114">
        <v>7207066</v>
      </c>
      <c r="B114" t="str">
        <f t="shared" si="1"/>
        <v>stacjonarny</v>
      </c>
      <c r="C114" s="1">
        <v>42920</v>
      </c>
      <c r="D114" s="2">
        <v>0.3862962962962963</v>
      </c>
      <c r="E114" s="2">
        <v>0.3883449074074074</v>
      </c>
    </row>
    <row r="115" spans="1:5" x14ac:dyDescent="0.25">
      <c r="A115">
        <v>4230507</v>
      </c>
      <c r="B115" t="str">
        <f t="shared" si="1"/>
        <v>stacjonarny</v>
      </c>
      <c r="C115" s="1">
        <v>42920</v>
      </c>
      <c r="D115" s="2">
        <v>0.38763888888888887</v>
      </c>
      <c r="E115" s="2">
        <v>0.39317129629629627</v>
      </c>
    </row>
    <row r="116" spans="1:5" x14ac:dyDescent="0.25">
      <c r="A116">
        <v>2915745</v>
      </c>
      <c r="B116" t="str">
        <f t="shared" si="1"/>
        <v>stacjonarny</v>
      </c>
      <c r="C116" s="1">
        <v>42920</v>
      </c>
      <c r="D116" s="2">
        <v>0.39210648148148147</v>
      </c>
      <c r="E116" s="2">
        <v>0.39277777777777778</v>
      </c>
    </row>
    <row r="117" spans="1:5" x14ac:dyDescent="0.25">
      <c r="A117">
        <v>2235911</v>
      </c>
      <c r="B117" t="str">
        <f t="shared" si="1"/>
        <v>stacjonarny</v>
      </c>
      <c r="C117" s="1">
        <v>42920</v>
      </c>
      <c r="D117" s="2">
        <v>0.39656249999999998</v>
      </c>
      <c r="E117" s="2">
        <v>0.40236111111111111</v>
      </c>
    </row>
    <row r="118" spans="1:5" x14ac:dyDescent="0.25">
      <c r="A118">
        <v>1611389</v>
      </c>
      <c r="B118" t="str">
        <f t="shared" si="1"/>
        <v>stacjonarny</v>
      </c>
      <c r="C118" s="1">
        <v>42920</v>
      </c>
      <c r="D118" s="2">
        <v>0.39879629629629632</v>
      </c>
      <c r="E118" s="2">
        <v>0.41033564814814816</v>
      </c>
    </row>
    <row r="119" spans="1:5" x14ac:dyDescent="0.25">
      <c r="A119">
        <v>9052652</v>
      </c>
      <c r="B119" t="str">
        <f t="shared" si="1"/>
        <v>stacjonarny</v>
      </c>
      <c r="C119" s="1">
        <v>42920</v>
      </c>
      <c r="D119" s="2">
        <v>0.3997337962962963</v>
      </c>
      <c r="E119" s="2">
        <v>0.40465277777777775</v>
      </c>
    </row>
    <row r="120" spans="1:5" x14ac:dyDescent="0.25">
      <c r="A120">
        <v>93611539</v>
      </c>
      <c r="B120" t="str">
        <f t="shared" si="1"/>
        <v>komorkowy</v>
      </c>
      <c r="C120" s="1">
        <v>42920</v>
      </c>
      <c r="D120" s="2">
        <v>0.40133101851851855</v>
      </c>
      <c r="E120" s="2">
        <v>0.40964120370370372</v>
      </c>
    </row>
    <row r="121" spans="1:5" x14ac:dyDescent="0.25">
      <c r="A121">
        <v>68966479</v>
      </c>
      <c r="B121" t="str">
        <f t="shared" si="1"/>
        <v>komorkowy</v>
      </c>
      <c r="C121" s="1">
        <v>42920</v>
      </c>
      <c r="D121" s="2">
        <v>0.40493055555555557</v>
      </c>
      <c r="E121" s="2">
        <v>0.40618055555555554</v>
      </c>
    </row>
    <row r="122" spans="1:5" x14ac:dyDescent="0.25">
      <c r="A122">
        <v>79381100</v>
      </c>
      <c r="B122" t="str">
        <f t="shared" si="1"/>
        <v>komorkowy</v>
      </c>
      <c r="C122" s="1">
        <v>42920</v>
      </c>
      <c r="D122" s="2">
        <v>0.40614583333333332</v>
      </c>
      <c r="E122" s="2">
        <v>0.41761574074074076</v>
      </c>
    </row>
    <row r="123" spans="1:5" x14ac:dyDescent="0.25">
      <c r="A123">
        <v>4697138</v>
      </c>
      <c r="B123" t="str">
        <f t="shared" si="1"/>
        <v>stacjonarny</v>
      </c>
      <c r="C123" s="1">
        <v>42920</v>
      </c>
      <c r="D123" s="2">
        <v>0.40737268518518521</v>
      </c>
      <c r="E123" s="2">
        <v>0.4102777777777778</v>
      </c>
    </row>
    <row r="124" spans="1:5" x14ac:dyDescent="0.25">
      <c r="A124">
        <v>5786740</v>
      </c>
      <c r="B124" t="str">
        <f t="shared" si="1"/>
        <v>stacjonarny</v>
      </c>
      <c r="C124" s="1">
        <v>42920</v>
      </c>
      <c r="D124" s="2">
        <v>0.40796296296296297</v>
      </c>
      <c r="E124" s="2">
        <v>0.41495370370370371</v>
      </c>
    </row>
    <row r="125" spans="1:5" x14ac:dyDescent="0.25">
      <c r="A125">
        <v>7727942</v>
      </c>
      <c r="B125" t="str">
        <f t="shared" si="1"/>
        <v>stacjonarny</v>
      </c>
      <c r="C125" s="1">
        <v>42920</v>
      </c>
      <c r="D125" s="2">
        <v>0.41097222222222224</v>
      </c>
      <c r="E125" s="2">
        <v>0.41613425925925923</v>
      </c>
    </row>
    <row r="126" spans="1:5" x14ac:dyDescent="0.25">
      <c r="A126">
        <v>8384647</v>
      </c>
      <c r="B126" t="str">
        <f t="shared" si="1"/>
        <v>stacjonarny</v>
      </c>
      <c r="C126" s="1">
        <v>42920</v>
      </c>
      <c r="D126" s="2">
        <v>0.4110300925925926</v>
      </c>
      <c r="E126" s="2">
        <v>0.42162037037037037</v>
      </c>
    </row>
    <row r="127" spans="1:5" x14ac:dyDescent="0.25">
      <c r="A127">
        <v>1858872516</v>
      </c>
      <c r="B127" t="str">
        <f t="shared" si="1"/>
        <v>zagraniczny</v>
      </c>
      <c r="C127" s="1">
        <v>42920</v>
      </c>
      <c r="D127" s="2">
        <v>0.41510416666666666</v>
      </c>
      <c r="E127" s="2">
        <v>0.41668981481481482</v>
      </c>
    </row>
    <row r="128" spans="1:5" x14ac:dyDescent="0.25">
      <c r="A128">
        <v>4546455</v>
      </c>
      <c r="B128" t="str">
        <f t="shared" si="1"/>
        <v>stacjonarny</v>
      </c>
      <c r="C128" s="1">
        <v>42920</v>
      </c>
      <c r="D128" s="2">
        <v>0.41912037037037037</v>
      </c>
      <c r="E128" s="2">
        <v>0.42031249999999998</v>
      </c>
    </row>
    <row r="129" spans="1:5" x14ac:dyDescent="0.25">
      <c r="A129">
        <v>2668991</v>
      </c>
      <c r="B129" t="str">
        <f t="shared" si="1"/>
        <v>stacjonarny</v>
      </c>
      <c r="C129" s="1">
        <v>42920</v>
      </c>
      <c r="D129" s="2">
        <v>0.42249999999999999</v>
      </c>
      <c r="E129" s="2">
        <v>0.42834490740740738</v>
      </c>
    </row>
    <row r="130" spans="1:5" x14ac:dyDescent="0.25">
      <c r="A130">
        <v>5528648</v>
      </c>
      <c r="B130" t="str">
        <f t="shared" si="1"/>
        <v>stacjonarny</v>
      </c>
      <c r="C130" s="1">
        <v>42920</v>
      </c>
      <c r="D130" s="2">
        <v>0.42591435185185184</v>
      </c>
      <c r="E130" s="2">
        <v>0.43486111111111109</v>
      </c>
    </row>
    <row r="131" spans="1:5" x14ac:dyDescent="0.25">
      <c r="A131">
        <v>2157195</v>
      </c>
      <c r="B131" t="str">
        <f t="shared" ref="B131:B194" si="2">IF(LEN(A131)=7, "stacjonarny", IF(LEN(A131)=8, "komorkowy", "zagraniczny"))</f>
        <v>stacjonarny</v>
      </c>
      <c r="C131" s="1">
        <v>42920</v>
      </c>
      <c r="D131" s="2">
        <v>0.42942129629629627</v>
      </c>
      <c r="E131" s="2">
        <v>0.4349189814814815</v>
      </c>
    </row>
    <row r="132" spans="1:5" x14ac:dyDescent="0.25">
      <c r="A132">
        <v>7747085</v>
      </c>
      <c r="B132" t="str">
        <f t="shared" si="2"/>
        <v>stacjonarny</v>
      </c>
      <c r="C132" s="1">
        <v>42920</v>
      </c>
      <c r="D132" s="2">
        <v>0.43247685185185186</v>
      </c>
      <c r="E132" s="2">
        <v>0.43613425925925925</v>
      </c>
    </row>
    <row r="133" spans="1:5" x14ac:dyDescent="0.25">
      <c r="A133">
        <v>6865106</v>
      </c>
      <c r="B133" t="str">
        <f t="shared" si="2"/>
        <v>stacjonarny</v>
      </c>
      <c r="C133" s="1">
        <v>42920</v>
      </c>
      <c r="D133" s="2">
        <v>0.43741898148148151</v>
      </c>
      <c r="E133" s="2">
        <v>0.44848379629629631</v>
      </c>
    </row>
    <row r="134" spans="1:5" x14ac:dyDescent="0.25">
      <c r="A134">
        <v>8819206</v>
      </c>
      <c r="B134" t="str">
        <f t="shared" si="2"/>
        <v>stacjonarny</v>
      </c>
      <c r="C134" s="1">
        <v>42920</v>
      </c>
      <c r="D134" s="2">
        <v>0.44068287037037035</v>
      </c>
      <c r="E134" s="2">
        <v>0.44912037037037039</v>
      </c>
    </row>
    <row r="135" spans="1:5" x14ac:dyDescent="0.25">
      <c r="A135">
        <v>3990337</v>
      </c>
      <c r="B135" t="str">
        <f t="shared" si="2"/>
        <v>stacjonarny</v>
      </c>
      <c r="C135" s="1">
        <v>42920</v>
      </c>
      <c r="D135" s="2">
        <v>0.44158564814814816</v>
      </c>
      <c r="E135" s="2">
        <v>0.4470601851851852</v>
      </c>
    </row>
    <row r="136" spans="1:5" x14ac:dyDescent="0.25">
      <c r="A136">
        <v>4238684</v>
      </c>
      <c r="B136" t="str">
        <f t="shared" si="2"/>
        <v>stacjonarny</v>
      </c>
      <c r="C136" s="1">
        <v>42920</v>
      </c>
      <c r="D136" s="2">
        <v>0.44466435185185182</v>
      </c>
      <c r="E136" s="2">
        <v>0.4535763888888889</v>
      </c>
    </row>
    <row r="137" spans="1:5" x14ac:dyDescent="0.25">
      <c r="A137">
        <v>86774913</v>
      </c>
      <c r="B137" t="str">
        <f t="shared" si="2"/>
        <v>komorkowy</v>
      </c>
      <c r="C137" s="1">
        <v>42920</v>
      </c>
      <c r="D137" s="2">
        <v>0.44548611111111114</v>
      </c>
      <c r="E137" s="2">
        <v>0.4541898148148148</v>
      </c>
    </row>
    <row r="138" spans="1:5" x14ac:dyDescent="0.25">
      <c r="A138">
        <v>93696449</v>
      </c>
      <c r="B138" t="str">
        <f t="shared" si="2"/>
        <v>komorkowy</v>
      </c>
      <c r="C138" s="1">
        <v>42920</v>
      </c>
      <c r="D138" s="2">
        <v>0.45063657407407409</v>
      </c>
      <c r="E138" s="2">
        <v>0.45581018518518518</v>
      </c>
    </row>
    <row r="139" spans="1:5" x14ac:dyDescent="0.25">
      <c r="A139">
        <v>1269611</v>
      </c>
      <c r="B139" t="str">
        <f t="shared" si="2"/>
        <v>stacjonarny</v>
      </c>
      <c r="C139" s="1">
        <v>42920</v>
      </c>
      <c r="D139" s="2">
        <v>0.45596064814814813</v>
      </c>
      <c r="E139" s="2">
        <v>0.46010416666666665</v>
      </c>
    </row>
    <row r="140" spans="1:5" x14ac:dyDescent="0.25">
      <c r="A140">
        <v>4623731</v>
      </c>
      <c r="B140" t="str">
        <f t="shared" si="2"/>
        <v>stacjonarny</v>
      </c>
      <c r="C140" s="1">
        <v>42920</v>
      </c>
      <c r="D140" s="2">
        <v>0.46053240740740742</v>
      </c>
      <c r="E140" s="2">
        <v>0.47131944444444446</v>
      </c>
    </row>
    <row r="141" spans="1:5" x14ac:dyDescent="0.25">
      <c r="A141">
        <v>4623731</v>
      </c>
      <c r="B141" t="str">
        <f t="shared" si="2"/>
        <v>stacjonarny</v>
      </c>
      <c r="C141" s="1">
        <v>42920</v>
      </c>
      <c r="D141" s="2">
        <v>0.46423611111111113</v>
      </c>
      <c r="E141" s="2">
        <v>0.46842592592592591</v>
      </c>
    </row>
    <row r="142" spans="1:5" x14ac:dyDescent="0.25">
      <c r="A142">
        <v>3127402</v>
      </c>
      <c r="B142" t="str">
        <f t="shared" si="2"/>
        <v>stacjonarny</v>
      </c>
      <c r="C142" s="1">
        <v>42920</v>
      </c>
      <c r="D142" s="2">
        <v>0.46861111111111109</v>
      </c>
      <c r="E142" s="2">
        <v>0.47747685185185185</v>
      </c>
    </row>
    <row r="143" spans="1:5" x14ac:dyDescent="0.25">
      <c r="A143">
        <v>1714791</v>
      </c>
      <c r="B143" t="str">
        <f t="shared" si="2"/>
        <v>stacjonarny</v>
      </c>
      <c r="C143" s="1">
        <v>42920</v>
      </c>
      <c r="D143" s="2">
        <v>0.47230324074074076</v>
      </c>
      <c r="E143" s="2">
        <v>0.47288194444444442</v>
      </c>
    </row>
    <row r="144" spans="1:5" x14ac:dyDescent="0.25">
      <c r="A144">
        <v>7768277</v>
      </c>
      <c r="B144" t="str">
        <f t="shared" si="2"/>
        <v>stacjonarny</v>
      </c>
      <c r="C144" s="1">
        <v>42920</v>
      </c>
      <c r="D144" s="2">
        <v>0.47453703703703703</v>
      </c>
      <c r="E144" s="2">
        <v>0.4800462962962963</v>
      </c>
    </row>
    <row r="145" spans="1:5" x14ac:dyDescent="0.25">
      <c r="A145">
        <v>4371394</v>
      </c>
      <c r="B145" t="str">
        <f t="shared" si="2"/>
        <v>stacjonarny</v>
      </c>
      <c r="C145" s="1">
        <v>42920</v>
      </c>
      <c r="D145" s="2">
        <v>0.47967592592592595</v>
      </c>
      <c r="E145" s="2">
        <v>0.48236111111111113</v>
      </c>
    </row>
    <row r="146" spans="1:5" x14ac:dyDescent="0.25">
      <c r="A146">
        <v>9803545</v>
      </c>
      <c r="B146" t="str">
        <f t="shared" si="2"/>
        <v>stacjonarny</v>
      </c>
      <c r="C146" s="1">
        <v>42920</v>
      </c>
      <c r="D146" s="2">
        <v>0.47978009259259258</v>
      </c>
      <c r="E146" s="2">
        <v>0.49125000000000002</v>
      </c>
    </row>
    <row r="147" spans="1:5" x14ac:dyDescent="0.25">
      <c r="A147">
        <v>4176704</v>
      </c>
      <c r="B147" t="str">
        <f t="shared" si="2"/>
        <v>stacjonarny</v>
      </c>
      <c r="C147" s="1">
        <v>42920</v>
      </c>
      <c r="D147" s="2">
        <v>0.47983796296296294</v>
      </c>
      <c r="E147" s="2">
        <v>0.48949074074074073</v>
      </c>
    </row>
    <row r="148" spans="1:5" x14ac:dyDescent="0.25">
      <c r="A148">
        <v>90271112</v>
      </c>
      <c r="B148" t="str">
        <f t="shared" si="2"/>
        <v>komorkowy</v>
      </c>
      <c r="C148" s="1">
        <v>42920</v>
      </c>
      <c r="D148" s="2">
        <v>0.4805787037037037</v>
      </c>
      <c r="E148" s="2">
        <v>0.48696759259259259</v>
      </c>
    </row>
    <row r="149" spans="1:5" x14ac:dyDescent="0.25">
      <c r="A149">
        <v>8136309</v>
      </c>
      <c r="B149" t="str">
        <f t="shared" si="2"/>
        <v>stacjonarny</v>
      </c>
      <c r="C149" s="1">
        <v>42920</v>
      </c>
      <c r="D149" s="2">
        <v>0.48189814814814813</v>
      </c>
      <c r="E149" s="2">
        <v>0.49115740740740743</v>
      </c>
    </row>
    <row r="150" spans="1:5" x14ac:dyDescent="0.25">
      <c r="A150">
        <v>3178616</v>
      </c>
      <c r="B150" t="str">
        <f t="shared" si="2"/>
        <v>stacjonarny</v>
      </c>
      <c r="C150" s="1">
        <v>42920</v>
      </c>
      <c r="D150" s="2">
        <v>0.48312500000000003</v>
      </c>
      <c r="E150" s="2">
        <v>0.49138888888888888</v>
      </c>
    </row>
    <row r="151" spans="1:5" x14ac:dyDescent="0.25">
      <c r="A151">
        <v>27791497</v>
      </c>
      <c r="B151" t="str">
        <f t="shared" si="2"/>
        <v>komorkowy</v>
      </c>
      <c r="C151" s="1">
        <v>42920</v>
      </c>
      <c r="D151" s="2">
        <v>0.48803240740740739</v>
      </c>
      <c r="E151" s="2">
        <v>0.49682870370370369</v>
      </c>
    </row>
    <row r="152" spans="1:5" x14ac:dyDescent="0.25">
      <c r="A152">
        <v>4738129</v>
      </c>
      <c r="B152" t="str">
        <f t="shared" si="2"/>
        <v>stacjonarny</v>
      </c>
      <c r="C152" s="1">
        <v>42920</v>
      </c>
      <c r="D152" s="2">
        <v>0.48979166666666668</v>
      </c>
      <c r="E152" s="2">
        <v>0.500462962962963</v>
      </c>
    </row>
    <row r="153" spans="1:5" x14ac:dyDescent="0.25">
      <c r="A153">
        <v>54840810</v>
      </c>
      <c r="B153" t="str">
        <f t="shared" si="2"/>
        <v>komorkowy</v>
      </c>
      <c r="C153" s="1">
        <v>42920</v>
      </c>
      <c r="D153" s="2">
        <v>0.49430555555555555</v>
      </c>
      <c r="E153" s="2">
        <v>0.50231481481481477</v>
      </c>
    </row>
    <row r="154" spans="1:5" x14ac:dyDescent="0.25">
      <c r="A154">
        <v>8885606</v>
      </c>
      <c r="B154" t="str">
        <f t="shared" si="2"/>
        <v>stacjonarny</v>
      </c>
      <c r="C154" s="1">
        <v>42920</v>
      </c>
      <c r="D154" s="2">
        <v>0.49984953703703705</v>
      </c>
      <c r="E154" s="2">
        <v>0.50960648148148147</v>
      </c>
    </row>
    <row r="155" spans="1:5" x14ac:dyDescent="0.25">
      <c r="A155">
        <v>6730442</v>
      </c>
      <c r="B155" t="str">
        <f t="shared" si="2"/>
        <v>stacjonarny</v>
      </c>
      <c r="C155" s="1">
        <v>42920</v>
      </c>
      <c r="D155" s="2">
        <v>0.50063657407407403</v>
      </c>
      <c r="E155" s="2">
        <v>0.50876157407407407</v>
      </c>
    </row>
    <row r="156" spans="1:5" x14ac:dyDescent="0.25">
      <c r="A156">
        <v>3326913</v>
      </c>
      <c r="B156" t="str">
        <f t="shared" si="2"/>
        <v>stacjonarny</v>
      </c>
      <c r="C156" s="1">
        <v>42920</v>
      </c>
      <c r="D156" s="2">
        <v>0.50594907407407408</v>
      </c>
      <c r="E156" s="2">
        <v>0.5154050925925926</v>
      </c>
    </row>
    <row r="157" spans="1:5" x14ac:dyDescent="0.25">
      <c r="A157">
        <v>9865716</v>
      </c>
      <c r="B157" t="str">
        <f t="shared" si="2"/>
        <v>stacjonarny</v>
      </c>
      <c r="C157" s="1">
        <v>42920</v>
      </c>
      <c r="D157" s="2">
        <v>0.51076388888888891</v>
      </c>
      <c r="E157" s="2">
        <v>0.51890046296296299</v>
      </c>
    </row>
    <row r="158" spans="1:5" x14ac:dyDescent="0.25">
      <c r="A158">
        <v>73284745</v>
      </c>
      <c r="B158" t="str">
        <f t="shared" si="2"/>
        <v>komorkowy</v>
      </c>
      <c r="C158" s="1">
        <v>42920</v>
      </c>
      <c r="D158" s="2">
        <v>0.51451388888888894</v>
      </c>
      <c r="E158" s="2">
        <v>0.51857638888888891</v>
      </c>
    </row>
    <row r="159" spans="1:5" x14ac:dyDescent="0.25">
      <c r="A159">
        <v>1761255</v>
      </c>
      <c r="B159" t="str">
        <f t="shared" si="2"/>
        <v>stacjonarny</v>
      </c>
      <c r="C159" s="1">
        <v>42920</v>
      </c>
      <c r="D159" s="2">
        <v>0.51958333333333329</v>
      </c>
      <c r="E159" s="2">
        <v>0.52266203703703706</v>
      </c>
    </row>
    <row r="160" spans="1:5" x14ac:dyDescent="0.25">
      <c r="A160">
        <v>48625903</v>
      </c>
      <c r="B160" t="str">
        <f t="shared" si="2"/>
        <v>komorkowy</v>
      </c>
      <c r="C160" s="1">
        <v>42920</v>
      </c>
      <c r="D160" s="2">
        <v>0.52303240740740742</v>
      </c>
      <c r="E160" s="2">
        <v>0.523900462962963</v>
      </c>
    </row>
    <row r="161" spans="1:5" x14ac:dyDescent="0.25">
      <c r="A161">
        <v>2235911</v>
      </c>
      <c r="B161" t="str">
        <f t="shared" si="2"/>
        <v>stacjonarny</v>
      </c>
      <c r="C161" s="1">
        <v>42920</v>
      </c>
      <c r="D161" s="2">
        <v>0.52454861111111106</v>
      </c>
      <c r="E161" s="2">
        <v>0.53546296296296292</v>
      </c>
    </row>
    <row r="162" spans="1:5" x14ac:dyDescent="0.25">
      <c r="A162">
        <v>18036364</v>
      </c>
      <c r="B162" t="str">
        <f t="shared" si="2"/>
        <v>komorkowy</v>
      </c>
      <c r="C162" s="1">
        <v>42920</v>
      </c>
      <c r="D162" s="2">
        <v>0.53015046296296298</v>
      </c>
      <c r="E162" s="2">
        <v>0.53275462962962961</v>
      </c>
    </row>
    <row r="163" spans="1:5" x14ac:dyDescent="0.25">
      <c r="A163">
        <v>38063903</v>
      </c>
      <c r="B163" t="str">
        <f t="shared" si="2"/>
        <v>komorkowy</v>
      </c>
      <c r="C163" s="1">
        <v>42920</v>
      </c>
      <c r="D163" s="2">
        <v>0.53465277777777775</v>
      </c>
      <c r="E163" s="2">
        <v>0.53925925925925922</v>
      </c>
    </row>
    <row r="164" spans="1:5" x14ac:dyDescent="0.25">
      <c r="A164">
        <v>4555937</v>
      </c>
      <c r="B164" t="str">
        <f t="shared" si="2"/>
        <v>stacjonarny</v>
      </c>
      <c r="C164" s="1">
        <v>42920</v>
      </c>
      <c r="D164" s="2">
        <v>0.53748842592592594</v>
      </c>
      <c r="E164" s="2">
        <v>0.54775462962962962</v>
      </c>
    </row>
    <row r="165" spans="1:5" x14ac:dyDescent="0.25">
      <c r="A165">
        <v>9422310</v>
      </c>
      <c r="B165" t="str">
        <f t="shared" si="2"/>
        <v>stacjonarny</v>
      </c>
      <c r="C165" s="1">
        <v>42920</v>
      </c>
      <c r="D165" s="2">
        <v>0.54137731481481477</v>
      </c>
      <c r="E165" s="2">
        <v>0.5506712962962963</v>
      </c>
    </row>
    <row r="166" spans="1:5" x14ac:dyDescent="0.25">
      <c r="A166">
        <v>16999529</v>
      </c>
      <c r="B166" t="str">
        <f t="shared" si="2"/>
        <v>komorkowy</v>
      </c>
      <c r="C166" s="1">
        <v>42920</v>
      </c>
      <c r="D166" s="2">
        <v>0.54395833333333332</v>
      </c>
      <c r="E166" s="2">
        <v>0.54451388888888885</v>
      </c>
    </row>
    <row r="167" spans="1:5" x14ac:dyDescent="0.25">
      <c r="A167">
        <v>8385222</v>
      </c>
      <c r="B167" t="str">
        <f t="shared" si="2"/>
        <v>stacjonarny</v>
      </c>
      <c r="C167" s="1">
        <v>42920</v>
      </c>
      <c r="D167" s="2">
        <v>0.5455092592592593</v>
      </c>
      <c r="E167" s="2">
        <v>0.54748842592592595</v>
      </c>
    </row>
    <row r="168" spans="1:5" x14ac:dyDescent="0.25">
      <c r="A168">
        <v>8086847</v>
      </c>
      <c r="B168" t="str">
        <f t="shared" si="2"/>
        <v>stacjonarny</v>
      </c>
      <c r="C168" s="1">
        <v>42920</v>
      </c>
      <c r="D168" s="2">
        <v>0.54909722222222224</v>
      </c>
      <c r="E168" s="2">
        <v>0.5524768518518518</v>
      </c>
    </row>
    <row r="169" spans="1:5" x14ac:dyDescent="0.25">
      <c r="A169">
        <v>5215912</v>
      </c>
      <c r="B169" t="str">
        <f t="shared" si="2"/>
        <v>stacjonarny</v>
      </c>
      <c r="C169" s="1">
        <v>42920</v>
      </c>
      <c r="D169" s="2">
        <v>0.5512731481481481</v>
      </c>
      <c r="E169" s="2">
        <v>0.55435185185185187</v>
      </c>
    </row>
    <row r="170" spans="1:5" x14ac:dyDescent="0.25">
      <c r="A170">
        <v>1973826522</v>
      </c>
      <c r="B170" t="str">
        <f t="shared" si="2"/>
        <v>zagraniczny</v>
      </c>
      <c r="C170" s="1">
        <v>42920</v>
      </c>
      <c r="D170" s="2">
        <v>0.5553703703703704</v>
      </c>
      <c r="E170" s="2">
        <v>0.55833333333333335</v>
      </c>
    </row>
    <row r="171" spans="1:5" x14ac:dyDescent="0.25">
      <c r="A171">
        <v>2255197</v>
      </c>
      <c r="B171" t="str">
        <f t="shared" si="2"/>
        <v>stacjonarny</v>
      </c>
      <c r="C171" s="1">
        <v>42920</v>
      </c>
      <c r="D171" s="2">
        <v>0.55905092592592598</v>
      </c>
      <c r="E171" s="2">
        <v>0.56342592592592589</v>
      </c>
    </row>
    <row r="172" spans="1:5" x14ac:dyDescent="0.25">
      <c r="A172">
        <v>6719542</v>
      </c>
      <c r="B172" t="str">
        <f t="shared" si="2"/>
        <v>stacjonarny</v>
      </c>
      <c r="C172" s="1">
        <v>42920</v>
      </c>
      <c r="D172" s="2">
        <v>0.5638657407407407</v>
      </c>
      <c r="E172" s="2">
        <v>0.56425925925925924</v>
      </c>
    </row>
    <row r="173" spans="1:5" x14ac:dyDescent="0.25">
      <c r="A173">
        <v>1837797</v>
      </c>
      <c r="B173" t="str">
        <f t="shared" si="2"/>
        <v>stacjonarny</v>
      </c>
      <c r="C173" s="1">
        <v>42920</v>
      </c>
      <c r="D173" s="2">
        <v>0.5688657407407407</v>
      </c>
      <c r="E173" s="2">
        <v>0.57524305555555555</v>
      </c>
    </row>
    <row r="174" spans="1:5" x14ac:dyDescent="0.25">
      <c r="A174">
        <v>6772052</v>
      </c>
      <c r="B174" t="str">
        <f t="shared" si="2"/>
        <v>stacjonarny</v>
      </c>
      <c r="C174" s="1">
        <v>42920</v>
      </c>
      <c r="D174" s="2">
        <v>0.57204861111111116</v>
      </c>
      <c r="E174" s="2">
        <v>0.57371527777777775</v>
      </c>
    </row>
    <row r="175" spans="1:5" x14ac:dyDescent="0.25">
      <c r="A175">
        <v>6495517</v>
      </c>
      <c r="B175" t="str">
        <f t="shared" si="2"/>
        <v>stacjonarny</v>
      </c>
      <c r="C175" s="1">
        <v>42920</v>
      </c>
      <c r="D175" s="2">
        <v>0.57347222222222227</v>
      </c>
      <c r="E175" s="2">
        <v>0.58420138888888884</v>
      </c>
    </row>
    <row r="176" spans="1:5" x14ac:dyDescent="0.25">
      <c r="A176">
        <v>6275284312</v>
      </c>
      <c r="B176" t="str">
        <f t="shared" si="2"/>
        <v>zagraniczny</v>
      </c>
      <c r="C176" s="1">
        <v>42920</v>
      </c>
      <c r="D176" s="2">
        <v>0.57861111111111108</v>
      </c>
      <c r="E176" s="2">
        <v>0.58296296296296302</v>
      </c>
    </row>
    <row r="177" spans="1:5" x14ac:dyDescent="0.25">
      <c r="A177">
        <v>5997385</v>
      </c>
      <c r="B177" t="str">
        <f t="shared" si="2"/>
        <v>stacjonarny</v>
      </c>
      <c r="C177" s="1">
        <v>42920</v>
      </c>
      <c r="D177" s="2">
        <v>0.58136574074074077</v>
      </c>
      <c r="E177" s="2">
        <v>0.58156249999999998</v>
      </c>
    </row>
    <row r="178" spans="1:5" x14ac:dyDescent="0.25">
      <c r="A178">
        <v>54586484</v>
      </c>
      <c r="B178" t="str">
        <f t="shared" si="2"/>
        <v>komorkowy</v>
      </c>
      <c r="C178" s="1">
        <v>42920</v>
      </c>
      <c r="D178" s="2">
        <v>0.58335648148148145</v>
      </c>
      <c r="E178" s="2">
        <v>0.5841319444444445</v>
      </c>
    </row>
    <row r="179" spans="1:5" x14ac:dyDescent="0.25">
      <c r="A179">
        <v>8449157</v>
      </c>
      <c r="B179" t="str">
        <f t="shared" si="2"/>
        <v>stacjonarny</v>
      </c>
      <c r="C179" s="1">
        <v>42920</v>
      </c>
      <c r="D179" s="2">
        <v>0.58377314814814818</v>
      </c>
      <c r="E179" s="2">
        <v>0.59186342592592589</v>
      </c>
    </row>
    <row r="180" spans="1:5" x14ac:dyDescent="0.25">
      <c r="A180">
        <v>1301099</v>
      </c>
      <c r="B180" t="str">
        <f t="shared" si="2"/>
        <v>stacjonarny</v>
      </c>
      <c r="C180" s="1">
        <v>42920</v>
      </c>
      <c r="D180" s="2">
        <v>0.58452546296296293</v>
      </c>
      <c r="E180" s="2">
        <v>0.58862268518518523</v>
      </c>
    </row>
    <row r="181" spans="1:5" x14ac:dyDescent="0.25">
      <c r="A181">
        <v>1774304298</v>
      </c>
      <c r="B181" t="str">
        <f t="shared" si="2"/>
        <v>zagraniczny</v>
      </c>
      <c r="C181" s="1">
        <v>42920</v>
      </c>
      <c r="D181" s="2">
        <v>0.58452546296296293</v>
      </c>
      <c r="E181" s="2">
        <v>0.59087962962962959</v>
      </c>
    </row>
    <row r="182" spans="1:5" x14ac:dyDescent="0.25">
      <c r="A182">
        <v>52165701</v>
      </c>
      <c r="B182" t="str">
        <f t="shared" si="2"/>
        <v>komorkowy</v>
      </c>
      <c r="C182" s="1">
        <v>42920</v>
      </c>
      <c r="D182" s="2">
        <v>0.59018518518518515</v>
      </c>
      <c r="E182" s="2">
        <v>0.60047453703703701</v>
      </c>
    </row>
    <row r="183" spans="1:5" x14ac:dyDescent="0.25">
      <c r="A183">
        <v>49158974</v>
      </c>
      <c r="B183" t="str">
        <f t="shared" si="2"/>
        <v>komorkowy</v>
      </c>
      <c r="C183" s="1">
        <v>42920</v>
      </c>
      <c r="D183" s="2">
        <v>0.59425925925925926</v>
      </c>
      <c r="E183" s="2">
        <v>0.59886574074074073</v>
      </c>
    </row>
    <row r="184" spans="1:5" x14ac:dyDescent="0.25">
      <c r="A184">
        <v>6231537</v>
      </c>
      <c r="B184" t="str">
        <f t="shared" si="2"/>
        <v>stacjonarny</v>
      </c>
      <c r="C184" s="1">
        <v>42920</v>
      </c>
      <c r="D184" s="2">
        <v>0.59767361111111106</v>
      </c>
      <c r="E184" s="2">
        <v>0.6026273148148148</v>
      </c>
    </row>
    <row r="185" spans="1:5" x14ac:dyDescent="0.25">
      <c r="A185">
        <v>6965661375</v>
      </c>
      <c r="B185" t="str">
        <f t="shared" si="2"/>
        <v>zagraniczny</v>
      </c>
      <c r="C185" s="1">
        <v>42920</v>
      </c>
      <c r="D185" s="2">
        <v>0.59995370370370371</v>
      </c>
      <c r="E185" s="2">
        <v>0.60442129629629626</v>
      </c>
    </row>
    <row r="186" spans="1:5" x14ac:dyDescent="0.25">
      <c r="A186">
        <v>4555937</v>
      </c>
      <c r="B186" t="str">
        <f t="shared" si="2"/>
        <v>stacjonarny</v>
      </c>
      <c r="C186" s="1">
        <v>42920</v>
      </c>
      <c r="D186" s="2">
        <v>0.60509259259259263</v>
      </c>
      <c r="E186" s="2">
        <v>0.60509259259259263</v>
      </c>
    </row>
    <row r="187" spans="1:5" x14ac:dyDescent="0.25">
      <c r="A187">
        <v>8831940</v>
      </c>
      <c r="B187" t="str">
        <f t="shared" si="2"/>
        <v>stacjonarny</v>
      </c>
      <c r="C187" s="1">
        <v>42920</v>
      </c>
      <c r="D187" s="2">
        <v>0.6066435185185185</v>
      </c>
      <c r="E187" s="2">
        <v>0.61133101851851857</v>
      </c>
    </row>
    <row r="188" spans="1:5" x14ac:dyDescent="0.25">
      <c r="A188">
        <v>7421868</v>
      </c>
      <c r="B188" t="str">
        <f t="shared" si="2"/>
        <v>stacjonarny</v>
      </c>
      <c r="C188" s="1">
        <v>42920</v>
      </c>
      <c r="D188" s="2">
        <v>0.61136574074074079</v>
      </c>
      <c r="E188" s="2">
        <v>0.61636574074074069</v>
      </c>
    </row>
    <row r="189" spans="1:5" x14ac:dyDescent="0.25">
      <c r="A189">
        <v>5131341</v>
      </c>
      <c r="B189" t="str">
        <f t="shared" si="2"/>
        <v>stacjonarny</v>
      </c>
      <c r="C189" s="1">
        <v>42920</v>
      </c>
      <c r="D189" s="2">
        <v>0.61186342592592591</v>
      </c>
      <c r="E189" s="2">
        <v>0.61896990740740743</v>
      </c>
    </row>
    <row r="190" spans="1:5" x14ac:dyDescent="0.25">
      <c r="A190">
        <v>3121850</v>
      </c>
      <c r="B190" t="str">
        <f t="shared" si="2"/>
        <v>stacjonarny</v>
      </c>
      <c r="C190" s="1">
        <v>42920</v>
      </c>
      <c r="D190" s="2">
        <v>0.61410879629629633</v>
      </c>
      <c r="E190" s="2">
        <v>0.6216666666666667</v>
      </c>
    </row>
    <row r="191" spans="1:5" x14ac:dyDescent="0.25">
      <c r="A191">
        <v>6905863</v>
      </c>
      <c r="B191" t="str">
        <f t="shared" si="2"/>
        <v>stacjonarny</v>
      </c>
      <c r="C191" s="1">
        <v>42920</v>
      </c>
      <c r="D191" s="2">
        <v>0.6186342592592593</v>
      </c>
      <c r="E191" s="2">
        <v>0.62296296296296294</v>
      </c>
    </row>
    <row r="192" spans="1:5" x14ac:dyDescent="0.25">
      <c r="A192">
        <v>2514802</v>
      </c>
      <c r="B192" t="str">
        <f t="shared" si="2"/>
        <v>stacjonarny</v>
      </c>
      <c r="C192" s="1">
        <v>42920</v>
      </c>
      <c r="D192" s="2">
        <v>0.6186342592592593</v>
      </c>
      <c r="E192" s="2">
        <v>0.6265856481481481</v>
      </c>
    </row>
    <row r="193" spans="1:5" x14ac:dyDescent="0.25">
      <c r="A193">
        <v>93696449</v>
      </c>
      <c r="B193" t="str">
        <f t="shared" si="2"/>
        <v>komorkowy</v>
      </c>
      <c r="C193" s="1">
        <v>42920</v>
      </c>
      <c r="D193" s="2">
        <v>0.6227314814814815</v>
      </c>
      <c r="E193" s="2">
        <v>0.63056712962962957</v>
      </c>
    </row>
    <row r="194" spans="1:5" x14ac:dyDescent="0.25">
      <c r="A194">
        <v>3931464</v>
      </c>
      <c r="B194" t="str">
        <f t="shared" si="2"/>
        <v>stacjonarny</v>
      </c>
      <c r="C194" s="1">
        <v>42920</v>
      </c>
      <c r="D194" s="2">
        <v>0.62381944444444448</v>
      </c>
      <c r="E194" s="2">
        <v>0.6322106481481482</v>
      </c>
    </row>
    <row r="195" spans="1:5" x14ac:dyDescent="0.25">
      <c r="A195">
        <v>1583683</v>
      </c>
      <c r="B195" t="str">
        <f t="shared" ref="B195:B258" si="3">IF(LEN(A195)=7, "stacjonarny", IF(LEN(A195)=8, "komorkowy", "zagraniczny"))</f>
        <v>stacjonarny</v>
      </c>
      <c r="C195" s="1">
        <v>42920</v>
      </c>
      <c r="D195" s="2">
        <v>0.6275694444444444</v>
      </c>
      <c r="E195" s="2">
        <v>0.63215277777777779</v>
      </c>
    </row>
    <row r="196" spans="1:5" x14ac:dyDescent="0.25">
      <c r="A196">
        <v>52165701</v>
      </c>
      <c r="B196" t="str">
        <f t="shared" si="3"/>
        <v>komorkowy</v>
      </c>
      <c r="C196" s="1">
        <v>42921</v>
      </c>
      <c r="D196" s="2">
        <v>0.33545138888888887</v>
      </c>
      <c r="E196" s="2">
        <v>0.3435300925925926</v>
      </c>
    </row>
    <row r="197" spans="1:5" x14ac:dyDescent="0.25">
      <c r="A197">
        <v>1521041994</v>
      </c>
      <c r="B197" t="str">
        <f t="shared" si="3"/>
        <v>zagraniczny</v>
      </c>
      <c r="C197" s="1">
        <v>42921</v>
      </c>
      <c r="D197" s="2">
        <v>0.34099537037037037</v>
      </c>
      <c r="E197" s="2">
        <v>0.34749999999999998</v>
      </c>
    </row>
    <row r="198" spans="1:5" x14ac:dyDescent="0.25">
      <c r="A198">
        <v>9187410</v>
      </c>
      <c r="B198" t="str">
        <f t="shared" si="3"/>
        <v>stacjonarny</v>
      </c>
      <c r="C198" s="1">
        <v>42921</v>
      </c>
      <c r="D198" s="2">
        <v>0.34662037037037036</v>
      </c>
      <c r="E198" s="2">
        <v>0.34908564814814813</v>
      </c>
    </row>
    <row r="199" spans="1:5" x14ac:dyDescent="0.25">
      <c r="A199">
        <v>8228350</v>
      </c>
      <c r="B199" t="str">
        <f t="shared" si="3"/>
        <v>stacjonarny</v>
      </c>
      <c r="C199" s="1">
        <v>42921</v>
      </c>
      <c r="D199" s="2">
        <v>0.34667824074074072</v>
      </c>
      <c r="E199" s="2">
        <v>0.3473148148148148</v>
      </c>
    </row>
    <row r="200" spans="1:5" x14ac:dyDescent="0.25">
      <c r="A200">
        <v>8313390</v>
      </c>
      <c r="B200" t="str">
        <f t="shared" si="3"/>
        <v>stacjonarny</v>
      </c>
      <c r="C200" s="1">
        <v>42921</v>
      </c>
      <c r="D200" s="2">
        <v>0.34903935185185186</v>
      </c>
      <c r="E200" s="2">
        <v>0.35381944444444446</v>
      </c>
    </row>
    <row r="201" spans="1:5" x14ac:dyDescent="0.25">
      <c r="A201">
        <v>5508903</v>
      </c>
      <c r="B201" t="str">
        <f t="shared" si="3"/>
        <v>stacjonarny</v>
      </c>
      <c r="C201" s="1">
        <v>42921</v>
      </c>
      <c r="D201" s="2">
        <v>0.34915509259259259</v>
      </c>
      <c r="E201" s="2">
        <v>0.3605902777777778</v>
      </c>
    </row>
    <row r="202" spans="1:5" x14ac:dyDescent="0.25">
      <c r="A202">
        <v>3102910</v>
      </c>
      <c r="B202" t="str">
        <f t="shared" si="3"/>
        <v>stacjonarny</v>
      </c>
      <c r="C202" s="1">
        <v>42921</v>
      </c>
      <c r="D202" s="2">
        <v>0.35150462962962964</v>
      </c>
      <c r="E202" s="2">
        <v>0.35672453703703705</v>
      </c>
    </row>
    <row r="203" spans="1:5" x14ac:dyDescent="0.25">
      <c r="A203">
        <v>45948073</v>
      </c>
      <c r="B203" t="str">
        <f t="shared" si="3"/>
        <v>komorkowy</v>
      </c>
      <c r="C203" s="1">
        <v>42921</v>
      </c>
      <c r="D203" s="2">
        <v>0.35574074074074075</v>
      </c>
      <c r="E203" s="2">
        <v>0.36162037037037037</v>
      </c>
    </row>
    <row r="204" spans="1:5" x14ac:dyDescent="0.25">
      <c r="A204">
        <v>73690742</v>
      </c>
      <c r="B204" t="str">
        <f t="shared" si="3"/>
        <v>komorkowy</v>
      </c>
      <c r="C204" s="1">
        <v>42921</v>
      </c>
      <c r="D204" s="2">
        <v>0.35829861111111111</v>
      </c>
      <c r="E204" s="2">
        <v>0.36826388888888889</v>
      </c>
    </row>
    <row r="205" spans="1:5" x14ac:dyDescent="0.25">
      <c r="A205">
        <v>58037769</v>
      </c>
      <c r="B205" t="str">
        <f t="shared" si="3"/>
        <v>komorkowy</v>
      </c>
      <c r="C205" s="1">
        <v>42921</v>
      </c>
      <c r="D205" s="2">
        <v>0.36261574074074077</v>
      </c>
      <c r="E205" s="2">
        <v>0.36730324074074072</v>
      </c>
    </row>
    <row r="206" spans="1:5" x14ac:dyDescent="0.25">
      <c r="A206">
        <v>3434934</v>
      </c>
      <c r="B206" t="str">
        <f t="shared" si="3"/>
        <v>stacjonarny</v>
      </c>
      <c r="C206" s="1">
        <v>42921</v>
      </c>
      <c r="D206" s="2">
        <v>0.36760416666666668</v>
      </c>
      <c r="E206" s="2">
        <v>0.37854166666666667</v>
      </c>
    </row>
    <row r="207" spans="1:5" x14ac:dyDescent="0.25">
      <c r="A207">
        <v>4963499</v>
      </c>
      <c r="B207" t="str">
        <f t="shared" si="3"/>
        <v>stacjonarny</v>
      </c>
      <c r="C207" s="1">
        <v>42921</v>
      </c>
      <c r="D207" s="2">
        <v>0.37008101851851855</v>
      </c>
      <c r="E207" s="2">
        <v>0.37175925925925923</v>
      </c>
    </row>
    <row r="208" spans="1:5" x14ac:dyDescent="0.25">
      <c r="A208">
        <v>7904403</v>
      </c>
      <c r="B208" t="str">
        <f t="shared" si="3"/>
        <v>stacjonarny</v>
      </c>
      <c r="C208" s="1">
        <v>42921</v>
      </c>
      <c r="D208" s="2">
        <v>0.37361111111111112</v>
      </c>
      <c r="E208" s="2">
        <v>0.3772800925925926</v>
      </c>
    </row>
    <row r="209" spans="1:5" x14ac:dyDescent="0.25">
      <c r="A209">
        <v>4389240</v>
      </c>
      <c r="B209" t="str">
        <f t="shared" si="3"/>
        <v>stacjonarny</v>
      </c>
      <c r="C209" s="1">
        <v>42921</v>
      </c>
      <c r="D209" s="2">
        <v>0.37711805555555555</v>
      </c>
      <c r="E209" s="2">
        <v>0.37886574074074075</v>
      </c>
    </row>
    <row r="210" spans="1:5" x14ac:dyDescent="0.25">
      <c r="A210">
        <v>68647339</v>
      </c>
      <c r="B210" t="str">
        <f t="shared" si="3"/>
        <v>komorkowy</v>
      </c>
      <c r="C210" s="1">
        <v>42921</v>
      </c>
      <c r="D210" s="2">
        <v>0.38180555555555556</v>
      </c>
      <c r="E210" s="2">
        <v>0.39295138888888886</v>
      </c>
    </row>
    <row r="211" spans="1:5" x14ac:dyDescent="0.25">
      <c r="A211">
        <v>8461631</v>
      </c>
      <c r="B211" t="str">
        <f t="shared" si="3"/>
        <v>stacjonarny</v>
      </c>
      <c r="C211" s="1">
        <v>42921</v>
      </c>
      <c r="D211" s="2">
        <v>0.38335648148148149</v>
      </c>
      <c r="E211" s="2">
        <v>0.38451388888888888</v>
      </c>
    </row>
    <row r="212" spans="1:5" x14ac:dyDescent="0.25">
      <c r="A212">
        <v>3087246</v>
      </c>
      <c r="B212" t="str">
        <f t="shared" si="3"/>
        <v>stacjonarny</v>
      </c>
      <c r="C212" s="1">
        <v>42921</v>
      </c>
      <c r="D212" s="2">
        <v>0.38633101851851853</v>
      </c>
      <c r="E212" s="2">
        <v>0.39391203703703703</v>
      </c>
    </row>
    <row r="213" spans="1:5" x14ac:dyDescent="0.25">
      <c r="A213">
        <v>9321082</v>
      </c>
      <c r="B213" t="str">
        <f t="shared" si="3"/>
        <v>stacjonarny</v>
      </c>
      <c r="C213" s="1">
        <v>42921</v>
      </c>
      <c r="D213" s="2">
        <v>0.38976851851851851</v>
      </c>
      <c r="E213" s="2">
        <v>0.40090277777777777</v>
      </c>
    </row>
    <row r="214" spans="1:5" x14ac:dyDescent="0.25">
      <c r="A214">
        <v>4941247888</v>
      </c>
      <c r="B214" t="str">
        <f t="shared" si="3"/>
        <v>zagraniczny</v>
      </c>
      <c r="C214" s="1">
        <v>42921</v>
      </c>
      <c r="D214" s="2">
        <v>0.39114583333333336</v>
      </c>
      <c r="E214" s="2">
        <v>0.39870370370370373</v>
      </c>
    </row>
    <row r="215" spans="1:5" x14ac:dyDescent="0.25">
      <c r="A215">
        <v>13484133</v>
      </c>
      <c r="B215" t="str">
        <f t="shared" si="3"/>
        <v>komorkowy</v>
      </c>
      <c r="C215" s="1">
        <v>42921</v>
      </c>
      <c r="D215" s="2">
        <v>0.3959375</v>
      </c>
      <c r="E215" s="2">
        <v>0.3982060185185185</v>
      </c>
    </row>
    <row r="216" spans="1:5" x14ac:dyDescent="0.25">
      <c r="A216">
        <v>9610703</v>
      </c>
      <c r="B216" t="str">
        <f t="shared" si="3"/>
        <v>stacjonarny</v>
      </c>
      <c r="C216" s="1">
        <v>42921</v>
      </c>
      <c r="D216" s="2">
        <v>0.40074074074074073</v>
      </c>
      <c r="E216" s="2">
        <v>0.40766203703703702</v>
      </c>
    </row>
    <row r="217" spans="1:5" x14ac:dyDescent="0.25">
      <c r="A217">
        <v>7236035</v>
      </c>
      <c r="B217" t="str">
        <f t="shared" si="3"/>
        <v>stacjonarny</v>
      </c>
      <c r="C217" s="1">
        <v>42921</v>
      </c>
      <c r="D217" s="2">
        <v>0.40517361111111111</v>
      </c>
      <c r="E217" s="2">
        <v>0.41189814814814812</v>
      </c>
    </row>
    <row r="218" spans="1:5" x14ac:dyDescent="0.25">
      <c r="A218">
        <v>7236035</v>
      </c>
      <c r="B218" t="str">
        <f t="shared" si="3"/>
        <v>stacjonarny</v>
      </c>
      <c r="C218" s="1">
        <v>42921</v>
      </c>
      <c r="D218" s="2">
        <v>0.4089814814814815</v>
      </c>
      <c r="E218" s="2">
        <v>0.41927083333333331</v>
      </c>
    </row>
    <row r="219" spans="1:5" x14ac:dyDescent="0.25">
      <c r="A219">
        <v>2675422</v>
      </c>
      <c r="B219" t="str">
        <f t="shared" si="3"/>
        <v>stacjonarny</v>
      </c>
      <c r="C219" s="1">
        <v>42921</v>
      </c>
      <c r="D219" s="2">
        <v>0.41393518518518518</v>
      </c>
      <c r="E219" s="2">
        <v>0.42075231481481479</v>
      </c>
    </row>
    <row r="220" spans="1:5" x14ac:dyDescent="0.25">
      <c r="A220">
        <v>99056276</v>
      </c>
      <c r="B220" t="str">
        <f t="shared" si="3"/>
        <v>komorkowy</v>
      </c>
      <c r="C220" s="1">
        <v>42921</v>
      </c>
      <c r="D220" s="2">
        <v>0.41749999999999998</v>
      </c>
      <c r="E220" s="2">
        <v>0.42891203703703706</v>
      </c>
    </row>
    <row r="221" spans="1:5" x14ac:dyDescent="0.25">
      <c r="A221">
        <v>1715377</v>
      </c>
      <c r="B221" t="str">
        <f t="shared" si="3"/>
        <v>stacjonarny</v>
      </c>
      <c r="C221" s="1">
        <v>42921</v>
      </c>
      <c r="D221" s="2">
        <v>0.41847222222222225</v>
      </c>
      <c r="E221" s="2">
        <v>0.42833333333333334</v>
      </c>
    </row>
    <row r="222" spans="1:5" x14ac:dyDescent="0.25">
      <c r="A222">
        <v>6700458395</v>
      </c>
      <c r="B222" t="str">
        <f t="shared" si="3"/>
        <v>zagraniczny</v>
      </c>
      <c r="C222" s="1">
        <v>42921</v>
      </c>
      <c r="D222" s="2">
        <v>0.42149305555555555</v>
      </c>
      <c r="E222" s="2">
        <v>0.42678240740740742</v>
      </c>
    </row>
    <row r="223" spans="1:5" x14ac:dyDescent="0.25">
      <c r="A223">
        <v>2211277198</v>
      </c>
      <c r="B223" t="str">
        <f t="shared" si="3"/>
        <v>zagraniczny</v>
      </c>
      <c r="C223" s="1">
        <v>42921</v>
      </c>
      <c r="D223" s="2">
        <v>0.42168981481481482</v>
      </c>
      <c r="E223" s="2">
        <v>0.42326388888888888</v>
      </c>
    </row>
    <row r="224" spans="1:5" x14ac:dyDescent="0.25">
      <c r="A224">
        <v>9866373</v>
      </c>
      <c r="B224" t="str">
        <f t="shared" si="3"/>
        <v>stacjonarny</v>
      </c>
      <c r="C224" s="1">
        <v>42921</v>
      </c>
      <c r="D224" s="2">
        <v>0.42202546296296295</v>
      </c>
      <c r="E224" s="2">
        <v>0.42905092592592592</v>
      </c>
    </row>
    <row r="225" spans="1:5" x14ac:dyDescent="0.25">
      <c r="A225">
        <v>4526057</v>
      </c>
      <c r="B225" t="str">
        <f t="shared" si="3"/>
        <v>stacjonarny</v>
      </c>
      <c r="C225" s="1">
        <v>42921</v>
      </c>
      <c r="D225" s="2">
        <v>0.42313657407407407</v>
      </c>
      <c r="E225" s="2">
        <v>0.42508101851851854</v>
      </c>
    </row>
    <row r="226" spans="1:5" x14ac:dyDescent="0.25">
      <c r="A226">
        <v>70786056</v>
      </c>
      <c r="B226" t="str">
        <f t="shared" si="3"/>
        <v>komorkowy</v>
      </c>
      <c r="C226" s="1">
        <v>42921</v>
      </c>
      <c r="D226" s="2">
        <v>0.42357638888888888</v>
      </c>
      <c r="E226" s="2">
        <v>0.4253587962962963</v>
      </c>
    </row>
    <row r="227" spans="1:5" x14ac:dyDescent="0.25">
      <c r="A227">
        <v>9874705</v>
      </c>
      <c r="B227" t="str">
        <f t="shared" si="3"/>
        <v>stacjonarny</v>
      </c>
      <c r="C227" s="1">
        <v>42921</v>
      </c>
      <c r="D227" s="2">
        <v>0.4274074074074074</v>
      </c>
      <c r="E227" s="2">
        <v>0.43408564814814815</v>
      </c>
    </row>
    <row r="228" spans="1:5" x14ac:dyDescent="0.25">
      <c r="A228">
        <v>2506618</v>
      </c>
      <c r="B228" t="str">
        <f t="shared" si="3"/>
        <v>stacjonarny</v>
      </c>
      <c r="C228" s="1">
        <v>42921</v>
      </c>
      <c r="D228" s="2">
        <v>0.43084490740740738</v>
      </c>
      <c r="E228" s="2">
        <v>0.43738425925925928</v>
      </c>
    </row>
    <row r="229" spans="1:5" x14ac:dyDescent="0.25">
      <c r="A229">
        <v>6312575</v>
      </c>
      <c r="B229" t="str">
        <f t="shared" si="3"/>
        <v>stacjonarny</v>
      </c>
      <c r="C229" s="1">
        <v>42921</v>
      </c>
      <c r="D229" s="2">
        <v>0.43234953703703705</v>
      </c>
      <c r="E229" s="2">
        <v>0.44233796296296296</v>
      </c>
    </row>
    <row r="230" spans="1:5" x14ac:dyDescent="0.25">
      <c r="A230">
        <v>9620895</v>
      </c>
      <c r="B230" t="str">
        <f t="shared" si="3"/>
        <v>stacjonarny</v>
      </c>
      <c r="C230" s="1">
        <v>42921</v>
      </c>
      <c r="D230" s="2">
        <v>0.4362847222222222</v>
      </c>
      <c r="E230" s="2">
        <v>0.44714120370370369</v>
      </c>
    </row>
    <row r="231" spans="1:5" x14ac:dyDescent="0.25">
      <c r="A231">
        <v>8187780</v>
      </c>
      <c r="B231" t="str">
        <f t="shared" si="3"/>
        <v>stacjonarny</v>
      </c>
      <c r="C231" s="1">
        <v>42921</v>
      </c>
      <c r="D231" s="2">
        <v>0.43898148148148147</v>
      </c>
      <c r="E231" s="2">
        <v>0.44800925925925927</v>
      </c>
    </row>
    <row r="232" spans="1:5" x14ac:dyDescent="0.25">
      <c r="A232">
        <v>4176999</v>
      </c>
      <c r="B232" t="str">
        <f t="shared" si="3"/>
        <v>stacjonarny</v>
      </c>
      <c r="C232" s="1">
        <v>42921</v>
      </c>
      <c r="D232" s="2">
        <v>0.44148148148148147</v>
      </c>
      <c r="E232" s="2">
        <v>0.45222222222222225</v>
      </c>
    </row>
    <row r="233" spans="1:5" x14ac:dyDescent="0.25">
      <c r="A233">
        <v>9937257</v>
      </c>
      <c r="B233" t="str">
        <f t="shared" si="3"/>
        <v>stacjonarny</v>
      </c>
      <c r="C233" s="1">
        <v>42921</v>
      </c>
      <c r="D233" s="2">
        <v>0.44383101851851853</v>
      </c>
      <c r="E233" s="2">
        <v>0.44697916666666665</v>
      </c>
    </row>
    <row r="234" spans="1:5" x14ac:dyDescent="0.25">
      <c r="A234">
        <v>4363716</v>
      </c>
      <c r="B234" t="str">
        <f t="shared" si="3"/>
        <v>stacjonarny</v>
      </c>
      <c r="C234" s="1">
        <v>42921</v>
      </c>
      <c r="D234" s="2">
        <v>0.44436342592592593</v>
      </c>
      <c r="E234" s="2">
        <v>0.45106481481481481</v>
      </c>
    </row>
    <row r="235" spans="1:5" x14ac:dyDescent="0.25">
      <c r="A235">
        <v>96323047</v>
      </c>
      <c r="B235" t="str">
        <f t="shared" si="3"/>
        <v>komorkowy</v>
      </c>
      <c r="C235" s="1">
        <v>42921</v>
      </c>
      <c r="D235" s="2">
        <v>0.44962962962962966</v>
      </c>
      <c r="E235" s="2">
        <v>0.45341435185185186</v>
      </c>
    </row>
    <row r="236" spans="1:5" x14ac:dyDescent="0.25">
      <c r="A236">
        <v>2750193</v>
      </c>
      <c r="B236" t="str">
        <f t="shared" si="3"/>
        <v>stacjonarny</v>
      </c>
      <c r="C236" s="1">
        <v>42921</v>
      </c>
      <c r="D236" s="2">
        <v>0.45445601851851852</v>
      </c>
      <c r="E236" s="2">
        <v>0.455625</v>
      </c>
    </row>
    <row r="237" spans="1:5" x14ac:dyDescent="0.25">
      <c r="A237">
        <v>7973319</v>
      </c>
      <c r="B237" t="str">
        <f t="shared" si="3"/>
        <v>stacjonarny</v>
      </c>
      <c r="C237" s="1">
        <v>42921</v>
      </c>
      <c r="D237" s="2">
        <v>0.45565972222222223</v>
      </c>
      <c r="E237" s="2">
        <v>0.46090277777777777</v>
      </c>
    </row>
    <row r="238" spans="1:5" x14ac:dyDescent="0.25">
      <c r="A238">
        <v>1908394</v>
      </c>
      <c r="B238" t="str">
        <f t="shared" si="3"/>
        <v>stacjonarny</v>
      </c>
      <c r="C238" s="1">
        <v>42921</v>
      </c>
      <c r="D238" s="2">
        <v>0.45825231481481482</v>
      </c>
      <c r="E238" s="2">
        <v>0.46818287037037037</v>
      </c>
    </row>
    <row r="239" spans="1:5" x14ac:dyDescent="0.25">
      <c r="A239">
        <v>19116274</v>
      </c>
      <c r="B239" t="str">
        <f t="shared" si="3"/>
        <v>komorkowy</v>
      </c>
      <c r="C239" s="1">
        <v>42921</v>
      </c>
      <c r="D239" s="2">
        <v>0.46032407407407405</v>
      </c>
      <c r="E239" s="2">
        <v>0.46797453703703706</v>
      </c>
    </row>
    <row r="240" spans="1:5" x14ac:dyDescent="0.25">
      <c r="A240">
        <v>1235622</v>
      </c>
      <c r="B240" t="str">
        <f t="shared" si="3"/>
        <v>stacjonarny</v>
      </c>
      <c r="C240" s="1">
        <v>42921</v>
      </c>
      <c r="D240" s="2">
        <v>0.46460648148148148</v>
      </c>
      <c r="E240" s="2">
        <v>0.47087962962962965</v>
      </c>
    </row>
    <row r="241" spans="1:5" x14ac:dyDescent="0.25">
      <c r="A241">
        <v>1926053</v>
      </c>
      <c r="B241" t="str">
        <f t="shared" si="3"/>
        <v>stacjonarny</v>
      </c>
      <c r="C241" s="1">
        <v>42921</v>
      </c>
      <c r="D241" s="2">
        <v>0.46751157407407407</v>
      </c>
      <c r="E241" s="2">
        <v>0.46879629629629632</v>
      </c>
    </row>
    <row r="242" spans="1:5" x14ac:dyDescent="0.25">
      <c r="A242">
        <v>1458287</v>
      </c>
      <c r="B242" t="str">
        <f t="shared" si="3"/>
        <v>stacjonarny</v>
      </c>
      <c r="C242" s="1">
        <v>42921</v>
      </c>
      <c r="D242" s="2">
        <v>0.47060185185185183</v>
      </c>
      <c r="E242" s="2">
        <v>0.47584490740740742</v>
      </c>
    </row>
    <row r="243" spans="1:5" x14ac:dyDescent="0.25">
      <c r="A243">
        <v>3758539398</v>
      </c>
      <c r="B243" t="str">
        <f t="shared" si="3"/>
        <v>zagraniczny</v>
      </c>
      <c r="C243" s="1">
        <v>42921</v>
      </c>
      <c r="D243" s="2">
        <v>0.47296296296296297</v>
      </c>
      <c r="E243" s="2">
        <v>0.47506944444444443</v>
      </c>
    </row>
    <row r="244" spans="1:5" x14ac:dyDescent="0.25">
      <c r="A244">
        <v>8471021</v>
      </c>
      <c r="B244" t="str">
        <f t="shared" si="3"/>
        <v>stacjonarny</v>
      </c>
      <c r="C244" s="1">
        <v>42921</v>
      </c>
      <c r="D244" s="2">
        <v>0.47431712962962963</v>
      </c>
      <c r="E244" s="2">
        <v>0.47746527777777775</v>
      </c>
    </row>
    <row r="245" spans="1:5" x14ac:dyDescent="0.25">
      <c r="A245">
        <v>4039284</v>
      </c>
      <c r="B245" t="str">
        <f t="shared" si="3"/>
        <v>stacjonarny</v>
      </c>
      <c r="C245" s="1">
        <v>42921</v>
      </c>
      <c r="D245" s="2">
        <v>0.47684027777777777</v>
      </c>
      <c r="E245" s="2">
        <v>0.4824074074074074</v>
      </c>
    </row>
    <row r="246" spans="1:5" x14ac:dyDescent="0.25">
      <c r="A246">
        <v>3177370</v>
      </c>
      <c r="B246" t="str">
        <f t="shared" si="3"/>
        <v>stacjonarny</v>
      </c>
      <c r="C246" s="1">
        <v>42921</v>
      </c>
      <c r="D246" s="2">
        <v>0.47972222222222222</v>
      </c>
      <c r="E246" s="2">
        <v>0.48660879629629628</v>
      </c>
    </row>
    <row r="247" spans="1:5" x14ac:dyDescent="0.25">
      <c r="A247">
        <v>7236035</v>
      </c>
      <c r="B247" t="str">
        <f t="shared" si="3"/>
        <v>stacjonarny</v>
      </c>
      <c r="C247" s="1">
        <v>42921</v>
      </c>
      <c r="D247" s="2">
        <v>0.48149305555555555</v>
      </c>
      <c r="E247" s="2">
        <v>0.48582175925925924</v>
      </c>
    </row>
    <row r="248" spans="1:5" x14ac:dyDescent="0.25">
      <c r="A248">
        <v>6689117</v>
      </c>
      <c r="B248" t="str">
        <f t="shared" si="3"/>
        <v>stacjonarny</v>
      </c>
      <c r="C248" s="1">
        <v>42921</v>
      </c>
      <c r="D248" s="2">
        <v>0.48554398148148148</v>
      </c>
      <c r="E248" s="2">
        <v>0.49553240740740739</v>
      </c>
    </row>
    <row r="249" spans="1:5" x14ac:dyDescent="0.25">
      <c r="A249">
        <v>4824267</v>
      </c>
      <c r="B249" t="str">
        <f t="shared" si="3"/>
        <v>stacjonarny</v>
      </c>
      <c r="C249" s="1">
        <v>42921</v>
      </c>
      <c r="D249" s="2">
        <v>0.4871875</v>
      </c>
      <c r="E249" s="2">
        <v>0.49509259259259258</v>
      </c>
    </row>
    <row r="250" spans="1:5" x14ac:dyDescent="0.25">
      <c r="A250">
        <v>6978234</v>
      </c>
      <c r="B250" t="str">
        <f t="shared" si="3"/>
        <v>stacjonarny</v>
      </c>
      <c r="C250" s="1">
        <v>42921</v>
      </c>
      <c r="D250" s="2">
        <v>0.48873842592592592</v>
      </c>
      <c r="E250" s="2">
        <v>0.49131944444444442</v>
      </c>
    </row>
    <row r="251" spans="1:5" x14ac:dyDescent="0.25">
      <c r="A251">
        <v>2158377</v>
      </c>
      <c r="B251" t="str">
        <f t="shared" si="3"/>
        <v>stacjonarny</v>
      </c>
      <c r="C251" s="1">
        <v>42921</v>
      </c>
      <c r="D251" s="2">
        <v>0.49149305555555556</v>
      </c>
      <c r="E251" s="2">
        <v>0.49283564814814818</v>
      </c>
    </row>
    <row r="252" spans="1:5" x14ac:dyDescent="0.25">
      <c r="A252">
        <v>73970924</v>
      </c>
      <c r="B252" t="str">
        <f t="shared" si="3"/>
        <v>komorkowy</v>
      </c>
      <c r="C252" s="1">
        <v>42921</v>
      </c>
      <c r="D252" s="2">
        <v>0.49336805555555557</v>
      </c>
      <c r="E252" s="2">
        <v>0.49403935185185183</v>
      </c>
    </row>
    <row r="253" spans="1:5" x14ac:dyDescent="0.25">
      <c r="A253">
        <v>6927270</v>
      </c>
      <c r="B253" t="str">
        <f t="shared" si="3"/>
        <v>stacjonarny</v>
      </c>
      <c r="C253" s="1">
        <v>42921</v>
      </c>
      <c r="D253" s="2">
        <v>0.49571759259259257</v>
      </c>
      <c r="E253" s="2">
        <v>0.50516203703703699</v>
      </c>
    </row>
    <row r="254" spans="1:5" x14ac:dyDescent="0.25">
      <c r="A254">
        <v>7318247385</v>
      </c>
      <c r="B254" t="str">
        <f t="shared" si="3"/>
        <v>zagraniczny</v>
      </c>
      <c r="C254" s="1">
        <v>42921</v>
      </c>
      <c r="D254" s="2">
        <v>0.49596064814814816</v>
      </c>
      <c r="E254" s="2">
        <v>0.49886574074074075</v>
      </c>
    </row>
    <row r="255" spans="1:5" x14ac:dyDescent="0.25">
      <c r="A255">
        <v>1579531</v>
      </c>
      <c r="B255" t="str">
        <f t="shared" si="3"/>
        <v>stacjonarny</v>
      </c>
      <c r="C255" s="1">
        <v>42921</v>
      </c>
      <c r="D255" s="2">
        <v>0.50134259259259262</v>
      </c>
      <c r="E255" s="2">
        <v>0.50873842592592589</v>
      </c>
    </row>
    <row r="256" spans="1:5" x14ac:dyDescent="0.25">
      <c r="A256">
        <v>9593481</v>
      </c>
      <c r="B256" t="str">
        <f t="shared" si="3"/>
        <v>stacjonarny</v>
      </c>
      <c r="C256" s="1">
        <v>42921</v>
      </c>
      <c r="D256" s="2">
        <v>0.50179398148148147</v>
      </c>
      <c r="E256" s="2">
        <v>0.50248842592592591</v>
      </c>
    </row>
    <row r="257" spans="1:5" x14ac:dyDescent="0.25">
      <c r="A257">
        <v>6657074</v>
      </c>
      <c r="B257" t="str">
        <f t="shared" si="3"/>
        <v>stacjonarny</v>
      </c>
      <c r="C257" s="1">
        <v>42921</v>
      </c>
      <c r="D257" s="2">
        <v>0.50288194444444445</v>
      </c>
      <c r="E257" s="2">
        <v>0.51248842592592592</v>
      </c>
    </row>
    <row r="258" spans="1:5" x14ac:dyDescent="0.25">
      <c r="A258">
        <v>1488369</v>
      </c>
      <c r="B258" t="str">
        <f t="shared" si="3"/>
        <v>stacjonarny</v>
      </c>
      <c r="C258" s="1">
        <v>42921</v>
      </c>
      <c r="D258" s="2">
        <v>0.50457175925925923</v>
      </c>
      <c r="E258" s="2">
        <v>0.51533564814814814</v>
      </c>
    </row>
    <row r="259" spans="1:5" x14ac:dyDescent="0.25">
      <c r="A259">
        <v>1797960</v>
      </c>
      <c r="B259" t="str">
        <f t="shared" ref="B259:B322" si="4">IF(LEN(A259)=7, "stacjonarny", IF(LEN(A259)=8, "komorkowy", "zagraniczny"))</f>
        <v>stacjonarny</v>
      </c>
      <c r="C259" s="1">
        <v>42921</v>
      </c>
      <c r="D259" s="2">
        <v>0.51026620370370368</v>
      </c>
      <c r="E259" s="2">
        <v>0.51557870370370373</v>
      </c>
    </row>
    <row r="260" spans="1:5" x14ac:dyDescent="0.25">
      <c r="A260">
        <v>65923776</v>
      </c>
      <c r="B260" t="str">
        <f t="shared" si="4"/>
        <v>komorkowy</v>
      </c>
      <c r="C260" s="1">
        <v>42921</v>
      </c>
      <c r="D260" s="2">
        <v>0.51388888888888884</v>
      </c>
      <c r="E260" s="2">
        <v>0.51673611111111106</v>
      </c>
    </row>
    <row r="261" spans="1:5" x14ac:dyDescent="0.25">
      <c r="A261">
        <v>3407358</v>
      </c>
      <c r="B261" t="str">
        <f t="shared" si="4"/>
        <v>stacjonarny</v>
      </c>
      <c r="C261" s="1">
        <v>42921</v>
      </c>
      <c r="D261" s="2">
        <v>0.51827546296296301</v>
      </c>
      <c r="E261" s="2">
        <v>0.51986111111111111</v>
      </c>
    </row>
    <row r="262" spans="1:5" x14ac:dyDescent="0.25">
      <c r="A262">
        <v>1887758</v>
      </c>
      <c r="B262" t="str">
        <f t="shared" si="4"/>
        <v>stacjonarny</v>
      </c>
      <c r="C262" s="1">
        <v>42921</v>
      </c>
      <c r="D262" s="2">
        <v>0.51884259259259258</v>
      </c>
      <c r="E262" s="2">
        <v>0.52637731481481487</v>
      </c>
    </row>
    <row r="263" spans="1:5" x14ac:dyDescent="0.25">
      <c r="A263">
        <v>9983997</v>
      </c>
      <c r="B263" t="str">
        <f t="shared" si="4"/>
        <v>stacjonarny</v>
      </c>
      <c r="C263" s="1">
        <v>42921</v>
      </c>
      <c r="D263" s="2">
        <v>0.5242013888888889</v>
      </c>
      <c r="E263" s="2">
        <v>0.53452546296296299</v>
      </c>
    </row>
    <row r="264" spans="1:5" x14ac:dyDescent="0.25">
      <c r="A264">
        <v>3539762</v>
      </c>
      <c r="B264" t="str">
        <f t="shared" si="4"/>
        <v>stacjonarny</v>
      </c>
      <c r="C264" s="1">
        <v>42921</v>
      </c>
      <c r="D264" s="2">
        <v>0.5250231481481481</v>
      </c>
      <c r="E264" s="2">
        <v>0.5264699074074074</v>
      </c>
    </row>
    <row r="265" spans="1:5" x14ac:dyDescent="0.25">
      <c r="A265">
        <v>58067439</v>
      </c>
      <c r="B265" t="str">
        <f t="shared" si="4"/>
        <v>komorkowy</v>
      </c>
      <c r="C265" s="1">
        <v>42921</v>
      </c>
      <c r="D265" s="2">
        <v>0.52607638888888886</v>
      </c>
      <c r="E265" s="2">
        <v>0.52662037037037035</v>
      </c>
    </row>
    <row r="266" spans="1:5" x14ac:dyDescent="0.25">
      <c r="A266">
        <v>6760428735</v>
      </c>
      <c r="B266" t="str">
        <f t="shared" si="4"/>
        <v>zagraniczny</v>
      </c>
      <c r="C266" s="1">
        <v>42921</v>
      </c>
      <c r="D266" s="2">
        <v>0.52811342592592592</v>
      </c>
      <c r="E266" s="2">
        <v>0.53195601851851848</v>
      </c>
    </row>
    <row r="267" spans="1:5" x14ac:dyDescent="0.25">
      <c r="A267">
        <v>9803006</v>
      </c>
      <c r="B267" t="str">
        <f t="shared" si="4"/>
        <v>stacjonarny</v>
      </c>
      <c r="C267" s="1">
        <v>42921</v>
      </c>
      <c r="D267" s="2">
        <v>0.53233796296296299</v>
      </c>
      <c r="E267" s="2">
        <v>0.54116898148148151</v>
      </c>
    </row>
    <row r="268" spans="1:5" x14ac:dyDescent="0.25">
      <c r="A268">
        <v>5312081</v>
      </c>
      <c r="B268" t="str">
        <f t="shared" si="4"/>
        <v>stacjonarny</v>
      </c>
      <c r="C268" s="1">
        <v>42921</v>
      </c>
      <c r="D268" s="2">
        <v>0.53372685185185187</v>
      </c>
      <c r="E268" s="2">
        <v>0.53991898148148143</v>
      </c>
    </row>
    <row r="269" spans="1:5" x14ac:dyDescent="0.25">
      <c r="A269">
        <v>7114306</v>
      </c>
      <c r="B269" t="str">
        <f t="shared" si="4"/>
        <v>stacjonarny</v>
      </c>
      <c r="C269" s="1">
        <v>42921</v>
      </c>
      <c r="D269" s="2">
        <v>0.53607638888888887</v>
      </c>
      <c r="E269" s="2">
        <v>0.54104166666666664</v>
      </c>
    </row>
    <row r="270" spans="1:5" x14ac:dyDescent="0.25">
      <c r="A270">
        <v>7594764</v>
      </c>
      <c r="B270" t="str">
        <f t="shared" si="4"/>
        <v>stacjonarny</v>
      </c>
      <c r="C270" s="1">
        <v>42921</v>
      </c>
      <c r="D270" s="2">
        <v>0.53850694444444447</v>
      </c>
      <c r="E270" s="2">
        <v>0.53944444444444439</v>
      </c>
    </row>
    <row r="271" spans="1:5" x14ac:dyDescent="0.25">
      <c r="A271">
        <v>3004571</v>
      </c>
      <c r="B271" t="str">
        <f t="shared" si="4"/>
        <v>stacjonarny</v>
      </c>
      <c r="C271" s="1">
        <v>42921</v>
      </c>
      <c r="D271" s="2">
        <v>0.54194444444444445</v>
      </c>
      <c r="E271" s="2">
        <v>0.54666666666666663</v>
      </c>
    </row>
    <row r="272" spans="1:5" x14ac:dyDescent="0.25">
      <c r="A272">
        <v>6689117</v>
      </c>
      <c r="B272" t="str">
        <f t="shared" si="4"/>
        <v>stacjonarny</v>
      </c>
      <c r="C272" s="1">
        <v>42921</v>
      </c>
      <c r="D272" s="2">
        <v>0.54609953703703706</v>
      </c>
      <c r="E272" s="2">
        <v>0.55435185185185187</v>
      </c>
    </row>
    <row r="273" spans="1:5" x14ac:dyDescent="0.25">
      <c r="A273">
        <v>1081610</v>
      </c>
      <c r="B273" t="str">
        <f t="shared" si="4"/>
        <v>stacjonarny</v>
      </c>
      <c r="C273" s="1">
        <v>42921</v>
      </c>
      <c r="D273" s="2">
        <v>0.54809027777777775</v>
      </c>
      <c r="E273" s="2">
        <v>0.55568287037037034</v>
      </c>
    </row>
    <row r="274" spans="1:5" x14ac:dyDescent="0.25">
      <c r="A274">
        <v>20220216</v>
      </c>
      <c r="B274" t="str">
        <f t="shared" si="4"/>
        <v>komorkowy</v>
      </c>
      <c r="C274" s="1">
        <v>42921</v>
      </c>
      <c r="D274" s="2">
        <v>0.54857638888888893</v>
      </c>
      <c r="E274" s="2">
        <v>0.55879629629629635</v>
      </c>
    </row>
    <row r="275" spans="1:5" x14ac:dyDescent="0.25">
      <c r="A275">
        <v>79890857</v>
      </c>
      <c r="B275" t="str">
        <f t="shared" si="4"/>
        <v>komorkowy</v>
      </c>
      <c r="C275" s="1">
        <v>42921</v>
      </c>
      <c r="D275" s="2">
        <v>0.54859953703703701</v>
      </c>
      <c r="E275" s="2">
        <v>0.55990740740740741</v>
      </c>
    </row>
    <row r="276" spans="1:5" x14ac:dyDescent="0.25">
      <c r="A276">
        <v>4600571814</v>
      </c>
      <c r="B276" t="str">
        <f t="shared" si="4"/>
        <v>zagraniczny</v>
      </c>
      <c r="C276" s="1">
        <v>42921</v>
      </c>
      <c r="D276" s="2">
        <v>0.55166666666666664</v>
      </c>
      <c r="E276" s="2">
        <v>0.55865740740740744</v>
      </c>
    </row>
    <row r="277" spans="1:5" x14ac:dyDescent="0.25">
      <c r="A277">
        <v>1579531</v>
      </c>
      <c r="B277" t="str">
        <f t="shared" si="4"/>
        <v>stacjonarny</v>
      </c>
      <c r="C277" s="1">
        <v>42921</v>
      </c>
      <c r="D277" s="2">
        <v>0.55266203703703709</v>
      </c>
      <c r="E277" s="2">
        <v>0.56405092592592587</v>
      </c>
    </row>
    <row r="278" spans="1:5" x14ac:dyDescent="0.25">
      <c r="A278">
        <v>7110850</v>
      </c>
      <c r="B278" t="str">
        <f t="shared" si="4"/>
        <v>stacjonarny</v>
      </c>
      <c r="C278" s="1">
        <v>42921</v>
      </c>
      <c r="D278" s="2">
        <v>0.55269675925925921</v>
      </c>
      <c r="E278" s="2">
        <v>0.56355324074074076</v>
      </c>
    </row>
    <row r="279" spans="1:5" x14ac:dyDescent="0.25">
      <c r="A279">
        <v>18036364</v>
      </c>
      <c r="B279" t="str">
        <f t="shared" si="4"/>
        <v>komorkowy</v>
      </c>
      <c r="C279" s="1">
        <v>42921</v>
      </c>
      <c r="D279" s="2">
        <v>0.55847222222222226</v>
      </c>
      <c r="E279" s="2">
        <v>0.56166666666666665</v>
      </c>
    </row>
    <row r="280" spans="1:5" x14ac:dyDescent="0.25">
      <c r="A280">
        <v>6712006</v>
      </c>
      <c r="B280" t="str">
        <f t="shared" si="4"/>
        <v>stacjonarny</v>
      </c>
      <c r="C280" s="1">
        <v>42921</v>
      </c>
      <c r="D280" s="2">
        <v>0.56106481481481485</v>
      </c>
      <c r="E280" s="2">
        <v>0.56716435185185188</v>
      </c>
    </row>
    <row r="281" spans="1:5" x14ac:dyDescent="0.25">
      <c r="A281">
        <v>5646830</v>
      </c>
      <c r="B281" t="str">
        <f t="shared" si="4"/>
        <v>stacjonarny</v>
      </c>
      <c r="C281" s="1">
        <v>42921</v>
      </c>
      <c r="D281" s="2">
        <v>0.56361111111111106</v>
      </c>
      <c r="E281" s="2">
        <v>0.57469907407407406</v>
      </c>
    </row>
    <row r="282" spans="1:5" x14ac:dyDescent="0.25">
      <c r="A282">
        <v>38535407</v>
      </c>
      <c r="B282" t="str">
        <f t="shared" si="4"/>
        <v>komorkowy</v>
      </c>
      <c r="C282" s="1">
        <v>42921</v>
      </c>
      <c r="D282" s="2">
        <v>0.56568287037037035</v>
      </c>
      <c r="E282" s="2">
        <v>0.56981481481481477</v>
      </c>
    </row>
    <row r="283" spans="1:5" x14ac:dyDescent="0.25">
      <c r="A283">
        <v>66871690</v>
      </c>
      <c r="B283" t="str">
        <f t="shared" si="4"/>
        <v>komorkowy</v>
      </c>
      <c r="C283" s="1">
        <v>42921</v>
      </c>
      <c r="D283" s="2">
        <v>0.56703703703703701</v>
      </c>
      <c r="E283" s="2">
        <v>0.57664351851851847</v>
      </c>
    </row>
    <row r="284" spans="1:5" x14ac:dyDescent="0.25">
      <c r="A284">
        <v>7085993</v>
      </c>
      <c r="B284" t="str">
        <f t="shared" si="4"/>
        <v>stacjonarny</v>
      </c>
      <c r="C284" s="1">
        <v>42921</v>
      </c>
      <c r="D284" s="2">
        <v>0.57192129629629629</v>
      </c>
      <c r="E284" s="2">
        <v>0.57506944444444441</v>
      </c>
    </row>
    <row r="285" spans="1:5" x14ac:dyDescent="0.25">
      <c r="A285">
        <v>2890720</v>
      </c>
      <c r="B285" t="str">
        <f t="shared" si="4"/>
        <v>stacjonarny</v>
      </c>
      <c r="C285" s="1">
        <v>42921</v>
      </c>
      <c r="D285" s="2">
        <v>0.57589120370370372</v>
      </c>
      <c r="E285" s="2">
        <v>0.57648148148148148</v>
      </c>
    </row>
    <row r="286" spans="1:5" x14ac:dyDescent="0.25">
      <c r="A286">
        <v>8375968</v>
      </c>
      <c r="B286" t="str">
        <f t="shared" si="4"/>
        <v>stacjonarny</v>
      </c>
      <c r="C286" s="1">
        <v>42921</v>
      </c>
      <c r="D286" s="2">
        <v>0.5786458333333333</v>
      </c>
      <c r="E286" s="2">
        <v>0.57954861111111111</v>
      </c>
    </row>
    <row r="287" spans="1:5" x14ac:dyDescent="0.25">
      <c r="A287">
        <v>1119740</v>
      </c>
      <c r="B287" t="str">
        <f t="shared" si="4"/>
        <v>stacjonarny</v>
      </c>
      <c r="C287" s="1">
        <v>42921</v>
      </c>
      <c r="D287" s="2">
        <v>0.57876157407407403</v>
      </c>
      <c r="E287" s="2">
        <v>0.5811574074074074</v>
      </c>
    </row>
    <row r="288" spans="1:5" x14ac:dyDescent="0.25">
      <c r="A288">
        <v>3796958</v>
      </c>
      <c r="B288" t="str">
        <f t="shared" si="4"/>
        <v>stacjonarny</v>
      </c>
      <c r="C288" s="1">
        <v>42921</v>
      </c>
      <c r="D288" s="2">
        <v>0.57901620370370366</v>
      </c>
      <c r="E288" s="2">
        <v>0.58940972222222221</v>
      </c>
    </row>
    <row r="289" spans="1:5" x14ac:dyDescent="0.25">
      <c r="A289">
        <v>8010775</v>
      </c>
      <c r="B289" t="str">
        <f t="shared" si="4"/>
        <v>stacjonarny</v>
      </c>
      <c r="C289" s="1">
        <v>42921</v>
      </c>
      <c r="D289" s="2">
        <v>0.58275462962962965</v>
      </c>
      <c r="E289" s="2">
        <v>0.5852546296296296</v>
      </c>
    </row>
    <row r="290" spans="1:5" x14ac:dyDescent="0.25">
      <c r="A290">
        <v>46023878</v>
      </c>
      <c r="B290" t="str">
        <f t="shared" si="4"/>
        <v>komorkowy</v>
      </c>
      <c r="C290" s="1">
        <v>42921</v>
      </c>
      <c r="D290" s="2">
        <v>0.58829861111111115</v>
      </c>
      <c r="E290" s="2">
        <v>0.59641203703703705</v>
      </c>
    </row>
    <row r="291" spans="1:5" x14ac:dyDescent="0.25">
      <c r="A291">
        <v>3379007610</v>
      </c>
      <c r="B291" t="str">
        <f t="shared" si="4"/>
        <v>zagraniczny</v>
      </c>
      <c r="C291" s="1">
        <v>42921</v>
      </c>
      <c r="D291" s="2">
        <v>0.59281249999999996</v>
      </c>
      <c r="E291" s="2">
        <v>0.59871527777777778</v>
      </c>
    </row>
    <row r="292" spans="1:5" x14ac:dyDescent="0.25">
      <c r="A292">
        <v>2890519255</v>
      </c>
      <c r="B292" t="str">
        <f t="shared" si="4"/>
        <v>zagraniczny</v>
      </c>
      <c r="C292" s="1">
        <v>42921</v>
      </c>
      <c r="D292" s="2">
        <v>0.59557870370370369</v>
      </c>
      <c r="E292" s="2">
        <v>0.59930555555555554</v>
      </c>
    </row>
    <row r="293" spans="1:5" x14ac:dyDescent="0.25">
      <c r="A293">
        <v>27858818</v>
      </c>
      <c r="B293" t="str">
        <f t="shared" si="4"/>
        <v>komorkowy</v>
      </c>
      <c r="C293" s="1">
        <v>42921</v>
      </c>
      <c r="D293" s="2">
        <v>0.59718749999999998</v>
      </c>
      <c r="E293" s="2">
        <v>0.60711805555555554</v>
      </c>
    </row>
    <row r="294" spans="1:5" x14ac:dyDescent="0.25">
      <c r="A294">
        <v>5076649</v>
      </c>
      <c r="B294" t="str">
        <f t="shared" si="4"/>
        <v>stacjonarny</v>
      </c>
      <c r="C294" s="1">
        <v>42921</v>
      </c>
      <c r="D294" s="2">
        <v>0.59803240740740737</v>
      </c>
      <c r="E294" s="2">
        <v>0.60223379629629625</v>
      </c>
    </row>
    <row r="295" spans="1:5" x14ac:dyDescent="0.25">
      <c r="A295">
        <v>70367818</v>
      </c>
      <c r="B295" t="str">
        <f t="shared" si="4"/>
        <v>komorkowy</v>
      </c>
      <c r="C295" s="1">
        <v>42921</v>
      </c>
      <c r="D295" s="2">
        <v>0.5982291666666667</v>
      </c>
      <c r="E295" s="2">
        <v>0.60077546296296291</v>
      </c>
    </row>
    <row r="296" spans="1:5" x14ac:dyDescent="0.25">
      <c r="A296">
        <v>9788998</v>
      </c>
      <c r="B296" t="str">
        <f t="shared" si="4"/>
        <v>stacjonarny</v>
      </c>
      <c r="C296" s="1">
        <v>42921</v>
      </c>
      <c r="D296" s="2">
        <v>0.60070601851851857</v>
      </c>
      <c r="E296" s="2">
        <v>0.6075694444444445</v>
      </c>
    </row>
    <row r="297" spans="1:5" x14ac:dyDescent="0.25">
      <c r="A297">
        <v>1951101</v>
      </c>
      <c r="B297" t="str">
        <f t="shared" si="4"/>
        <v>stacjonarny</v>
      </c>
      <c r="C297" s="1">
        <v>42921</v>
      </c>
      <c r="D297" s="2">
        <v>0.60379629629629628</v>
      </c>
      <c r="E297" s="2">
        <v>0.6139930555555555</v>
      </c>
    </row>
    <row r="298" spans="1:5" x14ac:dyDescent="0.25">
      <c r="A298">
        <v>4546455</v>
      </c>
      <c r="B298" t="str">
        <f t="shared" si="4"/>
        <v>stacjonarny</v>
      </c>
      <c r="C298" s="1">
        <v>42921</v>
      </c>
      <c r="D298" s="2">
        <v>0.6040740740740741</v>
      </c>
      <c r="E298" s="2">
        <v>0.61181712962962964</v>
      </c>
    </row>
    <row r="299" spans="1:5" x14ac:dyDescent="0.25">
      <c r="A299">
        <v>12687991</v>
      </c>
      <c r="B299" t="str">
        <f t="shared" si="4"/>
        <v>komorkowy</v>
      </c>
      <c r="C299" s="1">
        <v>42921</v>
      </c>
      <c r="D299" s="2">
        <v>0.60660879629629627</v>
      </c>
      <c r="E299" s="2">
        <v>0.6086921296296296</v>
      </c>
    </row>
    <row r="300" spans="1:5" x14ac:dyDescent="0.25">
      <c r="A300">
        <v>4328583</v>
      </c>
      <c r="B300" t="str">
        <f t="shared" si="4"/>
        <v>stacjonarny</v>
      </c>
      <c r="C300" s="1">
        <v>42921</v>
      </c>
      <c r="D300" s="2">
        <v>0.60927083333333332</v>
      </c>
      <c r="E300" s="2">
        <v>0.61127314814814815</v>
      </c>
    </row>
    <row r="301" spans="1:5" x14ac:dyDescent="0.25">
      <c r="A301">
        <v>2184116</v>
      </c>
      <c r="B301" t="str">
        <f t="shared" si="4"/>
        <v>stacjonarny</v>
      </c>
      <c r="C301" s="1">
        <v>42921</v>
      </c>
      <c r="D301" s="2">
        <v>0.61251157407407408</v>
      </c>
      <c r="E301" s="2">
        <v>0.61998842592592596</v>
      </c>
    </row>
    <row r="302" spans="1:5" x14ac:dyDescent="0.25">
      <c r="A302">
        <v>24724570</v>
      </c>
      <c r="B302" t="str">
        <f t="shared" si="4"/>
        <v>komorkowy</v>
      </c>
      <c r="C302" s="1">
        <v>42921</v>
      </c>
      <c r="D302" s="2">
        <v>0.61430555555555555</v>
      </c>
      <c r="E302" s="2">
        <v>0.61843749999999997</v>
      </c>
    </row>
    <row r="303" spans="1:5" x14ac:dyDescent="0.25">
      <c r="A303">
        <v>4843076</v>
      </c>
      <c r="B303" t="str">
        <f t="shared" si="4"/>
        <v>stacjonarny</v>
      </c>
      <c r="C303" s="1">
        <v>42921</v>
      </c>
      <c r="D303" s="2">
        <v>0.61957175925925922</v>
      </c>
      <c r="E303" s="2">
        <v>0.62241898148148145</v>
      </c>
    </row>
    <row r="304" spans="1:5" x14ac:dyDescent="0.25">
      <c r="A304">
        <v>7795911</v>
      </c>
      <c r="B304" t="str">
        <f t="shared" si="4"/>
        <v>stacjonarny</v>
      </c>
      <c r="C304" s="1">
        <v>42921</v>
      </c>
      <c r="D304" s="2">
        <v>0.62047453703703703</v>
      </c>
      <c r="E304" s="2">
        <v>0.62715277777777778</v>
      </c>
    </row>
    <row r="305" spans="1:5" x14ac:dyDescent="0.25">
      <c r="A305">
        <v>42722517</v>
      </c>
      <c r="B305" t="str">
        <f t="shared" si="4"/>
        <v>komorkowy</v>
      </c>
      <c r="C305" s="1">
        <v>42921</v>
      </c>
      <c r="D305" s="2">
        <v>0.62094907407407407</v>
      </c>
      <c r="E305" s="2">
        <v>0.62687499999999996</v>
      </c>
    </row>
    <row r="306" spans="1:5" x14ac:dyDescent="0.25">
      <c r="A306">
        <v>9697189</v>
      </c>
      <c r="B306" t="str">
        <f t="shared" si="4"/>
        <v>stacjonarny</v>
      </c>
      <c r="C306" s="1">
        <v>42921</v>
      </c>
      <c r="D306" s="2">
        <v>0.62251157407407409</v>
      </c>
      <c r="E306" s="2">
        <v>0.6234143518518519</v>
      </c>
    </row>
    <row r="307" spans="1:5" x14ac:dyDescent="0.25">
      <c r="A307">
        <v>4471203</v>
      </c>
      <c r="B307" t="str">
        <f t="shared" si="4"/>
        <v>stacjonarny</v>
      </c>
      <c r="C307" s="1">
        <v>42921</v>
      </c>
      <c r="D307" s="2">
        <v>0.62403935185185189</v>
      </c>
      <c r="E307" s="2">
        <v>0.62936342592592598</v>
      </c>
    </row>
    <row r="308" spans="1:5" x14ac:dyDescent="0.25">
      <c r="A308">
        <v>1439114</v>
      </c>
      <c r="B308" t="str">
        <f t="shared" si="4"/>
        <v>stacjonarny</v>
      </c>
      <c r="C308" s="1">
        <v>42921</v>
      </c>
      <c r="D308" s="2">
        <v>0.62589120370370366</v>
      </c>
      <c r="E308" s="2">
        <v>0.62774305555555554</v>
      </c>
    </row>
    <row r="309" spans="1:5" x14ac:dyDescent="0.25">
      <c r="A309">
        <v>5822881</v>
      </c>
      <c r="B309" t="str">
        <f t="shared" si="4"/>
        <v>stacjonarny</v>
      </c>
      <c r="C309" s="1">
        <v>42922</v>
      </c>
      <c r="D309" s="2">
        <v>0.33555555555555555</v>
      </c>
      <c r="E309" s="2">
        <v>0.34137731481481481</v>
      </c>
    </row>
    <row r="310" spans="1:5" x14ac:dyDescent="0.25">
      <c r="A310">
        <v>6027120</v>
      </c>
      <c r="B310" t="str">
        <f t="shared" si="4"/>
        <v>stacjonarny</v>
      </c>
      <c r="C310" s="1">
        <v>42922</v>
      </c>
      <c r="D310" s="2">
        <v>0.33814814814814814</v>
      </c>
      <c r="E310" s="2">
        <v>0.34232638888888889</v>
      </c>
    </row>
    <row r="311" spans="1:5" x14ac:dyDescent="0.25">
      <c r="A311">
        <v>2790475</v>
      </c>
      <c r="B311" t="str">
        <f t="shared" si="4"/>
        <v>stacjonarny</v>
      </c>
      <c r="C311" s="1">
        <v>42922</v>
      </c>
      <c r="D311" s="2">
        <v>0.34349537037037037</v>
      </c>
      <c r="E311" s="2">
        <v>0.34965277777777776</v>
      </c>
    </row>
    <row r="312" spans="1:5" x14ac:dyDescent="0.25">
      <c r="A312">
        <v>30893038</v>
      </c>
      <c r="B312" t="str">
        <f t="shared" si="4"/>
        <v>komorkowy</v>
      </c>
      <c r="C312" s="1">
        <v>42922</v>
      </c>
      <c r="D312" s="2">
        <v>0.34708333333333335</v>
      </c>
      <c r="E312" s="2">
        <v>0.34912037037037036</v>
      </c>
    </row>
    <row r="313" spans="1:5" x14ac:dyDescent="0.25">
      <c r="A313">
        <v>5076649</v>
      </c>
      <c r="B313" t="str">
        <f t="shared" si="4"/>
        <v>stacjonarny</v>
      </c>
      <c r="C313" s="1">
        <v>42922</v>
      </c>
      <c r="D313" s="2">
        <v>0.35163194444444446</v>
      </c>
      <c r="E313" s="2">
        <v>0.35670138888888892</v>
      </c>
    </row>
    <row r="314" spans="1:5" x14ac:dyDescent="0.25">
      <c r="A314">
        <v>5013602</v>
      </c>
      <c r="B314" t="str">
        <f t="shared" si="4"/>
        <v>stacjonarny</v>
      </c>
      <c r="C314" s="1">
        <v>42922</v>
      </c>
      <c r="D314" s="2">
        <v>0.35531249999999998</v>
      </c>
      <c r="E314" s="2">
        <v>0.3630902777777778</v>
      </c>
    </row>
    <row r="315" spans="1:5" x14ac:dyDescent="0.25">
      <c r="A315">
        <v>5696056</v>
      </c>
      <c r="B315" t="str">
        <f t="shared" si="4"/>
        <v>stacjonarny</v>
      </c>
      <c r="C315" s="1">
        <v>42922</v>
      </c>
      <c r="D315" s="2">
        <v>0.36097222222222225</v>
      </c>
      <c r="E315" s="2">
        <v>0.36534722222222221</v>
      </c>
    </row>
    <row r="316" spans="1:5" x14ac:dyDescent="0.25">
      <c r="A316">
        <v>11274735</v>
      </c>
      <c r="B316" t="str">
        <f t="shared" si="4"/>
        <v>komorkowy</v>
      </c>
      <c r="C316" s="1">
        <v>42922</v>
      </c>
      <c r="D316" s="2">
        <v>0.36618055555555556</v>
      </c>
      <c r="E316" s="2">
        <v>0.37038194444444444</v>
      </c>
    </row>
    <row r="317" spans="1:5" x14ac:dyDescent="0.25">
      <c r="A317">
        <v>1158631</v>
      </c>
      <c r="B317" t="str">
        <f t="shared" si="4"/>
        <v>stacjonarny</v>
      </c>
      <c r="C317" s="1">
        <v>42922</v>
      </c>
      <c r="D317" s="2">
        <v>0.3664351851851852</v>
      </c>
      <c r="E317" s="2">
        <v>0.37646990740740743</v>
      </c>
    </row>
    <row r="318" spans="1:5" x14ac:dyDescent="0.25">
      <c r="A318">
        <v>6009110</v>
      </c>
      <c r="B318" t="str">
        <f t="shared" si="4"/>
        <v>stacjonarny</v>
      </c>
      <c r="C318" s="1">
        <v>42922</v>
      </c>
      <c r="D318" s="2">
        <v>0.37092592592592594</v>
      </c>
      <c r="E318" s="2">
        <v>0.37193287037037037</v>
      </c>
    </row>
    <row r="319" spans="1:5" x14ac:dyDescent="0.25">
      <c r="A319">
        <v>6644360383</v>
      </c>
      <c r="B319" t="str">
        <f t="shared" si="4"/>
        <v>zagraniczny</v>
      </c>
      <c r="C319" s="1">
        <v>42922</v>
      </c>
      <c r="D319" s="2">
        <v>0.37333333333333335</v>
      </c>
      <c r="E319" s="2">
        <v>0.37968750000000001</v>
      </c>
    </row>
    <row r="320" spans="1:5" x14ac:dyDescent="0.25">
      <c r="A320">
        <v>6045882</v>
      </c>
      <c r="B320" t="str">
        <f t="shared" si="4"/>
        <v>stacjonarny</v>
      </c>
      <c r="C320" s="1">
        <v>42922</v>
      </c>
      <c r="D320" s="2">
        <v>0.37799768518518517</v>
      </c>
      <c r="E320" s="2">
        <v>0.38377314814814817</v>
      </c>
    </row>
    <row r="321" spans="1:5" x14ac:dyDescent="0.25">
      <c r="A321">
        <v>4113351</v>
      </c>
      <c r="B321" t="str">
        <f t="shared" si="4"/>
        <v>stacjonarny</v>
      </c>
      <c r="C321" s="1">
        <v>42922</v>
      </c>
      <c r="D321" s="2">
        <v>0.37913194444444442</v>
      </c>
      <c r="E321" s="2">
        <v>0.3800115740740741</v>
      </c>
    </row>
    <row r="322" spans="1:5" x14ac:dyDescent="0.25">
      <c r="A322">
        <v>9777118</v>
      </c>
      <c r="B322" t="str">
        <f t="shared" si="4"/>
        <v>stacjonarny</v>
      </c>
      <c r="C322" s="1">
        <v>42922</v>
      </c>
      <c r="D322" s="2">
        <v>0.38156250000000003</v>
      </c>
      <c r="E322" s="2">
        <v>0.3878240740740741</v>
      </c>
    </row>
    <row r="323" spans="1:5" x14ac:dyDescent="0.25">
      <c r="A323">
        <v>1659814</v>
      </c>
      <c r="B323" t="str">
        <f t="shared" ref="B323:B386" si="5">IF(LEN(A323)=7, "stacjonarny", IF(LEN(A323)=8, "komorkowy", "zagraniczny"))</f>
        <v>stacjonarny</v>
      </c>
      <c r="C323" s="1">
        <v>42922</v>
      </c>
      <c r="D323" s="2">
        <v>0.38416666666666666</v>
      </c>
      <c r="E323" s="2">
        <v>0.39554398148148145</v>
      </c>
    </row>
    <row r="324" spans="1:5" x14ac:dyDescent="0.25">
      <c r="A324">
        <v>26204415</v>
      </c>
      <c r="B324" t="str">
        <f t="shared" si="5"/>
        <v>komorkowy</v>
      </c>
      <c r="C324" s="1">
        <v>42922</v>
      </c>
      <c r="D324" s="2">
        <v>0.38806712962962964</v>
      </c>
      <c r="E324" s="2">
        <v>0.39144675925925926</v>
      </c>
    </row>
    <row r="325" spans="1:5" x14ac:dyDescent="0.25">
      <c r="A325">
        <v>8471544</v>
      </c>
      <c r="B325" t="str">
        <f t="shared" si="5"/>
        <v>stacjonarny</v>
      </c>
      <c r="C325" s="1">
        <v>42922</v>
      </c>
      <c r="D325" s="2">
        <v>0.38960648148148147</v>
      </c>
      <c r="E325" s="2">
        <v>0.39498842592592592</v>
      </c>
    </row>
    <row r="326" spans="1:5" x14ac:dyDescent="0.25">
      <c r="A326">
        <v>3379401</v>
      </c>
      <c r="B326" t="str">
        <f t="shared" si="5"/>
        <v>stacjonarny</v>
      </c>
      <c r="C326" s="1">
        <v>42922</v>
      </c>
      <c r="D326" s="2">
        <v>0.39466435185185184</v>
      </c>
      <c r="E326" s="2">
        <v>0.40501157407407407</v>
      </c>
    </row>
    <row r="327" spans="1:5" x14ac:dyDescent="0.25">
      <c r="A327">
        <v>5912377607</v>
      </c>
      <c r="B327" t="str">
        <f t="shared" si="5"/>
        <v>zagraniczny</v>
      </c>
      <c r="C327" s="1">
        <v>42922</v>
      </c>
      <c r="D327" s="2">
        <v>0.39613425925925927</v>
      </c>
      <c r="E327" s="2">
        <v>0.39868055555555554</v>
      </c>
    </row>
    <row r="328" spans="1:5" x14ac:dyDescent="0.25">
      <c r="A328">
        <v>77705897</v>
      </c>
      <c r="B328" t="str">
        <f t="shared" si="5"/>
        <v>komorkowy</v>
      </c>
      <c r="C328" s="1">
        <v>42922</v>
      </c>
      <c r="D328" s="2">
        <v>0.39956018518518521</v>
      </c>
      <c r="E328" s="2">
        <v>0.40025462962962965</v>
      </c>
    </row>
    <row r="329" spans="1:5" x14ac:dyDescent="0.25">
      <c r="A329">
        <v>5894865</v>
      </c>
      <c r="B329" t="str">
        <f t="shared" si="5"/>
        <v>stacjonarny</v>
      </c>
      <c r="C329" s="1">
        <v>42922</v>
      </c>
      <c r="D329" s="2">
        <v>0.40255787037037039</v>
      </c>
      <c r="E329" s="2">
        <v>0.40554398148148146</v>
      </c>
    </row>
    <row r="330" spans="1:5" x14ac:dyDescent="0.25">
      <c r="A330">
        <v>7449832</v>
      </c>
      <c r="B330" t="str">
        <f t="shared" si="5"/>
        <v>stacjonarny</v>
      </c>
      <c r="C330" s="1">
        <v>42922</v>
      </c>
      <c r="D330" s="2">
        <v>0.40559027777777779</v>
      </c>
      <c r="E330" s="2">
        <v>0.41425925925925927</v>
      </c>
    </row>
    <row r="331" spans="1:5" x14ac:dyDescent="0.25">
      <c r="A331">
        <v>49390412</v>
      </c>
      <c r="B331" t="str">
        <f t="shared" si="5"/>
        <v>komorkowy</v>
      </c>
      <c r="C331" s="1">
        <v>42922</v>
      </c>
      <c r="D331" s="2">
        <v>0.40645833333333331</v>
      </c>
      <c r="E331" s="2">
        <v>0.41598379629629628</v>
      </c>
    </row>
    <row r="332" spans="1:5" x14ac:dyDescent="0.25">
      <c r="A332">
        <v>6156594</v>
      </c>
      <c r="B332" t="str">
        <f t="shared" si="5"/>
        <v>stacjonarny</v>
      </c>
      <c r="C332" s="1">
        <v>42922</v>
      </c>
      <c r="D332" s="2">
        <v>0.41142361111111109</v>
      </c>
      <c r="E332" s="2">
        <v>0.42168981481481482</v>
      </c>
    </row>
    <row r="333" spans="1:5" x14ac:dyDescent="0.25">
      <c r="A333">
        <v>5006675</v>
      </c>
      <c r="B333" t="str">
        <f t="shared" si="5"/>
        <v>stacjonarny</v>
      </c>
      <c r="C333" s="1">
        <v>42922</v>
      </c>
      <c r="D333" s="2">
        <v>0.4129976851851852</v>
      </c>
      <c r="E333" s="2">
        <v>0.41953703703703704</v>
      </c>
    </row>
    <row r="334" spans="1:5" x14ac:dyDescent="0.25">
      <c r="A334">
        <v>2096180</v>
      </c>
      <c r="B334" t="str">
        <f t="shared" si="5"/>
        <v>stacjonarny</v>
      </c>
      <c r="C334" s="1">
        <v>42922</v>
      </c>
      <c r="D334" s="2">
        <v>0.41351851851851851</v>
      </c>
      <c r="E334" s="2">
        <v>0.41670138888888891</v>
      </c>
    </row>
    <row r="335" spans="1:5" x14ac:dyDescent="0.25">
      <c r="A335">
        <v>8214927</v>
      </c>
      <c r="B335" t="str">
        <f t="shared" si="5"/>
        <v>stacjonarny</v>
      </c>
      <c r="C335" s="1">
        <v>42922</v>
      </c>
      <c r="D335" s="2">
        <v>0.41638888888888886</v>
      </c>
      <c r="E335" s="2">
        <v>0.42116898148148146</v>
      </c>
    </row>
    <row r="336" spans="1:5" x14ac:dyDescent="0.25">
      <c r="A336">
        <v>5816822</v>
      </c>
      <c r="B336" t="str">
        <f t="shared" si="5"/>
        <v>stacjonarny</v>
      </c>
      <c r="C336" s="1">
        <v>42922</v>
      </c>
      <c r="D336" s="2">
        <v>0.41684027777777777</v>
      </c>
      <c r="E336" s="2">
        <v>0.4230902777777778</v>
      </c>
    </row>
    <row r="337" spans="1:5" x14ac:dyDescent="0.25">
      <c r="A337">
        <v>9683894</v>
      </c>
      <c r="B337" t="str">
        <f t="shared" si="5"/>
        <v>stacjonarny</v>
      </c>
      <c r="C337" s="1">
        <v>42922</v>
      </c>
      <c r="D337" s="2">
        <v>0.42046296296296298</v>
      </c>
      <c r="E337" s="2">
        <v>0.42086805555555556</v>
      </c>
    </row>
    <row r="338" spans="1:5" x14ac:dyDescent="0.25">
      <c r="A338">
        <v>2808052</v>
      </c>
      <c r="B338" t="str">
        <f t="shared" si="5"/>
        <v>stacjonarny</v>
      </c>
      <c r="C338" s="1">
        <v>42922</v>
      </c>
      <c r="D338" s="2">
        <v>0.42144675925925928</v>
      </c>
      <c r="E338" s="2">
        <v>0.43079861111111112</v>
      </c>
    </row>
    <row r="339" spans="1:5" x14ac:dyDescent="0.25">
      <c r="A339">
        <v>18084593</v>
      </c>
      <c r="B339" t="str">
        <f t="shared" si="5"/>
        <v>komorkowy</v>
      </c>
      <c r="C339" s="1">
        <v>42922</v>
      </c>
      <c r="D339" s="2">
        <v>0.42482638888888891</v>
      </c>
      <c r="E339" s="2">
        <v>0.43292824074074077</v>
      </c>
    </row>
    <row r="340" spans="1:5" x14ac:dyDescent="0.25">
      <c r="A340">
        <v>1390402</v>
      </c>
      <c r="B340" t="str">
        <f t="shared" si="5"/>
        <v>stacjonarny</v>
      </c>
      <c r="C340" s="1">
        <v>42922</v>
      </c>
      <c r="D340" s="2">
        <v>0.42880787037037038</v>
      </c>
      <c r="E340" s="2">
        <v>0.44034722222222222</v>
      </c>
    </row>
    <row r="341" spans="1:5" x14ac:dyDescent="0.25">
      <c r="A341">
        <v>44200961</v>
      </c>
      <c r="B341" t="str">
        <f t="shared" si="5"/>
        <v>komorkowy</v>
      </c>
      <c r="C341" s="1">
        <v>42922</v>
      </c>
      <c r="D341" s="2">
        <v>0.42920138888888887</v>
      </c>
      <c r="E341" s="2">
        <v>0.43532407407407409</v>
      </c>
    </row>
    <row r="342" spans="1:5" x14ac:dyDescent="0.25">
      <c r="A342">
        <v>5859235</v>
      </c>
      <c r="B342" t="str">
        <f t="shared" si="5"/>
        <v>stacjonarny</v>
      </c>
      <c r="C342" s="1">
        <v>42922</v>
      </c>
      <c r="D342" s="2">
        <v>0.43037037037037035</v>
      </c>
      <c r="E342" s="2">
        <v>0.4344675925925926</v>
      </c>
    </row>
    <row r="343" spans="1:5" x14ac:dyDescent="0.25">
      <c r="A343">
        <v>51855396</v>
      </c>
      <c r="B343" t="str">
        <f t="shared" si="5"/>
        <v>komorkowy</v>
      </c>
      <c r="C343" s="1">
        <v>42922</v>
      </c>
      <c r="D343" s="2">
        <v>0.43266203703703704</v>
      </c>
      <c r="E343" s="2">
        <v>0.44364583333333335</v>
      </c>
    </row>
    <row r="344" spans="1:5" x14ac:dyDescent="0.25">
      <c r="A344">
        <v>8768896</v>
      </c>
      <c r="B344" t="str">
        <f t="shared" si="5"/>
        <v>stacjonarny</v>
      </c>
      <c r="C344" s="1">
        <v>42922</v>
      </c>
      <c r="D344" s="2">
        <v>0.43590277777777775</v>
      </c>
      <c r="E344" s="2">
        <v>0.44127314814814816</v>
      </c>
    </row>
    <row r="345" spans="1:5" x14ac:dyDescent="0.25">
      <c r="A345">
        <v>9088045</v>
      </c>
      <c r="B345" t="str">
        <f t="shared" si="5"/>
        <v>stacjonarny</v>
      </c>
      <c r="C345" s="1">
        <v>42922</v>
      </c>
      <c r="D345" s="2">
        <v>0.44063657407407408</v>
      </c>
      <c r="E345" s="2">
        <v>0.44285879629629632</v>
      </c>
    </row>
    <row r="346" spans="1:5" x14ac:dyDescent="0.25">
      <c r="A346">
        <v>9872216</v>
      </c>
      <c r="B346" t="str">
        <f t="shared" si="5"/>
        <v>stacjonarny</v>
      </c>
      <c r="C346" s="1">
        <v>42922</v>
      </c>
      <c r="D346" s="2">
        <v>0.44200231481481483</v>
      </c>
      <c r="E346" s="2">
        <v>0.44886574074074076</v>
      </c>
    </row>
    <row r="347" spans="1:5" x14ac:dyDescent="0.25">
      <c r="A347">
        <v>8369815</v>
      </c>
      <c r="B347" t="str">
        <f t="shared" si="5"/>
        <v>stacjonarny</v>
      </c>
      <c r="C347" s="1">
        <v>42922</v>
      </c>
      <c r="D347" s="2">
        <v>0.44350694444444444</v>
      </c>
      <c r="E347" s="2">
        <v>0.44528935185185187</v>
      </c>
    </row>
    <row r="348" spans="1:5" x14ac:dyDescent="0.25">
      <c r="A348">
        <v>3370151</v>
      </c>
      <c r="B348" t="str">
        <f t="shared" si="5"/>
        <v>stacjonarny</v>
      </c>
      <c r="C348" s="1">
        <v>42922</v>
      </c>
      <c r="D348" s="2">
        <v>0.44452546296296297</v>
      </c>
      <c r="E348" s="2">
        <v>0.44923611111111111</v>
      </c>
    </row>
    <row r="349" spans="1:5" x14ac:dyDescent="0.25">
      <c r="A349">
        <v>1488369</v>
      </c>
      <c r="B349" t="str">
        <f t="shared" si="5"/>
        <v>stacjonarny</v>
      </c>
      <c r="C349" s="1">
        <v>42922</v>
      </c>
      <c r="D349" s="2">
        <v>0.44871527777777775</v>
      </c>
      <c r="E349" s="2">
        <v>0.45627314814814812</v>
      </c>
    </row>
    <row r="350" spans="1:5" x14ac:dyDescent="0.25">
      <c r="A350">
        <v>4132754</v>
      </c>
      <c r="B350" t="str">
        <f t="shared" si="5"/>
        <v>stacjonarny</v>
      </c>
      <c r="C350" s="1">
        <v>42922</v>
      </c>
      <c r="D350" s="2">
        <v>0.45281250000000001</v>
      </c>
      <c r="E350" s="2">
        <v>0.45374999999999999</v>
      </c>
    </row>
    <row r="351" spans="1:5" x14ac:dyDescent="0.25">
      <c r="A351">
        <v>66638685</v>
      </c>
      <c r="B351" t="str">
        <f t="shared" si="5"/>
        <v>komorkowy</v>
      </c>
      <c r="C351" s="1">
        <v>42922</v>
      </c>
      <c r="D351" s="2">
        <v>0.45401620370370371</v>
      </c>
      <c r="E351" s="2">
        <v>0.46406249999999999</v>
      </c>
    </row>
    <row r="352" spans="1:5" x14ac:dyDescent="0.25">
      <c r="A352">
        <v>6818507</v>
      </c>
      <c r="B352" t="str">
        <f t="shared" si="5"/>
        <v>stacjonarny</v>
      </c>
      <c r="C352" s="1">
        <v>42922</v>
      </c>
      <c r="D352" s="2">
        <v>0.4584259259259259</v>
      </c>
      <c r="E352" s="2">
        <v>0.46380787037037036</v>
      </c>
    </row>
    <row r="353" spans="1:5" x14ac:dyDescent="0.25">
      <c r="A353">
        <v>93611539</v>
      </c>
      <c r="B353" t="str">
        <f t="shared" si="5"/>
        <v>komorkowy</v>
      </c>
      <c r="C353" s="1">
        <v>42922</v>
      </c>
      <c r="D353" s="2">
        <v>0.45853009259259259</v>
      </c>
      <c r="E353" s="2">
        <v>0.46674768518518517</v>
      </c>
    </row>
    <row r="354" spans="1:5" x14ac:dyDescent="0.25">
      <c r="A354">
        <v>2890519255</v>
      </c>
      <c r="B354" t="str">
        <f t="shared" si="5"/>
        <v>zagraniczny</v>
      </c>
      <c r="C354" s="1">
        <v>42922</v>
      </c>
      <c r="D354" s="2">
        <v>0.4613888888888889</v>
      </c>
      <c r="E354" s="2">
        <v>0.46836805555555555</v>
      </c>
    </row>
    <row r="355" spans="1:5" x14ac:dyDescent="0.25">
      <c r="A355">
        <v>66336445</v>
      </c>
      <c r="B355" t="str">
        <f t="shared" si="5"/>
        <v>komorkowy</v>
      </c>
      <c r="C355" s="1">
        <v>42922</v>
      </c>
      <c r="D355" s="2">
        <v>0.46322916666666669</v>
      </c>
      <c r="E355" s="2">
        <v>0.4642013888888889</v>
      </c>
    </row>
    <row r="356" spans="1:5" x14ac:dyDescent="0.25">
      <c r="A356">
        <v>9356324</v>
      </c>
      <c r="B356" t="str">
        <f t="shared" si="5"/>
        <v>stacjonarny</v>
      </c>
      <c r="C356" s="1">
        <v>42922</v>
      </c>
      <c r="D356" s="2">
        <v>0.46339120370370368</v>
      </c>
      <c r="E356" s="2">
        <v>0.47425925925925927</v>
      </c>
    </row>
    <row r="357" spans="1:5" x14ac:dyDescent="0.25">
      <c r="A357">
        <v>5111892302</v>
      </c>
      <c r="B357" t="str">
        <f t="shared" si="5"/>
        <v>zagraniczny</v>
      </c>
      <c r="C357" s="1">
        <v>42922</v>
      </c>
      <c r="D357" s="2">
        <v>0.46871527777777777</v>
      </c>
      <c r="E357" s="2">
        <v>0.47319444444444442</v>
      </c>
    </row>
    <row r="358" spans="1:5" x14ac:dyDescent="0.25">
      <c r="A358">
        <v>2435007</v>
      </c>
      <c r="B358" t="str">
        <f t="shared" si="5"/>
        <v>stacjonarny</v>
      </c>
      <c r="C358" s="1">
        <v>42922</v>
      </c>
      <c r="D358" s="2">
        <v>0.47395833333333331</v>
      </c>
      <c r="E358" s="2">
        <v>0.47423611111111114</v>
      </c>
    </row>
    <row r="359" spans="1:5" x14ac:dyDescent="0.25">
      <c r="A359">
        <v>6694568</v>
      </c>
      <c r="B359" t="str">
        <f t="shared" si="5"/>
        <v>stacjonarny</v>
      </c>
      <c r="C359" s="1">
        <v>42922</v>
      </c>
      <c r="D359" s="2">
        <v>0.47865740740740742</v>
      </c>
      <c r="E359" s="2">
        <v>0.48923611111111109</v>
      </c>
    </row>
    <row r="360" spans="1:5" x14ac:dyDescent="0.25">
      <c r="A360">
        <v>6420583</v>
      </c>
      <c r="B360" t="str">
        <f t="shared" si="5"/>
        <v>stacjonarny</v>
      </c>
      <c r="C360" s="1">
        <v>42922</v>
      </c>
      <c r="D360" s="2">
        <v>0.48</v>
      </c>
      <c r="E360" s="2">
        <v>0.48539351851851853</v>
      </c>
    </row>
    <row r="361" spans="1:5" x14ac:dyDescent="0.25">
      <c r="A361">
        <v>19835498</v>
      </c>
      <c r="B361" t="str">
        <f t="shared" si="5"/>
        <v>komorkowy</v>
      </c>
      <c r="C361" s="1">
        <v>42922</v>
      </c>
      <c r="D361" s="2">
        <v>0.48478009259259258</v>
      </c>
      <c r="E361" s="2">
        <v>0.49233796296296295</v>
      </c>
    </row>
    <row r="362" spans="1:5" x14ac:dyDescent="0.25">
      <c r="A362">
        <v>6663334</v>
      </c>
      <c r="B362" t="str">
        <f t="shared" si="5"/>
        <v>stacjonarny</v>
      </c>
      <c r="C362" s="1">
        <v>42922</v>
      </c>
      <c r="D362" s="2">
        <v>0.48605324074074074</v>
      </c>
      <c r="E362" s="2">
        <v>0.49381944444444442</v>
      </c>
    </row>
    <row r="363" spans="1:5" x14ac:dyDescent="0.25">
      <c r="A363">
        <v>44765837</v>
      </c>
      <c r="B363" t="str">
        <f t="shared" si="5"/>
        <v>komorkowy</v>
      </c>
      <c r="C363" s="1">
        <v>42922</v>
      </c>
      <c r="D363" s="2">
        <v>0.4887037037037037</v>
      </c>
      <c r="E363" s="2">
        <v>0.49343749999999997</v>
      </c>
    </row>
    <row r="364" spans="1:5" x14ac:dyDescent="0.25">
      <c r="A364">
        <v>2469778</v>
      </c>
      <c r="B364" t="str">
        <f t="shared" si="5"/>
        <v>stacjonarny</v>
      </c>
      <c r="C364" s="1">
        <v>42922</v>
      </c>
      <c r="D364" s="2">
        <v>0.49236111111111114</v>
      </c>
      <c r="E364" s="2">
        <v>0.49780092592592595</v>
      </c>
    </row>
    <row r="365" spans="1:5" x14ac:dyDescent="0.25">
      <c r="A365">
        <v>1959826</v>
      </c>
      <c r="B365" t="str">
        <f t="shared" si="5"/>
        <v>stacjonarny</v>
      </c>
      <c r="C365" s="1">
        <v>42922</v>
      </c>
      <c r="D365" s="2">
        <v>0.49372685185185183</v>
      </c>
      <c r="E365" s="2">
        <v>0.50436342592592598</v>
      </c>
    </row>
    <row r="366" spans="1:5" x14ac:dyDescent="0.25">
      <c r="A366">
        <v>37032078</v>
      </c>
      <c r="B366" t="str">
        <f t="shared" si="5"/>
        <v>komorkowy</v>
      </c>
      <c r="C366" s="1">
        <v>42922</v>
      </c>
      <c r="D366" s="2">
        <v>0.49387731481481484</v>
      </c>
      <c r="E366" s="2">
        <v>0.50420138888888888</v>
      </c>
    </row>
    <row r="367" spans="1:5" x14ac:dyDescent="0.25">
      <c r="A367">
        <v>6516512</v>
      </c>
      <c r="B367" t="str">
        <f t="shared" si="5"/>
        <v>stacjonarny</v>
      </c>
      <c r="C367" s="1">
        <v>42922</v>
      </c>
      <c r="D367" s="2">
        <v>0.49438657407407405</v>
      </c>
      <c r="E367" s="2">
        <v>0.49909722222222225</v>
      </c>
    </row>
    <row r="368" spans="1:5" x14ac:dyDescent="0.25">
      <c r="A368">
        <v>4726561</v>
      </c>
      <c r="B368" t="str">
        <f t="shared" si="5"/>
        <v>stacjonarny</v>
      </c>
      <c r="C368" s="1">
        <v>42922</v>
      </c>
      <c r="D368" s="2">
        <v>0.49910879629629629</v>
      </c>
      <c r="E368" s="2">
        <v>0.5009837962962963</v>
      </c>
    </row>
    <row r="369" spans="1:5" x14ac:dyDescent="0.25">
      <c r="A369">
        <v>9685747</v>
      </c>
      <c r="B369" t="str">
        <f t="shared" si="5"/>
        <v>stacjonarny</v>
      </c>
      <c r="C369" s="1">
        <v>42922</v>
      </c>
      <c r="D369" s="2">
        <v>0.50342592592592594</v>
      </c>
      <c r="E369" s="2">
        <v>0.51392361111111107</v>
      </c>
    </row>
    <row r="370" spans="1:5" x14ac:dyDescent="0.25">
      <c r="A370">
        <v>7507354</v>
      </c>
      <c r="B370" t="str">
        <f t="shared" si="5"/>
        <v>stacjonarny</v>
      </c>
      <c r="C370" s="1">
        <v>42922</v>
      </c>
      <c r="D370" s="2">
        <v>0.50700231481481484</v>
      </c>
      <c r="E370" s="2">
        <v>0.51186342592592593</v>
      </c>
    </row>
    <row r="371" spans="1:5" x14ac:dyDescent="0.25">
      <c r="A371">
        <v>8605742</v>
      </c>
      <c r="B371" t="str">
        <f t="shared" si="5"/>
        <v>stacjonarny</v>
      </c>
      <c r="C371" s="1">
        <v>42922</v>
      </c>
      <c r="D371" s="2">
        <v>0.5119097222222222</v>
      </c>
      <c r="E371" s="2">
        <v>0.52288194444444447</v>
      </c>
    </row>
    <row r="372" spans="1:5" x14ac:dyDescent="0.25">
      <c r="A372">
        <v>4681236</v>
      </c>
      <c r="B372" t="str">
        <f t="shared" si="5"/>
        <v>stacjonarny</v>
      </c>
      <c r="C372" s="1">
        <v>42922</v>
      </c>
      <c r="D372" s="2">
        <v>0.51452546296296298</v>
      </c>
      <c r="E372" s="2">
        <v>0.51570601851851849</v>
      </c>
    </row>
    <row r="373" spans="1:5" x14ac:dyDescent="0.25">
      <c r="A373">
        <v>3590468</v>
      </c>
      <c r="B373" t="str">
        <f t="shared" si="5"/>
        <v>stacjonarny</v>
      </c>
      <c r="C373" s="1">
        <v>42922</v>
      </c>
      <c r="D373" s="2">
        <v>0.51556712962962958</v>
      </c>
      <c r="E373" s="2">
        <v>0.52572916666666669</v>
      </c>
    </row>
    <row r="374" spans="1:5" x14ac:dyDescent="0.25">
      <c r="A374">
        <v>9878283</v>
      </c>
      <c r="B374" t="str">
        <f t="shared" si="5"/>
        <v>stacjonarny</v>
      </c>
      <c r="C374" s="1">
        <v>42922</v>
      </c>
      <c r="D374" s="2">
        <v>0.51858796296296295</v>
      </c>
      <c r="E374" s="2">
        <v>0.52776620370370375</v>
      </c>
    </row>
    <row r="375" spans="1:5" x14ac:dyDescent="0.25">
      <c r="A375">
        <v>5991516</v>
      </c>
      <c r="B375" t="str">
        <f t="shared" si="5"/>
        <v>stacjonarny</v>
      </c>
      <c r="C375" s="1">
        <v>42922</v>
      </c>
      <c r="D375" s="2">
        <v>0.52217592592592588</v>
      </c>
      <c r="E375" s="2">
        <v>0.53173611111111108</v>
      </c>
    </row>
    <row r="376" spans="1:5" x14ac:dyDescent="0.25">
      <c r="A376">
        <v>1240369</v>
      </c>
      <c r="B376" t="str">
        <f t="shared" si="5"/>
        <v>stacjonarny</v>
      </c>
      <c r="C376" s="1">
        <v>42922</v>
      </c>
      <c r="D376" s="2">
        <v>0.52767361111111111</v>
      </c>
      <c r="E376" s="2">
        <v>0.52850694444444446</v>
      </c>
    </row>
    <row r="377" spans="1:5" x14ac:dyDescent="0.25">
      <c r="A377">
        <v>25133293</v>
      </c>
      <c r="B377" t="str">
        <f t="shared" si="5"/>
        <v>komorkowy</v>
      </c>
      <c r="C377" s="1">
        <v>42922</v>
      </c>
      <c r="D377" s="2">
        <v>0.528900462962963</v>
      </c>
      <c r="E377" s="2">
        <v>0.53740740740740744</v>
      </c>
    </row>
    <row r="378" spans="1:5" x14ac:dyDescent="0.25">
      <c r="A378">
        <v>5036422</v>
      </c>
      <c r="B378" t="str">
        <f t="shared" si="5"/>
        <v>stacjonarny</v>
      </c>
      <c r="C378" s="1">
        <v>42922</v>
      </c>
      <c r="D378" s="2">
        <v>0.52986111111111112</v>
      </c>
      <c r="E378" s="2">
        <v>0.53047453703703706</v>
      </c>
    </row>
    <row r="379" spans="1:5" x14ac:dyDescent="0.25">
      <c r="A379">
        <v>4283724</v>
      </c>
      <c r="B379" t="str">
        <f t="shared" si="5"/>
        <v>stacjonarny</v>
      </c>
      <c r="C379" s="1">
        <v>42922</v>
      </c>
      <c r="D379" s="2">
        <v>0.53134259259259264</v>
      </c>
      <c r="E379" s="2">
        <v>0.53738425925925926</v>
      </c>
    </row>
    <row r="380" spans="1:5" x14ac:dyDescent="0.25">
      <c r="A380">
        <v>5856822</v>
      </c>
      <c r="B380" t="str">
        <f t="shared" si="5"/>
        <v>stacjonarny</v>
      </c>
      <c r="C380" s="1">
        <v>42922</v>
      </c>
      <c r="D380" s="2">
        <v>0.533599537037037</v>
      </c>
      <c r="E380" s="2">
        <v>0.53469907407407402</v>
      </c>
    </row>
    <row r="381" spans="1:5" x14ac:dyDescent="0.25">
      <c r="A381">
        <v>7880396</v>
      </c>
      <c r="B381" t="str">
        <f t="shared" si="5"/>
        <v>stacjonarny</v>
      </c>
      <c r="C381" s="1">
        <v>42922</v>
      </c>
      <c r="D381" s="2">
        <v>0.53796296296296298</v>
      </c>
      <c r="E381" s="2">
        <v>0.54479166666666667</v>
      </c>
    </row>
    <row r="382" spans="1:5" x14ac:dyDescent="0.25">
      <c r="A382">
        <v>2201085</v>
      </c>
      <c r="B382" t="str">
        <f t="shared" si="5"/>
        <v>stacjonarny</v>
      </c>
      <c r="C382" s="1">
        <v>42922</v>
      </c>
      <c r="D382" s="2">
        <v>0.54072916666666671</v>
      </c>
      <c r="E382" s="2">
        <v>0.544525462962963</v>
      </c>
    </row>
    <row r="383" spans="1:5" x14ac:dyDescent="0.25">
      <c r="A383">
        <v>30893038</v>
      </c>
      <c r="B383" t="str">
        <f t="shared" si="5"/>
        <v>komorkowy</v>
      </c>
      <c r="C383" s="1">
        <v>42922</v>
      </c>
      <c r="D383" s="2">
        <v>0.54082175925925924</v>
      </c>
      <c r="E383" s="2">
        <v>0.54995370370370367</v>
      </c>
    </row>
    <row r="384" spans="1:5" x14ac:dyDescent="0.25">
      <c r="A384">
        <v>9319894</v>
      </c>
      <c r="B384" t="str">
        <f t="shared" si="5"/>
        <v>stacjonarny</v>
      </c>
      <c r="C384" s="1">
        <v>42922</v>
      </c>
      <c r="D384" s="2">
        <v>0.54207175925925921</v>
      </c>
      <c r="E384" s="2">
        <v>0.54953703703703705</v>
      </c>
    </row>
    <row r="385" spans="1:5" x14ac:dyDescent="0.25">
      <c r="A385">
        <v>3211876</v>
      </c>
      <c r="B385" t="str">
        <f t="shared" si="5"/>
        <v>stacjonarny</v>
      </c>
      <c r="C385" s="1">
        <v>42922</v>
      </c>
      <c r="D385" s="2">
        <v>0.54693287037037042</v>
      </c>
      <c r="E385" s="2">
        <v>0.54781250000000004</v>
      </c>
    </row>
    <row r="386" spans="1:5" x14ac:dyDescent="0.25">
      <c r="A386">
        <v>4736016</v>
      </c>
      <c r="B386" t="str">
        <f t="shared" si="5"/>
        <v>stacjonarny</v>
      </c>
      <c r="C386" s="1">
        <v>42922</v>
      </c>
      <c r="D386" s="2">
        <v>0.55115740740740737</v>
      </c>
      <c r="E386" s="2">
        <v>0.55248842592592595</v>
      </c>
    </row>
    <row r="387" spans="1:5" x14ac:dyDescent="0.25">
      <c r="A387">
        <v>8063487</v>
      </c>
      <c r="B387" t="str">
        <f t="shared" ref="B387:B450" si="6">IF(LEN(A387)=7, "stacjonarny", IF(LEN(A387)=8, "komorkowy", "zagraniczny"))</f>
        <v>stacjonarny</v>
      </c>
      <c r="C387" s="1">
        <v>42922</v>
      </c>
      <c r="D387" s="2">
        <v>0.55269675925925921</v>
      </c>
      <c r="E387" s="2">
        <v>0.56017361111111108</v>
      </c>
    </row>
    <row r="388" spans="1:5" x14ac:dyDescent="0.25">
      <c r="A388">
        <v>1319121</v>
      </c>
      <c r="B388" t="str">
        <f t="shared" si="6"/>
        <v>stacjonarny</v>
      </c>
      <c r="C388" s="1">
        <v>42922</v>
      </c>
      <c r="D388" s="2">
        <v>0.55652777777777773</v>
      </c>
      <c r="E388" s="2">
        <v>0.55682870370370374</v>
      </c>
    </row>
    <row r="389" spans="1:5" x14ac:dyDescent="0.25">
      <c r="A389">
        <v>5026277</v>
      </c>
      <c r="B389" t="str">
        <f t="shared" si="6"/>
        <v>stacjonarny</v>
      </c>
      <c r="C389" s="1">
        <v>42922</v>
      </c>
      <c r="D389" s="2">
        <v>0.55969907407407404</v>
      </c>
      <c r="E389" s="2">
        <v>0.5655324074074074</v>
      </c>
    </row>
    <row r="390" spans="1:5" x14ac:dyDescent="0.25">
      <c r="A390">
        <v>8768896</v>
      </c>
      <c r="B390" t="str">
        <f t="shared" si="6"/>
        <v>stacjonarny</v>
      </c>
      <c r="C390" s="1">
        <v>42922</v>
      </c>
      <c r="D390" s="2">
        <v>0.55982638888888892</v>
      </c>
      <c r="E390" s="2">
        <v>0.57039351851851849</v>
      </c>
    </row>
    <row r="391" spans="1:5" x14ac:dyDescent="0.25">
      <c r="A391">
        <v>48661666</v>
      </c>
      <c r="B391" t="str">
        <f t="shared" si="6"/>
        <v>komorkowy</v>
      </c>
      <c r="C391" s="1">
        <v>42922</v>
      </c>
      <c r="D391" s="2">
        <v>0.56123842592592588</v>
      </c>
      <c r="E391" s="2">
        <v>0.56376157407407412</v>
      </c>
    </row>
    <row r="392" spans="1:5" x14ac:dyDescent="0.25">
      <c r="A392">
        <v>9304830</v>
      </c>
      <c r="B392" t="str">
        <f t="shared" si="6"/>
        <v>stacjonarny</v>
      </c>
      <c r="C392" s="1">
        <v>42922</v>
      </c>
      <c r="D392" s="2">
        <v>0.56671296296296292</v>
      </c>
      <c r="E392" s="2">
        <v>0.56832175925925921</v>
      </c>
    </row>
    <row r="393" spans="1:5" x14ac:dyDescent="0.25">
      <c r="A393">
        <v>3040267</v>
      </c>
      <c r="B393" t="str">
        <f t="shared" si="6"/>
        <v>stacjonarny</v>
      </c>
      <c r="C393" s="1">
        <v>42922</v>
      </c>
      <c r="D393" s="2">
        <v>0.56738425925925928</v>
      </c>
      <c r="E393" s="2">
        <v>0.578587962962963</v>
      </c>
    </row>
    <row r="394" spans="1:5" x14ac:dyDescent="0.25">
      <c r="A394">
        <v>8405954</v>
      </c>
      <c r="B394" t="str">
        <f t="shared" si="6"/>
        <v>stacjonarny</v>
      </c>
      <c r="C394" s="1">
        <v>42922</v>
      </c>
      <c r="D394" s="2">
        <v>0.57164351851851847</v>
      </c>
      <c r="E394" s="2">
        <v>0.57528935185185182</v>
      </c>
    </row>
    <row r="395" spans="1:5" x14ac:dyDescent="0.25">
      <c r="A395">
        <v>75873682</v>
      </c>
      <c r="B395" t="str">
        <f t="shared" si="6"/>
        <v>komorkowy</v>
      </c>
      <c r="C395" s="1">
        <v>42922</v>
      </c>
      <c r="D395" s="2">
        <v>0.57399305555555558</v>
      </c>
      <c r="E395" s="2">
        <v>0.58403935185185185</v>
      </c>
    </row>
    <row r="396" spans="1:5" x14ac:dyDescent="0.25">
      <c r="A396">
        <v>5984039</v>
      </c>
      <c r="B396" t="str">
        <f t="shared" si="6"/>
        <v>stacjonarny</v>
      </c>
      <c r="C396" s="1">
        <v>42922</v>
      </c>
      <c r="D396" s="2">
        <v>0.57586805555555554</v>
      </c>
      <c r="E396" s="2">
        <v>0.57981481481481478</v>
      </c>
    </row>
    <row r="397" spans="1:5" x14ac:dyDescent="0.25">
      <c r="A397">
        <v>9807682</v>
      </c>
      <c r="B397" t="str">
        <f t="shared" si="6"/>
        <v>stacjonarny</v>
      </c>
      <c r="C397" s="1">
        <v>42922</v>
      </c>
      <c r="D397" s="2">
        <v>0.57592592592592595</v>
      </c>
      <c r="E397" s="2">
        <v>0.57924768518518521</v>
      </c>
    </row>
    <row r="398" spans="1:5" x14ac:dyDescent="0.25">
      <c r="A398">
        <v>3029994</v>
      </c>
      <c r="B398" t="str">
        <f t="shared" si="6"/>
        <v>stacjonarny</v>
      </c>
      <c r="C398" s="1">
        <v>42922</v>
      </c>
      <c r="D398" s="2">
        <v>0.57737268518518514</v>
      </c>
      <c r="E398" s="2">
        <v>0.58391203703703709</v>
      </c>
    </row>
    <row r="399" spans="1:5" x14ac:dyDescent="0.25">
      <c r="A399">
        <v>9415767851</v>
      </c>
      <c r="B399" t="str">
        <f t="shared" si="6"/>
        <v>zagraniczny</v>
      </c>
      <c r="C399" s="1">
        <v>42922</v>
      </c>
      <c r="D399" s="2">
        <v>0.5827430555555555</v>
      </c>
      <c r="E399" s="2">
        <v>0.58309027777777778</v>
      </c>
    </row>
    <row r="400" spans="1:5" x14ac:dyDescent="0.25">
      <c r="A400">
        <v>2388040</v>
      </c>
      <c r="B400" t="str">
        <f t="shared" si="6"/>
        <v>stacjonarny</v>
      </c>
      <c r="C400" s="1">
        <v>42922</v>
      </c>
      <c r="D400" s="2">
        <v>0.58496527777777774</v>
      </c>
      <c r="E400" s="2">
        <v>0.59334490740740742</v>
      </c>
    </row>
    <row r="401" spans="1:5" x14ac:dyDescent="0.25">
      <c r="A401">
        <v>41974998</v>
      </c>
      <c r="B401" t="str">
        <f t="shared" si="6"/>
        <v>komorkowy</v>
      </c>
      <c r="C401" s="1">
        <v>42922</v>
      </c>
      <c r="D401" s="2">
        <v>0.58890046296296295</v>
      </c>
      <c r="E401" s="2">
        <v>0.59614583333333337</v>
      </c>
    </row>
    <row r="402" spans="1:5" x14ac:dyDescent="0.25">
      <c r="A402">
        <v>8400710</v>
      </c>
      <c r="B402" t="str">
        <f t="shared" si="6"/>
        <v>stacjonarny</v>
      </c>
      <c r="C402" s="1">
        <v>42922</v>
      </c>
      <c r="D402" s="2">
        <v>0.59182870370370366</v>
      </c>
      <c r="E402" s="2">
        <v>0.59376157407407404</v>
      </c>
    </row>
    <row r="403" spans="1:5" x14ac:dyDescent="0.25">
      <c r="A403">
        <v>1088377750</v>
      </c>
      <c r="B403" t="str">
        <f t="shared" si="6"/>
        <v>zagraniczny</v>
      </c>
      <c r="C403" s="1">
        <v>42922</v>
      </c>
      <c r="D403" s="2">
        <v>0.59666666666666668</v>
      </c>
      <c r="E403" s="2">
        <v>0.5975462962962963</v>
      </c>
    </row>
    <row r="404" spans="1:5" x14ac:dyDescent="0.25">
      <c r="A404">
        <v>62016185</v>
      </c>
      <c r="B404" t="str">
        <f t="shared" si="6"/>
        <v>komorkowy</v>
      </c>
      <c r="C404" s="1">
        <v>42922</v>
      </c>
      <c r="D404" s="2">
        <v>0.60146990740740736</v>
      </c>
      <c r="E404" s="2">
        <v>0.60932870370370373</v>
      </c>
    </row>
    <row r="405" spans="1:5" x14ac:dyDescent="0.25">
      <c r="A405">
        <v>4002406</v>
      </c>
      <c r="B405" t="str">
        <f t="shared" si="6"/>
        <v>stacjonarny</v>
      </c>
      <c r="C405" s="1">
        <v>42922</v>
      </c>
      <c r="D405" s="2">
        <v>0.60247685185185185</v>
      </c>
      <c r="E405" s="2">
        <v>0.60782407407407413</v>
      </c>
    </row>
    <row r="406" spans="1:5" x14ac:dyDescent="0.25">
      <c r="A406">
        <v>2394144</v>
      </c>
      <c r="B406" t="str">
        <f t="shared" si="6"/>
        <v>stacjonarny</v>
      </c>
      <c r="C406" s="1">
        <v>42922</v>
      </c>
      <c r="D406" s="2">
        <v>0.60774305555555552</v>
      </c>
      <c r="E406" s="2">
        <v>0.61297453703703708</v>
      </c>
    </row>
    <row r="407" spans="1:5" x14ac:dyDescent="0.25">
      <c r="A407">
        <v>9763924</v>
      </c>
      <c r="B407" t="str">
        <f t="shared" si="6"/>
        <v>stacjonarny</v>
      </c>
      <c r="C407" s="1">
        <v>42922</v>
      </c>
      <c r="D407" s="2">
        <v>0.611724537037037</v>
      </c>
      <c r="E407" s="2">
        <v>0.62217592592592597</v>
      </c>
    </row>
    <row r="408" spans="1:5" x14ac:dyDescent="0.25">
      <c r="A408">
        <v>7977726</v>
      </c>
      <c r="B408" t="str">
        <f t="shared" si="6"/>
        <v>stacjonarny</v>
      </c>
      <c r="C408" s="1">
        <v>42922</v>
      </c>
      <c r="D408" s="2">
        <v>0.6139930555555555</v>
      </c>
      <c r="E408" s="2">
        <v>0.62364583333333334</v>
      </c>
    </row>
    <row r="409" spans="1:5" x14ac:dyDescent="0.25">
      <c r="A409">
        <v>7219884</v>
      </c>
      <c r="B409" t="str">
        <f t="shared" si="6"/>
        <v>stacjonarny</v>
      </c>
      <c r="C409" s="1">
        <v>42922</v>
      </c>
      <c r="D409" s="2">
        <v>0.61871527777777779</v>
      </c>
      <c r="E409" s="2">
        <v>0.62458333333333338</v>
      </c>
    </row>
    <row r="410" spans="1:5" x14ac:dyDescent="0.25">
      <c r="A410">
        <v>8211396842</v>
      </c>
      <c r="B410" t="str">
        <f t="shared" si="6"/>
        <v>zagraniczny</v>
      </c>
      <c r="C410" s="1">
        <v>42922</v>
      </c>
      <c r="D410" s="2">
        <v>0.6237731481481481</v>
      </c>
      <c r="E410" s="2">
        <v>0.63299768518518518</v>
      </c>
    </row>
    <row r="411" spans="1:5" x14ac:dyDescent="0.25">
      <c r="A411">
        <v>4860618</v>
      </c>
      <c r="B411" t="str">
        <f t="shared" si="6"/>
        <v>stacjonarny</v>
      </c>
      <c r="C411" s="1">
        <v>42922</v>
      </c>
      <c r="D411" s="2">
        <v>0.62396990740740743</v>
      </c>
      <c r="E411" s="2">
        <v>0.62693287037037038</v>
      </c>
    </row>
    <row r="412" spans="1:5" x14ac:dyDescent="0.25">
      <c r="A412">
        <v>6772052</v>
      </c>
      <c r="B412" t="str">
        <f t="shared" si="6"/>
        <v>stacjonarny</v>
      </c>
      <c r="C412" s="1">
        <v>42922</v>
      </c>
      <c r="D412" s="2">
        <v>0.62491898148148151</v>
      </c>
      <c r="E412" s="2">
        <v>0.63265046296296301</v>
      </c>
    </row>
    <row r="413" spans="1:5" x14ac:dyDescent="0.25">
      <c r="A413">
        <v>6290575</v>
      </c>
      <c r="B413" t="str">
        <f t="shared" si="6"/>
        <v>stacjonarny</v>
      </c>
      <c r="C413" s="1">
        <v>42922</v>
      </c>
      <c r="D413" s="2">
        <v>0.62614583333333329</v>
      </c>
      <c r="E413" s="2">
        <v>0.6318287037037037</v>
      </c>
    </row>
    <row r="414" spans="1:5" x14ac:dyDescent="0.25">
      <c r="A414">
        <v>13972929</v>
      </c>
      <c r="B414" t="str">
        <f t="shared" si="6"/>
        <v>komorkowy</v>
      </c>
      <c r="C414" s="1">
        <v>42923</v>
      </c>
      <c r="D414" s="2">
        <v>0.33677083333333335</v>
      </c>
      <c r="E414" s="2">
        <v>0.34700231481481481</v>
      </c>
    </row>
    <row r="415" spans="1:5" x14ac:dyDescent="0.25">
      <c r="A415">
        <v>7663988</v>
      </c>
      <c r="B415" t="str">
        <f t="shared" si="6"/>
        <v>stacjonarny</v>
      </c>
      <c r="C415" s="1">
        <v>42923</v>
      </c>
      <c r="D415" s="2">
        <v>0.34092592592592591</v>
      </c>
      <c r="E415" s="2">
        <v>0.3448148148148148</v>
      </c>
    </row>
    <row r="416" spans="1:5" x14ac:dyDescent="0.25">
      <c r="A416">
        <v>90532439</v>
      </c>
      <c r="B416" t="str">
        <f t="shared" si="6"/>
        <v>komorkowy</v>
      </c>
      <c r="C416" s="1">
        <v>42923</v>
      </c>
      <c r="D416" s="2">
        <v>0.34288194444444442</v>
      </c>
      <c r="E416" s="2">
        <v>0.34506944444444443</v>
      </c>
    </row>
    <row r="417" spans="1:5" x14ac:dyDescent="0.25">
      <c r="A417">
        <v>5505912</v>
      </c>
      <c r="B417" t="str">
        <f t="shared" si="6"/>
        <v>stacjonarny</v>
      </c>
      <c r="C417" s="1">
        <v>42923</v>
      </c>
      <c r="D417" s="2">
        <v>0.34465277777777775</v>
      </c>
      <c r="E417" s="2">
        <v>0.34819444444444442</v>
      </c>
    </row>
    <row r="418" spans="1:5" x14ac:dyDescent="0.25">
      <c r="A418">
        <v>5505912</v>
      </c>
      <c r="B418" t="str">
        <f t="shared" si="6"/>
        <v>stacjonarny</v>
      </c>
      <c r="C418" s="1">
        <v>42923</v>
      </c>
      <c r="D418" s="2">
        <v>0.34848379629629628</v>
      </c>
      <c r="E418" s="2">
        <v>0.35015046296296298</v>
      </c>
    </row>
    <row r="419" spans="1:5" x14ac:dyDescent="0.25">
      <c r="A419">
        <v>70678482</v>
      </c>
      <c r="B419" t="str">
        <f t="shared" si="6"/>
        <v>komorkowy</v>
      </c>
      <c r="C419" s="1">
        <v>42923</v>
      </c>
      <c r="D419" s="2">
        <v>0.35130787037037037</v>
      </c>
      <c r="E419" s="2">
        <v>0.35899305555555555</v>
      </c>
    </row>
    <row r="420" spans="1:5" x14ac:dyDescent="0.25">
      <c r="A420">
        <v>6578914</v>
      </c>
      <c r="B420" t="str">
        <f t="shared" si="6"/>
        <v>stacjonarny</v>
      </c>
      <c r="C420" s="1">
        <v>42923</v>
      </c>
      <c r="D420" s="2">
        <v>0.35699074074074072</v>
      </c>
      <c r="E420" s="2">
        <v>0.36546296296296299</v>
      </c>
    </row>
    <row r="421" spans="1:5" x14ac:dyDescent="0.25">
      <c r="A421">
        <v>3444629</v>
      </c>
      <c r="B421" t="str">
        <f t="shared" si="6"/>
        <v>stacjonarny</v>
      </c>
      <c r="C421" s="1">
        <v>42923</v>
      </c>
      <c r="D421" s="2">
        <v>0.36015046296296294</v>
      </c>
      <c r="E421" s="2">
        <v>0.36656250000000001</v>
      </c>
    </row>
    <row r="422" spans="1:5" x14ac:dyDescent="0.25">
      <c r="A422">
        <v>95211263</v>
      </c>
      <c r="B422" t="str">
        <f t="shared" si="6"/>
        <v>komorkowy</v>
      </c>
      <c r="C422" s="1">
        <v>42923</v>
      </c>
      <c r="D422" s="2">
        <v>0.36069444444444443</v>
      </c>
      <c r="E422" s="2">
        <v>0.36572916666666666</v>
      </c>
    </row>
    <row r="423" spans="1:5" x14ac:dyDescent="0.25">
      <c r="A423">
        <v>9468070</v>
      </c>
      <c r="B423" t="str">
        <f t="shared" si="6"/>
        <v>stacjonarny</v>
      </c>
      <c r="C423" s="1">
        <v>42923</v>
      </c>
      <c r="D423" s="2">
        <v>0.36225694444444445</v>
      </c>
      <c r="E423" s="2">
        <v>0.36364583333333333</v>
      </c>
    </row>
    <row r="424" spans="1:5" x14ac:dyDescent="0.25">
      <c r="A424">
        <v>31516318</v>
      </c>
      <c r="B424" t="str">
        <f t="shared" si="6"/>
        <v>komorkowy</v>
      </c>
      <c r="C424" s="1">
        <v>42923</v>
      </c>
      <c r="D424" s="2">
        <v>0.36267361111111113</v>
      </c>
      <c r="E424" s="2">
        <v>0.36622685185185183</v>
      </c>
    </row>
    <row r="425" spans="1:5" x14ac:dyDescent="0.25">
      <c r="A425">
        <v>9865716</v>
      </c>
      <c r="B425" t="str">
        <f t="shared" si="6"/>
        <v>stacjonarny</v>
      </c>
      <c r="C425" s="1">
        <v>42923</v>
      </c>
      <c r="D425" s="2">
        <v>0.36584490740740738</v>
      </c>
      <c r="E425" s="2">
        <v>0.37709490740740742</v>
      </c>
    </row>
    <row r="426" spans="1:5" x14ac:dyDescent="0.25">
      <c r="A426">
        <v>8163790</v>
      </c>
      <c r="B426" t="str">
        <f t="shared" si="6"/>
        <v>stacjonarny</v>
      </c>
      <c r="C426" s="1">
        <v>42923</v>
      </c>
      <c r="D426" s="2">
        <v>0.36885416666666665</v>
      </c>
      <c r="E426" s="2">
        <v>0.36932870370370369</v>
      </c>
    </row>
    <row r="427" spans="1:5" x14ac:dyDescent="0.25">
      <c r="A427">
        <v>18070008</v>
      </c>
      <c r="B427" t="str">
        <f t="shared" si="6"/>
        <v>komorkowy</v>
      </c>
      <c r="C427" s="1">
        <v>42923</v>
      </c>
      <c r="D427" s="2">
        <v>0.36996527777777777</v>
      </c>
      <c r="E427" s="2">
        <v>0.37149305555555556</v>
      </c>
    </row>
    <row r="428" spans="1:5" x14ac:dyDescent="0.25">
      <c r="A428">
        <v>1119740</v>
      </c>
      <c r="B428" t="str">
        <f t="shared" si="6"/>
        <v>stacjonarny</v>
      </c>
      <c r="C428" s="1">
        <v>42923</v>
      </c>
      <c r="D428" s="2">
        <v>0.37112268518518521</v>
      </c>
      <c r="E428" s="2">
        <v>0.37534722222222222</v>
      </c>
    </row>
    <row r="429" spans="1:5" x14ac:dyDescent="0.25">
      <c r="A429">
        <v>94634526</v>
      </c>
      <c r="B429" t="str">
        <f t="shared" si="6"/>
        <v>komorkowy</v>
      </c>
      <c r="C429" s="1">
        <v>42923</v>
      </c>
      <c r="D429" s="2">
        <v>0.3721990740740741</v>
      </c>
      <c r="E429" s="2">
        <v>0.37956018518518519</v>
      </c>
    </row>
    <row r="430" spans="1:5" x14ac:dyDescent="0.25">
      <c r="A430">
        <v>67964973</v>
      </c>
      <c r="B430" t="str">
        <f t="shared" si="6"/>
        <v>komorkowy</v>
      </c>
      <c r="C430" s="1">
        <v>42923</v>
      </c>
      <c r="D430" s="2">
        <v>0.37445601851851851</v>
      </c>
      <c r="E430" s="2">
        <v>0.38145833333333334</v>
      </c>
    </row>
    <row r="431" spans="1:5" x14ac:dyDescent="0.25">
      <c r="A431">
        <v>3505978</v>
      </c>
      <c r="B431" t="str">
        <f t="shared" si="6"/>
        <v>stacjonarny</v>
      </c>
      <c r="C431" s="1">
        <v>42923</v>
      </c>
      <c r="D431" s="2">
        <v>0.3767476851851852</v>
      </c>
      <c r="E431" s="2">
        <v>0.38192129629629629</v>
      </c>
    </row>
    <row r="432" spans="1:5" x14ac:dyDescent="0.25">
      <c r="A432">
        <v>8685299481</v>
      </c>
      <c r="B432" t="str">
        <f t="shared" si="6"/>
        <v>zagraniczny</v>
      </c>
      <c r="C432" s="1">
        <v>42923</v>
      </c>
      <c r="D432" s="2">
        <v>0.3778009259259259</v>
      </c>
      <c r="E432" s="2">
        <v>0.37927083333333333</v>
      </c>
    </row>
    <row r="433" spans="1:5" x14ac:dyDescent="0.25">
      <c r="A433">
        <v>8863988</v>
      </c>
      <c r="B433" t="str">
        <f t="shared" si="6"/>
        <v>stacjonarny</v>
      </c>
      <c r="C433" s="1">
        <v>42923</v>
      </c>
      <c r="D433" s="2">
        <v>0.37998842592592591</v>
      </c>
      <c r="E433" s="2">
        <v>0.38434027777777779</v>
      </c>
    </row>
    <row r="434" spans="1:5" x14ac:dyDescent="0.25">
      <c r="A434">
        <v>29121099</v>
      </c>
      <c r="B434" t="str">
        <f t="shared" si="6"/>
        <v>komorkowy</v>
      </c>
      <c r="C434" s="1">
        <v>42923</v>
      </c>
      <c r="D434" s="2">
        <v>0.3835763888888889</v>
      </c>
      <c r="E434" s="2">
        <v>0.38965277777777779</v>
      </c>
    </row>
    <row r="435" spans="1:5" x14ac:dyDescent="0.25">
      <c r="A435">
        <v>2814524</v>
      </c>
      <c r="B435" t="str">
        <f t="shared" si="6"/>
        <v>stacjonarny</v>
      </c>
      <c r="C435" s="1">
        <v>42923</v>
      </c>
      <c r="D435" s="2">
        <v>0.38922453703703702</v>
      </c>
      <c r="E435" s="2">
        <v>0.39096064814814813</v>
      </c>
    </row>
    <row r="436" spans="1:5" x14ac:dyDescent="0.25">
      <c r="A436">
        <v>5341697748</v>
      </c>
      <c r="B436" t="str">
        <f t="shared" si="6"/>
        <v>zagraniczny</v>
      </c>
      <c r="C436" s="1">
        <v>42923</v>
      </c>
      <c r="D436" s="2">
        <v>0.39091435185185186</v>
      </c>
      <c r="E436" s="2">
        <v>0.39620370370370372</v>
      </c>
    </row>
    <row r="437" spans="1:5" x14ac:dyDescent="0.25">
      <c r="A437">
        <v>4102482</v>
      </c>
      <c r="B437" t="str">
        <f t="shared" si="6"/>
        <v>stacjonarny</v>
      </c>
      <c r="C437" s="1">
        <v>42923</v>
      </c>
      <c r="D437" s="2">
        <v>0.39196759259259262</v>
      </c>
      <c r="E437" s="2">
        <v>0.39486111111111111</v>
      </c>
    </row>
    <row r="438" spans="1:5" x14ac:dyDescent="0.25">
      <c r="A438">
        <v>5636281</v>
      </c>
      <c r="B438" t="str">
        <f t="shared" si="6"/>
        <v>stacjonarny</v>
      </c>
      <c r="C438" s="1">
        <v>42923</v>
      </c>
      <c r="D438" s="2">
        <v>0.39731481481481479</v>
      </c>
      <c r="E438" s="2">
        <v>0.40688657407407408</v>
      </c>
    </row>
    <row r="439" spans="1:5" x14ac:dyDescent="0.25">
      <c r="A439">
        <v>7715424</v>
      </c>
      <c r="B439" t="str">
        <f t="shared" si="6"/>
        <v>stacjonarny</v>
      </c>
      <c r="C439" s="1">
        <v>42923</v>
      </c>
      <c r="D439" s="2">
        <v>0.40283564814814815</v>
      </c>
      <c r="E439" s="2">
        <v>0.41091435185185188</v>
      </c>
    </row>
    <row r="440" spans="1:5" x14ac:dyDescent="0.25">
      <c r="A440">
        <v>3811342</v>
      </c>
      <c r="B440" t="str">
        <f t="shared" si="6"/>
        <v>stacjonarny</v>
      </c>
      <c r="C440" s="1">
        <v>42923</v>
      </c>
      <c r="D440" s="2">
        <v>0.4039814814814815</v>
      </c>
      <c r="E440" s="2">
        <v>0.41211805555555553</v>
      </c>
    </row>
    <row r="441" spans="1:5" x14ac:dyDescent="0.25">
      <c r="A441">
        <v>8177683</v>
      </c>
      <c r="B441" t="str">
        <f t="shared" si="6"/>
        <v>stacjonarny</v>
      </c>
      <c r="C441" s="1">
        <v>42923</v>
      </c>
      <c r="D441" s="2">
        <v>0.40534722222222225</v>
      </c>
      <c r="E441" s="2">
        <v>0.40887731481481482</v>
      </c>
    </row>
    <row r="442" spans="1:5" x14ac:dyDescent="0.25">
      <c r="A442">
        <v>51367705</v>
      </c>
      <c r="B442" t="str">
        <f t="shared" si="6"/>
        <v>komorkowy</v>
      </c>
      <c r="C442" s="1">
        <v>42923</v>
      </c>
      <c r="D442" s="2">
        <v>0.41025462962962961</v>
      </c>
      <c r="E442" s="2">
        <v>0.41064814814814815</v>
      </c>
    </row>
    <row r="443" spans="1:5" x14ac:dyDescent="0.25">
      <c r="A443">
        <v>7646265</v>
      </c>
      <c r="B443" t="str">
        <f t="shared" si="6"/>
        <v>stacjonarny</v>
      </c>
      <c r="C443" s="1">
        <v>42923</v>
      </c>
      <c r="D443" s="2">
        <v>0.4103472222222222</v>
      </c>
      <c r="E443" s="2">
        <v>0.41578703703703701</v>
      </c>
    </row>
    <row r="444" spans="1:5" x14ac:dyDescent="0.25">
      <c r="A444">
        <v>37906881</v>
      </c>
      <c r="B444" t="str">
        <f t="shared" si="6"/>
        <v>komorkowy</v>
      </c>
      <c r="C444" s="1">
        <v>42923</v>
      </c>
      <c r="D444" s="2">
        <v>0.41248842592592594</v>
      </c>
      <c r="E444" s="2">
        <v>0.41328703703703706</v>
      </c>
    </row>
    <row r="445" spans="1:5" x14ac:dyDescent="0.25">
      <c r="A445">
        <v>9740908</v>
      </c>
      <c r="B445" t="str">
        <f t="shared" si="6"/>
        <v>stacjonarny</v>
      </c>
      <c r="C445" s="1">
        <v>42923</v>
      </c>
      <c r="D445" s="2">
        <v>0.41260416666666666</v>
      </c>
      <c r="E445" s="2">
        <v>0.41520833333333335</v>
      </c>
    </row>
    <row r="446" spans="1:5" x14ac:dyDescent="0.25">
      <c r="A446">
        <v>45948073</v>
      </c>
      <c r="B446" t="str">
        <f t="shared" si="6"/>
        <v>komorkowy</v>
      </c>
      <c r="C446" s="1">
        <v>42923</v>
      </c>
      <c r="D446" s="2">
        <v>0.41680555555555554</v>
      </c>
      <c r="E446" s="2">
        <v>0.4243865740740741</v>
      </c>
    </row>
    <row r="447" spans="1:5" x14ac:dyDescent="0.25">
      <c r="A447">
        <v>8070345</v>
      </c>
      <c r="B447" t="str">
        <f t="shared" si="6"/>
        <v>stacjonarny</v>
      </c>
      <c r="C447" s="1">
        <v>42923</v>
      </c>
      <c r="D447" s="2">
        <v>0.41829861111111111</v>
      </c>
      <c r="E447" s="2">
        <v>0.42706018518518518</v>
      </c>
    </row>
    <row r="448" spans="1:5" x14ac:dyDescent="0.25">
      <c r="A448">
        <v>52214055</v>
      </c>
      <c r="B448" t="str">
        <f t="shared" si="6"/>
        <v>komorkowy</v>
      </c>
      <c r="C448" s="1">
        <v>42923</v>
      </c>
      <c r="D448" s="2">
        <v>0.4199074074074074</v>
      </c>
      <c r="E448" s="2">
        <v>0.42357638888888888</v>
      </c>
    </row>
    <row r="449" spans="1:5" x14ac:dyDescent="0.25">
      <c r="A449">
        <v>8434044</v>
      </c>
      <c r="B449" t="str">
        <f t="shared" si="6"/>
        <v>stacjonarny</v>
      </c>
      <c r="C449" s="1">
        <v>42923</v>
      </c>
      <c r="D449" s="2">
        <v>0.42149305555555555</v>
      </c>
      <c r="E449" s="2">
        <v>0.42736111111111114</v>
      </c>
    </row>
    <row r="450" spans="1:5" x14ac:dyDescent="0.25">
      <c r="A450">
        <v>4702334</v>
      </c>
      <c r="B450" t="str">
        <f t="shared" si="6"/>
        <v>stacjonarny</v>
      </c>
      <c r="C450" s="1">
        <v>42923</v>
      </c>
      <c r="D450" s="2">
        <v>0.4255902777777778</v>
      </c>
      <c r="E450" s="2">
        <v>0.43464120370370368</v>
      </c>
    </row>
    <row r="451" spans="1:5" x14ac:dyDescent="0.25">
      <c r="A451">
        <v>1308483040</v>
      </c>
      <c r="B451" t="str">
        <f t="shared" ref="B451:B514" si="7">IF(LEN(A451)=7, "stacjonarny", IF(LEN(A451)=8, "komorkowy", "zagraniczny"))</f>
        <v>zagraniczny</v>
      </c>
      <c r="C451" s="1">
        <v>42923</v>
      </c>
      <c r="D451" s="2">
        <v>0.43016203703703704</v>
      </c>
      <c r="E451" s="2">
        <v>0.44123842592592594</v>
      </c>
    </row>
    <row r="452" spans="1:5" x14ac:dyDescent="0.25">
      <c r="A452">
        <v>34556399</v>
      </c>
      <c r="B452" t="str">
        <f t="shared" si="7"/>
        <v>komorkowy</v>
      </c>
      <c r="C452" s="1">
        <v>42923</v>
      </c>
      <c r="D452" s="2">
        <v>0.43146990740740743</v>
      </c>
      <c r="E452" s="2">
        <v>0.43192129629629628</v>
      </c>
    </row>
    <row r="453" spans="1:5" x14ac:dyDescent="0.25">
      <c r="A453">
        <v>48676568</v>
      </c>
      <c r="B453" t="str">
        <f t="shared" si="7"/>
        <v>komorkowy</v>
      </c>
      <c r="C453" s="1">
        <v>42923</v>
      </c>
      <c r="D453" s="2">
        <v>0.43313657407407408</v>
      </c>
      <c r="E453" s="2">
        <v>0.43811342592592595</v>
      </c>
    </row>
    <row r="454" spans="1:5" x14ac:dyDescent="0.25">
      <c r="A454">
        <v>1887758</v>
      </c>
      <c r="B454" t="str">
        <f t="shared" si="7"/>
        <v>stacjonarny</v>
      </c>
      <c r="C454" s="1">
        <v>42923</v>
      </c>
      <c r="D454" s="2">
        <v>0.43752314814814813</v>
      </c>
      <c r="E454" s="2">
        <v>0.44806712962962963</v>
      </c>
    </row>
    <row r="455" spans="1:5" x14ac:dyDescent="0.25">
      <c r="A455">
        <v>3505978</v>
      </c>
      <c r="B455" t="str">
        <f t="shared" si="7"/>
        <v>stacjonarny</v>
      </c>
      <c r="C455" s="1">
        <v>42923</v>
      </c>
      <c r="D455" s="2">
        <v>0.44184027777777779</v>
      </c>
      <c r="E455" s="2">
        <v>0.44582175925925926</v>
      </c>
    </row>
    <row r="456" spans="1:5" x14ac:dyDescent="0.25">
      <c r="A456">
        <v>4405604</v>
      </c>
      <c r="B456" t="str">
        <f t="shared" si="7"/>
        <v>stacjonarny</v>
      </c>
      <c r="C456" s="1">
        <v>42923</v>
      </c>
      <c r="D456" s="2">
        <v>0.44543981481481482</v>
      </c>
      <c r="E456" s="2">
        <v>0.45271990740740742</v>
      </c>
    </row>
    <row r="457" spans="1:5" x14ac:dyDescent="0.25">
      <c r="A457">
        <v>2327418</v>
      </c>
      <c r="B457" t="str">
        <f t="shared" si="7"/>
        <v>stacjonarny</v>
      </c>
      <c r="C457" s="1">
        <v>42923</v>
      </c>
      <c r="D457" s="2">
        <v>0.44775462962962964</v>
      </c>
      <c r="E457" s="2">
        <v>0.45450231481481479</v>
      </c>
    </row>
    <row r="458" spans="1:5" x14ac:dyDescent="0.25">
      <c r="A458">
        <v>5205087</v>
      </c>
      <c r="B458" t="str">
        <f t="shared" si="7"/>
        <v>stacjonarny</v>
      </c>
      <c r="C458" s="1">
        <v>42923</v>
      </c>
      <c r="D458" s="2">
        <v>0.44927083333333334</v>
      </c>
      <c r="E458" s="2">
        <v>0.45666666666666667</v>
      </c>
    </row>
    <row r="459" spans="1:5" x14ac:dyDescent="0.25">
      <c r="A459">
        <v>1936989939</v>
      </c>
      <c r="B459" t="str">
        <f t="shared" si="7"/>
        <v>zagraniczny</v>
      </c>
      <c r="C459" s="1">
        <v>42923</v>
      </c>
      <c r="D459" s="2">
        <v>0.45091435185185186</v>
      </c>
      <c r="E459" s="2">
        <v>0.4586574074074074</v>
      </c>
    </row>
    <row r="460" spans="1:5" x14ac:dyDescent="0.25">
      <c r="A460">
        <v>2722706</v>
      </c>
      <c r="B460" t="str">
        <f t="shared" si="7"/>
        <v>stacjonarny</v>
      </c>
      <c r="C460" s="1">
        <v>42923</v>
      </c>
      <c r="D460" s="2">
        <v>0.45416666666666666</v>
      </c>
      <c r="E460" s="2">
        <v>0.46155092592592595</v>
      </c>
    </row>
    <row r="461" spans="1:5" x14ac:dyDescent="0.25">
      <c r="A461">
        <v>3018218</v>
      </c>
      <c r="B461" t="str">
        <f t="shared" si="7"/>
        <v>stacjonarny</v>
      </c>
      <c r="C461" s="1">
        <v>42923</v>
      </c>
      <c r="D461" s="2">
        <v>0.45950231481481479</v>
      </c>
      <c r="E461" s="2">
        <v>0.46091435185185187</v>
      </c>
    </row>
    <row r="462" spans="1:5" x14ac:dyDescent="0.25">
      <c r="A462">
        <v>3765658</v>
      </c>
      <c r="B462" t="str">
        <f t="shared" si="7"/>
        <v>stacjonarny</v>
      </c>
      <c r="C462" s="1">
        <v>42923</v>
      </c>
      <c r="D462" s="2">
        <v>0.45981481481481479</v>
      </c>
      <c r="E462" s="2">
        <v>0.46148148148148149</v>
      </c>
    </row>
    <row r="463" spans="1:5" x14ac:dyDescent="0.25">
      <c r="A463">
        <v>43109897</v>
      </c>
      <c r="B463" t="str">
        <f t="shared" si="7"/>
        <v>komorkowy</v>
      </c>
      <c r="C463" s="1">
        <v>42923</v>
      </c>
      <c r="D463" s="2">
        <v>0.46357638888888891</v>
      </c>
      <c r="E463" s="2">
        <v>0.46807870370370369</v>
      </c>
    </row>
    <row r="464" spans="1:5" x14ac:dyDescent="0.25">
      <c r="A464">
        <v>3178616</v>
      </c>
      <c r="B464" t="str">
        <f t="shared" si="7"/>
        <v>stacjonarny</v>
      </c>
      <c r="C464" s="1">
        <v>42923</v>
      </c>
      <c r="D464" s="2">
        <v>0.46891203703703704</v>
      </c>
      <c r="E464" s="2">
        <v>0.47209490740740739</v>
      </c>
    </row>
    <row r="465" spans="1:5" x14ac:dyDescent="0.25">
      <c r="A465">
        <v>71207090</v>
      </c>
      <c r="B465" t="str">
        <f t="shared" si="7"/>
        <v>komorkowy</v>
      </c>
      <c r="C465" s="1">
        <v>42923</v>
      </c>
      <c r="D465" s="2">
        <v>0.47127314814814814</v>
      </c>
      <c r="E465" s="2">
        <v>0.47475694444444444</v>
      </c>
    </row>
    <row r="466" spans="1:5" x14ac:dyDescent="0.25">
      <c r="A466">
        <v>3465997</v>
      </c>
      <c r="B466" t="str">
        <f t="shared" si="7"/>
        <v>stacjonarny</v>
      </c>
      <c r="C466" s="1">
        <v>42923</v>
      </c>
      <c r="D466" s="2">
        <v>0.47285879629629629</v>
      </c>
      <c r="E466" s="2">
        <v>0.47479166666666667</v>
      </c>
    </row>
    <row r="467" spans="1:5" x14ac:dyDescent="0.25">
      <c r="A467">
        <v>17490780</v>
      </c>
      <c r="B467" t="str">
        <f t="shared" si="7"/>
        <v>komorkowy</v>
      </c>
      <c r="C467" s="1">
        <v>42923</v>
      </c>
      <c r="D467" s="2">
        <v>0.47409722222222223</v>
      </c>
      <c r="E467" s="2">
        <v>0.48534722222222221</v>
      </c>
    </row>
    <row r="468" spans="1:5" x14ac:dyDescent="0.25">
      <c r="A468">
        <v>9805082</v>
      </c>
      <c r="B468" t="str">
        <f t="shared" si="7"/>
        <v>stacjonarny</v>
      </c>
      <c r="C468" s="1">
        <v>42923</v>
      </c>
      <c r="D468" s="2">
        <v>0.47561342592592593</v>
      </c>
      <c r="E468" s="2">
        <v>0.47950231481481481</v>
      </c>
    </row>
    <row r="469" spans="1:5" x14ac:dyDescent="0.25">
      <c r="A469">
        <v>6333547</v>
      </c>
      <c r="B469" t="str">
        <f t="shared" si="7"/>
        <v>stacjonarny</v>
      </c>
      <c r="C469" s="1">
        <v>42923</v>
      </c>
      <c r="D469" s="2">
        <v>0.4788425925925926</v>
      </c>
      <c r="E469" s="2">
        <v>0.48685185185185187</v>
      </c>
    </row>
    <row r="470" spans="1:5" x14ac:dyDescent="0.25">
      <c r="A470">
        <v>8424969</v>
      </c>
      <c r="B470" t="str">
        <f t="shared" si="7"/>
        <v>stacjonarny</v>
      </c>
      <c r="C470" s="1">
        <v>42923</v>
      </c>
      <c r="D470" s="2">
        <v>0.48380787037037037</v>
      </c>
      <c r="E470" s="2">
        <v>0.49267361111111113</v>
      </c>
    </row>
    <row r="471" spans="1:5" x14ac:dyDescent="0.25">
      <c r="A471">
        <v>41210751</v>
      </c>
      <c r="B471" t="str">
        <f t="shared" si="7"/>
        <v>komorkowy</v>
      </c>
      <c r="C471" s="1">
        <v>42923</v>
      </c>
      <c r="D471" s="2">
        <v>0.48699074074074072</v>
      </c>
      <c r="E471" s="2">
        <v>0.48884259259259261</v>
      </c>
    </row>
    <row r="472" spans="1:5" x14ac:dyDescent="0.25">
      <c r="A472">
        <v>9321082</v>
      </c>
      <c r="B472" t="str">
        <f t="shared" si="7"/>
        <v>stacjonarny</v>
      </c>
      <c r="C472" s="1">
        <v>42923</v>
      </c>
      <c r="D472" s="2">
        <v>0.49206018518518518</v>
      </c>
      <c r="E472" s="2">
        <v>0.50086805555555558</v>
      </c>
    </row>
    <row r="473" spans="1:5" x14ac:dyDescent="0.25">
      <c r="A473">
        <v>80907155</v>
      </c>
      <c r="B473" t="str">
        <f t="shared" si="7"/>
        <v>komorkowy</v>
      </c>
      <c r="C473" s="1">
        <v>42923</v>
      </c>
      <c r="D473" s="2">
        <v>0.49668981481481483</v>
      </c>
      <c r="E473" s="2">
        <v>0.50266203703703705</v>
      </c>
    </row>
    <row r="474" spans="1:5" x14ac:dyDescent="0.25">
      <c r="A474">
        <v>16303399</v>
      </c>
      <c r="B474" t="str">
        <f t="shared" si="7"/>
        <v>komorkowy</v>
      </c>
      <c r="C474" s="1">
        <v>42923</v>
      </c>
      <c r="D474" s="2">
        <v>0.50232638888888892</v>
      </c>
      <c r="E474" s="2">
        <v>0.50351851851851848</v>
      </c>
    </row>
    <row r="475" spans="1:5" x14ac:dyDescent="0.25">
      <c r="A475">
        <v>7841442</v>
      </c>
      <c r="B475" t="str">
        <f t="shared" si="7"/>
        <v>stacjonarny</v>
      </c>
      <c r="C475" s="1">
        <v>42923</v>
      </c>
      <c r="D475" s="2">
        <v>0.50498842592592597</v>
      </c>
      <c r="E475" s="2">
        <v>0.50807870370370367</v>
      </c>
    </row>
    <row r="476" spans="1:5" x14ac:dyDescent="0.25">
      <c r="A476">
        <v>5512237</v>
      </c>
      <c r="B476" t="str">
        <f t="shared" si="7"/>
        <v>stacjonarny</v>
      </c>
      <c r="C476" s="1">
        <v>42923</v>
      </c>
      <c r="D476" s="2">
        <v>0.50883101851851853</v>
      </c>
      <c r="E476" s="2">
        <v>0.50998842592592597</v>
      </c>
    </row>
    <row r="477" spans="1:5" x14ac:dyDescent="0.25">
      <c r="A477">
        <v>2557668</v>
      </c>
      <c r="B477" t="str">
        <f t="shared" si="7"/>
        <v>stacjonarny</v>
      </c>
      <c r="C477" s="1">
        <v>42923</v>
      </c>
      <c r="D477" s="2">
        <v>0.51253472222222218</v>
      </c>
      <c r="E477" s="2">
        <v>0.51974537037037039</v>
      </c>
    </row>
    <row r="478" spans="1:5" x14ac:dyDescent="0.25">
      <c r="A478">
        <v>4469748</v>
      </c>
      <c r="B478" t="str">
        <f t="shared" si="7"/>
        <v>stacjonarny</v>
      </c>
      <c r="C478" s="1">
        <v>42923</v>
      </c>
      <c r="D478" s="2">
        <v>0.51744212962962965</v>
      </c>
      <c r="E478" s="2">
        <v>0.52157407407407408</v>
      </c>
    </row>
    <row r="479" spans="1:5" x14ac:dyDescent="0.25">
      <c r="A479">
        <v>7773546</v>
      </c>
      <c r="B479" t="str">
        <f t="shared" si="7"/>
        <v>stacjonarny</v>
      </c>
      <c r="C479" s="1">
        <v>42923</v>
      </c>
      <c r="D479" s="2">
        <v>0.51883101851851854</v>
      </c>
      <c r="E479" s="2">
        <v>0.52545138888888887</v>
      </c>
    </row>
    <row r="480" spans="1:5" x14ac:dyDescent="0.25">
      <c r="A480">
        <v>9521805</v>
      </c>
      <c r="B480" t="str">
        <f t="shared" si="7"/>
        <v>stacjonarny</v>
      </c>
      <c r="C480" s="1">
        <v>42923</v>
      </c>
      <c r="D480" s="2">
        <v>0.52357638888888891</v>
      </c>
      <c r="E480" s="2">
        <v>0.53096064814814814</v>
      </c>
    </row>
    <row r="481" spans="1:5" x14ac:dyDescent="0.25">
      <c r="A481">
        <v>1640140</v>
      </c>
      <c r="B481" t="str">
        <f t="shared" si="7"/>
        <v>stacjonarny</v>
      </c>
      <c r="C481" s="1">
        <v>42923</v>
      </c>
      <c r="D481" s="2">
        <v>0.52484953703703707</v>
      </c>
      <c r="E481" s="2">
        <v>0.53331018518518514</v>
      </c>
    </row>
    <row r="482" spans="1:5" x14ac:dyDescent="0.25">
      <c r="A482">
        <v>5415372</v>
      </c>
      <c r="B482" t="str">
        <f t="shared" si="7"/>
        <v>stacjonarny</v>
      </c>
      <c r="C482" s="1">
        <v>42923</v>
      </c>
      <c r="D482" s="2">
        <v>0.52690972222222221</v>
      </c>
      <c r="E482" s="2">
        <v>0.53266203703703707</v>
      </c>
    </row>
    <row r="483" spans="1:5" x14ac:dyDescent="0.25">
      <c r="A483">
        <v>23504109</v>
      </c>
      <c r="B483" t="str">
        <f t="shared" si="7"/>
        <v>komorkowy</v>
      </c>
      <c r="C483" s="1">
        <v>42923</v>
      </c>
      <c r="D483" s="2">
        <v>0.52921296296296294</v>
      </c>
      <c r="E483" s="2">
        <v>0.53706018518518517</v>
      </c>
    </row>
    <row r="484" spans="1:5" x14ac:dyDescent="0.25">
      <c r="A484">
        <v>7914439</v>
      </c>
      <c r="B484" t="str">
        <f t="shared" si="7"/>
        <v>stacjonarny</v>
      </c>
      <c r="C484" s="1">
        <v>42923</v>
      </c>
      <c r="D484" s="2">
        <v>0.52964120370370371</v>
      </c>
      <c r="E484" s="2">
        <v>0.53607638888888887</v>
      </c>
    </row>
    <row r="485" spans="1:5" x14ac:dyDescent="0.25">
      <c r="A485">
        <v>3900921</v>
      </c>
      <c r="B485" t="str">
        <f t="shared" si="7"/>
        <v>stacjonarny</v>
      </c>
      <c r="C485" s="1">
        <v>42923</v>
      </c>
      <c r="D485" s="2">
        <v>0.52968749999999998</v>
      </c>
      <c r="E485" s="2">
        <v>0.53865740740740742</v>
      </c>
    </row>
    <row r="486" spans="1:5" x14ac:dyDescent="0.25">
      <c r="A486">
        <v>1081610</v>
      </c>
      <c r="B486" t="str">
        <f t="shared" si="7"/>
        <v>stacjonarny</v>
      </c>
      <c r="C486" s="1">
        <v>42923</v>
      </c>
      <c r="D486" s="2">
        <v>0.53372685185185187</v>
      </c>
      <c r="E486" s="2">
        <v>0.54082175925925924</v>
      </c>
    </row>
    <row r="487" spans="1:5" x14ac:dyDescent="0.25">
      <c r="A487">
        <v>9176754</v>
      </c>
      <c r="B487" t="str">
        <f t="shared" si="7"/>
        <v>stacjonarny</v>
      </c>
      <c r="C487" s="1">
        <v>42923</v>
      </c>
      <c r="D487" s="2">
        <v>0.5345833333333333</v>
      </c>
      <c r="E487" s="2">
        <v>0.54532407407407413</v>
      </c>
    </row>
    <row r="488" spans="1:5" x14ac:dyDescent="0.25">
      <c r="A488">
        <v>1814327</v>
      </c>
      <c r="B488" t="str">
        <f t="shared" si="7"/>
        <v>stacjonarny</v>
      </c>
      <c r="C488" s="1">
        <v>42923</v>
      </c>
      <c r="D488" s="2">
        <v>0.5385416666666667</v>
      </c>
      <c r="E488" s="2">
        <v>0.53870370370370368</v>
      </c>
    </row>
    <row r="489" spans="1:5" x14ac:dyDescent="0.25">
      <c r="A489">
        <v>87702896</v>
      </c>
      <c r="B489" t="str">
        <f t="shared" si="7"/>
        <v>komorkowy</v>
      </c>
      <c r="C489" s="1">
        <v>42923</v>
      </c>
      <c r="D489" s="2">
        <v>0.54137731481481477</v>
      </c>
      <c r="E489" s="2">
        <v>0.55253472222222222</v>
      </c>
    </row>
    <row r="490" spans="1:5" x14ac:dyDescent="0.25">
      <c r="A490">
        <v>4131448</v>
      </c>
      <c r="B490" t="str">
        <f t="shared" si="7"/>
        <v>stacjonarny</v>
      </c>
      <c r="C490" s="1">
        <v>42923</v>
      </c>
      <c r="D490" s="2">
        <v>0.54305555555555551</v>
      </c>
      <c r="E490" s="2">
        <v>0.5444444444444444</v>
      </c>
    </row>
    <row r="491" spans="1:5" x14ac:dyDescent="0.25">
      <c r="A491">
        <v>97798921</v>
      </c>
      <c r="B491" t="str">
        <f t="shared" si="7"/>
        <v>komorkowy</v>
      </c>
      <c r="C491" s="1">
        <v>42923</v>
      </c>
      <c r="D491" s="2">
        <v>0.5434606481481481</v>
      </c>
      <c r="E491" s="2">
        <v>0.55003472222222227</v>
      </c>
    </row>
    <row r="492" spans="1:5" x14ac:dyDescent="0.25">
      <c r="A492">
        <v>97798921</v>
      </c>
      <c r="B492" t="str">
        <f t="shared" si="7"/>
        <v>komorkowy</v>
      </c>
      <c r="C492" s="1">
        <v>42923</v>
      </c>
      <c r="D492" s="2">
        <v>0.54372685185185188</v>
      </c>
      <c r="E492" s="2">
        <v>0.54856481481481478</v>
      </c>
    </row>
    <row r="493" spans="1:5" x14ac:dyDescent="0.25">
      <c r="A493">
        <v>3919087</v>
      </c>
      <c r="B493" t="str">
        <f t="shared" si="7"/>
        <v>stacjonarny</v>
      </c>
      <c r="C493" s="1">
        <v>42923</v>
      </c>
      <c r="D493" s="2">
        <v>0.54379629629629633</v>
      </c>
      <c r="E493" s="2">
        <v>0.54679398148148151</v>
      </c>
    </row>
    <row r="494" spans="1:5" x14ac:dyDescent="0.25">
      <c r="A494">
        <v>2619219</v>
      </c>
      <c r="B494" t="str">
        <f t="shared" si="7"/>
        <v>stacjonarny</v>
      </c>
      <c r="C494" s="1">
        <v>42923</v>
      </c>
      <c r="D494" s="2">
        <v>0.54752314814814818</v>
      </c>
      <c r="E494" s="2">
        <v>0.5486805555555555</v>
      </c>
    </row>
    <row r="495" spans="1:5" x14ac:dyDescent="0.25">
      <c r="A495">
        <v>54536153</v>
      </c>
      <c r="B495" t="str">
        <f t="shared" si="7"/>
        <v>komorkowy</v>
      </c>
      <c r="C495" s="1">
        <v>42923</v>
      </c>
      <c r="D495" s="2">
        <v>0.54858796296296297</v>
      </c>
      <c r="E495" s="2">
        <v>0.55723379629629632</v>
      </c>
    </row>
    <row r="496" spans="1:5" x14ac:dyDescent="0.25">
      <c r="A496">
        <v>6813775</v>
      </c>
      <c r="B496" t="str">
        <f t="shared" si="7"/>
        <v>stacjonarny</v>
      </c>
      <c r="C496" s="1">
        <v>42923</v>
      </c>
      <c r="D496" s="2">
        <v>0.55363425925925924</v>
      </c>
      <c r="E496" s="2">
        <v>0.55819444444444444</v>
      </c>
    </row>
    <row r="497" spans="1:5" x14ac:dyDescent="0.25">
      <c r="A497">
        <v>72312196</v>
      </c>
      <c r="B497" t="str">
        <f t="shared" si="7"/>
        <v>komorkowy</v>
      </c>
      <c r="C497" s="1">
        <v>42923</v>
      </c>
      <c r="D497" s="2">
        <v>0.55532407407407403</v>
      </c>
      <c r="E497" s="2">
        <v>0.56598379629629625</v>
      </c>
    </row>
    <row r="498" spans="1:5" x14ac:dyDescent="0.25">
      <c r="A498">
        <v>2235911</v>
      </c>
      <c r="B498" t="str">
        <f t="shared" si="7"/>
        <v>stacjonarny</v>
      </c>
      <c r="C498" s="1">
        <v>42923</v>
      </c>
      <c r="D498" s="2">
        <v>0.56019675925925927</v>
      </c>
      <c r="E498" s="2">
        <v>0.56783564814814813</v>
      </c>
    </row>
    <row r="499" spans="1:5" x14ac:dyDescent="0.25">
      <c r="A499">
        <v>9532678004</v>
      </c>
      <c r="B499" t="str">
        <f t="shared" si="7"/>
        <v>zagraniczny</v>
      </c>
      <c r="C499" s="1">
        <v>42923</v>
      </c>
      <c r="D499" s="2">
        <v>0.56347222222222226</v>
      </c>
      <c r="E499" s="2">
        <v>0.57157407407407412</v>
      </c>
    </row>
    <row r="500" spans="1:5" x14ac:dyDescent="0.25">
      <c r="A500">
        <v>4653709</v>
      </c>
      <c r="B500" t="str">
        <f t="shared" si="7"/>
        <v>stacjonarny</v>
      </c>
      <c r="C500" s="1">
        <v>42923</v>
      </c>
      <c r="D500" s="2">
        <v>0.56795138888888885</v>
      </c>
      <c r="E500" s="2">
        <v>0.57596064814814818</v>
      </c>
    </row>
    <row r="501" spans="1:5" x14ac:dyDescent="0.25">
      <c r="A501">
        <v>1734512</v>
      </c>
      <c r="B501" t="str">
        <f t="shared" si="7"/>
        <v>stacjonarny</v>
      </c>
      <c r="C501" s="1">
        <v>42923</v>
      </c>
      <c r="D501" s="2">
        <v>0.57093749999999999</v>
      </c>
      <c r="E501" s="2">
        <v>0.5765393518518519</v>
      </c>
    </row>
    <row r="502" spans="1:5" x14ac:dyDescent="0.25">
      <c r="A502">
        <v>6741642</v>
      </c>
      <c r="B502" t="str">
        <f t="shared" si="7"/>
        <v>stacjonarny</v>
      </c>
      <c r="C502" s="1">
        <v>42923</v>
      </c>
      <c r="D502" s="2">
        <v>0.57523148148148151</v>
      </c>
      <c r="E502" s="2">
        <v>0.57535879629629627</v>
      </c>
    </row>
    <row r="503" spans="1:5" x14ac:dyDescent="0.25">
      <c r="A503">
        <v>45862784</v>
      </c>
      <c r="B503" t="str">
        <f t="shared" si="7"/>
        <v>komorkowy</v>
      </c>
      <c r="C503" s="1">
        <v>42923</v>
      </c>
      <c r="D503" s="2">
        <v>0.57768518518518519</v>
      </c>
      <c r="E503" s="2">
        <v>0.58636574074074077</v>
      </c>
    </row>
    <row r="504" spans="1:5" x14ac:dyDescent="0.25">
      <c r="A504">
        <v>25147401</v>
      </c>
      <c r="B504" t="str">
        <f t="shared" si="7"/>
        <v>komorkowy</v>
      </c>
      <c r="C504" s="1">
        <v>42923</v>
      </c>
      <c r="D504" s="2">
        <v>0.57922453703703702</v>
      </c>
      <c r="E504" s="2">
        <v>0.58821759259259254</v>
      </c>
    </row>
    <row r="505" spans="1:5" x14ac:dyDescent="0.25">
      <c r="A505">
        <v>4963499</v>
      </c>
      <c r="B505" t="str">
        <f t="shared" si="7"/>
        <v>stacjonarny</v>
      </c>
      <c r="C505" s="1">
        <v>42923</v>
      </c>
      <c r="D505" s="2">
        <v>0.58484953703703701</v>
      </c>
      <c r="E505" s="2">
        <v>0.5869212962962963</v>
      </c>
    </row>
    <row r="506" spans="1:5" x14ac:dyDescent="0.25">
      <c r="A506">
        <v>7432767</v>
      </c>
      <c r="B506" t="str">
        <f t="shared" si="7"/>
        <v>stacjonarny</v>
      </c>
      <c r="C506" s="1">
        <v>42923</v>
      </c>
      <c r="D506" s="2">
        <v>0.58508101851851857</v>
      </c>
      <c r="E506" s="2">
        <v>0.58635416666666662</v>
      </c>
    </row>
    <row r="507" spans="1:5" x14ac:dyDescent="0.25">
      <c r="A507">
        <v>3599100</v>
      </c>
      <c r="B507" t="str">
        <f t="shared" si="7"/>
        <v>stacjonarny</v>
      </c>
      <c r="C507" s="1">
        <v>42923</v>
      </c>
      <c r="D507" s="2">
        <v>0.58832175925925922</v>
      </c>
      <c r="E507" s="2">
        <v>0.59277777777777774</v>
      </c>
    </row>
    <row r="508" spans="1:5" x14ac:dyDescent="0.25">
      <c r="A508">
        <v>8251878</v>
      </c>
      <c r="B508" t="str">
        <f t="shared" si="7"/>
        <v>stacjonarny</v>
      </c>
      <c r="C508" s="1">
        <v>42923</v>
      </c>
      <c r="D508" s="2">
        <v>0.59281249999999996</v>
      </c>
      <c r="E508" s="2">
        <v>0.59375</v>
      </c>
    </row>
    <row r="509" spans="1:5" x14ac:dyDescent="0.25">
      <c r="A509">
        <v>2826868</v>
      </c>
      <c r="B509" t="str">
        <f t="shared" si="7"/>
        <v>stacjonarny</v>
      </c>
      <c r="C509" s="1">
        <v>42923</v>
      </c>
      <c r="D509" s="2">
        <v>0.59672453703703698</v>
      </c>
      <c r="E509" s="2">
        <v>0.60435185185185181</v>
      </c>
    </row>
    <row r="510" spans="1:5" x14ac:dyDescent="0.25">
      <c r="A510">
        <v>76099906</v>
      </c>
      <c r="B510" t="str">
        <f t="shared" si="7"/>
        <v>komorkowy</v>
      </c>
      <c r="C510" s="1">
        <v>42923</v>
      </c>
      <c r="D510" s="2">
        <v>0.6004976851851852</v>
      </c>
      <c r="E510" s="2">
        <v>0.61106481481481478</v>
      </c>
    </row>
    <row r="511" spans="1:5" x14ac:dyDescent="0.25">
      <c r="A511">
        <v>5147242</v>
      </c>
      <c r="B511" t="str">
        <f t="shared" si="7"/>
        <v>stacjonarny</v>
      </c>
      <c r="C511" s="1">
        <v>42923</v>
      </c>
      <c r="D511" s="2">
        <v>0.60381944444444446</v>
      </c>
      <c r="E511" s="2">
        <v>0.60589120370370375</v>
      </c>
    </row>
    <row r="512" spans="1:5" x14ac:dyDescent="0.25">
      <c r="A512">
        <v>9600226</v>
      </c>
      <c r="B512" t="str">
        <f t="shared" si="7"/>
        <v>stacjonarny</v>
      </c>
      <c r="C512" s="1">
        <v>42923</v>
      </c>
      <c r="D512" s="2">
        <v>0.60758101851851853</v>
      </c>
      <c r="E512" s="2">
        <v>0.61008101851851848</v>
      </c>
    </row>
    <row r="513" spans="1:5" x14ac:dyDescent="0.25">
      <c r="A513">
        <v>1337042</v>
      </c>
      <c r="B513" t="str">
        <f t="shared" si="7"/>
        <v>stacjonarny</v>
      </c>
      <c r="C513" s="1">
        <v>42923</v>
      </c>
      <c r="D513" s="2">
        <v>0.60930555555555554</v>
      </c>
      <c r="E513" s="2">
        <v>0.62085648148148154</v>
      </c>
    </row>
    <row r="514" spans="1:5" x14ac:dyDescent="0.25">
      <c r="A514">
        <v>1223943</v>
      </c>
      <c r="B514" t="str">
        <f t="shared" si="7"/>
        <v>stacjonarny</v>
      </c>
      <c r="C514" s="1">
        <v>42923</v>
      </c>
      <c r="D514" s="2">
        <v>0.61412037037037037</v>
      </c>
      <c r="E514" s="2">
        <v>0.62342592592592594</v>
      </c>
    </row>
    <row r="515" spans="1:5" x14ac:dyDescent="0.25">
      <c r="A515">
        <v>3525921</v>
      </c>
      <c r="B515" t="str">
        <f t="shared" ref="B515:B578" si="8">IF(LEN(A515)=7, "stacjonarny", IF(LEN(A515)=8, "komorkowy", "zagraniczny"))</f>
        <v>stacjonarny</v>
      </c>
      <c r="C515" s="1">
        <v>42923</v>
      </c>
      <c r="D515" s="2">
        <v>0.61557870370370371</v>
      </c>
      <c r="E515" s="2">
        <v>0.61946759259259254</v>
      </c>
    </row>
    <row r="516" spans="1:5" x14ac:dyDescent="0.25">
      <c r="A516">
        <v>5094248</v>
      </c>
      <c r="B516" t="str">
        <f t="shared" si="8"/>
        <v>stacjonarny</v>
      </c>
      <c r="C516" s="1">
        <v>42923</v>
      </c>
      <c r="D516" s="2">
        <v>0.61901620370370369</v>
      </c>
      <c r="E516" s="2">
        <v>0.62861111111111112</v>
      </c>
    </row>
    <row r="517" spans="1:5" x14ac:dyDescent="0.25">
      <c r="A517">
        <v>7275091</v>
      </c>
      <c r="B517" t="str">
        <f t="shared" si="8"/>
        <v>stacjonarny</v>
      </c>
      <c r="C517" s="1">
        <v>42923</v>
      </c>
      <c r="D517" s="2">
        <v>0.62306712962962962</v>
      </c>
      <c r="E517" s="2">
        <v>0.63328703703703704</v>
      </c>
    </row>
    <row r="518" spans="1:5" x14ac:dyDescent="0.25">
      <c r="A518">
        <v>73042148</v>
      </c>
      <c r="B518" t="str">
        <f t="shared" si="8"/>
        <v>komorkowy</v>
      </c>
      <c r="C518" s="1">
        <v>42923</v>
      </c>
      <c r="D518" s="2">
        <v>0.62537037037037035</v>
      </c>
      <c r="E518" s="2">
        <v>0.63498842592592597</v>
      </c>
    </row>
    <row r="519" spans="1:5" x14ac:dyDescent="0.25">
      <c r="A519">
        <v>8570276</v>
      </c>
      <c r="B519" t="str">
        <f t="shared" si="8"/>
        <v>stacjonarny</v>
      </c>
      <c r="C519" s="1">
        <v>42926</v>
      </c>
      <c r="D519" s="2">
        <v>0.33759259259259261</v>
      </c>
      <c r="E519" s="2">
        <v>0.34880787037037037</v>
      </c>
    </row>
    <row r="520" spans="1:5" x14ac:dyDescent="0.25">
      <c r="A520">
        <v>1775586</v>
      </c>
      <c r="B520" t="str">
        <f t="shared" si="8"/>
        <v>stacjonarny</v>
      </c>
      <c r="C520" s="1">
        <v>42926</v>
      </c>
      <c r="D520" s="2">
        <v>0.34016203703703701</v>
      </c>
      <c r="E520" s="2">
        <v>0.3495138888888889</v>
      </c>
    </row>
    <row r="521" spans="1:5" x14ac:dyDescent="0.25">
      <c r="A521">
        <v>27791497</v>
      </c>
      <c r="B521" t="str">
        <f t="shared" si="8"/>
        <v>komorkowy</v>
      </c>
      <c r="C521" s="1">
        <v>42926</v>
      </c>
      <c r="D521" s="2">
        <v>0.34312500000000001</v>
      </c>
      <c r="E521" s="2">
        <v>0.34373842592592591</v>
      </c>
    </row>
    <row r="522" spans="1:5" x14ac:dyDescent="0.25">
      <c r="A522">
        <v>5162775</v>
      </c>
      <c r="B522" t="str">
        <f t="shared" si="8"/>
        <v>stacjonarny</v>
      </c>
      <c r="C522" s="1">
        <v>42926</v>
      </c>
      <c r="D522" s="2">
        <v>0.34364583333333332</v>
      </c>
      <c r="E522" s="2">
        <v>0.3492824074074074</v>
      </c>
    </row>
    <row r="523" spans="1:5" x14ac:dyDescent="0.25">
      <c r="A523">
        <v>56115408</v>
      </c>
      <c r="B523" t="str">
        <f t="shared" si="8"/>
        <v>komorkowy</v>
      </c>
      <c r="C523" s="1">
        <v>42926</v>
      </c>
      <c r="D523" s="2">
        <v>0.34796296296296297</v>
      </c>
      <c r="E523" s="2">
        <v>0.35728009259259258</v>
      </c>
    </row>
    <row r="524" spans="1:5" x14ac:dyDescent="0.25">
      <c r="A524">
        <v>6766881</v>
      </c>
      <c r="B524" t="str">
        <f t="shared" si="8"/>
        <v>stacjonarny</v>
      </c>
      <c r="C524" s="1">
        <v>42926</v>
      </c>
      <c r="D524" s="2">
        <v>0.35249999999999998</v>
      </c>
      <c r="E524" s="2">
        <v>0.35278935185185184</v>
      </c>
    </row>
    <row r="525" spans="1:5" x14ac:dyDescent="0.25">
      <c r="A525">
        <v>9502975</v>
      </c>
      <c r="B525" t="str">
        <f t="shared" si="8"/>
        <v>stacjonarny</v>
      </c>
      <c r="C525" s="1">
        <v>42926</v>
      </c>
      <c r="D525" s="2">
        <v>0.35483796296296294</v>
      </c>
      <c r="E525" s="2">
        <v>0.35699074074074072</v>
      </c>
    </row>
    <row r="526" spans="1:5" x14ac:dyDescent="0.25">
      <c r="A526">
        <v>4212838</v>
      </c>
      <c r="B526" t="str">
        <f t="shared" si="8"/>
        <v>stacjonarny</v>
      </c>
      <c r="C526" s="1">
        <v>42926</v>
      </c>
      <c r="D526" s="2">
        <v>0.35760416666666667</v>
      </c>
      <c r="E526" s="2">
        <v>0.35951388888888891</v>
      </c>
    </row>
    <row r="527" spans="1:5" x14ac:dyDescent="0.25">
      <c r="A527">
        <v>6952061</v>
      </c>
      <c r="B527" t="str">
        <f t="shared" si="8"/>
        <v>stacjonarny</v>
      </c>
      <c r="C527" s="1">
        <v>42926</v>
      </c>
      <c r="D527" s="2">
        <v>0.36282407407407408</v>
      </c>
      <c r="E527" s="2">
        <v>0.37093749999999998</v>
      </c>
    </row>
    <row r="528" spans="1:5" x14ac:dyDescent="0.25">
      <c r="A528">
        <v>56127547</v>
      </c>
      <c r="B528" t="str">
        <f t="shared" si="8"/>
        <v>komorkowy</v>
      </c>
      <c r="C528" s="1">
        <v>42926</v>
      </c>
      <c r="D528" s="2">
        <v>0.36803240740740739</v>
      </c>
      <c r="E528" s="2">
        <v>0.37565972222222221</v>
      </c>
    </row>
    <row r="529" spans="1:5" x14ac:dyDescent="0.25">
      <c r="A529">
        <v>4952685</v>
      </c>
      <c r="B529" t="str">
        <f t="shared" si="8"/>
        <v>stacjonarny</v>
      </c>
      <c r="C529" s="1">
        <v>42926</v>
      </c>
      <c r="D529" s="2">
        <v>0.36895833333333333</v>
      </c>
      <c r="E529" s="2">
        <v>0.37655092592592593</v>
      </c>
    </row>
    <row r="530" spans="1:5" x14ac:dyDescent="0.25">
      <c r="A530">
        <v>8632893</v>
      </c>
      <c r="B530" t="str">
        <f t="shared" si="8"/>
        <v>stacjonarny</v>
      </c>
      <c r="C530" s="1">
        <v>42926</v>
      </c>
      <c r="D530" s="2">
        <v>0.36996527777777777</v>
      </c>
      <c r="E530" s="2">
        <v>0.37988425925925928</v>
      </c>
    </row>
    <row r="531" spans="1:5" x14ac:dyDescent="0.25">
      <c r="A531">
        <v>7320123</v>
      </c>
      <c r="B531" t="str">
        <f t="shared" si="8"/>
        <v>stacjonarny</v>
      </c>
      <c r="C531" s="1">
        <v>42926</v>
      </c>
      <c r="D531" s="2">
        <v>0.37015046296296295</v>
      </c>
      <c r="E531" s="2">
        <v>0.37528935185185186</v>
      </c>
    </row>
    <row r="532" spans="1:5" x14ac:dyDescent="0.25">
      <c r="A532">
        <v>4600571814</v>
      </c>
      <c r="B532" t="str">
        <f t="shared" si="8"/>
        <v>zagraniczny</v>
      </c>
      <c r="C532" s="1">
        <v>42926</v>
      </c>
      <c r="D532" s="2">
        <v>0.3706712962962963</v>
      </c>
      <c r="E532" s="2">
        <v>0.37572916666666667</v>
      </c>
    </row>
    <row r="533" spans="1:5" x14ac:dyDescent="0.25">
      <c r="A533">
        <v>38063903</v>
      </c>
      <c r="B533" t="str">
        <f t="shared" si="8"/>
        <v>komorkowy</v>
      </c>
      <c r="C533" s="1">
        <v>42926</v>
      </c>
      <c r="D533" s="2">
        <v>0.37207175925925928</v>
      </c>
      <c r="E533" s="2">
        <v>0.37332175925925926</v>
      </c>
    </row>
    <row r="534" spans="1:5" x14ac:dyDescent="0.25">
      <c r="A534">
        <v>4901642</v>
      </c>
      <c r="B534" t="str">
        <f t="shared" si="8"/>
        <v>stacjonarny</v>
      </c>
      <c r="C534" s="1">
        <v>42926</v>
      </c>
      <c r="D534" s="2">
        <v>0.37747685185185187</v>
      </c>
      <c r="E534" s="2">
        <v>0.38609953703703703</v>
      </c>
    </row>
    <row r="535" spans="1:5" x14ac:dyDescent="0.25">
      <c r="A535">
        <v>39669014</v>
      </c>
      <c r="B535" t="str">
        <f t="shared" si="8"/>
        <v>komorkowy</v>
      </c>
      <c r="C535" s="1">
        <v>42926</v>
      </c>
      <c r="D535" s="2">
        <v>0.37930555555555556</v>
      </c>
      <c r="E535" s="2">
        <v>0.38686342592592593</v>
      </c>
    </row>
    <row r="536" spans="1:5" x14ac:dyDescent="0.25">
      <c r="A536">
        <v>48919339</v>
      </c>
      <c r="B536" t="str">
        <f t="shared" si="8"/>
        <v>komorkowy</v>
      </c>
      <c r="C536" s="1">
        <v>42926</v>
      </c>
      <c r="D536" s="2">
        <v>0.38040509259259259</v>
      </c>
      <c r="E536" s="2">
        <v>0.38484953703703706</v>
      </c>
    </row>
    <row r="537" spans="1:5" x14ac:dyDescent="0.25">
      <c r="A537">
        <v>4960687</v>
      </c>
      <c r="B537" t="str">
        <f t="shared" si="8"/>
        <v>stacjonarny</v>
      </c>
      <c r="C537" s="1">
        <v>42926</v>
      </c>
      <c r="D537" s="2">
        <v>0.3835648148148148</v>
      </c>
      <c r="E537" s="2">
        <v>0.3941087962962963</v>
      </c>
    </row>
    <row r="538" spans="1:5" x14ac:dyDescent="0.25">
      <c r="A538">
        <v>41156424</v>
      </c>
      <c r="B538" t="str">
        <f t="shared" si="8"/>
        <v>komorkowy</v>
      </c>
      <c r="C538" s="1">
        <v>42926</v>
      </c>
      <c r="D538" s="2">
        <v>0.38715277777777779</v>
      </c>
      <c r="E538" s="2">
        <v>0.39293981481481483</v>
      </c>
    </row>
    <row r="539" spans="1:5" x14ac:dyDescent="0.25">
      <c r="A539">
        <v>5087066</v>
      </c>
      <c r="B539" t="str">
        <f t="shared" si="8"/>
        <v>stacjonarny</v>
      </c>
      <c r="C539" s="1">
        <v>42926</v>
      </c>
      <c r="D539" s="2">
        <v>0.3894097222222222</v>
      </c>
      <c r="E539" s="2">
        <v>0.39869212962962963</v>
      </c>
    </row>
    <row r="540" spans="1:5" x14ac:dyDescent="0.25">
      <c r="A540">
        <v>4636713</v>
      </c>
      <c r="B540" t="str">
        <f t="shared" si="8"/>
        <v>stacjonarny</v>
      </c>
      <c r="C540" s="1">
        <v>42926</v>
      </c>
      <c r="D540" s="2">
        <v>0.39193287037037039</v>
      </c>
      <c r="E540" s="2">
        <v>0.39712962962962961</v>
      </c>
    </row>
    <row r="541" spans="1:5" x14ac:dyDescent="0.25">
      <c r="A541">
        <v>3944120</v>
      </c>
      <c r="B541" t="str">
        <f t="shared" si="8"/>
        <v>stacjonarny</v>
      </c>
      <c r="C541" s="1">
        <v>42926</v>
      </c>
      <c r="D541" s="2">
        <v>0.39307870370370368</v>
      </c>
      <c r="E541" s="2">
        <v>0.39380787037037035</v>
      </c>
    </row>
    <row r="542" spans="1:5" x14ac:dyDescent="0.25">
      <c r="A542">
        <v>5960122</v>
      </c>
      <c r="B542" t="str">
        <f t="shared" si="8"/>
        <v>stacjonarny</v>
      </c>
      <c r="C542" s="1">
        <v>42926</v>
      </c>
      <c r="D542" s="2">
        <v>0.3984375</v>
      </c>
      <c r="E542" s="2">
        <v>0.40802083333333333</v>
      </c>
    </row>
    <row r="543" spans="1:5" x14ac:dyDescent="0.25">
      <c r="A543">
        <v>6795454</v>
      </c>
      <c r="B543" t="str">
        <f t="shared" si="8"/>
        <v>stacjonarny</v>
      </c>
      <c r="C543" s="1">
        <v>42926</v>
      </c>
      <c r="D543" s="2">
        <v>0.40265046296296297</v>
      </c>
      <c r="E543" s="2">
        <v>0.40284722222222225</v>
      </c>
    </row>
    <row r="544" spans="1:5" x14ac:dyDescent="0.25">
      <c r="A544">
        <v>5013688</v>
      </c>
      <c r="B544" t="str">
        <f t="shared" si="8"/>
        <v>stacjonarny</v>
      </c>
      <c r="C544" s="1">
        <v>42926</v>
      </c>
      <c r="D544" s="2">
        <v>0.40662037037037035</v>
      </c>
      <c r="E544" s="2">
        <v>0.41171296296296295</v>
      </c>
    </row>
    <row r="545" spans="1:5" x14ac:dyDescent="0.25">
      <c r="A545">
        <v>9487255</v>
      </c>
      <c r="B545" t="str">
        <f t="shared" si="8"/>
        <v>stacjonarny</v>
      </c>
      <c r="C545" s="1">
        <v>42926</v>
      </c>
      <c r="D545" s="2">
        <v>0.40997685185185184</v>
      </c>
      <c r="E545" s="2">
        <v>0.41947916666666668</v>
      </c>
    </row>
    <row r="546" spans="1:5" x14ac:dyDescent="0.25">
      <c r="A546">
        <v>1592822</v>
      </c>
      <c r="B546" t="str">
        <f t="shared" si="8"/>
        <v>stacjonarny</v>
      </c>
      <c r="C546" s="1">
        <v>42926</v>
      </c>
      <c r="D546" s="2">
        <v>0.41422453703703704</v>
      </c>
      <c r="E546" s="2">
        <v>0.42549768518518516</v>
      </c>
    </row>
    <row r="547" spans="1:5" x14ac:dyDescent="0.25">
      <c r="A547">
        <v>9084978</v>
      </c>
      <c r="B547" t="str">
        <f t="shared" si="8"/>
        <v>stacjonarny</v>
      </c>
      <c r="C547" s="1">
        <v>42926</v>
      </c>
      <c r="D547" s="2">
        <v>0.41553240740740743</v>
      </c>
      <c r="E547" s="2">
        <v>0.42593750000000002</v>
      </c>
    </row>
    <row r="548" spans="1:5" x14ac:dyDescent="0.25">
      <c r="A548">
        <v>80038636</v>
      </c>
      <c r="B548" t="str">
        <f t="shared" si="8"/>
        <v>komorkowy</v>
      </c>
      <c r="C548" s="1">
        <v>42926</v>
      </c>
      <c r="D548" s="2">
        <v>0.41734953703703703</v>
      </c>
      <c r="E548" s="2">
        <v>0.42822916666666666</v>
      </c>
    </row>
    <row r="549" spans="1:5" x14ac:dyDescent="0.25">
      <c r="A549">
        <v>2021941339</v>
      </c>
      <c r="B549" t="str">
        <f t="shared" si="8"/>
        <v>zagraniczny</v>
      </c>
      <c r="C549" s="1">
        <v>42926</v>
      </c>
      <c r="D549" s="2">
        <v>0.41863425925925923</v>
      </c>
      <c r="E549" s="2">
        <v>0.42877314814814815</v>
      </c>
    </row>
    <row r="550" spans="1:5" x14ac:dyDescent="0.25">
      <c r="A550">
        <v>7718350</v>
      </c>
      <c r="B550" t="str">
        <f t="shared" si="8"/>
        <v>stacjonarny</v>
      </c>
      <c r="C550" s="1">
        <v>42926</v>
      </c>
      <c r="D550" s="2">
        <v>0.42002314814814817</v>
      </c>
      <c r="E550" s="2">
        <v>0.42700231481481482</v>
      </c>
    </row>
    <row r="551" spans="1:5" x14ac:dyDescent="0.25">
      <c r="A551">
        <v>3153283</v>
      </c>
      <c r="B551" t="str">
        <f t="shared" si="8"/>
        <v>stacjonarny</v>
      </c>
      <c r="C551" s="1">
        <v>42926</v>
      </c>
      <c r="D551" s="2">
        <v>0.42396990740740742</v>
      </c>
      <c r="E551" s="2">
        <v>0.43335648148148148</v>
      </c>
    </row>
    <row r="552" spans="1:5" x14ac:dyDescent="0.25">
      <c r="A552">
        <v>6341482</v>
      </c>
      <c r="B552" t="str">
        <f t="shared" si="8"/>
        <v>stacjonarny</v>
      </c>
      <c r="C552" s="1">
        <v>42926</v>
      </c>
      <c r="D552" s="2">
        <v>0.42922453703703706</v>
      </c>
      <c r="E552" s="2">
        <v>0.43947916666666664</v>
      </c>
    </row>
    <row r="553" spans="1:5" x14ac:dyDescent="0.25">
      <c r="A553">
        <v>67964973</v>
      </c>
      <c r="B553" t="str">
        <f t="shared" si="8"/>
        <v>komorkowy</v>
      </c>
      <c r="C553" s="1">
        <v>42926</v>
      </c>
      <c r="D553" s="2">
        <v>0.43475694444444446</v>
      </c>
      <c r="E553" s="2">
        <v>0.43590277777777775</v>
      </c>
    </row>
    <row r="554" spans="1:5" x14ac:dyDescent="0.25">
      <c r="A554">
        <v>1223943</v>
      </c>
      <c r="B554" t="str">
        <f t="shared" si="8"/>
        <v>stacjonarny</v>
      </c>
      <c r="C554" s="1">
        <v>42926</v>
      </c>
      <c r="D554" s="2">
        <v>0.43961805555555555</v>
      </c>
      <c r="E554" s="2">
        <v>0.45087962962962963</v>
      </c>
    </row>
    <row r="555" spans="1:5" x14ac:dyDescent="0.25">
      <c r="A555">
        <v>8049834</v>
      </c>
      <c r="B555" t="str">
        <f t="shared" si="8"/>
        <v>stacjonarny</v>
      </c>
      <c r="C555" s="1">
        <v>42926</v>
      </c>
      <c r="D555" s="2">
        <v>0.44210648148148146</v>
      </c>
      <c r="E555" s="2">
        <v>0.44369212962962962</v>
      </c>
    </row>
    <row r="556" spans="1:5" x14ac:dyDescent="0.25">
      <c r="A556">
        <v>6374704</v>
      </c>
      <c r="B556" t="str">
        <f t="shared" si="8"/>
        <v>stacjonarny</v>
      </c>
      <c r="C556" s="1">
        <v>42926</v>
      </c>
      <c r="D556" s="2">
        <v>0.44572916666666668</v>
      </c>
      <c r="E556" s="2">
        <v>0.4548726851851852</v>
      </c>
    </row>
    <row r="557" spans="1:5" x14ac:dyDescent="0.25">
      <c r="A557">
        <v>99625315</v>
      </c>
      <c r="B557" t="str">
        <f t="shared" si="8"/>
        <v>komorkowy</v>
      </c>
      <c r="C557" s="1">
        <v>42926</v>
      </c>
      <c r="D557" s="2">
        <v>0.44592592592592595</v>
      </c>
      <c r="E557" s="2">
        <v>0.45026620370370368</v>
      </c>
    </row>
    <row r="558" spans="1:5" x14ac:dyDescent="0.25">
      <c r="A558">
        <v>9728932</v>
      </c>
      <c r="B558" t="str">
        <f t="shared" si="8"/>
        <v>stacjonarny</v>
      </c>
      <c r="C558" s="1">
        <v>42926</v>
      </c>
      <c r="D558" s="2">
        <v>0.44641203703703702</v>
      </c>
      <c r="E558" s="2">
        <v>0.45089120370370372</v>
      </c>
    </row>
    <row r="559" spans="1:5" x14ac:dyDescent="0.25">
      <c r="A559">
        <v>9121149</v>
      </c>
      <c r="B559" t="str">
        <f t="shared" si="8"/>
        <v>stacjonarny</v>
      </c>
      <c r="C559" s="1">
        <v>42926</v>
      </c>
      <c r="D559" s="2">
        <v>0.45106481481481481</v>
      </c>
      <c r="E559" s="2">
        <v>0.45603009259259258</v>
      </c>
    </row>
    <row r="560" spans="1:5" x14ac:dyDescent="0.25">
      <c r="A560">
        <v>2790475</v>
      </c>
      <c r="B560" t="str">
        <f t="shared" si="8"/>
        <v>stacjonarny</v>
      </c>
      <c r="C560" s="1">
        <v>42926</v>
      </c>
      <c r="D560" s="2">
        <v>0.45663194444444444</v>
      </c>
      <c r="E560" s="2">
        <v>0.46517361111111111</v>
      </c>
    </row>
    <row r="561" spans="1:5" x14ac:dyDescent="0.25">
      <c r="A561">
        <v>4148520</v>
      </c>
      <c r="B561" t="str">
        <f t="shared" si="8"/>
        <v>stacjonarny</v>
      </c>
      <c r="C561" s="1">
        <v>42926</v>
      </c>
      <c r="D561" s="2">
        <v>0.46108796296296295</v>
      </c>
      <c r="E561" s="2">
        <v>0.46989583333333335</v>
      </c>
    </row>
    <row r="562" spans="1:5" x14ac:dyDescent="0.25">
      <c r="A562">
        <v>55462392</v>
      </c>
      <c r="B562" t="str">
        <f t="shared" si="8"/>
        <v>komorkowy</v>
      </c>
      <c r="C562" s="1">
        <v>42926</v>
      </c>
      <c r="D562" s="2">
        <v>0.46597222222222223</v>
      </c>
      <c r="E562" s="2">
        <v>0.46732638888888889</v>
      </c>
    </row>
    <row r="563" spans="1:5" x14ac:dyDescent="0.25">
      <c r="A563">
        <v>8130722</v>
      </c>
      <c r="B563" t="str">
        <f t="shared" si="8"/>
        <v>stacjonarny</v>
      </c>
      <c r="C563" s="1">
        <v>42926</v>
      </c>
      <c r="D563" s="2">
        <v>0.46649305555555554</v>
      </c>
      <c r="E563" s="2">
        <v>0.47717592592592595</v>
      </c>
    </row>
    <row r="564" spans="1:5" x14ac:dyDescent="0.25">
      <c r="A564">
        <v>5448890</v>
      </c>
      <c r="B564" t="str">
        <f t="shared" si="8"/>
        <v>stacjonarny</v>
      </c>
      <c r="C564" s="1">
        <v>42926</v>
      </c>
      <c r="D564" s="2">
        <v>0.46957175925925926</v>
      </c>
      <c r="E564" s="2">
        <v>0.47247685185185184</v>
      </c>
    </row>
    <row r="565" spans="1:5" x14ac:dyDescent="0.25">
      <c r="A565">
        <v>6118241</v>
      </c>
      <c r="B565" t="str">
        <f t="shared" si="8"/>
        <v>stacjonarny</v>
      </c>
      <c r="C565" s="1">
        <v>42926</v>
      </c>
      <c r="D565" s="2">
        <v>0.47462962962962962</v>
      </c>
      <c r="E565" s="2">
        <v>0.47839120370370369</v>
      </c>
    </row>
    <row r="566" spans="1:5" x14ac:dyDescent="0.25">
      <c r="A566">
        <v>1088377750</v>
      </c>
      <c r="B566" t="str">
        <f t="shared" si="8"/>
        <v>zagraniczny</v>
      </c>
      <c r="C566" s="1">
        <v>42926</v>
      </c>
      <c r="D566" s="2">
        <v>0.47535879629629629</v>
      </c>
      <c r="E566" s="2">
        <v>0.48454861111111114</v>
      </c>
    </row>
    <row r="567" spans="1:5" x14ac:dyDescent="0.25">
      <c r="A567">
        <v>98238772</v>
      </c>
      <c r="B567" t="str">
        <f t="shared" si="8"/>
        <v>komorkowy</v>
      </c>
      <c r="C567" s="1">
        <v>42926</v>
      </c>
      <c r="D567" s="2">
        <v>0.47989583333333335</v>
      </c>
      <c r="E567" s="2">
        <v>0.48138888888888887</v>
      </c>
    </row>
    <row r="568" spans="1:5" x14ac:dyDescent="0.25">
      <c r="A568">
        <v>9524588</v>
      </c>
      <c r="B568" t="str">
        <f t="shared" si="8"/>
        <v>stacjonarny</v>
      </c>
      <c r="C568" s="1">
        <v>42926</v>
      </c>
      <c r="D568" s="2">
        <v>0.4846759259259259</v>
      </c>
      <c r="E568" s="2">
        <v>0.49550925925925926</v>
      </c>
    </row>
    <row r="569" spans="1:5" x14ac:dyDescent="0.25">
      <c r="A569">
        <v>96375379</v>
      </c>
      <c r="B569" t="str">
        <f t="shared" si="8"/>
        <v>komorkowy</v>
      </c>
      <c r="C569" s="1">
        <v>42926</v>
      </c>
      <c r="D569" s="2">
        <v>0.4881712962962963</v>
      </c>
      <c r="E569" s="2">
        <v>0.49769675925925927</v>
      </c>
    </row>
    <row r="570" spans="1:5" x14ac:dyDescent="0.25">
      <c r="A570">
        <v>4759206</v>
      </c>
      <c r="B570" t="str">
        <f t="shared" si="8"/>
        <v>stacjonarny</v>
      </c>
      <c r="C570" s="1">
        <v>42926</v>
      </c>
      <c r="D570" s="2">
        <v>0.49055555555555558</v>
      </c>
      <c r="E570" s="2">
        <v>0.49449074074074073</v>
      </c>
    </row>
    <row r="571" spans="1:5" x14ac:dyDescent="0.25">
      <c r="A571">
        <v>9197309</v>
      </c>
      <c r="B571" t="str">
        <f t="shared" si="8"/>
        <v>stacjonarny</v>
      </c>
      <c r="C571" s="1">
        <v>42926</v>
      </c>
      <c r="D571" s="2">
        <v>0.49488425925925927</v>
      </c>
      <c r="E571" s="2">
        <v>0.50590277777777781</v>
      </c>
    </row>
    <row r="572" spans="1:5" x14ac:dyDescent="0.25">
      <c r="A572">
        <v>8322522</v>
      </c>
      <c r="B572" t="str">
        <f t="shared" si="8"/>
        <v>stacjonarny</v>
      </c>
      <c r="C572" s="1">
        <v>42926</v>
      </c>
      <c r="D572" s="2">
        <v>0.49674768518518519</v>
      </c>
      <c r="E572" s="2">
        <v>0.50796296296296295</v>
      </c>
    </row>
    <row r="573" spans="1:5" x14ac:dyDescent="0.25">
      <c r="A573">
        <v>4264808</v>
      </c>
      <c r="B573" t="str">
        <f t="shared" si="8"/>
        <v>stacjonarny</v>
      </c>
      <c r="C573" s="1">
        <v>42926</v>
      </c>
      <c r="D573" s="2">
        <v>0.50089120370370366</v>
      </c>
      <c r="E573" s="2">
        <v>0.50109953703703702</v>
      </c>
    </row>
    <row r="574" spans="1:5" x14ac:dyDescent="0.25">
      <c r="A574">
        <v>3095218</v>
      </c>
      <c r="B574" t="str">
        <f t="shared" si="8"/>
        <v>stacjonarny</v>
      </c>
      <c r="C574" s="1">
        <v>42926</v>
      </c>
      <c r="D574" s="2">
        <v>0.50635416666666666</v>
      </c>
      <c r="E574" s="2">
        <v>0.51716435185185183</v>
      </c>
    </row>
    <row r="575" spans="1:5" x14ac:dyDescent="0.25">
      <c r="A575">
        <v>5820632164</v>
      </c>
      <c r="B575" t="str">
        <f t="shared" si="8"/>
        <v>zagraniczny</v>
      </c>
      <c r="C575" s="1">
        <v>42926</v>
      </c>
      <c r="D575" s="2">
        <v>0.51010416666666669</v>
      </c>
      <c r="E575" s="2">
        <v>0.51879629629629631</v>
      </c>
    </row>
    <row r="576" spans="1:5" x14ac:dyDescent="0.25">
      <c r="A576">
        <v>89814525</v>
      </c>
      <c r="B576" t="str">
        <f t="shared" si="8"/>
        <v>komorkowy</v>
      </c>
      <c r="C576" s="1">
        <v>42926</v>
      </c>
      <c r="D576" s="2">
        <v>0.51090277777777782</v>
      </c>
      <c r="E576" s="2">
        <v>0.51175925925925925</v>
      </c>
    </row>
    <row r="577" spans="1:5" x14ac:dyDescent="0.25">
      <c r="A577">
        <v>1223816</v>
      </c>
      <c r="B577" t="str">
        <f t="shared" si="8"/>
        <v>stacjonarny</v>
      </c>
      <c r="C577" s="1">
        <v>42926</v>
      </c>
      <c r="D577" s="2">
        <v>0.51116898148148149</v>
      </c>
      <c r="E577" s="2">
        <v>0.51718750000000002</v>
      </c>
    </row>
    <row r="578" spans="1:5" x14ac:dyDescent="0.25">
      <c r="A578">
        <v>18503160</v>
      </c>
      <c r="B578" t="str">
        <f t="shared" si="8"/>
        <v>komorkowy</v>
      </c>
      <c r="C578" s="1">
        <v>42926</v>
      </c>
      <c r="D578" s="2">
        <v>0.51157407407407407</v>
      </c>
      <c r="E578" s="2">
        <v>0.51663194444444449</v>
      </c>
    </row>
    <row r="579" spans="1:5" x14ac:dyDescent="0.25">
      <c r="A579">
        <v>21677804</v>
      </c>
      <c r="B579" t="str">
        <f t="shared" ref="B579:B642" si="9">IF(LEN(A579)=7, "stacjonarny", IF(LEN(A579)=8, "komorkowy", "zagraniczny"))</f>
        <v>komorkowy</v>
      </c>
      <c r="C579" s="1">
        <v>42926</v>
      </c>
      <c r="D579" s="2">
        <v>0.51328703703703704</v>
      </c>
      <c r="E579" s="2">
        <v>0.51821759259259259</v>
      </c>
    </row>
    <row r="580" spans="1:5" x14ac:dyDescent="0.25">
      <c r="A580">
        <v>5087066</v>
      </c>
      <c r="B580" t="str">
        <f t="shared" si="9"/>
        <v>stacjonarny</v>
      </c>
      <c r="C580" s="1">
        <v>42926</v>
      </c>
      <c r="D580" s="2">
        <v>0.51603009259259258</v>
      </c>
      <c r="E580" s="2">
        <v>0.5269907407407407</v>
      </c>
    </row>
    <row r="581" spans="1:5" x14ac:dyDescent="0.25">
      <c r="A581">
        <v>6905863</v>
      </c>
      <c r="B581" t="str">
        <f t="shared" si="9"/>
        <v>stacjonarny</v>
      </c>
      <c r="C581" s="1">
        <v>42926</v>
      </c>
      <c r="D581" s="2">
        <v>0.52123842592592595</v>
      </c>
      <c r="E581" s="2">
        <v>0.53008101851851852</v>
      </c>
    </row>
    <row r="582" spans="1:5" x14ac:dyDescent="0.25">
      <c r="A582">
        <v>4144248</v>
      </c>
      <c r="B582" t="str">
        <f t="shared" si="9"/>
        <v>stacjonarny</v>
      </c>
      <c r="C582" s="1">
        <v>42926</v>
      </c>
      <c r="D582" s="2">
        <v>0.52134259259259264</v>
      </c>
      <c r="E582" s="2">
        <v>0.53226851851851853</v>
      </c>
    </row>
    <row r="583" spans="1:5" x14ac:dyDescent="0.25">
      <c r="A583">
        <v>16392077</v>
      </c>
      <c r="B583" t="str">
        <f t="shared" si="9"/>
        <v>komorkowy</v>
      </c>
      <c r="C583" s="1">
        <v>42926</v>
      </c>
      <c r="D583" s="2">
        <v>0.52254629629629634</v>
      </c>
      <c r="E583" s="2">
        <v>0.52263888888888888</v>
      </c>
    </row>
    <row r="584" spans="1:5" x14ac:dyDescent="0.25">
      <c r="A584">
        <v>8865092</v>
      </c>
      <c r="B584" t="str">
        <f t="shared" si="9"/>
        <v>stacjonarny</v>
      </c>
      <c r="C584" s="1">
        <v>42926</v>
      </c>
      <c r="D584" s="2">
        <v>0.52392361111111108</v>
      </c>
      <c r="E584" s="2">
        <v>0.53378472222222217</v>
      </c>
    </row>
    <row r="585" spans="1:5" x14ac:dyDescent="0.25">
      <c r="A585">
        <v>92597723</v>
      </c>
      <c r="B585" t="str">
        <f t="shared" si="9"/>
        <v>komorkowy</v>
      </c>
      <c r="C585" s="1">
        <v>42926</v>
      </c>
      <c r="D585" s="2">
        <v>0.52837962962962959</v>
      </c>
      <c r="E585" s="2">
        <v>0.53084490740740742</v>
      </c>
    </row>
    <row r="586" spans="1:5" x14ac:dyDescent="0.25">
      <c r="A586">
        <v>49840829</v>
      </c>
      <c r="B586" t="str">
        <f t="shared" si="9"/>
        <v>komorkowy</v>
      </c>
      <c r="C586" s="1">
        <v>42926</v>
      </c>
      <c r="D586" s="2">
        <v>0.53204861111111112</v>
      </c>
      <c r="E586" s="2">
        <v>0.53737268518518522</v>
      </c>
    </row>
    <row r="587" spans="1:5" x14ac:dyDescent="0.25">
      <c r="A587">
        <v>20354301</v>
      </c>
      <c r="B587" t="str">
        <f t="shared" si="9"/>
        <v>komorkowy</v>
      </c>
      <c r="C587" s="1">
        <v>42926</v>
      </c>
      <c r="D587" s="2">
        <v>0.53291666666666671</v>
      </c>
      <c r="E587" s="2">
        <v>0.53758101851851847</v>
      </c>
    </row>
    <row r="588" spans="1:5" x14ac:dyDescent="0.25">
      <c r="A588">
        <v>2731955</v>
      </c>
      <c r="B588" t="str">
        <f t="shared" si="9"/>
        <v>stacjonarny</v>
      </c>
      <c r="C588" s="1">
        <v>42926</v>
      </c>
      <c r="D588" s="2">
        <v>0.53843750000000001</v>
      </c>
      <c r="E588" s="2">
        <v>0.54283564814814811</v>
      </c>
    </row>
    <row r="589" spans="1:5" x14ac:dyDescent="0.25">
      <c r="A589">
        <v>2304726</v>
      </c>
      <c r="B589" t="str">
        <f t="shared" si="9"/>
        <v>stacjonarny</v>
      </c>
      <c r="C589" s="1">
        <v>42926</v>
      </c>
      <c r="D589" s="2">
        <v>0.54197916666666668</v>
      </c>
      <c r="E589" s="2">
        <v>0.54866898148148147</v>
      </c>
    </row>
    <row r="590" spans="1:5" x14ac:dyDescent="0.25">
      <c r="A590">
        <v>4653709</v>
      </c>
      <c r="B590" t="str">
        <f t="shared" si="9"/>
        <v>stacjonarny</v>
      </c>
      <c r="C590" s="1">
        <v>42926</v>
      </c>
      <c r="D590" s="2">
        <v>0.54292824074074075</v>
      </c>
      <c r="E590" s="2">
        <v>0.5444444444444444</v>
      </c>
    </row>
    <row r="591" spans="1:5" x14ac:dyDescent="0.25">
      <c r="A591">
        <v>4848864</v>
      </c>
      <c r="B591" t="str">
        <f t="shared" si="9"/>
        <v>stacjonarny</v>
      </c>
      <c r="C591" s="1">
        <v>42926</v>
      </c>
      <c r="D591" s="2">
        <v>0.54432870370370368</v>
      </c>
      <c r="E591" s="2">
        <v>0.55090277777777774</v>
      </c>
    </row>
    <row r="592" spans="1:5" x14ac:dyDescent="0.25">
      <c r="A592">
        <v>6709939</v>
      </c>
      <c r="B592" t="str">
        <f t="shared" si="9"/>
        <v>stacjonarny</v>
      </c>
      <c r="C592" s="1">
        <v>42926</v>
      </c>
      <c r="D592" s="2">
        <v>0.54692129629629627</v>
      </c>
      <c r="E592" s="2">
        <v>0.55000000000000004</v>
      </c>
    </row>
    <row r="593" spans="1:5" x14ac:dyDescent="0.25">
      <c r="A593">
        <v>8870498</v>
      </c>
      <c r="B593" t="str">
        <f t="shared" si="9"/>
        <v>stacjonarny</v>
      </c>
      <c r="C593" s="1">
        <v>42926</v>
      </c>
      <c r="D593" s="2">
        <v>0.55046296296296293</v>
      </c>
      <c r="E593" s="2">
        <v>0.55986111111111114</v>
      </c>
    </row>
    <row r="594" spans="1:5" x14ac:dyDescent="0.25">
      <c r="A594">
        <v>2947889</v>
      </c>
      <c r="B594" t="str">
        <f t="shared" si="9"/>
        <v>stacjonarny</v>
      </c>
      <c r="C594" s="1">
        <v>42926</v>
      </c>
      <c r="D594" s="2">
        <v>0.55246527777777776</v>
      </c>
      <c r="E594" s="2">
        <v>0.56334490740740739</v>
      </c>
    </row>
    <row r="595" spans="1:5" x14ac:dyDescent="0.25">
      <c r="A595">
        <v>8270097</v>
      </c>
      <c r="B595" t="str">
        <f t="shared" si="9"/>
        <v>stacjonarny</v>
      </c>
      <c r="C595" s="1">
        <v>42926</v>
      </c>
      <c r="D595" s="2">
        <v>0.55650462962962965</v>
      </c>
      <c r="E595" s="2">
        <v>0.55850694444444449</v>
      </c>
    </row>
    <row r="596" spans="1:5" x14ac:dyDescent="0.25">
      <c r="A596">
        <v>8183468</v>
      </c>
      <c r="B596" t="str">
        <f t="shared" si="9"/>
        <v>stacjonarny</v>
      </c>
      <c r="C596" s="1">
        <v>42926</v>
      </c>
      <c r="D596" s="2">
        <v>0.55832175925925931</v>
      </c>
      <c r="E596" s="2">
        <v>0.56265046296296295</v>
      </c>
    </row>
    <row r="597" spans="1:5" x14ac:dyDescent="0.25">
      <c r="A597">
        <v>3263806</v>
      </c>
      <c r="B597" t="str">
        <f t="shared" si="9"/>
        <v>stacjonarny</v>
      </c>
      <c r="C597" s="1">
        <v>42926</v>
      </c>
      <c r="D597" s="2">
        <v>0.55864583333333329</v>
      </c>
      <c r="E597" s="2">
        <v>0.56383101851851847</v>
      </c>
    </row>
    <row r="598" spans="1:5" x14ac:dyDescent="0.25">
      <c r="A598">
        <v>7792980</v>
      </c>
      <c r="B598" t="str">
        <f t="shared" si="9"/>
        <v>stacjonarny</v>
      </c>
      <c r="C598" s="1">
        <v>42926</v>
      </c>
      <c r="D598" s="2">
        <v>0.56234953703703705</v>
      </c>
      <c r="E598" s="2">
        <v>0.57378472222222221</v>
      </c>
    </row>
    <row r="599" spans="1:5" x14ac:dyDescent="0.25">
      <c r="A599">
        <v>88929925</v>
      </c>
      <c r="B599" t="str">
        <f t="shared" si="9"/>
        <v>komorkowy</v>
      </c>
      <c r="C599" s="1">
        <v>42926</v>
      </c>
      <c r="D599" s="2">
        <v>0.56688657407407406</v>
      </c>
      <c r="E599" s="2">
        <v>0.57342592592592589</v>
      </c>
    </row>
    <row r="600" spans="1:5" x14ac:dyDescent="0.25">
      <c r="A600">
        <v>2478461</v>
      </c>
      <c r="B600" t="str">
        <f t="shared" si="9"/>
        <v>stacjonarny</v>
      </c>
      <c r="C600" s="1">
        <v>42926</v>
      </c>
      <c r="D600" s="2">
        <v>0.56980324074074074</v>
      </c>
      <c r="E600" s="2">
        <v>0.575775462962963</v>
      </c>
    </row>
    <row r="601" spans="1:5" x14ac:dyDescent="0.25">
      <c r="A601">
        <v>2838216</v>
      </c>
      <c r="B601" t="str">
        <f t="shared" si="9"/>
        <v>stacjonarny</v>
      </c>
      <c r="C601" s="1">
        <v>42926</v>
      </c>
      <c r="D601" s="2">
        <v>0.5755555555555556</v>
      </c>
      <c r="E601" s="2">
        <v>0.57737268518518514</v>
      </c>
    </row>
    <row r="602" spans="1:5" x14ac:dyDescent="0.25">
      <c r="A602">
        <v>4853153</v>
      </c>
      <c r="B602" t="str">
        <f t="shared" si="9"/>
        <v>stacjonarny</v>
      </c>
      <c r="C602" s="1">
        <v>42926</v>
      </c>
      <c r="D602" s="2">
        <v>0.5803935185185185</v>
      </c>
      <c r="E602" s="2">
        <v>0.58190972222222226</v>
      </c>
    </row>
    <row r="603" spans="1:5" x14ac:dyDescent="0.25">
      <c r="A603">
        <v>2985743</v>
      </c>
      <c r="B603" t="str">
        <f t="shared" si="9"/>
        <v>stacjonarny</v>
      </c>
      <c r="C603" s="1">
        <v>42926</v>
      </c>
      <c r="D603" s="2">
        <v>0.58189814814814811</v>
      </c>
      <c r="E603" s="2">
        <v>0.59070601851851856</v>
      </c>
    </row>
    <row r="604" spans="1:5" x14ac:dyDescent="0.25">
      <c r="A604">
        <v>3434934</v>
      </c>
      <c r="B604" t="str">
        <f t="shared" si="9"/>
        <v>stacjonarny</v>
      </c>
      <c r="C604" s="1">
        <v>42926</v>
      </c>
      <c r="D604" s="2">
        <v>0.58254629629629628</v>
      </c>
      <c r="E604" s="2">
        <v>0.58601851851851849</v>
      </c>
    </row>
    <row r="605" spans="1:5" x14ac:dyDescent="0.25">
      <c r="A605">
        <v>97596112</v>
      </c>
      <c r="B605" t="str">
        <f t="shared" si="9"/>
        <v>komorkowy</v>
      </c>
      <c r="C605" s="1">
        <v>42926</v>
      </c>
      <c r="D605" s="2">
        <v>0.58351851851851855</v>
      </c>
      <c r="E605" s="2">
        <v>0.59368055555555554</v>
      </c>
    </row>
    <row r="606" spans="1:5" x14ac:dyDescent="0.25">
      <c r="A606">
        <v>1247125</v>
      </c>
      <c r="B606" t="str">
        <f t="shared" si="9"/>
        <v>stacjonarny</v>
      </c>
      <c r="C606" s="1">
        <v>42926</v>
      </c>
      <c r="D606" s="2">
        <v>0.58575231481481482</v>
      </c>
      <c r="E606" s="2">
        <v>0.5935300925925926</v>
      </c>
    </row>
    <row r="607" spans="1:5" x14ac:dyDescent="0.25">
      <c r="A607">
        <v>6982652</v>
      </c>
      <c r="B607" t="str">
        <f t="shared" si="9"/>
        <v>stacjonarny</v>
      </c>
      <c r="C607" s="1">
        <v>42926</v>
      </c>
      <c r="D607" s="2">
        <v>0.58677083333333335</v>
      </c>
      <c r="E607" s="2">
        <v>0.58759259259259256</v>
      </c>
    </row>
    <row r="608" spans="1:5" x14ac:dyDescent="0.25">
      <c r="A608">
        <v>11209967</v>
      </c>
      <c r="B608" t="str">
        <f t="shared" si="9"/>
        <v>komorkowy</v>
      </c>
      <c r="C608" s="1">
        <v>42926</v>
      </c>
      <c r="D608" s="2">
        <v>0.58877314814814818</v>
      </c>
      <c r="E608" s="2">
        <v>0.59027777777777779</v>
      </c>
    </row>
    <row r="609" spans="1:5" x14ac:dyDescent="0.25">
      <c r="A609">
        <v>6251788</v>
      </c>
      <c r="B609" t="str">
        <f t="shared" si="9"/>
        <v>stacjonarny</v>
      </c>
      <c r="C609" s="1">
        <v>42926</v>
      </c>
      <c r="D609" s="2">
        <v>0.58910879629629631</v>
      </c>
      <c r="E609" s="2">
        <v>0.59431712962962968</v>
      </c>
    </row>
    <row r="610" spans="1:5" x14ac:dyDescent="0.25">
      <c r="A610">
        <v>8679036</v>
      </c>
      <c r="B610" t="str">
        <f t="shared" si="9"/>
        <v>stacjonarny</v>
      </c>
      <c r="C610" s="1">
        <v>42926</v>
      </c>
      <c r="D610" s="2">
        <v>0.58976851851851853</v>
      </c>
      <c r="E610" s="2">
        <v>0.60074074074074069</v>
      </c>
    </row>
    <row r="611" spans="1:5" x14ac:dyDescent="0.25">
      <c r="A611">
        <v>1288637</v>
      </c>
      <c r="B611" t="str">
        <f t="shared" si="9"/>
        <v>stacjonarny</v>
      </c>
      <c r="C611" s="1">
        <v>42926</v>
      </c>
      <c r="D611" s="2">
        <v>0.59277777777777774</v>
      </c>
      <c r="E611" s="2">
        <v>0.59365740740740736</v>
      </c>
    </row>
    <row r="612" spans="1:5" x14ac:dyDescent="0.25">
      <c r="A612">
        <v>4825302</v>
      </c>
      <c r="B612" t="str">
        <f t="shared" si="9"/>
        <v>stacjonarny</v>
      </c>
      <c r="C612" s="1">
        <v>42926</v>
      </c>
      <c r="D612" s="2">
        <v>0.59670138888888891</v>
      </c>
      <c r="E612" s="2">
        <v>0.59701388888888884</v>
      </c>
    </row>
    <row r="613" spans="1:5" x14ac:dyDescent="0.25">
      <c r="A613">
        <v>5349562</v>
      </c>
      <c r="B613" t="str">
        <f t="shared" si="9"/>
        <v>stacjonarny</v>
      </c>
      <c r="C613" s="1">
        <v>42926</v>
      </c>
      <c r="D613" s="2">
        <v>0.60041666666666671</v>
      </c>
      <c r="E613" s="2">
        <v>0.6095949074074074</v>
      </c>
    </row>
    <row r="614" spans="1:5" x14ac:dyDescent="0.25">
      <c r="A614">
        <v>5893512</v>
      </c>
      <c r="B614" t="str">
        <f t="shared" si="9"/>
        <v>stacjonarny</v>
      </c>
      <c r="C614" s="1">
        <v>42926</v>
      </c>
      <c r="D614" s="2">
        <v>0.60517361111111112</v>
      </c>
      <c r="E614" s="2">
        <v>0.61063657407407412</v>
      </c>
    </row>
    <row r="615" spans="1:5" x14ac:dyDescent="0.25">
      <c r="A615">
        <v>7138804596</v>
      </c>
      <c r="B615" t="str">
        <f t="shared" si="9"/>
        <v>zagraniczny</v>
      </c>
      <c r="C615" s="1">
        <v>42926</v>
      </c>
      <c r="D615" s="2">
        <v>0.60578703703703707</v>
      </c>
      <c r="E615" s="2">
        <v>0.61459490740740741</v>
      </c>
    </row>
    <row r="616" spans="1:5" x14ac:dyDescent="0.25">
      <c r="A616">
        <v>6468376</v>
      </c>
      <c r="B616" t="str">
        <f t="shared" si="9"/>
        <v>stacjonarny</v>
      </c>
      <c r="C616" s="1">
        <v>42926</v>
      </c>
      <c r="D616" s="2">
        <v>0.61140046296296291</v>
      </c>
      <c r="E616" s="2">
        <v>0.61952546296296296</v>
      </c>
    </row>
    <row r="617" spans="1:5" x14ac:dyDescent="0.25">
      <c r="A617">
        <v>5076649</v>
      </c>
      <c r="B617" t="str">
        <f t="shared" si="9"/>
        <v>stacjonarny</v>
      </c>
      <c r="C617" s="1">
        <v>42926</v>
      </c>
      <c r="D617" s="2">
        <v>0.61699074074074078</v>
      </c>
      <c r="E617" s="2">
        <v>0.62163194444444447</v>
      </c>
    </row>
    <row r="618" spans="1:5" x14ac:dyDescent="0.25">
      <c r="A618">
        <v>3494192</v>
      </c>
      <c r="B618" t="str">
        <f t="shared" si="9"/>
        <v>stacjonarny</v>
      </c>
      <c r="C618" s="1">
        <v>42926</v>
      </c>
      <c r="D618" s="2">
        <v>0.62216435185185182</v>
      </c>
      <c r="E618" s="2">
        <v>0.62291666666666667</v>
      </c>
    </row>
    <row r="619" spans="1:5" x14ac:dyDescent="0.25">
      <c r="A619">
        <v>8150086</v>
      </c>
      <c r="B619" t="str">
        <f t="shared" si="9"/>
        <v>stacjonarny</v>
      </c>
      <c r="C619" s="1">
        <v>42926</v>
      </c>
      <c r="D619" s="2">
        <v>0.6272685185185185</v>
      </c>
      <c r="E619" s="2">
        <v>0.63475694444444442</v>
      </c>
    </row>
    <row r="620" spans="1:5" x14ac:dyDescent="0.25">
      <c r="A620">
        <v>3934931</v>
      </c>
      <c r="B620" t="str">
        <f t="shared" si="9"/>
        <v>stacjonarny</v>
      </c>
      <c r="C620" s="1">
        <v>42927</v>
      </c>
      <c r="D620" s="2">
        <v>0.3349537037037037</v>
      </c>
      <c r="E620" s="2">
        <v>0.3379861111111111</v>
      </c>
    </row>
    <row r="621" spans="1:5" x14ac:dyDescent="0.25">
      <c r="A621">
        <v>2111996</v>
      </c>
      <c r="B621" t="str">
        <f t="shared" si="9"/>
        <v>stacjonarny</v>
      </c>
      <c r="C621" s="1">
        <v>42927</v>
      </c>
      <c r="D621" s="2">
        <v>0.33706018518518521</v>
      </c>
      <c r="E621" s="2">
        <v>0.33875</v>
      </c>
    </row>
    <row r="622" spans="1:5" x14ac:dyDescent="0.25">
      <c r="A622">
        <v>6484436</v>
      </c>
      <c r="B622" t="str">
        <f t="shared" si="9"/>
        <v>stacjonarny</v>
      </c>
      <c r="C622" s="1">
        <v>42927</v>
      </c>
      <c r="D622" s="2">
        <v>0.34006944444444442</v>
      </c>
      <c r="E622" s="2">
        <v>0.3427546296296296</v>
      </c>
    </row>
    <row r="623" spans="1:5" x14ac:dyDescent="0.25">
      <c r="A623">
        <v>97646706</v>
      </c>
      <c r="B623" t="str">
        <f t="shared" si="9"/>
        <v>komorkowy</v>
      </c>
      <c r="C623" s="1">
        <v>42927</v>
      </c>
      <c r="D623" s="2">
        <v>0.34304398148148146</v>
      </c>
      <c r="E623" s="2">
        <v>0.34310185185185182</v>
      </c>
    </row>
    <row r="624" spans="1:5" x14ac:dyDescent="0.25">
      <c r="A624">
        <v>9932676</v>
      </c>
      <c r="B624" t="str">
        <f t="shared" si="9"/>
        <v>stacjonarny</v>
      </c>
      <c r="C624" s="1">
        <v>42927</v>
      </c>
      <c r="D624" s="2">
        <v>0.34778935185185184</v>
      </c>
      <c r="E624" s="2">
        <v>0.35474537037037035</v>
      </c>
    </row>
    <row r="625" spans="1:5" x14ac:dyDescent="0.25">
      <c r="A625">
        <v>6062869</v>
      </c>
      <c r="B625" t="str">
        <f t="shared" si="9"/>
        <v>stacjonarny</v>
      </c>
      <c r="C625" s="1">
        <v>42927</v>
      </c>
      <c r="D625" s="2">
        <v>0.3513425925925926</v>
      </c>
      <c r="E625" s="2">
        <v>0.35505787037037034</v>
      </c>
    </row>
    <row r="626" spans="1:5" x14ac:dyDescent="0.25">
      <c r="A626">
        <v>2828759</v>
      </c>
      <c r="B626" t="str">
        <f t="shared" si="9"/>
        <v>stacjonarny</v>
      </c>
      <c r="C626" s="1">
        <v>42927</v>
      </c>
      <c r="D626" s="2">
        <v>0.35575231481481484</v>
      </c>
      <c r="E626" s="2">
        <v>0.35851851851851851</v>
      </c>
    </row>
    <row r="627" spans="1:5" x14ac:dyDescent="0.25">
      <c r="A627">
        <v>7215284</v>
      </c>
      <c r="B627" t="str">
        <f t="shared" si="9"/>
        <v>stacjonarny</v>
      </c>
      <c r="C627" s="1">
        <v>42927</v>
      </c>
      <c r="D627" s="2">
        <v>0.3596759259259259</v>
      </c>
      <c r="E627" s="2">
        <v>0.36363425925925924</v>
      </c>
    </row>
    <row r="628" spans="1:5" x14ac:dyDescent="0.25">
      <c r="A628">
        <v>1384299</v>
      </c>
      <c r="B628" t="str">
        <f t="shared" si="9"/>
        <v>stacjonarny</v>
      </c>
      <c r="C628" s="1">
        <v>42927</v>
      </c>
      <c r="D628" s="2">
        <v>0.36203703703703705</v>
      </c>
      <c r="E628" s="2">
        <v>0.37155092592592592</v>
      </c>
    </row>
    <row r="629" spans="1:5" x14ac:dyDescent="0.25">
      <c r="A629">
        <v>2486941</v>
      </c>
      <c r="B629" t="str">
        <f t="shared" si="9"/>
        <v>stacjonarny</v>
      </c>
      <c r="C629" s="1">
        <v>42927</v>
      </c>
      <c r="D629" s="2">
        <v>0.36394675925925923</v>
      </c>
      <c r="E629" s="2">
        <v>0.36422453703703705</v>
      </c>
    </row>
    <row r="630" spans="1:5" x14ac:dyDescent="0.25">
      <c r="A630">
        <v>6561564994</v>
      </c>
      <c r="B630" t="str">
        <f t="shared" si="9"/>
        <v>zagraniczny</v>
      </c>
      <c r="C630" s="1">
        <v>42927</v>
      </c>
      <c r="D630" s="2">
        <v>0.36930555555555555</v>
      </c>
      <c r="E630" s="2">
        <v>0.37052083333333335</v>
      </c>
    </row>
    <row r="631" spans="1:5" x14ac:dyDescent="0.25">
      <c r="A631">
        <v>1207918</v>
      </c>
      <c r="B631" t="str">
        <f t="shared" si="9"/>
        <v>stacjonarny</v>
      </c>
      <c r="C631" s="1">
        <v>42927</v>
      </c>
      <c r="D631" s="2">
        <v>0.37410879629629629</v>
      </c>
      <c r="E631" s="2">
        <v>0.3767361111111111</v>
      </c>
    </row>
    <row r="632" spans="1:5" x14ac:dyDescent="0.25">
      <c r="A632">
        <v>66800387</v>
      </c>
      <c r="B632" t="str">
        <f t="shared" si="9"/>
        <v>komorkowy</v>
      </c>
      <c r="C632" s="1">
        <v>42927</v>
      </c>
      <c r="D632" s="2">
        <v>0.37684027777777779</v>
      </c>
      <c r="E632" s="2">
        <v>0.38072916666666667</v>
      </c>
    </row>
    <row r="633" spans="1:5" x14ac:dyDescent="0.25">
      <c r="A633">
        <v>49093359</v>
      </c>
      <c r="B633" t="str">
        <f t="shared" si="9"/>
        <v>komorkowy</v>
      </c>
      <c r="C633" s="1">
        <v>42927</v>
      </c>
      <c r="D633" s="2">
        <v>0.37695601851851851</v>
      </c>
      <c r="E633" s="2">
        <v>0.38138888888888889</v>
      </c>
    </row>
    <row r="634" spans="1:5" x14ac:dyDescent="0.25">
      <c r="A634">
        <v>2252239</v>
      </c>
      <c r="B634" t="str">
        <f t="shared" si="9"/>
        <v>stacjonarny</v>
      </c>
      <c r="C634" s="1">
        <v>42927</v>
      </c>
      <c r="D634" s="2">
        <v>0.38233796296296296</v>
      </c>
      <c r="E634" s="2">
        <v>0.39034722222222223</v>
      </c>
    </row>
    <row r="635" spans="1:5" x14ac:dyDescent="0.25">
      <c r="A635">
        <v>4925279</v>
      </c>
      <c r="B635" t="str">
        <f t="shared" si="9"/>
        <v>stacjonarny</v>
      </c>
      <c r="C635" s="1">
        <v>42927</v>
      </c>
      <c r="D635" s="2">
        <v>0.3850925925925926</v>
      </c>
      <c r="E635" s="2">
        <v>0.38929398148148148</v>
      </c>
    </row>
    <row r="636" spans="1:5" x14ac:dyDescent="0.25">
      <c r="A636">
        <v>25459710</v>
      </c>
      <c r="B636" t="str">
        <f t="shared" si="9"/>
        <v>komorkowy</v>
      </c>
      <c r="C636" s="1">
        <v>42927</v>
      </c>
      <c r="D636" s="2">
        <v>0.38797453703703705</v>
      </c>
      <c r="E636" s="2">
        <v>0.39458333333333334</v>
      </c>
    </row>
    <row r="637" spans="1:5" x14ac:dyDescent="0.25">
      <c r="A637">
        <v>3943994</v>
      </c>
      <c r="B637" t="str">
        <f t="shared" si="9"/>
        <v>stacjonarny</v>
      </c>
      <c r="C637" s="1">
        <v>42927</v>
      </c>
      <c r="D637" s="2">
        <v>0.39199074074074075</v>
      </c>
      <c r="E637" s="2">
        <v>0.39934027777777775</v>
      </c>
    </row>
    <row r="638" spans="1:5" x14ac:dyDescent="0.25">
      <c r="A638">
        <v>2109147679</v>
      </c>
      <c r="B638" t="str">
        <f t="shared" si="9"/>
        <v>zagraniczny</v>
      </c>
      <c r="C638" s="1">
        <v>42927</v>
      </c>
      <c r="D638" s="2">
        <v>0.39260416666666664</v>
      </c>
      <c r="E638" s="2">
        <v>0.40322916666666669</v>
      </c>
    </row>
    <row r="639" spans="1:5" x14ac:dyDescent="0.25">
      <c r="A639">
        <v>9967649</v>
      </c>
      <c r="B639" t="str">
        <f t="shared" si="9"/>
        <v>stacjonarny</v>
      </c>
      <c r="C639" s="1">
        <v>42927</v>
      </c>
      <c r="D639" s="2">
        <v>0.39659722222222221</v>
      </c>
      <c r="E639" s="2">
        <v>0.4042824074074074</v>
      </c>
    </row>
    <row r="640" spans="1:5" x14ac:dyDescent="0.25">
      <c r="A640">
        <v>2947660</v>
      </c>
      <c r="B640" t="str">
        <f t="shared" si="9"/>
        <v>stacjonarny</v>
      </c>
      <c r="C640" s="1">
        <v>42927</v>
      </c>
      <c r="D640" s="2">
        <v>0.39817129629629627</v>
      </c>
      <c r="E640" s="2">
        <v>0.4045023148148148</v>
      </c>
    </row>
    <row r="641" spans="1:5" x14ac:dyDescent="0.25">
      <c r="A641">
        <v>6492842</v>
      </c>
      <c r="B641" t="str">
        <f t="shared" si="9"/>
        <v>stacjonarny</v>
      </c>
      <c r="C641" s="1">
        <v>42927</v>
      </c>
      <c r="D641" s="2">
        <v>0.40379629629629632</v>
      </c>
      <c r="E641" s="2">
        <v>0.4100462962962963</v>
      </c>
    </row>
    <row r="642" spans="1:5" x14ac:dyDescent="0.25">
      <c r="A642">
        <v>70730125</v>
      </c>
      <c r="B642" t="str">
        <f t="shared" si="9"/>
        <v>komorkowy</v>
      </c>
      <c r="C642" s="1">
        <v>42927</v>
      </c>
      <c r="D642" s="2">
        <v>0.40777777777777779</v>
      </c>
      <c r="E642" s="2">
        <v>0.4181597222222222</v>
      </c>
    </row>
    <row r="643" spans="1:5" x14ac:dyDescent="0.25">
      <c r="A643">
        <v>4056361</v>
      </c>
      <c r="B643" t="str">
        <f t="shared" ref="B643:B706" si="10">IF(LEN(A643)=7, "stacjonarny", IF(LEN(A643)=8, "komorkowy", "zagraniczny"))</f>
        <v>stacjonarny</v>
      </c>
      <c r="C643" s="1">
        <v>42927</v>
      </c>
      <c r="D643" s="2">
        <v>0.41239583333333335</v>
      </c>
      <c r="E643" s="2">
        <v>0.41844907407407406</v>
      </c>
    </row>
    <row r="644" spans="1:5" x14ac:dyDescent="0.25">
      <c r="A644">
        <v>12721215</v>
      </c>
      <c r="B644" t="str">
        <f t="shared" si="10"/>
        <v>komorkowy</v>
      </c>
      <c r="C644" s="1">
        <v>42927</v>
      </c>
      <c r="D644" s="2">
        <v>0.41431712962962963</v>
      </c>
      <c r="E644" s="2">
        <v>0.41986111111111113</v>
      </c>
    </row>
    <row r="645" spans="1:5" x14ac:dyDescent="0.25">
      <c r="A645">
        <v>4566750</v>
      </c>
      <c r="B645" t="str">
        <f t="shared" si="10"/>
        <v>stacjonarny</v>
      </c>
      <c r="C645" s="1">
        <v>42927</v>
      </c>
      <c r="D645" s="2">
        <v>0.41666666666666669</v>
      </c>
      <c r="E645" s="2">
        <v>0.42190972222222223</v>
      </c>
    </row>
    <row r="646" spans="1:5" x14ac:dyDescent="0.25">
      <c r="A646">
        <v>7279106</v>
      </c>
      <c r="B646" t="str">
        <f t="shared" si="10"/>
        <v>stacjonarny</v>
      </c>
      <c r="C646" s="1">
        <v>42927</v>
      </c>
      <c r="D646" s="2">
        <v>0.41935185185185186</v>
      </c>
      <c r="E646" s="2">
        <v>0.43002314814814813</v>
      </c>
    </row>
    <row r="647" spans="1:5" x14ac:dyDescent="0.25">
      <c r="A647">
        <v>3824660</v>
      </c>
      <c r="B647" t="str">
        <f t="shared" si="10"/>
        <v>stacjonarny</v>
      </c>
      <c r="C647" s="1">
        <v>42927</v>
      </c>
      <c r="D647" s="2">
        <v>0.4238425925925926</v>
      </c>
      <c r="E647" s="2">
        <v>0.4321875</v>
      </c>
    </row>
    <row r="648" spans="1:5" x14ac:dyDescent="0.25">
      <c r="A648">
        <v>5815339</v>
      </c>
      <c r="B648" t="str">
        <f t="shared" si="10"/>
        <v>stacjonarny</v>
      </c>
      <c r="C648" s="1">
        <v>42927</v>
      </c>
      <c r="D648" s="2">
        <v>0.42818287037037039</v>
      </c>
      <c r="E648" s="2">
        <v>0.43273148148148149</v>
      </c>
    </row>
    <row r="649" spans="1:5" x14ac:dyDescent="0.25">
      <c r="A649">
        <v>77946476</v>
      </c>
      <c r="B649" t="str">
        <f t="shared" si="10"/>
        <v>komorkowy</v>
      </c>
      <c r="C649" s="1">
        <v>42927</v>
      </c>
      <c r="D649" s="2">
        <v>0.42995370370370373</v>
      </c>
      <c r="E649" s="2">
        <v>0.43024305555555553</v>
      </c>
    </row>
    <row r="650" spans="1:5" x14ac:dyDescent="0.25">
      <c r="A650">
        <v>84589848</v>
      </c>
      <c r="B650" t="str">
        <f t="shared" si="10"/>
        <v>komorkowy</v>
      </c>
      <c r="C650" s="1">
        <v>42927</v>
      </c>
      <c r="D650" s="2">
        <v>0.43539351851851854</v>
      </c>
      <c r="E650" s="2">
        <v>0.43763888888888891</v>
      </c>
    </row>
    <row r="651" spans="1:5" x14ac:dyDescent="0.25">
      <c r="A651">
        <v>4501823</v>
      </c>
      <c r="B651" t="str">
        <f t="shared" si="10"/>
        <v>stacjonarny</v>
      </c>
      <c r="C651" s="1">
        <v>42927</v>
      </c>
      <c r="D651" s="2">
        <v>0.44013888888888891</v>
      </c>
      <c r="E651" s="2">
        <v>0.44690972222222225</v>
      </c>
    </row>
    <row r="652" spans="1:5" x14ac:dyDescent="0.25">
      <c r="A652">
        <v>38244568</v>
      </c>
      <c r="B652" t="str">
        <f t="shared" si="10"/>
        <v>komorkowy</v>
      </c>
      <c r="C652" s="1">
        <v>42927</v>
      </c>
      <c r="D652" s="2">
        <v>0.44381944444444443</v>
      </c>
      <c r="E652" s="2">
        <v>0.45199074074074075</v>
      </c>
    </row>
    <row r="653" spans="1:5" x14ac:dyDescent="0.25">
      <c r="A653">
        <v>3613950</v>
      </c>
      <c r="B653" t="str">
        <f t="shared" si="10"/>
        <v>stacjonarny</v>
      </c>
      <c r="C653" s="1">
        <v>42927</v>
      </c>
      <c r="D653" s="2">
        <v>0.44657407407407407</v>
      </c>
      <c r="E653" s="2">
        <v>0.44774305555555555</v>
      </c>
    </row>
    <row r="654" spans="1:5" x14ac:dyDescent="0.25">
      <c r="A654">
        <v>5750819</v>
      </c>
      <c r="B654" t="str">
        <f t="shared" si="10"/>
        <v>stacjonarny</v>
      </c>
      <c r="C654" s="1">
        <v>42927</v>
      </c>
      <c r="D654" s="2">
        <v>0.44751157407407405</v>
      </c>
      <c r="E654" s="2">
        <v>0.45284722222222223</v>
      </c>
    </row>
    <row r="655" spans="1:5" x14ac:dyDescent="0.25">
      <c r="A655">
        <v>63291235</v>
      </c>
      <c r="B655" t="str">
        <f t="shared" si="10"/>
        <v>komorkowy</v>
      </c>
      <c r="C655" s="1">
        <v>42927</v>
      </c>
      <c r="D655" s="2">
        <v>0.45091435185185186</v>
      </c>
      <c r="E655" s="2">
        <v>0.45429398148148148</v>
      </c>
    </row>
    <row r="656" spans="1:5" x14ac:dyDescent="0.25">
      <c r="A656">
        <v>3198725</v>
      </c>
      <c r="B656" t="str">
        <f t="shared" si="10"/>
        <v>stacjonarny</v>
      </c>
      <c r="C656" s="1">
        <v>42927</v>
      </c>
      <c r="D656" s="2">
        <v>0.45157407407407407</v>
      </c>
      <c r="E656" s="2">
        <v>0.45738425925925924</v>
      </c>
    </row>
    <row r="657" spans="1:5" x14ac:dyDescent="0.25">
      <c r="A657">
        <v>6248157784</v>
      </c>
      <c r="B657" t="str">
        <f t="shared" si="10"/>
        <v>zagraniczny</v>
      </c>
      <c r="C657" s="1">
        <v>42927</v>
      </c>
      <c r="D657" s="2">
        <v>0.45475694444444442</v>
      </c>
      <c r="E657" s="2">
        <v>0.4566898148148148</v>
      </c>
    </row>
    <row r="658" spans="1:5" x14ac:dyDescent="0.25">
      <c r="A658">
        <v>6607648</v>
      </c>
      <c r="B658" t="str">
        <f t="shared" si="10"/>
        <v>stacjonarny</v>
      </c>
      <c r="C658" s="1">
        <v>42927</v>
      </c>
      <c r="D658" s="2">
        <v>0.45873842592592595</v>
      </c>
      <c r="E658" s="2">
        <v>0.46986111111111112</v>
      </c>
    </row>
    <row r="659" spans="1:5" x14ac:dyDescent="0.25">
      <c r="A659">
        <v>5340881</v>
      </c>
      <c r="B659" t="str">
        <f t="shared" si="10"/>
        <v>stacjonarny</v>
      </c>
      <c r="C659" s="1">
        <v>42927</v>
      </c>
      <c r="D659" s="2">
        <v>0.46413194444444444</v>
      </c>
      <c r="E659" s="2">
        <v>0.46585648148148145</v>
      </c>
    </row>
    <row r="660" spans="1:5" x14ac:dyDescent="0.25">
      <c r="A660">
        <v>99162491</v>
      </c>
      <c r="B660" t="str">
        <f t="shared" si="10"/>
        <v>komorkowy</v>
      </c>
      <c r="C660" s="1">
        <v>42927</v>
      </c>
      <c r="D660" s="2">
        <v>0.46738425925925925</v>
      </c>
      <c r="E660" s="2">
        <v>0.46800925925925924</v>
      </c>
    </row>
    <row r="661" spans="1:5" x14ac:dyDescent="0.25">
      <c r="A661">
        <v>3072421</v>
      </c>
      <c r="B661" t="str">
        <f t="shared" si="10"/>
        <v>stacjonarny</v>
      </c>
      <c r="C661" s="1">
        <v>42927</v>
      </c>
      <c r="D661" s="2">
        <v>0.46942129629629631</v>
      </c>
      <c r="E661" s="2">
        <v>0.47766203703703702</v>
      </c>
    </row>
    <row r="662" spans="1:5" x14ac:dyDescent="0.25">
      <c r="A662">
        <v>1909553</v>
      </c>
      <c r="B662" t="str">
        <f t="shared" si="10"/>
        <v>stacjonarny</v>
      </c>
      <c r="C662" s="1">
        <v>42927</v>
      </c>
      <c r="D662" s="2">
        <v>0.47193287037037035</v>
      </c>
      <c r="E662" s="2">
        <v>0.47763888888888889</v>
      </c>
    </row>
    <row r="663" spans="1:5" x14ac:dyDescent="0.25">
      <c r="A663">
        <v>62836073</v>
      </c>
      <c r="B663" t="str">
        <f t="shared" si="10"/>
        <v>komorkowy</v>
      </c>
      <c r="C663" s="1">
        <v>42927</v>
      </c>
      <c r="D663" s="2">
        <v>0.47739583333333335</v>
      </c>
      <c r="E663" s="2">
        <v>0.48168981481481482</v>
      </c>
    </row>
    <row r="664" spans="1:5" x14ac:dyDescent="0.25">
      <c r="A664">
        <v>9566647</v>
      </c>
      <c r="B664" t="str">
        <f t="shared" si="10"/>
        <v>stacjonarny</v>
      </c>
      <c r="C664" s="1">
        <v>42927</v>
      </c>
      <c r="D664" s="2">
        <v>0.48005787037037034</v>
      </c>
      <c r="E664" s="2">
        <v>0.48971064814814813</v>
      </c>
    </row>
    <row r="665" spans="1:5" x14ac:dyDescent="0.25">
      <c r="A665">
        <v>5833452</v>
      </c>
      <c r="B665" t="str">
        <f t="shared" si="10"/>
        <v>stacjonarny</v>
      </c>
      <c r="C665" s="1">
        <v>42927</v>
      </c>
      <c r="D665" s="2">
        <v>0.48511574074074076</v>
      </c>
      <c r="E665" s="2">
        <v>0.49502314814814813</v>
      </c>
    </row>
    <row r="666" spans="1:5" x14ac:dyDescent="0.25">
      <c r="A666">
        <v>10760583</v>
      </c>
      <c r="B666" t="str">
        <f t="shared" si="10"/>
        <v>komorkowy</v>
      </c>
      <c r="C666" s="1">
        <v>42927</v>
      </c>
      <c r="D666" s="2">
        <v>0.48994212962962963</v>
      </c>
      <c r="E666" s="2">
        <v>0.4914351851851852</v>
      </c>
    </row>
    <row r="667" spans="1:5" x14ac:dyDescent="0.25">
      <c r="A667">
        <v>39669014</v>
      </c>
      <c r="B667" t="str">
        <f t="shared" si="10"/>
        <v>komorkowy</v>
      </c>
      <c r="C667" s="1">
        <v>42927</v>
      </c>
      <c r="D667" s="2">
        <v>0.49035879629629631</v>
      </c>
      <c r="E667" s="2">
        <v>0.49082175925925925</v>
      </c>
    </row>
    <row r="668" spans="1:5" x14ac:dyDescent="0.25">
      <c r="A668">
        <v>5147651</v>
      </c>
      <c r="B668" t="str">
        <f t="shared" si="10"/>
        <v>stacjonarny</v>
      </c>
      <c r="C668" s="1">
        <v>42927</v>
      </c>
      <c r="D668" s="2">
        <v>0.49399305555555556</v>
      </c>
      <c r="E668" s="2">
        <v>0.4959027777777778</v>
      </c>
    </row>
    <row r="669" spans="1:5" x14ac:dyDescent="0.25">
      <c r="A669">
        <v>41144838</v>
      </c>
      <c r="B669" t="str">
        <f t="shared" si="10"/>
        <v>komorkowy</v>
      </c>
      <c r="C669" s="1">
        <v>42927</v>
      </c>
      <c r="D669" s="2">
        <v>0.49949074074074074</v>
      </c>
      <c r="E669" s="2">
        <v>0.50931712962962961</v>
      </c>
    </row>
    <row r="670" spans="1:5" x14ac:dyDescent="0.25">
      <c r="A670">
        <v>1332513</v>
      </c>
      <c r="B670" t="str">
        <f t="shared" si="10"/>
        <v>stacjonarny</v>
      </c>
      <c r="C670" s="1">
        <v>42927</v>
      </c>
      <c r="D670" s="2">
        <v>0.50326388888888884</v>
      </c>
      <c r="E670" s="2">
        <v>0.50407407407407412</v>
      </c>
    </row>
    <row r="671" spans="1:5" x14ac:dyDescent="0.25">
      <c r="A671">
        <v>7743548</v>
      </c>
      <c r="B671" t="str">
        <f t="shared" si="10"/>
        <v>stacjonarny</v>
      </c>
      <c r="C671" s="1">
        <v>42927</v>
      </c>
      <c r="D671" s="2">
        <v>0.50376157407407407</v>
      </c>
      <c r="E671" s="2">
        <v>0.50907407407407412</v>
      </c>
    </row>
    <row r="672" spans="1:5" x14ac:dyDescent="0.25">
      <c r="A672">
        <v>7451541965</v>
      </c>
      <c r="B672" t="str">
        <f t="shared" si="10"/>
        <v>zagraniczny</v>
      </c>
      <c r="C672" s="1">
        <v>42927</v>
      </c>
      <c r="D672" s="2">
        <v>0.50866898148148143</v>
      </c>
      <c r="E672" s="2">
        <v>0.51324074074074078</v>
      </c>
    </row>
    <row r="673" spans="1:5" x14ac:dyDescent="0.25">
      <c r="A673">
        <v>2109147679</v>
      </c>
      <c r="B673" t="str">
        <f t="shared" si="10"/>
        <v>zagraniczny</v>
      </c>
      <c r="C673" s="1">
        <v>42927</v>
      </c>
      <c r="D673" s="2">
        <v>0.51282407407407404</v>
      </c>
      <c r="E673" s="2">
        <v>0.51666666666666672</v>
      </c>
    </row>
    <row r="674" spans="1:5" x14ac:dyDescent="0.25">
      <c r="A674">
        <v>5022247</v>
      </c>
      <c r="B674" t="str">
        <f t="shared" si="10"/>
        <v>stacjonarny</v>
      </c>
      <c r="C674" s="1">
        <v>42927</v>
      </c>
      <c r="D674" s="2">
        <v>0.51854166666666668</v>
      </c>
      <c r="E674" s="2">
        <v>0.52810185185185188</v>
      </c>
    </row>
    <row r="675" spans="1:5" x14ac:dyDescent="0.25">
      <c r="A675">
        <v>2920581</v>
      </c>
      <c r="B675" t="str">
        <f t="shared" si="10"/>
        <v>stacjonarny</v>
      </c>
      <c r="C675" s="1">
        <v>42927</v>
      </c>
      <c r="D675" s="2">
        <v>0.52399305555555553</v>
      </c>
      <c r="E675" s="2">
        <v>0.53120370370370373</v>
      </c>
    </row>
    <row r="676" spans="1:5" x14ac:dyDescent="0.25">
      <c r="A676">
        <v>7126980</v>
      </c>
      <c r="B676" t="str">
        <f t="shared" si="10"/>
        <v>stacjonarny</v>
      </c>
      <c r="C676" s="1">
        <v>42927</v>
      </c>
      <c r="D676" s="2">
        <v>0.52592592592592591</v>
      </c>
      <c r="E676" s="2">
        <v>0.53515046296296298</v>
      </c>
    </row>
    <row r="677" spans="1:5" x14ac:dyDescent="0.25">
      <c r="A677">
        <v>54006070</v>
      </c>
      <c r="B677" t="str">
        <f t="shared" si="10"/>
        <v>komorkowy</v>
      </c>
      <c r="C677" s="1">
        <v>42927</v>
      </c>
      <c r="D677" s="2">
        <v>0.53164351851851854</v>
      </c>
      <c r="E677" s="2">
        <v>0.53324074074074079</v>
      </c>
    </row>
    <row r="678" spans="1:5" x14ac:dyDescent="0.25">
      <c r="A678">
        <v>8672651</v>
      </c>
      <c r="B678" t="str">
        <f t="shared" si="10"/>
        <v>stacjonarny</v>
      </c>
      <c r="C678" s="1">
        <v>42927</v>
      </c>
      <c r="D678" s="2">
        <v>0.53401620370370373</v>
      </c>
      <c r="E678" s="2">
        <v>0.54462962962962957</v>
      </c>
    </row>
    <row r="679" spans="1:5" x14ac:dyDescent="0.25">
      <c r="A679">
        <v>54136845</v>
      </c>
      <c r="B679" t="str">
        <f t="shared" si="10"/>
        <v>komorkowy</v>
      </c>
      <c r="C679" s="1">
        <v>42927</v>
      </c>
      <c r="D679" s="2">
        <v>0.53920138888888891</v>
      </c>
      <c r="E679" s="2">
        <v>0.54092592592592592</v>
      </c>
    </row>
    <row r="680" spans="1:5" x14ac:dyDescent="0.25">
      <c r="A680">
        <v>5223970</v>
      </c>
      <c r="B680" t="str">
        <f t="shared" si="10"/>
        <v>stacjonarny</v>
      </c>
      <c r="C680" s="1">
        <v>42927</v>
      </c>
      <c r="D680" s="2">
        <v>0.53920138888888891</v>
      </c>
      <c r="E680" s="2">
        <v>0.55046296296296293</v>
      </c>
    </row>
    <row r="681" spans="1:5" x14ac:dyDescent="0.25">
      <c r="A681">
        <v>4264808</v>
      </c>
      <c r="B681" t="str">
        <f t="shared" si="10"/>
        <v>stacjonarny</v>
      </c>
      <c r="C681" s="1">
        <v>42927</v>
      </c>
      <c r="D681" s="2">
        <v>0.53950231481481481</v>
      </c>
      <c r="E681" s="2">
        <v>0.55071759259259256</v>
      </c>
    </row>
    <row r="682" spans="1:5" x14ac:dyDescent="0.25">
      <c r="A682">
        <v>5790304</v>
      </c>
      <c r="B682" t="str">
        <f t="shared" si="10"/>
        <v>stacjonarny</v>
      </c>
      <c r="C682" s="1">
        <v>42927</v>
      </c>
      <c r="D682" s="2">
        <v>0.539525462962963</v>
      </c>
      <c r="E682" s="2">
        <v>0.54025462962962967</v>
      </c>
    </row>
    <row r="683" spans="1:5" x14ac:dyDescent="0.25">
      <c r="A683">
        <v>13484133</v>
      </c>
      <c r="B683" t="str">
        <f t="shared" si="10"/>
        <v>komorkowy</v>
      </c>
      <c r="C683" s="1">
        <v>42927</v>
      </c>
      <c r="D683" s="2">
        <v>0.54137731481481477</v>
      </c>
      <c r="E683" s="2">
        <v>0.54577546296296298</v>
      </c>
    </row>
    <row r="684" spans="1:5" x14ac:dyDescent="0.25">
      <c r="A684">
        <v>6269166</v>
      </c>
      <c r="B684" t="str">
        <f t="shared" si="10"/>
        <v>stacjonarny</v>
      </c>
      <c r="C684" s="1">
        <v>42927</v>
      </c>
      <c r="D684" s="2">
        <v>0.54408564814814819</v>
      </c>
      <c r="E684" s="2">
        <v>0.55355324074074075</v>
      </c>
    </row>
    <row r="685" spans="1:5" x14ac:dyDescent="0.25">
      <c r="A685">
        <v>5089019</v>
      </c>
      <c r="B685" t="str">
        <f t="shared" si="10"/>
        <v>stacjonarny</v>
      </c>
      <c r="C685" s="1">
        <v>42927</v>
      </c>
      <c r="D685" s="2">
        <v>0.54431712962962964</v>
      </c>
      <c r="E685" s="2">
        <v>0.54921296296296296</v>
      </c>
    </row>
    <row r="686" spans="1:5" x14ac:dyDescent="0.25">
      <c r="A686">
        <v>6994188</v>
      </c>
      <c r="B686" t="str">
        <f t="shared" si="10"/>
        <v>stacjonarny</v>
      </c>
      <c r="C686" s="1">
        <v>42927</v>
      </c>
      <c r="D686" s="2">
        <v>0.54797453703703702</v>
      </c>
      <c r="E686" s="2">
        <v>0.55550925925925931</v>
      </c>
    </row>
    <row r="687" spans="1:5" x14ac:dyDescent="0.25">
      <c r="A687">
        <v>16883712</v>
      </c>
      <c r="B687" t="str">
        <f t="shared" si="10"/>
        <v>komorkowy</v>
      </c>
      <c r="C687" s="1">
        <v>42927</v>
      </c>
      <c r="D687" s="2">
        <v>0.55070601851851853</v>
      </c>
      <c r="E687" s="2">
        <v>0.55662037037037038</v>
      </c>
    </row>
    <row r="688" spans="1:5" x14ac:dyDescent="0.25">
      <c r="A688">
        <v>2781512</v>
      </c>
      <c r="B688" t="str">
        <f t="shared" si="10"/>
        <v>stacjonarny</v>
      </c>
      <c r="C688" s="1">
        <v>42927</v>
      </c>
      <c r="D688" s="2">
        <v>0.55374999999999996</v>
      </c>
      <c r="E688" s="2">
        <v>0.56312499999999999</v>
      </c>
    </row>
    <row r="689" spans="1:5" x14ac:dyDescent="0.25">
      <c r="A689">
        <v>4273704</v>
      </c>
      <c r="B689" t="str">
        <f t="shared" si="10"/>
        <v>stacjonarny</v>
      </c>
      <c r="C689" s="1">
        <v>42927</v>
      </c>
      <c r="D689" s="2">
        <v>0.554224537037037</v>
      </c>
      <c r="E689" s="2">
        <v>0.56221064814814814</v>
      </c>
    </row>
    <row r="690" spans="1:5" x14ac:dyDescent="0.25">
      <c r="A690">
        <v>3707498</v>
      </c>
      <c r="B690" t="str">
        <f t="shared" si="10"/>
        <v>stacjonarny</v>
      </c>
      <c r="C690" s="1">
        <v>42927</v>
      </c>
      <c r="D690" s="2">
        <v>0.55982638888888892</v>
      </c>
      <c r="E690" s="2">
        <v>0.56802083333333331</v>
      </c>
    </row>
    <row r="691" spans="1:5" x14ac:dyDescent="0.25">
      <c r="A691">
        <v>3407358</v>
      </c>
      <c r="B691" t="str">
        <f t="shared" si="10"/>
        <v>stacjonarny</v>
      </c>
      <c r="C691" s="1">
        <v>42927</v>
      </c>
      <c r="D691" s="2">
        <v>0.56560185185185186</v>
      </c>
      <c r="E691" s="2">
        <v>0.56677083333333333</v>
      </c>
    </row>
    <row r="692" spans="1:5" x14ac:dyDescent="0.25">
      <c r="A692">
        <v>5251861</v>
      </c>
      <c r="B692" t="str">
        <f t="shared" si="10"/>
        <v>stacjonarny</v>
      </c>
      <c r="C692" s="1">
        <v>42927</v>
      </c>
      <c r="D692" s="2">
        <v>0.56940972222222219</v>
      </c>
      <c r="E692" s="2">
        <v>0.57149305555555552</v>
      </c>
    </row>
    <row r="693" spans="1:5" x14ac:dyDescent="0.25">
      <c r="A693">
        <v>7473070</v>
      </c>
      <c r="B693" t="str">
        <f t="shared" si="10"/>
        <v>stacjonarny</v>
      </c>
      <c r="C693" s="1">
        <v>42927</v>
      </c>
      <c r="D693" s="2">
        <v>0.57185185185185183</v>
      </c>
      <c r="E693" s="2">
        <v>0.58304398148148151</v>
      </c>
    </row>
    <row r="694" spans="1:5" x14ac:dyDescent="0.25">
      <c r="A694">
        <v>3596504</v>
      </c>
      <c r="B694" t="str">
        <f t="shared" si="10"/>
        <v>stacjonarny</v>
      </c>
      <c r="C694" s="1">
        <v>42927</v>
      </c>
      <c r="D694" s="2">
        <v>0.57592592592592595</v>
      </c>
      <c r="E694" s="2">
        <v>0.58302083333333332</v>
      </c>
    </row>
    <row r="695" spans="1:5" x14ac:dyDescent="0.25">
      <c r="A695">
        <v>9620982</v>
      </c>
      <c r="B695" t="str">
        <f t="shared" si="10"/>
        <v>stacjonarny</v>
      </c>
      <c r="C695" s="1">
        <v>42927</v>
      </c>
      <c r="D695" s="2">
        <v>0.57593749999999999</v>
      </c>
      <c r="E695" s="2">
        <v>0.58310185185185182</v>
      </c>
    </row>
    <row r="696" spans="1:5" x14ac:dyDescent="0.25">
      <c r="A696">
        <v>93696449</v>
      </c>
      <c r="B696" t="str">
        <f t="shared" si="10"/>
        <v>komorkowy</v>
      </c>
      <c r="C696" s="1">
        <v>42927</v>
      </c>
      <c r="D696" s="2">
        <v>0.57939814814814816</v>
      </c>
      <c r="E696" s="2">
        <v>0.5795717592592593</v>
      </c>
    </row>
    <row r="697" spans="1:5" x14ac:dyDescent="0.25">
      <c r="A697">
        <v>6833658</v>
      </c>
      <c r="B697" t="str">
        <f t="shared" si="10"/>
        <v>stacjonarny</v>
      </c>
      <c r="C697" s="1">
        <v>42927</v>
      </c>
      <c r="D697" s="2">
        <v>0.5823842592592593</v>
      </c>
      <c r="E697" s="2">
        <v>0.58479166666666671</v>
      </c>
    </row>
    <row r="698" spans="1:5" x14ac:dyDescent="0.25">
      <c r="A698">
        <v>85422307</v>
      </c>
      <c r="B698" t="str">
        <f t="shared" si="10"/>
        <v>komorkowy</v>
      </c>
      <c r="C698" s="1">
        <v>42927</v>
      </c>
      <c r="D698" s="2">
        <v>0.58656249999999999</v>
      </c>
      <c r="E698" s="2">
        <v>0.59008101851851846</v>
      </c>
    </row>
    <row r="699" spans="1:5" x14ac:dyDescent="0.25">
      <c r="A699">
        <v>6191682</v>
      </c>
      <c r="B699" t="str">
        <f t="shared" si="10"/>
        <v>stacjonarny</v>
      </c>
      <c r="C699" s="1">
        <v>42927</v>
      </c>
      <c r="D699" s="2">
        <v>0.58711805555555552</v>
      </c>
      <c r="E699" s="2">
        <v>0.59739583333333335</v>
      </c>
    </row>
    <row r="700" spans="1:5" x14ac:dyDescent="0.25">
      <c r="A700">
        <v>6461167</v>
      </c>
      <c r="B700" t="str">
        <f t="shared" si="10"/>
        <v>stacjonarny</v>
      </c>
      <c r="C700" s="1">
        <v>42927</v>
      </c>
      <c r="D700" s="2">
        <v>0.5889699074074074</v>
      </c>
      <c r="E700" s="2">
        <v>0.59409722222222228</v>
      </c>
    </row>
    <row r="701" spans="1:5" x14ac:dyDescent="0.25">
      <c r="A701">
        <v>8270097</v>
      </c>
      <c r="B701" t="str">
        <f t="shared" si="10"/>
        <v>stacjonarny</v>
      </c>
      <c r="C701" s="1">
        <v>42927</v>
      </c>
      <c r="D701" s="2">
        <v>0.5900347222222222</v>
      </c>
      <c r="E701" s="2">
        <v>0.59217592592592594</v>
      </c>
    </row>
    <row r="702" spans="1:5" x14ac:dyDescent="0.25">
      <c r="A702">
        <v>8982137</v>
      </c>
      <c r="B702" t="str">
        <f t="shared" si="10"/>
        <v>stacjonarny</v>
      </c>
      <c r="C702" s="1">
        <v>42927</v>
      </c>
      <c r="D702" s="2">
        <v>0.59010416666666665</v>
      </c>
      <c r="E702" s="2">
        <v>0.59864583333333332</v>
      </c>
    </row>
    <row r="703" spans="1:5" x14ac:dyDescent="0.25">
      <c r="A703">
        <v>47677051</v>
      </c>
      <c r="B703" t="str">
        <f t="shared" si="10"/>
        <v>komorkowy</v>
      </c>
      <c r="C703" s="1">
        <v>42927</v>
      </c>
      <c r="D703" s="2">
        <v>0.59370370370370373</v>
      </c>
      <c r="E703" s="2">
        <v>0.60396990740740741</v>
      </c>
    </row>
    <row r="704" spans="1:5" x14ac:dyDescent="0.25">
      <c r="A704">
        <v>76139570</v>
      </c>
      <c r="B704" t="str">
        <f t="shared" si="10"/>
        <v>komorkowy</v>
      </c>
      <c r="C704" s="1">
        <v>42927</v>
      </c>
      <c r="D704" s="2">
        <v>0.59593750000000001</v>
      </c>
      <c r="E704" s="2">
        <v>0.6004976851851852</v>
      </c>
    </row>
    <row r="705" spans="1:5" x14ac:dyDescent="0.25">
      <c r="A705">
        <v>62016185</v>
      </c>
      <c r="B705" t="str">
        <f t="shared" si="10"/>
        <v>komorkowy</v>
      </c>
      <c r="C705" s="1">
        <v>42927</v>
      </c>
      <c r="D705" s="2">
        <v>0.60037037037037033</v>
      </c>
      <c r="E705" s="2">
        <v>0.60719907407407403</v>
      </c>
    </row>
    <row r="706" spans="1:5" x14ac:dyDescent="0.25">
      <c r="A706">
        <v>93696449</v>
      </c>
      <c r="B706" t="str">
        <f t="shared" si="10"/>
        <v>komorkowy</v>
      </c>
      <c r="C706" s="1">
        <v>42927</v>
      </c>
      <c r="D706" s="2">
        <v>0.60077546296296291</v>
      </c>
      <c r="E706" s="2">
        <v>0.60853009259259261</v>
      </c>
    </row>
    <row r="707" spans="1:5" x14ac:dyDescent="0.25">
      <c r="A707">
        <v>7914439</v>
      </c>
      <c r="B707" t="str">
        <f t="shared" ref="B707:B770" si="11">IF(LEN(A707)=7, "stacjonarny", IF(LEN(A707)=8, "komorkowy", "zagraniczny"))</f>
        <v>stacjonarny</v>
      </c>
      <c r="C707" s="1">
        <v>42927</v>
      </c>
      <c r="D707" s="2">
        <v>0.60320601851851852</v>
      </c>
      <c r="E707" s="2">
        <v>0.61459490740740741</v>
      </c>
    </row>
    <row r="708" spans="1:5" x14ac:dyDescent="0.25">
      <c r="A708">
        <v>38047574</v>
      </c>
      <c r="B708" t="str">
        <f t="shared" si="11"/>
        <v>komorkowy</v>
      </c>
      <c r="C708" s="1">
        <v>42927</v>
      </c>
      <c r="D708" s="2">
        <v>0.60721064814814818</v>
      </c>
      <c r="E708" s="2">
        <v>0.61490740740740746</v>
      </c>
    </row>
    <row r="709" spans="1:5" x14ac:dyDescent="0.25">
      <c r="A709">
        <v>3184339</v>
      </c>
      <c r="B709" t="str">
        <f t="shared" si="11"/>
        <v>stacjonarny</v>
      </c>
      <c r="C709" s="1">
        <v>42927</v>
      </c>
      <c r="D709" s="2">
        <v>0.61179398148148145</v>
      </c>
      <c r="E709" s="2">
        <v>0.61260416666666662</v>
      </c>
    </row>
    <row r="710" spans="1:5" x14ac:dyDescent="0.25">
      <c r="A710">
        <v>8126744698</v>
      </c>
      <c r="B710" t="str">
        <f t="shared" si="11"/>
        <v>zagraniczny</v>
      </c>
      <c r="C710" s="1">
        <v>42927</v>
      </c>
      <c r="D710" s="2">
        <v>0.61664351851851851</v>
      </c>
      <c r="E710" s="2">
        <v>0.61856481481481485</v>
      </c>
    </row>
    <row r="711" spans="1:5" x14ac:dyDescent="0.25">
      <c r="A711">
        <v>52391912</v>
      </c>
      <c r="B711" t="str">
        <f t="shared" si="11"/>
        <v>komorkowy</v>
      </c>
      <c r="C711" s="1">
        <v>42927</v>
      </c>
      <c r="D711" s="2">
        <v>0.62067129629629625</v>
      </c>
      <c r="E711" s="2">
        <v>0.62475694444444441</v>
      </c>
    </row>
    <row r="712" spans="1:5" x14ac:dyDescent="0.25">
      <c r="A712">
        <v>1223943</v>
      </c>
      <c r="B712" t="str">
        <f t="shared" si="11"/>
        <v>stacjonarny</v>
      </c>
      <c r="C712" s="1">
        <v>42927</v>
      </c>
      <c r="D712" s="2">
        <v>0.6252199074074074</v>
      </c>
      <c r="E712" s="2">
        <v>0.63226851851851851</v>
      </c>
    </row>
    <row r="713" spans="1:5" x14ac:dyDescent="0.25">
      <c r="A713">
        <v>14201334</v>
      </c>
      <c r="B713" t="str">
        <f t="shared" si="11"/>
        <v>komorkowy</v>
      </c>
      <c r="C713" s="1">
        <v>42928</v>
      </c>
      <c r="D713" s="2">
        <v>0.33568287037037037</v>
      </c>
      <c r="E713" s="2">
        <v>0.34125</v>
      </c>
    </row>
    <row r="714" spans="1:5" x14ac:dyDescent="0.25">
      <c r="A714">
        <v>1972250241</v>
      </c>
      <c r="B714" t="str">
        <f t="shared" si="11"/>
        <v>zagraniczny</v>
      </c>
      <c r="C714" s="1">
        <v>42928</v>
      </c>
      <c r="D714" s="2">
        <v>0.33716435185185184</v>
      </c>
      <c r="E714" s="2">
        <v>0.33778935185185183</v>
      </c>
    </row>
    <row r="715" spans="1:5" x14ac:dyDescent="0.25">
      <c r="A715">
        <v>3028093</v>
      </c>
      <c r="B715" t="str">
        <f t="shared" si="11"/>
        <v>stacjonarny</v>
      </c>
      <c r="C715" s="1">
        <v>42928</v>
      </c>
      <c r="D715" s="2">
        <v>0.34185185185185185</v>
      </c>
      <c r="E715" s="2">
        <v>0.34375</v>
      </c>
    </row>
    <row r="716" spans="1:5" x14ac:dyDescent="0.25">
      <c r="A716">
        <v>27487200</v>
      </c>
      <c r="B716" t="str">
        <f t="shared" si="11"/>
        <v>komorkowy</v>
      </c>
      <c r="C716" s="1">
        <v>42928</v>
      </c>
      <c r="D716" s="2">
        <v>0.34646990740740741</v>
      </c>
      <c r="E716" s="2">
        <v>0.3550462962962963</v>
      </c>
    </row>
    <row r="717" spans="1:5" x14ac:dyDescent="0.25">
      <c r="A717">
        <v>7377702</v>
      </c>
      <c r="B717" t="str">
        <f t="shared" si="11"/>
        <v>stacjonarny</v>
      </c>
      <c r="C717" s="1">
        <v>42928</v>
      </c>
      <c r="D717" s="2">
        <v>0.34722222222222221</v>
      </c>
      <c r="E717" s="2">
        <v>0.3532986111111111</v>
      </c>
    </row>
    <row r="718" spans="1:5" x14ac:dyDescent="0.25">
      <c r="A718">
        <v>9294571</v>
      </c>
      <c r="B718" t="str">
        <f t="shared" si="11"/>
        <v>stacjonarny</v>
      </c>
      <c r="C718" s="1">
        <v>42928</v>
      </c>
      <c r="D718" s="2">
        <v>0.35115740740740742</v>
      </c>
      <c r="E718" s="2">
        <v>0.35447916666666668</v>
      </c>
    </row>
    <row r="719" spans="1:5" x14ac:dyDescent="0.25">
      <c r="A719">
        <v>6865106</v>
      </c>
      <c r="B719" t="str">
        <f t="shared" si="11"/>
        <v>stacjonarny</v>
      </c>
      <c r="C719" s="1">
        <v>42928</v>
      </c>
      <c r="D719" s="2">
        <v>0.35636574074074073</v>
      </c>
      <c r="E719" s="2">
        <v>0.36511574074074077</v>
      </c>
    </row>
    <row r="720" spans="1:5" x14ac:dyDescent="0.25">
      <c r="A720">
        <v>62086163</v>
      </c>
      <c r="B720" t="str">
        <f t="shared" si="11"/>
        <v>komorkowy</v>
      </c>
      <c r="C720" s="1">
        <v>42928</v>
      </c>
      <c r="D720" s="2">
        <v>0.36060185185185184</v>
      </c>
      <c r="E720" s="2">
        <v>0.36312499999999998</v>
      </c>
    </row>
    <row r="721" spans="1:5" x14ac:dyDescent="0.25">
      <c r="A721">
        <v>6367284</v>
      </c>
      <c r="B721" t="str">
        <f t="shared" si="11"/>
        <v>stacjonarny</v>
      </c>
      <c r="C721" s="1">
        <v>42928</v>
      </c>
      <c r="D721" s="2">
        <v>0.36519675925925926</v>
      </c>
      <c r="E721" s="2">
        <v>0.36751157407407409</v>
      </c>
    </row>
    <row r="722" spans="1:5" x14ac:dyDescent="0.25">
      <c r="A722">
        <v>1811630</v>
      </c>
      <c r="B722" t="str">
        <f t="shared" si="11"/>
        <v>stacjonarny</v>
      </c>
      <c r="C722" s="1">
        <v>42928</v>
      </c>
      <c r="D722" s="2">
        <v>0.36787037037037035</v>
      </c>
      <c r="E722" s="2">
        <v>0.36855324074074075</v>
      </c>
    </row>
    <row r="723" spans="1:5" x14ac:dyDescent="0.25">
      <c r="A723">
        <v>9346036178</v>
      </c>
      <c r="B723" t="str">
        <f t="shared" si="11"/>
        <v>zagraniczny</v>
      </c>
      <c r="C723" s="1">
        <v>42928</v>
      </c>
      <c r="D723" s="2">
        <v>0.37017361111111113</v>
      </c>
      <c r="E723" s="2">
        <v>0.38035879629629632</v>
      </c>
    </row>
    <row r="724" spans="1:5" x14ac:dyDescent="0.25">
      <c r="A724">
        <v>1138033</v>
      </c>
      <c r="B724" t="str">
        <f t="shared" si="11"/>
        <v>stacjonarny</v>
      </c>
      <c r="C724" s="1">
        <v>42928</v>
      </c>
      <c r="D724" s="2">
        <v>0.37504629629629632</v>
      </c>
      <c r="E724" s="2">
        <v>0.37731481481481483</v>
      </c>
    </row>
    <row r="725" spans="1:5" x14ac:dyDescent="0.25">
      <c r="A725">
        <v>2114812</v>
      </c>
      <c r="B725" t="str">
        <f t="shared" si="11"/>
        <v>stacjonarny</v>
      </c>
      <c r="C725" s="1">
        <v>42928</v>
      </c>
      <c r="D725" s="2">
        <v>0.37615740740740738</v>
      </c>
      <c r="E725" s="2">
        <v>0.38158564814814816</v>
      </c>
    </row>
    <row r="726" spans="1:5" x14ac:dyDescent="0.25">
      <c r="A726">
        <v>4195677</v>
      </c>
      <c r="B726" t="str">
        <f t="shared" si="11"/>
        <v>stacjonarny</v>
      </c>
      <c r="C726" s="1">
        <v>42928</v>
      </c>
      <c r="D726" s="2">
        <v>0.37644675925925924</v>
      </c>
      <c r="E726" s="2">
        <v>0.38192129629629629</v>
      </c>
    </row>
    <row r="727" spans="1:5" x14ac:dyDescent="0.25">
      <c r="A727">
        <v>3493348</v>
      </c>
      <c r="B727" t="str">
        <f t="shared" si="11"/>
        <v>stacjonarny</v>
      </c>
      <c r="C727" s="1">
        <v>42928</v>
      </c>
      <c r="D727" s="2">
        <v>0.37934027777777779</v>
      </c>
      <c r="E727" s="2">
        <v>0.38925925925925925</v>
      </c>
    </row>
    <row r="728" spans="1:5" x14ac:dyDescent="0.25">
      <c r="A728">
        <v>6005020</v>
      </c>
      <c r="B728" t="str">
        <f t="shared" si="11"/>
        <v>stacjonarny</v>
      </c>
      <c r="C728" s="1">
        <v>42928</v>
      </c>
      <c r="D728" s="2">
        <v>0.38046296296296295</v>
      </c>
      <c r="E728" s="2">
        <v>0.38739583333333333</v>
      </c>
    </row>
    <row r="729" spans="1:5" x14ac:dyDescent="0.25">
      <c r="A729">
        <v>7421868</v>
      </c>
      <c r="B729" t="str">
        <f t="shared" si="11"/>
        <v>stacjonarny</v>
      </c>
      <c r="C729" s="1">
        <v>42928</v>
      </c>
      <c r="D729" s="2">
        <v>0.38292824074074072</v>
      </c>
      <c r="E729" s="2">
        <v>0.38613425925925926</v>
      </c>
    </row>
    <row r="730" spans="1:5" x14ac:dyDescent="0.25">
      <c r="A730">
        <v>2227803</v>
      </c>
      <c r="B730" t="str">
        <f t="shared" si="11"/>
        <v>stacjonarny</v>
      </c>
      <c r="C730" s="1">
        <v>42928</v>
      </c>
      <c r="D730" s="2">
        <v>0.38317129629629632</v>
      </c>
      <c r="E730" s="2">
        <v>0.39157407407407407</v>
      </c>
    </row>
    <row r="731" spans="1:5" x14ac:dyDescent="0.25">
      <c r="A731">
        <v>4007464</v>
      </c>
      <c r="B731" t="str">
        <f t="shared" si="11"/>
        <v>stacjonarny</v>
      </c>
      <c r="C731" s="1">
        <v>42928</v>
      </c>
      <c r="D731" s="2">
        <v>0.38767361111111109</v>
      </c>
      <c r="E731" s="2">
        <v>0.38848379629629631</v>
      </c>
    </row>
    <row r="732" spans="1:5" x14ac:dyDescent="0.25">
      <c r="A732">
        <v>54713807</v>
      </c>
      <c r="B732" t="str">
        <f t="shared" si="11"/>
        <v>komorkowy</v>
      </c>
      <c r="C732" s="1">
        <v>42928</v>
      </c>
      <c r="D732" s="2">
        <v>0.38968750000000002</v>
      </c>
      <c r="E732" s="2">
        <v>0.39152777777777775</v>
      </c>
    </row>
    <row r="733" spans="1:5" x14ac:dyDescent="0.25">
      <c r="A733">
        <v>7097883</v>
      </c>
      <c r="B733" t="str">
        <f t="shared" si="11"/>
        <v>stacjonarny</v>
      </c>
      <c r="C733" s="1">
        <v>42928</v>
      </c>
      <c r="D733" s="2">
        <v>0.39206018518518521</v>
      </c>
      <c r="E733" s="2">
        <v>0.39436342592592594</v>
      </c>
    </row>
    <row r="734" spans="1:5" x14ac:dyDescent="0.25">
      <c r="A734">
        <v>48630026</v>
      </c>
      <c r="B734" t="str">
        <f t="shared" si="11"/>
        <v>komorkowy</v>
      </c>
      <c r="C734" s="1">
        <v>42928</v>
      </c>
      <c r="D734" s="2">
        <v>0.39709490740740738</v>
      </c>
      <c r="E734" s="2">
        <v>0.40651620370370373</v>
      </c>
    </row>
    <row r="735" spans="1:5" x14ac:dyDescent="0.25">
      <c r="A735">
        <v>1279245</v>
      </c>
      <c r="B735" t="str">
        <f t="shared" si="11"/>
        <v>stacjonarny</v>
      </c>
      <c r="C735" s="1">
        <v>42928</v>
      </c>
      <c r="D735" s="2">
        <v>0.40247685185185184</v>
      </c>
      <c r="E735" s="2">
        <v>0.40831018518518519</v>
      </c>
    </row>
    <row r="736" spans="1:5" x14ac:dyDescent="0.25">
      <c r="A736">
        <v>2571251</v>
      </c>
      <c r="B736" t="str">
        <f t="shared" si="11"/>
        <v>stacjonarny</v>
      </c>
      <c r="C736" s="1">
        <v>42928</v>
      </c>
      <c r="D736" s="2">
        <v>0.40822916666666664</v>
      </c>
      <c r="E736" s="2">
        <v>0.41586805555555556</v>
      </c>
    </row>
    <row r="737" spans="1:5" x14ac:dyDescent="0.25">
      <c r="A737">
        <v>9566647</v>
      </c>
      <c r="B737" t="str">
        <f t="shared" si="11"/>
        <v>stacjonarny</v>
      </c>
      <c r="C737" s="1">
        <v>42928</v>
      </c>
      <c r="D737" s="2">
        <v>0.40881944444444446</v>
      </c>
      <c r="E737" s="2">
        <v>0.40950231481481481</v>
      </c>
    </row>
    <row r="738" spans="1:5" x14ac:dyDescent="0.25">
      <c r="A738">
        <v>1454555</v>
      </c>
      <c r="B738" t="str">
        <f t="shared" si="11"/>
        <v>stacjonarny</v>
      </c>
      <c r="C738" s="1">
        <v>42928</v>
      </c>
      <c r="D738" s="2">
        <v>0.41078703703703706</v>
      </c>
      <c r="E738" s="2">
        <v>0.41078703703703706</v>
      </c>
    </row>
    <row r="739" spans="1:5" x14ac:dyDescent="0.25">
      <c r="A739">
        <v>21996267</v>
      </c>
      <c r="B739" t="str">
        <f t="shared" si="11"/>
        <v>komorkowy</v>
      </c>
      <c r="C739" s="1">
        <v>42928</v>
      </c>
      <c r="D739" s="2">
        <v>0.41218749999999998</v>
      </c>
      <c r="E739" s="2">
        <v>0.41280092592592593</v>
      </c>
    </row>
    <row r="740" spans="1:5" x14ac:dyDescent="0.25">
      <c r="A740">
        <v>8429072</v>
      </c>
      <c r="B740" t="str">
        <f t="shared" si="11"/>
        <v>stacjonarny</v>
      </c>
      <c r="C740" s="1">
        <v>42928</v>
      </c>
      <c r="D740" s="2">
        <v>0.41414351851851849</v>
      </c>
      <c r="E740" s="2">
        <v>0.42015046296296299</v>
      </c>
    </row>
    <row r="741" spans="1:5" x14ac:dyDescent="0.25">
      <c r="A741">
        <v>9815754</v>
      </c>
      <c r="B741" t="str">
        <f t="shared" si="11"/>
        <v>stacjonarny</v>
      </c>
      <c r="C741" s="1">
        <v>42928</v>
      </c>
      <c r="D741" s="2">
        <v>0.41853009259259261</v>
      </c>
      <c r="E741" s="2">
        <v>0.42037037037037039</v>
      </c>
    </row>
    <row r="742" spans="1:5" x14ac:dyDescent="0.25">
      <c r="A742">
        <v>2434652</v>
      </c>
      <c r="B742" t="str">
        <f t="shared" si="11"/>
        <v>stacjonarny</v>
      </c>
      <c r="C742" s="1">
        <v>42928</v>
      </c>
      <c r="D742" s="2">
        <v>0.42370370370370369</v>
      </c>
      <c r="E742" s="2">
        <v>0.43412037037037038</v>
      </c>
    </row>
    <row r="743" spans="1:5" x14ac:dyDescent="0.25">
      <c r="A743">
        <v>4939683</v>
      </c>
      <c r="B743" t="str">
        <f t="shared" si="11"/>
        <v>stacjonarny</v>
      </c>
      <c r="C743" s="1">
        <v>42928</v>
      </c>
      <c r="D743" s="2">
        <v>0.42650462962962965</v>
      </c>
      <c r="E743" s="2">
        <v>0.43417824074074074</v>
      </c>
    </row>
    <row r="744" spans="1:5" x14ac:dyDescent="0.25">
      <c r="A744">
        <v>6821027</v>
      </c>
      <c r="B744" t="str">
        <f t="shared" si="11"/>
        <v>stacjonarny</v>
      </c>
      <c r="C744" s="1">
        <v>42928</v>
      </c>
      <c r="D744" s="2">
        <v>0.42766203703703703</v>
      </c>
      <c r="E744" s="2">
        <v>0.43533564814814812</v>
      </c>
    </row>
    <row r="745" spans="1:5" x14ac:dyDescent="0.25">
      <c r="A745">
        <v>3253368</v>
      </c>
      <c r="B745" t="str">
        <f t="shared" si="11"/>
        <v>stacjonarny</v>
      </c>
      <c r="C745" s="1">
        <v>42928</v>
      </c>
      <c r="D745" s="2">
        <v>0.43041666666666667</v>
      </c>
      <c r="E745" s="2">
        <v>0.43164351851851851</v>
      </c>
    </row>
    <row r="746" spans="1:5" x14ac:dyDescent="0.25">
      <c r="A746">
        <v>3505978</v>
      </c>
      <c r="B746" t="str">
        <f t="shared" si="11"/>
        <v>stacjonarny</v>
      </c>
      <c r="C746" s="1">
        <v>42928</v>
      </c>
      <c r="D746" s="2">
        <v>0.43381944444444442</v>
      </c>
      <c r="E746" s="2">
        <v>0.44515046296296296</v>
      </c>
    </row>
    <row r="747" spans="1:5" x14ac:dyDescent="0.25">
      <c r="A747">
        <v>91743317</v>
      </c>
      <c r="B747" t="str">
        <f t="shared" si="11"/>
        <v>komorkowy</v>
      </c>
      <c r="C747" s="1">
        <v>42928</v>
      </c>
      <c r="D747" s="2">
        <v>0.43717592592592591</v>
      </c>
      <c r="E747" s="2">
        <v>0.44695601851851852</v>
      </c>
    </row>
    <row r="748" spans="1:5" x14ac:dyDescent="0.25">
      <c r="A748">
        <v>5104536</v>
      </c>
      <c r="B748" t="str">
        <f t="shared" si="11"/>
        <v>stacjonarny</v>
      </c>
      <c r="C748" s="1">
        <v>42928</v>
      </c>
      <c r="D748" s="2">
        <v>0.44146990740740738</v>
      </c>
      <c r="E748" s="2">
        <v>0.44412037037037039</v>
      </c>
    </row>
    <row r="749" spans="1:5" x14ac:dyDescent="0.25">
      <c r="A749">
        <v>7353916</v>
      </c>
      <c r="B749" t="str">
        <f t="shared" si="11"/>
        <v>stacjonarny</v>
      </c>
      <c r="C749" s="1">
        <v>42928</v>
      </c>
      <c r="D749" s="2">
        <v>0.44663194444444443</v>
      </c>
      <c r="E749" s="2">
        <v>0.45378472222222221</v>
      </c>
    </row>
    <row r="750" spans="1:5" x14ac:dyDescent="0.25">
      <c r="A750">
        <v>4412771</v>
      </c>
      <c r="B750" t="str">
        <f t="shared" si="11"/>
        <v>stacjonarny</v>
      </c>
      <c r="C750" s="1">
        <v>42928</v>
      </c>
      <c r="D750" s="2">
        <v>0.44809027777777777</v>
      </c>
      <c r="E750" s="2">
        <v>0.45256944444444447</v>
      </c>
    </row>
    <row r="751" spans="1:5" x14ac:dyDescent="0.25">
      <c r="A751">
        <v>6709939</v>
      </c>
      <c r="B751" t="str">
        <f t="shared" si="11"/>
        <v>stacjonarny</v>
      </c>
      <c r="C751" s="1">
        <v>42928</v>
      </c>
      <c r="D751" s="2">
        <v>0.44817129629629632</v>
      </c>
      <c r="E751" s="2">
        <v>0.4506134259259259</v>
      </c>
    </row>
    <row r="752" spans="1:5" x14ac:dyDescent="0.25">
      <c r="A752">
        <v>7891185</v>
      </c>
      <c r="B752" t="str">
        <f t="shared" si="11"/>
        <v>stacjonarny</v>
      </c>
      <c r="C752" s="1">
        <v>42928</v>
      </c>
      <c r="D752" s="2">
        <v>0.45010416666666669</v>
      </c>
      <c r="E752" s="2">
        <v>0.46153935185185185</v>
      </c>
    </row>
    <row r="753" spans="1:5" x14ac:dyDescent="0.25">
      <c r="A753">
        <v>90417363</v>
      </c>
      <c r="B753" t="str">
        <f t="shared" si="11"/>
        <v>komorkowy</v>
      </c>
      <c r="C753" s="1">
        <v>42928</v>
      </c>
      <c r="D753" s="2">
        <v>0.45504629629629628</v>
      </c>
      <c r="E753" s="2">
        <v>0.4607175925925926</v>
      </c>
    </row>
    <row r="754" spans="1:5" x14ac:dyDescent="0.25">
      <c r="A754">
        <v>4929499</v>
      </c>
      <c r="B754" t="str">
        <f t="shared" si="11"/>
        <v>stacjonarny</v>
      </c>
      <c r="C754" s="1">
        <v>42928</v>
      </c>
      <c r="D754" s="2">
        <v>0.45673611111111112</v>
      </c>
      <c r="E754" s="2">
        <v>0.4586574074074074</v>
      </c>
    </row>
    <row r="755" spans="1:5" x14ac:dyDescent="0.25">
      <c r="A755">
        <v>3824371</v>
      </c>
      <c r="B755" t="str">
        <f t="shared" si="11"/>
        <v>stacjonarny</v>
      </c>
      <c r="C755" s="1">
        <v>42928</v>
      </c>
      <c r="D755" s="2">
        <v>0.46217592592592593</v>
      </c>
      <c r="E755" s="2">
        <v>0.47150462962962963</v>
      </c>
    </row>
    <row r="756" spans="1:5" x14ac:dyDescent="0.25">
      <c r="A756">
        <v>1119740</v>
      </c>
      <c r="B756" t="str">
        <f t="shared" si="11"/>
        <v>stacjonarny</v>
      </c>
      <c r="C756" s="1">
        <v>42928</v>
      </c>
      <c r="D756" s="2">
        <v>0.46663194444444445</v>
      </c>
      <c r="E756" s="2">
        <v>0.47532407407407407</v>
      </c>
    </row>
    <row r="757" spans="1:5" x14ac:dyDescent="0.25">
      <c r="A757">
        <v>1219073</v>
      </c>
      <c r="B757" t="str">
        <f t="shared" si="11"/>
        <v>stacjonarny</v>
      </c>
      <c r="C757" s="1">
        <v>42928</v>
      </c>
      <c r="D757" s="2">
        <v>0.46870370370370368</v>
      </c>
      <c r="E757" s="2">
        <v>0.47320601851851851</v>
      </c>
    </row>
    <row r="758" spans="1:5" x14ac:dyDescent="0.25">
      <c r="A758">
        <v>87702896</v>
      </c>
      <c r="B758" t="str">
        <f t="shared" si="11"/>
        <v>komorkowy</v>
      </c>
      <c r="C758" s="1">
        <v>42928</v>
      </c>
      <c r="D758" s="2">
        <v>0.47358796296296296</v>
      </c>
      <c r="E758" s="2">
        <v>0.47878472222222224</v>
      </c>
    </row>
    <row r="759" spans="1:5" x14ac:dyDescent="0.25">
      <c r="A759">
        <v>94197168</v>
      </c>
      <c r="B759" t="str">
        <f t="shared" si="11"/>
        <v>komorkowy</v>
      </c>
      <c r="C759" s="1">
        <v>42928</v>
      </c>
      <c r="D759" s="2">
        <v>0.47819444444444442</v>
      </c>
      <c r="E759" s="2">
        <v>0.48442129629629632</v>
      </c>
    </row>
    <row r="760" spans="1:5" x14ac:dyDescent="0.25">
      <c r="A760">
        <v>8655825</v>
      </c>
      <c r="B760" t="str">
        <f t="shared" si="11"/>
        <v>stacjonarny</v>
      </c>
      <c r="C760" s="1">
        <v>42928</v>
      </c>
      <c r="D760" s="2">
        <v>0.48251157407407408</v>
      </c>
      <c r="E760" s="2">
        <v>0.48732638888888891</v>
      </c>
    </row>
    <row r="761" spans="1:5" x14ac:dyDescent="0.25">
      <c r="A761">
        <v>47707639</v>
      </c>
      <c r="B761" t="str">
        <f t="shared" si="11"/>
        <v>komorkowy</v>
      </c>
      <c r="C761" s="1">
        <v>42928</v>
      </c>
      <c r="D761" s="2">
        <v>0.48827546296296298</v>
      </c>
      <c r="E761" s="2">
        <v>0.49432870370370369</v>
      </c>
    </row>
    <row r="762" spans="1:5" x14ac:dyDescent="0.25">
      <c r="A762">
        <v>5029329</v>
      </c>
      <c r="B762" t="str">
        <f t="shared" si="11"/>
        <v>stacjonarny</v>
      </c>
      <c r="C762" s="1">
        <v>42928</v>
      </c>
      <c r="D762" s="2">
        <v>0.49062499999999998</v>
      </c>
      <c r="E762" s="2">
        <v>0.49535879629629631</v>
      </c>
    </row>
    <row r="763" spans="1:5" x14ac:dyDescent="0.25">
      <c r="A763">
        <v>8825868</v>
      </c>
      <c r="B763" t="str">
        <f t="shared" si="11"/>
        <v>stacjonarny</v>
      </c>
      <c r="C763" s="1">
        <v>42928</v>
      </c>
      <c r="D763" s="2">
        <v>0.49552083333333335</v>
      </c>
      <c r="E763" s="2">
        <v>0.50263888888888886</v>
      </c>
    </row>
    <row r="764" spans="1:5" x14ac:dyDescent="0.25">
      <c r="A764">
        <v>8461631</v>
      </c>
      <c r="B764" t="str">
        <f t="shared" si="11"/>
        <v>stacjonarny</v>
      </c>
      <c r="C764" s="1">
        <v>42928</v>
      </c>
      <c r="D764" s="2">
        <v>0.50025462962962963</v>
      </c>
      <c r="E764" s="2">
        <v>0.50344907407407402</v>
      </c>
    </row>
    <row r="765" spans="1:5" x14ac:dyDescent="0.25">
      <c r="A765">
        <v>76777492</v>
      </c>
      <c r="B765" t="str">
        <f t="shared" si="11"/>
        <v>komorkowy</v>
      </c>
      <c r="C765" s="1">
        <v>42928</v>
      </c>
      <c r="D765" s="2">
        <v>0.50071759259259263</v>
      </c>
      <c r="E765" s="2">
        <v>0.5085763888888889</v>
      </c>
    </row>
    <row r="766" spans="1:5" x14ac:dyDescent="0.25">
      <c r="A766">
        <v>71036125</v>
      </c>
      <c r="B766" t="str">
        <f t="shared" si="11"/>
        <v>komorkowy</v>
      </c>
      <c r="C766" s="1">
        <v>42928</v>
      </c>
      <c r="D766" s="2">
        <v>0.50597222222222227</v>
      </c>
      <c r="E766" s="2">
        <v>0.51633101851851848</v>
      </c>
    </row>
    <row r="767" spans="1:5" x14ac:dyDescent="0.25">
      <c r="A767">
        <v>2989192</v>
      </c>
      <c r="B767" t="str">
        <f t="shared" si="11"/>
        <v>stacjonarny</v>
      </c>
      <c r="C767" s="1">
        <v>42928</v>
      </c>
      <c r="D767" s="2">
        <v>0.5087962962962963</v>
      </c>
      <c r="E767" s="2">
        <v>0.51349537037037041</v>
      </c>
    </row>
    <row r="768" spans="1:5" x14ac:dyDescent="0.25">
      <c r="A768">
        <v>5131341</v>
      </c>
      <c r="B768" t="str">
        <f t="shared" si="11"/>
        <v>stacjonarny</v>
      </c>
      <c r="C768" s="1">
        <v>42928</v>
      </c>
      <c r="D768" s="2">
        <v>0.50974537037037038</v>
      </c>
      <c r="E768" s="2">
        <v>0.51072916666666668</v>
      </c>
    </row>
    <row r="769" spans="1:5" x14ac:dyDescent="0.25">
      <c r="A769">
        <v>2826868</v>
      </c>
      <c r="B769" t="str">
        <f t="shared" si="11"/>
        <v>stacjonarny</v>
      </c>
      <c r="C769" s="1">
        <v>42928</v>
      </c>
      <c r="D769" s="2">
        <v>0.51549768518518524</v>
      </c>
      <c r="E769" s="2">
        <v>0.51550925925925928</v>
      </c>
    </row>
    <row r="770" spans="1:5" x14ac:dyDescent="0.25">
      <c r="A770">
        <v>9849071</v>
      </c>
      <c r="B770" t="str">
        <f t="shared" si="11"/>
        <v>stacjonarny</v>
      </c>
      <c r="C770" s="1">
        <v>42928</v>
      </c>
      <c r="D770" s="2">
        <v>0.51561342592592596</v>
      </c>
      <c r="E770" s="2">
        <v>0.52171296296296299</v>
      </c>
    </row>
    <row r="771" spans="1:5" x14ac:dyDescent="0.25">
      <c r="A771">
        <v>47025160</v>
      </c>
      <c r="B771" t="str">
        <f t="shared" ref="B771:B834" si="12">IF(LEN(A771)=7, "stacjonarny", IF(LEN(A771)=8, "komorkowy", "zagraniczny"))</f>
        <v>komorkowy</v>
      </c>
      <c r="C771" s="1">
        <v>42928</v>
      </c>
      <c r="D771" s="2">
        <v>0.52009259259259255</v>
      </c>
      <c r="E771" s="2">
        <v>0.52987268518518515</v>
      </c>
    </row>
    <row r="772" spans="1:5" x14ac:dyDescent="0.25">
      <c r="A772">
        <v>97798921</v>
      </c>
      <c r="B772" t="str">
        <f t="shared" si="12"/>
        <v>komorkowy</v>
      </c>
      <c r="C772" s="1">
        <v>42928</v>
      </c>
      <c r="D772" s="2">
        <v>0.52172453703703703</v>
      </c>
      <c r="E772" s="2">
        <v>0.52606481481481482</v>
      </c>
    </row>
    <row r="773" spans="1:5" x14ac:dyDescent="0.25">
      <c r="A773">
        <v>2248131</v>
      </c>
      <c r="B773" t="str">
        <f t="shared" si="12"/>
        <v>stacjonarny</v>
      </c>
      <c r="C773" s="1">
        <v>42928</v>
      </c>
      <c r="D773" s="2">
        <v>0.52298611111111115</v>
      </c>
      <c r="E773" s="2">
        <v>0.53249999999999997</v>
      </c>
    </row>
    <row r="774" spans="1:5" x14ac:dyDescent="0.25">
      <c r="A774">
        <v>1973826522</v>
      </c>
      <c r="B774" t="str">
        <f t="shared" si="12"/>
        <v>zagraniczny</v>
      </c>
      <c r="C774" s="1">
        <v>42928</v>
      </c>
      <c r="D774" s="2">
        <v>0.52342592592592596</v>
      </c>
      <c r="E774" s="2">
        <v>0.52350694444444446</v>
      </c>
    </row>
    <row r="775" spans="1:5" x14ac:dyDescent="0.25">
      <c r="A775">
        <v>6293367175</v>
      </c>
      <c r="B775" t="str">
        <f t="shared" si="12"/>
        <v>zagraniczny</v>
      </c>
      <c r="C775" s="1">
        <v>42928</v>
      </c>
      <c r="D775" s="2">
        <v>0.52649305555555559</v>
      </c>
      <c r="E775" s="2">
        <v>0.53123842592592596</v>
      </c>
    </row>
    <row r="776" spans="1:5" x14ac:dyDescent="0.25">
      <c r="A776">
        <v>5092577</v>
      </c>
      <c r="B776" t="str">
        <f t="shared" si="12"/>
        <v>stacjonarny</v>
      </c>
      <c r="C776" s="1">
        <v>42928</v>
      </c>
      <c r="D776" s="2">
        <v>0.52834490740740736</v>
      </c>
      <c r="E776" s="2">
        <v>0.53267361111111111</v>
      </c>
    </row>
    <row r="777" spans="1:5" x14ac:dyDescent="0.25">
      <c r="A777">
        <v>62086163</v>
      </c>
      <c r="B777" t="str">
        <f t="shared" si="12"/>
        <v>komorkowy</v>
      </c>
      <c r="C777" s="1">
        <v>42928</v>
      </c>
      <c r="D777" s="2">
        <v>0.53126157407407404</v>
      </c>
      <c r="E777" s="2">
        <v>0.5326157407407407</v>
      </c>
    </row>
    <row r="778" spans="1:5" x14ac:dyDescent="0.25">
      <c r="A778">
        <v>4657345</v>
      </c>
      <c r="B778" t="str">
        <f t="shared" si="12"/>
        <v>stacjonarny</v>
      </c>
      <c r="C778" s="1">
        <v>42928</v>
      </c>
      <c r="D778" s="2">
        <v>0.53608796296296302</v>
      </c>
      <c r="E778" s="2">
        <v>0.53631944444444446</v>
      </c>
    </row>
    <row r="779" spans="1:5" x14ac:dyDescent="0.25">
      <c r="A779">
        <v>7937998</v>
      </c>
      <c r="B779" t="str">
        <f t="shared" si="12"/>
        <v>stacjonarny</v>
      </c>
      <c r="C779" s="1">
        <v>42928</v>
      </c>
      <c r="D779" s="2">
        <v>0.53798611111111116</v>
      </c>
      <c r="E779" s="2">
        <v>0.54011574074074076</v>
      </c>
    </row>
    <row r="780" spans="1:5" x14ac:dyDescent="0.25">
      <c r="A780">
        <v>7269536</v>
      </c>
      <c r="B780" t="str">
        <f t="shared" si="12"/>
        <v>stacjonarny</v>
      </c>
      <c r="C780" s="1">
        <v>42928</v>
      </c>
      <c r="D780" s="2">
        <v>0.53827546296296291</v>
      </c>
      <c r="E780" s="2">
        <v>0.54309027777777774</v>
      </c>
    </row>
    <row r="781" spans="1:5" x14ac:dyDescent="0.25">
      <c r="A781">
        <v>98939809</v>
      </c>
      <c r="B781" t="str">
        <f t="shared" si="12"/>
        <v>komorkowy</v>
      </c>
      <c r="C781" s="1">
        <v>42928</v>
      </c>
      <c r="D781" s="2">
        <v>0.53873842592592591</v>
      </c>
      <c r="E781" s="2">
        <v>0.54084490740740743</v>
      </c>
    </row>
    <row r="782" spans="1:5" x14ac:dyDescent="0.25">
      <c r="A782">
        <v>7766265</v>
      </c>
      <c r="B782" t="str">
        <f t="shared" si="12"/>
        <v>stacjonarny</v>
      </c>
      <c r="C782" s="1">
        <v>42928</v>
      </c>
      <c r="D782" s="2">
        <v>0.54391203703703705</v>
      </c>
      <c r="E782" s="2">
        <v>0.54538194444444443</v>
      </c>
    </row>
    <row r="783" spans="1:5" x14ac:dyDescent="0.25">
      <c r="A783">
        <v>7377702</v>
      </c>
      <c r="B783" t="str">
        <f t="shared" si="12"/>
        <v>stacjonarny</v>
      </c>
      <c r="C783" s="1">
        <v>42928</v>
      </c>
      <c r="D783" s="2">
        <v>0.54689814814814819</v>
      </c>
      <c r="E783" s="2">
        <v>0.54949074074074078</v>
      </c>
    </row>
    <row r="784" spans="1:5" x14ac:dyDescent="0.25">
      <c r="A784">
        <v>38244568</v>
      </c>
      <c r="B784" t="str">
        <f t="shared" si="12"/>
        <v>komorkowy</v>
      </c>
      <c r="C784" s="1">
        <v>42928</v>
      </c>
      <c r="D784" s="2">
        <v>0.54826388888888888</v>
      </c>
      <c r="E784" s="2">
        <v>0.54920138888888892</v>
      </c>
    </row>
    <row r="785" spans="1:5" x14ac:dyDescent="0.25">
      <c r="A785">
        <v>5094248</v>
      </c>
      <c r="B785" t="str">
        <f t="shared" si="12"/>
        <v>stacjonarny</v>
      </c>
      <c r="C785" s="1">
        <v>42928</v>
      </c>
      <c r="D785" s="2">
        <v>0.55118055555555556</v>
      </c>
      <c r="E785" s="2">
        <v>0.56003472222222217</v>
      </c>
    </row>
    <row r="786" spans="1:5" x14ac:dyDescent="0.25">
      <c r="A786">
        <v>1233459</v>
      </c>
      <c r="B786" t="str">
        <f t="shared" si="12"/>
        <v>stacjonarny</v>
      </c>
      <c r="C786" s="1">
        <v>42928</v>
      </c>
      <c r="D786" s="2">
        <v>0.55565972222222226</v>
      </c>
      <c r="E786" s="2">
        <v>0.55674768518518514</v>
      </c>
    </row>
    <row r="787" spans="1:5" x14ac:dyDescent="0.25">
      <c r="A787">
        <v>9398644</v>
      </c>
      <c r="B787" t="str">
        <f t="shared" si="12"/>
        <v>stacjonarny</v>
      </c>
      <c r="C787" s="1">
        <v>42928</v>
      </c>
      <c r="D787" s="2">
        <v>0.55717592592592591</v>
      </c>
      <c r="E787" s="2">
        <v>0.56753472222222223</v>
      </c>
    </row>
    <row r="788" spans="1:5" x14ac:dyDescent="0.25">
      <c r="A788">
        <v>3390459</v>
      </c>
      <c r="B788" t="str">
        <f t="shared" si="12"/>
        <v>stacjonarny</v>
      </c>
      <c r="C788" s="1">
        <v>42928</v>
      </c>
      <c r="D788" s="2">
        <v>0.55869212962962966</v>
      </c>
      <c r="E788" s="2">
        <v>0.55922453703703701</v>
      </c>
    </row>
    <row r="789" spans="1:5" x14ac:dyDescent="0.25">
      <c r="A789">
        <v>5252835</v>
      </c>
      <c r="B789" t="str">
        <f t="shared" si="12"/>
        <v>stacjonarny</v>
      </c>
      <c r="C789" s="1">
        <v>42928</v>
      </c>
      <c r="D789" s="2">
        <v>0.55907407407407406</v>
      </c>
      <c r="E789" s="2">
        <v>0.56937499999999996</v>
      </c>
    </row>
    <row r="790" spans="1:5" x14ac:dyDescent="0.25">
      <c r="A790">
        <v>15643568</v>
      </c>
      <c r="B790" t="str">
        <f t="shared" si="12"/>
        <v>komorkowy</v>
      </c>
      <c r="C790" s="1">
        <v>42928</v>
      </c>
      <c r="D790" s="2">
        <v>0.56074074074074076</v>
      </c>
      <c r="E790" s="2">
        <v>0.56283564814814813</v>
      </c>
    </row>
    <row r="791" spans="1:5" x14ac:dyDescent="0.25">
      <c r="A791">
        <v>39921944</v>
      </c>
      <c r="B791" t="str">
        <f t="shared" si="12"/>
        <v>komorkowy</v>
      </c>
      <c r="C791" s="1">
        <v>42928</v>
      </c>
      <c r="D791" s="2">
        <v>0.56398148148148153</v>
      </c>
      <c r="E791" s="2">
        <v>0.57387731481481485</v>
      </c>
    </row>
    <row r="792" spans="1:5" x14ac:dyDescent="0.25">
      <c r="A792">
        <v>66800387</v>
      </c>
      <c r="B792" t="str">
        <f t="shared" si="12"/>
        <v>komorkowy</v>
      </c>
      <c r="C792" s="1">
        <v>42928</v>
      </c>
      <c r="D792" s="2">
        <v>0.56509259259259259</v>
      </c>
      <c r="E792" s="2">
        <v>0.56554398148148144</v>
      </c>
    </row>
    <row r="793" spans="1:5" x14ac:dyDescent="0.25">
      <c r="A793">
        <v>88664428</v>
      </c>
      <c r="B793" t="str">
        <f t="shared" si="12"/>
        <v>komorkowy</v>
      </c>
      <c r="C793" s="1">
        <v>42928</v>
      </c>
      <c r="D793" s="2">
        <v>0.56527777777777777</v>
      </c>
      <c r="E793" s="2">
        <v>0.56814814814814818</v>
      </c>
    </row>
    <row r="794" spans="1:5" x14ac:dyDescent="0.25">
      <c r="A794">
        <v>4111617</v>
      </c>
      <c r="B794" t="str">
        <f t="shared" si="12"/>
        <v>stacjonarny</v>
      </c>
      <c r="C794" s="1">
        <v>42928</v>
      </c>
      <c r="D794" s="2">
        <v>0.56555555555555559</v>
      </c>
      <c r="E794" s="2">
        <v>0.5697106481481482</v>
      </c>
    </row>
    <row r="795" spans="1:5" x14ac:dyDescent="0.25">
      <c r="A795">
        <v>9804309</v>
      </c>
      <c r="B795" t="str">
        <f t="shared" si="12"/>
        <v>stacjonarny</v>
      </c>
      <c r="C795" s="1">
        <v>42928</v>
      </c>
      <c r="D795" s="2">
        <v>0.56918981481481479</v>
      </c>
      <c r="E795" s="2">
        <v>0.5784259259259259</v>
      </c>
    </row>
    <row r="796" spans="1:5" x14ac:dyDescent="0.25">
      <c r="A796">
        <v>3382728</v>
      </c>
      <c r="B796" t="str">
        <f t="shared" si="12"/>
        <v>stacjonarny</v>
      </c>
      <c r="C796" s="1">
        <v>42928</v>
      </c>
      <c r="D796" s="2">
        <v>0.56953703703703706</v>
      </c>
      <c r="E796" s="2">
        <v>0.57401620370370365</v>
      </c>
    </row>
    <row r="797" spans="1:5" x14ac:dyDescent="0.25">
      <c r="A797">
        <v>9091369</v>
      </c>
      <c r="B797" t="str">
        <f t="shared" si="12"/>
        <v>stacjonarny</v>
      </c>
      <c r="C797" s="1">
        <v>42928</v>
      </c>
      <c r="D797" s="2">
        <v>0.57231481481481483</v>
      </c>
      <c r="E797" s="2">
        <v>0.57403935185185184</v>
      </c>
    </row>
    <row r="798" spans="1:5" x14ac:dyDescent="0.25">
      <c r="A798">
        <v>3981821518</v>
      </c>
      <c r="B798" t="str">
        <f t="shared" si="12"/>
        <v>zagraniczny</v>
      </c>
      <c r="C798" s="1">
        <v>42928</v>
      </c>
      <c r="D798" s="2">
        <v>0.57445601851851846</v>
      </c>
      <c r="E798" s="2">
        <v>0.57703703703703701</v>
      </c>
    </row>
    <row r="799" spans="1:5" x14ac:dyDescent="0.25">
      <c r="A799">
        <v>6304174</v>
      </c>
      <c r="B799" t="str">
        <f t="shared" si="12"/>
        <v>stacjonarny</v>
      </c>
      <c r="C799" s="1">
        <v>42928</v>
      </c>
      <c r="D799" s="2">
        <v>0.57445601851851846</v>
      </c>
      <c r="E799" s="2">
        <v>0.58512731481481484</v>
      </c>
    </row>
    <row r="800" spans="1:5" x14ac:dyDescent="0.25">
      <c r="A800">
        <v>8233999</v>
      </c>
      <c r="B800" t="str">
        <f t="shared" si="12"/>
        <v>stacjonarny</v>
      </c>
      <c r="C800" s="1">
        <v>42928</v>
      </c>
      <c r="D800" s="2">
        <v>0.57828703703703699</v>
      </c>
      <c r="E800" s="2">
        <v>0.58834490740740741</v>
      </c>
    </row>
    <row r="801" spans="1:5" x14ac:dyDescent="0.25">
      <c r="A801">
        <v>97782375</v>
      </c>
      <c r="B801" t="str">
        <f t="shared" si="12"/>
        <v>komorkowy</v>
      </c>
      <c r="C801" s="1">
        <v>42928</v>
      </c>
      <c r="D801" s="2">
        <v>0.58054398148148145</v>
      </c>
      <c r="E801" s="2">
        <v>0.58196759259259256</v>
      </c>
    </row>
    <row r="802" spans="1:5" x14ac:dyDescent="0.25">
      <c r="A802">
        <v>2826868</v>
      </c>
      <c r="B802" t="str">
        <f t="shared" si="12"/>
        <v>stacjonarny</v>
      </c>
      <c r="C802" s="1">
        <v>42928</v>
      </c>
      <c r="D802" s="2">
        <v>0.58266203703703701</v>
      </c>
      <c r="E802" s="2">
        <v>0.59348379629629633</v>
      </c>
    </row>
    <row r="803" spans="1:5" x14ac:dyDescent="0.25">
      <c r="A803">
        <v>93794133</v>
      </c>
      <c r="B803" t="str">
        <f t="shared" si="12"/>
        <v>komorkowy</v>
      </c>
      <c r="C803" s="1">
        <v>42928</v>
      </c>
      <c r="D803" s="2">
        <v>0.58592592592592596</v>
      </c>
      <c r="E803" s="2">
        <v>0.59038194444444447</v>
      </c>
    </row>
    <row r="804" spans="1:5" x14ac:dyDescent="0.25">
      <c r="A804">
        <v>85838361</v>
      </c>
      <c r="B804" t="str">
        <f t="shared" si="12"/>
        <v>komorkowy</v>
      </c>
      <c r="C804" s="1">
        <v>42928</v>
      </c>
      <c r="D804" s="2">
        <v>0.58909722222222227</v>
      </c>
      <c r="E804" s="2">
        <v>0.5993518518518518</v>
      </c>
    </row>
    <row r="805" spans="1:5" x14ac:dyDescent="0.25">
      <c r="A805">
        <v>1616328</v>
      </c>
      <c r="B805" t="str">
        <f t="shared" si="12"/>
        <v>stacjonarny</v>
      </c>
      <c r="C805" s="1">
        <v>42928</v>
      </c>
      <c r="D805" s="2">
        <v>0.59354166666666663</v>
      </c>
      <c r="E805" s="2">
        <v>0.59888888888888892</v>
      </c>
    </row>
    <row r="806" spans="1:5" x14ac:dyDescent="0.25">
      <c r="A806">
        <v>9773176</v>
      </c>
      <c r="B806" t="str">
        <f t="shared" si="12"/>
        <v>stacjonarny</v>
      </c>
      <c r="C806" s="1">
        <v>42928</v>
      </c>
      <c r="D806" s="2">
        <v>0.59873842592592597</v>
      </c>
      <c r="E806" s="2">
        <v>0.60127314814814814</v>
      </c>
    </row>
    <row r="807" spans="1:5" x14ac:dyDescent="0.25">
      <c r="A807">
        <v>8246306</v>
      </c>
      <c r="B807" t="str">
        <f t="shared" si="12"/>
        <v>stacjonarny</v>
      </c>
      <c r="C807" s="1">
        <v>42928</v>
      </c>
      <c r="D807" s="2">
        <v>0.59928240740740746</v>
      </c>
      <c r="E807" s="2">
        <v>0.60182870370370367</v>
      </c>
    </row>
    <row r="808" spans="1:5" x14ac:dyDescent="0.25">
      <c r="A808">
        <v>2412611</v>
      </c>
      <c r="B808" t="str">
        <f t="shared" si="12"/>
        <v>stacjonarny</v>
      </c>
      <c r="C808" s="1">
        <v>42928</v>
      </c>
      <c r="D808" s="2">
        <v>0.60065972222222219</v>
      </c>
      <c r="E808" s="2">
        <v>0.60902777777777772</v>
      </c>
    </row>
    <row r="809" spans="1:5" x14ac:dyDescent="0.25">
      <c r="A809">
        <v>7795911</v>
      </c>
      <c r="B809" t="str">
        <f t="shared" si="12"/>
        <v>stacjonarny</v>
      </c>
      <c r="C809" s="1">
        <v>42928</v>
      </c>
      <c r="D809" s="2">
        <v>0.60528935185185184</v>
      </c>
      <c r="E809" s="2">
        <v>0.60805555555555557</v>
      </c>
    </row>
    <row r="810" spans="1:5" x14ac:dyDescent="0.25">
      <c r="A810">
        <v>8063487</v>
      </c>
      <c r="B810" t="str">
        <f t="shared" si="12"/>
        <v>stacjonarny</v>
      </c>
      <c r="C810" s="1">
        <v>42928</v>
      </c>
      <c r="D810" s="2">
        <v>0.61028935185185185</v>
      </c>
      <c r="E810" s="2">
        <v>0.61681712962962965</v>
      </c>
    </row>
    <row r="811" spans="1:5" x14ac:dyDescent="0.25">
      <c r="A811">
        <v>68677362</v>
      </c>
      <c r="B811" t="str">
        <f t="shared" si="12"/>
        <v>komorkowy</v>
      </c>
      <c r="C811" s="1">
        <v>42928</v>
      </c>
      <c r="D811" s="2">
        <v>0.61534722222222227</v>
      </c>
      <c r="E811" s="2">
        <v>0.61554398148148148</v>
      </c>
    </row>
    <row r="812" spans="1:5" x14ac:dyDescent="0.25">
      <c r="A812">
        <v>6766787935</v>
      </c>
      <c r="B812" t="str">
        <f t="shared" si="12"/>
        <v>zagraniczny</v>
      </c>
      <c r="C812" s="1">
        <v>42928</v>
      </c>
      <c r="D812" s="2">
        <v>0.62077546296296293</v>
      </c>
      <c r="E812" s="2">
        <v>0.62708333333333333</v>
      </c>
    </row>
    <row r="813" spans="1:5" x14ac:dyDescent="0.25">
      <c r="A813">
        <v>27791497</v>
      </c>
      <c r="B813" t="str">
        <f t="shared" si="12"/>
        <v>komorkowy</v>
      </c>
      <c r="C813" s="1">
        <v>42928</v>
      </c>
      <c r="D813" s="2">
        <v>0.62372685185185184</v>
      </c>
      <c r="E813" s="2">
        <v>0.63241898148148146</v>
      </c>
    </row>
    <row r="814" spans="1:5" x14ac:dyDescent="0.25">
      <c r="A814">
        <v>6158527</v>
      </c>
      <c r="B814" t="str">
        <f t="shared" si="12"/>
        <v>stacjonarny</v>
      </c>
      <c r="C814" s="1">
        <v>42928</v>
      </c>
      <c r="D814" s="2">
        <v>0.62449074074074074</v>
      </c>
      <c r="E814" s="2">
        <v>0.62653935185185183</v>
      </c>
    </row>
    <row r="815" spans="1:5" x14ac:dyDescent="0.25">
      <c r="A815">
        <v>3456554</v>
      </c>
      <c r="B815" t="str">
        <f t="shared" si="12"/>
        <v>stacjonarny</v>
      </c>
      <c r="C815" s="1">
        <v>42928</v>
      </c>
      <c r="D815" s="2">
        <v>0.62615740740740744</v>
      </c>
      <c r="E815" s="2">
        <v>0.63491898148148151</v>
      </c>
    </row>
    <row r="816" spans="1:5" x14ac:dyDescent="0.25">
      <c r="A816">
        <v>3437033</v>
      </c>
      <c r="B816" t="str">
        <f t="shared" si="12"/>
        <v>stacjonarny</v>
      </c>
      <c r="C816" s="1">
        <v>42929</v>
      </c>
      <c r="D816" s="2">
        <v>0.33812500000000001</v>
      </c>
      <c r="E816" s="2">
        <v>0.34457175925925926</v>
      </c>
    </row>
    <row r="817" spans="1:5" x14ac:dyDescent="0.25">
      <c r="A817">
        <v>2128068</v>
      </c>
      <c r="B817" t="str">
        <f t="shared" si="12"/>
        <v>stacjonarny</v>
      </c>
      <c r="C817" s="1">
        <v>42929</v>
      </c>
      <c r="D817" s="2">
        <v>0.34258101851851852</v>
      </c>
      <c r="E817" s="2">
        <v>0.34574074074074074</v>
      </c>
    </row>
    <row r="818" spans="1:5" x14ac:dyDescent="0.25">
      <c r="A818">
        <v>20679187</v>
      </c>
      <c r="B818" t="str">
        <f t="shared" si="12"/>
        <v>komorkowy</v>
      </c>
      <c r="C818" s="1">
        <v>42929</v>
      </c>
      <c r="D818" s="2">
        <v>0.34833333333333333</v>
      </c>
      <c r="E818" s="2">
        <v>0.35206018518518517</v>
      </c>
    </row>
    <row r="819" spans="1:5" x14ac:dyDescent="0.25">
      <c r="A819">
        <v>9259392564</v>
      </c>
      <c r="B819" t="str">
        <f t="shared" si="12"/>
        <v>zagraniczny</v>
      </c>
      <c r="C819" s="1">
        <v>42929</v>
      </c>
      <c r="D819" s="2">
        <v>0.35311342592592593</v>
      </c>
      <c r="E819" s="2">
        <v>0.35888888888888887</v>
      </c>
    </row>
    <row r="820" spans="1:5" x14ac:dyDescent="0.25">
      <c r="A820">
        <v>7852624</v>
      </c>
      <c r="B820" t="str">
        <f t="shared" si="12"/>
        <v>stacjonarny</v>
      </c>
      <c r="C820" s="1">
        <v>42929</v>
      </c>
      <c r="D820" s="2">
        <v>0.35885416666666664</v>
      </c>
      <c r="E820" s="2">
        <v>0.36913194444444447</v>
      </c>
    </row>
    <row r="821" spans="1:5" x14ac:dyDescent="0.25">
      <c r="A821">
        <v>8838584</v>
      </c>
      <c r="B821" t="str">
        <f t="shared" si="12"/>
        <v>stacjonarny</v>
      </c>
      <c r="C821" s="1">
        <v>42929</v>
      </c>
      <c r="D821" s="2">
        <v>0.36204861111111108</v>
      </c>
      <c r="E821" s="2">
        <v>0.37230324074074073</v>
      </c>
    </row>
    <row r="822" spans="1:5" x14ac:dyDescent="0.25">
      <c r="A822">
        <v>2492731</v>
      </c>
      <c r="B822" t="str">
        <f t="shared" si="12"/>
        <v>stacjonarny</v>
      </c>
      <c r="C822" s="1">
        <v>42929</v>
      </c>
      <c r="D822" s="2">
        <v>0.36341435185185184</v>
      </c>
      <c r="E822" s="2">
        <v>0.36506944444444445</v>
      </c>
    </row>
    <row r="823" spans="1:5" x14ac:dyDescent="0.25">
      <c r="A823">
        <v>8028777</v>
      </c>
      <c r="B823" t="str">
        <f t="shared" si="12"/>
        <v>stacjonarny</v>
      </c>
      <c r="C823" s="1">
        <v>42929</v>
      </c>
      <c r="D823" s="2">
        <v>0.36505787037037035</v>
      </c>
      <c r="E823" s="2">
        <v>0.37204861111111109</v>
      </c>
    </row>
    <row r="824" spans="1:5" x14ac:dyDescent="0.25">
      <c r="A824">
        <v>2619219</v>
      </c>
      <c r="B824" t="str">
        <f t="shared" si="12"/>
        <v>stacjonarny</v>
      </c>
      <c r="C824" s="1">
        <v>42929</v>
      </c>
      <c r="D824" s="2">
        <v>0.36586805555555557</v>
      </c>
      <c r="E824" s="2">
        <v>0.36783564814814818</v>
      </c>
    </row>
    <row r="825" spans="1:5" x14ac:dyDescent="0.25">
      <c r="A825">
        <v>2506618</v>
      </c>
      <c r="B825" t="str">
        <f t="shared" si="12"/>
        <v>stacjonarny</v>
      </c>
      <c r="C825" s="1">
        <v>42929</v>
      </c>
      <c r="D825" s="2">
        <v>0.36704861111111109</v>
      </c>
      <c r="E825" s="2">
        <v>0.37783564814814813</v>
      </c>
    </row>
    <row r="826" spans="1:5" x14ac:dyDescent="0.25">
      <c r="A826">
        <v>7979313</v>
      </c>
      <c r="B826" t="str">
        <f t="shared" si="12"/>
        <v>stacjonarny</v>
      </c>
      <c r="C826" s="1">
        <v>42929</v>
      </c>
      <c r="D826" s="2">
        <v>0.37074074074074076</v>
      </c>
      <c r="E826" s="2">
        <v>0.37601851851851853</v>
      </c>
    </row>
    <row r="827" spans="1:5" x14ac:dyDescent="0.25">
      <c r="A827">
        <v>23123600</v>
      </c>
      <c r="B827" t="str">
        <f t="shared" si="12"/>
        <v>komorkowy</v>
      </c>
      <c r="C827" s="1">
        <v>42929</v>
      </c>
      <c r="D827" s="2">
        <v>0.37334490740740739</v>
      </c>
      <c r="E827" s="2">
        <v>0.37408564814814815</v>
      </c>
    </row>
    <row r="828" spans="1:5" x14ac:dyDescent="0.25">
      <c r="A828">
        <v>9849476</v>
      </c>
      <c r="B828" t="str">
        <f t="shared" si="12"/>
        <v>stacjonarny</v>
      </c>
      <c r="C828" s="1">
        <v>42929</v>
      </c>
      <c r="D828" s="2">
        <v>0.37653935185185183</v>
      </c>
      <c r="E828" s="2">
        <v>0.37709490740740742</v>
      </c>
    </row>
    <row r="829" spans="1:5" x14ac:dyDescent="0.25">
      <c r="A829">
        <v>27410048</v>
      </c>
      <c r="B829" t="str">
        <f t="shared" si="12"/>
        <v>komorkowy</v>
      </c>
      <c r="C829" s="1">
        <v>42929</v>
      </c>
      <c r="D829" s="2">
        <v>0.37748842592592591</v>
      </c>
      <c r="E829" s="2">
        <v>0.37763888888888891</v>
      </c>
    </row>
    <row r="830" spans="1:5" x14ac:dyDescent="0.25">
      <c r="A830">
        <v>6746757</v>
      </c>
      <c r="B830" t="str">
        <f t="shared" si="12"/>
        <v>stacjonarny</v>
      </c>
      <c r="C830" s="1">
        <v>42929</v>
      </c>
      <c r="D830" s="2">
        <v>0.3790162037037037</v>
      </c>
      <c r="E830" s="2">
        <v>0.38123842592592594</v>
      </c>
    </row>
    <row r="831" spans="1:5" x14ac:dyDescent="0.25">
      <c r="A831">
        <v>5087066</v>
      </c>
      <c r="B831" t="str">
        <f t="shared" si="12"/>
        <v>stacjonarny</v>
      </c>
      <c r="C831" s="1">
        <v>42929</v>
      </c>
      <c r="D831" s="2">
        <v>0.38018518518518518</v>
      </c>
      <c r="E831" s="2">
        <v>0.38339120370370372</v>
      </c>
    </row>
    <row r="832" spans="1:5" x14ac:dyDescent="0.25">
      <c r="A832">
        <v>9680416</v>
      </c>
      <c r="B832" t="str">
        <f t="shared" si="12"/>
        <v>stacjonarny</v>
      </c>
      <c r="C832" s="1">
        <v>42929</v>
      </c>
      <c r="D832" s="2">
        <v>0.38480324074074074</v>
      </c>
      <c r="E832" s="2">
        <v>0.39057870370370368</v>
      </c>
    </row>
    <row r="833" spans="1:5" x14ac:dyDescent="0.25">
      <c r="A833">
        <v>9356216</v>
      </c>
      <c r="B833" t="str">
        <f t="shared" si="12"/>
        <v>stacjonarny</v>
      </c>
      <c r="C833" s="1">
        <v>42929</v>
      </c>
      <c r="D833" s="2">
        <v>0.38966435185185183</v>
      </c>
      <c r="E833" s="2">
        <v>0.40104166666666669</v>
      </c>
    </row>
    <row r="834" spans="1:5" x14ac:dyDescent="0.25">
      <c r="A834">
        <v>7415603</v>
      </c>
      <c r="B834" t="str">
        <f t="shared" si="12"/>
        <v>stacjonarny</v>
      </c>
      <c r="C834" s="1">
        <v>42929</v>
      </c>
      <c r="D834" s="2">
        <v>0.39194444444444443</v>
      </c>
      <c r="E834" s="2">
        <v>0.39535879629629628</v>
      </c>
    </row>
    <row r="835" spans="1:5" x14ac:dyDescent="0.25">
      <c r="A835">
        <v>28145499</v>
      </c>
      <c r="B835" t="str">
        <f t="shared" ref="B835:B898" si="13">IF(LEN(A835)=7, "stacjonarny", IF(LEN(A835)=8, "komorkowy", "zagraniczny"))</f>
        <v>komorkowy</v>
      </c>
      <c r="C835" s="1">
        <v>42929</v>
      </c>
      <c r="D835" s="2">
        <v>0.3972222222222222</v>
      </c>
      <c r="E835" s="2">
        <v>0.40084490740740741</v>
      </c>
    </row>
    <row r="836" spans="1:5" x14ac:dyDescent="0.25">
      <c r="A836">
        <v>61527800</v>
      </c>
      <c r="B836" t="str">
        <f t="shared" si="13"/>
        <v>komorkowy</v>
      </c>
      <c r="C836" s="1">
        <v>42929</v>
      </c>
      <c r="D836" s="2">
        <v>0.39988425925925924</v>
      </c>
      <c r="E836" s="2">
        <v>0.4100462962962963</v>
      </c>
    </row>
    <row r="837" spans="1:5" x14ac:dyDescent="0.25">
      <c r="A837">
        <v>4873703</v>
      </c>
      <c r="B837" t="str">
        <f t="shared" si="13"/>
        <v>stacjonarny</v>
      </c>
      <c r="C837" s="1">
        <v>42929</v>
      </c>
      <c r="D837" s="2">
        <v>0.40539351851851851</v>
      </c>
      <c r="E837" s="2">
        <v>0.4143634259259259</v>
      </c>
    </row>
    <row r="838" spans="1:5" x14ac:dyDescent="0.25">
      <c r="A838">
        <v>43019885</v>
      </c>
      <c r="B838" t="str">
        <f t="shared" si="13"/>
        <v>komorkowy</v>
      </c>
      <c r="C838" s="1">
        <v>42929</v>
      </c>
      <c r="D838" s="2">
        <v>0.4064814814814815</v>
      </c>
      <c r="E838" s="2">
        <v>0.41630787037037037</v>
      </c>
    </row>
    <row r="839" spans="1:5" x14ac:dyDescent="0.25">
      <c r="A839">
        <v>7388260</v>
      </c>
      <c r="B839" t="str">
        <f t="shared" si="13"/>
        <v>stacjonarny</v>
      </c>
      <c r="C839" s="1">
        <v>42929</v>
      </c>
      <c r="D839" s="2">
        <v>0.41149305555555554</v>
      </c>
      <c r="E839" s="2">
        <v>0.41928240740740741</v>
      </c>
    </row>
    <row r="840" spans="1:5" x14ac:dyDescent="0.25">
      <c r="A840">
        <v>4581715</v>
      </c>
      <c r="B840" t="str">
        <f t="shared" si="13"/>
        <v>stacjonarny</v>
      </c>
      <c r="C840" s="1">
        <v>42929</v>
      </c>
      <c r="D840" s="2">
        <v>0.41172453703703704</v>
      </c>
      <c r="E840" s="2">
        <v>0.42146990740740742</v>
      </c>
    </row>
    <row r="841" spans="1:5" x14ac:dyDescent="0.25">
      <c r="A841">
        <v>58420185</v>
      </c>
      <c r="B841" t="str">
        <f t="shared" si="13"/>
        <v>komorkowy</v>
      </c>
      <c r="C841" s="1">
        <v>42929</v>
      </c>
      <c r="D841" s="2">
        <v>0.41729166666666667</v>
      </c>
      <c r="E841" s="2">
        <v>0.42122685185185182</v>
      </c>
    </row>
    <row r="842" spans="1:5" x14ac:dyDescent="0.25">
      <c r="A842">
        <v>45948073</v>
      </c>
      <c r="B842" t="str">
        <f t="shared" si="13"/>
        <v>komorkowy</v>
      </c>
      <c r="C842" s="1">
        <v>42929</v>
      </c>
      <c r="D842" s="2">
        <v>0.41979166666666667</v>
      </c>
      <c r="E842" s="2">
        <v>0.42586805555555557</v>
      </c>
    </row>
    <row r="843" spans="1:5" x14ac:dyDescent="0.25">
      <c r="A843">
        <v>4473835</v>
      </c>
      <c r="B843" t="str">
        <f t="shared" si="13"/>
        <v>stacjonarny</v>
      </c>
      <c r="C843" s="1">
        <v>42929</v>
      </c>
      <c r="D843" s="2">
        <v>0.42091435185185183</v>
      </c>
      <c r="E843" s="2">
        <v>0.42609953703703701</v>
      </c>
    </row>
    <row r="844" spans="1:5" x14ac:dyDescent="0.25">
      <c r="A844">
        <v>7739841</v>
      </c>
      <c r="B844" t="str">
        <f t="shared" si="13"/>
        <v>stacjonarny</v>
      </c>
      <c r="C844" s="1">
        <v>42929</v>
      </c>
      <c r="D844" s="2">
        <v>0.42418981481481483</v>
      </c>
      <c r="E844" s="2">
        <v>0.42598379629629629</v>
      </c>
    </row>
    <row r="845" spans="1:5" x14ac:dyDescent="0.25">
      <c r="A845">
        <v>6275284312</v>
      </c>
      <c r="B845" t="str">
        <f t="shared" si="13"/>
        <v>zagraniczny</v>
      </c>
      <c r="C845" s="1">
        <v>42929</v>
      </c>
      <c r="D845" s="2">
        <v>0.4291550925925926</v>
      </c>
      <c r="E845" s="2">
        <v>0.4339351851851852</v>
      </c>
    </row>
    <row r="846" spans="1:5" x14ac:dyDescent="0.25">
      <c r="A846">
        <v>1692981</v>
      </c>
      <c r="B846" t="str">
        <f t="shared" si="13"/>
        <v>stacjonarny</v>
      </c>
      <c r="C846" s="1">
        <v>42929</v>
      </c>
      <c r="D846" s="2">
        <v>0.43297453703703703</v>
      </c>
      <c r="E846" s="2">
        <v>0.43424768518518519</v>
      </c>
    </row>
    <row r="847" spans="1:5" x14ac:dyDescent="0.25">
      <c r="A847">
        <v>9270571</v>
      </c>
      <c r="B847" t="str">
        <f t="shared" si="13"/>
        <v>stacjonarny</v>
      </c>
      <c r="C847" s="1">
        <v>42929</v>
      </c>
      <c r="D847" s="2">
        <v>0.43782407407407409</v>
      </c>
      <c r="E847" s="2">
        <v>0.44560185185185186</v>
      </c>
    </row>
    <row r="848" spans="1:5" x14ac:dyDescent="0.25">
      <c r="A848">
        <v>6299545</v>
      </c>
      <c r="B848" t="str">
        <f t="shared" si="13"/>
        <v>stacjonarny</v>
      </c>
      <c r="C848" s="1">
        <v>42929</v>
      </c>
      <c r="D848" s="2">
        <v>0.43986111111111109</v>
      </c>
      <c r="E848" s="2">
        <v>0.44298611111111114</v>
      </c>
    </row>
    <row r="849" spans="1:5" x14ac:dyDescent="0.25">
      <c r="A849">
        <v>67064385</v>
      </c>
      <c r="B849" t="str">
        <f t="shared" si="13"/>
        <v>komorkowy</v>
      </c>
      <c r="C849" s="1">
        <v>42929</v>
      </c>
      <c r="D849" s="2">
        <v>0.44278935185185186</v>
      </c>
      <c r="E849" s="2">
        <v>0.44480324074074074</v>
      </c>
    </row>
    <row r="850" spans="1:5" x14ac:dyDescent="0.25">
      <c r="A850">
        <v>4062215</v>
      </c>
      <c r="B850" t="str">
        <f t="shared" si="13"/>
        <v>stacjonarny</v>
      </c>
      <c r="C850" s="1">
        <v>42929</v>
      </c>
      <c r="D850" s="2">
        <v>0.44732638888888887</v>
      </c>
      <c r="E850" s="2">
        <v>0.45466435185185183</v>
      </c>
    </row>
    <row r="851" spans="1:5" x14ac:dyDescent="0.25">
      <c r="A851">
        <v>2835355</v>
      </c>
      <c r="B851" t="str">
        <f t="shared" si="13"/>
        <v>stacjonarny</v>
      </c>
      <c r="C851" s="1">
        <v>42929</v>
      </c>
      <c r="D851" s="2">
        <v>0.45131944444444444</v>
      </c>
      <c r="E851" s="2">
        <v>0.45689814814814816</v>
      </c>
    </row>
    <row r="852" spans="1:5" x14ac:dyDescent="0.25">
      <c r="A852">
        <v>9283739</v>
      </c>
      <c r="B852" t="str">
        <f t="shared" si="13"/>
        <v>stacjonarny</v>
      </c>
      <c r="C852" s="1">
        <v>42929</v>
      </c>
      <c r="D852" s="2">
        <v>0.45489583333333333</v>
      </c>
      <c r="E852" s="2">
        <v>0.46451388888888889</v>
      </c>
    </row>
    <row r="853" spans="1:5" x14ac:dyDescent="0.25">
      <c r="A853">
        <v>7118082</v>
      </c>
      <c r="B853" t="str">
        <f t="shared" si="13"/>
        <v>stacjonarny</v>
      </c>
      <c r="C853" s="1">
        <v>42929</v>
      </c>
      <c r="D853" s="2">
        <v>0.45682870370370371</v>
      </c>
      <c r="E853" s="2">
        <v>0.4664699074074074</v>
      </c>
    </row>
    <row r="854" spans="1:5" x14ac:dyDescent="0.25">
      <c r="A854">
        <v>30178521</v>
      </c>
      <c r="B854" t="str">
        <f t="shared" si="13"/>
        <v>komorkowy</v>
      </c>
      <c r="C854" s="1">
        <v>42929</v>
      </c>
      <c r="D854" s="2">
        <v>0.45968750000000003</v>
      </c>
      <c r="E854" s="2">
        <v>0.46520833333333333</v>
      </c>
    </row>
    <row r="855" spans="1:5" x14ac:dyDescent="0.25">
      <c r="A855">
        <v>5014399</v>
      </c>
      <c r="B855" t="str">
        <f t="shared" si="13"/>
        <v>stacjonarny</v>
      </c>
      <c r="C855" s="1">
        <v>42929</v>
      </c>
      <c r="D855" s="2">
        <v>0.46444444444444444</v>
      </c>
      <c r="E855" s="2">
        <v>0.46787037037037038</v>
      </c>
    </row>
    <row r="856" spans="1:5" x14ac:dyDescent="0.25">
      <c r="A856">
        <v>3984696</v>
      </c>
      <c r="B856" t="str">
        <f t="shared" si="13"/>
        <v>stacjonarny</v>
      </c>
      <c r="C856" s="1">
        <v>42929</v>
      </c>
      <c r="D856" s="2">
        <v>0.46581018518518519</v>
      </c>
      <c r="E856" s="2">
        <v>0.46589120370370368</v>
      </c>
    </row>
    <row r="857" spans="1:5" x14ac:dyDescent="0.25">
      <c r="A857">
        <v>53386383</v>
      </c>
      <c r="B857" t="str">
        <f t="shared" si="13"/>
        <v>komorkowy</v>
      </c>
      <c r="C857" s="1">
        <v>42929</v>
      </c>
      <c r="D857" s="2">
        <v>0.47099537037037037</v>
      </c>
      <c r="E857" s="2">
        <v>0.47175925925925927</v>
      </c>
    </row>
    <row r="858" spans="1:5" x14ac:dyDescent="0.25">
      <c r="A858">
        <v>8733120283</v>
      </c>
      <c r="B858" t="str">
        <f t="shared" si="13"/>
        <v>zagraniczny</v>
      </c>
      <c r="C858" s="1">
        <v>42929</v>
      </c>
      <c r="D858" s="2">
        <v>0.47134259259259259</v>
      </c>
      <c r="E858" s="2">
        <v>0.47659722222222223</v>
      </c>
    </row>
    <row r="859" spans="1:5" x14ac:dyDescent="0.25">
      <c r="A859">
        <v>6934405</v>
      </c>
      <c r="B859" t="str">
        <f t="shared" si="13"/>
        <v>stacjonarny</v>
      </c>
      <c r="C859" s="1">
        <v>42929</v>
      </c>
      <c r="D859" s="2">
        <v>0.47321759259259261</v>
      </c>
      <c r="E859" s="2">
        <v>0.48008101851851853</v>
      </c>
    </row>
    <row r="860" spans="1:5" x14ac:dyDescent="0.25">
      <c r="A860">
        <v>54136845</v>
      </c>
      <c r="B860" t="str">
        <f t="shared" si="13"/>
        <v>komorkowy</v>
      </c>
      <c r="C860" s="1">
        <v>42929</v>
      </c>
      <c r="D860" s="2">
        <v>0.47890046296296296</v>
      </c>
      <c r="E860" s="2">
        <v>0.48042824074074075</v>
      </c>
    </row>
    <row r="861" spans="1:5" x14ac:dyDescent="0.25">
      <c r="A861">
        <v>76310343</v>
      </c>
      <c r="B861" t="str">
        <f t="shared" si="13"/>
        <v>komorkowy</v>
      </c>
      <c r="C861" s="1">
        <v>42929</v>
      </c>
      <c r="D861" s="2">
        <v>0.48312500000000003</v>
      </c>
      <c r="E861" s="2">
        <v>0.4889236111111111</v>
      </c>
    </row>
    <row r="862" spans="1:5" x14ac:dyDescent="0.25">
      <c r="A862">
        <v>9005999</v>
      </c>
      <c r="B862" t="str">
        <f t="shared" si="13"/>
        <v>stacjonarny</v>
      </c>
      <c r="C862" s="1">
        <v>42929</v>
      </c>
      <c r="D862" s="2">
        <v>0.4878587962962963</v>
      </c>
      <c r="E862" s="2">
        <v>0.49609953703703702</v>
      </c>
    </row>
    <row r="863" spans="1:5" x14ac:dyDescent="0.25">
      <c r="A863">
        <v>7763451</v>
      </c>
      <c r="B863" t="str">
        <f t="shared" si="13"/>
        <v>stacjonarny</v>
      </c>
      <c r="C863" s="1">
        <v>42929</v>
      </c>
      <c r="D863" s="2">
        <v>0.4911226851851852</v>
      </c>
      <c r="E863" s="2">
        <v>0.49859953703703702</v>
      </c>
    </row>
    <row r="864" spans="1:5" x14ac:dyDescent="0.25">
      <c r="A864">
        <v>3765001</v>
      </c>
      <c r="B864" t="str">
        <f t="shared" si="13"/>
        <v>stacjonarny</v>
      </c>
      <c r="C864" s="1">
        <v>42929</v>
      </c>
      <c r="D864" s="2">
        <v>0.49283564814814818</v>
      </c>
      <c r="E864" s="2">
        <v>0.50396990740740744</v>
      </c>
    </row>
    <row r="865" spans="1:5" x14ac:dyDescent="0.25">
      <c r="A865">
        <v>8498076</v>
      </c>
      <c r="B865" t="str">
        <f t="shared" si="13"/>
        <v>stacjonarny</v>
      </c>
      <c r="C865" s="1">
        <v>42929</v>
      </c>
      <c r="D865" s="2">
        <v>0.49493055555555554</v>
      </c>
      <c r="E865" s="2">
        <v>0.49898148148148147</v>
      </c>
    </row>
    <row r="866" spans="1:5" x14ac:dyDescent="0.25">
      <c r="A866">
        <v>4995171</v>
      </c>
      <c r="B866" t="str">
        <f t="shared" si="13"/>
        <v>stacjonarny</v>
      </c>
      <c r="C866" s="1">
        <v>42929</v>
      </c>
      <c r="D866" s="2">
        <v>0.5006018518518518</v>
      </c>
      <c r="E866" s="2">
        <v>0.50388888888888894</v>
      </c>
    </row>
    <row r="867" spans="1:5" x14ac:dyDescent="0.25">
      <c r="A867">
        <v>8929993</v>
      </c>
      <c r="B867" t="str">
        <f t="shared" si="13"/>
        <v>stacjonarny</v>
      </c>
      <c r="C867" s="1">
        <v>42929</v>
      </c>
      <c r="D867" s="2">
        <v>0.50173611111111116</v>
      </c>
      <c r="E867" s="2">
        <v>0.50722222222222224</v>
      </c>
    </row>
    <row r="868" spans="1:5" x14ac:dyDescent="0.25">
      <c r="A868">
        <v>7473804</v>
      </c>
      <c r="B868" t="str">
        <f t="shared" si="13"/>
        <v>stacjonarny</v>
      </c>
      <c r="C868" s="1">
        <v>42929</v>
      </c>
      <c r="D868" s="2">
        <v>0.50675925925925924</v>
      </c>
      <c r="E868" s="2">
        <v>0.5138194444444445</v>
      </c>
    </row>
    <row r="869" spans="1:5" x14ac:dyDescent="0.25">
      <c r="A869">
        <v>1816002</v>
      </c>
      <c r="B869" t="str">
        <f t="shared" si="13"/>
        <v>stacjonarny</v>
      </c>
      <c r="C869" s="1">
        <v>42929</v>
      </c>
      <c r="D869" s="2">
        <v>0.50732638888888892</v>
      </c>
      <c r="E869" s="2">
        <v>0.51005787037037043</v>
      </c>
    </row>
    <row r="870" spans="1:5" x14ac:dyDescent="0.25">
      <c r="A870">
        <v>4133182</v>
      </c>
      <c r="B870" t="str">
        <f t="shared" si="13"/>
        <v>stacjonarny</v>
      </c>
      <c r="C870" s="1">
        <v>42929</v>
      </c>
      <c r="D870" s="2">
        <v>0.51061342592592596</v>
      </c>
      <c r="E870" s="2">
        <v>0.5118287037037037</v>
      </c>
    </row>
    <row r="871" spans="1:5" x14ac:dyDescent="0.25">
      <c r="A871">
        <v>63141248</v>
      </c>
      <c r="B871" t="str">
        <f t="shared" si="13"/>
        <v>komorkowy</v>
      </c>
      <c r="C871" s="1">
        <v>42929</v>
      </c>
      <c r="D871" s="2">
        <v>0.51224537037037032</v>
      </c>
      <c r="E871" s="2">
        <v>0.51730324074074074</v>
      </c>
    </row>
    <row r="872" spans="1:5" x14ac:dyDescent="0.25">
      <c r="A872">
        <v>7384686</v>
      </c>
      <c r="B872" t="str">
        <f t="shared" si="13"/>
        <v>stacjonarny</v>
      </c>
      <c r="C872" s="1">
        <v>42929</v>
      </c>
      <c r="D872" s="2">
        <v>0.51616898148148149</v>
      </c>
      <c r="E872" s="2">
        <v>0.52461805555555552</v>
      </c>
    </row>
    <row r="873" spans="1:5" x14ac:dyDescent="0.25">
      <c r="A873">
        <v>3150344</v>
      </c>
      <c r="B873" t="str">
        <f t="shared" si="13"/>
        <v>stacjonarny</v>
      </c>
      <c r="C873" s="1">
        <v>42929</v>
      </c>
      <c r="D873" s="2">
        <v>0.51709490740740738</v>
      </c>
      <c r="E873" s="2">
        <v>0.52684027777777775</v>
      </c>
    </row>
    <row r="874" spans="1:5" x14ac:dyDescent="0.25">
      <c r="A874">
        <v>6786847</v>
      </c>
      <c r="B874" t="str">
        <f t="shared" si="13"/>
        <v>stacjonarny</v>
      </c>
      <c r="C874" s="1">
        <v>42929</v>
      </c>
      <c r="D874" s="2">
        <v>0.51986111111111111</v>
      </c>
      <c r="E874" s="2">
        <v>0.52924768518518517</v>
      </c>
    </row>
    <row r="875" spans="1:5" x14ac:dyDescent="0.25">
      <c r="A875">
        <v>2947889</v>
      </c>
      <c r="B875" t="str">
        <f t="shared" si="13"/>
        <v>stacjonarny</v>
      </c>
      <c r="C875" s="1">
        <v>42929</v>
      </c>
      <c r="D875" s="2">
        <v>0.5232175925925926</v>
      </c>
      <c r="E875" s="2">
        <v>0.52965277777777775</v>
      </c>
    </row>
    <row r="876" spans="1:5" x14ac:dyDescent="0.25">
      <c r="A876">
        <v>28961250</v>
      </c>
      <c r="B876" t="str">
        <f t="shared" si="13"/>
        <v>komorkowy</v>
      </c>
      <c r="C876" s="1">
        <v>42929</v>
      </c>
      <c r="D876" s="2">
        <v>0.52353009259259264</v>
      </c>
      <c r="E876" s="2">
        <v>0.53097222222222218</v>
      </c>
    </row>
    <row r="877" spans="1:5" x14ac:dyDescent="0.25">
      <c r="A877">
        <v>3328479</v>
      </c>
      <c r="B877" t="str">
        <f t="shared" si="13"/>
        <v>stacjonarny</v>
      </c>
      <c r="C877" s="1">
        <v>42929</v>
      </c>
      <c r="D877" s="2">
        <v>0.52668981481481481</v>
      </c>
      <c r="E877" s="2">
        <v>0.53594907407407411</v>
      </c>
    </row>
    <row r="878" spans="1:5" x14ac:dyDescent="0.25">
      <c r="A878">
        <v>61322035</v>
      </c>
      <c r="B878" t="str">
        <f t="shared" si="13"/>
        <v>komorkowy</v>
      </c>
      <c r="C878" s="1">
        <v>42929</v>
      </c>
      <c r="D878" s="2">
        <v>0.52906249999999999</v>
      </c>
      <c r="E878" s="2">
        <v>0.5294444444444445</v>
      </c>
    </row>
    <row r="879" spans="1:5" x14ac:dyDescent="0.25">
      <c r="A879">
        <v>40308049</v>
      </c>
      <c r="B879" t="str">
        <f t="shared" si="13"/>
        <v>komorkowy</v>
      </c>
      <c r="C879" s="1">
        <v>42929</v>
      </c>
      <c r="D879" s="2">
        <v>0.53047453703703706</v>
      </c>
      <c r="E879" s="2">
        <v>0.53797453703703701</v>
      </c>
    </row>
    <row r="880" spans="1:5" x14ac:dyDescent="0.25">
      <c r="A880">
        <v>7066778</v>
      </c>
      <c r="B880" t="str">
        <f t="shared" si="13"/>
        <v>stacjonarny</v>
      </c>
      <c r="C880" s="1">
        <v>42929</v>
      </c>
      <c r="D880" s="2">
        <v>0.53484953703703708</v>
      </c>
      <c r="E880" s="2">
        <v>0.538599537037037</v>
      </c>
    </row>
    <row r="881" spans="1:5" x14ac:dyDescent="0.25">
      <c r="A881">
        <v>3434934</v>
      </c>
      <c r="B881" t="str">
        <f t="shared" si="13"/>
        <v>stacjonarny</v>
      </c>
      <c r="C881" s="1">
        <v>42929</v>
      </c>
      <c r="D881" s="2">
        <v>0.54039351851851847</v>
      </c>
      <c r="E881" s="2">
        <v>0.55039351851851848</v>
      </c>
    </row>
    <row r="882" spans="1:5" x14ac:dyDescent="0.25">
      <c r="A882">
        <v>3017523</v>
      </c>
      <c r="B882" t="str">
        <f t="shared" si="13"/>
        <v>stacjonarny</v>
      </c>
      <c r="C882" s="1">
        <v>42929</v>
      </c>
      <c r="D882" s="2">
        <v>0.54342592592592598</v>
      </c>
      <c r="E882" s="2">
        <v>0.54971064814814818</v>
      </c>
    </row>
    <row r="883" spans="1:5" x14ac:dyDescent="0.25">
      <c r="A883">
        <v>26699217</v>
      </c>
      <c r="B883" t="str">
        <f t="shared" si="13"/>
        <v>komorkowy</v>
      </c>
      <c r="C883" s="1">
        <v>42929</v>
      </c>
      <c r="D883" s="2">
        <v>0.5471759259259259</v>
      </c>
      <c r="E883" s="2">
        <v>0.55871527777777774</v>
      </c>
    </row>
    <row r="884" spans="1:5" x14ac:dyDescent="0.25">
      <c r="A884">
        <v>3192836</v>
      </c>
      <c r="B884" t="str">
        <f t="shared" si="13"/>
        <v>stacjonarny</v>
      </c>
      <c r="C884" s="1">
        <v>42929</v>
      </c>
      <c r="D884" s="2">
        <v>0.54806712962962967</v>
      </c>
      <c r="E884" s="2">
        <v>0.54826388888888888</v>
      </c>
    </row>
    <row r="885" spans="1:5" x14ac:dyDescent="0.25">
      <c r="A885">
        <v>6979384</v>
      </c>
      <c r="B885" t="str">
        <f t="shared" si="13"/>
        <v>stacjonarny</v>
      </c>
      <c r="C885" s="1">
        <v>42929</v>
      </c>
      <c r="D885" s="2">
        <v>0.55315972222222221</v>
      </c>
      <c r="E885" s="2">
        <v>0.56252314814814819</v>
      </c>
    </row>
    <row r="886" spans="1:5" x14ac:dyDescent="0.25">
      <c r="A886">
        <v>5277660</v>
      </c>
      <c r="B886" t="str">
        <f t="shared" si="13"/>
        <v>stacjonarny</v>
      </c>
      <c r="C886" s="1">
        <v>42929</v>
      </c>
      <c r="D886" s="2">
        <v>0.55543981481481486</v>
      </c>
      <c r="E886" s="2">
        <v>0.56340277777777781</v>
      </c>
    </row>
    <row r="887" spans="1:5" x14ac:dyDescent="0.25">
      <c r="A887">
        <v>9543572</v>
      </c>
      <c r="B887" t="str">
        <f t="shared" si="13"/>
        <v>stacjonarny</v>
      </c>
      <c r="C887" s="1">
        <v>42929</v>
      </c>
      <c r="D887" s="2">
        <v>0.55556712962962962</v>
      </c>
      <c r="E887" s="2">
        <v>0.56344907407407407</v>
      </c>
    </row>
    <row r="888" spans="1:5" x14ac:dyDescent="0.25">
      <c r="A888">
        <v>3984696</v>
      </c>
      <c r="B888" t="str">
        <f t="shared" si="13"/>
        <v>stacjonarny</v>
      </c>
      <c r="C888" s="1">
        <v>42929</v>
      </c>
      <c r="D888" s="2">
        <v>0.55923611111111116</v>
      </c>
      <c r="E888" s="2">
        <v>0.5665162037037037</v>
      </c>
    </row>
    <row r="889" spans="1:5" x14ac:dyDescent="0.25">
      <c r="A889">
        <v>47855743</v>
      </c>
      <c r="B889" t="str">
        <f t="shared" si="13"/>
        <v>komorkowy</v>
      </c>
      <c r="C889" s="1">
        <v>42929</v>
      </c>
      <c r="D889" s="2">
        <v>0.56371527777777775</v>
      </c>
      <c r="E889" s="2">
        <v>0.57344907407407408</v>
      </c>
    </row>
    <row r="890" spans="1:5" x14ac:dyDescent="0.25">
      <c r="A890">
        <v>3095218</v>
      </c>
      <c r="B890" t="str">
        <f t="shared" si="13"/>
        <v>stacjonarny</v>
      </c>
      <c r="C890" s="1">
        <v>42929</v>
      </c>
      <c r="D890" s="2">
        <v>0.56581018518518522</v>
      </c>
      <c r="E890" s="2">
        <v>0.57694444444444448</v>
      </c>
    </row>
    <row r="891" spans="1:5" x14ac:dyDescent="0.25">
      <c r="A891">
        <v>7933399</v>
      </c>
      <c r="B891" t="str">
        <f t="shared" si="13"/>
        <v>stacjonarny</v>
      </c>
      <c r="C891" s="1">
        <v>42929</v>
      </c>
      <c r="D891" s="2">
        <v>0.57054398148148144</v>
      </c>
      <c r="E891" s="2">
        <v>0.57388888888888889</v>
      </c>
    </row>
    <row r="892" spans="1:5" x14ac:dyDescent="0.25">
      <c r="A892">
        <v>54821549</v>
      </c>
      <c r="B892" t="str">
        <f t="shared" si="13"/>
        <v>komorkowy</v>
      </c>
      <c r="C892" s="1">
        <v>42929</v>
      </c>
      <c r="D892" s="2">
        <v>0.57287037037037036</v>
      </c>
      <c r="E892" s="2">
        <v>0.57663194444444443</v>
      </c>
    </row>
    <row r="893" spans="1:5" x14ac:dyDescent="0.25">
      <c r="A893">
        <v>14919021</v>
      </c>
      <c r="B893" t="str">
        <f t="shared" si="13"/>
        <v>komorkowy</v>
      </c>
      <c r="C893" s="1">
        <v>42929</v>
      </c>
      <c r="D893" s="2">
        <v>0.57331018518518517</v>
      </c>
      <c r="E893" s="2">
        <v>0.57547453703703699</v>
      </c>
    </row>
    <row r="894" spans="1:5" x14ac:dyDescent="0.25">
      <c r="A894">
        <v>9175377</v>
      </c>
      <c r="B894" t="str">
        <f t="shared" si="13"/>
        <v>stacjonarny</v>
      </c>
      <c r="C894" s="1">
        <v>42929</v>
      </c>
      <c r="D894" s="2">
        <v>0.57648148148148148</v>
      </c>
      <c r="E894" s="2">
        <v>0.57916666666666672</v>
      </c>
    </row>
    <row r="895" spans="1:5" x14ac:dyDescent="0.25">
      <c r="A895">
        <v>3656681</v>
      </c>
      <c r="B895" t="str">
        <f t="shared" si="13"/>
        <v>stacjonarny</v>
      </c>
      <c r="C895" s="1">
        <v>42929</v>
      </c>
      <c r="D895" s="2">
        <v>0.58067129629629632</v>
      </c>
      <c r="E895" s="2">
        <v>0.59149305555555554</v>
      </c>
    </row>
    <row r="896" spans="1:5" x14ac:dyDescent="0.25">
      <c r="A896">
        <v>5741700</v>
      </c>
      <c r="B896" t="str">
        <f t="shared" si="13"/>
        <v>stacjonarny</v>
      </c>
      <c r="C896" s="1">
        <v>42929</v>
      </c>
      <c r="D896" s="2">
        <v>0.58644675925925926</v>
      </c>
      <c r="E896" s="2">
        <v>0.5978472222222222</v>
      </c>
    </row>
    <row r="897" spans="1:5" x14ac:dyDescent="0.25">
      <c r="A897">
        <v>18816694</v>
      </c>
      <c r="B897" t="str">
        <f t="shared" si="13"/>
        <v>komorkowy</v>
      </c>
      <c r="C897" s="1">
        <v>42929</v>
      </c>
      <c r="D897" s="2">
        <v>0.59179398148148143</v>
      </c>
      <c r="E897" s="2">
        <v>0.60054398148148147</v>
      </c>
    </row>
    <row r="898" spans="1:5" x14ac:dyDescent="0.25">
      <c r="A898">
        <v>6177366</v>
      </c>
      <c r="B898" t="str">
        <f t="shared" si="13"/>
        <v>stacjonarny</v>
      </c>
      <c r="C898" s="1">
        <v>42929</v>
      </c>
      <c r="D898" s="2">
        <v>0.59266203703703701</v>
      </c>
      <c r="E898" s="2">
        <v>0.59672453703703698</v>
      </c>
    </row>
    <row r="899" spans="1:5" x14ac:dyDescent="0.25">
      <c r="A899">
        <v>4221160</v>
      </c>
      <c r="B899" t="str">
        <f t="shared" ref="B899:B962" si="14">IF(LEN(A899)=7, "stacjonarny", IF(LEN(A899)=8, "komorkowy", "zagraniczny"))</f>
        <v>stacjonarny</v>
      </c>
      <c r="C899" s="1">
        <v>42929</v>
      </c>
      <c r="D899" s="2">
        <v>0.59437499999999999</v>
      </c>
      <c r="E899" s="2">
        <v>0.60349537037037038</v>
      </c>
    </row>
    <row r="900" spans="1:5" x14ac:dyDescent="0.25">
      <c r="A900">
        <v>9339774</v>
      </c>
      <c r="B900" t="str">
        <f t="shared" si="14"/>
        <v>stacjonarny</v>
      </c>
      <c r="C900" s="1">
        <v>42929</v>
      </c>
      <c r="D900" s="2">
        <v>0.59745370370370365</v>
      </c>
      <c r="E900" s="2">
        <v>0.607025462962963</v>
      </c>
    </row>
    <row r="901" spans="1:5" x14ac:dyDescent="0.25">
      <c r="A901">
        <v>46255010</v>
      </c>
      <c r="B901" t="str">
        <f t="shared" si="14"/>
        <v>komorkowy</v>
      </c>
      <c r="C901" s="1">
        <v>42929</v>
      </c>
      <c r="D901" s="2">
        <v>0.60008101851851847</v>
      </c>
      <c r="E901" s="2">
        <v>0.60182870370370367</v>
      </c>
    </row>
    <row r="902" spans="1:5" x14ac:dyDescent="0.25">
      <c r="A902">
        <v>91208799</v>
      </c>
      <c r="B902" t="str">
        <f t="shared" si="14"/>
        <v>komorkowy</v>
      </c>
      <c r="C902" s="1">
        <v>42929</v>
      </c>
      <c r="D902" s="2">
        <v>0.60311342592592587</v>
      </c>
      <c r="E902" s="2">
        <v>0.61048611111111106</v>
      </c>
    </row>
    <row r="903" spans="1:5" x14ac:dyDescent="0.25">
      <c r="A903">
        <v>7211782</v>
      </c>
      <c r="B903" t="str">
        <f t="shared" si="14"/>
        <v>stacjonarny</v>
      </c>
      <c r="C903" s="1">
        <v>42929</v>
      </c>
      <c r="D903" s="2">
        <v>0.60773148148148148</v>
      </c>
      <c r="E903" s="2">
        <v>0.60799768518518515</v>
      </c>
    </row>
    <row r="904" spans="1:5" x14ac:dyDescent="0.25">
      <c r="A904">
        <v>3429335</v>
      </c>
      <c r="B904" t="str">
        <f t="shared" si="14"/>
        <v>stacjonarny</v>
      </c>
      <c r="C904" s="1">
        <v>42929</v>
      </c>
      <c r="D904" s="2">
        <v>0.61346064814814816</v>
      </c>
      <c r="E904" s="2">
        <v>0.62468749999999995</v>
      </c>
    </row>
    <row r="905" spans="1:5" x14ac:dyDescent="0.25">
      <c r="A905">
        <v>3206241</v>
      </c>
      <c r="B905" t="str">
        <f t="shared" si="14"/>
        <v>stacjonarny</v>
      </c>
      <c r="C905" s="1">
        <v>42929</v>
      </c>
      <c r="D905" s="2">
        <v>0.61614583333333328</v>
      </c>
      <c r="E905" s="2">
        <v>0.62736111111111115</v>
      </c>
    </row>
    <row r="906" spans="1:5" x14ac:dyDescent="0.25">
      <c r="A906">
        <v>8750670</v>
      </c>
      <c r="B906" t="str">
        <f t="shared" si="14"/>
        <v>stacjonarny</v>
      </c>
      <c r="C906" s="1">
        <v>42929</v>
      </c>
      <c r="D906" s="2">
        <v>0.61686342592592591</v>
      </c>
      <c r="E906" s="2">
        <v>0.61760416666666662</v>
      </c>
    </row>
    <row r="907" spans="1:5" x14ac:dyDescent="0.25">
      <c r="A907">
        <v>7792679</v>
      </c>
      <c r="B907" t="str">
        <f t="shared" si="14"/>
        <v>stacjonarny</v>
      </c>
      <c r="C907" s="1">
        <v>42929</v>
      </c>
      <c r="D907" s="2">
        <v>0.62046296296296299</v>
      </c>
      <c r="E907" s="2">
        <v>0.62071759259259263</v>
      </c>
    </row>
    <row r="908" spans="1:5" x14ac:dyDescent="0.25">
      <c r="A908">
        <v>9287211</v>
      </c>
      <c r="B908" t="str">
        <f t="shared" si="14"/>
        <v>stacjonarny</v>
      </c>
      <c r="C908" s="1">
        <v>42929</v>
      </c>
      <c r="D908" s="2">
        <v>0.62178240740740742</v>
      </c>
      <c r="E908" s="2">
        <v>0.62540509259259258</v>
      </c>
    </row>
    <row r="909" spans="1:5" x14ac:dyDescent="0.25">
      <c r="A909">
        <v>1997542</v>
      </c>
      <c r="B909" t="str">
        <f t="shared" si="14"/>
        <v>stacjonarny</v>
      </c>
      <c r="C909" s="1">
        <v>42929</v>
      </c>
      <c r="D909" s="2">
        <v>0.62749999999999995</v>
      </c>
      <c r="E909" s="2">
        <v>0.63146990740740738</v>
      </c>
    </row>
    <row r="910" spans="1:5" x14ac:dyDescent="0.25">
      <c r="A910">
        <v>3558582</v>
      </c>
      <c r="B910" t="str">
        <f t="shared" si="14"/>
        <v>stacjonarny</v>
      </c>
      <c r="C910" s="1">
        <v>42930</v>
      </c>
      <c r="D910" s="2">
        <v>0.33658564814814818</v>
      </c>
      <c r="E910" s="2">
        <v>0.34384259259259259</v>
      </c>
    </row>
    <row r="911" spans="1:5" x14ac:dyDescent="0.25">
      <c r="A911">
        <v>25240352</v>
      </c>
      <c r="B911" t="str">
        <f t="shared" si="14"/>
        <v>komorkowy</v>
      </c>
      <c r="C911" s="1">
        <v>42930</v>
      </c>
      <c r="D911" s="2">
        <v>0.3369212962962963</v>
      </c>
      <c r="E911" s="2">
        <v>0.34468749999999998</v>
      </c>
    </row>
    <row r="912" spans="1:5" x14ac:dyDescent="0.25">
      <c r="A912">
        <v>5829504</v>
      </c>
      <c r="B912" t="str">
        <f t="shared" si="14"/>
        <v>stacjonarny</v>
      </c>
      <c r="C912" s="1">
        <v>42930</v>
      </c>
      <c r="D912" s="2">
        <v>0.33802083333333333</v>
      </c>
      <c r="E912" s="2">
        <v>0.34233796296296298</v>
      </c>
    </row>
    <row r="913" spans="1:5" x14ac:dyDescent="0.25">
      <c r="A913">
        <v>97317489</v>
      </c>
      <c r="B913" t="str">
        <f t="shared" si="14"/>
        <v>komorkowy</v>
      </c>
      <c r="C913" s="1">
        <v>42930</v>
      </c>
      <c r="D913" s="2">
        <v>0.34062500000000001</v>
      </c>
      <c r="E913" s="2">
        <v>0.34333333333333332</v>
      </c>
    </row>
    <row r="914" spans="1:5" x14ac:dyDescent="0.25">
      <c r="A914">
        <v>53762222</v>
      </c>
      <c r="B914" t="str">
        <f t="shared" si="14"/>
        <v>komorkowy</v>
      </c>
      <c r="C914" s="1">
        <v>42930</v>
      </c>
      <c r="D914" s="2">
        <v>0.34262731481481479</v>
      </c>
      <c r="E914" s="2">
        <v>0.34824074074074074</v>
      </c>
    </row>
    <row r="915" spans="1:5" x14ac:dyDescent="0.25">
      <c r="A915">
        <v>3363840</v>
      </c>
      <c r="B915" t="str">
        <f t="shared" si="14"/>
        <v>stacjonarny</v>
      </c>
      <c r="C915" s="1">
        <v>42930</v>
      </c>
      <c r="D915" s="2">
        <v>0.34431712962962963</v>
      </c>
      <c r="E915" s="2">
        <v>0.34605324074074073</v>
      </c>
    </row>
    <row r="916" spans="1:5" x14ac:dyDescent="0.25">
      <c r="A916">
        <v>5542324</v>
      </c>
      <c r="B916" t="str">
        <f t="shared" si="14"/>
        <v>stacjonarny</v>
      </c>
      <c r="C916" s="1">
        <v>42930</v>
      </c>
      <c r="D916" s="2">
        <v>0.34528935185185183</v>
      </c>
      <c r="E916" s="2">
        <v>0.3541435185185185</v>
      </c>
    </row>
    <row r="917" spans="1:5" x14ac:dyDescent="0.25">
      <c r="A917">
        <v>9853612</v>
      </c>
      <c r="B917" t="str">
        <f t="shared" si="14"/>
        <v>stacjonarny</v>
      </c>
      <c r="C917" s="1">
        <v>42930</v>
      </c>
      <c r="D917" s="2">
        <v>0.34848379629629628</v>
      </c>
      <c r="E917" s="2">
        <v>0.35927083333333332</v>
      </c>
    </row>
    <row r="918" spans="1:5" x14ac:dyDescent="0.25">
      <c r="A918">
        <v>5392799</v>
      </c>
      <c r="B918" t="str">
        <f t="shared" si="14"/>
        <v>stacjonarny</v>
      </c>
      <c r="C918" s="1">
        <v>42930</v>
      </c>
      <c r="D918" s="2">
        <v>0.35270833333333335</v>
      </c>
      <c r="E918" s="2">
        <v>0.36254629629629631</v>
      </c>
    </row>
    <row r="919" spans="1:5" x14ac:dyDescent="0.25">
      <c r="A919">
        <v>1089768</v>
      </c>
      <c r="B919" t="str">
        <f t="shared" si="14"/>
        <v>stacjonarny</v>
      </c>
      <c r="C919" s="1">
        <v>42930</v>
      </c>
      <c r="D919" s="2">
        <v>0.35497685185185185</v>
      </c>
      <c r="E919" s="2">
        <v>0.36493055555555554</v>
      </c>
    </row>
    <row r="920" spans="1:5" x14ac:dyDescent="0.25">
      <c r="A920">
        <v>4274311</v>
      </c>
      <c r="B920" t="str">
        <f t="shared" si="14"/>
        <v>stacjonarny</v>
      </c>
      <c r="C920" s="1">
        <v>42930</v>
      </c>
      <c r="D920" s="2">
        <v>0.35699074074074072</v>
      </c>
      <c r="E920" s="2">
        <v>0.36554398148148148</v>
      </c>
    </row>
    <row r="921" spans="1:5" x14ac:dyDescent="0.25">
      <c r="A921">
        <v>8276893</v>
      </c>
      <c r="B921" t="str">
        <f t="shared" si="14"/>
        <v>stacjonarny</v>
      </c>
      <c r="C921" s="1">
        <v>42930</v>
      </c>
      <c r="D921" s="2">
        <v>0.36056712962962961</v>
      </c>
      <c r="E921" s="2">
        <v>0.36929398148148146</v>
      </c>
    </row>
    <row r="922" spans="1:5" x14ac:dyDescent="0.25">
      <c r="A922">
        <v>24724114</v>
      </c>
      <c r="B922" t="str">
        <f t="shared" si="14"/>
        <v>komorkowy</v>
      </c>
      <c r="C922" s="1">
        <v>42930</v>
      </c>
      <c r="D922" s="2">
        <v>0.36212962962962963</v>
      </c>
      <c r="E922" s="2">
        <v>0.36342592592592593</v>
      </c>
    </row>
    <row r="923" spans="1:5" x14ac:dyDescent="0.25">
      <c r="A923">
        <v>23580194</v>
      </c>
      <c r="B923" t="str">
        <f t="shared" si="14"/>
        <v>komorkowy</v>
      </c>
      <c r="C923" s="1">
        <v>42930</v>
      </c>
      <c r="D923" s="2">
        <v>0.36516203703703703</v>
      </c>
      <c r="E923" s="2">
        <v>0.37596064814814817</v>
      </c>
    </row>
    <row r="924" spans="1:5" x14ac:dyDescent="0.25">
      <c r="A924">
        <v>1775131</v>
      </c>
      <c r="B924" t="str">
        <f t="shared" si="14"/>
        <v>stacjonarny</v>
      </c>
      <c r="C924" s="1">
        <v>42930</v>
      </c>
      <c r="D924" s="2">
        <v>0.36922453703703706</v>
      </c>
      <c r="E924" s="2">
        <v>0.36994212962962963</v>
      </c>
    </row>
    <row r="925" spans="1:5" x14ac:dyDescent="0.25">
      <c r="A925">
        <v>8001915</v>
      </c>
      <c r="B925" t="str">
        <f t="shared" si="14"/>
        <v>stacjonarny</v>
      </c>
      <c r="C925" s="1">
        <v>42930</v>
      </c>
      <c r="D925" s="2">
        <v>0.3712037037037037</v>
      </c>
      <c r="E925" s="2">
        <v>0.38064814814814812</v>
      </c>
    </row>
    <row r="926" spans="1:5" x14ac:dyDescent="0.25">
      <c r="A926">
        <v>7508054</v>
      </c>
      <c r="B926" t="str">
        <f t="shared" si="14"/>
        <v>stacjonarny</v>
      </c>
      <c r="C926" s="1">
        <v>42930</v>
      </c>
      <c r="D926" s="2">
        <v>0.37480324074074073</v>
      </c>
      <c r="E926" s="2">
        <v>0.38201388888888888</v>
      </c>
    </row>
    <row r="927" spans="1:5" x14ac:dyDescent="0.25">
      <c r="A927">
        <v>5854377</v>
      </c>
      <c r="B927" t="str">
        <f t="shared" si="14"/>
        <v>stacjonarny</v>
      </c>
      <c r="C927" s="1">
        <v>42930</v>
      </c>
      <c r="D927" s="2">
        <v>0.37506944444444446</v>
      </c>
      <c r="E927" s="2">
        <v>0.37829861111111113</v>
      </c>
    </row>
    <row r="928" spans="1:5" x14ac:dyDescent="0.25">
      <c r="A928">
        <v>3478173</v>
      </c>
      <c r="B928" t="str">
        <f t="shared" si="14"/>
        <v>stacjonarny</v>
      </c>
      <c r="C928" s="1">
        <v>42930</v>
      </c>
      <c r="D928" s="2">
        <v>0.37942129629629628</v>
      </c>
      <c r="E928" s="2">
        <v>0.38388888888888889</v>
      </c>
    </row>
    <row r="929" spans="1:5" x14ac:dyDescent="0.25">
      <c r="A929">
        <v>3999937</v>
      </c>
      <c r="B929" t="str">
        <f t="shared" si="14"/>
        <v>stacjonarny</v>
      </c>
      <c r="C929" s="1">
        <v>42930</v>
      </c>
      <c r="D929" s="2">
        <v>0.38447916666666665</v>
      </c>
      <c r="E929" s="2">
        <v>0.39068287037037036</v>
      </c>
    </row>
    <row r="930" spans="1:5" x14ac:dyDescent="0.25">
      <c r="A930">
        <v>83559673</v>
      </c>
      <c r="B930" t="str">
        <f t="shared" si="14"/>
        <v>komorkowy</v>
      </c>
      <c r="C930" s="1">
        <v>42930</v>
      </c>
      <c r="D930" s="2">
        <v>0.38571759259259258</v>
      </c>
      <c r="E930" s="2">
        <v>0.39630787037037035</v>
      </c>
    </row>
    <row r="931" spans="1:5" x14ac:dyDescent="0.25">
      <c r="A931">
        <v>1355775</v>
      </c>
      <c r="B931" t="str">
        <f t="shared" si="14"/>
        <v>stacjonarny</v>
      </c>
      <c r="C931" s="1">
        <v>42930</v>
      </c>
      <c r="D931" s="2">
        <v>0.38942129629629629</v>
      </c>
      <c r="E931" s="2">
        <v>0.39034722222222223</v>
      </c>
    </row>
    <row r="932" spans="1:5" x14ac:dyDescent="0.25">
      <c r="A932">
        <v>3463982286</v>
      </c>
      <c r="B932" t="str">
        <f t="shared" si="14"/>
        <v>zagraniczny</v>
      </c>
      <c r="C932" s="1">
        <v>42930</v>
      </c>
      <c r="D932" s="2">
        <v>0.39506944444444442</v>
      </c>
      <c r="E932" s="2">
        <v>0.40261574074074075</v>
      </c>
    </row>
    <row r="933" spans="1:5" x14ac:dyDescent="0.25">
      <c r="A933">
        <v>8870498</v>
      </c>
      <c r="B933" t="str">
        <f t="shared" si="14"/>
        <v>stacjonarny</v>
      </c>
      <c r="C933" s="1">
        <v>42930</v>
      </c>
      <c r="D933" s="2">
        <v>0.4001736111111111</v>
      </c>
      <c r="E933" s="2">
        <v>0.40182870370370372</v>
      </c>
    </row>
    <row r="934" spans="1:5" x14ac:dyDescent="0.25">
      <c r="A934">
        <v>9894998</v>
      </c>
      <c r="B934" t="str">
        <f t="shared" si="14"/>
        <v>stacjonarny</v>
      </c>
      <c r="C934" s="1">
        <v>42930</v>
      </c>
      <c r="D934" s="2">
        <v>0.40337962962962964</v>
      </c>
      <c r="E934" s="2">
        <v>0.41137731481481482</v>
      </c>
    </row>
    <row r="935" spans="1:5" x14ac:dyDescent="0.25">
      <c r="A935">
        <v>8841955</v>
      </c>
      <c r="B935" t="str">
        <f t="shared" si="14"/>
        <v>stacjonarny</v>
      </c>
      <c r="C935" s="1">
        <v>42930</v>
      </c>
      <c r="D935" s="2">
        <v>0.40635416666666668</v>
      </c>
      <c r="E935" s="2">
        <v>0.40642361111111114</v>
      </c>
    </row>
    <row r="936" spans="1:5" x14ac:dyDescent="0.25">
      <c r="A936">
        <v>7379567</v>
      </c>
      <c r="B936" t="str">
        <f t="shared" si="14"/>
        <v>stacjonarny</v>
      </c>
      <c r="C936" s="1">
        <v>42930</v>
      </c>
      <c r="D936" s="2">
        <v>0.4098148148148148</v>
      </c>
      <c r="E936" s="2">
        <v>0.41626157407407405</v>
      </c>
    </row>
    <row r="937" spans="1:5" x14ac:dyDescent="0.25">
      <c r="A937">
        <v>2092198</v>
      </c>
      <c r="B937" t="str">
        <f t="shared" si="14"/>
        <v>stacjonarny</v>
      </c>
      <c r="C937" s="1">
        <v>42930</v>
      </c>
      <c r="D937" s="2">
        <v>0.41068287037037038</v>
      </c>
      <c r="E937" s="2">
        <v>0.41288194444444443</v>
      </c>
    </row>
    <row r="938" spans="1:5" x14ac:dyDescent="0.25">
      <c r="A938">
        <v>6006309</v>
      </c>
      <c r="B938" t="str">
        <f t="shared" si="14"/>
        <v>stacjonarny</v>
      </c>
      <c r="C938" s="1">
        <v>42930</v>
      </c>
      <c r="D938" s="2">
        <v>0.41601851851851851</v>
      </c>
      <c r="E938" s="2">
        <v>0.41792824074074075</v>
      </c>
    </row>
    <row r="939" spans="1:5" x14ac:dyDescent="0.25">
      <c r="A939">
        <v>6736331</v>
      </c>
      <c r="B939" t="str">
        <f t="shared" si="14"/>
        <v>stacjonarny</v>
      </c>
      <c r="C939" s="1">
        <v>42930</v>
      </c>
      <c r="D939" s="2">
        <v>0.41616898148148146</v>
      </c>
      <c r="E939" s="2">
        <v>0.42019675925925926</v>
      </c>
    </row>
    <row r="940" spans="1:5" x14ac:dyDescent="0.25">
      <c r="A940">
        <v>7291318</v>
      </c>
      <c r="B940" t="str">
        <f t="shared" si="14"/>
        <v>stacjonarny</v>
      </c>
      <c r="C940" s="1">
        <v>42930</v>
      </c>
      <c r="D940" s="2">
        <v>0.41781249999999998</v>
      </c>
      <c r="E940" s="2">
        <v>0.42886574074074074</v>
      </c>
    </row>
    <row r="941" spans="1:5" x14ac:dyDescent="0.25">
      <c r="A941">
        <v>30178521</v>
      </c>
      <c r="B941" t="str">
        <f t="shared" si="14"/>
        <v>komorkowy</v>
      </c>
      <c r="C941" s="1">
        <v>42930</v>
      </c>
      <c r="D941" s="2">
        <v>0.42238425925925926</v>
      </c>
      <c r="E941" s="2">
        <v>0.42388888888888887</v>
      </c>
    </row>
    <row r="942" spans="1:5" x14ac:dyDescent="0.25">
      <c r="A942">
        <v>3232376</v>
      </c>
      <c r="B942" t="str">
        <f t="shared" si="14"/>
        <v>stacjonarny</v>
      </c>
      <c r="C942" s="1">
        <v>42930</v>
      </c>
      <c r="D942" s="2">
        <v>0.42584490740740738</v>
      </c>
      <c r="E942" s="2">
        <v>0.43512731481481481</v>
      </c>
    </row>
    <row r="943" spans="1:5" x14ac:dyDescent="0.25">
      <c r="A943">
        <v>7536048937</v>
      </c>
      <c r="B943" t="str">
        <f t="shared" si="14"/>
        <v>zagraniczny</v>
      </c>
      <c r="C943" s="1">
        <v>42930</v>
      </c>
      <c r="D943" s="2">
        <v>0.43115740740740743</v>
      </c>
      <c r="E943" s="2">
        <v>0.43990740740740741</v>
      </c>
    </row>
    <row r="944" spans="1:5" x14ac:dyDescent="0.25">
      <c r="A944">
        <v>6026397</v>
      </c>
      <c r="B944" t="str">
        <f t="shared" si="14"/>
        <v>stacjonarny</v>
      </c>
      <c r="C944" s="1">
        <v>42930</v>
      </c>
      <c r="D944" s="2">
        <v>0.43362268518518521</v>
      </c>
      <c r="E944" s="2">
        <v>0.44447916666666665</v>
      </c>
    </row>
    <row r="945" spans="1:5" x14ac:dyDescent="0.25">
      <c r="A945">
        <v>54821549</v>
      </c>
      <c r="B945" t="str">
        <f t="shared" si="14"/>
        <v>komorkowy</v>
      </c>
      <c r="C945" s="1">
        <v>42930</v>
      </c>
      <c r="D945" s="2">
        <v>0.43517361111111114</v>
      </c>
      <c r="E945" s="2">
        <v>0.4466087962962963</v>
      </c>
    </row>
    <row r="946" spans="1:5" x14ac:dyDescent="0.25">
      <c r="A946">
        <v>4555937</v>
      </c>
      <c r="B946" t="str">
        <f t="shared" si="14"/>
        <v>stacjonarny</v>
      </c>
      <c r="C946" s="1">
        <v>42930</v>
      </c>
      <c r="D946" s="2">
        <v>0.43956018518518519</v>
      </c>
      <c r="E946" s="2">
        <v>0.44253472222222223</v>
      </c>
    </row>
    <row r="947" spans="1:5" x14ac:dyDescent="0.25">
      <c r="A947">
        <v>65621292</v>
      </c>
      <c r="B947" t="str">
        <f t="shared" si="14"/>
        <v>komorkowy</v>
      </c>
      <c r="C947" s="1">
        <v>42930</v>
      </c>
      <c r="D947" s="2">
        <v>0.44060185185185186</v>
      </c>
      <c r="E947" s="2">
        <v>0.44655092592592593</v>
      </c>
    </row>
    <row r="948" spans="1:5" x14ac:dyDescent="0.25">
      <c r="A948">
        <v>13898038</v>
      </c>
      <c r="B948" t="str">
        <f t="shared" si="14"/>
        <v>komorkowy</v>
      </c>
      <c r="C948" s="1">
        <v>42930</v>
      </c>
      <c r="D948" s="2">
        <v>0.44072916666666667</v>
      </c>
      <c r="E948" s="2">
        <v>0.4496412037037037</v>
      </c>
    </row>
    <row r="949" spans="1:5" x14ac:dyDescent="0.25">
      <c r="A949">
        <v>6018613</v>
      </c>
      <c r="B949" t="str">
        <f t="shared" si="14"/>
        <v>stacjonarny</v>
      </c>
      <c r="C949" s="1">
        <v>42930</v>
      </c>
      <c r="D949" s="2">
        <v>0.44295138888888891</v>
      </c>
      <c r="E949" s="2">
        <v>0.44545138888888891</v>
      </c>
    </row>
    <row r="950" spans="1:5" x14ac:dyDescent="0.25">
      <c r="A950">
        <v>7741751</v>
      </c>
      <c r="B950" t="str">
        <f t="shared" si="14"/>
        <v>stacjonarny</v>
      </c>
      <c r="C950" s="1">
        <v>42930</v>
      </c>
      <c r="D950" s="2">
        <v>0.4450925925925926</v>
      </c>
      <c r="E950" s="2">
        <v>0.44888888888888889</v>
      </c>
    </row>
    <row r="951" spans="1:5" x14ac:dyDescent="0.25">
      <c r="A951">
        <v>5512492</v>
      </c>
      <c r="B951" t="str">
        <f t="shared" si="14"/>
        <v>stacjonarny</v>
      </c>
      <c r="C951" s="1">
        <v>42930</v>
      </c>
      <c r="D951" s="2">
        <v>0.44538194444444446</v>
      </c>
      <c r="E951" s="2">
        <v>0.4525925925925926</v>
      </c>
    </row>
    <row r="952" spans="1:5" x14ac:dyDescent="0.25">
      <c r="A952">
        <v>36332723</v>
      </c>
      <c r="B952" t="str">
        <f t="shared" si="14"/>
        <v>komorkowy</v>
      </c>
      <c r="C952" s="1">
        <v>42930</v>
      </c>
      <c r="D952" s="2">
        <v>0.44593749999999999</v>
      </c>
      <c r="E952" s="2">
        <v>0.44957175925925924</v>
      </c>
    </row>
    <row r="953" spans="1:5" x14ac:dyDescent="0.25">
      <c r="A953">
        <v>28961250</v>
      </c>
      <c r="B953" t="str">
        <f t="shared" si="14"/>
        <v>komorkowy</v>
      </c>
      <c r="C953" s="1">
        <v>42930</v>
      </c>
      <c r="D953" s="2">
        <v>0.4478935185185185</v>
      </c>
      <c r="E953" s="2">
        <v>0.44805555555555554</v>
      </c>
    </row>
    <row r="954" spans="1:5" x14ac:dyDescent="0.25">
      <c r="A954">
        <v>96191858</v>
      </c>
      <c r="B954" t="str">
        <f t="shared" si="14"/>
        <v>komorkowy</v>
      </c>
      <c r="C954" s="1">
        <v>42930</v>
      </c>
      <c r="D954" s="2">
        <v>0.44916666666666666</v>
      </c>
      <c r="E954" s="2">
        <v>0.46023148148148146</v>
      </c>
    </row>
    <row r="955" spans="1:5" x14ac:dyDescent="0.25">
      <c r="A955">
        <v>49342013</v>
      </c>
      <c r="B955" t="str">
        <f t="shared" si="14"/>
        <v>komorkowy</v>
      </c>
      <c r="C955" s="1">
        <v>42930</v>
      </c>
      <c r="D955" s="2">
        <v>0.45233796296296297</v>
      </c>
      <c r="E955" s="2">
        <v>0.45649305555555558</v>
      </c>
    </row>
    <row r="956" spans="1:5" x14ac:dyDescent="0.25">
      <c r="A956">
        <v>2329556</v>
      </c>
      <c r="B956" t="str">
        <f t="shared" si="14"/>
        <v>stacjonarny</v>
      </c>
      <c r="C956" s="1">
        <v>42930</v>
      </c>
      <c r="D956" s="2">
        <v>0.45667824074074076</v>
      </c>
      <c r="E956" s="2">
        <v>0.45679398148148148</v>
      </c>
    </row>
    <row r="957" spans="1:5" x14ac:dyDescent="0.25">
      <c r="A957">
        <v>2969264</v>
      </c>
      <c r="B957" t="str">
        <f t="shared" si="14"/>
        <v>stacjonarny</v>
      </c>
      <c r="C957" s="1">
        <v>42930</v>
      </c>
      <c r="D957" s="2">
        <v>0.45930555555555558</v>
      </c>
      <c r="E957" s="2">
        <v>0.4634375</v>
      </c>
    </row>
    <row r="958" spans="1:5" x14ac:dyDescent="0.25">
      <c r="A958">
        <v>8498683</v>
      </c>
      <c r="B958" t="str">
        <f t="shared" si="14"/>
        <v>stacjonarny</v>
      </c>
      <c r="C958" s="1">
        <v>42930</v>
      </c>
      <c r="D958" s="2">
        <v>0.45950231481481479</v>
      </c>
      <c r="E958" s="2">
        <v>0.46177083333333335</v>
      </c>
    </row>
    <row r="959" spans="1:5" x14ac:dyDescent="0.25">
      <c r="A959">
        <v>2341441</v>
      </c>
      <c r="B959" t="str">
        <f t="shared" si="14"/>
        <v>stacjonarny</v>
      </c>
      <c r="C959" s="1">
        <v>42930</v>
      </c>
      <c r="D959" s="2">
        <v>0.46333333333333332</v>
      </c>
      <c r="E959" s="2">
        <v>0.46409722222222222</v>
      </c>
    </row>
    <row r="960" spans="1:5" x14ac:dyDescent="0.25">
      <c r="A960">
        <v>30270334</v>
      </c>
      <c r="B960" t="str">
        <f t="shared" si="14"/>
        <v>komorkowy</v>
      </c>
      <c r="C960" s="1">
        <v>42930</v>
      </c>
      <c r="D960" s="2">
        <v>0.46587962962962964</v>
      </c>
      <c r="E960" s="2">
        <v>0.46755787037037039</v>
      </c>
    </row>
    <row r="961" spans="1:5" x14ac:dyDescent="0.25">
      <c r="A961">
        <v>4657345</v>
      </c>
      <c r="B961" t="str">
        <f t="shared" si="14"/>
        <v>stacjonarny</v>
      </c>
      <c r="C961" s="1">
        <v>42930</v>
      </c>
      <c r="D961" s="2">
        <v>0.46988425925925925</v>
      </c>
      <c r="E961" s="2">
        <v>0.47721064814814818</v>
      </c>
    </row>
    <row r="962" spans="1:5" x14ac:dyDescent="0.25">
      <c r="A962">
        <v>2145244</v>
      </c>
      <c r="B962" t="str">
        <f t="shared" si="14"/>
        <v>stacjonarny</v>
      </c>
      <c r="C962" s="1">
        <v>42930</v>
      </c>
      <c r="D962" s="2">
        <v>0.47028935185185183</v>
      </c>
      <c r="E962" s="2">
        <v>0.47052083333333333</v>
      </c>
    </row>
    <row r="963" spans="1:5" x14ac:dyDescent="0.25">
      <c r="A963">
        <v>7627829</v>
      </c>
      <c r="B963" t="str">
        <f t="shared" ref="B963:B1026" si="15">IF(LEN(A963)=7, "stacjonarny", IF(LEN(A963)=8, "komorkowy", "zagraniczny"))</f>
        <v>stacjonarny</v>
      </c>
      <c r="C963" s="1">
        <v>42930</v>
      </c>
      <c r="D963" s="2">
        <v>0.4742824074074074</v>
      </c>
      <c r="E963" s="2">
        <v>0.48538194444444444</v>
      </c>
    </row>
    <row r="964" spans="1:5" x14ac:dyDescent="0.25">
      <c r="A964">
        <v>9182658</v>
      </c>
      <c r="B964" t="str">
        <f t="shared" si="15"/>
        <v>stacjonarny</v>
      </c>
      <c r="C964" s="1">
        <v>42930</v>
      </c>
      <c r="D964" s="2">
        <v>0.47594907407407405</v>
      </c>
      <c r="E964" s="2">
        <v>0.47641203703703705</v>
      </c>
    </row>
    <row r="965" spans="1:5" x14ac:dyDescent="0.25">
      <c r="A965">
        <v>4191600</v>
      </c>
      <c r="B965" t="str">
        <f t="shared" si="15"/>
        <v>stacjonarny</v>
      </c>
      <c r="C965" s="1">
        <v>42930</v>
      </c>
      <c r="D965" s="2">
        <v>0.47799768518518521</v>
      </c>
      <c r="E965" s="2">
        <v>0.47905092592592591</v>
      </c>
    </row>
    <row r="966" spans="1:5" x14ac:dyDescent="0.25">
      <c r="A966">
        <v>5492379</v>
      </c>
      <c r="B966" t="str">
        <f t="shared" si="15"/>
        <v>stacjonarny</v>
      </c>
      <c r="C966" s="1">
        <v>42930</v>
      </c>
      <c r="D966" s="2">
        <v>0.47825231481481484</v>
      </c>
      <c r="E966" s="2">
        <v>0.48502314814814818</v>
      </c>
    </row>
    <row r="967" spans="1:5" x14ac:dyDescent="0.25">
      <c r="A967">
        <v>2861766</v>
      </c>
      <c r="B967" t="str">
        <f t="shared" si="15"/>
        <v>stacjonarny</v>
      </c>
      <c r="C967" s="1">
        <v>42930</v>
      </c>
      <c r="D967" s="2">
        <v>0.48138888888888887</v>
      </c>
      <c r="E967" s="2">
        <v>0.48574074074074075</v>
      </c>
    </row>
    <row r="968" spans="1:5" x14ac:dyDescent="0.25">
      <c r="A968">
        <v>1309359</v>
      </c>
      <c r="B968" t="str">
        <f t="shared" si="15"/>
        <v>stacjonarny</v>
      </c>
      <c r="C968" s="1">
        <v>42930</v>
      </c>
      <c r="D968" s="2">
        <v>0.48422453703703705</v>
      </c>
      <c r="E968" s="2">
        <v>0.48562499999999997</v>
      </c>
    </row>
    <row r="969" spans="1:5" x14ac:dyDescent="0.25">
      <c r="A969">
        <v>5272270</v>
      </c>
      <c r="B969" t="str">
        <f t="shared" si="15"/>
        <v>stacjonarny</v>
      </c>
      <c r="C969" s="1">
        <v>42930</v>
      </c>
      <c r="D969" s="2">
        <v>0.48579861111111111</v>
      </c>
      <c r="E969" s="2">
        <v>0.49395833333333333</v>
      </c>
    </row>
    <row r="970" spans="1:5" x14ac:dyDescent="0.25">
      <c r="A970">
        <v>9266643</v>
      </c>
      <c r="B970" t="str">
        <f t="shared" si="15"/>
        <v>stacjonarny</v>
      </c>
      <c r="C970" s="1">
        <v>42930</v>
      </c>
      <c r="D970" s="2">
        <v>0.48832175925925925</v>
      </c>
      <c r="E970" s="2">
        <v>0.49005787037037035</v>
      </c>
    </row>
    <row r="971" spans="1:5" x14ac:dyDescent="0.25">
      <c r="A971">
        <v>3460208</v>
      </c>
      <c r="B971" t="str">
        <f t="shared" si="15"/>
        <v>stacjonarny</v>
      </c>
      <c r="C971" s="1">
        <v>42930</v>
      </c>
      <c r="D971" s="2">
        <v>0.49302083333333335</v>
      </c>
      <c r="E971" s="2">
        <v>0.50244212962962964</v>
      </c>
    </row>
    <row r="972" spans="1:5" x14ac:dyDescent="0.25">
      <c r="A972">
        <v>25545000</v>
      </c>
      <c r="B972" t="str">
        <f t="shared" si="15"/>
        <v>komorkowy</v>
      </c>
      <c r="C972" s="1">
        <v>42930</v>
      </c>
      <c r="D972" s="2">
        <v>0.4959722222222222</v>
      </c>
      <c r="E972" s="2">
        <v>0.50451388888888893</v>
      </c>
    </row>
    <row r="973" spans="1:5" x14ac:dyDescent="0.25">
      <c r="A973">
        <v>1207918</v>
      </c>
      <c r="B973" t="str">
        <f t="shared" si="15"/>
        <v>stacjonarny</v>
      </c>
      <c r="C973" s="1">
        <v>42930</v>
      </c>
      <c r="D973" s="2">
        <v>0.50126157407407412</v>
      </c>
      <c r="E973" s="2">
        <v>0.51184027777777774</v>
      </c>
    </row>
    <row r="974" spans="1:5" x14ac:dyDescent="0.25">
      <c r="A974">
        <v>4471828</v>
      </c>
      <c r="B974" t="str">
        <f t="shared" si="15"/>
        <v>stacjonarny</v>
      </c>
      <c r="C974" s="1">
        <v>42930</v>
      </c>
      <c r="D974" s="2">
        <v>0.50378472222222226</v>
      </c>
      <c r="E974" s="2">
        <v>0.51043981481481482</v>
      </c>
    </row>
    <row r="975" spans="1:5" x14ac:dyDescent="0.25">
      <c r="A975">
        <v>6516836</v>
      </c>
      <c r="B975" t="str">
        <f t="shared" si="15"/>
        <v>stacjonarny</v>
      </c>
      <c r="C975" s="1">
        <v>42930</v>
      </c>
      <c r="D975" s="2">
        <v>0.50812500000000005</v>
      </c>
      <c r="E975" s="2">
        <v>0.50862268518518516</v>
      </c>
    </row>
    <row r="976" spans="1:5" x14ac:dyDescent="0.25">
      <c r="A976">
        <v>1197931</v>
      </c>
      <c r="B976" t="str">
        <f t="shared" si="15"/>
        <v>stacjonarny</v>
      </c>
      <c r="C976" s="1">
        <v>42930</v>
      </c>
      <c r="D976" s="2">
        <v>0.51179398148148147</v>
      </c>
      <c r="E976" s="2">
        <v>0.51231481481481478</v>
      </c>
    </row>
    <row r="977" spans="1:5" x14ac:dyDescent="0.25">
      <c r="A977">
        <v>8750619</v>
      </c>
      <c r="B977" t="str">
        <f t="shared" si="15"/>
        <v>stacjonarny</v>
      </c>
      <c r="C977" s="1">
        <v>42930</v>
      </c>
      <c r="D977" s="2">
        <v>0.51645833333333335</v>
      </c>
      <c r="E977" s="2">
        <v>0.51701388888888888</v>
      </c>
    </row>
    <row r="978" spans="1:5" x14ac:dyDescent="0.25">
      <c r="A978">
        <v>2076719</v>
      </c>
      <c r="B978" t="str">
        <f t="shared" si="15"/>
        <v>stacjonarny</v>
      </c>
      <c r="C978" s="1">
        <v>42930</v>
      </c>
      <c r="D978" s="2">
        <v>0.52056712962962959</v>
      </c>
      <c r="E978" s="2">
        <v>0.52818287037037037</v>
      </c>
    </row>
    <row r="979" spans="1:5" x14ac:dyDescent="0.25">
      <c r="A979">
        <v>3131883</v>
      </c>
      <c r="B979" t="str">
        <f t="shared" si="15"/>
        <v>stacjonarny</v>
      </c>
      <c r="C979" s="1">
        <v>42930</v>
      </c>
      <c r="D979" s="2">
        <v>0.52427083333333335</v>
      </c>
      <c r="E979" s="2">
        <v>0.52818287037037037</v>
      </c>
    </row>
    <row r="980" spans="1:5" x14ac:dyDescent="0.25">
      <c r="A980">
        <v>1552302</v>
      </c>
      <c r="B980" t="str">
        <f t="shared" si="15"/>
        <v>stacjonarny</v>
      </c>
      <c r="C980" s="1">
        <v>42930</v>
      </c>
      <c r="D980" s="2">
        <v>0.52953703703703703</v>
      </c>
      <c r="E980" s="2">
        <v>0.54078703703703701</v>
      </c>
    </row>
    <row r="981" spans="1:5" x14ac:dyDescent="0.25">
      <c r="A981">
        <v>33708687</v>
      </c>
      <c r="B981" t="str">
        <f t="shared" si="15"/>
        <v>komorkowy</v>
      </c>
      <c r="C981" s="1">
        <v>42930</v>
      </c>
      <c r="D981" s="2">
        <v>0.53237268518518521</v>
      </c>
      <c r="E981" s="2">
        <v>0.53413194444444445</v>
      </c>
    </row>
    <row r="982" spans="1:5" x14ac:dyDescent="0.25">
      <c r="A982">
        <v>23123600</v>
      </c>
      <c r="B982" t="str">
        <f t="shared" si="15"/>
        <v>komorkowy</v>
      </c>
      <c r="C982" s="1">
        <v>42930</v>
      </c>
      <c r="D982" s="2">
        <v>0.53268518518518515</v>
      </c>
      <c r="E982" s="2">
        <v>0.54135416666666669</v>
      </c>
    </row>
    <row r="983" spans="1:5" x14ac:dyDescent="0.25">
      <c r="A983">
        <v>5913571</v>
      </c>
      <c r="B983" t="str">
        <f t="shared" si="15"/>
        <v>stacjonarny</v>
      </c>
      <c r="C983" s="1">
        <v>42930</v>
      </c>
      <c r="D983" s="2">
        <v>0.53740740740740744</v>
      </c>
      <c r="E983" s="2">
        <v>0.54893518518518514</v>
      </c>
    </row>
    <row r="984" spans="1:5" x14ac:dyDescent="0.25">
      <c r="A984">
        <v>5790304</v>
      </c>
      <c r="B984" t="str">
        <f t="shared" si="15"/>
        <v>stacjonarny</v>
      </c>
      <c r="C984" s="1">
        <v>42930</v>
      </c>
      <c r="D984" s="2">
        <v>0.53768518518518515</v>
      </c>
      <c r="E984" s="2">
        <v>0.53770833333333334</v>
      </c>
    </row>
    <row r="985" spans="1:5" x14ac:dyDescent="0.25">
      <c r="A985">
        <v>97953696</v>
      </c>
      <c r="B985" t="str">
        <f t="shared" si="15"/>
        <v>komorkowy</v>
      </c>
      <c r="C985" s="1">
        <v>42930</v>
      </c>
      <c r="D985" s="2">
        <v>0.53909722222222223</v>
      </c>
      <c r="E985" s="2">
        <v>0.54540509259259262</v>
      </c>
    </row>
    <row r="986" spans="1:5" x14ac:dyDescent="0.25">
      <c r="A986">
        <v>13588783</v>
      </c>
      <c r="B986" t="str">
        <f t="shared" si="15"/>
        <v>komorkowy</v>
      </c>
      <c r="C986" s="1">
        <v>42930</v>
      </c>
      <c r="D986" s="2">
        <v>0.54118055555555555</v>
      </c>
      <c r="E986" s="2">
        <v>0.54894675925925929</v>
      </c>
    </row>
    <row r="987" spans="1:5" x14ac:dyDescent="0.25">
      <c r="A987">
        <v>3300626</v>
      </c>
      <c r="B987" t="str">
        <f t="shared" si="15"/>
        <v>stacjonarny</v>
      </c>
      <c r="C987" s="1">
        <v>42930</v>
      </c>
      <c r="D987" s="2">
        <v>0.54415509259259254</v>
      </c>
      <c r="E987" s="2">
        <v>0.55156249999999996</v>
      </c>
    </row>
    <row r="988" spans="1:5" x14ac:dyDescent="0.25">
      <c r="A988">
        <v>9849071</v>
      </c>
      <c r="B988" t="str">
        <f t="shared" si="15"/>
        <v>stacjonarny</v>
      </c>
      <c r="C988" s="1">
        <v>42930</v>
      </c>
      <c r="D988" s="2">
        <v>0.54498842592592589</v>
      </c>
      <c r="E988" s="2">
        <v>0.54879629629629634</v>
      </c>
    </row>
    <row r="989" spans="1:5" x14ac:dyDescent="0.25">
      <c r="A989">
        <v>39697250</v>
      </c>
      <c r="B989" t="str">
        <f t="shared" si="15"/>
        <v>komorkowy</v>
      </c>
      <c r="C989" s="1">
        <v>42930</v>
      </c>
      <c r="D989" s="2">
        <v>0.54616898148148152</v>
      </c>
      <c r="E989" s="2">
        <v>0.55153935185185188</v>
      </c>
    </row>
    <row r="990" spans="1:5" x14ac:dyDescent="0.25">
      <c r="A990">
        <v>3826370863</v>
      </c>
      <c r="B990" t="str">
        <f t="shared" si="15"/>
        <v>zagraniczny</v>
      </c>
      <c r="C990" s="1">
        <v>42930</v>
      </c>
      <c r="D990" s="2">
        <v>0.55155092592592592</v>
      </c>
      <c r="E990" s="2">
        <v>0.55709490740740741</v>
      </c>
    </row>
    <row r="991" spans="1:5" x14ac:dyDescent="0.25">
      <c r="A991">
        <v>9088452</v>
      </c>
      <c r="B991" t="str">
        <f t="shared" si="15"/>
        <v>stacjonarny</v>
      </c>
      <c r="C991" s="1">
        <v>42930</v>
      </c>
      <c r="D991" s="2">
        <v>0.55473379629629627</v>
      </c>
      <c r="E991" s="2">
        <v>0.56253472222222223</v>
      </c>
    </row>
    <row r="992" spans="1:5" x14ac:dyDescent="0.25">
      <c r="A992">
        <v>8026912</v>
      </c>
      <c r="B992" t="str">
        <f t="shared" si="15"/>
        <v>stacjonarny</v>
      </c>
      <c r="C992" s="1">
        <v>42930</v>
      </c>
      <c r="D992" s="2">
        <v>0.5561342592592593</v>
      </c>
      <c r="E992" s="2">
        <v>0.56366898148148148</v>
      </c>
    </row>
    <row r="993" spans="1:5" x14ac:dyDescent="0.25">
      <c r="A993">
        <v>24290062</v>
      </c>
      <c r="B993" t="str">
        <f t="shared" si="15"/>
        <v>komorkowy</v>
      </c>
      <c r="C993" s="1">
        <v>42930</v>
      </c>
      <c r="D993" s="2">
        <v>0.56141203703703701</v>
      </c>
      <c r="E993" s="2">
        <v>0.57055555555555559</v>
      </c>
    </row>
    <row r="994" spans="1:5" x14ac:dyDescent="0.25">
      <c r="A994">
        <v>6785899</v>
      </c>
      <c r="B994" t="str">
        <f t="shared" si="15"/>
        <v>stacjonarny</v>
      </c>
      <c r="C994" s="1">
        <v>42930</v>
      </c>
      <c r="D994" s="2">
        <v>0.56650462962962966</v>
      </c>
      <c r="E994" s="2">
        <v>0.57533564814814819</v>
      </c>
    </row>
    <row r="995" spans="1:5" x14ac:dyDescent="0.25">
      <c r="A995">
        <v>75048005</v>
      </c>
      <c r="B995" t="str">
        <f t="shared" si="15"/>
        <v>komorkowy</v>
      </c>
      <c r="C995" s="1">
        <v>42930</v>
      </c>
      <c r="D995" s="2">
        <v>0.57197916666666671</v>
      </c>
      <c r="E995" s="2">
        <v>0.58081018518518523</v>
      </c>
    </row>
    <row r="996" spans="1:5" x14ac:dyDescent="0.25">
      <c r="A996">
        <v>97459926</v>
      </c>
      <c r="B996" t="str">
        <f t="shared" si="15"/>
        <v>komorkowy</v>
      </c>
      <c r="C996" s="1">
        <v>42930</v>
      </c>
      <c r="D996" s="2">
        <v>0.57262731481481477</v>
      </c>
      <c r="E996" s="2">
        <v>0.57991898148148147</v>
      </c>
    </row>
    <row r="997" spans="1:5" x14ac:dyDescent="0.25">
      <c r="A997">
        <v>9600226</v>
      </c>
      <c r="B997" t="str">
        <f t="shared" si="15"/>
        <v>stacjonarny</v>
      </c>
      <c r="C997" s="1">
        <v>42930</v>
      </c>
      <c r="D997" s="2">
        <v>0.57451388888888888</v>
      </c>
      <c r="E997" s="2">
        <v>0.57847222222222228</v>
      </c>
    </row>
    <row r="998" spans="1:5" x14ac:dyDescent="0.25">
      <c r="A998">
        <v>9685747</v>
      </c>
      <c r="B998" t="str">
        <f t="shared" si="15"/>
        <v>stacjonarny</v>
      </c>
      <c r="C998" s="1">
        <v>42930</v>
      </c>
      <c r="D998" s="2">
        <v>0.57810185185185181</v>
      </c>
      <c r="E998" s="2">
        <v>0.58810185185185182</v>
      </c>
    </row>
    <row r="999" spans="1:5" x14ac:dyDescent="0.25">
      <c r="A999">
        <v>3178616</v>
      </c>
      <c r="B999" t="str">
        <f t="shared" si="15"/>
        <v>stacjonarny</v>
      </c>
      <c r="C999" s="1">
        <v>42930</v>
      </c>
      <c r="D999" s="2">
        <v>0.58233796296296292</v>
      </c>
      <c r="E999" s="2">
        <v>0.58734953703703707</v>
      </c>
    </row>
    <row r="1000" spans="1:5" x14ac:dyDescent="0.25">
      <c r="A1000">
        <v>9979899</v>
      </c>
      <c r="B1000" t="str">
        <f t="shared" si="15"/>
        <v>stacjonarny</v>
      </c>
      <c r="C1000" s="1">
        <v>42930</v>
      </c>
      <c r="D1000" s="2">
        <v>0.58810185185185182</v>
      </c>
      <c r="E1000" s="2">
        <v>0.59134259259259259</v>
      </c>
    </row>
    <row r="1001" spans="1:5" x14ac:dyDescent="0.25">
      <c r="A1001">
        <v>4575865</v>
      </c>
      <c r="B1001" t="str">
        <f t="shared" si="15"/>
        <v>stacjonarny</v>
      </c>
      <c r="C1001" s="1">
        <v>42930</v>
      </c>
      <c r="D1001" s="2">
        <v>0.58959490740740739</v>
      </c>
      <c r="E1001" s="2">
        <v>0.59105324074074073</v>
      </c>
    </row>
    <row r="1002" spans="1:5" x14ac:dyDescent="0.25">
      <c r="A1002">
        <v>1808444</v>
      </c>
      <c r="B1002" t="str">
        <f t="shared" si="15"/>
        <v>stacjonarny</v>
      </c>
      <c r="C1002" s="1">
        <v>42930</v>
      </c>
      <c r="D1002" s="2">
        <v>0.59284722222222219</v>
      </c>
      <c r="E1002" s="2">
        <v>0.59662037037037041</v>
      </c>
    </row>
    <row r="1003" spans="1:5" x14ac:dyDescent="0.25">
      <c r="A1003">
        <v>1649912</v>
      </c>
      <c r="B1003" t="str">
        <f t="shared" si="15"/>
        <v>stacjonarny</v>
      </c>
      <c r="C1003" s="1">
        <v>42930</v>
      </c>
      <c r="D1003" s="2">
        <v>0.59467592592592589</v>
      </c>
      <c r="E1003" s="2">
        <v>0.60392361111111115</v>
      </c>
    </row>
    <row r="1004" spans="1:5" x14ac:dyDescent="0.25">
      <c r="A1004">
        <v>6128500046</v>
      </c>
      <c r="B1004" t="str">
        <f t="shared" si="15"/>
        <v>zagraniczny</v>
      </c>
      <c r="C1004" s="1">
        <v>42930</v>
      </c>
      <c r="D1004" s="2">
        <v>0.5981481481481481</v>
      </c>
      <c r="E1004" s="2">
        <v>0.60513888888888889</v>
      </c>
    </row>
    <row r="1005" spans="1:5" x14ac:dyDescent="0.25">
      <c r="A1005">
        <v>6580951</v>
      </c>
      <c r="B1005" t="str">
        <f t="shared" si="15"/>
        <v>stacjonarny</v>
      </c>
      <c r="C1005" s="1">
        <v>42930</v>
      </c>
      <c r="D1005" s="2">
        <v>0.6001967592592593</v>
      </c>
      <c r="E1005" s="2">
        <v>0.60023148148148153</v>
      </c>
    </row>
    <row r="1006" spans="1:5" x14ac:dyDescent="0.25">
      <c r="A1006">
        <v>5536146</v>
      </c>
      <c r="B1006" t="str">
        <f t="shared" si="15"/>
        <v>stacjonarny</v>
      </c>
      <c r="C1006" s="1">
        <v>42930</v>
      </c>
      <c r="D1006" s="2">
        <v>0.60204861111111108</v>
      </c>
      <c r="E1006" s="2">
        <v>0.60319444444444448</v>
      </c>
    </row>
    <row r="1007" spans="1:5" x14ac:dyDescent="0.25">
      <c r="A1007">
        <v>7396921</v>
      </c>
      <c r="B1007" t="str">
        <f t="shared" si="15"/>
        <v>stacjonarny</v>
      </c>
      <c r="C1007" s="1">
        <v>42930</v>
      </c>
      <c r="D1007" s="2">
        <v>0.60775462962962967</v>
      </c>
      <c r="E1007" s="2">
        <v>0.61614583333333328</v>
      </c>
    </row>
    <row r="1008" spans="1:5" x14ac:dyDescent="0.25">
      <c r="A1008">
        <v>8331262</v>
      </c>
      <c r="B1008" t="str">
        <f t="shared" si="15"/>
        <v>stacjonarny</v>
      </c>
      <c r="C1008" s="1">
        <v>42930</v>
      </c>
      <c r="D1008" s="2">
        <v>0.61174768518518519</v>
      </c>
      <c r="E1008" s="2">
        <v>0.61697916666666663</v>
      </c>
    </row>
    <row r="1009" spans="1:5" x14ac:dyDescent="0.25">
      <c r="A1009">
        <v>5146166</v>
      </c>
      <c r="B1009" t="str">
        <f t="shared" si="15"/>
        <v>stacjonarny</v>
      </c>
      <c r="C1009" s="1">
        <v>42930</v>
      </c>
      <c r="D1009" s="2">
        <v>0.61546296296296299</v>
      </c>
      <c r="E1009" s="2">
        <v>0.62185185185185188</v>
      </c>
    </row>
    <row r="1010" spans="1:5" x14ac:dyDescent="0.25">
      <c r="A1010">
        <v>6729705</v>
      </c>
      <c r="B1010" t="str">
        <f t="shared" si="15"/>
        <v>stacjonarny</v>
      </c>
      <c r="C1010" s="1">
        <v>42930</v>
      </c>
      <c r="D1010" s="2">
        <v>0.62111111111111106</v>
      </c>
      <c r="E1010" s="2">
        <v>0.62814814814814812</v>
      </c>
    </row>
    <row r="1011" spans="1:5" x14ac:dyDescent="0.25">
      <c r="A1011">
        <v>5372125</v>
      </c>
      <c r="B1011" t="str">
        <f t="shared" si="15"/>
        <v>stacjonarny</v>
      </c>
      <c r="C1011" s="1">
        <v>42930</v>
      </c>
      <c r="D1011" s="2">
        <v>0.62517361111111114</v>
      </c>
      <c r="E1011" s="2">
        <v>0.62518518518518518</v>
      </c>
    </row>
    <row r="1012" spans="1:5" x14ac:dyDescent="0.25">
      <c r="A1012">
        <v>8870498</v>
      </c>
      <c r="B1012" t="str">
        <f t="shared" si="15"/>
        <v>stacjonarny</v>
      </c>
      <c r="C1012" s="1">
        <v>42933</v>
      </c>
      <c r="D1012" s="2">
        <v>0.33702546296296299</v>
      </c>
      <c r="E1012" s="2">
        <v>0.34466435185185185</v>
      </c>
    </row>
    <row r="1013" spans="1:5" x14ac:dyDescent="0.25">
      <c r="A1013">
        <v>7880585</v>
      </c>
      <c r="B1013" t="str">
        <f t="shared" si="15"/>
        <v>stacjonarny</v>
      </c>
      <c r="C1013" s="1">
        <v>42933</v>
      </c>
      <c r="D1013" s="2">
        <v>0.34074074074074073</v>
      </c>
      <c r="E1013" s="2">
        <v>0.34971064814814817</v>
      </c>
    </row>
    <row r="1014" spans="1:5" x14ac:dyDescent="0.25">
      <c r="A1014">
        <v>3652646</v>
      </c>
      <c r="B1014" t="str">
        <f t="shared" si="15"/>
        <v>stacjonarny</v>
      </c>
      <c r="C1014" s="1">
        <v>42933</v>
      </c>
      <c r="D1014" s="2">
        <v>0.34233796296296298</v>
      </c>
      <c r="E1014" s="2">
        <v>0.34569444444444447</v>
      </c>
    </row>
    <row r="1015" spans="1:5" x14ac:dyDescent="0.25">
      <c r="A1015">
        <v>3691457</v>
      </c>
      <c r="B1015" t="str">
        <f t="shared" si="15"/>
        <v>stacjonarny</v>
      </c>
      <c r="C1015" s="1">
        <v>42933</v>
      </c>
      <c r="D1015" s="2">
        <v>0.34688657407407408</v>
      </c>
      <c r="E1015" s="2">
        <v>0.35810185185185184</v>
      </c>
    </row>
    <row r="1016" spans="1:5" x14ac:dyDescent="0.25">
      <c r="A1016">
        <v>4344184930</v>
      </c>
      <c r="B1016" t="str">
        <f t="shared" si="15"/>
        <v>zagraniczny</v>
      </c>
      <c r="C1016" s="1">
        <v>42933</v>
      </c>
      <c r="D1016" s="2">
        <v>0.34866898148148145</v>
      </c>
      <c r="E1016" s="2">
        <v>0.35778935185185184</v>
      </c>
    </row>
    <row r="1017" spans="1:5" x14ac:dyDescent="0.25">
      <c r="A1017">
        <v>5290460</v>
      </c>
      <c r="B1017" t="str">
        <f t="shared" si="15"/>
        <v>stacjonarny</v>
      </c>
      <c r="C1017" s="1">
        <v>42933</v>
      </c>
      <c r="D1017" s="2">
        <v>0.3525578703703704</v>
      </c>
      <c r="E1017" s="2">
        <v>0.36346064814814816</v>
      </c>
    </row>
    <row r="1018" spans="1:5" x14ac:dyDescent="0.25">
      <c r="A1018">
        <v>6922037</v>
      </c>
      <c r="B1018" t="str">
        <f t="shared" si="15"/>
        <v>stacjonarny</v>
      </c>
      <c r="C1018" s="1">
        <v>42933</v>
      </c>
      <c r="D1018" s="2">
        <v>0.35569444444444442</v>
      </c>
      <c r="E1018" s="2">
        <v>0.35796296296296298</v>
      </c>
    </row>
    <row r="1019" spans="1:5" x14ac:dyDescent="0.25">
      <c r="A1019">
        <v>7060245</v>
      </c>
      <c r="B1019" t="str">
        <f t="shared" si="15"/>
        <v>stacjonarny</v>
      </c>
      <c r="C1019" s="1">
        <v>42933</v>
      </c>
      <c r="D1019" s="2">
        <v>0.35920138888888886</v>
      </c>
      <c r="E1019" s="2">
        <v>0.36319444444444443</v>
      </c>
    </row>
    <row r="1020" spans="1:5" x14ac:dyDescent="0.25">
      <c r="A1020">
        <v>5788783</v>
      </c>
      <c r="B1020" t="str">
        <f t="shared" si="15"/>
        <v>stacjonarny</v>
      </c>
      <c r="C1020" s="1">
        <v>42933</v>
      </c>
      <c r="D1020" s="2">
        <v>0.36114583333333333</v>
      </c>
      <c r="E1020" s="2">
        <v>0.36629629629629629</v>
      </c>
    </row>
    <row r="1021" spans="1:5" x14ac:dyDescent="0.25">
      <c r="A1021">
        <v>8647144</v>
      </c>
      <c r="B1021" t="str">
        <f t="shared" si="15"/>
        <v>stacjonarny</v>
      </c>
      <c r="C1021" s="1">
        <v>42933</v>
      </c>
      <c r="D1021" s="2">
        <v>0.36208333333333331</v>
      </c>
      <c r="E1021" s="2">
        <v>0.36282407407407408</v>
      </c>
    </row>
    <row r="1022" spans="1:5" x14ac:dyDescent="0.25">
      <c r="A1022">
        <v>24665933</v>
      </c>
      <c r="B1022" t="str">
        <f t="shared" si="15"/>
        <v>komorkowy</v>
      </c>
      <c r="C1022" s="1">
        <v>42933</v>
      </c>
      <c r="D1022" s="2">
        <v>0.36373842592592592</v>
      </c>
      <c r="E1022" s="2">
        <v>0.36895833333333333</v>
      </c>
    </row>
    <row r="1023" spans="1:5" x14ac:dyDescent="0.25">
      <c r="A1023">
        <v>3326329</v>
      </c>
      <c r="B1023" t="str">
        <f t="shared" si="15"/>
        <v>stacjonarny</v>
      </c>
      <c r="C1023" s="1">
        <v>42933</v>
      </c>
      <c r="D1023" s="2">
        <v>0.36928240740740742</v>
      </c>
      <c r="E1023" s="2">
        <v>0.37148148148148147</v>
      </c>
    </row>
    <row r="1024" spans="1:5" x14ac:dyDescent="0.25">
      <c r="A1024">
        <v>3478111</v>
      </c>
      <c r="B1024" t="str">
        <f t="shared" si="15"/>
        <v>stacjonarny</v>
      </c>
      <c r="C1024" s="1">
        <v>42933</v>
      </c>
      <c r="D1024" s="2">
        <v>0.37144675925925924</v>
      </c>
      <c r="E1024" s="2">
        <v>0.37270833333333331</v>
      </c>
    </row>
    <row r="1025" spans="1:5" x14ac:dyDescent="0.25">
      <c r="A1025">
        <v>7937998</v>
      </c>
      <c r="B1025" t="str">
        <f t="shared" si="15"/>
        <v>stacjonarny</v>
      </c>
      <c r="C1025" s="1">
        <v>42933</v>
      </c>
      <c r="D1025" s="2">
        <v>0.37627314814814816</v>
      </c>
      <c r="E1025" s="2">
        <v>0.37802083333333331</v>
      </c>
    </row>
    <row r="1026" spans="1:5" x14ac:dyDescent="0.25">
      <c r="A1026">
        <v>82239478</v>
      </c>
      <c r="B1026" t="str">
        <f t="shared" si="15"/>
        <v>komorkowy</v>
      </c>
      <c r="C1026" s="1">
        <v>42933</v>
      </c>
      <c r="D1026" s="2">
        <v>0.38178240740740743</v>
      </c>
      <c r="E1026" s="2">
        <v>0.38648148148148148</v>
      </c>
    </row>
    <row r="1027" spans="1:5" x14ac:dyDescent="0.25">
      <c r="A1027">
        <v>2557643</v>
      </c>
      <c r="B1027" t="str">
        <f t="shared" ref="B1027:B1090" si="16">IF(LEN(A1027)=7, "stacjonarny", IF(LEN(A1027)=8, "komorkowy", "zagraniczny"))</f>
        <v>stacjonarny</v>
      </c>
      <c r="C1027" s="1">
        <v>42933</v>
      </c>
      <c r="D1027" s="2">
        <v>0.38622685185185185</v>
      </c>
      <c r="E1027" s="2">
        <v>0.38957175925925924</v>
      </c>
    </row>
    <row r="1028" spans="1:5" x14ac:dyDescent="0.25">
      <c r="A1028">
        <v>4501726</v>
      </c>
      <c r="B1028" t="str">
        <f t="shared" si="16"/>
        <v>stacjonarny</v>
      </c>
      <c r="C1028" s="1">
        <v>42933</v>
      </c>
      <c r="D1028" s="2">
        <v>0.38754629629629628</v>
      </c>
      <c r="E1028" s="2">
        <v>0.39260416666666664</v>
      </c>
    </row>
    <row r="1029" spans="1:5" x14ac:dyDescent="0.25">
      <c r="A1029">
        <v>1415198</v>
      </c>
      <c r="B1029" t="str">
        <f t="shared" si="16"/>
        <v>stacjonarny</v>
      </c>
      <c r="C1029" s="1">
        <v>42933</v>
      </c>
      <c r="D1029" s="2">
        <v>0.38991898148148146</v>
      </c>
      <c r="E1029" s="2">
        <v>0.40072916666666669</v>
      </c>
    </row>
    <row r="1030" spans="1:5" x14ac:dyDescent="0.25">
      <c r="A1030">
        <v>23368531</v>
      </c>
      <c r="B1030" t="str">
        <f t="shared" si="16"/>
        <v>komorkowy</v>
      </c>
      <c r="C1030" s="1">
        <v>42933</v>
      </c>
      <c r="D1030" s="2">
        <v>0.39103009259259258</v>
      </c>
      <c r="E1030" s="2">
        <v>0.39221064814814816</v>
      </c>
    </row>
    <row r="1031" spans="1:5" x14ac:dyDescent="0.25">
      <c r="A1031">
        <v>5750549</v>
      </c>
      <c r="B1031" t="str">
        <f t="shared" si="16"/>
        <v>stacjonarny</v>
      </c>
      <c r="C1031" s="1">
        <v>42933</v>
      </c>
      <c r="D1031" s="2">
        <v>0.3948726851851852</v>
      </c>
      <c r="E1031" s="2">
        <v>0.39504629629629628</v>
      </c>
    </row>
    <row r="1032" spans="1:5" x14ac:dyDescent="0.25">
      <c r="A1032">
        <v>3897850970</v>
      </c>
      <c r="B1032" t="str">
        <f t="shared" si="16"/>
        <v>zagraniczny</v>
      </c>
      <c r="C1032" s="1">
        <v>42933</v>
      </c>
      <c r="D1032" s="2">
        <v>0.3951736111111111</v>
      </c>
      <c r="E1032" s="2">
        <v>0.39697916666666666</v>
      </c>
    </row>
    <row r="1033" spans="1:5" x14ac:dyDescent="0.25">
      <c r="A1033">
        <v>2573868</v>
      </c>
      <c r="B1033" t="str">
        <f t="shared" si="16"/>
        <v>stacjonarny</v>
      </c>
      <c r="C1033" s="1">
        <v>42933</v>
      </c>
      <c r="D1033" s="2">
        <v>0.39962962962962961</v>
      </c>
      <c r="E1033" s="2">
        <v>0.40937499999999999</v>
      </c>
    </row>
    <row r="1034" spans="1:5" x14ac:dyDescent="0.25">
      <c r="A1034">
        <v>1701008</v>
      </c>
      <c r="B1034" t="str">
        <f t="shared" si="16"/>
        <v>stacjonarny</v>
      </c>
      <c r="C1034" s="1">
        <v>42933</v>
      </c>
      <c r="D1034" s="2">
        <v>0.40104166666666669</v>
      </c>
      <c r="E1034" s="2">
        <v>0.40837962962962965</v>
      </c>
    </row>
    <row r="1035" spans="1:5" x14ac:dyDescent="0.25">
      <c r="A1035">
        <v>1617146</v>
      </c>
      <c r="B1035" t="str">
        <f t="shared" si="16"/>
        <v>stacjonarny</v>
      </c>
      <c r="C1035" s="1">
        <v>42933</v>
      </c>
      <c r="D1035" s="2">
        <v>0.40575231481481483</v>
      </c>
      <c r="E1035" s="2">
        <v>0.41274305555555557</v>
      </c>
    </row>
    <row r="1036" spans="1:5" x14ac:dyDescent="0.25">
      <c r="A1036">
        <v>7085993</v>
      </c>
      <c r="B1036" t="str">
        <f t="shared" si="16"/>
        <v>stacjonarny</v>
      </c>
      <c r="C1036" s="1">
        <v>42933</v>
      </c>
      <c r="D1036" s="2">
        <v>0.40719907407407407</v>
      </c>
      <c r="E1036" s="2">
        <v>0.41578703703703701</v>
      </c>
    </row>
    <row r="1037" spans="1:5" x14ac:dyDescent="0.25">
      <c r="A1037">
        <v>73460179</v>
      </c>
      <c r="B1037" t="str">
        <f t="shared" si="16"/>
        <v>komorkowy</v>
      </c>
      <c r="C1037" s="1">
        <v>42933</v>
      </c>
      <c r="D1037" s="2">
        <v>0.41060185185185183</v>
      </c>
      <c r="E1037" s="2">
        <v>0.41334490740740742</v>
      </c>
    </row>
    <row r="1038" spans="1:5" x14ac:dyDescent="0.25">
      <c r="A1038">
        <v>5983034</v>
      </c>
      <c r="B1038" t="str">
        <f t="shared" si="16"/>
        <v>stacjonarny</v>
      </c>
      <c r="C1038" s="1">
        <v>42933</v>
      </c>
      <c r="D1038" s="2">
        <v>0.41253472222222221</v>
      </c>
      <c r="E1038" s="2">
        <v>0.41753472222222221</v>
      </c>
    </row>
    <row r="1039" spans="1:5" x14ac:dyDescent="0.25">
      <c r="A1039">
        <v>16724936</v>
      </c>
      <c r="B1039" t="str">
        <f t="shared" si="16"/>
        <v>komorkowy</v>
      </c>
      <c r="C1039" s="1">
        <v>42933</v>
      </c>
      <c r="D1039" s="2">
        <v>0.41317129629629629</v>
      </c>
      <c r="E1039" s="2">
        <v>0.41466435185185185</v>
      </c>
    </row>
    <row r="1040" spans="1:5" x14ac:dyDescent="0.25">
      <c r="A1040">
        <v>19343766</v>
      </c>
      <c r="B1040" t="str">
        <f t="shared" si="16"/>
        <v>komorkowy</v>
      </c>
      <c r="C1040" s="1">
        <v>42933</v>
      </c>
      <c r="D1040" s="2">
        <v>0.41572916666666665</v>
      </c>
      <c r="E1040" s="2">
        <v>0.41825231481481484</v>
      </c>
    </row>
    <row r="1041" spans="1:5" x14ac:dyDescent="0.25">
      <c r="A1041">
        <v>7439955</v>
      </c>
      <c r="B1041" t="str">
        <f t="shared" si="16"/>
        <v>stacjonarny</v>
      </c>
      <c r="C1041" s="1">
        <v>42933</v>
      </c>
      <c r="D1041" s="2">
        <v>0.41716435185185186</v>
      </c>
      <c r="E1041" s="2">
        <v>0.4284722222222222</v>
      </c>
    </row>
    <row r="1042" spans="1:5" x14ac:dyDescent="0.25">
      <c r="A1042">
        <v>7224275</v>
      </c>
      <c r="B1042" t="str">
        <f t="shared" si="16"/>
        <v>stacjonarny</v>
      </c>
      <c r="C1042" s="1">
        <v>42933</v>
      </c>
      <c r="D1042" s="2">
        <v>0.41899305555555555</v>
      </c>
      <c r="E1042" s="2">
        <v>0.41968749999999999</v>
      </c>
    </row>
    <row r="1043" spans="1:5" x14ac:dyDescent="0.25">
      <c r="A1043">
        <v>1679471</v>
      </c>
      <c r="B1043" t="str">
        <f t="shared" si="16"/>
        <v>stacjonarny</v>
      </c>
      <c r="C1043" s="1">
        <v>42933</v>
      </c>
      <c r="D1043" s="2">
        <v>0.42386574074074074</v>
      </c>
      <c r="E1043" s="2">
        <v>0.42885416666666665</v>
      </c>
    </row>
    <row r="1044" spans="1:5" x14ac:dyDescent="0.25">
      <c r="A1044">
        <v>6270159</v>
      </c>
      <c r="B1044" t="str">
        <f t="shared" si="16"/>
        <v>stacjonarny</v>
      </c>
      <c r="C1044" s="1">
        <v>42933</v>
      </c>
      <c r="D1044" s="2">
        <v>0.42664351851851851</v>
      </c>
      <c r="E1044" s="2">
        <v>0.42697916666666669</v>
      </c>
    </row>
    <row r="1045" spans="1:5" x14ac:dyDescent="0.25">
      <c r="A1045">
        <v>1482340</v>
      </c>
      <c r="B1045" t="str">
        <f t="shared" si="16"/>
        <v>stacjonarny</v>
      </c>
      <c r="C1045" s="1">
        <v>42933</v>
      </c>
      <c r="D1045" s="2">
        <v>0.42983796296296295</v>
      </c>
      <c r="E1045" s="2">
        <v>0.43975694444444446</v>
      </c>
    </row>
    <row r="1046" spans="1:5" x14ac:dyDescent="0.25">
      <c r="A1046">
        <v>28185580</v>
      </c>
      <c r="B1046" t="str">
        <f t="shared" si="16"/>
        <v>komorkowy</v>
      </c>
      <c r="C1046" s="1">
        <v>42933</v>
      </c>
      <c r="D1046" s="2">
        <v>0.43086805555555557</v>
      </c>
      <c r="E1046" s="2">
        <v>0.43388888888888888</v>
      </c>
    </row>
    <row r="1047" spans="1:5" x14ac:dyDescent="0.25">
      <c r="A1047">
        <v>4222605</v>
      </c>
      <c r="B1047" t="str">
        <f t="shared" si="16"/>
        <v>stacjonarny</v>
      </c>
      <c r="C1047" s="1">
        <v>42933</v>
      </c>
      <c r="D1047" s="2">
        <v>0.43375000000000002</v>
      </c>
      <c r="E1047" s="2">
        <v>0.43592592592592594</v>
      </c>
    </row>
    <row r="1048" spans="1:5" x14ac:dyDescent="0.25">
      <c r="A1048">
        <v>6689117</v>
      </c>
      <c r="B1048" t="str">
        <f t="shared" si="16"/>
        <v>stacjonarny</v>
      </c>
      <c r="C1048" s="1">
        <v>42933</v>
      </c>
      <c r="D1048" s="2">
        <v>0.43546296296296294</v>
      </c>
      <c r="E1048" s="2">
        <v>0.43662037037037038</v>
      </c>
    </row>
    <row r="1049" spans="1:5" x14ac:dyDescent="0.25">
      <c r="A1049">
        <v>3785540</v>
      </c>
      <c r="B1049" t="str">
        <f t="shared" si="16"/>
        <v>stacjonarny</v>
      </c>
      <c r="C1049" s="1">
        <v>42933</v>
      </c>
      <c r="D1049" s="2">
        <v>0.43569444444444444</v>
      </c>
      <c r="E1049" s="2">
        <v>0.4362037037037037</v>
      </c>
    </row>
    <row r="1050" spans="1:5" x14ac:dyDescent="0.25">
      <c r="A1050">
        <v>6151478</v>
      </c>
      <c r="B1050" t="str">
        <f t="shared" si="16"/>
        <v>stacjonarny</v>
      </c>
      <c r="C1050" s="1">
        <v>42933</v>
      </c>
      <c r="D1050" s="2">
        <v>0.44103009259259257</v>
      </c>
      <c r="E1050" s="2">
        <v>0.44807870370370373</v>
      </c>
    </row>
    <row r="1051" spans="1:5" x14ac:dyDescent="0.25">
      <c r="A1051">
        <v>9926754</v>
      </c>
      <c r="B1051" t="str">
        <f t="shared" si="16"/>
        <v>stacjonarny</v>
      </c>
      <c r="C1051" s="1">
        <v>42933</v>
      </c>
      <c r="D1051" s="2">
        <v>0.44421296296296298</v>
      </c>
      <c r="E1051" s="2">
        <v>0.44739583333333333</v>
      </c>
    </row>
    <row r="1052" spans="1:5" x14ac:dyDescent="0.25">
      <c r="A1052">
        <v>89098100</v>
      </c>
      <c r="B1052" t="str">
        <f t="shared" si="16"/>
        <v>komorkowy</v>
      </c>
      <c r="C1052" s="1">
        <v>42933</v>
      </c>
      <c r="D1052" s="2">
        <v>0.44609953703703703</v>
      </c>
      <c r="E1052" s="2">
        <v>0.44979166666666665</v>
      </c>
    </row>
    <row r="1053" spans="1:5" x14ac:dyDescent="0.25">
      <c r="A1053">
        <v>6460935</v>
      </c>
      <c r="B1053" t="str">
        <f t="shared" si="16"/>
        <v>stacjonarny</v>
      </c>
      <c r="C1053" s="1">
        <v>42933</v>
      </c>
      <c r="D1053" s="2">
        <v>0.45122685185185185</v>
      </c>
      <c r="E1053" s="2">
        <v>0.45480324074074074</v>
      </c>
    </row>
    <row r="1054" spans="1:5" x14ac:dyDescent="0.25">
      <c r="A1054">
        <v>83559673</v>
      </c>
      <c r="B1054" t="str">
        <f t="shared" si="16"/>
        <v>komorkowy</v>
      </c>
      <c r="C1054" s="1">
        <v>42933</v>
      </c>
      <c r="D1054" s="2">
        <v>0.45623842592592595</v>
      </c>
      <c r="E1054" s="2">
        <v>0.46062500000000001</v>
      </c>
    </row>
    <row r="1055" spans="1:5" x14ac:dyDescent="0.25">
      <c r="A1055">
        <v>1661633</v>
      </c>
      <c r="B1055" t="str">
        <f t="shared" si="16"/>
        <v>stacjonarny</v>
      </c>
      <c r="C1055" s="1">
        <v>42933</v>
      </c>
      <c r="D1055" s="2">
        <v>0.4611574074074074</v>
      </c>
      <c r="E1055" s="2">
        <v>0.46372685185185186</v>
      </c>
    </row>
    <row r="1056" spans="1:5" x14ac:dyDescent="0.25">
      <c r="A1056">
        <v>5809293</v>
      </c>
      <c r="B1056" t="str">
        <f t="shared" si="16"/>
        <v>stacjonarny</v>
      </c>
      <c r="C1056" s="1">
        <v>42933</v>
      </c>
      <c r="D1056" s="2">
        <v>0.46481481481481479</v>
      </c>
      <c r="E1056" s="2">
        <v>0.47425925925925927</v>
      </c>
    </row>
    <row r="1057" spans="1:5" x14ac:dyDescent="0.25">
      <c r="A1057">
        <v>5790304</v>
      </c>
      <c r="B1057" t="str">
        <f t="shared" si="16"/>
        <v>stacjonarny</v>
      </c>
      <c r="C1057" s="1">
        <v>42933</v>
      </c>
      <c r="D1057" s="2">
        <v>0.46655092592592595</v>
      </c>
      <c r="E1057" s="2">
        <v>0.47357638888888887</v>
      </c>
    </row>
    <row r="1058" spans="1:5" x14ac:dyDescent="0.25">
      <c r="A1058">
        <v>7088840</v>
      </c>
      <c r="B1058" t="str">
        <f t="shared" si="16"/>
        <v>stacjonarny</v>
      </c>
      <c r="C1058" s="1">
        <v>42933</v>
      </c>
      <c r="D1058" s="2">
        <v>0.46711805555555558</v>
      </c>
      <c r="E1058" s="2">
        <v>0.47856481481481483</v>
      </c>
    </row>
    <row r="1059" spans="1:5" x14ac:dyDescent="0.25">
      <c r="A1059">
        <v>1302112</v>
      </c>
      <c r="B1059" t="str">
        <f t="shared" si="16"/>
        <v>stacjonarny</v>
      </c>
      <c r="C1059" s="1">
        <v>42933</v>
      </c>
      <c r="D1059" s="2">
        <v>0.46939814814814818</v>
      </c>
      <c r="E1059" s="2">
        <v>0.47047453703703701</v>
      </c>
    </row>
    <row r="1060" spans="1:5" x14ac:dyDescent="0.25">
      <c r="A1060">
        <v>8299537</v>
      </c>
      <c r="B1060" t="str">
        <f t="shared" si="16"/>
        <v>stacjonarny</v>
      </c>
      <c r="C1060" s="1">
        <v>42933</v>
      </c>
      <c r="D1060" s="2">
        <v>0.47302083333333333</v>
      </c>
      <c r="E1060" s="2">
        <v>0.47939814814814813</v>
      </c>
    </row>
    <row r="1061" spans="1:5" x14ac:dyDescent="0.25">
      <c r="A1061">
        <v>1519891</v>
      </c>
      <c r="B1061" t="str">
        <f t="shared" si="16"/>
        <v>stacjonarny</v>
      </c>
      <c r="C1061" s="1">
        <v>42933</v>
      </c>
      <c r="D1061" s="2">
        <v>0.47604166666666664</v>
      </c>
      <c r="E1061" s="2">
        <v>0.48714120370370373</v>
      </c>
    </row>
    <row r="1062" spans="1:5" x14ac:dyDescent="0.25">
      <c r="A1062">
        <v>29771613</v>
      </c>
      <c r="B1062" t="str">
        <f t="shared" si="16"/>
        <v>komorkowy</v>
      </c>
      <c r="C1062" s="1">
        <v>42933</v>
      </c>
      <c r="D1062" s="2">
        <v>0.47706018518518517</v>
      </c>
      <c r="E1062" s="2">
        <v>0.47881944444444446</v>
      </c>
    </row>
    <row r="1063" spans="1:5" x14ac:dyDescent="0.25">
      <c r="A1063">
        <v>9088045</v>
      </c>
      <c r="B1063" t="str">
        <f t="shared" si="16"/>
        <v>stacjonarny</v>
      </c>
      <c r="C1063" s="1">
        <v>42933</v>
      </c>
      <c r="D1063" s="2">
        <v>0.47714120370370372</v>
      </c>
      <c r="E1063" s="2">
        <v>0.47728009259259258</v>
      </c>
    </row>
    <row r="1064" spans="1:5" x14ac:dyDescent="0.25">
      <c r="A1064">
        <v>59864989</v>
      </c>
      <c r="B1064" t="str">
        <f t="shared" si="16"/>
        <v>komorkowy</v>
      </c>
      <c r="C1064" s="1">
        <v>42933</v>
      </c>
      <c r="D1064" s="2">
        <v>0.48119212962962965</v>
      </c>
      <c r="E1064" s="2">
        <v>0.49038194444444444</v>
      </c>
    </row>
    <row r="1065" spans="1:5" x14ac:dyDescent="0.25">
      <c r="A1065">
        <v>2741017</v>
      </c>
      <c r="B1065" t="str">
        <f t="shared" si="16"/>
        <v>stacjonarny</v>
      </c>
      <c r="C1065" s="1">
        <v>42933</v>
      </c>
      <c r="D1065" s="2">
        <v>0.4838425925925926</v>
      </c>
      <c r="E1065" s="2">
        <v>0.49107638888888888</v>
      </c>
    </row>
    <row r="1066" spans="1:5" x14ac:dyDescent="0.25">
      <c r="A1066">
        <v>1092699</v>
      </c>
      <c r="B1066" t="str">
        <f t="shared" si="16"/>
        <v>stacjonarny</v>
      </c>
      <c r="C1066" s="1">
        <v>42933</v>
      </c>
      <c r="D1066" s="2">
        <v>0.48430555555555554</v>
      </c>
      <c r="E1066" s="2">
        <v>0.49372685185185183</v>
      </c>
    </row>
    <row r="1067" spans="1:5" x14ac:dyDescent="0.25">
      <c r="A1067">
        <v>3284714</v>
      </c>
      <c r="B1067" t="str">
        <f t="shared" si="16"/>
        <v>stacjonarny</v>
      </c>
      <c r="C1067" s="1">
        <v>42933</v>
      </c>
      <c r="D1067" s="2">
        <v>0.48533564814814817</v>
      </c>
      <c r="E1067" s="2">
        <v>0.49689814814814814</v>
      </c>
    </row>
    <row r="1068" spans="1:5" x14ac:dyDescent="0.25">
      <c r="A1068">
        <v>1822675725</v>
      </c>
      <c r="B1068" t="str">
        <f t="shared" si="16"/>
        <v>zagraniczny</v>
      </c>
      <c r="C1068" s="1">
        <v>42933</v>
      </c>
      <c r="D1068" s="2">
        <v>0.48542824074074076</v>
      </c>
      <c r="E1068" s="2">
        <v>0.49109953703703701</v>
      </c>
    </row>
    <row r="1069" spans="1:5" x14ac:dyDescent="0.25">
      <c r="A1069">
        <v>9595194</v>
      </c>
      <c r="B1069" t="str">
        <f t="shared" si="16"/>
        <v>stacjonarny</v>
      </c>
      <c r="C1069" s="1">
        <v>42933</v>
      </c>
      <c r="D1069" s="2">
        <v>0.48833333333333334</v>
      </c>
      <c r="E1069" s="2">
        <v>0.49960648148148146</v>
      </c>
    </row>
    <row r="1070" spans="1:5" x14ac:dyDescent="0.25">
      <c r="A1070">
        <v>5015921</v>
      </c>
      <c r="B1070" t="str">
        <f t="shared" si="16"/>
        <v>stacjonarny</v>
      </c>
      <c r="C1070" s="1">
        <v>42933</v>
      </c>
      <c r="D1070" s="2">
        <v>0.49362268518518521</v>
      </c>
      <c r="E1070" s="2">
        <v>0.49859953703703702</v>
      </c>
    </row>
    <row r="1071" spans="1:5" x14ac:dyDescent="0.25">
      <c r="A1071">
        <v>1015521</v>
      </c>
      <c r="B1071" t="str">
        <f t="shared" si="16"/>
        <v>stacjonarny</v>
      </c>
      <c r="C1071" s="1">
        <v>42933</v>
      </c>
      <c r="D1071" s="2">
        <v>0.49658564814814815</v>
      </c>
      <c r="E1071" s="2">
        <v>0.49866898148148148</v>
      </c>
    </row>
    <row r="1072" spans="1:5" x14ac:dyDescent="0.25">
      <c r="A1072">
        <v>4452201</v>
      </c>
      <c r="B1072" t="str">
        <f t="shared" si="16"/>
        <v>stacjonarny</v>
      </c>
      <c r="C1072" s="1">
        <v>42933</v>
      </c>
      <c r="D1072" s="2">
        <v>0.49760416666666668</v>
      </c>
      <c r="E1072" s="2">
        <v>0.50249999999999995</v>
      </c>
    </row>
    <row r="1073" spans="1:5" x14ac:dyDescent="0.25">
      <c r="A1073">
        <v>6801890</v>
      </c>
      <c r="B1073" t="str">
        <f t="shared" si="16"/>
        <v>stacjonarny</v>
      </c>
      <c r="C1073" s="1">
        <v>42933</v>
      </c>
      <c r="D1073" s="2">
        <v>0.50284722222222222</v>
      </c>
      <c r="E1073" s="2">
        <v>0.50736111111111115</v>
      </c>
    </row>
    <row r="1074" spans="1:5" x14ac:dyDescent="0.25">
      <c r="A1074">
        <v>19638469</v>
      </c>
      <c r="B1074" t="str">
        <f t="shared" si="16"/>
        <v>komorkowy</v>
      </c>
      <c r="C1074" s="1">
        <v>42933</v>
      </c>
      <c r="D1074" s="2">
        <v>0.50768518518518524</v>
      </c>
      <c r="E1074" s="2">
        <v>0.51817129629629632</v>
      </c>
    </row>
    <row r="1075" spans="1:5" x14ac:dyDescent="0.25">
      <c r="A1075">
        <v>43897696</v>
      </c>
      <c r="B1075" t="str">
        <f t="shared" si="16"/>
        <v>komorkowy</v>
      </c>
      <c r="C1075" s="1">
        <v>42933</v>
      </c>
      <c r="D1075" s="2">
        <v>0.51271990740740736</v>
      </c>
      <c r="E1075" s="2">
        <v>0.51616898148148149</v>
      </c>
    </row>
    <row r="1076" spans="1:5" x14ac:dyDescent="0.25">
      <c r="A1076">
        <v>8253162</v>
      </c>
      <c r="B1076" t="str">
        <f t="shared" si="16"/>
        <v>stacjonarny</v>
      </c>
      <c r="C1076" s="1">
        <v>42933</v>
      </c>
      <c r="D1076" s="2">
        <v>0.51468749999999996</v>
      </c>
      <c r="E1076" s="2">
        <v>0.5204050925925926</v>
      </c>
    </row>
    <row r="1077" spans="1:5" x14ac:dyDescent="0.25">
      <c r="A1077">
        <v>42038927</v>
      </c>
      <c r="B1077" t="str">
        <f t="shared" si="16"/>
        <v>komorkowy</v>
      </c>
      <c r="C1077" s="1">
        <v>42933</v>
      </c>
      <c r="D1077" s="2">
        <v>0.51894675925925926</v>
      </c>
      <c r="E1077" s="2">
        <v>0.52336805555555554</v>
      </c>
    </row>
    <row r="1078" spans="1:5" x14ac:dyDescent="0.25">
      <c r="A1078">
        <v>5758962</v>
      </c>
      <c r="B1078" t="str">
        <f t="shared" si="16"/>
        <v>stacjonarny</v>
      </c>
      <c r="C1078" s="1">
        <v>42933</v>
      </c>
      <c r="D1078" s="2">
        <v>0.52460648148148148</v>
      </c>
      <c r="E1078" s="2">
        <v>0.53292824074074074</v>
      </c>
    </row>
    <row r="1079" spans="1:5" x14ac:dyDescent="0.25">
      <c r="A1079">
        <v>77096634</v>
      </c>
      <c r="B1079" t="str">
        <f t="shared" si="16"/>
        <v>komorkowy</v>
      </c>
      <c r="C1079" s="1">
        <v>42933</v>
      </c>
      <c r="D1079" s="2">
        <v>0.52500000000000002</v>
      </c>
      <c r="E1079" s="2">
        <v>0.53071759259259255</v>
      </c>
    </row>
    <row r="1080" spans="1:5" x14ac:dyDescent="0.25">
      <c r="A1080">
        <v>8041809</v>
      </c>
      <c r="B1080" t="str">
        <f t="shared" si="16"/>
        <v>stacjonarny</v>
      </c>
      <c r="C1080" s="1">
        <v>42933</v>
      </c>
      <c r="D1080" s="2">
        <v>0.52508101851851852</v>
      </c>
      <c r="E1080" s="2">
        <v>0.53238425925925925</v>
      </c>
    </row>
    <row r="1081" spans="1:5" x14ac:dyDescent="0.25">
      <c r="A1081">
        <v>6735390</v>
      </c>
      <c r="B1081" t="str">
        <f t="shared" si="16"/>
        <v>stacjonarny</v>
      </c>
      <c r="C1081" s="1">
        <v>42933</v>
      </c>
      <c r="D1081" s="2">
        <v>0.52612268518518523</v>
      </c>
      <c r="E1081" s="2">
        <v>0.52849537037037042</v>
      </c>
    </row>
    <row r="1082" spans="1:5" x14ac:dyDescent="0.25">
      <c r="A1082">
        <v>93811207</v>
      </c>
      <c r="B1082" t="str">
        <f t="shared" si="16"/>
        <v>komorkowy</v>
      </c>
      <c r="C1082" s="1">
        <v>42933</v>
      </c>
      <c r="D1082" s="2">
        <v>0.52707175925925931</v>
      </c>
      <c r="E1082" s="2">
        <v>0.53460648148148149</v>
      </c>
    </row>
    <row r="1083" spans="1:5" x14ac:dyDescent="0.25">
      <c r="A1083">
        <v>8079505</v>
      </c>
      <c r="B1083" t="str">
        <f t="shared" si="16"/>
        <v>stacjonarny</v>
      </c>
      <c r="C1083" s="1">
        <v>42933</v>
      </c>
      <c r="D1083" s="2">
        <v>0.52788194444444447</v>
      </c>
      <c r="E1083" s="2">
        <v>0.52908564814814818</v>
      </c>
    </row>
    <row r="1084" spans="1:5" x14ac:dyDescent="0.25">
      <c r="A1084">
        <v>3348581</v>
      </c>
      <c r="B1084" t="str">
        <f t="shared" si="16"/>
        <v>stacjonarny</v>
      </c>
      <c r="C1084" s="1">
        <v>42933</v>
      </c>
      <c r="D1084" s="2">
        <v>0.53150462962962963</v>
      </c>
      <c r="E1084" s="2">
        <v>0.54208333333333336</v>
      </c>
    </row>
    <row r="1085" spans="1:5" x14ac:dyDescent="0.25">
      <c r="A1085">
        <v>13484133</v>
      </c>
      <c r="B1085" t="str">
        <f t="shared" si="16"/>
        <v>komorkowy</v>
      </c>
      <c r="C1085" s="1">
        <v>42933</v>
      </c>
      <c r="D1085" s="2">
        <v>0.53174768518518523</v>
      </c>
      <c r="E1085" s="2">
        <v>0.53931712962962963</v>
      </c>
    </row>
    <row r="1086" spans="1:5" x14ac:dyDescent="0.25">
      <c r="A1086">
        <v>3017523</v>
      </c>
      <c r="B1086" t="str">
        <f t="shared" si="16"/>
        <v>stacjonarny</v>
      </c>
      <c r="C1086" s="1">
        <v>42933</v>
      </c>
      <c r="D1086" s="2">
        <v>0.53241898148148148</v>
      </c>
      <c r="E1086" s="2">
        <v>0.54011574074074076</v>
      </c>
    </row>
    <row r="1087" spans="1:5" x14ac:dyDescent="0.25">
      <c r="A1087">
        <v>5464497</v>
      </c>
      <c r="B1087" t="str">
        <f t="shared" si="16"/>
        <v>stacjonarny</v>
      </c>
      <c r="C1087" s="1">
        <v>42933</v>
      </c>
      <c r="D1087" s="2">
        <v>0.53608796296296302</v>
      </c>
      <c r="E1087" s="2">
        <v>0.53657407407407409</v>
      </c>
    </row>
    <row r="1088" spans="1:5" x14ac:dyDescent="0.25">
      <c r="A1088">
        <v>5744567</v>
      </c>
      <c r="B1088" t="str">
        <f t="shared" si="16"/>
        <v>stacjonarny</v>
      </c>
      <c r="C1088" s="1">
        <v>42933</v>
      </c>
      <c r="D1088" s="2">
        <v>0.54048611111111111</v>
      </c>
      <c r="E1088" s="2">
        <v>0.54954861111111108</v>
      </c>
    </row>
    <row r="1089" spans="1:5" x14ac:dyDescent="0.25">
      <c r="A1089">
        <v>5107477025</v>
      </c>
      <c r="B1089" t="str">
        <f t="shared" si="16"/>
        <v>zagraniczny</v>
      </c>
      <c r="C1089" s="1">
        <v>42933</v>
      </c>
      <c r="D1089" s="2">
        <v>0.54495370370370366</v>
      </c>
      <c r="E1089" s="2">
        <v>0.5471759259259259</v>
      </c>
    </row>
    <row r="1090" spans="1:5" x14ac:dyDescent="0.25">
      <c r="A1090">
        <v>1332884</v>
      </c>
      <c r="B1090" t="str">
        <f t="shared" si="16"/>
        <v>stacjonarny</v>
      </c>
      <c r="C1090" s="1">
        <v>42933</v>
      </c>
      <c r="D1090" s="2">
        <v>0.546412037037037</v>
      </c>
      <c r="E1090" s="2">
        <v>0.54829861111111111</v>
      </c>
    </row>
    <row r="1091" spans="1:5" x14ac:dyDescent="0.25">
      <c r="A1091">
        <v>38823305</v>
      </c>
      <c r="B1091" t="str">
        <f t="shared" ref="B1091:B1154" si="17">IF(LEN(A1091)=7, "stacjonarny", IF(LEN(A1091)=8, "komorkowy", "zagraniczny"))</f>
        <v>komorkowy</v>
      </c>
      <c r="C1091" s="1">
        <v>42933</v>
      </c>
      <c r="D1091" s="2">
        <v>0.54907407407407405</v>
      </c>
      <c r="E1091" s="2">
        <v>0.55969907407407404</v>
      </c>
    </row>
    <row r="1092" spans="1:5" x14ac:dyDescent="0.25">
      <c r="A1092">
        <v>7160339</v>
      </c>
      <c r="B1092" t="str">
        <f t="shared" si="17"/>
        <v>stacjonarny</v>
      </c>
      <c r="C1092" s="1">
        <v>42933</v>
      </c>
      <c r="D1092" s="2">
        <v>0.55456018518518524</v>
      </c>
      <c r="E1092" s="2">
        <v>0.5642476851851852</v>
      </c>
    </row>
    <row r="1093" spans="1:5" x14ac:dyDescent="0.25">
      <c r="A1093">
        <v>43277353</v>
      </c>
      <c r="B1093" t="str">
        <f t="shared" si="17"/>
        <v>komorkowy</v>
      </c>
      <c r="C1093" s="1">
        <v>42933</v>
      </c>
      <c r="D1093" s="2">
        <v>0.55519675925925926</v>
      </c>
      <c r="E1093" s="2">
        <v>0.55809027777777775</v>
      </c>
    </row>
    <row r="1094" spans="1:5" x14ac:dyDescent="0.25">
      <c r="A1094">
        <v>8749135</v>
      </c>
      <c r="B1094" t="str">
        <f t="shared" si="17"/>
        <v>stacjonarny</v>
      </c>
      <c r="C1094" s="1">
        <v>42933</v>
      </c>
      <c r="D1094" s="2">
        <v>0.56083333333333329</v>
      </c>
      <c r="E1094" s="2">
        <v>0.56415509259259256</v>
      </c>
    </row>
    <row r="1095" spans="1:5" x14ac:dyDescent="0.25">
      <c r="A1095">
        <v>16977213</v>
      </c>
      <c r="B1095" t="str">
        <f t="shared" si="17"/>
        <v>komorkowy</v>
      </c>
      <c r="C1095" s="1">
        <v>42933</v>
      </c>
      <c r="D1095" s="2">
        <v>0.56462962962962959</v>
      </c>
      <c r="E1095" s="2">
        <v>0.56841435185185185</v>
      </c>
    </row>
    <row r="1096" spans="1:5" x14ac:dyDescent="0.25">
      <c r="A1096">
        <v>13221411</v>
      </c>
      <c r="B1096" t="str">
        <f t="shared" si="17"/>
        <v>komorkowy</v>
      </c>
      <c r="C1096" s="1">
        <v>42933</v>
      </c>
      <c r="D1096" s="2">
        <v>0.56511574074074078</v>
      </c>
      <c r="E1096" s="2">
        <v>0.57498842592592592</v>
      </c>
    </row>
    <row r="1097" spans="1:5" x14ac:dyDescent="0.25">
      <c r="A1097">
        <v>2653312</v>
      </c>
      <c r="B1097" t="str">
        <f t="shared" si="17"/>
        <v>stacjonarny</v>
      </c>
      <c r="C1097" s="1">
        <v>42933</v>
      </c>
      <c r="D1097" s="2">
        <v>0.56893518518518515</v>
      </c>
      <c r="E1097" s="2">
        <v>0.57289351851851855</v>
      </c>
    </row>
    <row r="1098" spans="1:5" x14ac:dyDescent="0.25">
      <c r="A1098">
        <v>4187727</v>
      </c>
      <c r="B1098" t="str">
        <f t="shared" si="17"/>
        <v>stacjonarny</v>
      </c>
      <c r="C1098" s="1">
        <v>42933</v>
      </c>
      <c r="D1098" s="2">
        <v>0.57038194444444446</v>
      </c>
      <c r="E1098" s="2">
        <v>0.57341435185185186</v>
      </c>
    </row>
    <row r="1099" spans="1:5" x14ac:dyDescent="0.25">
      <c r="A1099">
        <v>4370146</v>
      </c>
      <c r="B1099" t="str">
        <f t="shared" si="17"/>
        <v>stacjonarny</v>
      </c>
      <c r="C1099" s="1">
        <v>42933</v>
      </c>
      <c r="D1099" s="2">
        <v>0.57170138888888888</v>
      </c>
      <c r="E1099" s="2">
        <v>0.58212962962962966</v>
      </c>
    </row>
    <row r="1100" spans="1:5" x14ac:dyDescent="0.25">
      <c r="A1100">
        <v>5725773</v>
      </c>
      <c r="B1100" t="str">
        <f t="shared" si="17"/>
        <v>stacjonarny</v>
      </c>
      <c r="C1100" s="1">
        <v>42933</v>
      </c>
      <c r="D1100" s="2">
        <v>0.57466435185185183</v>
      </c>
      <c r="E1100" s="2">
        <v>0.58538194444444447</v>
      </c>
    </row>
    <row r="1101" spans="1:5" x14ac:dyDescent="0.25">
      <c r="A1101">
        <v>6345014</v>
      </c>
      <c r="B1101" t="str">
        <f t="shared" si="17"/>
        <v>stacjonarny</v>
      </c>
      <c r="C1101" s="1">
        <v>42933</v>
      </c>
      <c r="D1101" s="2">
        <v>0.58010416666666664</v>
      </c>
      <c r="E1101" s="2">
        <v>0.58166666666666667</v>
      </c>
    </row>
    <row r="1102" spans="1:5" x14ac:dyDescent="0.25">
      <c r="A1102">
        <v>7507831</v>
      </c>
      <c r="B1102" t="str">
        <f t="shared" si="17"/>
        <v>stacjonarny</v>
      </c>
      <c r="C1102" s="1">
        <v>42933</v>
      </c>
      <c r="D1102" s="2">
        <v>0.58545138888888892</v>
      </c>
      <c r="E1102" s="2">
        <v>0.59214120370370371</v>
      </c>
    </row>
    <row r="1103" spans="1:5" x14ac:dyDescent="0.25">
      <c r="A1103">
        <v>1198407</v>
      </c>
      <c r="B1103" t="str">
        <f t="shared" si="17"/>
        <v>stacjonarny</v>
      </c>
      <c r="C1103" s="1">
        <v>42933</v>
      </c>
      <c r="D1103" s="2">
        <v>0.59004629629629635</v>
      </c>
      <c r="E1103" s="2">
        <v>0.59799768518518515</v>
      </c>
    </row>
    <row r="1104" spans="1:5" x14ac:dyDescent="0.25">
      <c r="A1104">
        <v>4055319</v>
      </c>
      <c r="B1104" t="str">
        <f t="shared" si="17"/>
        <v>stacjonarny</v>
      </c>
      <c r="C1104" s="1">
        <v>42933</v>
      </c>
      <c r="D1104" s="2">
        <v>0.59471064814814811</v>
      </c>
      <c r="E1104" s="2">
        <v>0.60624999999999996</v>
      </c>
    </row>
    <row r="1105" spans="1:5" x14ac:dyDescent="0.25">
      <c r="A1105">
        <v>70730125</v>
      </c>
      <c r="B1105" t="str">
        <f t="shared" si="17"/>
        <v>komorkowy</v>
      </c>
      <c r="C1105" s="1">
        <v>42933</v>
      </c>
      <c r="D1105" s="2">
        <v>0.59578703703703706</v>
      </c>
      <c r="E1105" s="2">
        <v>0.59671296296296295</v>
      </c>
    </row>
    <row r="1106" spans="1:5" x14ac:dyDescent="0.25">
      <c r="A1106">
        <v>45158089</v>
      </c>
      <c r="B1106" t="str">
        <f t="shared" si="17"/>
        <v>komorkowy</v>
      </c>
      <c r="C1106" s="1">
        <v>42933</v>
      </c>
      <c r="D1106" s="2">
        <v>0.5962615740740741</v>
      </c>
      <c r="E1106" s="2">
        <v>0.59780092592592593</v>
      </c>
    </row>
    <row r="1107" spans="1:5" x14ac:dyDescent="0.25">
      <c r="A1107">
        <v>8159631</v>
      </c>
      <c r="B1107" t="str">
        <f t="shared" si="17"/>
        <v>stacjonarny</v>
      </c>
      <c r="C1107" s="1">
        <v>42933</v>
      </c>
      <c r="D1107" s="2">
        <v>0.59650462962962958</v>
      </c>
      <c r="E1107" s="2">
        <v>0.60144675925925928</v>
      </c>
    </row>
    <row r="1108" spans="1:5" x14ac:dyDescent="0.25">
      <c r="A1108">
        <v>2645518</v>
      </c>
      <c r="B1108" t="str">
        <f t="shared" si="17"/>
        <v>stacjonarny</v>
      </c>
      <c r="C1108" s="1">
        <v>42933</v>
      </c>
      <c r="D1108" s="2">
        <v>0.60025462962962961</v>
      </c>
      <c r="E1108" s="2">
        <v>0.60699074074074078</v>
      </c>
    </row>
    <row r="1109" spans="1:5" x14ac:dyDescent="0.25">
      <c r="A1109">
        <v>5199929</v>
      </c>
      <c r="B1109" t="str">
        <f t="shared" si="17"/>
        <v>stacjonarny</v>
      </c>
      <c r="C1109" s="1">
        <v>42933</v>
      </c>
      <c r="D1109" s="2">
        <v>0.60083333333333333</v>
      </c>
      <c r="E1109" s="2">
        <v>0.60971064814814813</v>
      </c>
    </row>
    <row r="1110" spans="1:5" x14ac:dyDescent="0.25">
      <c r="A1110">
        <v>4039284</v>
      </c>
      <c r="B1110" t="str">
        <f t="shared" si="17"/>
        <v>stacjonarny</v>
      </c>
      <c r="C1110" s="1">
        <v>42933</v>
      </c>
      <c r="D1110" s="2">
        <v>0.6021643518518518</v>
      </c>
      <c r="E1110" s="2">
        <v>0.60636574074074079</v>
      </c>
    </row>
    <row r="1111" spans="1:5" x14ac:dyDescent="0.25">
      <c r="A1111">
        <v>1431491</v>
      </c>
      <c r="B1111" t="str">
        <f t="shared" si="17"/>
        <v>stacjonarny</v>
      </c>
      <c r="C1111" s="1">
        <v>42933</v>
      </c>
      <c r="D1111" s="2">
        <v>0.60495370370370372</v>
      </c>
      <c r="E1111" s="2">
        <v>0.61153935185185182</v>
      </c>
    </row>
    <row r="1112" spans="1:5" x14ac:dyDescent="0.25">
      <c r="A1112">
        <v>39848401</v>
      </c>
      <c r="B1112" t="str">
        <f t="shared" si="17"/>
        <v>komorkowy</v>
      </c>
      <c r="C1112" s="1">
        <v>42933</v>
      </c>
      <c r="D1112" s="2">
        <v>0.60783564814814817</v>
      </c>
      <c r="E1112" s="2">
        <v>0.60846064814814815</v>
      </c>
    </row>
    <row r="1113" spans="1:5" x14ac:dyDescent="0.25">
      <c r="A1113">
        <v>9225807</v>
      </c>
      <c r="B1113" t="str">
        <f t="shared" si="17"/>
        <v>stacjonarny</v>
      </c>
      <c r="C1113" s="1">
        <v>42933</v>
      </c>
      <c r="D1113" s="2">
        <v>0.61261574074074077</v>
      </c>
      <c r="E1113" s="2">
        <v>0.62048611111111107</v>
      </c>
    </row>
    <row r="1114" spans="1:5" x14ac:dyDescent="0.25">
      <c r="A1114">
        <v>7986409</v>
      </c>
      <c r="B1114" t="str">
        <f t="shared" si="17"/>
        <v>stacjonarny</v>
      </c>
      <c r="C1114" s="1">
        <v>42933</v>
      </c>
      <c r="D1114" s="2">
        <v>0.61473379629629632</v>
      </c>
      <c r="E1114" s="2">
        <v>0.61660879629629628</v>
      </c>
    </row>
    <row r="1115" spans="1:5" x14ac:dyDescent="0.25">
      <c r="A1115">
        <v>54554135</v>
      </c>
      <c r="B1115" t="str">
        <f t="shared" si="17"/>
        <v>komorkowy</v>
      </c>
      <c r="C1115" s="1">
        <v>42933</v>
      </c>
      <c r="D1115" s="2">
        <v>0.61943287037037043</v>
      </c>
      <c r="E1115" s="2">
        <v>0.62100694444444449</v>
      </c>
    </row>
    <row r="1116" spans="1:5" x14ac:dyDescent="0.25">
      <c r="A1116">
        <v>1263080</v>
      </c>
      <c r="B1116" t="str">
        <f t="shared" si="17"/>
        <v>stacjonarny</v>
      </c>
      <c r="C1116" s="1">
        <v>42933</v>
      </c>
      <c r="D1116" s="2">
        <v>0.62292824074074071</v>
      </c>
      <c r="E1116" s="2">
        <v>0.63358796296296294</v>
      </c>
    </row>
    <row r="1117" spans="1:5" x14ac:dyDescent="0.25">
      <c r="A1117">
        <v>97953696</v>
      </c>
      <c r="B1117" t="str">
        <f t="shared" si="17"/>
        <v>komorkowy</v>
      </c>
      <c r="C1117" s="1">
        <v>42933</v>
      </c>
      <c r="D1117" s="2">
        <v>0.62657407407407406</v>
      </c>
      <c r="E1117" s="2">
        <v>0.62818287037037035</v>
      </c>
    </row>
    <row r="1118" spans="1:5" x14ac:dyDescent="0.25">
      <c r="A1118">
        <v>9772824</v>
      </c>
      <c r="B1118" t="str">
        <f t="shared" si="17"/>
        <v>stacjonarny</v>
      </c>
      <c r="C1118" s="1">
        <v>42934</v>
      </c>
      <c r="D1118" s="2">
        <v>0.33355324074074072</v>
      </c>
      <c r="E1118" s="2">
        <v>0.33859953703703705</v>
      </c>
    </row>
    <row r="1119" spans="1:5" x14ac:dyDescent="0.25">
      <c r="A1119">
        <v>1157434</v>
      </c>
      <c r="B1119" t="str">
        <f t="shared" si="17"/>
        <v>stacjonarny</v>
      </c>
      <c r="C1119" s="1">
        <v>42934</v>
      </c>
      <c r="D1119" s="2">
        <v>0.33582175925925928</v>
      </c>
      <c r="E1119" s="2">
        <v>0.34681712962962963</v>
      </c>
    </row>
    <row r="1120" spans="1:5" x14ac:dyDescent="0.25">
      <c r="A1120">
        <v>8799928507</v>
      </c>
      <c r="B1120" t="str">
        <f t="shared" si="17"/>
        <v>zagraniczny</v>
      </c>
      <c r="C1120" s="1">
        <v>42934</v>
      </c>
      <c r="D1120" s="2">
        <v>0.34134259259259259</v>
      </c>
      <c r="E1120" s="2">
        <v>0.34931712962962963</v>
      </c>
    </row>
    <row r="1121" spans="1:5" x14ac:dyDescent="0.25">
      <c r="A1121">
        <v>5372891</v>
      </c>
      <c r="B1121" t="str">
        <f t="shared" si="17"/>
        <v>stacjonarny</v>
      </c>
      <c r="C1121" s="1">
        <v>42934</v>
      </c>
      <c r="D1121" s="2">
        <v>0.34586805555555555</v>
      </c>
      <c r="E1121" s="2">
        <v>0.34684027777777776</v>
      </c>
    </row>
    <row r="1122" spans="1:5" x14ac:dyDescent="0.25">
      <c r="A1122">
        <v>2663800</v>
      </c>
      <c r="B1122" t="str">
        <f t="shared" si="17"/>
        <v>stacjonarny</v>
      </c>
      <c r="C1122" s="1">
        <v>42934</v>
      </c>
      <c r="D1122" s="2">
        <v>0.35076388888888888</v>
      </c>
      <c r="E1122" s="2">
        <v>0.35863425925925924</v>
      </c>
    </row>
    <row r="1123" spans="1:5" x14ac:dyDescent="0.25">
      <c r="A1123">
        <v>32779069</v>
      </c>
      <c r="B1123" t="str">
        <f t="shared" si="17"/>
        <v>komorkowy</v>
      </c>
      <c r="C1123" s="1">
        <v>42934</v>
      </c>
      <c r="D1123" s="2">
        <v>0.35430555555555554</v>
      </c>
      <c r="E1123" s="2">
        <v>0.36318287037037039</v>
      </c>
    </row>
    <row r="1124" spans="1:5" x14ac:dyDescent="0.25">
      <c r="A1124">
        <v>8261808</v>
      </c>
      <c r="B1124" t="str">
        <f t="shared" si="17"/>
        <v>stacjonarny</v>
      </c>
      <c r="C1124" s="1">
        <v>42934</v>
      </c>
      <c r="D1124" s="2">
        <v>0.35718749999999999</v>
      </c>
      <c r="E1124" s="2">
        <v>0.36684027777777778</v>
      </c>
    </row>
    <row r="1125" spans="1:5" x14ac:dyDescent="0.25">
      <c r="A1125">
        <v>7321543</v>
      </c>
      <c r="B1125" t="str">
        <f t="shared" si="17"/>
        <v>stacjonarny</v>
      </c>
      <c r="C1125" s="1">
        <v>42934</v>
      </c>
      <c r="D1125" s="2">
        <v>0.36151620370370369</v>
      </c>
      <c r="E1125" s="2">
        <v>0.3712037037037037</v>
      </c>
    </row>
    <row r="1126" spans="1:5" x14ac:dyDescent="0.25">
      <c r="A1126">
        <v>7513392</v>
      </c>
      <c r="B1126" t="str">
        <f t="shared" si="17"/>
        <v>stacjonarny</v>
      </c>
      <c r="C1126" s="1">
        <v>42934</v>
      </c>
      <c r="D1126" s="2">
        <v>0.36421296296296296</v>
      </c>
      <c r="E1126" s="2">
        <v>0.36640046296296297</v>
      </c>
    </row>
    <row r="1127" spans="1:5" x14ac:dyDescent="0.25">
      <c r="A1127">
        <v>77036136</v>
      </c>
      <c r="B1127" t="str">
        <f t="shared" si="17"/>
        <v>komorkowy</v>
      </c>
      <c r="C1127" s="1">
        <v>42934</v>
      </c>
      <c r="D1127" s="2">
        <v>0.36937500000000001</v>
      </c>
      <c r="E1127" s="2">
        <v>0.37585648148148149</v>
      </c>
    </row>
    <row r="1128" spans="1:5" x14ac:dyDescent="0.25">
      <c r="A1128">
        <v>1700508</v>
      </c>
      <c r="B1128" t="str">
        <f t="shared" si="17"/>
        <v>stacjonarny</v>
      </c>
      <c r="C1128" s="1">
        <v>42934</v>
      </c>
      <c r="D1128" s="2">
        <v>0.37179398148148146</v>
      </c>
      <c r="E1128" s="2">
        <v>0.3828125</v>
      </c>
    </row>
    <row r="1129" spans="1:5" x14ac:dyDescent="0.25">
      <c r="A1129">
        <v>7872182</v>
      </c>
      <c r="B1129" t="str">
        <f t="shared" si="17"/>
        <v>stacjonarny</v>
      </c>
      <c r="C1129" s="1">
        <v>42934</v>
      </c>
      <c r="D1129" s="2">
        <v>0.3772800925925926</v>
      </c>
      <c r="E1129" s="2">
        <v>0.3837962962962963</v>
      </c>
    </row>
    <row r="1130" spans="1:5" x14ac:dyDescent="0.25">
      <c r="A1130">
        <v>84513035</v>
      </c>
      <c r="B1130" t="str">
        <f t="shared" si="17"/>
        <v>komorkowy</v>
      </c>
      <c r="C1130" s="1">
        <v>42934</v>
      </c>
      <c r="D1130" s="2">
        <v>0.38017361111111109</v>
      </c>
      <c r="E1130" s="2">
        <v>0.38291666666666668</v>
      </c>
    </row>
    <row r="1131" spans="1:5" x14ac:dyDescent="0.25">
      <c r="A1131">
        <v>1775586</v>
      </c>
      <c r="B1131" t="str">
        <f t="shared" si="17"/>
        <v>stacjonarny</v>
      </c>
      <c r="C1131" s="1">
        <v>42934</v>
      </c>
      <c r="D1131" s="2">
        <v>0.38452546296296297</v>
      </c>
      <c r="E1131" s="2">
        <v>0.38978009259259261</v>
      </c>
    </row>
    <row r="1132" spans="1:5" x14ac:dyDescent="0.25">
      <c r="A1132">
        <v>1225082</v>
      </c>
      <c r="B1132" t="str">
        <f t="shared" si="17"/>
        <v>stacjonarny</v>
      </c>
      <c r="C1132" s="1">
        <v>42934</v>
      </c>
      <c r="D1132" s="2">
        <v>0.38516203703703705</v>
      </c>
      <c r="E1132" s="2">
        <v>0.38653935185185184</v>
      </c>
    </row>
    <row r="1133" spans="1:5" x14ac:dyDescent="0.25">
      <c r="A1133">
        <v>1586675</v>
      </c>
      <c r="B1133" t="str">
        <f t="shared" si="17"/>
        <v>stacjonarny</v>
      </c>
      <c r="C1133" s="1">
        <v>42934</v>
      </c>
      <c r="D1133" s="2">
        <v>0.39093749999999999</v>
      </c>
      <c r="E1133" s="2">
        <v>0.39787037037037037</v>
      </c>
    </row>
    <row r="1134" spans="1:5" x14ac:dyDescent="0.25">
      <c r="A1134">
        <v>2672229</v>
      </c>
      <c r="B1134" t="str">
        <f t="shared" si="17"/>
        <v>stacjonarny</v>
      </c>
      <c r="C1134" s="1">
        <v>42934</v>
      </c>
      <c r="D1134" s="2">
        <v>0.39552083333333332</v>
      </c>
      <c r="E1134" s="2">
        <v>0.4007175925925926</v>
      </c>
    </row>
    <row r="1135" spans="1:5" x14ac:dyDescent="0.25">
      <c r="A1135">
        <v>2443869</v>
      </c>
      <c r="B1135" t="str">
        <f t="shared" si="17"/>
        <v>stacjonarny</v>
      </c>
      <c r="C1135" s="1">
        <v>42934</v>
      </c>
      <c r="D1135" s="2">
        <v>0.39964120370370371</v>
      </c>
      <c r="E1135" s="2">
        <v>0.4074652777777778</v>
      </c>
    </row>
    <row r="1136" spans="1:5" x14ac:dyDescent="0.25">
      <c r="A1136">
        <v>7166411</v>
      </c>
      <c r="B1136" t="str">
        <f t="shared" si="17"/>
        <v>stacjonarny</v>
      </c>
      <c r="C1136" s="1">
        <v>42934</v>
      </c>
      <c r="D1136" s="2">
        <v>0.40263888888888888</v>
      </c>
      <c r="E1136" s="2">
        <v>0.40846064814814814</v>
      </c>
    </row>
    <row r="1137" spans="1:5" x14ac:dyDescent="0.25">
      <c r="A1137">
        <v>4657345</v>
      </c>
      <c r="B1137" t="str">
        <f t="shared" si="17"/>
        <v>stacjonarny</v>
      </c>
      <c r="C1137" s="1">
        <v>42934</v>
      </c>
      <c r="D1137" s="2">
        <v>0.40328703703703705</v>
      </c>
      <c r="E1137" s="2">
        <v>0.4140625</v>
      </c>
    </row>
    <row r="1138" spans="1:5" x14ac:dyDescent="0.25">
      <c r="A1138">
        <v>6070329</v>
      </c>
      <c r="B1138" t="str">
        <f t="shared" si="17"/>
        <v>stacjonarny</v>
      </c>
      <c r="C1138" s="1">
        <v>42934</v>
      </c>
      <c r="D1138" s="2">
        <v>0.40337962962962964</v>
      </c>
      <c r="E1138" s="2">
        <v>0.41432870370370373</v>
      </c>
    </row>
    <row r="1139" spans="1:5" x14ac:dyDescent="0.25">
      <c r="A1139">
        <v>4845362</v>
      </c>
      <c r="B1139" t="str">
        <f t="shared" si="17"/>
        <v>stacjonarny</v>
      </c>
      <c r="C1139" s="1">
        <v>42934</v>
      </c>
      <c r="D1139" s="2">
        <v>0.4034490740740741</v>
      </c>
      <c r="E1139" s="2">
        <v>0.40371527777777777</v>
      </c>
    </row>
    <row r="1140" spans="1:5" x14ac:dyDescent="0.25">
      <c r="A1140">
        <v>6333341</v>
      </c>
      <c r="B1140" t="str">
        <f t="shared" si="17"/>
        <v>stacjonarny</v>
      </c>
      <c r="C1140" s="1">
        <v>42934</v>
      </c>
      <c r="D1140" s="2">
        <v>0.40690972222222221</v>
      </c>
      <c r="E1140" s="2">
        <v>0.4103472222222222</v>
      </c>
    </row>
    <row r="1141" spans="1:5" x14ac:dyDescent="0.25">
      <c r="A1141">
        <v>5060909</v>
      </c>
      <c r="B1141" t="str">
        <f t="shared" si="17"/>
        <v>stacjonarny</v>
      </c>
      <c r="C1141" s="1">
        <v>42934</v>
      </c>
      <c r="D1141" s="2">
        <v>0.40699074074074076</v>
      </c>
      <c r="E1141" s="2">
        <v>0.41368055555555555</v>
      </c>
    </row>
    <row r="1142" spans="1:5" x14ac:dyDescent="0.25">
      <c r="A1142">
        <v>4673703944</v>
      </c>
      <c r="B1142" t="str">
        <f t="shared" si="17"/>
        <v>zagraniczny</v>
      </c>
      <c r="C1142" s="1">
        <v>42934</v>
      </c>
      <c r="D1142" s="2">
        <v>0.40822916666666664</v>
      </c>
      <c r="E1142" s="2">
        <v>0.41090277777777778</v>
      </c>
    </row>
    <row r="1143" spans="1:5" x14ac:dyDescent="0.25">
      <c r="A1143">
        <v>3178616</v>
      </c>
      <c r="B1143" t="str">
        <f t="shared" si="17"/>
        <v>stacjonarny</v>
      </c>
      <c r="C1143" s="1">
        <v>42934</v>
      </c>
      <c r="D1143" s="2">
        <v>0.40974537037037034</v>
      </c>
      <c r="E1143" s="2">
        <v>0.41177083333333331</v>
      </c>
    </row>
    <row r="1144" spans="1:5" x14ac:dyDescent="0.25">
      <c r="A1144">
        <v>2079170589</v>
      </c>
      <c r="B1144" t="str">
        <f t="shared" si="17"/>
        <v>zagraniczny</v>
      </c>
      <c r="C1144" s="1">
        <v>42934</v>
      </c>
      <c r="D1144" s="2">
        <v>0.41120370370370368</v>
      </c>
      <c r="E1144" s="2">
        <v>0.41769675925925925</v>
      </c>
    </row>
    <row r="1145" spans="1:5" x14ac:dyDescent="0.25">
      <c r="A1145">
        <v>9815754</v>
      </c>
      <c r="B1145" t="str">
        <f t="shared" si="17"/>
        <v>stacjonarny</v>
      </c>
      <c r="C1145" s="1">
        <v>42934</v>
      </c>
      <c r="D1145" s="2">
        <v>0.41260416666666666</v>
      </c>
      <c r="E1145" s="2">
        <v>0.41688657407407409</v>
      </c>
    </row>
    <row r="1146" spans="1:5" x14ac:dyDescent="0.25">
      <c r="A1146">
        <v>4111617</v>
      </c>
      <c r="B1146" t="str">
        <f t="shared" si="17"/>
        <v>stacjonarny</v>
      </c>
      <c r="C1146" s="1">
        <v>42934</v>
      </c>
      <c r="D1146" s="2">
        <v>0.41450231481481481</v>
      </c>
      <c r="E1146" s="2">
        <v>0.41574074074074074</v>
      </c>
    </row>
    <row r="1147" spans="1:5" x14ac:dyDescent="0.25">
      <c r="A1147">
        <v>1117628</v>
      </c>
      <c r="B1147" t="str">
        <f t="shared" si="17"/>
        <v>stacjonarny</v>
      </c>
      <c r="C1147" s="1">
        <v>42934</v>
      </c>
      <c r="D1147" s="2">
        <v>0.41652777777777777</v>
      </c>
      <c r="E1147" s="2">
        <v>0.42443287037037036</v>
      </c>
    </row>
    <row r="1148" spans="1:5" x14ac:dyDescent="0.25">
      <c r="A1148">
        <v>5487496</v>
      </c>
      <c r="B1148" t="str">
        <f t="shared" si="17"/>
        <v>stacjonarny</v>
      </c>
      <c r="C1148" s="1">
        <v>42934</v>
      </c>
      <c r="D1148" s="2">
        <v>0.42114583333333333</v>
      </c>
      <c r="E1148" s="2">
        <v>0.4230902777777778</v>
      </c>
    </row>
    <row r="1149" spans="1:5" x14ac:dyDescent="0.25">
      <c r="A1149">
        <v>1472682</v>
      </c>
      <c r="B1149" t="str">
        <f t="shared" si="17"/>
        <v>stacjonarny</v>
      </c>
      <c r="C1149" s="1">
        <v>42934</v>
      </c>
      <c r="D1149" s="2">
        <v>0.42533564814814817</v>
      </c>
      <c r="E1149" s="2">
        <v>0.43167824074074074</v>
      </c>
    </row>
    <row r="1150" spans="1:5" x14ac:dyDescent="0.25">
      <c r="A1150">
        <v>43885630</v>
      </c>
      <c r="B1150" t="str">
        <f t="shared" si="17"/>
        <v>komorkowy</v>
      </c>
      <c r="C1150" s="1">
        <v>42934</v>
      </c>
      <c r="D1150" s="2">
        <v>0.42988425925925927</v>
      </c>
      <c r="E1150" s="2">
        <v>0.43424768518518519</v>
      </c>
    </row>
    <row r="1151" spans="1:5" x14ac:dyDescent="0.25">
      <c r="A1151">
        <v>5543741</v>
      </c>
      <c r="B1151" t="str">
        <f t="shared" si="17"/>
        <v>stacjonarny</v>
      </c>
      <c r="C1151" s="1">
        <v>42934</v>
      </c>
      <c r="D1151" s="2">
        <v>0.42997685185185186</v>
      </c>
      <c r="E1151" s="2">
        <v>0.43590277777777775</v>
      </c>
    </row>
    <row r="1152" spans="1:5" x14ac:dyDescent="0.25">
      <c r="A1152">
        <v>2590674</v>
      </c>
      <c r="B1152" t="str">
        <f t="shared" si="17"/>
        <v>stacjonarny</v>
      </c>
      <c r="C1152" s="1">
        <v>42934</v>
      </c>
      <c r="D1152" s="2">
        <v>0.43025462962962963</v>
      </c>
      <c r="E1152" s="2">
        <v>0.43677083333333333</v>
      </c>
    </row>
    <row r="1153" spans="1:5" x14ac:dyDescent="0.25">
      <c r="A1153">
        <v>4212838</v>
      </c>
      <c r="B1153" t="str">
        <f t="shared" si="17"/>
        <v>stacjonarny</v>
      </c>
      <c r="C1153" s="1">
        <v>42934</v>
      </c>
      <c r="D1153" s="2">
        <v>0.43420138888888887</v>
      </c>
      <c r="E1153" s="2">
        <v>0.43973379629629628</v>
      </c>
    </row>
    <row r="1154" spans="1:5" x14ac:dyDescent="0.25">
      <c r="A1154">
        <v>7836418</v>
      </c>
      <c r="B1154" t="str">
        <f t="shared" si="17"/>
        <v>stacjonarny</v>
      </c>
      <c r="C1154" s="1">
        <v>42934</v>
      </c>
      <c r="D1154" s="2">
        <v>0.4354513888888889</v>
      </c>
      <c r="E1154" s="2">
        <v>0.43745370370370368</v>
      </c>
    </row>
    <row r="1155" spans="1:5" x14ac:dyDescent="0.25">
      <c r="A1155">
        <v>2844911</v>
      </c>
      <c r="B1155" t="str">
        <f t="shared" ref="B1155:B1218" si="18">IF(LEN(A1155)=7, "stacjonarny", IF(LEN(A1155)=8, "komorkowy", "zagraniczny"))</f>
        <v>stacjonarny</v>
      </c>
      <c r="C1155" s="1">
        <v>42934</v>
      </c>
      <c r="D1155" s="2">
        <v>0.43821759259259258</v>
      </c>
      <c r="E1155" s="2">
        <v>0.44969907407407406</v>
      </c>
    </row>
    <row r="1156" spans="1:5" x14ac:dyDescent="0.25">
      <c r="A1156">
        <v>2861766</v>
      </c>
      <c r="B1156" t="str">
        <f t="shared" si="18"/>
        <v>stacjonarny</v>
      </c>
      <c r="C1156" s="1">
        <v>42934</v>
      </c>
      <c r="D1156" s="2">
        <v>0.4403125</v>
      </c>
      <c r="E1156" s="2">
        <v>0.4490972222222222</v>
      </c>
    </row>
    <row r="1157" spans="1:5" x14ac:dyDescent="0.25">
      <c r="A1157">
        <v>9655946</v>
      </c>
      <c r="B1157" t="str">
        <f t="shared" si="18"/>
        <v>stacjonarny</v>
      </c>
      <c r="C1157" s="1">
        <v>42934</v>
      </c>
      <c r="D1157" s="2">
        <v>0.44385416666666666</v>
      </c>
      <c r="E1157" s="2">
        <v>0.45193287037037039</v>
      </c>
    </row>
    <row r="1158" spans="1:5" x14ac:dyDescent="0.25">
      <c r="A1158">
        <v>6050570</v>
      </c>
      <c r="B1158" t="str">
        <f t="shared" si="18"/>
        <v>stacjonarny</v>
      </c>
      <c r="C1158" s="1">
        <v>42934</v>
      </c>
      <c r="D1158" s="2">
        <v>0.44744212962962965</v>
      </c>
      <c r="E1158" s="2">
        <v>0.45751157407407406</v>
      </c>
    </row>
    <row r="1159" spans="1:5" x14ac:dyDescent="0.25">
      <c r="A1159">
        <v>1607422</v>
      </c>
      <c r="B1159" t="str">
        <f t="shared" si="18"/>
        <v>stacjonarny</v>
      </c>
      <c r="C1159" s="1">
        <v>42934</v>
      </c>
      <c r="D1159" s="2">
        <v>0.45238425925925924</v>
      </c>
      <c r="E1159" s="2">
        <v>0.45937499999999998</v>
      </c>
    </row>
    <row r="1160" spans="1:5" x14ac:dyDescent="0.25">
      <c r="A1160">
        <v>1192412</v>
      </c>
      <c r="B1160" t="str">
        <f t="shared" si="18"/>
        <v>stacjonarny</v>
      </c>
      <c r="C1160" s="1">
        <v>42934</v>
      </c>
      <c r="D1160" s="2">
        <v>0.45417824074074076</v>
      </c>
      <c r="E1160" s="2">
        <v>0.46438657407407408</v>
      </c>
    </row>
    <row r="1161" spans="1:5" x14ac:dyDescent="0.25">
      <c r="A1161">
        <v>4959551431</v>
      </c>
      <c r="B1161" t="str">
        <f t="shared" si="18"/>
        <v>zagraniczny</v>
      </c>
      <c r="C1161" s="1">
        <v>42934</v>
      </c>
      <c r="D1161" s="2">
        <v>0.45437499999999997</v>
      </c>
      <c r="E1161" s="2">
        <v>0.45770833333333333</v>
      </c>
    </row>
    <row r="1162" spans="1:5" x14ac:dyDescent="0.25">
      <c r="A1162">
        <v>9808221</v>
      </c>
      <c r="B1162" t="str">
        <f t="shared" si="18"/>
        <v>stacjonarny</v>
      </c>
      <c r="C1162" s="1">
        <v>42934</v>
      </c>
      <c r="D1162" s="2">
        <v>0.45680555555555558</v>
      </c>
      <c r="E1162" s="2">
        <v>0.4636689814814815</v>
      </c>
    </row>
    <row r="1163" spans="1:5" x14ac:dyDescent="0.25">
      <c r="A1163">
        <v>8672623</v>
      </c>
      <c r="B1163" t="str">
        <f t="shared" si="18"/>
        <v>stacjonarny</v>
      </c>
      <c r="C1163" s="1">
        <v>42934</v>
      </c>
      <c r="D1163" s="2">
        <v>0.45947916666666666</v>
      </c>
      <c r="E1163" s="2">
        <v>0.46460648148148148</v>
      </c>
    </row>
    <row r="1164" spans="1:5" x14ac:dyDescent="0.25">
      <c r="A1164">
        <v>3862016</v>
      </c>
      <c r="B1164" t="str">
        <f t="shared" si="18"/>
        <v>stacjonarny</v>
      </c>
      <c r="C1164" s="1">
        <v>42934</v>
      </c>
      <c r="D1164" s="2">
        <v>0.46127314814814813</v>
      </c>
      <c r="E1164" s="2">
        <v>0.46726851851851853</v>
      </c>
    </row>
    <row r="1165" spans="1:5" x14ac:dyDescent="0.25">
      <c r="A1165">
        <v>16580449</v>
      </c>
      <c r="B1165" t="str">
        <f t="shared" si="18"/>
        <v>komorkowy</v>
      </c>
      <c r="C1165" s="1">
        <v>42934</v>
      </c>
      <c r="D1165" s="2">
        <v>0.46130787037037035</v>
      </c>
      <c r="E1165" s="2">
        <v>0.47226851851851853</v>
      </c>
    </row>
    <row r="1166" spans="1:5" x14ac:dyDescent="0.25">
      <c r="A1166">
        <v>67064385</v>
      </c>
      <c r="B1166" t="str">
        <f t="shared" si="18"/>
        <v>komorkowy</v>
      </c>
      <c r="C1166" s="1">
        <v>42934</v>
      </c>
      <c r="D1166" s="2">
        <v>0.46574074074074073</v>
      </c>
      <c r="E1166" s="2">
        <v>0.47495370370370371</v>
      </c>
    </row>
    <row r="1167" spans="1:5" x14ac:dyDescent="0.25">
      <c r="A1167">
        <v>2078150</v>
      </c>
      <c r="B1167" t="str">
        <f t="shared" si="18"/>
        <v>stacjonarny</v>
      </c>
      <c r="C1167" s="1">
        <v>42934</v>
      </c>
      <c r="D1167" s="2">
        <v>0.46872685185185187</v>
      </c>
      <c r="E1167" s="2">
        <v>0.47244212962962961</v>
      </c>
    </row>
    <row r="1168" spans="1:5" x14ac:dyDescent="0.25">
      <c r="A1168">
        <v>5094248</v>
      </c>
      <c r="B1168" t="str">
        <f t="shared" si="18"/>
        <v>stacjonarny</v>
      </c>
      <c r="C1168" s="1">
        <v>42934</v>
      </c>
      <c r="D1168" s="2">
        <v>0.47074074074074074</v>
      </c>
      <c r="E1168" s="2">
        <v>0.47409722222222223</v>
      </c>
    </row>
    <row r="1169" spans="1:5" x14ac:dyDescent="0.25">
      <c r="A1169">
        <v>2584185</v>
      </c>
      <c r="B1169" t="str">
        <f t="shared" si="18"/>
        <v>stacjonarny</v>
      </c>
      <c r="C1169" s="1">
        <v>42934</v>
      </c>
      <c r="D1169" s="2">
        <v>0.47208333333333335</v>
      </c>
      <c r="E1169" s="2">
        <v>0.48284722222222221</v>
      </c>
    </row>
    <row r="1170" spans="1:5" x14ac:dyDescent="0.25">
      <c r="A1170">
        <v>3346801494</v>
      </c>
      <c r="B1170" t="str">
        <f t="shared" si="18"/>
        <v>zagraniczny</v>
      </c>
      <c r="C1170" s="1">
        <v>42934</v>
      </c>
      <c r="D1170" s="2">
        <v>0.47394675925925928</v>
      </c>
      <c r="E1170" s="2">
        <v>0.48170138888888892</v>
      </c>
    </row>
    <row r="1171" spans="1:5" x14ac:dyDescent="0.25">
      <c r="A1171">
        <v>4535172</v>
      </c>
      <c r="B1171" t="str">
        <f t="shared" si="18"/>
        <v>stacjonarny</v>
      </c>
      <c r="C1171" s="1">
        <v>42934</v>
      </c>
      <c r="D1171" s="2">
        <v>0.4750462962962963</v>
      </c>
      <c r="E1171" s="2">
        <v>0.47592592592592592</v>
      </c>
    </row>
    <row r="1172" spans="1:5" x14ac:dyDescent="0.25">
      <c r="A1172">
        <v>8723323</v>
      </c>
      <c r="B1172" t="str">
        <f t="shared" si="18"/>
        <v>stacjonarny</v>
      </c>
      <c r="C1172" s="1">
        <v>42934</v>
      </c>
      <c r="D1172" s="2">
        <v>0.47505787037037039</v>
      </c>
      <c r="E1172" s="2">
        <v>0.48318287037037039</v>
      </c>
    </row>
    <row r="1173" spans="1:5" x14ac:dyDescent="0.25">
      <c r="A1173">
        <v>76845076</v>
      </c>
      <c r="B1173" t="str">
        <f t="shared" si="18"/>
        <v>komorkowy</v>
      </c>
      <c r="C1173" s="1">
        <v>42934</v>
      </c>
      <c r="D1173" s="2">
        <v>0.47949074074074072</v>
      </c>
      <c r="E1173" s="2">
        <v>0.48335648148148147</v>
      </c>
    </row>
    <row r="1174" spans="1:5" x14ac:dyDescent="0.25">
      <c r="A1174">
        <v>12063341</v>
      </c>
      <c r="B1174" t="str">
        <f t="shared" si="18"/>
        <v>komorkowy</v>
      </c>
      <c r="C1174" s="1">
        <v>42934</v>
      </c>
      <c r="D1174" s="2">
        <v>0.48378472222222224</v>
      </c>
      <c r="E1174" s="2">
        <v>0.48681712962962964</v>
      </c>
    </row>
    <row r="1175" spans="1:5" x14ac:dyDescent="0.25">
      <c r="A1175">
        <v>9866204</v>
      </c>
      <c r="B1175" t="str">
        <f t="shared" si="18"/>
        <v>stacjonarny</v>
      </c>
      <c r="C1175" s="1">
        <v>42934</v>
      </c>
      <c r="D1175" s="2">
        <v>0.48379629629629628</v>
      </c>
      <c r="E1175" s="2">
        <v>0.49018518518518517</v>
      </c>
    </row>
    <row r="1176" spans="1:5" x14ac:dyDescent="0.25">
      <c r="A1176">
        <v>9364912</v>
      </c>
      <c r="B1176" t="str">
        <f t="shared" si="18"/>
        <v>stacjonarny</v>
      </c>
      <c r="C1176" s="1">
        <v>42934</v>
      </c>
      <c r="D1176" s="2">
        <v>0.48715277777777777</v>
      </c>
      <c r="E1176" s="2">
        <v>0.49586805555555558</v>
      </c>
    </row>
    <row r="1177" spans="1:5" x14ac:dyDescent="0.25">
      <c r="A1177">
        <v>9975977</v>
      </c>
      <c r="B1177" t="str">
        <f t="shared" si="18"/>
        <v>stacjonarny</v>
      </c>
      <c r="C1177" s="1">
        <v>42934</v>
      </c>
      <c r="D1177" s="2">
        <v>0.48723379629629632</v>
      </c>
      <c r="E1177" s="2">
        <v>0.4914351851851852</v>
      </c>
    </row>
    <row r="1178" spans="1:5" x14ac:dyDescent="0.25">
      <c r="A1178">
        <v>8802222</v>
      </c>
      <c r="B1178" t="str">
        <f t="shared" si="18"/>
        <v>stacjonarny</v>
      </c>
      <c r="C1178" s="1">
        <v>42934</v>
      </c>
      <c r="D1178" s="2">
        <v>0.48899305555555556</v>
      </c>
      <c r="E1178" s="2">
        <v>0.49456018518518519</v>
      </c>
    </row>
    <row r="1179" spans="1:5" x14ac:dyDescent="0.25">
      <c r="A1179">
        <v>1552877</v>
      </c>
      <c r="B1179" t="str">
        <f t="shared" si="18"/>
        <v>stacjonarny</v>
      </c>
      <c r="C1179" s="1">
        <v>42934</v>
      </c>
      <c r="D1179" s="2">
        <v>0.49277777777777776</v>
      </c>
      <c r="E1179" s="2">
        <v>0.49600694444444443</v>
      </c>
    </row>
    <row r="1180" spans="1:5" x14ac:dyDescent="0.25">
      <c r="A1180">
        <v>6516534288</v>
      </c>
      <c r="B1180" t="str">
        <f t="shared" si="18"/>
        <v>zagraniczny</v>
      </c>
      <c r="C1180" s="1">
        <v>42934</v>
      </c>
      <c r="D1180" s="2">
        <v>0.49465277777777777</v>
      </c>
      <c r="E1180" s="2">
        <v>0.49899305555555556</v>
      </c>
    </row>
    <row r="1181" spans="1:5" x14ac:dyDescent="0.25">
      <c r="A1181">
        <v>68647777</v>
      </c>
      <c r="B1181" t="str">
        <f t="shared" si="18"/>
        <v>komorkowy</v>
      </c>
      <c r="C1181" s="1">
        <v>42934</v>
      </c>
      <c r="D1181" s="2">
        <v>0.49968750000000001</v>
      </c>
      <c r="E1181" s="2">
        <v>0.50692129629629634</v>
      </c>
    </row>
    <row r="1182" spans="1:5" x14ac:dyDescent="0.25">
      <c r="A1182">
        <v>3360951</v>
      </c>
      <c r="B1182" t="str">
        <f t="shared" si="18"/>
        <v>stacjonarny</v>
      </c>
      <c r="C1182" s="1">
        <v>42934</v>
      </c>
      <c r="D1182" s="2">
        <v>0.50384259259259256</v>
      </c>
      <c r="E1182" s="2">
        <v>0.50868055555555558</v>
      </c>
    </row>
    <row r="1183" spans="1:5" x14ac:dyDescent="0.25">
      <c r="A1183">
        <v>9127211929</v>
      </c>
      <c r="B1183" t="str">
        <f t="shared" si="18"/>
        <v>zagraniczny</v>
      </c>
      <c r="C1183" s="1">
        <v>42934</v>
      </c>
      <c r="D1183" s="2">
        <v>0.50648148148148153</v>
      </c>
      <c r="E1183" s="2">
        <v>0.51042824074074078</v>
      </c>
    </row>
    <row r="1184" spans="1:5" x14ac:dyDescent="0.25">
      <c r="A1184">
        <v>9647309</v>
      </c>
      <c r="B1184" t="str">
        <f t="shared" si="18"/>
        <v>stacjonarny</v>
      </c>
      <c r="C1184" s="1">
        <v>42934</v>
      </c>
      <c r="D1184" s="2">
        <v>0.50979166666666664</v>
      </c>
      <c r="E1184" s="2">
        <v>0.51483796296296291</v>
      </c>
    </row>
    <row r="1185" spans="1:5" x14ac:dyDescent="0.25">
      <c r="A1185">
        <v>6024447</v>
      </c>
      <c r="B1185" t="str">
        <f t="shared" si="18"/>
        <v>stacjonarny</v>
      </c>
      <c r="C1185" s="1">
        <v>42934</v>
      </c>
      <c r="D1185" s="2">
        <v>0.51164351851851853</v>
      </c>
      <c r="E1185" s="2">
        <v>0.51975694444444442</v>
      </c>
    </row>
    <row r="1186" spans="1:5" x14ac:dyDescent="0.25">
      <c r="A1186">
        <v>12919749</v>
      </c>
      <c r="B1186" t="str">
        <f t="shared" si="18"/>
        <v>komorkowy</v>
      </c>
      <c r="C1186" s="1">
        <v>42934</v>
      </c>
      <c r="D1186" s="2">
        <v>0.5161458333333333</v>
      </c>
      <c r="E1186" s="2">
        <v>0.5222106481481481</v>
      </c>
    </row>
    <row r="1187" spans="1:5" x14ac:dyDescent="0.25">
      <c r="A1187">
        <v>3287315</v>
      </c>
      <c r="B1187" t="str">
        <f t="shared" si="18"/>
        <v>stacjonarny</v>
      </c>
      <c r="C1187" s="1">
        <v>42934</v>
      </c>
      <c r="D1187" s="2">
        <v>0.51627314814814818</v>
      </c>
      <c r="E1187" s="2">
        <v>0.51844907407407403</v>
      </c>
    </row>
    <row r="1188" spans="1:5" x14ac:dyDescent="0.25">
      <c r="A1188">
        <v>9953379</v>
      </c>
      <c r="B1188" t="str">
        <f t="shared" si="18"/>
        <v>stacjonarny</v>
      </c>
      <c r="C1188" s="1">
        <v>42934</v>
      </c>
      <c r="D1188" s="2">
        <v>0.52061342592592597</v>
      </c>
      <c r="E1188" s="2">
        <v>0.52561342592592597</v>
      </c>
    </row>
    <row r="1189" spans="1:5" x14ac:dyDescent="0.25">
      <c r="A1189">
        <v>97558765</v>
      </c>
      <c r="B1189" t="str">
        <f t="shared" si="18"/>
        <v>komorkowy</v>
      </c>
      <c r="C1189" s="1">
        <v>42934</v>
      </c>
      <c r="D1189" s="2">
        <v>0.5259490740740741</v>
      </c>
      <c r="E1189" s="2">
        <v>0.53439814814814812</v>
      </c>
    </row>
    <row r="1190" spans="1:5" x14ac:dyDescent="0.25">
      <c r="A1190">
        <v>2722706</v>
      </c>
      <c r="B1190" t="str">
        <f t="shared" si="18"/>
        <v>stacjonarny</v>
      </c>
      <c r="C1190" s="1">
        <v>42934</v>
      </c>
      <c r="D1190" s="2">
        <v>0.53025462962962966</v>
      </c>
      <c r="E1190" s="2">
        <v>0.53217592592592589</v>
      </c>
    </row>
    <row r="1191" spans="1:5" x14ac:dyDescent="0.25">
      <c r="A1191">
        <v>97876188</v>
      </c>
      <c r="B1191" t="str">
        <f t="shared" si="18"/>
        <v>komorkowy</v>
      </c>
      <c r="C1191" s="1">
        <v>42934</v>
      </c>
      <c r="D1191" s="2">
        <v>0.53412037037037041</v>
      </c>
      <c r="E1191" s="2">
        <v>0.53467592592592594</v>
      </c>
    </row>
    <row r="1192" spans="1:5" x14ac:dyDescent="0.25">
      <c r="A1192">
        <v>4068728</v>
      </c>
      <c r="B1192" t="str">
        <f t="shared" si="18"/>
        <v>stacjonarny</v>
      </c>
      <c r="C1192" s="1">
        <v>42934</v>
      </c>
      <c r="D1192" s="2">
        <v>0.53760416666666666</v>
      </c>
      <c r="E1192" s="2">
        <v>0.546412037037037</v>
      </c>
    </row>
    <row r="1193" spans="1:5" x14ac:dyDescent="0.25">
      <c r="A1193">
        <v>7624070</v>
      </c>
      <c r="B1193" t="str">
        <f t="shared" si="18"/>
        <v>stacjonarny</v>
      </c>
      <c r="C1193" s="1">
        <v>42934</v>
      </c>
      <c r="D1193" s="2">
        <v>0.54335648148148152</v>
      </c>
      <c r="E1193" s="2">
        <v>0.55396990740740737</v>
      </c>
    </row>
    <row r="1194" spans="1:5" x14ac:dyDescent="0.25">
      <c r="A1194">
        <v>2419247</v>
      </c>
      <c r="B1194" t="str">
        <f t="shared" si="18"/>
        <v>stacjonarny</v>
      </c>
      <c r="C1194" s="1">
        <v>42934</v>
      </c>
      <c r="D1194" s="2">
        <v>0.54686342592592596</v>
      </c>
      <c r="E1194" s="2">
        <v>0.54782407407407407</v>
      </c>
    </row>
    <row r="1195" spans="1:5" x14ac:dyDescent="0.25">
      <c r="A1195">
        <v>5244597</v>
      </c>
      <c r="B1195" t="str">
        <f t="shared" si="18"/>
        <v>stacjonarny</v>
      </c>
      <c r="C1195" s="1">
        <v>42934</v>
      </c>
      <c r="D1195" s="2">
        <v>0.55008101851851854</v>
      </c>
      <c r="E1195" s="2">
        <v>0.55730324074074078</v>
      </c>
    </row>
    <row r="1196" spans="1:5" x14ac:dyDescent="0.25">
      <c r="A1196">
        <v>2005653</v>
      </c>
      <c r="B1196" t="str">
        <f t="shared" si="18"/>
        <v>stacjonarny</v>
      </c>
      <c r="C1196" s="1">
        <v>42934</v>
      </c>
      <c r="D1196" s="2">
        <v>0.55039351851851848</v>
      </c>
      <c r="E1196" s="2">
        <v>0.5572569444444444</v>
      </c>
    </row>
    <row r="1197" spans="1:5" x14ac:dyDescent="0.25">
      <c r="A1197">
        <v>7203715</v>
      </c>
      <c r="B1197" t="str">
        <f t="shared" si="18"/>
        <v>stacjonarny</v>
      </c>
      <c r="C1197" s="1">
        <v>42934</v>
      </c>
      <c r="D1197" s="2">
        <v>0.55447916666666663</v>
      </c>
      <c r="E1197" s="2">
        <v>0.56332175925925931</v>
      </c>
    </row>
    <row r="1198" spans="1:5" x14ac:dyDescent="0.25">
      <c r="A1198">
        <v>4520463</v>
      </c>
      <c r="B1198" t="str">
        <f t="shared" si="18"/>
        <v>stacjonarny</v>
      </c>
      <c r="C1198" s="1">
        <v>42934</v>
      </c>
      <c r="D1198" s="2">
        <v>0.55645833333333339</v>
      </c>
      <c r="E1198" s="2">
        <v>0.55648148148148147</v>
      </c>
    </row>
    <row r="1199" spans="1:5" x14ac:dyDescent="0.25">
      <c r="A1199">
        <v>4454837</v>
      </c>
      <c r="B1199" t="str">
        <f t="shared" si="18"/>
        <v>stacjonarny</v>
      </c>
      <c r="C1199" s="1">
        <v>42934</v>
      </c>
      <c r="D1199" s="2">
        <v>0.5621990740740741</v>
      </c>
      <c r="E1199" s="2">
        <v>0.56353009259259257</v>
      </c>
    </row>
    <row r="1200" spans="1:5" x14ac:dyDescent="0.25">
      <c r="A1200">
        <v>6999348</v>
      </c>
      <c r="B1200" t="str">
        <f t="shared" si="18"/>
        <v>stacjonarny</v>
      </c>
      <c r="C1200" s="1">
        <v>42934</v>
      </c>
      <c r="D1200" s="2">
        <v>0.56714120370370369</v>
      </c>
      <c r="E1200" s="2">
        <v>0.56869212962962967</v>
      </c>
    </row>
    <row r="1201" spans="1:5" x14ac:dyDescent="0.25">
      <c r="A1201">
        <v>90884366</v>
      </c>
      <c r="B1201" t="str">
        <f t="shared" si="18"/>
        <v>komorkowy</v>
      </c>
      <c r="C1201" s="1">
        <v>42934</v>
      </c>
      <c r="D1201" s="2">
        <v>0.57276620370370368</v>
      </c>
      <c r="E1201" s="2">
        <v>0.57995370370370369</v>
      </c>
    </row>
    <row r="1202" spans="1:5" x14ac:dyDescent="0.25">
      <c r="A1202">
        <v>3121640</v>
      </c>
      <c r="B1202" t="str">
        <f t="shared" si="18"/>
        <v>stacjonarny</v>
      </c>
      <c r="C1202" s="1">
        <v>42934</v>
      </c>
      <c r="D1202" s="2">
        <v>0.57841435185185186</v>
      </c>
      <c r="E1202" s="2">
        <v>0.58364583333333331</v>
      </c>
    </row>
    <row r="1203" spans="1:5" x14ac:dyDescent="0.25">
      <c r="A1203">
        <v>5912710</v>
      </c>
      <c r="B1203" t="str">
        <f t="shared" si="18"/>
        <v>stacjonarny</v>
      </c>
      <c r="C1203" s="1">
        <v>42934</v>
      </c>
      <c r="D1203" s="2">
        <v>0.57988425925925924</v>
      </c>
      <c r="E1203" s="2">
        <v>0.58928240740740745</v>
      </c>
    </row>
    <row r="1204" spans="1:5" x14ac:dyDescent="0.25">
      <c r="A1204">
        <v>7118082</v>
      </c>
      <c r="B1204" t="str">
        <f t="shared" si="18"/>
        <v>stacjonarny</v>
      </c>
      <c r="C1204" s="1">
        <v>42934</v>
      </c>
      <c r="D1204" s="2">
        <v>0.58524305555555556</v>
      </c>
      <c r="E1204" s="2">
        <v>0.591400462962963</v>
      </c>
    </row>
    <row r="1205" spans="1:5" x14ac:dyDescent="0.25">
      <c r="A1205">
        <v>9100303</v>
      </c>
      <c r="B1205" t="str">
        <f t="shared" si="18"/>
        <v>stacjonarny</v>
      </c>
      <c r="C1205" s="1">
        <v>42934</v>
      </c>
      <c r="D1205" s="2">
        <v>0.58543981481481477</v>
      </c>
      <c r="E1205" s="2">
        <v>0.58929398148148149</v>
      </c>
    </row>
    <row r="1206" spans="1:5" x14ac:dyDescent="0.25">
      <c r="A1206">
        <v>25581178</v>
      </c>
      <c r="B1206" t="str">
        <f t="shared" si="18"/>
        <v>komorkowy</v>
      </c>
      <c r="C1206" s="1">
        <v>42934</v>
      </c>
      <c r="D1206" s="2">
        <v>0.58942129629629625</v>
      </c>
      <c r="E1206" s="2">
        <v>0.59734953703703708</v>
      </c>
    </row>
    <row r="1207" spans="1:5" x14ac:dyDescent="0.25">
      <c r="A1207">
        <v>78976022</v>
      </c>
      <c r="B1207" t="str">
        <f t="shared" si="18"/>
        <v>komorkowy</v>
      </c>
      <c r="C1207" s="1">
        <v>42934</v>
      </c>
      <c r="D1207" s="2">
        <v>0.59495370370370371</v>
      </c>
      <c r="E1207" s="2">
        <v>0.5965625</v>
      </c>
    </row>
    <row r="1208" spans="1:5" x14ac:dyDescent="0.25">
      <c r="A1208">
        <v>7781904</v>
      </c>
      <c r="B1208" t="str">
        <f t="shared" si="18"/>
        <v>stacjonarny</v>
      </c>
      <c r="C1208" s="1">
        <v>42934</v>
      </c>
      <c r="D1208" s="2">
        <v>0.59964120370370366</v>
      </c>
      <c r="E1208" s="2">
        <v>0.60444444444444445</v>
      </c>
    </row>
    <row r="1209" spans="1:5" x14ac:dyDescent="0.25">
      <c r="A1209">
        <v>7473804</v>
      </c>
      <c r="B1209" t="str">
        <f t="shared" si="18"/>
        <v>stacjonarny</v>
      </c>
      <c r="C1209" s="1">
        <v>42934</v>
      </c>
      <c r="D1209" s="2">
        <v>0.60268518518518521</v>
      </c>
      <c r="E1209" s="2">
        <v>0.60929398148148151</v>
      </c>
    </row>
    <row r="1210" spans="1:5" x14ac:dyDescent="0.25">
      <c r="A1210">
        <v>8474693946</v>
      </c>
      <c r="B1210" t="str">
        <f t="shared" si="18"/>
        <v>zagraniczny</v>
      </c>
      <c r="C1210" s="1">
        <v>42934</v>
      </c>
      <c r="D1210" s="2">
        <v>0.60423611111111108</v>
      </c>
      <c r="E1210" s="2">
        <v>0.61535879629629631</v>
      </c>
    </row>
    <row r="1211" spans="1:5" x14ac:dyDescent="0.25">
      <c r="A1211">
        <v>8984769</v>
      </c>
      <c r="B1211" t="str">
        <f t="shared" si="18"/>
        <v>stacjonarny</v>
      </c>
      <c r="C1211" s="1">
        <v>42934</v>
      </c>
      <c r="D1211" s="2">
        <v>0.60932870370370373</v>
      </c>
      <c r="E1211" s="2">
        <v>0.61124999999999996</v>
      </c>
    </row>
    <row r="1212" spans="1:5" x14ac:dyDescent="0.25">
      <c r="A1212">
        <v>40395856</v>
      </c>
      <c r="B1212" t="str">
        <f t="shared" si="18"/>
        <v>komorkowy</v>
      </c>
      <c r="C1212" s="1">
        <v>42934</v>
      </c>
      <c r="D1212" s="2">
        <v>0.61365740740740737</v>
      </c>
      <c r="E1212" s="2">
        <v>0.61829861111111106</v>
      </c>
    </row>
    <row r="1213" spans="1:5" x14ac:dyDescent="0.25">
      <c r="A1213">
        <v>9728932</v>
      </c>
      <c r="B1213" t="str">
        <f t="shared" si="18"/>
        <v>stacjonarny</v>
      </c>
      <c r="C1213" s="1">
        <v>42934</v>
      </c>
      <c r="D1213" s="2">
        <v>0.61675925925925923</v>
      </c>
      <c r="E1213" s="2">
        <v>0.61790509259259263</v>
      </c>
    </row>
    <row r="1214" spans="1:5" x14ac:dyDescent="0.25">
      <c r="A1214">
        <v>8135542</v>
      </c>
      <c r="B1214" t="str">
        <f t="shared" si="18"/>
        <v>stacjonarny</v>
      </c>
      <c r="C1214" s="1">
        <v>42934</v>
      </c>
      <c r="D1214" s="2">
        <v>0.62184027777777773</v>
      </c>
      <c r="E1214" s="2">
        <v>0.63255787037037037</v>
      </c>
    </row>
    <row r="1215" spans="1:5" x14ac:dyDescent="0.25">
      <c r="A1215">
        <v>10093488</v>
      </c>
      <c r="B1215" t="str">
        <f t="shared" si="18"/>
        <v>komorkowy</v>
      </c>
      <c r="C1215" s="1">
        <v>42934</v>
      </c>
      <c r="D1215" s="2">
        <v>0.62197916666666664</v>
      </c>
      <c r="E1215" s="2">
        <v>0.62238425925925922</v>
      </c>
    </row>
    <row r="1216" spans="1:5" x14ac:dyDescent="0.25">
      <c r="A1216">
        <v>4203418</v>
      </c>
      <c r="B1216" t="str">
        <f t="shared" si="18"/>
        <v>stacjonarny</v>
      </c>
      <c r="C1216" s="1">
        <v>42934</v>
      </c>
      <c r="D1216" s="2">
        <v>0.62556712962962968</v>
      </c>
      <c r="E1216" s="2">
        <v>0.63491898148148151</v>
      </c>
    </row>
    <row r="1217" spans="1:5" x14ac:dyDescent="0.25">
      <c r="A1217">
        <v>2456290</v>
      </c>
      <c r="B1217" t="str">
        <f t="shared" si="18"/>
        <v>stacjonarny</v>
      </c>
      <c r="C1217" s="1">
        <v>42935</v>
      </c>
      <c r="D1217" s="2">
        <v>0.33592592592592591</v>
      </c>
      <c r="E1217" s="2">
        <v>0.34680555555555553</v>
      </c>
    </row>
    <row r="1218" spans="1:5" x14ac:dyDescent="0.25">
      <c r="A1218">
        <v>27610972</v>
      </c>
      <c r="B1218" t="str">
        <f t="shared" si="18"/>
        <v>komorkowy</v>
      </c>
      <c r="C1218" s="1">
        <v>42935</v>
      </c>
      <c r="D1218" s="2">
        <v>0.33888888888888891</v>
      </c>
      <c r="E1218" s="2">
        <v>0.3502777777777778</v>
      </c>
    </row>
    <row r="1219" spans="1:5" x14ac:dyDescent="0.25">
      <c r="A1219">
        <v>3073815</v>
      </c>
      <c r="B1219" t="str">
        <f t="shared" ref="B1219:B1282" si="19">IF(LEN(A1219)=7, "stacjonarny", IF(LEN(A1219)=8, "komorkowy", "zagraniczny"))</f>
        <v>stacjonarny</v>
      </c>
      <c r="C1219" s="1">
        <v>42935</v>
      </c>
      <c r="D1219" s="2">
        <v>0.34309027777777779</v>
      </c>
      <c r="E1219" s="2">
        <v>0.34798611111111111</v>
      </c>
    </row>
    <row r="1220" spans="1:5" x14ac:dyDescent="0.25">
      <c r="A1220">
        <v>9776810</v>
      </c>
      <c r="B1220" t="str">
        <f t="shared" si="19"/>
        <v>stacjonarny</v>
      </c>
      <c r="C1220" s="1">
        <v>42935</v>
      </c>
      <c r="D1220" s="2">
        <v>0.34704861111111113</v>
      </c>
      <c r="E1220" s="2">
        <v>0.35386574074074073</v>
      </c>
    </row>
    <row r="1221" spans="1:5" x14ac:dyDescent="0.25">
      <c r="A1221">
        <v>6763741</v>
      </c>
      <c r="B1221" t="str">
        <f t="shared" si="19"/>
        <v>stacjonarny</v>
      </c>
      <c r="C1221" s="1">
        <v>42935</v>
      </c>
      <c r="D1221" s="2">
        <v>0.35040509259259262</v>
      </c>
      <c r="E1221" s="2">
        <v>0.35600694444444442</v>
      </c>
    </row>
    <row r="1222" spans="1:5" x14ac:dyDescent="0.25">
      <c r="A1222">
        <v>2309436</v>
      </c>
      <c r="B1222" t="str">
        <f t="shared" si="19"/>
        <v>stacjonarny</v>
      </c>
      <c r="C1222" s="1">
        <v>42935</v>
      </c>
      <c r="D1222" s="2">
        <v>0.35304398148148147</v>
      </c>
      <c r="E1222" s="2">
        <v>0.35793981481481479</v>
      </c>
    </row>
    <row r="1223" spans="1:5" x14ac:dyDescent="0.25">
      <c r="A1223">
        <v>3131883</v>
      </c>
      <c r="B1223" t="str">
        <f t="shared" si="19"/>
        <v>stacjonarny</v>
      </c>
      <c r="C1223" s="1">
        <v>42935</v>
      </c>
      <c r="D1223" s="2">
        <v>0.35712962962962963</v>
      </c>
      <c r="E1223" s="2">
        <v>0.36243055555555553</v>
      </c>
    </row>
    <row r="1224" spans="1:5" x14ac:dyDescent="0.25">
      <c r="A1224">
        <v>69001821</v>
      </c>
      <c r="B1224" t="str">
        <f t="shared" si="19"/>
        <v>komorkowy</v>
      </c>
      <c r="C1224" s="1">
        <v>42935</v>
      </c>
      <c r="D1224" s="2">
        <v>0.35835648148148147</v>
      </c>
      <c r="E1224" s="2">
        <v>0.36712962962962964</v>
      </c>
    </row>
    <row r="1225" spans="1:5" x14ac:dyDescent="0.25">
      <c r="A1225">
        <v>2150051</v>
      </c>
      <c r="B1225" t="str">
        <f t="shared" si="19"/>
        <v>stacjonarny</v>
      </c>
      <c r="C1225" s="1">
        <v>42935</v>
      </c>
      <c r="D1225" s="2">
        <v>0.36310185185185184</v>
      </c>
      <c r="E1225" s="2">
        <v>0.36723379629629632</v>
      </c>
    </row>
    <row r="1226" spans="1:5" x14ac:dyDescent="0.25">
      <c r="A1226">
        <v>9967523741</v>
      </c>
      <c r="B1226" t="str">
        <f t="shared" si="19"/>
        <v>zagraniczny</v>
      </c>
      <c r="C1226" s="1">
        <v>42935</v>
      </c>
      <c r="D1226" s="2">
        <v>0.36886574074074074</v>
      </c>
      <c r="E1226" s="2">
        <v>0.37324074074074076</v>
      </c>
    </row>
    <row r="1227" spans="1:5" x14ac:dyDescent="0.25">
      <c r="A1227">
        <v>23300236</v>
      </c>
      <c r="B1227" t="str">
        <f t="shared" si="19"/>
        <v>komorkowy</v>
      </c>
      <c r="C1227" s="1">
        <v>42935</v>
      </c>
      <c r="D1227" s="2">
        <v>0.37094907407407407</v>
      </c>
      <c r="E1227" s="2">
        <v>0.37517361111111114</v>
      </c>
    </row>
    <row r="1228" spans="1:5" x14ac:dyDescent="0.25">
      <c r="A1228">
        <v>4714815</v>
      </c>
      <c r="B1228" t="str">
        <f t="shared" si="19"/>
        <v>stacjonarny</v>
      </c>
      <c r="C1228" s="1">
        <v>42935</v>
      </c>
      <c r="D1228" s="2">
        <v>0.37484953703703705</v>
      </c>
      <c r="E1228" s="2">
        <v>0.38143518518518521</v>
      </c>
    </row>
    <row r="1229" spans="1:5" x14ac:dyDescent="0.25">
      <c r="A1229">
        <v>80038636</v>
      </c>
      <c r="B1229" t="str">
        <f t="shared" si="19"/>
        <v>komorkowy</v>
      </c>
      <c r="C1229" s="1">
        <v>42935</v>
      </c>
      <c r="D1229" s="2">
        <v>0.38028935185185186</v>
      </c>
      <c r="E1229" s="2">
        <v>0.38239583333333332</v>
      </c>
    </row>
    <row r="1230" spans="1:5" x14ac:dyDescent="0.25">
      <c r="A1230">
        <v>47596793</v>
      </c>
      <c r="B1230" t="str">
        <f t="shared" si="19"/>
        <v>komorkowy</v>
      </c>
      <c r="C1230" s="1">
        <v>42935</v>
      </c>
      <c r="D1230" s="2">
        <v>0.38059027777777776</v>
      </c>
      <c r="E1230" s="2">
        <v>0.38280092592592591</v>
      </c>
    </row>
    <row r="1231" spans="1:5" x14ac:dyDescent="0.25">
      <c r="A1231">
        <v>6574044</v>
      </c>
      <c r="B1231" t="str">
        <f t="shared" si="19"/>
        <v>stacjonarny</v>
      </c>
      <c r="C1231" s="1">
        <v>42935</v>
      </c>
      <c r="D1231" s="2">
        <v>0.38173611111111111</v>
      </c>
      <c r="E1231" s="2">
        <v>0.38915509259259257</v>
      </c>
    </row>
    <row r="1232" spans="1:5" x14ac:dyDescent="0.25">
      <c r="A1232">
        <v>9475290</v>
      </c>
      <c r="B1232" t="str">
        <f t="shared" si="19"/>
        <v>stacjonarny</v>
      </c>
      <c r="C1232" s="1">
        <v>42935</v>
      </c>
      <c r="D1232" s="2">
        <v>0.38512731481481483</v>
      </c>
      <c r="E1232" s="2">
        <v>0.3947222222222222</v>
      </c>
    </row>
    <row r="1233" spans="1:5" x14ac:dyDescent="0.25">
      <c r="A1233">
        <v>4458725</v>
      </c>
      <c r="B1233" t="str">
        <f t="shared" si="19"/>
        <v>stacjonarny</v>
      </c>
      <c r="C1233" s="1">
        <v>42935</v>
      </c>
      <c r="D1233" s="2">
        <v>0.38533564814814814</v>
      </c>
      <c r="E1233" s="2">
        <v>0.39521990740740742</v>
      </c>
    </row>
    <row r="1234" spans="1:5" x14ac:dyDescent="0.25">
      <c r="A1234">
        <v>4785864</v>
      </c>
      <c r="B1234" t="str">
        <f t="shared" si="19"/>
        <v>stacjonarny</v>
      </c>
      <c r="C1234" s="1">
        <v>42935</v>
      </c>
      <c r="D1234" s="2">
        <v>0.38833333333333331</v>
      </c>
      <c r="E1234" s="2">
        <v>0.39069444444444446</v>
      </c>
    </row>
    <row r="1235" spans="1:5" x14ac:dyDescent="0.25">
      <c r="A1235">
        <v>3109039</v>
      </c>
      <c r="B1235" t="str">
        <f t="shared" si="19"/>
        <v>stacjonarny</v>
      </c>
      <c r="C1235" s="1">
        <v>42935</v>
      </c>
      <c r="D1235" s="2">
        <v>0.38979166666666665</v>
      </c>
      <c r="E1235" s="2">
        <v>0.39171296296296299</v>
      </c>
    </row>
    <row r="1236" spans="1:5" x14ac:dyDescent="0.25">
      <c r="A1236">
        <v>7340326</v>
      </c>
      <c r="B1236" t="str">
        <f t="shared" si="19"/>
        <v>stacjonarny</v>
      </c>
      <c r="C1236" s="1">
        <v>42935</v>
      </c>
      <c r="D1236" s="2">
        <v>0.3898611111111111</v>
      </c>
      <c r="E1236" s="2">
        <v>0.39067129629629632</v>
      </c>
    </row>
    <row r="1237" spans="1:5" x14ac:dyDescent="0.25">
      <c r="A1237">
        <v>7865428</v>
      </c>
      <c r="B1237" t="str">
        <f t="shared" si="19"/>
        <v>stacjonarny</v>
      </c>
      <c r="C1237" s="1">
        <v>42935</v>
      </c>
      <c r="D1237" s="2">
        <v>0.3941898148148148</v>
      </c>
      <c r="E1237" s="2">
        <v>0.40530092592592593</v>
      </c>
    </row>
    <row r="1238" spans="1:5" x14ac:dyDescent="0.25">
      <c r="A1238">
        <v>1467591</v>
      </c>
      <c r="B1238" t="str">
        <f t="shared" si="19"/>
        <v>stacjonarny</v>
      </c>
      <c r="C1238" s="1">
        <v>42935</v>
      </c>
      <c r="D1238" s="2">
        <v>0.39607638888888891</v>
      </c>
      <c r="E1238" s="2">
        <v>0.40442129629629631</v>
      </c>
    </row>
    <row r="1239" spans="1:5" x14ac:dyDescent="0.25">
      <c r="A1239">
        <v>2475157</v>
      </c>
      <c r="B1239" t="str">
        <f t="shared" si="19"/>
        <v>stacjonarny</v>
      </c>
      <c r="C1239" s="1">
        <v>42935</v>
      </c>
      <c r="D1239" s="2">
        <v>0.39937499999999998</v>
      </c>
      <c r="E1239" s="2">
        <v>0.40332175925925928</v>
      </c>
    </row>
    <row r="1240" spans="1:5" x14ac:dyDescent="0.25">
      <c r="A1240">
        <v>6023049</v>
      </c>
      <c r="B1240" t="str">
        <f t="shared" si="19"/>
        <v>stacjonarny</v>
      </c>
      <c r="C1240" s="1">
        <v>42935</v>
      </c>
      <c r="D1240" s="2">
        <v>0.39959490740740738</v>
      </c>
      <c r="E1240" s="2">
        <v>0.41099537037037037</v>
      </c>
    </row>
    <row r="1241" spans="1:5" x14ac:dyDescent="0.25">
      <c r="A1241">
        <v>39210366</v>
      </c>
      <c r="B1241" t="str">
        <f t="shared" si="19"/>
        <v>komorkowy</v>
      </c>
      <c r="C1241" s="1">
        <v>42935</v>
      </c>
      <c r="D1241" s="2">
        <v>0.40234953703703702</v>
      </c>
      <c r="E1241" s="2">
        <v>0.40469907407407407</v>
      </c>
    </row>
    <row r="1242" spans="1:5" x14ac:dyDescent="0.25">
      <c r="A1242">
        <v>90880011</v>
      </c>
      <c r="B1242" t="str">
        <f t="shared" si="19"/>
        <v>komorkowy</v>
      </c>
      <c r="C1242" s="1">
        <v>42935</v>
      </c>
      <c r="D1242" s="2">
        <v>0.40743055555555557</v>
      </c>
      <c r="E1242" s="2">
        <v>0.41255787037037039</v>
      </c>
    </row>
    <row r="1243" spans="1:5" x14ac:dyDescent="0.25">
      <c r="A1243">
        <v>4469748</v>
      </c>
      <c r="B1243" t="str">
        <f t="shared" si="19"/>
        <v>stacjonarny</v>
      </c>
      <c r="C1243" s="1">
        <v>42935</v>
      </c>
      <c r="D1243" s="2">
        <v>0.41121527777777778</v>
      </c>
      <c r="E1243" s="2">
        <v>0.41483796296296294</v>
      </c>
    </row>
    <row r="1244" spans="1:5" x14ac:dyDescent="0.25">
      <c r="A1244">
        <v>3931739393</v>
      </c>
      <c r="B1244" t="str">
        <f t="shared" si="19"/>
        <v>zagraniczny</v>
      </c>
      <c r="C1244" s="1">
        <v>42935</v>
      </c>
      <c r="D1244" s="2">
        <v>0.4127662037037037</v>
      </c>
      <c r="E1244" s="2">
        <v>0.42182870370370368</v>
      </c>
    </row>
    <row r="1245" spans="1:5" x14ac:dyDescent="0.25">
      <c r="A1245">
        <v>4079013</v>
      </c>
      <c r="B1245" t="str">
        <f t="shared" si="19"/>
        <v>stacjonarny</v>
      </c>
      <c r="C1245" s="1">
        <v>42935</v>
      </c>
      <c r="D1245" s="2">
        <v>0.41616898148148146</v>
      </c>
      <c r="E1245" s="2">
        <v>0.41717592592592595</v>
      </c>
    </row>
    <row r="1246" spans="1:5" x14ac:dyDescent="0.25">
      <c r="A1246">
        <v>7751076</v>
      </c>
      <c r="B1246" t="str">
        <f t="shared" si="19"/>
        <v>stacjonarny</v>
      </c>
      <c r="C1246" s="1">
        <v>42935</v>
      </c>
      <c r="D1246" s="2">
        <v>0.41996527777777776</v>
      </c>
      <c r="E1246" s="2">
        <v>0.42766203703703703</v>
      </c>
    </row>
    <row r="1247" spans="1:5" x14ac:dyDescent="0.25">
      <c r="A1247">
        <v>27684909</v>
      </c>
      <c r="B1247" t="str">
        <f t="shared" si="19"/>
        <v>komorkowy</v>
      </c>
      <c r="C1247" s="1">
        <v>42935</v>
      </c>
      <c r="D1247" s="2">
        <v>0.42166666666666669</v>
      </c>
      <c r="E1247" s="2">
        <v>0.43111111111111111</v>
      </c>
    </row>
    <row r="1248" spans="1:5" x14ac:dyDescent="0.25">
      <c r="A1248">
        <v>1588418</v>
      </c>
      <c r="B1248" t="str">
        <f t="shared" si="19"/>
        <v>stacjonarny</v>
      </c>
      <c r="C1248" s="1">
        <v>42935</v>
      </c>
      <c r="D1248" s="2">
        <v>0.42422453703703705</v>
      </c>
      <c r="E1248" s="2">
        <v>0.43512731481481481</v>
      </c>
    </row>
    <row r="1249" spans="1:5" x14ac:dyDescent="0.25">
      <c r="A1249">
        <v>5333653356</v>
      </c>
      <c r="B1249" t="str">
        <f t="shared" si="19"/>
        <v>zagraniczny</v>
      </c>
      <c r="C1249" s="1">
        <v>42935</v>
      </c>
      <c r="D1249" s="2">
        <v>0.42684027777777778</v>
      </c>
      <c r="E1249" s="2">
        <v>0.43207175925925928</v>
      </c>
    </row>
    <row r="1250" spans="1:5" x14ac:dyDescent="0.25">
      <c r="A1250">
        <v>6305758</v>
      </c>
      <c r="B1250" t="str">
        <f t="shared" si="19"/>
        <v>stacjonarny</v>
      </c>
      <c r="C1250" s="1">
        <v>42935</v>
      </c>
      <c r="D1250" s="2">
        <v>0.42912037037037037</v>
      </c>
      <c r="E1250" s="2">
        <v>0.43425925925925923</v>
      </c>
    </row>
    <row r="1251" spans="1:5" x14ac:dyDescent="0.25">
      <c r="A1251">
        <v>45373038</v>
      </c>
      <c r="B1251" t="str">
        <f t="shared" si="19"/>
        <v>komorkowy</v>
      </c>
      <c r="C1251" s="1">
        <v>42935</v>
      </c>
      <c r="D1251" s="2">
        <v>0.43180555555555555</v>
      </c>
      <c r="E1251" s="2">
        <v>0.44175925925925924</v>
      </c>
    </row>
    <row r="1252" spans="1:5" x14ac:dyDescent="0.25">
      <c r="A1252">
        <v>7589993</v>
      </c>
      <c r="B1252" t="str">
        <f t="shared" si="19"/>
        <v>stacjonarny</v>
      </c>
      <c r="C1252" s="1">
        <v>42935</v>
      </c>
      <c r="D1252" s="2">
        <v>0.43185185185185188</v>
      </c>
      <c r="E1252" s="2">
        <v>0.4382638888888889</v>
      </c>
    </row>
    <row r="1253" spans="1:5" x14ac:dyDescent="0.25">
      <c r="A1253">
        <v>5588421</v>
      </c>
      <c r="B1253" t="str">
        <f t="shared" si="19"/>
        <v>stacjonarny</v>
      </c>
      <c r="C1253" s="1">
        <v>42935</v>
      </c>
      <c r="D1253" s="2">
        <v>0.43365740740740738</v>
      </c>
      <c r="E1253" s="2">
        <v>0.43964120370370369</v>
      </c>
    </row>
    <row r="1254" spans="1:5" x14ac:dyDescent="0.25">
      <c r="A1254">
        <v>9662407</v>
      </c>
      <c r="B1254" t="str">
        <f t="shared" si="19"/>
        <v>stacjonarny</v>
      </c>
      <c r="C1254" s="1">
        <v>42935</v>
      </c>
      <c r="D1254" s="2">
        <v>0.43509259259259259</v>
      </c>
      <c r="E1254" s="2">
        <v>0.44364583333333335</v>
      </c>
    </row>
    <row r="1255" spans="1:5" x14ac:dyDescent="0.25">
      <c r="A1255">
        <v>3422062</v>
      </c>
      <c r="B1255" t="str">
        <f t="shared" si="19"/>
        <v>stacjonarny</v>
      </c>
      <c r="C1255" s="1">
        <v>42935</v>
      </c>
      <c r="D1255" s="2">
        <v>0.43734953703703705</v>
      </c>
      <c r="E1255" s="2">
        <v>0.44071759259259258</v>
      </c>
    </row>
    <row r="1256" spans="1:5" x14ac:dyDescent="0.25">
      <c r="A1256">
        <v>9305031</v>
      </c>
      <c r="B1256" t="str">
        <f t="shared" si="19"/>
        <v>stacjonarny</v>
      </c>
      <c r="C1256" s="1">
        <v>42935</v>
      </c>
      <c r="D1256" s="2">
        <v>0.43827546296296294</v>
      </c>
      <c r="E1256" s="2">
        <v>0.44968750000000002</v>
      </c>
    </row>
    <row r="1257" spans="1:5" x14ac:dyDescent="0.25">
      <c r="A1257">
        <v>4911005</v>
      </c>
      <c r="B1257" t="str">
        <f t="shared" si="19"/>
        <v>stacjonarny</v>
      </c>
      <c r="C1257" s="1">
        <v>42935</v>
      </c>
      <c r="D1257" s="2">
        <v>0.44305555555555554</v>
      </c>
      <c r="E1257" s="2">
        <v>0.45006944444444447</v>
      </c>
    </row>
    <row r="1258" spans="1:5" x14ac:dyDescent="0.25">
      <c r="A1258">
        <v>1391272</v>
      </c>
      <c r="B1258" t="str">
        <f t="shared" si="19"/>
        <v>stacjonarny</v>
      </c>
      <c r="C1258" s="1">
        <v>42935</v>
      </c>
      <c r="D1258" s="2">
        <v>0.44664351851851852</v>
      </c>
      <c r="E1258" s="2">
        <v>0.45725694444444442</v>
      </c>
    </row>
    <row r="1259" spans="1:5" x14ac:dyDescent="0.25">
      <c r="A1259">
        <v>5027404</v>
      </c>
      <c r="B1259" t="str">
        <f t="shared" si="19"/>
        <v>stacjonarny</v>
      </c>
      <c r="C1259" s="1">
        <v>42935</v>
      </c>
      <c r="D1259" s="2">
        <v>0.45211805555555556</v>
      </c>
      <c r="E1259" s="2">
        <v>0.4598726851851852</v>
      </c>
    </row>
    <row r="1260" spans="1:5" x14ac:dyDescent="0.25">
      <c r="A1260">
        <v>38244568</v>
      </c>
      <c r="B1260" t="str">
        <f t="shared" si="19"/>
        <v>komorkowy</v>
      </c>
      <c r="C1260" s="1">
        <v>42935</v>
      </c>
      <c r="D1260" s="2">
        <v>0.45768518518518519</v>
      </c>
      <c r="E1260" s="2">
        <v>0.45837962962962964</v>
      </c>
    </row>
    <row r="1261" spans="1:5" x14ac:dyDescent="0.25">
      <c r="A1261">
        <v>64900068</v>
      </c>
      <c r="B1261" t="str">
        <f t="shared" si="19"/>
        <v>komorkowy</v>
      </c>
      <c r="C1261" s="1">
        <v>42935</v>
      </c>
      <c r="D1261" s="2">
        <v>0.46217592592592593</v>
      </c>
      <c r="E1261" s="2">
        <v>0.46263888888888888</v>
      </c>
    </row>
    <row r="1262" spans="1:5" x14ac:dyDescent="0.25">
      <c r="A1262">
        <v>45015009</v>
      </c>
      <c r="B1262" t="str">
        <f t="shared" si="19"/>
        <v>komorkowy</v>
      </c>
      <c r="C1262" s="1">
        <v>42935</v>
      </c>
      <c r="D1262" s="2">
        <v>0.46546296296296297</v>
      </c>
      <c r="E1262" s="2">
        <v>0.4740509259259259</v>
      </c>
    </row>
    <row r="1263" spans="1:5" x14ac:dyDescent="0.25">
      <c r="A1263">
        <v>20424852</v>
      </c>
      <c r="B1263" t="str">
        <f t="shared" si="19"/>
        <v>komorkowy</v>
      </c>
      <c r="C1263" s="1">
        <v>42935</v>
      </c>
      <c r="D1263" s="2">
        <v>0.46773148148148147</v>
      </c>
      <c r="E1263" s="2">
        <v>0.47054398148148147</v>
      </c>
    </row>
    <row r="1264" spans="1:5" x14ac:dyDescent="0.25">
      <c r="A1264">
        <v>4471203</v>
      </c>
      <c r="B1264" t="str">
        <f t="shared" si="19"/>
        <v>stacjonarny</v>
      </c>
      <c r="C1264" s="1">
        <v>42935</v>
      </c>
      <c r="D1264" s="2">
        <v>0.47298611111111111</v>
      </c>
      <c r="E1264" s="2">
        <v>0.48247685185185185</v>
      </c>
    </row>
    <row r="1265" spans="1:5" x14ac:dyDescent="0.25">
      <c r="A1265">
        <v>8250018</v>
      </c>
      <c r="B1265" t="str">
        <f t="shared" si="19"/>
        <v>stacjonarny</v>
      </c>
      <c r="C1265" s="1">
        <v>42935</v>
      </c>
      <c r="D1265" s="2">
        <v>0.47843750000000002</v>
      </c>
      <c r="E1265" s="2">
        <v>0.48951388888888892</v>
      </c>
    </row>
    <row r="1266" spans="1:5" x14ac:dyDescent="0.25">
      <c r="A1266">
        <v>1161028310</v>
      </c>
      <c r="B1266" t="str">
        <f t="shared" si="19"/>
        <v>zagraniczny</v>
      </c>
      <c r="C1266" s="1">
        <v>42935</v>
      </c>
      <c r="D1266" s="2">
        <v>0.47843750000000002</v>
      </c>
      <c r="E1266" s="2">
        <v>0.48879629629629628</v>
      </c>
    </row>
    <row r="1267" spans="1:5" x14ac:dyDescent="0.25">
      <c r="A1267">
        <v>66465215</v>
      </c>
      <c r="B1267" t="str">
        <f t="shared" si="19"/>
        <v>komorkowy</v>
      </c>
      <c r="C1267" s="1">
        <v>42935</v>
      </c>
      <c r="D1267" s="2">
        <v>0.48381944444444447</v>
      </c>
      <c r="E1267" s="2">
        <v>0.49505787037037036</v>
      </c>
    </row>
    <row r="1268" spans="1:5" x14ac:dyDescent="0.25">
      <c r="A1268">
        <v>6386788</v>
      </c>
      <c r="B1268" t="str">
        <f t="shared" si="19"/>
        <v>stacjonarny</v>
      </c>
      <c r="C1268" s="1">
        <v>42935</v>
      </c>
      <c r="D1268" s="2">
        <v>0.48822916666666666</v>
      </c>
      <c r="E1268" s="2">
        <v>0.49540509259259258</v>
      </c>
    </row>
    <row r="1269" spans="1:5" x14ac:dyDescent="0.25">
      <c r="A1269">
        <v>3589291</v>
      </c>
      <c r="B1269" t="str">
        <f t="shared" si="19"/>
        <v>stacjonarny</v>
      </c>
      <c r="C1269" s="1">
        <v>42935</v>
      </c>
      <c r="D1269" s="2">
        <v>0.4896064814814815</v>
      </c>
      <c r="E1269" s="2">
        <v>0.49828703703703703</v>
      </c>
    </row>
    <row r="1270" spans="1:5" x14ac:dyDescent="0.25">
      <c r="A1270">
        <v>9254070</v>
      </c>
      <c r="B1270" t="str">
        <f t="shared" si="19"/>
        <v>stacjonarny</v>
      </c>
      <c r="C1270" s="1">
        <v>42935</v>
      </c>
      <c r="D1270" s="2">
        <v>0.49270833333333336</v>
      </c>
      <c r="E1270" s="2">
        <v>0.49774305555555554</v>
      </c>
    </row>
    <row r="1271" spans="1:5" x14ac:dyDescent="0.25">
      <c r="A1271">
        <v>6337931</v>
      </c>
      <c r="B1271" t="str">
        <f t="shared" si="19"/>
        <v>stacjonarny</v>
      </c>
      <c r="C1271" s="1">
        <v>42935</v>
      </c>
      <c r="D1271" s="2">
        <v>0.49625000000000002</v>
      </c>
      <c r="E1271" s="2">
        <v>0.5058449074074074</v>
      </c>
    </row>
    <row r="1272" spans="1:5" x14ac:dyDescent="0.25">
      <c r="A1272">
        <v>3563037</v>
      </c>
      <c r="B1272" t="str">
        <f t="shared" si="19"/>
        <v>stacjonarny</v>
      </c>
      <c r="C1272" s="1">
        <v>42935</v>
      </c>
      <c r="D1272" s="2">
        <v>0.50173611111111116</v>
      </c>
      <c r="E1272" s="2">
        <v>0.5130555555555556</v>
      </c>
    </row>
    <row r="1273" spans="1:5" x14ac:dyDescent="0.25">
      <c r="A1273">
        <v>2302227</v>
      </c>
      <c r="B1273" t="str">
        <f t="shared" si="19"/>
        <v>stacjonarny</v>
      </c>
      <c r="C1273" s="1">
        <v>42935</v>
      </c>
      <c r="D1273" s="2">
        <v>0.50219907407407405</v>
      </c>
      <c r="E1273" s="2">
        <v>0.50804398148148144</v>
      </c>
    </row>
    <row r="1274" spans="1:5" x14ac:dyDescent="0.25">
      <c r="A1274">
        <v>24454566</v>
      </c>
      <c r="B1274" t="str">
        <f t="shared" si="19"/>
        <v>komorkowy</v>
      </c>
      <c r="C1274" s="1">
        <v>42935</v>
      </c>
      <c r="D1274" s="2">
        <v>0.50749999999999995</v>
      </c>
      <c r="E1274" s="2">
        <v>0.51290509259259254</v>
      </c>
    </row>
    <row r="1275" spans="1:5" x14ac:dyDescent="0.25">
      <c r="A1275">
        <v>6551880</v>
      </c>
      <c r="B1275" t="str">
        <f t="shared" si="19"/>
        <v>stacjonarny</v>
      </c>
      <c r="C1275" s="1">
        <v>42935</v>
      </c>
      <c r="D1275" s="2">
        <v>0.50756944444444441</v>
      </c>
      <c r="E1275" s="2">
        <v>0.51126157407407402</v>
      </c>
    </row>
    <row r="1276" spans="1:5" x14ac:dyDescent="0.25">
      <c r="A1276">
        <v>6616163</v>
      </c>
      <c r="B1276" t="str">
        <f t="shared" si="19"/>
        <v>stacjonarny</v>
      </c>
      <c r="C1276" s="1">
        <v>42935</v>
      </c>
      <c r="D1276" s="2">
        <v>0.51325231481481481</v>
      </c>
      <c r="E1276" s="2">
        <v>0.51627314814814818</v>
      </c>
    </row>
    <row r="1277" spans="1:5" x14ac:dyDescent="0.25">
      <c r="A1277">
        <v>96381896</v>
      </c>
      <c r="B1277" t="str">
        <f t="shared" si="19"/>
        <v>komorkowy</v>
      </c>
      <c r="C1277" s="1">
        <v>42935</v>
      </c>
      <c r="D1277" s="2">
        <v>0.5173726851851852</v>
      </c>
      <c r="E1277" s="2">
        <v>0.52055555555555555</v>
      </c>
    </row>
    <row r="1278" spans="1:5" x14ac:dyDescent="0.25">
      <c r="A1278">
        <v>6892980</v>
      </c>
      <c r="B1278" t="str">
        <f t="shared" si="19"/>
        <v>stacjonarny</v>
      </c>
      <c r="C1278" s="1">
        <v>42935</v>
      </c>
      <c r="D1278" s="2">
        <v>0.52288194444444447</v>
      </c>
      <c r="E1278" s="2">
        <v>0.52722222222222226</v>
      </c>
    </row>
    <row r="1279" spans="1:5" x14ac:dyDescent="0.25">
      <c r="A1279">
        <v>5341697748</v>
      </c>
      <c r="B1279" t="str">
        <f t="shared" si="19"/>
        <v>zagraniczny</v>
      </c>
      <c r="C1279" s="1">
        <v>42935</v>
      </c>
      <c r="D1279" s="2">
        <v>0.52349537037037042</v>
      </c>
      <c r="E1279" s="2">
        <v>0.53362268518518519</v>
      </c>
    </row>
    <row r="1280" spans="1:5" x14ac:dyDescent="0.25">
      <c r="A1280">
        <v>52064221</v>
      </c>
      <c r="B1280" t="str">
        <f t="shared" si="19"/>
        <v>komorkowy</v>
      </c>
      <c r="C1280" s="1">
        <v>42935</v>
      </c>
      <c r="D1280" s="2">
        <v>0.52766203703703707</v>
      </c>
      <c r="E1280" s="2">
        <v>0.53917824074074072</v>
      </c>
    </row>
    <row r="1281" spans="1:5" x14ac:dyDescent="0.25">
      <c r="A1281">
        <v>5111892302</v>
      </c>
      <c r="B1281" t="str">
        <f t="shared" si="19"/>
        <v>zagraniczny</v>
      </c>
      <c r="C1281" s="1">
        <v>42935</v>
      </c>
      <c r="D1281" s="2">
        <v>0.53209490740740739</v>
      </c>
      <c r="E1281" s="2">
        <v>0.53931712962962963</v>
      </c>
    </row>
    <row r="1282" spans="1:5" x14ac:dyDescent="0.25">
      <c r="A1282">
        <v>7571642</v>
      </c>
      <c r="B1282" t="str">
        <f t="shared" si="19"/>
        <v>stacjonarny</v>
      </c>
      <c r="C1282" s="1">
        <v>42935</v>
      </c>
      <c r="D1282" s="2">
        <v>0.53540509259259261</v>
      </c>
      <c r="E1282" s="2">
        <v>0.53540509259259261</v>
      </c>
    </row>
    <row r="1283" spans="1:5" x14ac:dyDescent="0.25">
      <c r="A1283">
        <v>9570286</v>
      </c>
      <c r="B1283" t="str">
        <f t="shared" ref="B1283:B1346" si="20">IF(LEN(A1283)=7, "stacjonarny", IF(LEN(A1283)=8, "komorkowy", "zagraniczny"))</f>
        <v>stacjonarny</v>
      </c>
      <c r="C1283" s="1">
        <v>42935</v>
      </c>
      <c r="D1283" s="2">
        <v>0.53594907407407411</v>
      </c>
      <c r="E1283" s="2">
        <v>0.54584490740740743</v>
      </c>
    </row>
    <row r="1284" spans="1:5" x14ac:dyDescent="0.25">
      <c r="A1284">
        <v>7632647</v>
      </c>
      <c r="B1284" t="str">
        <f t="shared" si="20"/>
        <v>stacjonarny</v>
      </c>
      <c r="C1284" s="1">
        <v>42935</v>
      </c>
      <c r="D1284" s="2">
        <v>0.54052083333333334</v>
      </c>
      <c r="E1284" s="2">
        <v>0.54195601851851849</v>
      </c>
    </row>
    <row r="1285" spans="1:5" x14ac:dyDescent="0.25">
      <c r="A1285">
        <v>3437033</v>
      </c>
      <c r="B1285" t="str">
        <f t="shared" si="20"/>
        <v>stacjonarny</v>
      </c>
      <c r="C1285" s="1">
        <v>42935</v>
      </c>
      <c r="D1285" s="2">
        <v>0.54439814814814813</v>
      </c>
      <c r="E1285" s="2">
        <v>0.54800925925925925</v>
      </c>
    </row>
    <row r="1286" spans="1:5" x14ac:dyDescent="0.25">
      <c r="A1286">
        <v>81575080</v>
      </c>
      <c r="B1286" t="str">
        <f t="shared" si="20"/>
        <v>komorkowy</v>
      </c>
      <c r="C1286" s="1">
        <v>42935</v>
      </c>
      <c r="D1286" s="2">
        <v>0.54996527777777782</v>
      </c>
      <c r="E1286" s="2">
        <v>0.55228009259259259</v>
      </c>
    </row>
    <row r="1287" spans="1:5" x14ac:dyDescent="0.25">
      <c r="A1287">
        <v>7677384</v>
      </c>
      <c r="B1287" t="str">
        <f t="shared" si="20"/>
        <v>stacjonarny</v>
      </c>
      <c r="C1287" s="1">
        <v>42935</v>
      </c>
      <c r="D1287" s="2">
        <v>0.55121527777777779</v>
      </c>
      <c r="E1287" s="2">
        <v>0.55539351851851848</v>
      </c>
    </row>
    <row r="1288" spans="1:5" x14ac:dyDescent="0.25">
      <c r="A1288">
        <v>6194112</v>
      </c>
      <c r="B1288" t="str">
        <f t="shared" si="20"/>
        <v>stacjonarny</v>
      </c>
      <c r="C1288" s="1">
        <v>42935</v>
      </c>
      <c r="D1288" s="2">
        <v>0.55174768518518513</v>
      </c>
      <c r="E1288" s="2">
        <v>0.5575</v>
      </c>
    </row>
    <row r="1289" spans="1:5" x14ac:dyDescent="0.25">
      <c r="A1289">
        <v>67913744</v>
      </c>
      <c r="B1289" t="str">
        <f t="shared" si="20"/>
        <v>komorkowy</v>
      </c>
      <c r="C1289" s="1">
        <v>42935</v>
      </c>
      <c r="D1289" s="2">
        <v>0.55387731481481484</v>
      </c>
      <c r="E1289" s="2">
        <v>0.5645486111111111</v>
      </c>
    </row>
    <row r="1290" spans="1:5" x14ac:dyDescent="0.25">
      <c r="A1290">
        <v>9418587</v>
      </c>
      <c r="B1290" t="str">
        <f t="shared" si="20"/>
        <v>stacjonarny</v>
      </c>
      <c r="C1290" s="1">
        <v>42935</v>
      </c>
      <c r="D1290" s="2">
        <v>0.5591666666666667</v>
      </c>
      <c r="E1290" s="2">
        <v>0.56074074074074076</v>
      </c>
    </row>
    <row r="1291" spans="1:5" x14ac:dyDescent="0.25">
      <c r="A1291">
        <v>3273221616</v>
      </c>
      <c r="B1291" t="str">
        <f t="shared" si="20"/>
        <v>zagraniczny</v>
      </c>
      <c r="C1291" s="1">
        <v>42935</v>
      </c>
      <c r="D1291" s="2">
        <v>0.56276620370370367</v>
      </c>
      <c r="E1291" s="2">
        <v>0.56792824074074078</v>
      </c>
    </row>
    <row r="1292" spans="1:5" x14ac:dyDescent="0.25">
      <c r="A1292">
        <v>7364500</v>
      </c>
      <c r="B1292" t="str">
        <f t="shared" si="20"/>
        <v>stacjonarny</v>
      </c>
      <c r="C1292" s="1">
        <v>42935</v>
      </c>
      <c r="D1292" s="2">
        <v>0.5682638888888889</v>
      </c>
      <c r="E1292" s="2">
        <v>0.57974537037037033</v>
      </c>
    </row>
    <row r="1293" spans="1:5" x14ac:dyDescent="0.25">
      <c r="A1293">
        <v>69273048</v>
      </c>
      <c r="B1293" t="str">
        <f t="shared" si="20"/>
        <v>komorkowy</v>
      </c>
      <c r="C1293" s="1">
        <v>42935</v>
      </c>
      <c r="D1293" s="2">
        <v>0.56847222222222227</v>
      </c>
      <c r="E1293" s="2">
        <v>0.57787037037037037</v>
      </c>
    </row>
    <row r="1294" spans="1:5" x14ac:dyDescent="0.25">
      <c r="A1294">
        <v>1345591</v>
      </c>
      <c r="B1294" t="str">
        <f t="shared" si="20"/>
        <v>stacjonarny</v>
      </c>
      <c r="C1294" s="1">
        <v>42935</v>
      </c>
      <c r="D1294" s="2">
        <v>0.5703125</v>
      </c>
      <c r="E1294" s="2">
        <v>0.57703703703703701</v>
      </c>
    </row>
    <row r="1295" spans="1:5" x14ac:dyDescent="0.25">
      <c r="A1295">
        <v>13674393</v>
      </c>
      <c r="B1295" t="str">
        <f t="shared" si="20"/>
        <v>komorkowy</v>
      </c>
      <c r="C1295" s="1">
        <v>42935</v>
      </c>
      <c r="D1295" s="2">
        <v>0.57313657407407403</v>
      </c>
      <c r="E1295" s="2">
        <v>0.57559027777777783</v>
      </c>
    </row>
    <row r="1296" spans="1:5" x14ac:dyDescent="0.25">
      <c r="A1296">
        <v>5273579381</v>
      </c>
      <c r="B1296" t="str">
        <f t="shared" si="20"/>
        <v>zagraniczny</v>
      </c>
      <c r="C1296" s="1">
        <v>42935</v>
      </c>
      <c r="D1296" s="2">
        <v>0.57525462962962959</v>
      </c>
      <c r="E1296" s="2">
        <v>0.58087962962962958</v>
      </c>
    </row>
    <row r="1297" spans="1:5" x14ac:dyDescent="0.25">
      <c r="A1297">
        <v>5790304</v>
      </c>
      <c r="B1297" t="str">
        <f t="shared" si="20"/>
        <v>stacjonarny</v>
      </c>
      <c r="C1297" s="1">
        <v>42935</v>
      </c>
      <c r="D1297" s="2">
        <v>0.57974537037037033</v>
      </c>
      <c r="E1297" s="2">
        <v>0.58975694444444449</v>
      </c>
    </row>
    <row r="1298" spans="1:5" x14ac:dyDescent="0.25">
      <c r="A1298">
        <v>6551880</v>
      </c>
      <c r="B1298" t="str">
        <f t="shared" si="20"/>
        <v>stacjonarny</v>
      </c>
      <c r="C1298" s="1">
        <v>42935</v>
      </c>
      <c r="D1298" s="2">
        <v>0.58071759259259259</v>
      </c>
      <c r="E1298" s="2">
        <v>0.59002314814814816</v>
      </c>
    </row>
    <row r="1299" spans="1:5" x14ac:dyDescent="0.25">
      <c r="A1299">
        <v>2873323</v>
      </c>
      <c r="B1299" t="str">
        <f t="shared" si="20"/>
        <v>stacjonarny</v>
      </c>
      <c r="C1299" s="1">
        <v>42935</v>
      </c>
      <c r="D1299" s="2">
        <v>0.58622685185185186</v>
      </c>
      <c r="E1299" s="2">
        <v>0.5921643518518519</v>
      </c>
    </row>
    <row r="1300" spans="1:5" x14ac:dyDescent="0.25">
      <c r="A1300">
        <v>2733008</v>
      </c>
      <c r="B1300" t="str">
        <f t="shared" si="20"/>
        <v>stacjonarny</v>
      </c>
      <c r="C1300" s="1">
        <v>42935</v>
      </c>
      <c r="D1300" s="2">
        <v>0.5879861111111111</v>
      </c>
      <c r="E1300" s="2">
        <v>0.59103009259259254</v>
      </c>
    </row>
    <row r="1301" spans="1:5" x14ac:dyDescent="0.25">
      <c r="A1301">
        <v>7292887</v>
      </c>
      <c r="B1301" t="str">
        <f t="shared" si="20"/>
        <v>stacjonarny</v>
      </c>
      <c r="C1301" s="1">
        <v>42935</v>
      </c>
      <c r="D1301" s="2">
        <v>0.58810185185185182</v>
      </c>
      <c r="E1301" s="2">
        <v>0.59202546296296299</v>
      </c>
    </row>
    <row r="1302" spans="1:5" x14ac:dyDescent="0.25">
      <c r="A1302">
        <v>6855900</v>
      </c>
      <c r="B1302" t="str">
        <f t="shared" si="20"/>
        <v>stacjonarny</v>
      </c>
      <c r="C1302" s="1">
        <v>42935</v>
      </c>
      <c r="D1302" s="2">
        <v>0.59090277777777778</v>
      </c>
      <c r="E1302" s="2">
        <v>0.5923842592592593</v>
      </c>
    </row>
    <row r="1303" spans="1:5" x14ac:dyDescent="0.25">
      <c r="A1303">
        <v>2402827</v>
      </c>
      <c r="B1303" t="str">
        <f t="shared" si="20"/>
        <v>stacjonarny</v>
      </c>
      <c r="C1303" s="1">
        <v>42935</v>
      </c>
      <c r="D1303" s="2">
        <v>0.59659722222222222</v>
      </c>
      <c r="E1303" s="2">
        <v>0.60329861111111116</v>
      </c>
    </row>
    <row r="1304" spans="1:5" x14ac:dyDescent="0.25">
      <c r="A1304">
        <v>6510330</v>
      </c>
      <c r="B1304" t="str">
        <f t="shared" si="20"/>
        <v>stacjonarny</v>
      </c>
      <c r="C1304" s="1">
        <v>42935</v>
      </c>
      <c r="D1304" s="2">
        <v>0.5971643518518519</v>
      </c>
      <c r="E1304" s="2">
        <v>0.60538194444444449</v>
      </c>
    </row>
    <row r="1305" spans="1:5" x14ac:dyDescent="0.25">
      <c r="A1305">
        <v>9773176</v>
      </c>
      <c r="B1305" t="str">
        <f t="shared" si="20"/>
        <v>stacjonarny</v>
      </c>
      <c r="C1305" s="1">
        <v>42935</v>
      </c>
      <c r="D1305" s="2">
        <v>0.59719907407407402</v>
      </c>
      <c r="E1305" s="2">
        <v>0.60488425925925926</v>
      </c>
    </row>
    <row r="1306" spans="1:5" x14ac:dyDescent="0.25">
      <c r="A1306">
        <v>4065787</v>
      </c>
      <c r="B1306" t="str">
        <f t="shared" si="20"/>
        <v>stacjonarny</v>
      </c>
      <c r="C1306" s="1">
        <v>42935</v>
      </c>
      <c r="D1306" s="2">
        <v>0.6021643518518518</v>
      </c>
      <c r="E1306" s="2">
        <v>0.61331018518518521</v>
      </c>
    </row>
    <row r="1307" spans="1:5" x14ac:dyDescent="0.25">
      <c r="A1307">
        <v>4303543625</v>
      </c>
      <c r="B1307" t="str">
        <f t="shared" si="20"/>
        <v>zagraniczny</v>
      </c>
      <c r="C1307" s="1">
        <v>42935</v>
      </c>
      <c r="D1307" s="2">
        <v>0.60291666666666666</v>
      </c>
      <c r="E1307" s="2">
        <v>0.61086805555555557</v>
      </c>
    </row>
    <row r="1308" spans="1:5" x14ac:dyDescent="0.25">
      <c r="A1308">
        <v>3858766</v>
      </c>
      <c r="B1308" t="str">
        <f t="shared" si="20"/>
        <v>stacjonarny</v>
      </c>
      <c r="C1308" s="1">
        <v>42935</v>
      </c>
      <c r="D1308" s="2">
        <v>0.60624999999999996</v>
      </c>
      <c r="E1308" s="2">
        <v>0.6083912037037037</v>
      </c>
    </row>
    <row r="1309" spans="1:5" x14ac:dyDescent="0.25">
      <c r="A1309">
        <v>41852472</v>
      </c>
      <c r="B1309" t="str">
        <f t="shared" si="20"/>
        <v>komorkowy</v>
      </c>
      <c r="C1309" s="1">
        <v>42935</v>
      </c>
      <c r="D1309" s="2">
        <v>0.60868055555555556</v>
      </c>
      <c r="E1309" s="2">
        <v>0.61019675925925931</v>
      </c>
    </row>
    <row r="1310" spans="1:5" x14ac:dyDescent="0.25">
      <c r="A1310">
        <v>25574074</v>
      </c>
      <c r="B1310" t="str">
        <f t="shared" si="20"/>
        <v>komorkowy</v>
      </c>
      <c r="C1310" s="1">
        <v>42935</v>
      </c>
      <c r="D1310" s="2">
        <v>0.61081018518518515</v>
      </c>
      <c r="E1310" s="2">
        <v>0.62118055555555551</v>
      </c>
    </row>
    <row r="1311" spans="1:5" x14ac:dyDescent="0.25">
      <c r="A1311">
        <v>8690793</v>
      </c>
      <c r="B1311" t="str">
        <f t="shared" si="20"/>
        <v>stacjonarny</v>
      </c>
      <c r="C1311" s="1">
        <v>42935</v>
      </c>
      <c r="D1311" s="2">
        <v>0.61207175925925927</v>
      </c>
      <c r="E1311" s="2">
        <v>0.61613425925925924</v>
      </c>
    </row>
    <row r="1312" spans="1:5" x14ac:dyDescent="0.25">
      <c r="A1312">
        <v>8487003</v>
      </c>
      <c r="B1312" t="str">
        <f t="shared" si="20"/>
        <v>stacjonarny</v>
      </c>
      <c r="C1312" s="1">
        <v>42935</v>
      </c>
      <c r="D1312" s="2">
        <v>0.61648148148148152</v>
      </c>
      <c r="E1312" s="2">
        <v>0.62589120370370366</v>
      </c>
    </row>
    <row r="1313" spans="1:5" x14ac:dyDescent="0.25">
      <c r="A1313">
        <v>50583407</v>
      </c>
      <c r="B1313" t="str">
        <f t="shared" si="20"/>
        <v>komorkowy</v>
      </c>
      <c r="C1313" s="1">
        <v>42935</v>
      </c>
      <c r="D1313" s="2">
        <v>0.62137731481481484</v>
      </c>
      <c r="E1313" s="2">
        <v>0.63218750000000001</v>
      </c>
    </row>
    <row r="1314" spans="1:5" x14ac:dyDescent="0.25">
      <c r="A1314">
        <v>4983193</v>
      </c>
      <c r="B1314" t="str">
        <f t="shared" si="20"/>
        <v>stacjonarny</v>
      </c>
      <c r="C1314" s="1">
        <v>42935</v>
      </c>
      <c r="D1314" s="2">
        <v>0.62288194444444445</v>
      </c>
      <c r="E1314" s="2">
        <v>0.63325231481481481</v>
      </c>
    </row>
    <row r="1315" spans="1:5" x14ac:dyDescent="0.25">
      <c r="A1315">
        <v>1316116</v>
      </c>
      <c r="B1315" t="str">
        <f t="shared" si="20"/>
        <v>stacjonarny</v>
      </c>
      <c r="C1315" s="1">
        <v>42935</v>
      </c>
      <c r="D1315" s="2">
        <v>0.62394675925925924</v>
      </c>
      <c r="E1315" s="2">
        <v>0.62461805555555561</v>
      </c>
    </row>
    <row r="1316" spans="1:5" x14ac:dyDescent="0.25">
      <c r="A1316">
        <v>5696056</v>
      </c>
      <c r="B1316" t="str">
        <f t="shared" si="20"/>
        <v>stacjonarny</v>
      </c>
      <c r="C1316" s="1">
        <v>42935</v>
      </c>
      <c r="D1316" s="2">
        <v>0.62967592592592592</v>
      </c>
      <c r="E1316" s="2">
        <v>0.63277777777777777</v>
      </c>
    </row>
    <row r="1317" spans="1:5" x14ac:dyDescent="0.25">
      <c r="A1317">
        <v>3574623</v>
      </c>
      <c r="B1317" t="str">
        <f t="shared" si="20"/>
        <v>stacjonarny</v>
      </c>
      <c r="C1317" s="1">
        <v>42936</v>
      </c>
      <c r="D1317" s="2">
        <v>0.33447916666666666</v>
      </c>
      <c r="E1317" s="2">
        <v>0.33721064814814816</v>
      </c>
    </row>
    <row r="1318" spans="1:5" x14ac:dyDescent="0.25">
      <c r="A1318">
        <v>71218936</v>
      </c>
      <c r="B1318" t="str">
        <f t="shared" si="20"/>
        <v>komorkowy</v>
      </c>
      <c r="C1318" s="1">
        <v>42936</v>
      </c>
      <c r="D1318" s="2">
        <v>0.34012731481481484</v>
      </c>
      <c r="E1318" s="2">
        <v>0.34192129629629631</v>
      </c>
    </row>
    <row r="1319" spans="1:5" x14ac:dyDescent="0.25">
      <c r="A1319">
        <v>55621633</v>
      </c>
      <c r="B1319" t="str">
        <f t="shared" si="20"/>
        <v>komorkowy</v>
      </c>
      <c r="C1319" s="1">
        <v>42936</v>
      </c>
      <c r="D1319" s="2">
        <v>0.34114583333333331</v>
      </c>
      <c r="E1319" s="2">
        <v>0.3525578703703704</v>
      </c>
    </row>
    <row r="1320" spans="1:5" x14ac:dyDescent="0.25">
      <c r="A1320">
        <v>1898174</v>
      </c>
      <c r="B1320" t="str">
        <f t="shared" si="20"/>
        <v>stacjonarny</v>
      </c>
      <c r="C1320" s="1">
        <v>42936</v>
      </c>
      <c r="D1320" s="2">
        <v>0.34371527777777777</v>
      </c>
      <c r="E1320" s="2">
        <v>0.34609953703703705</v>
      </c>
    </row>
    <row r="1321" spans="1:5" x14ac:dyDescent="0.25">
      <c r="A1321">
        <v>4844054</v>
      </c>
      <c r="B1321" t="str">
        <f t="shared" si="20"/>
        <v>stacjonarny</v>
      </c>
      <c r="C1321" s="1">
        <v>42936</v>
      </c>
      <c r="D1321" s="2">
        <v>0.34857638888888887</v>
      </c>
      <c r="E1321" s="2">
        <v>0.34998842592592594</v>
      </c>
    </row>
    <row r="1322" spans="1:5" x14ac:dyDescent="0.25">
      <c r="A1322">
        <v>7701901</v>
      </c>
      <c r="B1322" t="str">
        <f t="shared" si="20"/>
        <v>stacjonarny</v>
      </c>
      <c r="C1322" s="1">
        <v>42936</v>
      </c>
      <c r="D1322" s="2">
        <v>0.3533101851851852</v>
      </c>
      <c r="E1322" s="2">
        <v>0.3555787037037037</v>
      </c>
    </row>
    <row r="1323" spans="1:5" x14ac:dyDescent="0.25">
      <c r="A1323">
        <v>5900664</v>
      </c>
      <c r="B1323" t="str">
        <f t="shared" si="20"/>
        <v>stacjonarny</v>
      </c>
      <c r="C1323" s="1">
        <v>42936</v>
      </c>
      <c r="D1323" s="2">
        <v>0.3558912037037037</v>
      </c>
      <c r="E1323" s="2">
        <v>0.36550925925925926</v>
      </c>
    </row>
    <row r="1324" spans="1:5" x14ac:dyDescent="0.25">
      <c r="A1324">
        <v>4698731</v>
      </c>
      <c r="B1324" t="str">
        <f t="shared" si="20"/>
        <v>stacjonarny</v>
      </c>
      <c r="C1324" s="1">
        <v>42936</v>
      </c>
      <c r="D1324" s="2">
        <v>0.35894675925925928</v>
      </c>
      <c r="E1324" s="2">
        <v>0.3689351851851852</v>
      </c>
    </row>
    <row r="1325" spans="1:5" x14ac:dyDescent="0.25">
      <c r="A1325">
        <v>4606501</v>
      </c>
      <c r="B1325" t="str">
        <f t="shared" si="20"/>
        <v>stacjonarny</v>
      </c>
      <c r="C1325" s="1">
        <v>42936</v>
      </c>
      <c r="D1325" s="2">
        <v>0.36222222222222222</v>
      </c>
      <c r="E1325" s="2">
        <v>0.36548611111111112</v>
      </c>
    </row>
    <row r="1326" spans="1:5" x14ac:dyDescent="0.25">
      <c r="A1326">
        <v>3851940</v>
      </c>
      <c r="B1326" t="str">
        <f t="shared" si="20"/>
        <v>stacjonarny</v>
      </c>
      <c r="C1326" s="1">
        <v>42936</v>
      </c>
      <c r="D1326" s="2">
        <v>0.36473379629629632</v>
      </c>
      <c r="E1326" s="2">
        <v>0.36630787037037038</v>
      </c>
    </row>
    <row r="1327" spans="1:5" x14ac:dyDescent="0.25">
      <c r="A1327">
        <v>7972076</v>
      </c>
      <c r="B1327" t="str">
        <f t="shared" si="20"/>
        <v>stacjonarny</v>
      </c>
      <c r="C1327" s="1">
        <v>42936</v>
      </c>
      <c r="D1327" s="2">
        <v>0.37011574074074072</v>
      </c>
      <c r="E1327" s="2">
        <v>0.37928240740740743</v>
      </c>
    </row>
    <row r="1328" spans="1:5" x14ac:dyDescent="0.25">
      <c r="A1328">
        <v>1911796</v>
      </c>
      <c r="B1328" t="str">
        <f t="shared" si="20"/>
        <v>stacjonarny</v>
      </c>
      <c r="C1328" s="1">
        <v>42936</v>
      </c>
      <c r="D1328" s="2">
        <v>0.37506944444444446</v>
      </c>
      <c r="E1328" s="2">
        <v>0.38142361111111112</v>
      </c>
    </row>
    <row r="1329" spans="1:5" x14ac:dyDescent="0.25">
      <c r="A1329">
        <v>7362963</v>
      </c>
      <c r="B1329" t="str">
        <f t="shared" si="20"/>
        <v>stacjonarny</v>
      </c>
      <c r="C1329" s="1">
        <v>42936</v>
      </c>
      <c r="D1329" s="2">
        <v>0.37658564814814816</v>
      </c>
      <c r="E1329" s="2">
        <v>0.37936342592592592</v>
      </c>
    </row>
    <row r="1330" spans="1:5" x14ac:dyDescent="0.25">
      <c r="A1330">
        <v>24290062</v>
      </c>
      <c r="B1330" t="str">
        <f t="shared" si="20"/>
        <v>komorkowy</v>
      </c>
      <c r="C1330" s="1">
        <v>42936</v>
      </c>
      <c r="D1330" s="2">
        <v>0.38047453703703704</v>
      </c>
      <c r="E1330" s="2">
        <v>0.39142361111111112</v>
      </c>
    </row>
    <row r="1331" spans="1:5" x14ac:dyDescent="0.25">
      <c r="A1331">
        <v>3086185</v>
      </c>
      <c r="B1331" t="str">
        <f t="shared" si="20"/>
        <v>stacjonarny</v>
      </c>
      <c r="C1331" s="1">
        <v>42936</v>
      </c>
      <c r="D1331" s="2">
        <v>0.38394675925925925</v>
      </c>
      <c r="E1331" s="2">
        <v>0.39547453703703705</v>
      </c>
    </row>
    <row r="1332" spans="1:5" x14ac:dyDescent="0.25">
      <c r="A1332">
        <v>7622819</v>
      </c>
      <c r="B1332" t="str">
        <f t="shared" si="20"/>
        <v>stacjonarny</v>
      </c>
      <c r="C1332" s="1">
        <v>42936</v>
      </c>
      <c r="D1332" s="2">
        <v>0.38599537037037035</v>
      </c>
      <c r="E1332" s="2">
        <v>0.39438657407407407</v>
      </c>
    </row>
    <row r="1333" spans="1:5" x14ac:dyDescent="0.25">
      <c r="A1333">
        <v>5610335</v>
      </c>
      <c r="B1333" t="str">
        <f t="shared" si="20"/>
        <v>stacjonarny</v>
      </c>
      <c r="C1333" s="1">
        <v>42936</v>
      </c>
      <c r="D1333" s="2">
        <v>0.39055555555555554</v>
      </c>
      <c r="E1333" s="2">
        <v>0.39101851851851854</v>
      </c>
    </row>
    <row r="1334" spans="1:5" x14ac:dyDescent="0.25">
      <c r="A1334">
        <v>97953696</v>
      </c>
      <c r="B1334" t="str">
        <f t="shared" si="20"/>
        <v>komorkowy</v>
      </c>
      <c r="C1334" s="1">
        <v>42936</v>
      </c>
      <c r="D1334" s="2">
        <v>0.39373842592592595</v>
      </c>
      <c r="E1334" s="2">
        <v>0.40292824074074074</v>
      </c>
    </row>
    <row r="1335" spans="1:5" x14ac:dyDescent="0.25">
      <c r="A1335">
        <v>7432767</v>
      </c>
      <c r="B1335" t="str">
        <f t="shared" si="20"/>
        <v>stacjonarny</v>
      </c>
      <c r="C1335" s="1">
        <v>42936</v>
      </c>
      <c r="D1335" s="2">
        <v>0.39446759259259262</v>
      </c>
      <c r="E1335" s="2">
        <v>0.39841435185185187</v>
      </c>
    </row>
    <row r="1336" spans="1:5" x14ac:dyDescent="0.25">
      <c r="A1336">
        <v>2089993</v>
      </c>
      <c r="B1336" t="str">
        <f t="shared" si="20"/>
        <v>stacjonarny</v>
      </c>
      <c r="C1336" s="1">
        <v>42936</v>
      </c>
      <c r="D1336" s="2">
        <v>0.39810185185185187</v>
      </c>
      <c r="E1336" s="2">
        <v>0.39876157407407409</v>
      </c>
    </row>
    <row r="1337" spans="1:5" x14ac:dyDescent="0.25">
      <c r="A1337">
        <v>2635121</v>
      </c>
      <c r="B1337" t="str">
        <f t="shared" si="20"/>
        <v>stacjonarny</v>
      </c>
      <c r="C1337" s="1">
        <v>42936</v>
      </c>
      <c r="D1337" s="2">
        <v>0.39906249999999999</v>
      </c>
      <c r="E1337" s="2">
        <v>0.40487268518518521</v>
      </c>
    </row>
    <row r="1338" spans="1:5" x14ac:dyDescent="0.25">
      <c r="A1338">
        <v>6725216</v>
      </c>
      <c r="B1338" t="str">
        <f t="shared" si="20"/>
        <v>stacjonarny</v>
      </c>
      <c r="C1338" s="1">
        <v>42936</v>
      </c>
      <c r="D1338" s="2">
        <v>0.40190972222222221</v>
      </c>
      <c r="E1338" s="2">
        <v>0.40715277777777775</v>
      </c>
    </row>
    <row r="1339" spans="1:5" x14ac:dyDescent="0.25">
      <c r="A1339">
        <v>6530661</v>
      </c>
      <c r="B1339" t="str">
        <f t="shared" si="20"/>
        <v>stacjonarny</v>
      </c>
      <c r="C1339" s="1">
        <v>42936</v>
      </c>
      <c r="D1339" s="2">
        <v>0.40709490740740739</v>
      </c>
      <c r="E1339" s="2">
        <v>0.40795138888888888</v>
      </c>
    </row>
    <row r="1340" spans="1:5" x14ac:dyDescent="0.25">
      <c r="A1340">
        <v>8691743</v>
      </c>
      <c r="B1340" t="str">
        <f t="shared" si="20"/>
        <v>stacjonarny</v>
      </c>
      <c r="C1340" s="1">
        <v>42936</v>
      </c>
      <c r="D1340" s="2">
        <v>0.41228009259259257</v>
      </c>
      <c r="E1340" s="2">
        <v>0.42214120370370373</v>
      </c>
    </row>
    <row r="1341" spans="1:5" x14ac:dyDescent="0.25">
      <c r="A1341">
        <v>2771511</v>
      </c>
      <c r="B1341" t="str">
        <f t="shared" si="20"/>
        <v>stacjonarny</v>
      </c>
      <c r="C1341" s="1">
        <v>42936</v>
      </c>
      <c r="D1341" s="2">
        <v>0.41271990740740738</v>
      </c>
      <c r="E1341" s="2">
        <v>0.41487268518518516</v>
      </c>
    </row>
    <row r="1342" spans="1:5" x14ac:dyDescent="0.25">
      <c r="A1342">
        <v>7471152</v>
      </c>
      <c r="B1342" t="str">
        <f t="shared" si="20"/>
        <v>stacjonarny</v>
      </c>
      <c r="C1342" s="1">
        <v>42936</v>
      </c>
      <c r="D1342" s="2">
        <v>0.41456018518518517</v>
      </c>
      <c r="E1342" s="2">
        <v>0.41495370370370371</v>
      </c>
    </row>
    <row r="1343" spans="1:5" x14ac:dyDescent="0.25">
      <c r="A1343">
        <v>89691426</v>
      </c>
      <c r="B1343" t="str">
        <f t="shared" si="20"/>
        <v>komorkowy</v>
      </c>
      <c r="C1343" s="1">
        <v>42936</v>
      </c>
      <c r="D1343" s="2">
        <v>0.41677083333333331</v>
      </c>
      <c r="E1343" s="2">
        <v>0.42192129629629632</v>
      </c>
    </row>
    <row r="1344" spans="1:5" x14ac:dyDescent="0.25">
      <c r="A1344">
        <v>5305478</v>
      </c>
      <c r="B1344" t="str">
        <f t="shared" si="20"/>
        <v>stacjonarny</v>
      </c>
      <c r="C1344" s="1">
        <v>42936</v>
      </c>
      <c r="D1344" s="2">
        <v>0.41980324074074077</v>
      </c>
      <c r="E1344" s="2">
        <v>0.42957175925925928</v>
      </c>
    </row>
    <row r="1345" spans="1:5" x14ac:dyDescent="0.25">
      <c r="A1345">
        <v>4305632</v>
      </c>
      <c r="B1345" t="str">
        <f t="shared" si="20"/>
        <v>stacjonarny</v>
      </c>
      <c r="C1345" s="1">
        <v>42936</v>
      </c>
      <c r="D1345" s="2">
        <v>0.42534722222222221</v>
      </c>
      <c r="E1345" s="2">
        <v>0.43634259259259262</v>
      </c>
    </row>
    <row r="1346" spans="1:5" x14ac:dyDescent="0.25">
      <c r="A1346">
        <v>9526179</v>
      </c>
      <c r="B1346" t="str">
        <f t="shared" si="20"/>
        <v>stacjonarny</v>
      </c>
      <c r="C1346" s="1">
        <v>42936</v>
      </c>
      <c r="D1346" s="2">
        <v>0.42761574074074077</v>
      </c>
      <c r="E1346" s="2">
        <v>0.4314236111111111</v>
      </c>
    </row>
    <row r="1347" spans="1:5" x14ac:dyDescent="0.25">
      <c r="A1347">
        <v>1268336</v>
      </c>
      <c r="B1347" t="str">
        <f t="shared" ref="B1347:B1410" si="21">IF(LEN(A1347)=7, "stacjonarny", IF(LEN(A1347)=8, "komorkowy", "zagraniczny"))</f>
        <v>stacjonarny</v>
      </c>
      <c r="C1347" s="1">
        <v>42936</v>
      </c>
      <c r="D1347" s="2">
        <v>0.43172453703703706</v>
      </c>
      <c r="E1347" s="2">
        <v>0.44153935185185184</v>
      </c>
    </row>
    <row r="1348" spans="1:5" x14ac:dyDescent="0.25">
      <c r="A1348">
        <v>7288626</v>
      </c>
      <c r="B1348" t="str">
        <f t="shared" si="21"/>
        <v>stacjonarny</v>
      </c>
      <c r="C1348" s="1">
        <v>42936</v>
      </c>
      <c r="D1348" s="2">
        <v>0.43606481481481479</v>
      </c>
      <c r="E1348" s="2">
        <v>0.44609953703703703</v>
      </c>
    </row>
    <row r="1349" spans="1:5" x14ac:dyDescent="0.25">
      <c r="A1349">
        <v>53117702</v>
      </c>
      <c r="B1349" t="str">
        <f t="shared" si="21"/>
        <v>komorkowy</v>
      </c>
      <c r="C1349" s="1">
        <v>42936</v>
      </c>
      <c r="D1349" s="2">
        <v>0.44170138888888888</v>
      </c>
      <c r="E1349" s="2">
        <v>0.44903935185185184</v>
      </c>
    </row>
    <row r="1350" spans="1:5" x14ac:dyDescent="0.25">
      <c r="A1350">
        <v>10201038</v>
      </c>
      <c r="B1350" t="str">
        <f t="shared" si="21"/>
        <v>komorkowy</v>
      </c>
      <c r="C1350" s="1">
        <v>42936</v>
      </c>
      <c r="D1350" s="2">
        <v>0.44615740740740739</v>
      </c>
      <c r="E1350" s="2">
        <v>0.45019675925925928</v>
      </c>
    </row>
    <row r="1351" spans="1:5" x14ac:dyDescent="0.25">
      <c r="A1351">
        <v>4738129</v>
      </c>
      <c r="B1351" t="str">
        <f t="shared" si="21"/>
        <v>stacjonarny</v>
      </c>
      <c r="C1351" s="1">
        <v>42936</v>
      </c>
      <c r="D1351" s="2">
        <v>0.4503935185185185</v>
      </c>
      <c r="E1351" s="2">
        <v>0.46037037037037037</v>
      </c>
    </row>
    <row r="1352" spans="1:5" x14ac:dyDescent="0.25">
      <c r="A1352">
        <v>3153023</v>
      </c>
      <c r="B1352" t="str">
        <f t="shared" si="21"/>
        <v>stacjonarny</v>
      </c>
      <c r="C1352" s="1">
        <v>42936</v>
      </c>
      <c r="D1352" s="2">
        <v>0.45503472222222224</v>
      </c>
      <c r="E1352" s="2">
        <v>0.45876157407407409</v>
      </c>
    </row>
    <row r="1353" spans="1:5" x14ac:dyDescent="0.25">
      <c r="A1353">
        <v>1747389</v>
      </c>
      <c r="B1353" t="str">
        <f t="shared" si="21"/>
        <v>stacjonarny</v>
      </c>
      <c r="C1353" s="1">
        <v>42936</v>
      </c>
      <c r="D1353" s="2">
        <v>0.45795138888888887</v>
      </c>
      <c r="E1353" s="2">
        <v>0.46004629629629629</v>
      </c>
    </row>
    <row r="1354" spans="1:5" x14ac:dyDescent="0.25">
      <c r="A1354">
        <v>5526425146</v>
      </c>
      <c r="B1354" t="str">
        <f t="shared" si="21"/>
        <v>zagraniczny</v>
      </c>
      <c r="C1354" s="1">
        <v>42936</v>
      </c>
      <c r="D1354" s="2">
        <v>0.46164351851851854</v>
      </c>
      <c r="E1354" s="2">
        <v>0.46197916666666666</v>
      </c>
    </row>
    <row r="1355" spans="1:5" x14ac:dyDescent="0.25">
      <c r="A1355">
        <v>93050839</v>
      </c>
      <c r="B1355" t="str">
        <f t="shared" si="21"/>
        <v>komorkowy</v>
      </c>
      <c r="C1355" s="1">
        <v>42936</v>
      </c>
      <c r="D1355" s="2">
        <v>0.46225694444444443</v>
      </c>
      <c r="E1355" s="2">
        <v>0.46591435185185187</v>
      </c>
    </row>
    <row r="1356" spans="1:5" x14ac:dyDescent="0.25">
      <c r="A1356">
        <v>1288318920</v>
      </c>
      <c r="B1356" t="str">
        <f t="shared" si="21"/>
        <v>zagraniczny</v>
      </c>
      <c r="C1356" s="1">
        <v>42936</v>
      </c>
      <c r="D1356" s="2">
        <v>0.46606481481481482</v>
      </c>
      <c r="E1356" s="2">
        <v>0.47375</v>
      </c>
    </row>
    <row r="1357" spans="1:5" x14ac:dyDescent="0.25">
      <c r="A1357">
        <v>5613566</v>
      </c>
      <c r="B1357" t="str">
        <f t="shared" si="21"/>
        <v>stacjonarny</v>
      </c>
      <c r="C1357" s="1">
        <v>42936</v>
      </c>
      <c r="D1357" s="2">
        <v>0.47105324074074073</v>
      </c>
      <c r="E1357" s="2">
        <v>0.47146990740740741</v>
      </c>
    </row>
    <row r="1358" spans="1:5" x14ac:dyDescent="0.25">
      <c r="A1358">
        <v>2406196</v>
      </c>
      <c r="B1358" t="str">
        <f t="shared" si="21"/>
        <v>stacjonarny</v>
      </c>
      <c r="C1358" s="1">
        <v>42936</v>
      </c>
      <c r="D1358" s="2">
        <v>0.47244212962962961</v>
      </c>
      <c r="E1358" s="2">
        <v>0.48127314814814814</v>
      </c>
    </row>
    <row r="1359" spans="1:5" x14ac:dyDescent="0.25">
      <c r="A1359">
        <v>9046365</v>
      </c>
      <c r="B1359" t="str">
        <f t="shared" si="21"/>
        <v>stacjonarny</v>
      </c>
      <c r="C1359" s="1">
        <v>42936</v>
      </c>
      <c r="D1359" s="2">
        <v>0.47531250000000003</v>
      </c>
      <c r="E1359" s="2">
        <v>0.47684027777777777</v>
      </c>
    </row>
    <row r="1360" spans="1:5" x14ac:dyDescent="0.25">
      <c r="A1360">
        <v>5019634</v>
      </c>
      <c r="B1360" t="str">
        <f t="shared" si="21"/>
        <v>stacjonarny</v>
      </c>
      <c r="C1360" s="1">
        <v>42936</v>
      </c>
      <c r="D1360" s="2">
        <v>0.48032407407407407</v>
      </c>
      <c r="E1360" s="2">
        <v>0.4916550925925926</v>
      </c>
    </row>
    <row r="1361" spans="1:5" x14ac:dyDescent="0.25">
      <c r="A1361">
        <v>90993861</v>
      </c>
      <c r="B1361" t="str">
        <f t="shared" si="21"/>
        <v>komorkowy</v>
      </c>
      <c r="C1361" s="1">
        <v>42936</v>
      </c>
      <c r="D1361" s="2">
        <v>0.48280092592592594</v>
      </c>
      <c r="E1361" s="2">
        <v>0.48798611111111112</v>
      </c>
    </row>
    <row r="1362" spans="1:5" x14ac:dyDescent="0.25">
      <c r="A1362">
        <v>4034491</v>
      </c>
      <c r="B1362" t="str">
        <f t="shared" si="21"/>
        <v>stacjonarny</v>
      </c>
      <c r="C1362" s="1">
        <v>42936</v>
      </c>
      <c r="D1362" s="2">
        <v>0.48813657407407407</v>
      </c>
      <c r="E1362" s="2">
        <v>0.49116898148148147</v>
      </c>
    </row>
    <row r="1363" spans="1:5" x14ac:dyDescent="0.25">
      <c r="A1363">
        <v>57395204</v>
      </c>
      <c r="B1363" t="str">
        <f t="shared" si="21"/>
        <v>komorkowy</v>
      </c>
      <c r="C1363" s="1">
        <v>42936</v>
      </c>
      <c r="D1363" s="2">
        <v>0.49015046296296294</v>
      </c>
      <c r="E1363" s="2">
        <v>0.49456018518518519</v>
      </c>
    </row>
    <row r="1364" spans="1:5" x14ac:dyDescent="0.25">
      <c r="A1364">
        <v>9156106</v>
      </c>
      <c r="B1364" t="str">
        <f t="shared" si="21"/>
        <v>stacjonarny</v>
      </c>
      <c r="C1364" s="1">
        <v>42936</v>
      </c>
      <c r="D1364" s="2">
        <v>0.49103009259259262</v>
      </c>
      <c r="E1364" s="2">
        <v>0.4937037037037037</v>
      </c>
    </row>
    <row r="1365" spans="1:5" x14ac:dyDescent="0.25">
      <c r="A1365">
        <v>7076463</v>
      </c>
      <c r="B1365" t="str">
        <f t="shared" si="21"/>
        <v>stacjonarny</v>
      </c>
      <c r="C1365" s="1">
        <v>42936</v>
      </c>
      <c r="D1365" s="2">
        <v>0.49519675925925927</v>
      </c>
      <c r="E1365" s="2">
        <v>0.49532407407407408</v>
      </c>
    </row>
    <row r="1366" spans="1:5" x14ac:dyDescent="0.25">
      <c r="A1366">
        <v>3136675</v>
      </c>
      <c r="B1366" t="str">
        <f t="shared" si="21"/>
        <v>stacjonarny</v>
      </c>
      <c r="C1366" s="1">
        <v>42936</v>
      </c>
      <c r="D1366" s="2">
        <v>0.49833333333333335</v>
      </c>
      <c r="E1366" s="2">
        <v>0.50942129629629629</v>
      </c>
    </row>
    <row r="1367" spans="1:5" x14ac:dyDescent="0.25">
      <c r="A1367">
        <v>7826456</v>
      </c>
      <c r="B1367" t="str">
        <f t="shared" si="21"/>
        <v>stacjonarny</v>
      </c>
      <c r="C1367" s="1">
        <v>42936</v>
      </c>
      <c r="D1367" s="2">
        <v>0.50298611111111113</v>
      </c>
      <c r="E1367" s="2">
        <v>0.50312500000000004</v>
      </c>
    </row>
    <row r="1368" spans="1:5" x14ac:dyDescent="0.25">
      <c r="A1368">
        <v>4094662</v>
      </c>
      <c r="B1368" t="str">
        <f t="shared" si="21"/>
        <v>stacjonarny</v>
      </c>
      <c r="C1368" s="1">
        <v>42936</v>
      </c>
      <c r="D1368" s="2">
        <v>0.50581018518518517</v>
      </c>
      <c r="E1368" s="2">
        <v>0.51442129629629629</v>
      </c>
    </row>
    <row r="1369" spans="1:5" x14ac:dyDescent="0.25">
      <c r="A1369">
        <v>3134379</v>
      </c>
      <c r="B1369" t="str">
        <f t="shared" si="21"/>
        <v>stacjonarny</v>
      </c>
      <c r="C1369" s="1">
        <v>42936</v>
      </c>
      <c r="D1369" s="2">
        <v>0.508275462962963</v>
      </c>
      <c r="E1369" s="2">
        <v>0.51652777777777781</v>
      </c>
    </row>
    <row r="1370" spans="1:5" x14ac:dyDescent="0.25">
      <c r="A1370">
        <v>1119016</v>
      </c>
      <c r="B1370" t="str">
        <f t="shared" si="21"/>
        <v>stacjonarny</v>
      </c>
      <c r="C1370" s="1">
        <v>42936</v>
      </c>
      <c r="D1370" s="2">
        <v>0.50880787037037034</v>
      </c>
      <c r="E1370" s="2">
        <v>0.51409722222222221</v>
      </c>
    </row>
    <row r="1371" spans="1:5" x14ac:dyDescent="0.25">
      <c r="A1371">
        <v>3539762</v>
      </c>
      <c r="B1371" t="str">
        <f t="shared" si="21"/>
        <v>stacjonarny</v>
      </c>
      <c r="C1371" s="1">
        <v>42936</v>
      </c>
      <c r="D1371" s="2">
        <v>0.51028935185185187</v>
      </c>
      <c r="E1371" s="2">
        <v>0.52089120370370368</v>
      </c>
    </row>
    <row r="1372" spans="1:5" x14ac:dyDescent="0.25">
      <c r="A1372">
        <v>28601187</v>
      </c>
      <c r="B1372" t="str">
        <f t="shared" si="21"/>
        <v>komorkowy</v>
      </c>
      <c r="C1372" s="1">
        <v>42936</v>
      </c>
      <c r="D1372" s="2">
        <v>0.51511574074074074</v>
      </c>
      <c r="E1372" s="2">
        <v>0.51787037037037043</v>
      </c>
    </row>
    <row r="1373" spans="1:5" x14ac:dyDescent="0.25">
      <c r="A1373">
        <v>2841969</v>
      </c>
      <c r="B1373" t="str">
        <f t="shared" si="21"/>
        <v>stacjonarny</v>
      </c>
      <c r="C1373" s="1">
        <v>42936</v>
      </c>
      <c r="D1373" s="2">
        <v>0.51512731481481477</v>
      </c>
      <c r="E1373" s="2">
        <v>0.51556712962962958</v>
      </c>
    </row>
    <row r="1374" spans="1:5" x14ac:dyDescent="0.25">
      <c r="A1374">
        <v>57957786</v>
      </c>
      <c r="B1374" t="str">
        <f t="shared" si="21"/>
        <v>komorkowy</v>
      </c>
      <c r="C1374" s="1">
        <v>42936</v>
      </c>
      <c r="D1374" s="2">
        <v>0.51928240740740739</v>
      </c>
      <c r="E1374" s="2">
        <v>0.53030092592592593</v>
      </c>
    </row>
    <row r="1375" spans="1:5" x14ac:dyDescent="0.25">
      <c r="A1375">
        <v>6068132</v>
      </c>
      <c r="B1375" t="str">
        <f t="shared" si="21"/>
        <v>stacjonarny</v>
      </c>
      <c r="C1375" s="1">
        <v>42936</v>
      </c>
      <c r="D1375" s="2">
        <v>0.52225694444444448</v>
      </c>
      <c r="E1375" s="2">
        <v>0.5236574074074074</v>
      </c>
    </row>
    <row r="1376" spans="1:5" x14ac:dyDescent="0.25">
      <c r="A1376">
        <v>8195842</v>
      </c>
      <c r="B1376" t="str">
        <f t="shared" si="21"/>
        <v>stacjonarny</v>
      </c>
      <c r="C1376" s="1">
        <v>42936</v>
      </c>
      <c r="D1376" s="2">
        <v>0.52240740740740743</v>
      </c>
      <c r="E1376" s="2">
        <v>0.53074074074074074</v>
      </c>
    </row>
    <row r="1377" spans="1:5" x14ac:dyDescent="0.25">
      <c r="A1377">
        <v>98737794</v>
      </c>
      <c r="B1377" t="str">
        <f t="shared" si="21"/>
        <v>komorkowy</v>
      </c>
      <c r="C1377" s="1">
        <v>42936</v>
      </c>
      <c r="D1377" s="2">
        <v>0.52379629629629632</v>
      </c>
      <c r="E1377" s="2">
        <v>0.52883101851851855</v>
      </c>
    </row>
    <row r="1378" spans="1:5" x14ac:dyDescent="0.25">
      <c r="A1378">
        <v>6523054</v>
      </c>
      <c r="B1378" t="str">
        <f t="shared" si="21"/>
        <v>stacjonarny</v>
      </c>
      <c r="C1378" s="1">
        <v>42936</v>
      </c>
      <c r="D1378" s="2">
        <v>0.52813657407407411</v>
      </c>
      <c r="E1378" s="2">
        <v>0.53877314814814814</v>
      </c>
    </row>
    <row r="1379" spans="1:5" x14ac:dyDescent="0.25">
      <c r="A1379">
        <v>26895957</v>
      </c>
      <c r="B1379" t="str">
        <f t="shared" si="21"/>
        <v>komorkowy</v>
      </c>
      <c r="C1379" s="1">
        <v>42936</v>
      </c>
      <c r="D1379" s="2">
        <v>0.53083333333333338</v>
      </c>
      <c r="E1379" s="2">
        <v>0.53511574074074075</v>
      </c>
    </row>
    <row r="1380" spans="1:5" x14ac:dyDescent="0.25">
      <c r="A1380">
        <v>5254694</v>
      </c>
      <c r="B1380" t="str">
        <f t="shared" si="21"/>
        <v>stacjonarny</v>
      </c>
      <c r="C1380" s="1">
        <v>42936</v>
      </c>
      <c r="D1380" s="2">
        <v>0.5330555555555555</v>
      </c>
      <c r="E1380" s="2">
        <v>0.54049768518518515</v>
      </c>
    </row>
    <row r="1381" spans="1:5" x14ac:dyDescent="0.25">
      <c r="A1381">
        <v>3979680</v>
      </c>
      <c r="B1381" t="str">
        <f t="shared" si="21"/>
        <v>stacjonarny</v>
      </c>
      <c r="C1381" s="1">
        <v>42936</v>
      </c>
      <c r="D1381" s="2">
        <v>0.53820601851851857</v>
      </c>
      <c r="E1381" s="2">
        <v>0.54369212962962965</v>
      </c>
    </row>
    <row r="1382" spans="1:5" x14ac:dyDescent="0.25">
      <c r="A1382">
        <v>96424596</v>
      </c>
      <c r="B1382" t="str">
        <f t="shared" si="21"/>
        <v>komorkowy</v>
      </c>
      <c r="C1382" s="1">
        <v>42936</v>
      </c>
      <c r="D1382" s="2">
        <v>0.53964120370370372</v>
      </c>
      <c r="E1382" s="2">
        <v>0.54423611111111114</v>
      </c>
    </row>
    <row r="1383" spans="1:5" x14ac:dyDescent="0.25">
      <c r="A1383">
        <v>4923459</v>
      </c>
      <c r="B1383" t="str">
        <f t="shared" si="21"/>
        <v>stacjonarny</v>
      </c>
      <c r="C1383" s="1">
        <v>42936</v>
      </c>
      <c r="D1383" s="2">
        <v>0.54450231481481481</v>
      </c>
      <c r="E1383" s="2">
        <v>0.55406250000000001</v>
      </c>
    </row>
    <row r="1384" spans="1:5" x14ac:dyDescent="0.25">
      <c r="A1384">
        <v>6719542</v>
      </c>
      <c r="B1384" t="str">
        <f t="shared" si="21"/>
        <v>stacjonarny</v>
      </c>
      <c r="C1384" s="1">
        <v>42936</v>
      </c>
      <c r="D1384" s="2">
        <v>0.54556712962962961</v>
      </c>
      <c r="E1384" s="2">
        <v>0.54894675925925929</v>
      </c>
    </row>
    <row r="1385" spans="1:5" x14ac:dyDescent="0.25">
      <c r="A1385">
        <v>81218024</v>
      </c>
      <c r="B1385" t="str">
        <f t="shared" si="21"/>
        <v>komorkowy</v>
      </c>
      <c r="C1385" s="1">
        <v>42936</v>
      </c>
      <c r="D1385" s="2">
        <v>0.54946759259259259</v>
      </c>
      <c r="E1385" s="2">
        <v>0.55583333333333329</v>
      </c>
    </row>
    <row r="1386" spans="1:5" x14ac:dyDescent="0.25">
      <c r="A1386">
        <v>6552755</v>
      </c>
      <c r="B1386" t="str">
        <f t="shared" si="21"/>
        <v>stacjonarny</v>
      </c>
      <c r="C1386" s="1">
        <v>42936</v>
      </c>
      <c r="D1386" s="2">
        <v>0.55306712962962967</v>
      </c>
      <c r="E1386" s="2">
        <v>0.56304398148148149</v>
      </c>
    </row>
    <row r="1387" spans="1:5" x14ac:dyDescent="0.25">
      <c r="A1387">
        <v>44017210</v>
      </c>
      <c r="B1387" t="str">
        <f t="shared" si="21"/>
        <v>komorkowy</v>
      </c>
      <c r="C1387" s="1">
        <v>42936</v>
      </c>
      <c r="D1387" s="2">
        <v>0.55476851851851849</v>
      </c>
      <c r="E1387" s="2">
        <v>0.56596064814814817</v>
      </c>
    </row>
    <row r="1388" spans="1:5" x14ac:dyDescent="0.25">
      <c r="A1388">
        <v>8679036</v>
      </c>
      <c r="B1388" t="str">
        <f t="shared" si="21"/>
        <v>stacjonarny</v>
      </c>
      <c r="C1388" s="1">
        <v>42936</v>
      </c>
      <c r="D1388" s="2">
        <v>0.55827546296296293</v>
      </c>
      <c r="E1388" s="2">
        <v>0.55864583333333329</v>
      </c>
    </row>
    <row r="1389" spans="1:5" x14ac:dyDescent="0.25">
      <c r="A1389">
        <v>64733982</v>
      </c>
      <c r="B1389" t="str">
        <f t="shared" si="21"/>
        <v>komorkowy</v>
      </c>
      <c r="C1389" s="1">
        <v>42936</v>
      </c>
      <c r="D1389" s="2">
        <v>0.56180555555555556</v>
      </c>
      <c r="E1389" s="2">
        <v>0.56400462962962961</v>
      </c>
    </row>
    <row r="1390" spans="1:5" x14ac:dyDescent="0.25">
      <c r="A1390">
        <v>2289072</v>
      </c>
      <c r="B1390" t="str">
        <f t="shared" si="21"/>
        <v>stacjonarny</v>
      </c>
      <c r="C1390" s="1">
        <v>42936</v>
      </c>
      <c r="D1390" s="2">
        <v>0.56320601851851848</v>
      </c>
      <c r="E1390" s="2">
        <v>0.57020833333333332</v>
      </c>
    </row>
    <row r="1391" spans="1:5" x14ac:dyDescent="0.25">
      <c r="A1391">
        <v>71730854</v>
      </c>
      <c r="B1391" t="str">
        <f t="shared" si="21"/>
        <v>komorkowy</v>
      </c>
      <c r="C1391" s="1">
        <v>42936</v>
      </c>
      <c r="D1391" s="2">
        <v>0.56537037037037041</v>
      </c>
      <c r="E1391" s="2">
        <v>0.57611111111111113</v>
      </c>
    </row>
    <row r="1392" spans="1:5" x14ac:dyDescent="0.25">
      <c r="A1392">
        <v>3757504</v>
      </c>
      <c r="B1392" t="str">
        <f t="shared" si="21"/>
        <v>stacjonarny</v>
      </c>
      <c r="C1392" s="1">
        <v>42936</v>
      </c>
      <c r="D1392" s="2">
        <v>0.57105324074074071</v>
      </c>
      <c r="E1392" s="2">
        <v>0.57465277777777779</v>
      </c>
    </row>
    <row r="1393" spans="1:5" x14ac:dyDescent="0.25">
      <c r="A1393">
        <v>8501225</v>
      </c>
      <c r="B1393" t="str">
        <f t="shared" si="21"/>
        <v>stacjonarny</v>
      </c>
      <c r="C1393" s="1">
        <v>42936</v>
      </c>
      <c r="D1393" s="2">
        <v>0.57517361111111109</v>
      </c>
      <c r="E1393" s="2">
        <v>0.57784722222222218</v>
      </c>
    </row>
    <row r="1394" spans="1:5" x14ac:dyDescent="0.25">
      <c r="A1394">
        <v>3704193</v>
      </c>
      <c r="B1394" t="str">
        <f t="shared" si="21"/>
        <v>stacjonarny</v>
      </c>
      <c r="C1394" s="1">
        <v>42936</v>
      </c>
      <c r="D1394" s="2">
        <v>0.57671296296296293</v>
      </c>
      <c r="E1394" s="2">
        <v>0.58539351851851851</v>
      </c>
    </row>
    <row r="1395" spans="1:5" x14ac:dyDescent="0.25">
      <c r="A1395">
        <v>4577789</v>
      </c>
      <c r="B1395" t="str">
        <f t="shared" si="21"/>
        <v>stacjonarny</v>
      </c>
      <c r="C1395" s="1">
        <v>42936</v>
      </c>
      <c r="D1395" s="2">
        <v>0.57781249999999995</v>
      </c>
      <c r="E1395" s="2">
        <v>0.57953703703703707</v>
      </c>
    </row>
    <row r="1396" spans="1:5" x14ac:dyDescent="0.25">
      <c r="A1396">
        <v>5730350</v>
      </c>
      <c r="B1396" t="str">
        <f t="shared" si="21"/>
        <v>stacjonarny</v>
      </c>
      <c r="C1396" s="1">
        <v>42936</v>
      </c>
      <c r="D1396" s="2">
        <v>0.58206018518518521</v>
      </c>
      <c r="E1396" s="2">
        <v>0.59037037037037032</v>
      </c>
    </row>
    <row r="1397" spans="1:5" x14ac:dyDescent="0.25">
      <c r="A1397">
        <v>8953850</v>
      </c>
      <c r="B1397" t="str">
        <f t="shared" si="21"/>
        <v>stacjonarny</v>
      </c>
      <c r="C1397" s="1">
        <v>42936</v>
      </c>
      <c r="D1397" s="2">
        <v>0.58328703703703699</v>
      </c>
      <c r="E1397" s="2">
        <v>0.5920023148148148</v>
      </c>
    </row>
    <row r="1398" spans="1:5" x14ac:dyDescent="0.25">
      <c r="A1398">
        <v>3109133</v>
      </c>
      <c r="B1398" t="str">
        <f t="shared" si="21"/>
        <v>stacjonarny</v>
      </c>
      <c r="C1398" s="1">
        <v>42936</v>
      </c>
      <c r="D1398" s="2">
        <v>0.58564814814814814</v>
      </c>
      <c r="E1398" s="2">
        <v>0.58964120370370365</v>
      </c>
    </row>
    <row r="1399" spans="1:5" x14ac:dyDescent="0.25">
      <c r="A1399">
        <v>3382699</v>
      </c>
      <c r="B1399" t="str">
        <f t="shared" si="21"/>
        <v>stacjonarny</v>
      </c>
      <c r="C1399" s="1">
        <v>42936</v>
      </c>
      <c r="D1399" s="2">
        <v>0.59053240740740742</v>
      </c>
      <c r="E1399" s="2">
        <v>0.59318287037037032</v>
      </c>
    </row>
    <row r="1400" spans="1:5" x14ac:dyDescent="0.25">
      <c r="A1400">
        <v>9132555</v>
      </c>
      <c r="B1400" t="str">
        <f t="shared" si="21"/>
        <v>stacjonarny</v>
      </c>
      <c r="C1400" s="1">
        <v>42936</v>
      </c>
      <c r="D1400" s="2">
        <v>0.59621527777777783</v>
      </c>
      <c r="E1400" s="2">
        <v>0.59906250000000005</v>
      </c>
    </row>
    <row r="1401" spans="1:5" x14ac:dyDescent="0.25">
      <c r="A1401">
        <v>5016981</v>
      </c>
      <c r="B1401" t="str">
        <f t="shared" si="21"/>
        <v>stacjonarny</v>
      </c>
      <c r="C1401" s="1">
        <v>42936</v>
      </c>
      <c r="D1401" s="2">
        <v>0.59693287037037035</v>
      </c>
      <c r="E1401" s="2">
        <v>0.59743055555555558</v>
      </c>
    </row>
    <row r="1402" spans="1:5" x14ac:dyDescent="0.25">
      <c r="A1402">
        <v>1294973</v>
      </c>
      <c r="B1402" t="str">
        <f t="shared" si="21"/>
        <v>stacjonarny</v>
      </c>
      <c r="C1402" s="1">
        <v>42936</v>
      </c>
      <c r="D1402" s="2">
        <v>0.59783564814814816</v>
      </c>
      <c r="E1402" s="2">
        <v>0.60715277777777776</v>
      </c>
    </row>
    <row r="1403" spans="1:5" x14ac:dyDescent="0.25">
      <c r="A1403">
        <v>7769531</v>
      </c>
      <c r="B1403" t="str">
        <f t="shared" si="21"/>
        <v>stacjonarny</v>
      </c>
      <c r="C1403" s="1">
        <v>42936</v>
      </c>
      <c r="D1403" s="2">
        <v>0.60048611111111116</v>
      </c>
      <c r="E1403" s="2">
        <v>0.60371527777777778</v>
      </c>
    </row>
    <row r="1404" spans="1:5" x14ac:dyDescent="0.25">
      <c r="A1404">
        <v>1068000</v>
      </c>
      <c r="B1404" t="str">
        <f t="shared" si="21"/>
        <v>stacjonarny</v>
      </c>
      <c r="C1404" s="1">
        <v>42936</v>
      </c>
      <c r="D1404" s="2">
        <v>0.60251157407407407</v>
      </c>
      <c r="E1404" s="2">
        <v>0.60608796296296297</v>
      </c>
    </row>
    <row r="1405" spans="1:5" x14ac:dyDescent="0.25">
      <c r="A1405">
        <v>1467591</v>
      </c>
      <c r="B1405" t="str">
        <f t="shared" si="21"/>
        <v>stacjonarny</v>
      </c>
      <c r="C1405" s="1">
        <v>42936</v>
      </c>
      <c r="D1405" s="2">
        <v>0.60277777777777775</v>
      </c>
      <c r="E1405" s="2">
        <v>0.61222222222222222</v>
      </c>
    </row>
    <row r="1406" spans="1:5" x14ac:dyDescent="0.25">
      <c r="A1406">
        <v>5980925</v>
      </c>
      <c r="B1406" t="str">
        <f t="shared" si="21"/>
        <v>stacjonarny</v>
      </c>
      <c r="C1406" s="1">
        <v>42936</v>
      </c>
      <c r="D1406" s="2">
        <v>0.60282407407407412</v>
      </c>
      <c r="E1406" s="2">
        <v>0.61041666666666672</v>
      </c>
    </row>
    <row r="1407" spans="1:5" x14ac:dyDescent="0.25">
      <c r="A1407">
        <v>9905075</v>
      </c>
      <c r="B1407" t="str">
        <f t="shared" si="21"/>
        <v>stacjonarny</v>
      </c>
      <c r="C1407" s="1">
        <v>42936</v>
      </c>
      <c r="D1407" s="2">
        <v>0.60693287037037036</v>
      </c>
      <c r="E1407" s="2">
        <v>0.61001157407407403</v>
      </c>
    </row>
    <row r="1408" spans="1:5" x14ac:dyDescent="0.25">
      <c r="A1408">
        <v>1043289</v>
      </c>
      <c r="B1408" t="str">
        <f t="shared" si="21"/>
        <v>stacjonarny</v>
      </c>
      <c r="C1408" s="1">
        <v>42936</v>
      </c>
      <c r="D1408" s="2">
        <v>0.60990740740740745</v>
      </c>
      <c r="E1408" s="2">
        <v>0.61383101851851851</v>
      </c>
    </row>
    <row r="1409" spans="1:5" x14ac:dyDescent="0.25">
      <c r="A1409">
        <v>8252939</v>
      </c>
      <c r="B1409" t="str">
        <f t="shared" si="21"/>
        <v>stacjonarny</v>
      </c>
      <c r="C1409" s="1">
        <v>42936</v>
      </c>
      <c r="D1409" s="2">
        <v>0.61320601851851853</v>
      </c>
      <c r="E1409" s="2">
        <v>0.62115740740740744</v>
      </c>
    </row>
    <row r="1410" spans="1:5" x14ac:dyDescent="0.25">
      <c r="A1410">
        <v>67748426</v>
      </c>
      <c r="B1410" t="str">
        <f t="shared" si="21"/>
        <v>komorkowy</v>
      </c>
      <c r="C1410" s="1">
        <v>42936</v>
      </c>
      <c r="D1410" s="2">
        <v>0.61535879629629631</v>
      </c>
      <c r="E1410" s="2">
        <v>0.62503472222222223</v>
      </c>
    </row>
    <row r="1411" spans="1:5" x14ac:dyDescent="0.25">
      <c r="A1411">
        <v>4376637</v>
      </c>
      <c r="B1411" t="str">
        <f t="shared" ref="B1411:B1474" si="22">IF(LEN(A1411)=7, "stacjonarny", IF(LEN(A1411)=8, "komorkowy", "zagraniczny"))</f>
        <v>stacjonarny</v>
      </c>
      <c r="C1411" s="1">
        <v>42936</v>
      </c>
      <c r="D1411" s="2">
        <v>0.61559027777777775</v>
      </c>
      <c r="E1411" s="2">
        <v>0.62532407407407409</v>
      </c>
    </row>
    <row r="1412" spans="1:5" x14ac:dyDescent="0.25">
      <c r="A1412">
        <v>6426011</v>
      </c>
      <c r="B1412" t="str">
        <f t="shared" si="22"/>
        <v>stacjonarny</v>
      </c>
      <c r="C1412" s="1">
        <v>42936</v>
      </c>
      <c r="D1412" s="2">
        <v>0.62078703703703708</v>
      </c>
      <c r="E1412" s="2">
        <v>0.62863425925925931</v>
      </c>
    </row>
    <row r="1413" spans="1:5" x14ac:dyDescent="0.25">
      <c r="A1413">
        <v>9137235</v>
      </c>
      <c r="B1413" t="str">
        <f t="shared" si="22"/>
        <v>stacjonarny</v>
      </c>
      <c r="C1413" s="1">
        <v>42936</v>
      </c>
      <c r="D1413" s="2">
        <v>0.62524305555555559</v>
      </c>
      <c r="E1413" s="2">
        <v>0.62846064814814817</v>
      </c>
    </row>
    <row r="1414" spans="1:5" x14ac:dyDescent="0.25">
      <c r="A1414">
        <v>6735390</v>
      </c>
      <c r="B1414" t="str">
        <f t="shared" si="22"/>
        <v>stacjonarny</v>
      </c>
      <c r="C1414" s="1">
        <v>42937</v>
      </c>
      <c r="D1414" s="2">
        <v>0.33421296296296299</v>
      </c>
      <c r="E1414" s="2">
        <v>0.33674768518518516</v>
      </c>
    </row>
    <row r="1415" spans="1:5" x14ac:dyDescent="0.25">
      <c r="A1415">
        <v>7151490</v>
      </c>
      <c r="B1415" t="str">
        <f t="shared" si="22"/>
        <v>stacjonarny</v>
      </c>
      <c r="C1415" s="1">
        <v>42937</v>
      </c>
      <c r="D1415" s="2">
        <v>0.33513888888888888</v>
      </c>
      <c r="E1415" s="2">
        <v>0.33787037037037038</v>
      </c>
    </row>
    <row r="1416" spans="1:5" x14ac:dyDescent="0.25">
      <c r="A1416">
        <v>5138547</v>
      </c>
      <c r="B1416" t="str">
        <f t="shared" si="22"/>
        <v>stacjonarny</v>
      </c>
      <c r="C1416" s="1">
        <v>42937</v>
      </c>
      <c r="D1416" s="2">
        <v>0.33642361111111113</v>
      </c>
      <c r="E1416" s="2">
        <v>0.33778935185185183</v>
      </c>
    </row>
    <row r="1417" spans="1:5" x14ac:dyDescent="0.25">
      <c r="A1417">
        <v>79212542</v>
      </c>
      <c r="B1417" t="str">
        <f t="shared" si="22"/>
        <v>komorkowy</v>
      </c>
      <c r="C1417" s="1">
        <v>42937</v>
      </c>
      <c r="D1417" s="2">
        <v>0.34157407407407409</v>
      </c>
      <c r="E1417" s="2">
        <v>0.34684027777777776</v>
      </c>
    </row>
    <row r="1418" spans="1:5" x14ac:dyDescent="0.25">
      <c r="A1418">
        <v>1507196</v>
      </c>
      <c r="B1418" t="str">
        <f t="shared" si="22"/>
        <v>stacjonarny</v>
      </c>
      <c r="C1418" s="1">
        <v>42937</v>
      </c>
      <c r="D1418" s="2">
        <v>0.34197916666666667</v>
      </c>
      <c r="E1418" s="2">
        <v>0.3460300925925926</v>
      </c>
    </row>
    <row r="1419" spans="1:5" x14ac:dyDescent="0.25">
      <c r="A1419">
        <v>8362094</v>
      </c>
      <c r="B1419" t="str">
        <f t="shared" si="22"/>
        <v>stacjonarny</v>
      </c>
      <c r="C1419" s="1">
        <v>42937</v>
      </c>
      <c r="D1419" s="2">
        <v>0.34567129629629628</v>
      </c>
      <c r="E1419" s="2">
        <v>0.34745370370370371</v>
      </c>
    </row>
    <row r="1420" spans="1:5" x14ac:dyDescent="0.25">
      <c r="A1420">
        <v>5379981</v>
      </c>
      <c r="B1420" t="str">
        <f t="shared" si="22"/>
        <v>stacjonarny</v>
      </c>
      <c r="C1420" s="1">
        <v>42937</v>
      </c>
      <c r="D1420" s="2">
        <v>0.34690972222222222</v>
      </c>
      <c r="E1420" s="2">
        <v>0.35206018518518517</v>
      </c>
    </row>
    <row r="1421" spans="1:5" x14ac:dyDescent="0.25">
      <c r="A1421">
        <v>4960672</v>
      </c>
      <c r="B1421" t="str">
        <f t="shared" si="22"/>
        <v>stacjonarny</v>
      </c>
      <c r="C1421" s="1">
        <v>42937</v>
      </c>
      <c r="D1421" s="2">
        <v>0.34745370370370371</v>
      </c>
      <c r="E1421" s="2">
        <v>0.3526273148148148</v>
      </c>
    </row>
    <row r="1422" spans="1:5" x14ac:dyDescent="0.25">
      <c r="A1422">
        <v>9052582</v>
      </c>
      <c r="B1422" t="str">
        <f t="shared" si="22"/>
        <v>stacjonarny</v>
      </c>
      <c r="C1422" s="1">
        <v>42937</v>
      </c>
      <c r="D1422" s="2">
        <v>0.34961805555555553</v>
      </c>
      <c r="E1422" s="2">
        <v>0.3535300925925926</v>
      </c>
    </row>
    <row r="1423" spans="1:5" x14ac:dyDescent="0.25">
      <c r="A1423">
        <v>2054346</v>
      </c>
      <c r="B1423" t="str">
        <f t="shared" si="22"/>
        <v>stacjonarny</v>
      </c>
      <c r="C1423" s="1">
        <v>42937</v>
      </c>
      <c r="D1423" s="2">
        <v>0.35003472222222221</v>
      </c>
      <c r="E1423" s="2">
        <v>0.35540509259259262</v>
      </c>
    </row>
    <row r="1424" spans="1:5" x14ac:dyDescent="0.25">
      <c r="A1424">
        <v>6070136</v>
      </c>
      <c r="B1424" t="str">
        <f t="shared" si="22"/>
        <v>stacjonarny</v>
      </c>
      <c r="C1424" s="1">
        <v>42937</v>
      </c>
      <c r="D1424" s="2">
        <v>0.3515625</v>
      </c>
      <c r="E1424" s="2">
        <v>0.35299768518518521</v>
      </c>
    </row>
    <row r="1425" spans="1:5" x14ac:dyDescent="0.25">
      <c r="A1425">
        <v>3086185</v>
      </c>
      <c r="B1425" t="str">
        <f t="shared" si="22"/>
        <v>stacjonarny</v>
      </c>
      <c r="C1425" s="1">
        <v>42937</v>
      </c>
      <c r="D1425" s="2">
        <v>0.35401620370370368</v>
      </c>
      <c r="E1425" s="2">
        <v>0.35944444444444446</v>
      </c>
    </row>
    <row r="1426" spans="1:5" x14ac:dyDescent="0.25">
      <c r="A1426">
        <v>6949463</v>
      </c>
      <c r="B1426" t="str">
        <f t="shared" si="22"/>
        <v>stacjonarny</v>
      </c>
      <c r="C1426" s="1">
        <v>42937</v>
      </c>
      <c r="D1426" s="2">
        <v>0.35912037037037037</v>
      </c>
      <c r="E1426" s="2">
        <v>0.36318287037037039</v>
      </c>
    </row>
    <row r="1427" spans="1:5" x14ac:dyDescent="0.25">
      <c r="A1427">
        <v>1626862</v>
      </c>
      <c r="B1427" t="str">
        <f t="shared" si="22"/>
        <v>stacjonarny</v>
      </c>
      <c r="C1427" s="1">
        <v>42937</v>
      </c>
      <c r="D1427" s="2">
        <v>0.36155092592592591</v>
      </c>
      <c r="E1427" s="2">
        <v>0.36355324074074075</v>
      </c>
    </row>
    <row r="1428" spans="1:5" x14ac:dyDescent="0.25">
      <c r="A1428">
        <v>99905503</v>
      </c>
      <c r="B1428" t="str">
        <f t="shared" si="22"/>
        <v>komorkowy</v>
      </c>
      <c r="C1428" s="1">
        <v>42937</v>
      </c>
      <c r="D1428" s="2">
        <v>0.36631944444444442</v>
      </c>
      <c r="E1428" s="2">
        <v>0.37376157407407407</v>
      </c>
    </row>
    <row r="1429" spans="1:5" x14ac:dyDescent="0.25">
      <c r="A1429">
        <v>2753778</v>
      </c>
      <c r="B1429" t="str">
        <f t="shared" si="22"/>
        <v>stacjonarny</v>
      </c>
      <c r="C1429" s="1">
        <v>42937</v>
      </c>
      <c r="D1429" s="2">
        <v>0.37133101851851852</v>
      </c>
      <c r="E1429" s="2">
        <v>0.38075231481481481</v>
      </c>
    </row>
    <row r="1430" spans="1:5" x14ac:dyDescent="0.25">
      <c r="A1430">
        <v>3508755</v>
      </c>
      <c r="B1430" t="str">
        <f t="shared" si="22"/>
        <v>stacjonarny</v>
      </c>
      <c r="C1430" s="1">
        <v>42937</v>
      </c>
      <c r="D1430" s="2">
        <v>0.37569444444444444</v>
      </c>
      <c r="E1430" s="2">
        <v>0.38611111111111113</v>
      </c>
    </row>
    <row r="1431" spans="1:5" x14ac:dyDescent="0.25">
      <c r="A1431">
        <v>14783929</v>
      </c>
      <c r="B1431" t="str">
        <f t="shared" si="22"/>
        <v>komorkowy</v>
      </c>
      <c r="C1431" s="1">
        <v>42937</v>
      </c>
      <c r="D1431" s="2">
        <v>0.37891203703703702</v>
      </c>
      <c r="E1431" s="2">
        <v>0.38443287037037038</v>
      </c>
    </row>
    <row r="1432" spans="1:5" x14ac:dyDescent="0.25">
      <c r="A1432">
        <v>1409543</v>
      </c>
      <c r="B1432" t="str">
        <f t="shared" si="22"/>
        <v>stacjonarny</v>
      </c>
      <c r="C1432" s="1">
        <v>42937</v>
      </c>
      <c r="D1432" s="2">
        <v>0.38086805555555553</v>
      </c>
      <c r="E1432" s="2">
        <v>0.38918981481481479</v>
      </c>
    </row>
    <row r="1433" spans="1:5" x14ac:dyDescent="0.25">
      <c r="A1433">
        <v>6891636</v>
      </c>
      <c r="B1433" t="str">
        <f t="shared" si="22"/>
        <v>stacjonarny</v>
      </c>
      <c r="C1433" s="1">
        <v>42937</v>
      </c>
      <c r="D1433" s="2">
        <v>0.38633101851851853</v>
      </c>
      <c r="E1433" s="2">
        <v>0.38923611111111112</v>
      </c>
    </row>
    <row r="1434" spans="1:5" x14ac:dyDescent="0.25">
      <c r="A1434">
        <v>8541151</v>
      </c>
      <c r="B1434" t="str">
        <f t="shared" si="22"/>
        <v>stacjonarny</v>
      </c>
      <c r="C1434" s="1">
        <v>42937</v>
      </c>
      <c r="D1434" s="2">
        <v>0.38848379629629631</v>
      </c>
      <c r="E1434" s="2">
        <v>0.39874999999999999</v>
      </c>
    </row>
    <row r="1435" spans="1:5" x14ac:dyDescent="0.25">
      <c r="A1435">
        <v>8322802</v>
      </c>
      <c r="B1435" t="str">
        <f t="shared" si="22"/>
        <v>stacjonarny</v>
      </c>
      <c r="C1435" s="1">
        <v>42937</v>
      </c>
      <c r="D1435" s="2">
        <v>0.39089120370370373</v>
      </c>
      <c r="E1435" s="2">
        <v>0.39620370370370372</v>
      </c>
    </row>
    <row r="1436" spans="1:5" x14ac:dyDescent="0.25">
      <c r="A1436">
        <v>30678431</v>
      </c>
      <c r="B1436" t="str">
        <f t="shared" si="22"/>
        <v>komorkowy</v>
      </c>
      <c r="C1436" s="1">
        <v>42937</v>
      </c>
      <c r="D1436" s="2">
        <v>0.39469907407407406</v>
      </c>
      <c r="E1436" s="2">
        <v>0.40141203703703704</v>
      </c>
    </row>
    <row r="1437" spans="1:5" x14ac:dyDescent="0.25">
      <c r="A1437">
        <v>41837828</v>
      </c>
      <c r="B1437" t="str">
        <f t="shared" si="22"/>
        <v>komorkowy</v>
      </c>
      <c r="C1437" s="1">
        <v>42937</v>
      </c>
      <c r="D1437" s="2">
        <v>0.39953703703703702</v>
      </c>
      <c r="E1437" s="2">
        <v>0.40038194444444447</v>
      </c>
    </row>
    <row r="1438" spans="1:5" x14ac:dyDescent="0.25">
      <c r="A1438">
        <v>13639748</v>
      </c>
      <c r="B1438" t="str">
        <f t="shared" si="22"/>
        <v>komorkowy</v>
      </c>
      <c r="C1438" s="1">
        <v>42937</v>
      </c>
      <c r="D1438" s="2">
        <v>0.40379629629629632</v>
      </c>
      <c r="E1438" s="2">
        <v>0.40822916666666664</v>
      </c>
    </row>
    <row r="1439" spans="1:5" x14ac:dyDescent="0.25">
      <c r="A1439">
        <v>8972366</v>
      </c>
      <c r="B1439" t="str">
        <f t="shared" si="22"/>
        <v>stacjonarny</v>
      </c>
      <c r="C1439" s="1">
        <v>42937</v>
      </c>
      <c r="D1439" s="2">
        <v>0.40462962962962962</v>
      </c>
      <c r="E1439" s="2">
        <v>0.40875</v>
      </c>
    </row>
    <row r="1440" spans="1:5" x14ac:dyDescent="0.25">
      <c r="A1440">
        <v>5233531</v>
      </c>
      <c r="B1440" t="str">
        <f t="shared" si="22"/>
        <v>stacjonarny</v>
      </c>
      <c r="C1440" s="1">
        <v>42937</v>
      </c>
      <c r="D1440" s="2">
        <v>0.40465277777777775</v>
      </c>
      <c r="E1440" s="2">
        <v>0.40887731481481482</v>
      </c>
    </row>
    <row r="1441" spans="1:5" x14ac:dyDescent="0.25">
      <c r="A1441">
        <v>3691176</v>
      </c>
      <c r="B1441" t="str">
        <f t="shared" si="22"/>
        <v>stacjonarny</v>
      </c>
      <c r="C1441" s="1">
        <v>42937</v>
      </c>
      <c r="D1441" s="2">
        <v>0.40505787037037039</v>
      </c>
      <c r="E1441" s="2">
        <v>0.40561342592592592</v>
      </c>
    </row>
    <row r="1442" spans="1:5" x14ac:dyDescent="0.25">
      <c r="A1442">
        <v>66377806</v>
      </c>
      <c r="B1442" t="str">
        <f t="shared" si="22"/>
        <v>komorkowy</v>
      </c>
      <c r="C1442" s="1">
        <v>42937</v>
      </c>
      <c r="D1442" s="2">
        <v>0.40694444444444444</v>
      </c>
      <c r="E1442" s="2">
        <v>0.40991898148148148</v>
      </c>
    </row>
    <row r="1443" spans="1:5" x14ac:dyDescent="0.25">
      <c r="A1443">
        <v>6357818</v>
      </c>
      <c r="B1443" t="str">
        <f t="shared" si="22"/>
        <v>stacjonarny</v>
      </c>
      <c r="C1443" s="1">
        <v>42937</v>
      </c>
      <c r="D1443" s="2">
        <v>0.41228009259259257</v>
      </c>
      <c r="E1443" s="2">
        <v>0.41648148148148151</v>
      </c>
    </row>
    <row r="1444" spans="1:5" x14ac:dyDescent="0.25">
      <c r="A1444">
        <v>7123731</v>
      </c>
      <c r="B1444" t="str">
        <f t="shared" si="22"/>
        <v>stacjonarny</v>
      </c>
      <c r="C1444" s="1">
        <v>42937</v>
      </c>
      <c r="D1444" s="2">
        <v>0.41494212962962962</v>
      </c>
      <c r="E1444" s="2">
        <v>0.41641203703703705</v>
      </c>
    </row>
    <row r="1445" spans="1:5" x14ac:dyDescent="0.25">
      <c r="A1445">
        <v>91907883</v>
      </c>
      <c r="B1445" t="str">
        <f t="shared" si="22"/>
        <v>komorkowy</v>
      </c>
      <c r="C1445" s="1">
        <v>42937</v>
      </c>
      <c r="D1445" s="2">
        <v>0.42054398148148148</v>
      </c>
      <c r="E1445" s="2">
        <v>0.42721064814814813</v>
      </c>
    </row>
    <row r="1446" spans="1:5" x14ac:dyDescent="0.25">
      <c r="A1446">
        <v>69734527</v>
      </c>
      <c r="B1446" t="str">
        <f t="shared" si="22"/>
        <v>komorkowy</v>
      </c>
      <c r="C1446" s="1">
        <v>42937</v>
      </c>
      <c r="D1446" s="2">
        <v>0.42084490740740743</v>
      </c>
      <c r="E1446" s="2">
        <v>0.43167824074074074</v>
      </c>
    </row>
    <row r="1447" spans="1:5" x14ac:dyDescent="0.25">
      <c r="A1447">
        <v>7536096</v>
      </c>
      <c r="B1447" t="str">
        <f t="shared" si="22"/>
        <v>stacjonarny</v>
      </c>
      <c r="C1447" s="1">
        <v>42937</v>
      </c>
      <c r="D1447" s="2">
        <v>0.42357638888888888</v>
      </c>
      <c r="E1447" s="2">
        <v>0.4322685185185185</v>
      </c>
    </row>
    <row r="1448" spans="1:5" x14ac:dyDescent="0.25">
      <c r="A1448">
        <v>60158843</v>
      </c>
      <c r="B1448" t="str">
        <f t="shared" si="22"/>
        <v>komorkowy</v>
      </c>
      <c r="C1448" s="1">
        <v>42937</v>
      </c>
      <c r="D1448" s="2">
        <v>0.42814814814814817</v>
      </c>
      <c r="E1448" s="2">
        <v>0.43784722222222222</v>
      </c>
    </row>
    <row r="1449" spans="1:5" x14ac:dyDescent="0.25">
      <c r="A1449">
        <v>6942059</v>
      </c>
      <c r="B1449" t="str">
        <f t="shared" si="22"/>
        <v>stacjonarny</v>
      </c>
      <c r="C1449" s="1">
        <v>42937</v>
      </c>
      <c r="D1449" s="2">
        <v>0.43002314814814813</v>
      </c>
      <c r="E1449" s="2">
        <v>0.43030092592592595</v>
      </c>
    </row>
    <row r="1450" spans="1:5" x14ac:dyDescent="0.25">
      <c r="A1450">
        <v>28282891</v>
      </c>
      <c r="B1450" t="str">
        <f t="shared" si="22"/>
        <v>komorkowy</v>
      </c>
      <c r="C1450" s="1">
        <v>42937</v>
      </c>
      <c r="D1450" s="2">
        <v>0.4307523148148148</v>
      </c>
      <c r="E1450" s="2">
        <v>0.4412847222222222</v>
      </c>
    </row>
    <row r="1451" spans="1:5" x14ac:dyDescent="0.25">
      <c r="A1451">
        <v>1617146</v>
      </c>
      <c r="B1451" t="str">
        <f t="shared" si="22"/>
        <v>stacjonarny</v>
      </c>
      <c r="C1451" s="1">
        <v>42937</v>
      </c>
      <c r="D1451" s="2">
        <v>0.43400462962962966</v>
      </c>
      <c r="E1451" s="2">
        <v>0.44041666666666668</v>
      </c>
    </row>
    <row r="1452" spans="1:5" x14ac:dyDescent="0.25">
      <c r="A1452">
        <v>2186880</v>
      </c>
      <c r="B1452" t="str">
        <f t="shared" si="22"/>
        <v>stacjonarny</v>
      </c>
      <c r="C1452" s="1">
        <v>42937</v>
      </c>
      <c r="D1452" s="2">
        <v>0.43582175925925926</v>
      </c>
      <c r="E1452" s="2">
        <v>0.44550925925925927</v>
      </c>
    </row>
    <row r="1453" spans="1:5" x14ac:dyDescent="0.25">
      <c r="A1453">
        <v>92461001</v>
      </c>
      <c r="B1453" t="str">
        <f t="shared" si="22"/>
        <v>komorkowy</v>
      </c>
      <c r="C1453" s="1">
        <v>42937</v>
      </c>
      <c r="D1453" s="2">
        <v>0.43730324074074073</v>
      </c>
      <c r="E1453" s="2">
        <v>0.44869212962962962</v>
      </c>
    </row>
    <row r="1454" spans="1:5" x14ac:dyDescent="0.25">
      <c r="A1454">
        <v>4657345</v>
      </c>
      <c r="B1454" t="str">
        <f t="shared" si="22"/>
        <v>stacjonarny</v>
      </c>
      <c r="C1454" s="1">
        <v>42937</v>
      </c>
      <c r="D1454" s="2">
        <v>0.44291666666666668</v>
      </c>
      <c r="E1454" s="2">
        <v>0.45256944444444447</v>
      </c>
    </row>
    <row r="1455" spans="1:5" x14ac:dyDescent="0.25">
      <c r="A1455">
        <v>16775888</v>
      </c>
      <c r="B1455" t="str">
        <f t="shared" si="22"/>
        <v>komorkowy</v>
      </c>
      <c r="C1455" s="1">
        <v>42937</v>
      </c>
      <c r="D1455" s="2">
        <v>0.4478240740740741</v>
      </c>
      <c r="E1455" s="2">
        <v>0.45548611111111109</v>
      </c>
    </row>
    <row r="1456" spans="1:5" x14ac:dyDescent="0.25">
      <c r="A1456">
        <v>97953696</v>
      </c>
      <c r="B1456" t="str">
        <f t="shared" si="22"/>
        <v>komorkowy</v>
      </c>
      <c r="C1456" s="1">
        <v>42937</v>
      </c>
      <c r="D1456" s="2">
        <v>0.45187500000000003</v>
      </c>
      <c r="E1456" s="2">
        <v>0.45925925925925926</v>
      </c>
    </row>
    <row r="1457" spans="1:5" x14ac:dyDescent="0.25">
      <c r="A1457">
        <v>1166111</v>
      </c>
      <c r="B1457" t="str">
        <f t="shared" si="22"/>
        <v>stacjonarny</v>
      </c>
      <c r="C1457" s="1">
        <v>42937</v>
      </c>
      <c r="D1457" s="2">
        <v>0.45458333333333334</v>
      </c>
      <c r="E1457" s="2">
        <v>0.46295138888888887</v>
      </c>
    </row>
    <row r="1458" spans="1:5" x14ac:dyDescent="0.25">
      <c r="A1458">
        <v>91907883</v>
      </c>
      <c r="B1458" t="str">
        <f t="shared" si="22"/>
        <v>komorkowy</v>
      </c>
      <c r="C1458" s="1">
        <v>42937</v>
      </c>
      <c r="D1458" s="2">
        <v>0.45689814814814816</v>
      </c>
      <c r="E1458" s="2">
        <v>0.4574537037037037</v>
      </c>
    </row>
    <row r="1459" spans="1:5" x14ac:dyDescent="0.25">
      <c r="A1459">
        <v>9225043</v>
      </c>
      <c r="B1459" t="str">
        <f t="shared" si="22"/>
        <v>stacjonarny</v>
      </c>
      <c r="C1459" s="1">
        <v>42937</v>
      </c>
      <c r="D1459" s="2">
        <v>0.4612384259259259</v>
      </c>
      <c r="E1459" s="2">
        <v>0.46285879629629628</v>
      </c>
    </row>
    <row r="1460" spans="1:5" x14ac:dyDescent="0.25">
      <c r="A1460">
        <v>6408952</v>
      </c>
      <c r="B1460" t="str">
        <f t="shared" si="22"/>
        <v>stacjonarny</v>
      </c>
      <c r="C1460" s="1">
        <v>42937</v>
      </c>
      <c r="D1460" s="2">
        <v>0.46553240740740742</v>
      </c>
      <c r="E1460" s="2">
        <v>0.47234953703703703</v>
      </c>
    </row>
    <row r="1461" spans="1:5" x14ac:dyDescent="0.25">
      <c r="A1461">
        <v>81010250</v>
      </c>
      <c r="B1461" t="str">
        <f t="shared" si="22"/>
        <v>komorkowy</v>
      </c>
      <c r="C1461" s="1">
        <v>42937</v>
      </c>
      <c r="D1461" s="2">
        <v>0.47075231481481483</v>
      </c>
      <c r="E1461" s="2">
        <v>0.47239583333333335</v>
      </c>
    </row>
    <row r="1462" spans="1:5" x14ac:dyDescent="0.25">
      <c r="A1462">
        <v>8596442</v>
      </c>
      <c r="B1462" t="str">
        <f t="shared" si="22"/>
        <v>stacjonarny</v>
      </c>
      <c r="C1462" s="1">
        <v>42937</v>
      </c>
      <c r="D1462" s="2">
        <v>0.47105324074074073</v>
      </c>
      <c r="E1462" s="2">
        <v>0.48011574074074076</v>
      </c>
    </row>
    <row r="1463" spans="1:5" x14ac:dyDescent="0.25">
      <c r="A1463">
        <v>79890857</v>
      </c>
      <c r="B1463" t="str">
        <f t="shared" si="22"/>
        <v>komorkowy</v>
      </c>
      <c r="C1463" s="1">
        <v>42937</v>
      </c>
      <c r="D1463" s="2">
        <v>0.47285879629629629</v>
      </c>
      <c r="E1463" s="2">
        <v>0.47846064814814815</v>
      </c>
    </row>
    <row r="1464" spans="1:5" x14ac:dyDescent="0.25">
      <c r="A1464">
        <v>3804078</v>
      </c>
      <c r="B1464" t="str">
        <f t="shared" si="22"/>
        <v>stacjonarny</v>
      </c>
      <c r="C1464" s="1">
        <v>42937</v>
      </c>
      <c r="D1464" s="2">
        <v>0.4729976851851852</v>
      </c>
      <c r="E1464" s="2">
        <v>0.48243055555555553</v>
      </c>
    </row>
    <row r="1465" spans="1:5" x14ac:dyDescent="0.25">
      <c r="A1465">
        <v>6312012</v>
      </c>
      <c r="B1465" t="str">
        <f t="shared" si="22"/>
        <v>stacjonarny</v>
      </c>
      <c r="C1465" s="1">
        <v>42937</v>
      </c>
      <c r="D1465" s="2">
        <v>0.47697916666666668</v>
      </c>
      <c r="E1465" s="2">
        <v>0.48678240740740741</v>
      </c>
    </row>
    <row r="1466" spans="1:5" x14ac:dyDescent="0.25">
      <c r="A1466">
        <v>7322741</v>
      </c>
      <c r="B1466" t="str">
        <f t="shared" si="22"/>
        <v>stacjonarny</v>
      </c>
      <c r="C1466" s="1">
        <v>42937</v>
      </c>
      <c r="D1466" s="2">
        <v>0.47833333333333333</v>
      </c>
      <c r="E1466" s="2">
        <v>0.48989583333333331</v>
      </c>
    </row>
    <row r="1467" spans="1:5" x14ac:dyDescent="0.25">
      <c r="A1467">
        <v>2354992</v>
      </c>
      <c r="B1467" t="str">
        <f t="shared" si="22"/>
        <v>stacjonarny</v>
      </c>
      <c r="C1467" s="1">
        <v>42937</v>
      </c>
      <c r="D1467" s="2">
        <v>0.4828587962962963</v>
      </c>
      <c r="E1467" s="2">
        <v>0.48295138888888889</v>
      </c>
    </row>
    <row r="1468" spans="1:5" x14ac:dyDescent="0.25">
      <c r="A1468">
        <v>1766133</v>
      </c>
      <c r="B1468" t="str">
        <f t="shared" si="22"/>
        <v>stacjonarny</v>
      </c>
      <c r="C1468" s="1">
        <v>42937</v>
      </c>
      <c r="D1468" s="2">
        <v>0.48439814814814813</v>
      </c>
      <c r="E1468" s="2">
        <v>0.4878587962962963</v>
      </c>
    </row>
    <row r="1469" spans="1:5" x14ac:dyDescent="0.25">
      <c r="A1469">
        <v>2922327</v>
      </c>
      <c r="B1469" t="str">
        <f t="shared" si="22"/>
        <v>stacjonarny</v>
      </c>
      <c r="C1469" s="1">
        <v>42937</v>
      </c>
      <c r="D1469" s="2">
        <v>0.48690972222222223</v>
      </c>
      <c r="E1469" s="2">
        <v>0.49665509259259261</v>
      </c>
    </row>
    <row r="1470" spans="1:5" x14ac:dyDescent="0.25">
      <c r="A1470">
        <v>8679036</v>
      </c>
      <c r="B1470" t="str">
        <f t="shared" si="22"/>
        <v>stacjonarny</v>
      </c>
      <c r="C1470" s="1">
        <v>42937</v>
      </c>
      <c r="D1470" s="2">
        <v>0.4924189814814815</v>
      </c>
      <c r="E1470" s="2">
        <v>0.49381944444444442</v>
      </c>
    </row>
    <row r="1471" spans="1:5" x14ac:dyDescent="0.25">
      <c r="A1471">
        <v>1469705</v>
      </c>
      <c r="B1471" t="str">
        <f t="shared" si="22"/>
        <v>stacjonarny</v>
      </c>
      <c r="C1471" s="1">
        <v>42937</v>
      </c>
      <c r="D1471" s="2">
        <v>0.49327546296296299</v>
      </c>
      <c r="E1471" s="2">
        <v>0.50351851851851848</v>
      </c>
    </row>
    <row r="1472" spans="1:5" x14ac:dyDescent="0.25">
      <c r="A1472">
        <v>8079505</v>
      </c>
      <c r="B1472" t="str">
        <f t="shared" si="22"/>
        <v>stacjonarny</v>
      </c>
      <c r="C1472" s="1">
        <v>42937</v>
      </c>
      <c r="D1472" s="2">
        <v>0.49811342592592595</v>
      </c>
      <c r="E1472" s="2">
        <v>0.5065277777777778</v>
      </c>
    </row>
    <row r="1473" spans="1:5" x14ac:dyDescent="0.25">
      <c r="A1473">
        <v>4661635</v>
      </c>
      <c r="B1473" t="str">
        <f t="shared" si="22"/>
        <v>stacjonarny</v>
      </c>
      <c r="C1473" s="1">
        <v>42937</v>
      </c>
      <c r="D1473" s="2">
        <v>0.50016203703703699</v>
      </c>
      <c r="E1473" s="2">
        <v>0.50506944444444446</v>
      </c>
    </row>
    <row r="1474" spans="1:5" x14ac:dyDescent="0.25">
      <c r="A1474">
        <v>4497624</v>
      </c>
      <c r="B1474" t="str">
        <f t="shared" si="22"/>
        <v>stacjonarny</v>
      </c>
      <c r="C1474" s="1">
        <v>42937</v>
      </c>
      <c r="D1474" s="2">
        <v>0.50284722222222222</v>
      </c>
      <c r="E1474" s="2">
        <v>0.51432870370370365</v>
      </c>
    </row>
    <row r="1475" spans="1:5" x14ac:dyDescent="0.25">
      <c r="A1475">
        <v>52468382</v>
      </c>
      <c r="B1475" t="str">
        <f t="shared" ref="B1475:B1538" si="23">IF(LEN(A1475)=7, "stacjonarny", IF(LEN(A1475)=8, "komorkowy", "zagraniczny"))</f>
        <v>komorkowy</v>
      </c>
      <c r="C1475" s="1">
        <v>42937</v>
      </c>
      <c r="D1475" s="2">
        <v>0.50840277777777776</v>
      </c>
      <c r="E1475" s="2">
        <v>0.50968749999999996</v>
      </c>
    </row>
    <row r="1476" spans="1:5" x14ac:dyDescent="0.25">
      <c r="A1476">
        <v>5687077</v>
      </c>
      <c r="B1476" t="str">
        <f t="shared" si="23"/>
        <v>stacjonarny</v>
      </c>
      <c r="C1476" s="1">
        <v>42937</v>
      </c>
      <c r="D1476" s="2">
        <v>0.51200231481481484</v>
      </c>
      <c r="E1476" s="2">
        <v>0.52253472222222219</v>
      </c>
    </row>
    <row r="1477" spans="1:5" x14ac:dyDescent="0.25">
      <c r="A1477">
        <v>3914070</v>
      </c>
      <c r="B1477" t="str">
        <f t="shared" si="23"/>
        <v>stacjonarny</v>
      </c>
      <c r="C1477" s="1">
        <v>42937</v>
      </c>
      <c r="D1477" s="2">
        <v>0.51249999999999996</v>
      </c>
      <c r="E1477" s="2">
        <v>0.51405092592592594</v>
      </c>
    </row>
    <row r="1478" spans="1:5" x14ac:dyDescent="0.25">
      <c r="A1478">
        <v>84684423</v>
      </c>
      <c r="B1478" t="str">
        <f t="shared" si="23"/>
        <v>komorkowy</v>
      </c>
      <c r="C1478" s="1">
        <v>42937</v>
      </c>
      <c r="D1478" s="2">
        <v>0.51520833333333338</v>
      </c>
      <c r="E1478" s="2">
        <v>0.51918981481481485</v>
      </c>
    </row>
    <row r="1479" spans="1:5" x14ac:dyDescent="0.25">
      <c r="A1479">
        <v>6493406</v>
      </c>
      <c r="B1479" t="str">
        <f t="shared" si="23"/>
        <v>stacjonarny</v>
      </c>
      <c r="C1479" s="1">
        <v>42937</v>
      </c>
      <c r="D1479" s="2">
        <v>0.51936342592592588</v>
      </c>
      <c r="E1479" s="2">
        <v>0.52559027777777778</v>
      </c>
    </row>
    <row r="1480" spans="1:5" x14ac:dyDescent="0.25">
      <c r="A1480">
        <v>1563816</v>
      </c>
      <c r="B1480" t="str">
        <f t="shared" si="23"/>
        <v>stacjonarny</v>
      </c>
      <c r="C1480" s="1">
        <v>42937</v>
      </c>
      <c r="D1480" s="2">
        <v>0.52243055555555551</v>
      </c>
      <c r="E1480" s="2">
        <v>0.52681712962962968</v>
      </c>
    </row>
    <row r="1481" spans="1:5" x14ac:dyDescent="0.25">
      <c r="A1481">
        <v>7779935</v>
      </c>
      <c r="B1481" t="str">
        <f t="shared" si="23"/>
        <v>stacjonarny</v>
      </c>
      <c r="C1481" s="1">
        <v>42937</v>
      </c>
      <c r="D1481" s="2">
        <v>0.52469907407407412</v>
      </c>
      <c r="E1481" s="2">
        <v>0.53218750000000004</v>
      </c>
    </row>
    <row r="1482" spans="1:5" x14ac:dyDescent="0.25">
      <c r="A1482">
        <v>4429479</v>
      </c>
      <c r="B1482" t="str">
        <f t="shared" si="23"/>
        <v>stacjonarny</v>
      </c>
      <c r="C1482" s="1">
        <v>42937</v>
      </c>
      <c r="D1482" s="2">
        <v>0.52749999999999997</v>
      </c>
      <c r="E1482" s="2">
        <v>0.53034722222222219</v>
      </c>
    </row>
    <row r="1483" spans="1:5" x14ac:dyDescent="0.25">
      <c r="A1483">
        <v>2963652</v>
      </c>
      <c r="B1483" t="str">
        <f t="shared" si="23"/>
        <v>stacjonarny</v>
      </c>
      <c r="C1483" s="1">
        <v>42937</v>
      </c>
      <c r="D1483" s="2">
        <v>0.53240740740740744</v>
      </c>
      <c r="E1483" s="2">
        <v>0.53785879629629629</v>
      </c>
    </row>
    <row r="1484" spans="1:5" x14ac:dyDescent="0.25">
      <c r="A1484">
        <v>91032395</v>
      </c>
      <c r="B1484" t="str">
        <f t="shared" si="23"/>
        <v>komorkowy</v>
      </c>
      <c r="C1484" s="1">
        <v>42937</v>
      </c>
      <c r="D1484" s="2">
        <v>0.53811342592592593</v>
      </c>
      <c r="E1484" s="2">
        <v>0.54365740740740742</v>
      </c>
    </row>
    <row r="1485" spans="1:5" x14ac:dyDescent="0.25">
      <c r="A1485">
        <v>6999348</v>
      </c>
      <c r="B1485" t="str">
        <f t="shared" si="23"/>
        <v>stacjonarny</v>
      </c>
      <c r="C1485" s="1">
        <v>42937</v>
      </c>
      <c r="D1485" s="2">
        <v>0.53831018518518514</v>
      </c>
      <c r="E1485" s="2">
        <v>0.53998842592592589</v>
      </c>
    </row>
    <row r="1486" spans="1:5" x14ac:dyDescent="0.25">
      <c r="A1486">
        <v>4424322</v>
      </c>
      <c r="B1486" t="str">
        <f t="shared" si="23"/>
        <v>stacjonarny</v>
      </c>
      <c r="C1486" s="1">
        <v>42937</v>
      </c>
      <c r="D1486" s="2">
        <v>0.54233796296296299</v>
      </c>
      <c r="E1486" s="2">
        <v>0.55148148148148146</v>
      </c>
    </row>
    <row r="1487" spans="1:5" x14ac:dyDescent="0.25">
      <c r="A1487">
        <v>9500083</v>
      </c>
      <c r="B1487" t="str">
        <f t="shared" si="23"/>
        <v>stacjonarny</v>
      </c>
      <c r="C1487" s="1">
        <v>42937</v>
      </c>
      <c r="D1487" s="2">
        <v>0.54631944444444447</v>
      </c>
      <c r="E1487" s="2">
        <v>0.55652777777777773</v>
      </c>
    </row>
    <row r="1488" spans="1:5" x14ac:dyDescent="0.25">
      <c r="A1488">
        <v>2912297</v>
      </c>
      <c r="B1488" t="str">
        <f t="shared" si="23"/>
        <v>stacjonarny</v>
      </c>
      <c r="C1488" s="1">
        <v>42937</v>
      </c>
      <c r="D1488" s="2">
        <v>0.54761574074074071</v>
      </c>
      <c r="E1488" s="2">
        <v>0.55443287037037037</v>
      </c>
    </row>
    <row r="1489" spans="1:5" x14ac:dyDescent="0.25">
      <c r="A1489">
        <v>4303945</v>
      </c>
      <c r="B1489" t="str">
        <f t="shared" si="23"/>
        <v>stacjonarny</v>
      </c>
      <c r="C1489" s="1">
        <v>42937</v>
      </c>
      <c r="D1489" s="2">
        <v>0.54953703703703705</v>
      </c>
      <c r="E1489" s="2">
        <v>0.55783564814814812</v>
      </c>
    </row>
    <row r="1490" spans="1:5" x14ac:dyDescent="0.25">
      <c r="A1490">
        <v>3264546470</v>
      </c>
      <c r="B1490" t="str">
        <f t="shared" si="23"/>
        <v>zagraniczny</v>
      </c>
      <c r="C1490" s="1">
        <v>42937</v>
      </c>
      <c r="D1490" s="2">
        <v>0.55311342592592594</v>
      </c>
      <c r="E1490" s="2">
        <v>0.55469907407407404</v>
      </c>
    </row>
    <row r="1491" spans="1:5" x14ac:dyDescent="0.25">
      <c r="A1491">
        <v>7275091</v>
      </c>
      <c r="B1491" t="str">
        <f t="shared" si="23"/>
        <v>stacjonarny</v>
      </c>
      <c r="C1491" s="1">
        <v>42937</v>
      </c>
      <c r="D1491" s="2">
        <v>0.55652777777777773</v>
      </c>
      <c r="E1491" s="2">
        <v>0.56657407407407412</v>
      </c>
    </row>
    <row r="1492" spans="1:5" x14ac:dyDescent="0.25">
      <c r="A1492">
        <v>9021766</v>
      </c>
      <c r="B1492" t="str">
        <f t="shared" si="23"/>
        <v>stacjonarny</v>
      </c>
      <c r="C1492" s="1">
        <v>42937</v>
      </c>
      <c r="D1492" s="2">
        <v>0.5575</v>
      </c>
      <c r="E1492" s="2">
        <v>0.56418981481481478</v>
      </c>
    </row>
    <row r="1493" spans="1:5" x14ac:dyDescent="0.25">
      <c r="A1493">
        <v>1500342</v>
      </c>
      <c r="B1493" t="str">
        <f t="shared" si="23"/>
        <v>stacjonarny</v>
      </c>
      <c r="C1493" s="1">
        <v>42937</v>
      </c>
      <c r="D1493" s="2">
        <v>0.56297453703703704</v>
      </c>
      <c r="E1493" s="2">
        <v>0.56752314814814819</v>
      </c>
    </row>
    <row r="1494" spans="1:5" x14ac:dyDescent="0.25">
      <c r="A1494">
        <v>7295667</v>
      </c>
      <c r="B1494" t="str">
        <f t="shared" si="23"/>
        <v>stacjonarny</v>
      </c>
      <c r="C1494" s="1">
        <v>42937</v>
      </c>
      <c r="D1494" s="2">
        <v>0.56578703703703703</v>
      </c>
      <c r="E1494" s="2">
        <v>0.57518518518518513</v>
      </c>
    </row>
    <row r="1495" spans="1:5" x14ac:dyDescent="0.25">
      <c r="A1495">
        <v>5512237</v>
      </c>
      <c r="B1495" t="str">
        <f t="shared" si="23"/>
        <v>stacjonarny</v>
      </c>
      <c r="C1495" s="1">
        <v>42937</v>
      </c>
      <c r="D1495" s="2">
        <v>0.5713773148148148</v>
      </c>
      <c r="E1495" s="2">
        <v>0.58107638888888891</v>
      </c>
    </row>
    <row r="1496" spans="1:5" x14ac:dyDescent="0.25">
      <c r="A1496">
        <v>22266436</v>
      </c>
      <c r="B1496" t="str">
        <f t="shared" si="23"/>
        <v>komorkowy</v>
      </c>
      <c r="C1496" s="1">
        <v>42937</v>
      </c>
      <c r="D1496" s="2">
        <v>0.57549768518518518</v>
      </c>
      <c r="E1496" s="2">
        <v>0.57925925925925925</v>
      </c>
    </row>
    <row r="1497" spans="1:5" x14ac:dyDescent="0.25">
      <c r="A1497">
        <v>60885211</v>
      </c>
      <c r="B1497" t="str">
        <f t="shared" si="23"/>
        <v>komorkowy</v>
      </c>
      <c r="C1497" s="1">
        <v>42937</v>
      </c>
      <c r="D1497" s="2">
        <v>0.57828703703703699</v>
      </c>
      <c r="E1497" s="2">
        <v>0.58940972222222221</v>
      </c>
    </row>
    <row r="1498" spans="1:5" x14ac:dyDescent="0.25">
      <c r="A1498">
        <v>4379415</v>
      </c>
      <c r="B1498" t="str">
        <f t="shared" si="23"/>
        <v>stacjonarny</v>
      </c>
      <c r="C1498" s="1">
        <v>42937</v>
      </c>
      <c r="D1498" s="2">
        <v>0.57983796296296297</v>
      </c>
      <c r="E1498" s="2">
        <v>0.58756944444444448</v>
      </c>
    </row>
    <row r="1499" spans="1:5" x14ac:dyDescent="0.25">
      <c r="A1499">
        <v>22747425</v>
      </c>
      <c r="B1499" t="str">
        <f t="shared" si="23"/>
        <v>komorkowy</v>
      </c>
      <c r="C1499" s="1">
        <v>42937</v>
      </c>
      <c r="D1499" s="2">
        <v>0.58520833333333333</v>
      </c>
      <c r="E1499" s="2">
        <v>0.59646990740740746</v>
      </c>
    </row>
    <row r="1500" spans="1:5" x14ac:dyDescent="0.25">
      <c r="A1500">
        <v>3858766</v>
      </c>
      <c r="B1500" t="str">
        <f t="shared" si="23"/>
        <v>stacjonarny</v>
      </c>
      <c r="C1500" s="1">
        <v>42937</v>
      </c>
      <c r="D1500" s="2">
        <v>0.59026620370370375</v>
      </c>
      <c r="E1500" s="2">
        <v>0.59652777777777777</v>
      </c>
    </row>
    <row r="1501" spans="1:5" x14ac:dyDescent="0.25">
      <c r="A1501">
        <v>6231537</v>
      </c>
      <c r="B1501" t="str">
        <f t="shared" si="23"/>
        <v>stacjonarny</v>
      </c>
      <c r="C1501" s="1">
        <v>42937</v>
      </c>
      <c r="D1501" s="2">
        <v>0.59401620370370367</v>
      </c>
      <c r="E1501" s="2">
        <v>0.60012731481481485</v>
      </c>
    </row>
    <row r="1502" spans="1:5" x14ac:dyDescent="0.25">
      <c r="A1502">
        <v>1296262</v>
      </c>
      <c r="B1502" t="str">
        <f t="shared" si="23"/>
        <v>stacjonarny</v>
      </c>
      <c r="C1502" s="1">
        <v>42937</v>
      </c>
      <c r="D1502" s="2">
        <v>0.59712962962962968</v>
      </c>
      <c r="E1502" s="2">
        <v>0.6026273148148148</v>
      </c>
    </row>
    <row r="1503" spans="1:5" x14ac:dyDescent="0.25">
      <c r="A1503">
        <v>6175467</v>
      </c>
      <c r="B1503" t="str">
        <f t="shared" si="23"/>
        <v>stacjonarny</v>
      </c>
      <c r="C1503" s="1">
        <v>42937</v>
      </c>
      <c r="D1503" s="2">
        <v>0.60185185185185186</v>
      </c>
      <c r="E1503" s="2">
        <v>0.61021990740740739</v>
      </c>
    </row>
    <row r="1504" spans="1:5" x14ac:dyDescent="0.25">
      <c r="A1504">
        <v>6434255</v>
      </c>
      <c r="B1504" t="str">
        <f t="shared" si="23"/>
        <v>stacjonarny</v>
      </c>
      <c r="C1504" s="1">
        <v>42937</v>
      </c>
      <c r="D1504" s="2">
        <v>0.60196759259259258</v>
      </c>
      <c r="E1504" s="2">
        <v>0.60356481481481483</v>
      </c>
    </row>
    <row r="1505" spans="1:5" x14ac:dyDescent="0.25">
      <c r="A1505">
        <v>2723614</v>
      </c>
      <c r="B1505" t="str">
        <f t="shared" si="23"/>
        <v>stacjonarny</v>
      </c>
      <c r="C1505" s="1">
        <v>42937</v>
      </c>
      <c r="D1505" s="2">
        <v>0.60465277777777782</v>
      </c>
      <c r="E1505" s="2">
        <v>0.60886574074074074</v>
      </c>
    </row>
    <row r="1506" spans="1:5" x14ac:dyDescent="0.25">
      <c r="A1506">
        <v>92326393</v>
      </c>
      <c r="B1506" t="str">
        <f t="shared" si="23"/>
        <v>komorkowy</v>
      </c>
      <c r="C1506" s="1">
        <v>42937</v>
      </c>
      <c r="D1506" s="2">
        <v>0.60782407407407413</v>
      </c>
      <c r="E1506" s="2">
        <v>0.61331018518518521</v>
      </c>
    </row>
    <row r="1507" spans="1:5" x14ac:dyDescent="0.25">
      <c r="A1507">
        <v>5039266</v>
      </c>
      <c r="B1507" t="str">
        <f t="shared" si="23"/>
        <v>stacjonarny</v>
      </c>
      <c r="C1507" s="1">
        <v>42937</v>
      </c>
      <c r="D1507" s="2">
        <v>0.6121875</v>
      </c>
      <c r="E1507" s="2">
        <v>0.6181712962962963</v>
      </c>
    </row>
    <row r="1508" spans="1:5" x14ac:dyDescent="0.25">
      <c r="A1508">
        <v>3861280</v>
      </c>
      <c r="B1508" t="str">
        <f t="shared" si="23"/>
        <v>stacjonarny</v>
      </c>
      <c r="C1508" s="1">
        <v>42937</v>
      </c>
      <c r="D1508" s="2">
        <v>0.6147569444444444</v>
      </c>
      <c r="E1508" s="2">
        <v>0.62420138888888888</v>
      </c>
    </row>
    <row r="1509" spans="1:5" x14ac:dyDescent="0.25">
      <c r="A1509">
        <v>3982833</v>
      </c>
      <c r="B1509" t="str">
        <f t="shared" si="23"/>
        <v>stacjonarny</v>
      </c>
      <c r="C1509" s="1">
        <v>42937</v>
      </c>
      <c r="D1509" s="2">
        <v>0.61690972222222218</v>
      </c>
      <c r="E1509" s="2">
        <v>0.62290509259259264</v>
      </c>
    </row>
    <row r="1510" spans="1:5" x14ac:dyDescent="0.25">
      <c r="A1510">
        <v>5835972</v>
      </c>
      <c r="B1510" t="str">
        <f t="shared" si="23"/>
        <v>stacjonarny</v>
      </c>
      <c r="C1510" s="1">
        <v>42937</v>
      </c>
      <c r="D1510" s="2">
        <v>0.6206828703703704</v>
      </c>
      <c r="E1510" s="2">
        <v>0.62291666666666667</v>
      </c>
    </row>
    <row r="1511" spans="1:5" x14ac:dyDescent="0.25">
      <c r="A1511">
        <v>98382147</v>
      </c>
      <c r="B1511" t="str">
        <f t="shared" si="23"/>
        <v>komorkowy</v>
      </c>
      <c r="C1511" s="1">
        <v>42937</v>
      </c>
      <c r="D1511" s="2">
        <v>0.62484953703703705</v>
      </c>
      <c r="E1511" s="2">
        <v>0.62848379629629625</v>
      </c>
    </row>
    <row r="1512" spans="1:5" x14ac:dyDescent="0.25">
      <c r="A1512">
        <v>9427353</v>
      </c>
      <c r="B1512" t="str">
        <f t="shared" si="23"/>
        <v>stacjonarny</v>
      </c>
      <c r="C1512" s="1">
        <v>42937</v>
      </c>
      <c r="D1512" s="2">
        <v>0.62612268518518521</v>
      </c>
      <c r="E1512" s="2">
        <v>0.62835648148148149</v>
      </c>
    </row>
    <row r="1513" spans="1:5" x14ac:dyDescent="0.25">
      <c r="A1513">
        <v>11274735</v>
      </c>
      <c r="B1513" t="str">
        <f t="shared" si="23"/>
        <v>komorkowy</v>
      </c>
      <c r="C1513" s="1">
        <v>42940</v>
      </c>
      <c r="D1513" s="2">
        <v>0.33624999999999999</v>
      </c>
      <c r="E1513" s="2">
        <v>0.34670138888888891</v>
      </c>
    </row>
    <row r="1514" spans="1:5" x14ac:dyDescent="0.25">
      <c r="A1514">
        <v>9727873</v>
      </c>
      <c r="B1514" t="str">
        <f t="shared" si="23"/>
        <v>stacjonarny</v>
      </c>
      <c r="C1514" s="1">
        <v>42940</v>
      </c>
      <c r="D1514" s="2">
        <v>0.33728009259259262</v>
      </c>
      <c r="E1514" s="2">
        <v>0.34291666666666665</v>
      </c>
    </row>
    <row r="1515" spans="1:5" x14ac:dyDescent="0.25">
      <c r="A1515">
        <v>4804872</v>
      </c>
      <c r="B1515" t="str">
        <f t="shared" si="23"/>
        <v>stacjonarny</v>
      </c>
      <c r="C1515" s="1">
        <v>42940</v>
      </c>
      <c r="D1515" s="2">
        <v>0.3402662037037037</v>
      </c>
      <c r="E1515" s="2">
        <v>0.34250000000000003</v>
      </c>
    </row>
    <row r="1516" spans="1:5" x14ac:dyDescent="0.25">
      <c r="A1516">
        <v>22583033</v>
      </c>
      <c r="B1516" t="str">
        <f t="shared" si="23"/>
        <v>komorkowy</v>
      </c>
      <c r="C1516" s="1">
        <v>42940</v>
      </c>
      <c r="D1516" s="2">
        <v>0.34495370370370371</v>
      </c>
      <c r="E1516" s="2">
        <v>0.3467824074074074</v>
      </c>
    </row>
    <row r="1517" spans="1:5" x14ac:dyDescent="0.25">
      <c r="A1517">
        <v>4056070</v>
      </c>
      <c r="B1517" t="str">
        <f t="shared" si="23"/>
        <v>stacjonarny</v>
      </c>
      <c r="C1517" s="1">
        <v>42940</v>
      </c>
      <c r="D1517" s="2">
        <v>0.3480787037037037</v>
      </c>
      <c r="E1517" s="2">
        <v>0.35413194444444446</v>
      </c>
    </row>
    <row r="1518" spans="1:5" x14ac:dyDescent="0.25">
      <c r="A1518">
        <v>2701816</v>
      </c>
      <c r="B1518" t="str">
        <f t="shared" si="23"/>
        <v>stacjonarny</v>
      </c>
      <c r="C1518" s="1">
        <v>42940</v>
      </c>
      <c r="D1518" s="2">
        <v>0.34879629629629627</v>
      </c>
      <c r="E1518" s="2">
        <v>0.35699074074074072</v>
      </c>
    </row>
    <row r="1519" spans="1:5" x14ac:dyDescent="0.25">
      <c r="A1519">
        <v>20735440</v>
      </c>
      <c r="B1519" t="str">
        <f t="shared" si="23"/>
        <v>komorkowy</v>
      </c>
      <c r="C1519" s="1">
        <v>42940</v>
      </c>
      <c r="D1519" s="2">
        <v>0.35041666666666665</v>
      </c>
      <c r="E1519" s="2">
        <v>0.35834490740740743</v>
      </c>
    </row>
    <row r="1520" spans="1:5" x14ac:dyDescent="0.25">
      <c r="A1520">
        <v>9076015</v>
      </c>
      <c r="B1520" t="str">
        <f t="shared" si="23"/>
        <v>stacjonarny</v>
      </c>
      <c r="C1520" s="1">
        <v>42940</v>
      </c>
      <c r="D1520" s="2">
        <v>0.35129629629629627</v>
      </c>
      <c r="E1520" s="2">
        <v>0.35626157407407405</v>
      </c>
    </row>
    <row r="1521" spans="1:5" x14ac:dyDescent="0.25">
      <c r="A1521">
        <v>11070759</v>
      </c>
      <c r="B1521" t="str">
        <f t="shared" si="23"/>
        <v>komorkowy</v>
      </c>
      <c r="C1521" s="1">
        <v>42940</v>
      </c>
      <c r="D1521" s="2">
        <v>0.35653935185185187</v>
      </c>
      <c r="E1521" s="2">
        <v>0.35864583333333333</v>
      </c>
    </row>
    <row r="1522" spans="1:5" x14ac:dyDescent="0.25">
      <c r="A1522">
        <v>22176115</v>
      </c>
      <c r="B1522" t="str">
        <f t="shared" si="23"/>
        <v>komorkowy</v>
      </c>
      <c r="C1522" s="1">
        <v>42940</v>
      </c>
      <c r="D1522" s="2">
        <v>0.35991898148148149</v>
      </c>
      <c r="E1522" s="2">
        <v>0.36880787037037038</v>
      </c>
    </row>
    <row r="1523" spans="1:5" x14ac:dyDescent="0.25">
      <c r="A1523">
        <v>7456918</v>
      </c>
      <c r="B1523" t="str">
        <f t="shared" si="23"/>
        <v>stacjonarny</v>
      </c>
      <c r="C1523" s="1">
        <v>42940</v>
      </c>
      <c r="D1523" s="2">
        <v>0.36061342592592593</v>
      </c>
      <c r="E1523" s="2">
        <v>0.36667824074074074</v>
      </c>
    </row>
    <row r="1524" spans="1:5" x14ac:dyDescent="0.25">
      <c r="A1524">
        <v>6896787</v>
      </c>
      <c r="B1524" t="str">
        <f t="shared" si="23"/>
        <v>stacjonarny</v>
      </c>
      <c r="C1524" s="1">
        <v>42940</v>
      </c>
      <c r="D1524" s="2">
        <v>0.36243055555555553</v>
      </c>
      <c r="E1524" s="2">
        <v>0.36993055555555554</v>
      </c>
    </row>
    <row r="1525" spans="1:5" x14ac:dyDescent="0.25">
      <c r="A1525">
        <v>6561564994</v>
      </c>
      <c r="B1525" t="str">
        <f t="shared" si="23"/>
        <v>zagraniczny</v>
      </c>
      <c r="C1525" s="1">
        <v>42940</v>
      </c>
      <c r="D1525" s="2">
        <v>0.36334490740740738</v>
      </c>
      <c r="E1525" s="2">
        <v>0.3696875</v>
      </c>
    </row>
    <row r="1526" spans="1:5" x14ac:dyDescent="0.25">
      <c r="A1526">
        <v>8414788</v>
      </c>
      <c r="B1526" t="str">
        <f t="shared" si="23"/>
        <v>stacjonarny</v>
      </c>
      <c r="C1526" s="1">
        <v>42940</v>
      </c>
      <c r="D1526" s="2">
        <v>0.36887731481481484</v>
      </c>
      <c r="E1526" s="2">
        <v>0.37443287037037037</v>
      </c>
    </row>
    <row r="1527" spans="1:5" x14ac:dyDescent="0.25">
      <c r="A1527">
        <v>7896629</v>
      </c>
      <c r="B1527" t="str">
        <f t="shared" si="23"/>
        <v>stacjonarny</v>
      </c>
      <c r="C1527" s="1">
        <v>42940</v>
      </c>
      <c r="D1527" s="2">
        <v>0.37025462962962963</v>
      </c>
      <c r="E1527" s="2">
        <v>0.3785648148148148</v>
      </c>
    </row>
    <row r="1528" spans="1:5" x14ac:dyDescent="0.25">
      <c r="A1528">
        <v>5970183</v>
      </c>
      <c r="B1528" t="str">
        <f t="shared" si="23"/>
        <v>stacjonarny</v>
      </c>
      <c r="C1528" s="1">
        <v>42940</v>
      </c>
      <c r="D1528" s="2">
        <v>0.37150462962962966</v>
      </c>
      <c r="E1528" s="2">
        <v>0.37246527777777777</v>
      </c>
    </row>
    <row r="1529" spans="1:5" x14ac:dyDescent="0.25">
      <c r="A1529">
        <v>57891628</v>
      </c>
      <c r="B1529" t="str">
        <f t="shared" si="23"/>
        <v>komorkowy</v>
      </c>
      <c r="C1529" s="1">
        <v>42940</v>
      </c>
      <c r="D1529" s="2">
        <v>0.37296296296296294</v>
      </c>
      <c r="E1529" s="2">
        <v>0.38413194444444443</v>
      </c>
    </row>
    <row r="1530" spans="1:5" x14ac:dyDescent="0.25">
      <c r="A1530">
        <v>53378457</v>
      </c>
      <c r="B1530" t="str">
        <f t="shared" si="23"/>
        <v>komorkowy</v>
      </c>
      <c r="C1530" s="1">
        <v>42940</v>
      </c>
      <c r="D1530" s="2">
        <v>0.3777314814814815</v>
      </c>
      <c r="E1530" s="2">
        <v>0.38680555555555557</v>
      </c>
    </row>
    <row r="1531" spans="1:5" x14ac:dyDescent="0.25">
      <c r="A1531">
        <v>88666908</v>
      </c>
      <c r="B1531" t="str">
        <f t="shared" si="23"/>
        <v>komorkowy</v>
      </c>
      <c r="C1531" s="1">
        <v>42940</v>
      </c>
      <c r="D1531" s="2">
        <v>0.37983796296296296</v>
      </c>
      <c r="E1531" s="2">
        <v>0.38929398148148148</v>
      </c>
    </row>
    <row r="1532" spans="1:5" x14ac:dyDescent="0.25">
      <c r="A1532">
        <v>9279730</v>
      </c>
      <c r="B1532" t="str">
        <f t="shared" si="23"/>
        <v>stacjonarny</v>
      </c>
      <c r="C1532" s="1">
        <v>42940</v>
      </c>
      <c r="D1532" s="2">
        <v>0.38046296296296295</v>
      </c>
      <c r="E1532" s="2">
        <v>0.38836805555555554</v>
      </c>
    </row>
    <row r="1533" spans="1:5" x14ac:dyDescent="0.25">
      <c r="A1533">
        <v>2928766</v>
      </c>
      <c r="B1533" t="str">
        <f t="shared" si="23"/>
        <v>stacjonarny</v>
      </c>
      <c r="C1533" s="1">
        <v>42940</v>
      </c>
      <c r="D1533" s="2">
        <v>0.38156250000000003</v>
      </c>
      <c r="E1533" s="2">
        <v>0.3893402777777778</v>
      </c>
    </row>
    <row r="1534" spans="1:5" x14ac:dyDescent="0.25">
      <c r="A1534">
        <v>4334364</v>
      </c>
      <c r="B1534" t="str">
        <f t="shared" si="23"/>
        <v>stacjonarny</v>
      </c>
      <c r="C1534" s="1">
        <v>42940</v>
      </c>
      <c r="D1534" s="2">
        <v>0.3837962962962963</v>
      </c>
      <c r="E1534" s="2">
        <v>0.39385416666666667</v>
      </c>
    </row>
    <row r="1535" spans="1:5" x14ac:dyDescent="0.25">
      <c r="A1535">
        <v>8405292</v>
      </c>
      <c r="B1535" t="str">
        <f t="shared" si="23"/>
        <v>stacjonarny</v>
      </c>
      <c r="C1535" s="1">
        <v>42940</v>
      </c>
      <c r="D1535" s="2">
        <v>0.38635416666666667</v>
      </c>
      <c r="E1535" s="2">
        <v>0.39378472222222222</v>
      </c>
    </row>
    <row r="1536" spans="1:5" x14ac:dyDescent="0.25">
      <c r="A1536">
        <v>9870841</v>
      </c>
      <c r="B1536" t="str">
        <f t="shared" si="23"/>
        <v>stacjonarny</v>
      </c>
      <c r="C1536" s="1">
        <v>42940</v>
      </c>
      <c r="D1536" s="2">
        <v>0.39209490740740743</v>
      </c>
      <c r="E1536" s="2">
        <v>0.39672453703703703</v>
      </c>
    </row>
    <row r="1537" spans="1:5" x14ac:dyDescent="0.25">
      <c r="A1537">
        <v>9722484</v>
      </c>
      <c r="B1537" t="str">
        <f t="shared" si="23"/>
        <v>stacjonarny</v>
      </c>
      <c r="C1537" s="1">
        <v>42940</v>
      </c>
      <c r="D1537" s="2">
        <v>0.39383101851851854</v>
      </c>
      <c r="E1537" s="2">
        <v>0.39630787037037035</v>
      </c>
    </row>
    <row r="1538" spans="1:5" x14ac:dyDescent="0.25">
      <c r="A1538">
        <v>1159432</v>
      </c>
      <c r="B1538" t="str">
        <f t="shared" si="23"/>
        <v>stacjonarny</v>
      </c>
      <c r="C1538" s="1">
        <v>42940</v>
      </c>
      <c r="D1538" s="2">
        <v>0.39391203703703703</v>
      </c>
      <c r="E1538" s="2">
        <v>0.39478009259259261</v>
      </c>
    </row>
    <row r="1539" spans="1:5" x14ac:dyDescent="0.25">
      <c r="A1539">
        <v>25194612</v>
      </c>
      <c r="B1539" t="str">
        <f t="shared" ref="B1539:B1602" si="24">IF(LEN(A1539)=7, "stacjonarny", IF(LEN(A1539)=8, "komorkowy", "zagraniczny"))</f>
        <v>komorkowy</v>
      </c>
      <c r="C1539" s="1">
        <v>42940</v>
      </c>
      <c r="D1539" s="2">
        <v>0.39516203703703706</v>
      </c>
      <c r="E1539" s="2">
        <v>0.4057986111111111</v>
      </c>
    </row>
    <row r="1540" spans="1:5" x14ac:dyDescent="0.25">
      <c r="A1540">
        <v>1117628</v>
      </c>
      <c r="B1540" t="str">
        <f t="shared" si="24"/>
        <v>stacjonarny</v>
      </c>
      <c r="C1540" s="1">
        <v>42940</v>
      </c>
      <c r="D1540" s="2">
        <v>0.39614583333333331</v>
      </c>
      <c r="E1540" s="2">
        <v>0.39976851851851852</v>
      </c>
    </row>
    <row r="1541" spans="1:5" x14ac:dyDescent="0.25">
      <c r="A1541">
        <v>3624713</v>
      </c>
      <c r="B1541" t="str">
        <f t="shared" si="24"/>
        <v>stacjonarny</v>
      </c>
      <c r="C1541" s="1">
        <v>42940</v>
      </c>
      <c r="D1541" s="2">
        <v>0.39864583333333331</v>
      </c>
      <c r="E1541" s="2">
        <v>0.40440972222222221</v>
      </c>
    </row>
    <row r="1542" spans="1:5" x14ac:dyDescent="0.25">
      <c r="A1542">
        <v>5616210</v>
      </c>
      <c r="B1542" t="str">
        <f t="shared" si="24"/>
        <v>stacjonarny</v>
      </c>
      <c r="C1542" s="1">
        <v>42940</v>
      </c>
      <c r="D1542" s="2">
        <v>0.39956018518518521</v>
      </c>
      <c r="E1542" s="2">
        <v>0.40803240740740743</v>
      </c>
    </row>
    <row r="1543" spans="1:5" x14ac:dyDescent="0.25">
      <c r="A1543">
        <v>6772052</v>
      </c>
      <c r="B1543" t="str">
        <f t="shared" si="24"/>
        <v>stacjonarny</v>
      </c>
      <c r="C1543" s="1">
        <v>42940</v>
      </c>
      <c r="D1543" s="2">
        <v>0.40263888888888888</v>
      </c>
      <c r="E1543" s="2">
        <v>0.40825231481481483</v>
      </c>
    </row>
    <row r="1544" spans="1:5" x14ac:dyDescent="0.25">
      <c r="A1544">
        <v>3305212</v>
      </c>
      <c r="B1544" t="str">
        <f t="shared" si="24"/>
        <v>stacjonarny</v>
      </c>
      <c r="C1544" s="1">
        <v>42940</v>
      </c>
      <c r="D1544" s="2">
        <v>0.40641203703703704</v>
      </c>
      <c r="E1544" s="2">
        <v>0.41187499999999999</v>
      </c>
    </row>
    <row r="1545" spans="1:5" x14ac:dyDescent="0.25">
      <c r="A1545">
        <v>72701808</v>
      </c>
      <c r="B1545" t="str">
        <f t="shared" si="24"/>
        <v>komorkowy</v>
      </c>
      <c r="C1545" s="1">
        <v>42940</v>
      </c>
      <c r="D1545" s="2">
        <v>0.40930555555555553</v>
      </c>
      <c r="E1545" s="2">
        <v>0.41968749999999999</v>
      </c>
    </row>
    <row r="1546" spans="1:5" x14ac:dyDescent="0.25">
      <c r="A1546">
        <v>4285095</v>
      </c>
      <c r="B1546" t="str">
        <f t="shared" si="24"/>
        <v>stacjonarny</v>
      </c>
      <c r="C1546" s="1">
        <v>42940</v>
      </c>
      <c r="D1546" s="2">
        <v>0.41351851851851851</v>
      </c>
      <c r="E1546" s="2">
        <v>0.41790509259259262</v>
      </c>
    </row>
    <row r="1547" spans="1:5" x14ac:dyDescent="0.25">
      <c r="A1547">
        <v>2585298</v>
      </c>
      <c r="B1547" t="str">
        <f t="shared" si="24"/>
        <v>stacjonarny</v>
      </c>
      <c r="C1547" s="1">
        <v>42940</v>
      </c>
      <c r="D1547" s="2">
        <v>0.41853009259259261</v>
      </c>
      <c r="E1547" s="2">
        <v>0.42252314814814818</v>
      </c>
    </row>
    <row r="1548" spans="1:5" x14ac:dyDescent="0.25">
      <c r="A1548">
        <v>2947035</v>
      </c>
      <c r="B1548" t="str">
        <f t="shared" si="24"/>
        <v>stacjonarny</v>
      </c>
      <c r="C1548" s="1">
        <v>42940</v>
      </c>
      <c r="D1548" s="2">
        <v>0.42241898148148149</v>
      </c>
      <c r="E1548" s="2">
        <v>0.42863425925925924</v>
      </c>
    </row>
    <row r="1549" spans="1:5" x14ac:dyDescent="0.25">
      <c r="A1549">
        <v>6615729</v>
      </c>
      <c r="B1549" t="str">
        <f t="shared" si="24"/>
        <v>stacjonarny</v>
      </c>
      <c r="C1549" s="1">
        <v>42940</v>
      </c>
      <c r="D1549" s="2">
        <v>0.42561342592592594</v>
      </c>
      <c r="E1549" s="2">
        <v>0.42799768518518516</v>
      </c>
    </row>
    <row r="1550" spans="1:5" x14ac:dyDescent="0.25">
      <c r="A1550">
        <v>2135609</v>
      </c>
      <c r="B1550" t="str">
        <f t="shared" si="24"/>
        <v>stacjonarny</v>
      </c>
      <c r="C1550" s="1">
        <v>42940</v>
      </c>
      <c r="D1550" s="2">
        <v>0.42563657407407407</v>
      </c>
      <c r="E1550" s="2">
        <v>0.42670138888888887</v>
      </c>
    </row>
    <row r="1551" spans="1:5" x14ac:dyDescent="0.25">
      <c r="A1551">
        <v>2697566</v>
      </c>
      <c r="B1551" t="str">
        <f t="shared" si="24"/>
        <v>stacjonarny</v>
      </c>
      <c r="C1551" s="1">
        <v>42940</v>
      </c>
      <c r="D1551" s="2">
        <v>0.42951388888888886</v>
      </c>
      <c r="E1551" s="2">
        <v>0.44059027777777776</v>
      </c>
    </row>
    <row r="1552" spans="1:5" x14ac:dyDescent="0.25">
      <c r="A1552">
        <v>2569721</v>
      </c>
      <c r="B1552" t="str">
        <f t="shared" si="24"/>
        <v>stacjonarny</v>
      </c>
      <c r="C1552" s="1">
        <v>42940</v>
      </c>
      <c r="D1552" s="2">
        <v>0.43133101851851852</v>
      </c>
      <c r="E1552" s="2">
        <v>0.43762731481481482</v>
      </c>
    </row>
    <row r="1553" spans="1:5" x14ac:dyDescent="0.25">
      <c r="A1553">
        <v>96375379</v>
      </c>
      <c r="B1553" t="str">
        <f t="shared" si="24"/>
        <v>komorkowy</v>
      </c>
      <c r="C1553" s="1">
        <v>42940</v>
      </c>
      <c r="D1553" s="2">
        <v>0.43637731481481479</v>
      </c>
      <c r="E1553" s="2">
        <v>0.44526620370370368</v>
      </c>
    </row>
    <row r="1554" spans="1:5" x14ac:dyDescent="0.25">
      <c r="A1554">
        <v>3968528766</v>
      </c>
      <c r="B1554" t="str">
        <f t="shared" si="24"/>
        <v>zagraniczny</v>
      </c>
      <c r="C1554" s="1">
        <v>42940</v>
      </c>
      <c r="D1554" s="2">
        <v>0.44081018518518517</v>
      </c>
      <c r="E1554" s="2">
        <v>0.44767361111111109</v>
      </c>
    </row>
    <row r="1555" spans="1:5" x14ac:dyDescent="0.25">
      <c r="A1555">
        <v>8133585</v>
      </c>
      <c r="B1555" t="str">
        <f t="shared" si="24"/>
        <v>stacjonarny</v>
      </c>
      <c r="C1555" s="1">
        <v>42940</v>
      </c>
      <c r="D1555" s="2">
        <v>0.44185185185185183</v>
      </c>
      <c r="E1555" s="2">
        <v>0.44634259259259257</v>
      </c>
    </row>
    <row r="1556" spans="1:5" x14ac:dyDescent="0.25">
      <c r="A1556">
        <v>45232967</v>
      </c>
      <c r="B1556" t="str">
        <f t="shared" si="24"/>
        <v>komorkowy</v>
      </c>
      <c r="C1556" s="1">
        <v>42940</v>
      </c>
      <c r="D1556" s="2">
        <v>0.4462962962962963</v>
      </c>
      <c r="E1556" s="2">
        <v>0.44753472222222224</v>
      </c>
    </row>
    <row r="1557" spans="1:5" x14ac:dyDescent="0.25">
      <c r="A1557">
        <v>8900603</v>
      </c>
      <c r="B1557" t="str">
        <f t="shared" si="24"/>
        <v>stacjonarny</v>
      </c>
      <c r="C1557" s="1">
        <v>42940</v>
      </c>
      <c r="D1557" s="2">
        <v>0.44680555555555557</v>
      </c>
      <c r="E1557" s="2">
        <v>0.45518518518518519</v>
      </c>
    </row>
    <row r="1558" spans="1:5" x14ac:dyDescent="0.25">
      <c r="A1558">
        <v>9413315</v>
      </c>
      <c r="B1558" t="str">
        <f t="shared" si="24"/>
        <v>stacjonarny</v>
      </c>
      <c r="C1558" s="1">
        <v>42940</v>
      </c>
      <c r="D1558" s="2">
        <v>0.4490277777777778</v>
      </c>
      <c r="E1558" s="2">
        <v>0.45984953703703701</v>
      </c>
    </row>
    <row r="1559" spans="1:5" x14ac:dyDescent="0.25">
      <c r="A1559">
        <v>9781981</v>
      </c>
      <c r="B1559" t="str">
        <f t="shared" si="24"/>
        <v>stacjonarny</v>
      </c>
      <c r="C1559" s="1">
        <v>42940</v>
      </c>
      <c r="D1559" s="2">
        <v>0.45392361111111112</v>
      </c>
      <c r="E1559" s="2">
        <v>0.4582060185185185</v>
      </c>
    </row>
    <row r="1560" spans="1:5" x14ac:dyDescent="0.25">
      <c r="A1560">
        <v>9527543</v>
      </c>
      <c r="B1560" t="str">
        <f t="shared" si="24"/>
        <v>stacjonarny</v>
      </c>
      <c r="C1560" s="1">
        <v>42940</v>
      </c>
      <c r="D1560" s="2">
        <v>0.45481481481481484</v>
      </c>
      <c r="E1560" s="2">
        <v>0.45863425925925927</v>
      </c>
    </row>
    <row r="1561" spans="1:5" x14ac:dyDescent="0.25">
      <c r="A1561">
        <v>91626903</v>
      </c>
      <c r="B1561" t="str">
        <f t="shared" si="24"/>
        <v>komorkowy</v>
      </c>
      <c r="C1561" s="1">
        <v>42940</v>
      </c>
      <c r="D1561" s="2">
        <v>0.45930555555555558</v>
      </c>
      <c r="E1561" s="2">
        <v>0.46885416666666668</v>
      </c>
    </row>
    <row r="1562" spans="1:5" x14ac:dyDescent="0.25">
      <c r="A1562">
        <v>1475008</v>
      </c>
      <c r="B1562" t="str">
        <f t="shared" si="24"/>
        <v>stacjonarny</v>
      </c>
      <c r="C1562" s="1">
        <v>42940</v>
      </c>
      <c r="D1562" s="2">
        <v>0.46489583333333334</v>
      </c>
      <c r="E1562" s="2">
        <v>0.47530092592592593</v>
      </c>
    </row>
    <row r="1563" spans="1:5" x14ac:dyDescent="0.25">
      <c r="A1563">
        <v>4767842</v>
      </c>
      <c r="B1563" t="str">
        <f t="shared" si="24"/>
        <v>stacjonarny</v>
      </c>
      <c r="C1563" s="1">
        <v>42940</v>
      </c>
      <c r="D1563" s="2">
        <v>0.46971064814814817</v>
      </c>
      <c r="E1563" s="2">
        <v>0.47116898148148151</v>
      </c>
    </row>
    <row r="1564" spans="1:5" x14ac:dyDescent="0.25">
      <c r="A1564">
        <v>64586869</v>
      </c>
      <c r="B1564" t="str">
        <f t="shared" si="24"/>
        <v>komorkowy</v>
      </c>
      <c r="C1564" s="1">
        <v>42940</v>
      </c>
      <c r="D1564" s="2">
        <v>0.47188657407407408</v>
      </c>
      <c r="E1564" s="2">
        <v>0.47260416666666666</v>
      </c>
    </row>
    <row r="1565" spans="1:5" x14ac:dyDescent="0.25">
      <c r="A1565">
        <v>7066389</v>
      </c>
      <c r="B1565" t="str">
        <f t="shared" si="24"/>
        <v>stacjonarny</v>
      </c>
      <c r="C1565" s="1">
        <v>42940</v>
      </c>
      <c r="D1565" s="2">
        <v>0.47590277777777779</v>
      </c>
      <c r="E1565" s="2">
        <v>0.47621527777777778</v>
      </c>
    </row>
    <row r="1566" spans="1:5" x14ac:dyDescent="0.25">
      <c r="A1566">
        <v>28791070</v>
      </c>
      <c r="B1566" t="str">
        <f t="shared" si="24"/>
        <v>komorkowy</v>
      </c>
      <c r="C1566" s="1">
        <v>42940</v>
      </c>
      <c r="D1566" s="2">
        <v>0.48082175925925924</v>
      </c>
      <c r="E1566" s="2">
        <v>0.49135416666666665</v>
      </c>
    </row>
    <row r="1567" spans="1:5" x14ac:dyDescent="0.25">
      <c r="A1567">
        <v>5094248</v>
      </c>
      <c r="B1567" t="str">
        <f t="shared" si="24"/>
        <v>stacjonarny</v>
      </c>
      <c r="C1567" s="1">
        <v>42940</v>
      </c>
      <c r="D1567" s="2">
        <v>0.48358796296296297</v>
      </c>
      <c r="E1567" s="2">
        <v>0.48965277777777777</v>
      </c>
    </row>
    <row r="1568" spans="1:5" x14ac:dyDescent="0.25">
      <c r="A1568">
        <v>44882393</v>
      </c>
      <c r="B1568" t="str">
        <f t="shared" si="24"/>
        <v>komorkowy</v>
      </c>
      <c r="C1568" s="1">
        <v>42940</v>
      </c>
      <c r="D1568" s="2">
        <v>0.4866550925925926</v>
      </c>
      <c r="E1568" s="2">
        <v>0.49528935185185186</v>
      </c>
    </row>
    <row r="1569" spans="1:5" x14ac:dyDescent="0.25">
      <c r="A1569">
        <v>29391132</v>
      </c>
      <c r="B1569" t="str">
        <f t="shared" si="24"/>
        <v>komorkowy</v>
      </c>
      <c r="C1569" s="1">
        <v>42940</v>
      </c>
      <c r="D1569" s="2">
        <v>0.48770833333333335</v>
      </c>
      <c r="E1569" s="2">
        <v>0.49613425925925925</v>
      </c>
    </row>
    <row r="1570" spans="1:5" x14ac:dyDescent="0.25">
      <c r="A1570">
        <v>9892639</v>
      </c>
      <c r="B1570" t="str">
        <f t="shared" si="24"/>
        <v>stacjonarny</v>
      </c>
      <c r="C1570" s="1">
        <v>42940</v>
      </c>
      <c r="D1570" s="2">
        <v>0.48836805555555557</v>
      </c>
      <c r="E1570" s="2">
        <v>0.48893518518518519</v>
      </c>
    </row>
    <row r="1571" spans="1:5" x14ac:dyDescent="0.25">
      <c r="A1571">
        <v>3979295</v>
      </c>
      <c r="B1571" t="str">
        <f t="shared" si="24"/>
        <v>stacjonarny</v>
      </c>
      <c r="C1571" s="1">
        <v>42940</v>
      </c>
      <c r="D1571" s="2">
        <v>0.49062499999999998</v>
      </c>
      <c r="E1571" s="2">
        <v>0.49767361111111114</v>
      </c>
    </row>
    <row r="1572" spans="1:5" x14ac:dyDescent="0.25">
      <c r="A1572">
        <v>8471219</v>
      </c>
      <c r="B1572" t="str">
        <f t="shared" si="24"/>
        <v>stacjonarny</v>
      </c>
      <c r="C1572" s="1">
        <v>42940</v>
      </c>
      <c r="D1572" s="2">
        <v>0.49229166666666668</v>
      </c>
      <c r="E1572" s="2">
        <v>0.49554398148148149</v>
      </c>
    </row>
    <row r="1573" spans="1:5" x14ac:dyDescent="0.25">
      <c r="A1573">
        <v>5631380</v>
      </c>
      <c r="B1573" t="str">
        <f t="shared" si="24"/>
        <v>stacjonarny</v>
      </c>
      <c r="C1573" s="1">
        <v>42940</v>
      </c>
      <c r="D1573" s="2">
        <v>0.49274305555555553</v>
      </c>
      <c r="E1573" s="2">
        <v>0.50315972222222227</v>
      </c>
    </row>
    <row r="1574" spans="1:5" x14ac:dyDescent="0.25">
      <c r="A1574">
        <v>6309138</v>
      </c>
      <c r="B1574" t="str">
        <f t="shared" si="24"/>
        <v>stacjonarny</v>
      </c>
      <c r="C1574" s="1">
        <v>42940</v>
      </c>
      <c r="D1574" s="2">
        <v>0.49416666666666664</v>
      </c>
      <c r="E1574" s="2">
        <v>0.49465277777777777</v>
      </c>
    </row>
    <row r="1575" spans="1:5" x14ac:dyDescent="0.25">
      <c r="A1575">
        <v>72287838</v>
      </c>
      <c r="B1575" t="str">
        <f t="shared" si="24"/>
        <v>komorkowy</v>
      </c>
      <c r="C1575" s="1">
        <v>42940</v>
      </c>
      <c r="D1575" s="2">
        <v>0.49633101851851852</v>
      </c>
      <c r="E1575" s="2">
        <v>0.50209490740740736</v>
      </c>
    </row>
    <row r="1576" spans="1:5" x14ac:dyDescent="0.25">
      <c r="A1576">
        <v>2515441</v>
      </c>
      <c r="B1576" t="str">
        <f t="shared" si="24"/>
        <v>stacjonarny</v>
      </c>
      <c r="C1576" s="1">
        <v>42940</v>
      </c>
      <c r="D1576" s="2">
        <v>0.49857638888888889</v>
      </c>
      <c r="E1576" s="2">
        <v>0.50195601851851857</v>
      </c>
    </row>
    <row r="1577" spans="1:5" x14ac:dyDescent="0.25">
      <c r="A1577">
        <v>8056387</v>
      </c>
      <c r="B1577" t="str">
        <f t="shared" si="24"/>
        <v>stacjonarny</v>
      </c>
      <c r="C1577" s="1">
        <v>42940</v>
      </c>
      <c r="D1577" s="2">
        <v>0.50306712962962963</v>
      </c>
      <c r="E1577" s="2">
        <v>0.51333333333333331</v>
      </c>
    </row>
    <row r="1578" spans="1:5" x14ac:dyDescent="0.25">
      <c r="A1578">
        <v>5489867</v>
      </c>
      <c r="B1578" t="str">
        <f t="shared" si="24"/>
        <v>stacjonarny</v>
      </c>
      <c r="C1578" s="1">
        <v>42940</v>
      </c>
      <c r="D1578" s="2">
        <v>0.50583333333333336</v>
      </c>
      <c r="E1578" s="2">
        <v>0.51407407407407413</v>
      </c>
    </row>
    <row r="1579" spans="1:5" x14ac:dyDescent="0.25">
      <c r="A1579">
        <v>5528648</v>
      </c>
      <c r="B1579" t="str">
        <f t="shared" si="24"/>
        <v>stacjonarny</v>
      </c>
      <c r="C1579" s="1">
        <v>42940</v>
      </c>
      <c r="D1579" s="2">
        <v>0.50611111111111107</v>
      </c>
      <c r="E1579" s="2">
        <v>0.51354166666666667</v>
      </c>
    </row>
    <row r="1580" spans="1:5" x14ac:dyDescent="0.25">
      <c r="A1580">
        <v>4293872</v>
      </c>
      <c r="B1580" t="str">
        <f t="shared" si="24"/>
        <v>stacjonarny</v>
      </c>
      <c r="C1580" s="1">
        <v>42940</v>
      </c>
      <c r="D1580" s="2">
        <v>0.50714120370370375</v>
      </c>
      <c r="E1580" s="2">
        <v>0.51232638888888893</v>
      </c>
    </row>
    <row r="1581" spans="1:5" x14ac:dyDescent="0.25">
      <c r="A1581">
        <v>99625946</v>
      </c>
      <c r="B1581" t="str">
        <f t="shared" si="24"/>
        <v>komorkowy</v>
      </c>
      <c r="C1581" s="1">
        <v>42940</v>
      </c>
      <c r="D1581" s="2">
        <v>0.51270833333333332</v>
      </c>
      <c r="E1581" s="2">
        <v>0.52407407407407403</v>
      </c>
    </row>
    <row r="1582" spans="1:5" x14ac:dyDescent="0.25">
      <c r="A1582">
        <v>9827875</v>
      </c>
      <c r="B1582" t="str">
        <f t="shared" si="24"/>
        <v>stacjonarny</v>
      </c>
      <c r="C1582" s="1">
        <v>42940</v>
      </c>
      <c r="D1582" s="2">
        <v>0.51512731481481477</v>
      </c>
      <c r="E1582" s="2">
        <v>0.51954861111111106</v>
      </c>
    </row>
    <row r="1583" spans="1:5" x14ac:dyDescent="0.25">
      <c r="A1583">
        <v>40120881</v>
      </c>
      <c r="B1583" t="str">
        <f t="shared" si="24"/>
        <v>komorkowy</v>
      </c>
      <c r="C1583" s="1">
        <v>42940</v>
      </c>
      <c r="D1583" s="2">
        <v>0.51746527777777773</v>
      </c>
      <c r="E1583" s="2">
        <v>0.52686342592592594</v>
      </c>
    </row>
    <row r="1584" spans="1:5" x14ac:dyDescent="0.25">
      <c r="A1584">
        <v>42373338</v>
      </c>
      <c r="B1584" t="str">
        <f t="shared" si="24"/>
        <v>komorkowy</v>
      </c>
      <c r="C1584" s="1">
        <v>42940</v>
      </c>
      <c r="D1584" s="2">
        <v>0.51962962962962966</v>
      </c>
      <c r="E1584" s="2">
        <v>0.53030092592592593</v>
      </c>
    </row>
    <row r="1585" spans="1:5" x14ac:dyDescent="0.25">
      <c r="A1585">
        <v>39697250</v>
      </c>
      <c r="B1585" t="str">
        <f t="shared" si="24"/>
        <v>komorkowy</v>
      </c>
      <c r="C1585" s="1">
        <v>42940</v>
      </c>
      <c r="D1585" s="2">
        <v>0.52520833333333339</v>
      </c>
      <c r="E1585" s="2">
        <v>0.52866898148148145</v>
      </c>
    </row>
    <row r="1586" spans="1:5" x14ac:dyDescent="0.25">
      <c r="A1586">
        <v>55464931</v>
      </c>
      <c r="B1586" t="str">
        <f t="shared" si="24"/>
        <v>komorkowy</v>
      </c>
      <c r="C1586" s="1">
        <v>42940</v>
      </c>
      <c r="D1586" s="2">
        <v>0.5285185185185185</v>
      </c>
      <c r="E1586" s="2">
        <v>0.53349537037037043</v>
      </c>
    </row>
    <row r="1587" spans="1:5" x14ac:dyDescent="0.25">
      <c r="A1587">
        <v>3616291</v>
      </c>
      <c r="B1587" t="str">
        <f t="shared" si="24"/>
        <v>stacjonarny</v>
      </c>
      <c r="C1587" s="1">
        <v>42940</v>
      </c>
      <c r="D1587" s="2">
        <v>0.53403935185185181</v>
      </c>
      <c r="E1587" s="2">
        <v>0.54538194444444443</v>
      </c>
    </row>
    <row r="1588" spans="1:5" x14ac:dyDescent="0.25">
      <c r="A1588">
        <v>3473734</v>
      </c>
      <c r="B1588" t="str">
        <f t="shared" si="24"/>
        <v>stacjonarny</v>
      </c>
      <c r="C1588" s="1">
        <v>42940</v>
      </c>
      <c r="D1588" s="2">
        <v>0.53949074074074077</v>
      </c>
      <c r="E1588" s="2">
        <v>0.54844907407407406</v>
      </c>
    </row>
    <row r="1589" spans="1:5" x14ac:dyDescent="0.25">
      <c r="A1589">
        <v>63492662</v>
      </c>
      <c r="B1589" t="str">
        <f t="shared" si="24"/>
        <v>komorkowy</v>
      </c>
      <c r="C1589" s="1">
        <v>42940</v>
      </c>
      <c r="D1589" s="2">
        <v>0.54060185185185183</v>
      </c>
      <c r="E1589" s="2">
        <v>0.54240740740740745</v>
      </c>
    </row>
    <row r="1590" spans="1:5" x14ac:dyDescent="0.25">
      <c r="A1590">
        <v>2104331</v>
      </c>
      <c r="B1590" t="str">
        <f t="shared" si="24"/>
        <v>stacjonarny</v>
      </c>
      <c r="C1590" s="1">
        <v>42940</v>
      </c>
      <c r="D1590" s="2">
        <v>0.54410879629629627</v>
      </c>
      <c r="E1590" s="2">
        <v>0.55207175925925922</v>
      </c>
    </row>
    <row r="1591" spans="1:5" x14ac:dyDescent="0.25">
      <c r="A1591">
        <v>9555643</v>
      </c>
      <c r="B1591" t="str">
        <f t="shared" si="24"/>
        <v>stacjonarny</v>
      </c>
      <c r="C1591" s="1">
        <v>42940</v>
      </c>
      <c r="D1591" s="2">
        <v>0.54478009259259264</v>
      </c>
      <c r="E1591" s="2">
        <v>0.55106481481481484</v>
      </c>
    </row>
    <row r="1592" spans="1:5" x14ac:dyDescent="0.25">
      <c r="A1592">
        <v>5220235</v>
      </c>
      <c r="B1592" t="str">
        <f t="shared" si="24"/>
        <v>stacjonarny</v>
      </c>
      <c r="C1592" s="1">
        <v>42940</v>
      </c>
      <c r="D1592" s="2">
        <v>0.54741898148148149</v>
      </c>
      <c r="E1592" s="2">
        <v>0.54915509259259254</v>
      </c>
    </row>
    <row r="1593" spans="1:5" x14ac:dyDescent="0.25">
      <c r="A1593">
        <v>26254490</v>
      </c>
      <c r="B1593" t="str">
        <f t="shared" si="24"/>
        <v>komorkowy</v>
      </c>
      <c r="C1593" s="1">
        <v>42940</v>
      </c>
      <c r="D1593" s="2">
        <v>0.54773148148148143</v>
      </c>
      <c r="E1593" s="2">
        <v>0.55074074074074075</v>
      </c>
    </row>
    <row r="1594" spans="1:5" x14ac:dyDescent="0.25">
      <c r="A1594">
        <v>26463662</v>
      </c>
      <c r="B1594" t="str">
        <f t="shared" si="24"/>
        <v>komorkowy</v>
      </c>
      <c r="C1594" s="1">
        <v>42940</v>
      </c>
      <c r="D1594" s="2">
        <v>0.55153935185185188</v>
      </c>
      <c r="E1594" s="2">
        <v>0.56090277777777775</v>
      </c>
    </row>
    <row r="1595" spans="1:5" x14ac:dyDescent="0.25">
      <c r="A1595">
        <v>2853860</v>
      </c>
      <c r="B1595" t="str">
        <f t="shared" si="24"/>
        <v>stacjonarny</v>
      </c>
      <c r="C1595" s="1">
        <v>42940</v>
      </c>
      <c r="D1595" s="2">
        <v>0.55491898148148144</v>
      </c>
      <c r="E1595" s="2">
        <v>0.55787037037037035</v>
      </c>
    </row>
    <row r="1596" spans="1:5" x14ac:dyDescent="0.25">
      <c r="A1596">
        <v>1829028</v>
      </c>
      <c r="B1596" t="str">
        <f t="shared" si="24"/>
        <v>stacjonarny</v>
      </c>
      <c r="C1596" s="1">
        <v>42940</v>
      </c>
      <c r="D1596" s="2">
        <v>0.5602893518518518</v>
      </c>
      <c r="E1596" s="2">
        <v>0.57128472222222226</v>
      </c>
    </row>
    <row r="1597" spans="1:5" x14ac:dyDescent="0.25">
      <c r="A1597">
        <v>1365581</v>
      </c>
      <c r="B1597" t="str">
        <f t="shared" si="24"/>
        <v>stacjonarny</v>
      </c>
      <c r="C1597" s="1">
        <v>42940</v>
      </c>
      <c r="D1597" s="2">
        <v>0.56196759259259255</v>
      </c>
      <c r="E1597" s="2">
        <v>0.57019675925925928</v>
      </c>
    </row>
    <row r="1598" spans="1:5" x14ac:dyDescent="0.25">
      <c r="A1598">
        <v>66800387</v>
      </c>
      <c r="B1598" t="str">
        <f t="shared" si="24"/>
        <v>komorkowy</v>
      </c>
      <c r="C1598" s="1">
        <v>42940</v>
      </c>
      <c r="D1598" s="2">
        <v>0.5634837962962963</v>
      </c>
      <c r="E1598" s="2">
        <v>0.56763888888888892</v>
      </c>
    </row>
    <row r="1599" spans="1:5" x14ac:dyDescent="0.25">
      <c r="A1599">
        <v>9282666</v>
      </c>
      <c r="B1599" t="str">
        <f t="shared" si="24"/>
        <v>stacjonarny</v>
      </c>
      <c r="C1599" s="1">
        <v>42940</v>
      </c>
      <c r="D1599" s="2">
        <v>0.56879629629629624</v>
      </c>
      <c r="E1599" s="2">
        <v>0.56934027777777774</v>
      </c>
    </row>
    <row r="1600" spans="1:5" x14ac:dyDescent="0.25">
      <c r="A1600">
        <v>7994769</v>
      </c>
      <c r="B1600" t="str">
        <f t="shared" si="24"/>
        <v>stacjonarny</v>
      </c>
      <c r="C1600" s="1">
        <v>42940</v>
      </c>
      <c r="D1600" s="2">
        <v>0.56980324074074074</v>
      </c>
      <c r="E1600" s="2">
        <v>0.57826388888888891</v>
      </c>
    </row>
    <row r="1601" spans="1:5" x14ac:dyDescent="0.25">
      <c r="A1601">
        <v>3638038</v>
      </c>
      <c r="B1601" t="str">
        <f t="shared" si="24"/>
        <v>stacjonarny</v>
      </c>
      <c r="C1601" s="1">
        <v>42940</v>
      </c>
      <c r="D1601" s="2">
        <v>0.57262731481481477</v>
      </c>
      <c r="E1601" s="2">
        <v>0.57846064814814813</v>
      </c>
    </row>
    <row r="1602" spans="1:5" x14ac:dyDescent="0.25">
      <c r="A1602">
        <v>5221005</v>
      </c>
      <c r="B1602" t="str">
        <f t="shared" si="24"/>
        <v>stacjonarny</v>
      </c>
      <c r="C1602" s="1">
        <v>42940</v>
      </c>
      <c r="D1602" s="2">
        <v>0.57321759259259264</v>
      </c>
      <c r="E1602" s="2">
        <v>0.57461805555555556</v>
      </c>
    </row>
    <row r="1603" spans="1:5" x14ac:dyDescent="0.25">
      <c r="A1603">
        <v>3150344</v>
      </c>
      <c r="B1603" t="str">
        <f t="shared" ref="B1603:B1666" si="25">IF(LEN(A1603)=7, "stacjonarny", IF(LEN(A1603)=8, "komorkowy", "zagraniczny"))</f>
        <v>stacjonarny</v>
      </c>
      <c r="C1603" s="1">
        <v>42940</v>
      </c>
      <c r="D1603" s="2">
        <v>0.57322916666666668</v>
      </c>
      <c r="E1603" s="2">
        <v>0.58089120370370373</v>
      </c>
    </row>
    <row r="1604" spans="1:5" x14ac:dyDescent="0.25">
      <c r="A1604">
        <v>2780765</v>
      </c>
      <c r="B1604" t="str">
        <f t="shared" si="25"/>
        <v>stacjonarny</v>
      </c>
      <c r="C1604" s="1">
        <v>42940</v>
      </c>
      <c r="D1604" s="2">
        <v>0.57582175925925927</v>
      </c>
      <c r="E1604" s="2">
        <v>0.57693287037037033</v>
      </c>
    </row>
    <row r="1605" spans="1:5" x14ac:dyDescent="0.25">
      <c r="A1605">
        <v>3720500</v>
      </c>
      <c r="B1605" t="str">
        <f t="shared" si="25"/>
        <v>stacjonarny</v>
      </c>
      <c r="C1605" s="1">
        <v>42940</v>
      </c>
      <c r="D1605" s="2">
        <v>0.57660879629629624</v>
      </c>
      <c r="E1605" s="2">
        <v>0.58250000000000002</v>
      </c>
    </row>
    <row r="1606" spans="1:5" x14ac:dyDescent="0.25">
      <c r="A1606">
        <v>89419064</v>
      </c>
      <c r="B1606" t="str">
        <f t="shared" si="25"/>
        <v>komorkowy</v>
      </c>
      <c r="C1606" s="1">
        <v>42940</v>
      </c>
      <c r="D1606" s="2">
        <v>0.57850694444444439</v>
      </c>
      <c r="E1606" s="2">
        <v>0.58456018518518515</v>
      </c>
    </row>
    <row r="1607" spans="1:5" x14ac:dyDescent="0.25">
      <c r="A1607">
        <v>9961121</v>
      </c>
      <c r="B1607" t="str">
        <f t="shared" si="25"/>
        <v>stacjonarny</v>
      </c>
      <c r="C1607" s="1">
        <v>42940</v>
      </c>
      <c r="D1607" s="2">
        <v>0.58304398148148151</v>
      </c>
      <c r="E1607" s="2">
        <v>0.58518518518518514</v>
      </c>
    </row>
    <row r="1608" spans="1:5" x14ac:dyDescent="0.25">
      <c r="A1608">
        <v>5303411</v>
      </c>
      <c r="B1608" t="str">
        <f t="shared" si="25"/>
        <v>stacjonarny</v>
      </c>
      <c r="C1608" s="1">
        <v>42940</v>
      </c>
      <c r="D1608" s="2">
        <v>0.58652777777777776</v>
      </c>
      <c r="E1608" s="2">
        <v>0.5917824074074074</v>
      </c>
    </row>
    <row r="1609" spans="1:5" x14ac:dyDescent="0.25">
      <c r="A1609">
        <v>4657345</v>
      </c>
      <c r="B1609" t="str">
        <f t="shared" si="25"/>
        <v>stacjonarny</v>
      </c>
      <c r="C1609" s="1">
        <v>42940</v>
      </c>
      <c r="D1609" s="2">
        <v>0.58981481481481479</v>
      </c>
      <c r="E1609" s="2">
        <v>0.59037037037037032</v>
      </c>
    </row>
    <row r="1610" spans="1:5" x14ac:dyDescent="0.25">
      <c r="A1610">
        <v>5850216</v>
      </c>
      <c r="B1610" t="str">
        <f t="shared" si="25"/>
        <v>stacjonarny</v>
      </c>
      <c r="C1610" s="1">
        <v>42940</v>
      </c>
      <c r="D1610" s="2">
        <v>0.59325231481481477</v>
      </c>
      <c r="E1610" s="2">
        <v>0.59866898148148151</v>
      </c>
    </row>
    <row r="1611" spans="1:5" x14ac:dyDescent="0.25">
      <c r="A1611">
        <v>4927402</v>
      </c>
      <c r="B1611" t="str">
        <f t="shared" si="25"/>
        <v>stacjonarny</v>
      </c>
      <c r="C1611" s="1">
        <v>42940</v>
      </c>
      <c r="D1611" s="2">
        <v>0.59351851851851856</v>
      </c>
      <c r="E1611" s="2">
        <v>0.60163194444444446</v>
      </c>
    </row>
    <row r="1612" spans="1:5" x14ac:dyDescent="0.25">
      <c r="A1612">
        <v>60113139</v>
      </c>
      <c r="B1612" t="str">
        <f t="shared" si="25"/>
        <v>komorkowy</v>
      </c>
      <c r="C1612" s="1">
        <v>42940</v>
      </c>
      <c r="D1612" s="2">
        <v>0.59663194444444445</v>
      </c>
      <c r="E1612" s="2">
        <v>0.60359953703703706</v>
      </c>
    </row>
    <row r="1613" spans="1:5" x14ac:dyDescent="0.25">
      <c r="A1613">
        <v>2644526</v>
      </c>
      <c r="B1613" t="str">
        <f t="shared" si="25"/>
        <v>stacjonarny</v>
      </c>
      <c r="C1613" s="1">
        <v>42940</v>
      </c>
      <c r="D1613" s="2">
        <v>0.59864583333333332</v>
      </c>
      <c r="E1613" s="2">
        <v>0.6056597222222222</v>
      </c>
    </row>
    <row r="1614" spans="1:5" x14ac:dyDescent="0.25">
      <c r="A1614">
        <v>7226610</v>
      </c>
      <c r="B1614" t="str">
        <f t="shared" si="25"/>
        <v>stacjonarny</v>
      </c>
      <c r="C1614" s="1">
        <v>42940</v>
      </c>
      <c r="D1614" s="2">
        <v>0.6005787037037037</v>
      </c>
      <c r="E1614" s="2">
        <v>0.6107407407407407</v>
      </c>
    </row>
    <row r="1615" spans="1:5" x14ac:dyDescent="0.25">
      <c r="A1615">
        <v>9328179</v>
      </c>
      <c r="B1615" t="str">
        <f t="shared" si="25"/>
        <v>stacjonarny</v>
      </c>
      <c r="C1615" s="1">
        <v>42940</v>
      </c>
      <c r="D1615" s="2">
        <v>0.60211805555555553</v>
      </c>
      <c r="E1615" s="2">
        <v>0.60282407407407412</v>
      </c>
    </row>
    <row r="1616" spans="1:5" x14ac:dyDescent="0.25">
      <c r="A1616">
        <v>7457716</v>
      </c>
      <c r="B1616" t="str">
        <f t="shared" si="25"/>
        <v>stacjonarny</v>
      </c>
      <c r="C1616" s="1">
        <v>42940</v>
      </c>
      <c r="D1616" s="2">
        <v>0.6068634259259259</v>
      </c>
      <c r="E1616" s="2">
        <v>0.61152777777777778</v>
      </c>
    </row>
    <row r="1617" spans="1:5" x14ac:dyDescent="0.25">
      <c r="A1617">
        <v>1739364</v>
      </c>
      <c r="B1617" t="str">
        <f t="shared" si="25"/>
        <v>stacjonarny</v>
      </c>
      <c r="C1617" s="1">
        <v>42940</v>
      </c>
      <c r="D1617" s="2">
        <v>0.61100694444444448</v>
      </c>
      <c r="E1617" s="2">
        <v>0.62071759259259263</v>
      </c>
    </row>
    <row r="1618" spans="1:5" x14ac:dyDescent="0.25">
      <c r="A1618">
        <v>1677537</v>
      </c>
      <c r="B1618" t="str">
        <f t="shared" si="25"/>
        <v>stacjonarny</v>
      </c>
      <c r="C1618" s="1">
        <v>42940</v>
      </c>
      <c r="D1618" s="2">
        <v>0.61471064814814813</v>
      </c>
      <c r="E1618" s="2">
        <v>0.62232638888888892</v>
      </c>
    </row>
    <row r="1619" spans="1:5" x14ac:dyDescent="0.25">
      <c r="A1619">
        <v>55614678</v>
      </c>
      <c r="B1619" t="str">
        <f t="shared" si="25"/>
        <v>komorkowy</v>
      </c>
      <c r="C1619" s="1">
        <v>42940</v>
      </c>
      <c r="D1619" s="2">
        <v>0.61826388888888884</v>
      </c>
      <c r="E1619" s="2">
        <v>0.62091435185185184</v>
      </c>
    </row>
    <row r="1620" spans="1:5" x14ac:dyDescent="0.25">
      <c r="A1620">
        <v>4272221</v>
      </c>
      <c r="B1620" t="str">
        <f t="shared" si="25"/>
        <v>stacjonarny</v>
      </c>
      <c r="C1620" s="1">
        <v>42940</v>
      </c>
      <c r="D1620" s="2">
        <v>0.62152777777777779</v>
      </c>
      <c r="E1620" s="2">
        <v>0.62572916666666667</v>
      </c>
    </row>
    <row r="1621" spans="1:5" x14ac:dyDescent="0.25">
      <c r="A1621">
        <v>1740380</v>
      </c>
      <c r="B1621" t="str">
        <f t="shared" si="25"/>
        <v>stacjonarny</v>
      </c>
      <c r="C1621" s="1">
        <v>42940</v>
      </c>
      <c r="D1621" s="2">
        <v>0.62605324074074076</v>
      </c>
      <c r="E1621" s="2">
        <v>0.63655092592592588</v>
      </c>
    </row>
    <row r="1622" spans="1:5" x14ac:dyDescent="0.25">
      <c r="A1622">
        <v>6005355</v>
      </c>
      <c r="B1622" t="str">
        <f t="shared" si="25"/>
        <v>stacjonarny</v>
      </c>
      <c r="C1622" s="1">
        <v>42941</v>
      </c>
      <c r="D1622" s="2">
        <v>0.33688657407407407</v>
      </c>
      <c r="E1622" s="2">
        <v>0.34452546296296294</v>
      </c>
    </row>
    <row r="1623" spans="1:5" x14ac:dyDescent="0.25">
      <c r="A1623">
        <v>2400590</v>
      </c>
      <c r="B1623" t="str">
        <f t="shared" si="25"/>
        <v>stacjonarny</v>
      </c>
      <c r="C1623" s="1">
        <v>42941</v>
      </c>
      <c r="D1623" s="2">
        <v>0.34145833333333331</v>
      </c>
      <c r="E1623" s="2">
        <v>0.34645833333333331</v>
      </c>
    </row>
    <row r="1624" spans="1:5" x14ac:dyDescent="0.25">
      <c r="A1624">
        <v>7918038</v>
      </c>
      <c r="B1624" t="str">
        <f t="shared" si="25"/>
        <v>stacjonarny</v>
      </c>
      <c r="C1624" s="1">
        <v>42941</v>
      </c>
      <c r="D1624" s="2">
        <v>0.34278935185185183</v>
      </c>
      <c r="E1624" s="2">
        <v>0.34370370370370368</v>
      </c>
    </row>
    <row r="1625" spans="1:5" x14ac:dyDescent="0.25">
      <c r="A1625">
        <v>7969038</v>
      </c>
      <c r="B1625" t="str">
        <f t="shared" si="25"/>
        <v>stacjonarny</v>
      </c>
      <c r="C1625" s="1">
        <v>42941</v>
      </c>
      <c r="D1625" s="2">
        <v>0.34605324074074073</v>
      </c>
      <c r="E1625" s="2">
        <v>0.35744212962962962</v>
      </c>
    </row>
    <row r="1626" spans="1:5" x14ac:dyDescent="0.25">
      <c r="A1626">
        <v>5833452</v>
      </c>
      <c r="B1626" t="str">
        <f t="shared" si="25"/>
        <v>stacjonarny</v>
      </c>
      <c r="C1626" s="1">
        <v>42941</v>
      </c>
      <c r="D1626" s="2">
        <v>0.34989583333333335</v>
      </c>
      <c r="E1626" s="2">
        <v>0.35214120370370372</v>
      </c>
    </row>
    <row r="1627" spans="1:5" x14ac:dyDescent="0.25">
      <c r="A1627">
        <v>11425383</v>
      </c>
      <c r="B1627" t="str">
        <f t="shared" si="25"/>
        <v>komorkowy</v>
      </c>
      <c r="C1627" s="1">
        <v>42941</v>
      </c>
      <c r="D1627" s="2">
        <v>0.35267361111111112</v>
      </c>
      <c r="E1627" s="2">
        <v>0.36171296296296296</v>
      </c>
    </row>
    <row r="1628" spans="1:5" x14ac:dyDescent="0.25">
      <c r="A1628">
        <v>2900584</v>
      </c>
      <c r="B1628" t="str">
        <f t="shared" si="25"/>
        <v>stacjonarny</v>
      </c>
      <c r="C1628" s="1">
        <v>42941</v>
      </c>
      <c r="D1628" s="2">
        <v>0.35335648148148147</v>
      </c>
      <c r="E1628" s="2">
        <v>0.36329861111111111</v>
      </c>
    </row>
    <row r="1629" spans="1:5" x14ac:dyDescent="0.25">
      <c r="A1629">
        <v>77705897</v>
      </c>
      <c r="B1629" t="str">
        <f t="shared" si="25"/>
        <v>komorkowy</v>
      </c>
      <c r="C1629" s="1">
        <v>42941</v>
      </c>
      <c r="D1629" s="2">
        <v>0.35603009259259261</v>
      </c>
      <c r="E1629" s="2">
        <v>0.35928240740740741</v>
      </c>
    </row>
    <row r="1630" spans="1:5" x14ac:dyDescent="0.25">
      <c r="A1630">
        <v>48497496</v>
      </c>
      <c r="B1630" t="str">
        <f t="shared" si="25"/>
        <v>komorkowy</v>
      </c>
      <c r="C1630" s="1">
        <v>42941</v>
      </c>
      <c r="D1630" s="2">
        <v>0.35881944444444447</v>
      </c>
      <c r="E1630" s="2">
        <v>0.36379629629629628</v>
      </c>
    </row>
    <row r="1631" spans="1:5" x14ac:dyDescent="0.25">
      <c r="A1631">
        <v>98695684</v>
      </c>
      <c r="B1631" t="str">
        <f t="shared" si="25"/>
        <v>komorkowy</v>
      </c>
      <c r="C1631" s="1">
        <v>42941</v>
      </c>
      <c r="D1631" s="2">
        <v>0.3634722222222222</v>
      </c>
      <c r="E1631" s="2">
        <v>0.37498842592592591</v>
      </c>
    </row>
    <row r="1632" spans="1:5" x14ac:dyDescent="0.25">
      <c r="A1632">
        <v>7712618</v>
      </c>
      <c r="B1632" t="str">
        <f t="shared" si="25"/>
        <v>stacjonarny</v>
      </c>
      <c r="C1632" s="1">
        <v>42941</v>
      </c>
      <c r="D1632" s="2">
        <v>0.36773148148148149</v>
      </c>
      <c r="E1632" s="2">
        <v>0.37118055555555557</v>
      </c>
    </row>
    <row r="1633" spans="1:5" x14ac:dyDescent="0.25">
      <c r="A1633">
        <v>8872311</v>
      </c>
      <c r="B1633" t="str">
        <f t="shared" si="25"/>
        <v>stacjonarny</v>
      </c>
      <c r="C1633" s="1">
        <v>42941</v>
      </c>
      <c r="D1633" s="2">
        <v>0.36854166666666666</v>
      </c>
      <c r="E1633" s="2">
        <v>0.37072916666666667</v>
      </c>
    </row>
    <row r="1634" spans="1:5" x14ac:dyDescent="0.25">
      <c r="A1634">
        <v>6056372</v>
      </c>
      <c r="B1634" t="str">
        <f t="shared" si="25"/>
        <v>stacjonarny</v>
      </c>
      <c r="C1634" s="1">
        <v>42941</v>
      </c>
      <c r="D1634" s="2">
        <v>0.36930555555555555</v>
      </c>
      <c r="E1634" s="2">
        <v>0.37615740740740738</v>
      </c>
    </row>
    <row r="1635" spans="1:5" x14ac:dyDescent="0.25">
      <c r="A1635">
        <v>8936656</v>
      </c>
      <c r="B1635" t="str">
        <f t="shared" si="25"/>
        <v>stacjonarny</v>
      </c>
      <c r="C1635" s="1">
        <v>42941</v>
      </c>
      <c r="D1635" s="2">
        <v>0.37222222222222223</v>
      </c>
      <c r="E1635" s="2">
        <v>0.37883101851851853</v>
      </c>
    </row>
    <row r="1636" spans="1:5" x14ac:dyDescent="0.25">
      <c r="A1636">
        <v>22966872</v>
      </c>
      <c r="B1636" t="str">
        <f t="shared" si="25"/>
        <v>komorkowy</v>
      </c>
      <c r="C1636" s="1">
        <v>42941</v>
      </c>
      <c r="D1636" s="2">
        <v>0.37277777777777776</v>
      </c>
      <c r="E1636" s="2">
        <v>0.37791666666666668</v>
      </c>
    </row>
    <row r="1637" spans="1:5" x14ac:dyDescent="0.25">
      <c r="A1637">
        <v>3908162</v>
      </c>
      <c r="B1637" t="str">
        <f t="shared" si="25"/>
        <v>stacjonarny</v>
      </c>
      <c r="C1637" s="1">
        <v>42941</v>
      </c>
      <c r="D1637" s="2">
        <v>0.37805555555555553</v>
      </c>
      <c r="E1637" s="2">
        <v>0.38770833333333332</v>
      </c>
    </row>
    <row r="1638" spans="1:5" x14ac:dyDescent="0.25">
      <c r="A1638">
        <v>20485333</v>
      </c>
      <c r="B1638" t="str">
        <f t="shared" si="25"/>
        <v>komorkowy</v>
      </c>
      <c r="C1638" s="1">
        <v>42941</v>
      </c>
      <c r="D1638" s="2">
        <v>0.38230324074074074</v>
      </c>
      <c r="E1638" s="2">
        <v>0.39293981481481483</v>
      </c>
    </row>
    <row r="1639" spans="1:5" x14ac:dyDescent="0.25">
      <c r="A1639">
        <v>78709747</v>
      </c>
      <c r="B1639" t="str">
        <f t="shared" si="25"/>
        <v>komorkowy</v>
      </c>
      <c r="C1639" s="1">
        <v>42941</v>
      </c>
      <c r="D1639" s="2">
        <v>0.38638888888888889</v>
      </c>
      <c r="E1639" s="2">
        <v>0.38983796296296297</v>
      </c>
    </row>
    <row r="1640" spans="1:5" x14ac:dyDescent="0.25">
      <c r="A1640">
        <v>1859884</v>
      </c>
      <c r="B1640" t="str">
        <f t="shared" si="25"/>
        <v>stacjonarny</v>
      </c>
      <c r="C1640" s="1">
        <v>42941</v>
      </c>
      <c r="D1640" s="2">
        <v>0.38668981481481479</v>
      </c>
      <c r="E1640" s="2">
        <v>0.3913773148148148</v>
      </c>
    </row>
    <row r="1641" spans="1:5" x14ac:dyDescent="0.25">
      <c r="A1641">
        <v>2866546</v>
      </c>
      <c r="B1641" t="str">
        <f t="shared" si="25"/>
        <v>stacjonarny</v>
      </c>
      <c r="C1641" s="1">
        <v>42941</v>
      </c>
      <c r="D1641" s="2">
        <v>0.39038194444444446</v>
      </c>
      <c r="E1641" s="2">
        <v>0.39797453703703706</v>
      </c>
    </row>
    <row r="1642" spans="1:5" x14ac:dyDescent="0.25">
      <c r="A1642">
        <v>23715237</v>
      </c>
      <c r="B1642" t="str">
        <f t="shared" si="25"/>
        <v>komorkowy</v>
      </c>
      <c r="C1642" s="1">
        <v>42941</v>
      </c>
      <c r="D1642" s="2">
        <v>0.39152777777777775</v>
      </c>
      <c r="E1642" s="2">
        <v>0.39559027777777778</v>
      </c>
    </row>
    <row r="1643" spans="1:5" x14ac:dyDescent="0.25">
      <c r="A1643">
        <v>6013508</v>
      </c>
      <c r="B1643" t="str">
        <f t="shared" si="25"/>
        <v>stacjonarny</v>
      </c>
      <c r="C1643" s="1">
        <v>42941</v>
      </c>
      <c r="D1643" s="2">
        <v>0.39195601851851852</v>
      </c>
      <c r="E1643" s="2">
        <v>0.39401620370370372</v>
      </c>
    </row>
    <row r="1644" spans="1:5" x14ac:dyDescent="0.25">
      <c r="A1644">
        <v>6175467</v>
      </c>
      <c r="B1644" t="str">
        <f t="shared" si="25"/>
        <v>stacjonarny</v>
      </c>
      <c r="C1644" s="1">
        <v>42941</v>
      </c>
      <c r="D1644" s="2">
        <v>0.39753472222222225</v>
      </c>
      <c r="E1644" s="2">
        <v>0.40424768518518517</v>
      </c>
    </row>
    <row r="1645" spans="1:5" x14ac:dyDescent="0.25">
      <c r="A1645">
        <v>22416837</v>
      </c>
      <c r="B1645" t="str">
        <f t="shared" si="25"/>
        <v>komorkowy</v>
      </c>
      <c r="C1645" s="1">
        <v>42941</v>
      </c>
      <c r="D1645" s="2">
        <v>0.39881944444444445</v>
      </c>
      <c r="E1645" s="2">
        <v>0.40244212962962961</v>
      </c>
    </row>
    <row r="1646" spans="1:5" x14ac:dyDescent="0.25">
      <c r="A1646">
        <v>9065927</v>
      </c>
      <c r="B1646" t="str">
        <f t="shared" si="25"/>
        <v>stacjonarny</v>
      </c>
      <c r="C1646" s="1">
        <v>42941</v>
      </c>
      <c r="D1646" s="2">
        <v>0.3991898148148148</v>
      </c>
      <c r="E1646" s="2">
        <v>0.40934027777777776</v>
      </c>
    </row>
    <row r="1647" spans="1:5" x14ac:dyDescent="0.25">
      <c r="A1647">
        <v>8849918</v>
      </c>
      <c r="B1647" t="str">
        <f t="shared" si="25"/>
        <v>stacjonarny</v>
      </c>
      <c r="C1647" s="1">
        <v>42941</v>
      </c>
      <c r="D1647" s="2">
        <v>0.40263888888888888</v>
      </c>
      <c r="E1647" s="2">
        <v>0.40636574074074072</v>
      </c>
    </row>
    <row r="1648" spans="1:5" x14ac:dyDescent="0.25">
      <c r="A1648">
        <v>8250018</v>
      </c>
      <c r="B1648" t="str">
        <f t="shared" si="25"/>
        <v>stacjonarny</v>
      </c>
      <c r="C1648" s="1">
        <v>42941</v>
      </c>
      <c r="D1648" s="2">
        <v>0.40552083333333333</v>
      </c>
      <c r="E1648" s="2">
        <v>0.41104166666666669</v>
      </c>
    </row>
    <row r="1649" spans="1:5" x14ac:dyDescent="0.25">
      <c r="A1649">
        <v>20349502</v>
      </c>
      <c r="B1649" t="str">
        <f t="shared" si="25"/>
        <v>komorkowy</v>
      </c>
      <c r="C1649" s="1">
        <v>42941</v>
      </c>
      <c r="D1649" s="2">
        <v>0.40979166666666667</v>
      </c>
      <c r="E1649" s="2">
        <v>0.41252314814814817</v>
      </c>
    </row>
    <row r="1650" spans="1:5" x14ac:dyDescent="0.25">
      <c r="A1650">
        <v>9894723</v>
      </c>
      <c r="B1650" t="str">
        <f t="shared" si="25"/>
        <v>stacjonarny</v>
      </c>
      <c r="C1650" s="1">
        <v>42941</v>
      </c>
      <c r="D1650" s="2">
        <v>0.40988425925925925</v>
      </c>
      <c r="E1650" s="2">
        <v>0.41157407407407409</v>
      </c>
    </row>
    <row r="1651" spans="1:5" x14ac:dyDescent="0.25">
      <c r="A1651">
        <v>9458504</v>
      </c>
      <c r="B1651" t="str">
        <f t="shared" si="25"/>
        <v>stacjonarny</v>
      </c>
      <c r="C1651" s="1">
        <v>42941</v>
      </c>
      <c r="D1651" s="2">
        <v>0.41054398148148147</v>
      </c>
      <c r="E1651" s="2">
        <v>0.41620370370370369</v>
      </c>
    </row>
    <row r="1652" spans="1:5" x14ac:dyDescent="0.25">
      <c r="A1652">
        <v>6741642</v>
      </c>
      <c r="B1652" t="str">
        <f t="shared" si="25"/>
        <v>stacjonarny</v>
      </c>
      <c r="C1652" s="1">
        <v>42941</v>
      </c>
      <c r="D1652" s="2">
        <v>0.41449074074074072</v>
      </c>
      <c r="E1652" s="2">
        <v>0.42371527777777779</v>
      </c>
    </row>
    <row r="1653" spans="1:5" x14ac:dyDescent="0.25">
      <c r="A1653">
        <v>4824710</v>
      </c>
      <c r="B1653" t="str">
        <f t="shared" si="25"/>
        <v>stacjonarny</v>
      </c>
      <c r="C1653" s="1">
        <v>42941</v>
      </c>
      <c r="D1653" s="2">
        <v>0.42008101851851853</v>
      </c>
      <c r="E1653" s="2">
        <v>0.4206597222222222</v>
      </c>
    </row>
    <row r="1654" spans="1:5" x14ac:dyDescent="0.25">
      <c r="A1654">
        <v>6465122</v>
      </c>
      <c r="B1654" t="str">
        <f t="shared" si="25"/>
        <v>stacjonarny</v>
      </c>
      <c r="C1654" s="1">
        <v>42941</v>
      </c>
      <c r="D1654" s="2">
        <v>0.42188657407407409</v>
      </c>
      <c r="E1654" s="2">
        <v>0.43138888888888888</v>
      </c>
    </row>
    <row r="1655" spans="1:5" x14ac:dyDescent="0.25">
      <c r="A1655">
        <v>6940373</v>
      </c>
      <c r="B1655" t="str">
        <f t="shared" si="25"/>
        <v>stacjonarny</v>
      </c>
      <c r="C1655" s="1">
        <v>42941</v>
      </c>
      <c r="D1655" s="2">
        <v>0.42711805555555554</v>
      </c>
      <c r="E1655" s="2">
        <v>0.43450231481481483</v>
      </c>
    </row>
    <row r="1656" spans="1:5" x14ac:dyDescent="0.25">
      <c r="A1656">
        <v>81613163</v>
      </c>
      <c r="B1656" t="str">
        <f t="shared" si="25"/>
        <v>komorkowy</v>
      </c>
      <c r="C1656" s="1">
        <v>42941</v>
      </c>
      <c r="D1656" s="2">
        <v>0.43004629629629632</v>
      </c>
      <c r="E1656" s="2">
        <v>0.43855324074074076</v>
      </c>
    </row>
    <row r="1657" spans="1:5" x14ac:dyDescent="0.25">
      <c r="A1657">
        <v>9894998</v>
      </c>
      <c r="B1657" t="str">
        <f t="shared" si="25"/>
        <v>stacjonarny</v>
      </c>
      <c r="C1657" s="1">
        <v>42941</v>
      </c>
      <c r="D1657" s="2">
        <v>0.4344675925925926</v>
      </c>
      <c r="E1657" s="2">
        <v>0.44442129629629629</v>
      </c>
    </row>
    <row r="1658" spans="1:5" x14ac:dyDescent="0.25">
      <c r="A1658">
        <v>7663988</v>
      </c>
      <c r="B1658" t="str">
        <f t="shared" si="25"/>
        <v>stacjonarny</v>
      </c>
      <c r="C1658" s="1">
        <v>42941</v>
      </c>
      <c r="D1658" s="2">
        <v>0.43884259259259262</v>
      </c>
      <c r="E1658" s="2">
        <v>0.44464120370370369</v>
      </c>
    </row>
    <row r="1659" spans="1:5" x14ac:dyDescent="0.25">
      <c r="A1659">
        <v>29555837</v>
      </c>
      <c r="B1659" t="str">
        <f t="shared" si="25"/>
        <v>komorkowy</v>
      </c>
      <c r="C1659" s="1">
        <v>42941</v>
      </c>
      <c r="D1659" s="2">
        <v>0.44231481481481483</v>
      </c>
      <c r="E1659" s="2">
        <v>0.45185185185185184</v>
      </c>
    </row>
    <row r="1660" spans="1:5" x14ac:dyDescent="0.25">
      <c r="A1660">
        <v>6890486</v>
      </c>
      <c r="B1660" t="str">
        <f t="shared" si="25"/>
        <v>stacjonarny</v>
      </c>
      <c r="C1660" s="1">
        <v>42941</v>
      </c>
      <c r="D1660" s="2">
        <v>0.44594907407407408</v>
      </c>
      <c r="E1660" s="2">
        <v>0.45099537037037035</v>
      </c>
    </row>
    <row r="1661" spans="1:5" x14ac:dyDescent="0.25">
      <c r="A1661">
        <v>1992079</v>
      </c>
      <c r="B1661" t="str">
        <f t="shared" si="25"/>
        <v>stacjonarny</v>
      </c>
      <c r="C1661" s="1">
        <v>42941</v>
      </c>
      <c r="D1661" s="2">
        <v>0.45004629629629628</v>
      </c>
      <c r="E1661" s="2">
        <v>0.45568287037037036</v>
      </c>
    </row>
    <row r="1662" spans="1:5" x14ac:dyDescent="0.25">
      <c r="A1662">
        <v>7599611</v>
      </c>
      <c r="B1662" t="str">
        <f t="shared" si="25"/>
        <v>stacjonarny</v>
      </c>
      <c r="C1662" s="1">
        <v>42941</v>
      </c>
      <c r="D1662" s="2">
        <v>0.45217592592592593</v>
      </c>
      <c r="E1662" s="2">
        <v>0.4568402777777778</v>
      </c>
    </row>
    <row r="1663" spans="1:5" x14ac:dyDescent="0.25">
      <c r="A1663">
        <v>1418351</v>
      </c>
      <c r="B1663" t="str">
        <f t="shared" si="25"/>
        <v>stacjonarny</v>
      </c>
      <c r="C1663" s="1">
        <v>42941</v>
      </c>
      <c r="D1663" s="2">
        <v>0.45377314814814818</v>
      </c>
      <c r="E1663" s="2">
        <v>0.45409722222222221</v>
      </c>
    </row>
    <row r="1664" spans="1:5" x14ac:dyDescent="0.25">
      <c r="A1664">
        <v>5883714</v>
      </c>
      <c r="B1664" t="str">
        <f t="shared" si="25"/>
        <v>stacjonarny</v>
      </c>
      <c r="C1664" s="1">
        <v>42941</v>
      </c>
      <c r="D1664" s="2">
        <v>0.45886574074074077</v>
      </c>
      <c r="E1664" s="2">
        <v>0.46630787037037036</v>
      </c>
    </row>
    <row r="1665" spans="1:5" x14ac:dyDescent="0.25">
      <c r="A1665">
        <v>1457083</v>
      </c>
      <c r="B1665" t="str">
        <f t="shared" si="25"/>
        <v>stacjonarny</v>
      </c>
      <c r="C1665" s="1">
        <v>42941</v>
      </c>
      <c r="D1665" s="2">
        <v>0.46381944444444445</v>
      </c>
      <c r="E1665" s="2">
        <v>0.47520833333333334</v>
      </c>
    </row>
    <row r="1666" spans="1:5" x14ac:dyDescent="0.25">
      <c r="A1666">
        <v>9948096</v>
      </c>
      <c r="B1666" t="str">
        <f t="shared" si="25"/>
        <v>stacjonarny</v>
      </c>
      <c r="C1666" s="1">
        <v>42941</v>
      </c>
      <c r="D1666" s="2">
        <v>0.46564814814814814</v>
      </c>
      <c r="E1666" s="2">
        <v>0.47028935185185183</v>
      </c>
    </row>
    <row r="1667" spans="1:5" x14ac:dyDescent="0.25">
      <c r="A1667">
        <v>2567031</v>
      </c>
      <c r="B1667" t="str">
        <f t="shared" ref="B1667:B1730" si="26">IF(LEN(A1667)=7, "stacjonarny", IF(LEN(A1667)=8, "komorkowy", "zagraniczny"))</f>
        <v>stacjonarny</v>
      </c>
      <c r="C1667" s="1">
        <v>42941</v>
      </c>
      <c r="D1667" s="2">
        <v>0.47077546296296297</v>
      </c>
      <c r="E1667" s="2">
        <v>0.47538194444444443</v>
      </c>
    </row>
    <row r="1668" spans="1:5" x14ac:dyDescent="0.25">
      <c r="A1668">
        <v>5952625</v>
      </c>
      <c r="B1668" t="str">
        <f t="shared" si="26"/>
        <v>stacjonarny</v>
      </c>
      <c r="C1668" s="1">
        <v>42941</v>
      </c>
      <c r="D1668" s="2">
        <v>0.4729976851851852</v>
      </c>
      <c r="E1668" s="2">
        <v>0.47553240740740743</v>
      </c>
    </row>
    <row r="1669" spans="1:5" x14ac:dyDescent="0.25">
      <c r="A1669">
        <v>8284495</v>
      </c>
      <c r="B1669" t="str">
        <f t="shared" si="26"/>
        <v>stacjonarny</v>
      </c>
      <c r="C1669" s="1">
        <v>42941</v>
      </c>
      <c r="D1669" s="2">
        <v>0.47385416666666669</v>
      </c>
      <c r="E1669" s="2">
        <v>0.47505787037037039</v>
      </c>
    </row>
    <row r="1670" spans="1:5" x14ac:dyDescent="0.25">
      <c r="A1670">
        <v>5354141</v>
      </c>
      <c r="B1670" t="str">
        <f t="shared" si="26"/>
        <v>stacjonarny</v>
      </c>
      <c r="C1670" s="1">
        <v>42941</v>
      </c>
      <c r="D1670" s="2">
        <v>0.47591435185185182</v>
      </c>
      <c r="E1670" s="2">
        <v>0.47734953703703703</v>
      </c>
    </row>
    <row r="1671" spans="1:5" x14ac:dyDescent="0.25">
      <c r="A1671">
        <v>5713477</v>
      </c>
      <c r="B1671" t="str">
        <f t="shared" si="26"/>
        <v>stacjonarny</v>
      </c>
      <c r="C1671" s="1">
        <v>42941</v>
      </c>
      <c r="D1671" s="2">
        <v>0.4770138888888889</v>
      </c>
      <c r="E1671" s="2">
        <v>0.48685185185185187</v>
      </c>
    </row>
    <row r="1672" spans="1:5" x14ac:dyDescent="0.25">
      <c r="A1672">
        <v>6865322</v>
      </c>
      <c r="B1672" t="str">
        <f t="shared" si="26"/>
        <v>stacjonarny</v>
      </c>
      <c r="C1672" s="1">
        <v>42941</v>
      </c>
      <c r="D1672" s="2">
        <v>0.47781249999999997</v>
      </c>
      <c r="E1672" s="2">
        <v>0.48425925925925928</v>
      </c>
    </row>
    <row r="1673" spans="1:5" x14ac:dyDescent="0.25">
      <c r="A1673">
        <v>9007177570</v>
      </c>
      <c r="B1673" t="str">
        <f t="shared" si="26"/>
        <v>zagraniczny</v>
      </c>
      <c r="C1673" s="1">
        <v>42941</v>
      </c>
      <c r="D1673" s="2">
        <v>0.47957175925925927</v>
      </c>
      <c r="E1673" s="2">
        <v>0.48254629629629631</v>
      </c>
    </row>
    <row r="1674" spans="1:5" x14ac:dyDescent="0.25">
      <c r="A1674">
        <v>49920930</v>
      </c>
      <c r="B1674" t="str">
        <f t="shared" si="26"/>
        <v>komorkowy</v>
      </c>
      <c r="C1674" s="1">
        <v>42941</v>
      </c>
      <c r="D1674" s="2">
        <v>0.48457175925925927</v>
      </c>
      <c r="E1674" s="2">
        <v>0.48851851851851852</v>
      </c>
    </row>
    <row r="1675" spans="1:5" x14ac:dyDescent="0.25">
      <c r="A1675">
        <v>3624713</v>
      </c>
      <c r="B1675" t="str">
        <f t="shared" si="26"/>
        <v>stacjonarny</v>
      </c>
      <c r="C1675" s="1">
        <v>42941</v>
      </c>
      <c r="D1675" s="2">
        <v>0.48563657407407407</v>
      </c>
      <c r="E1675" s="2">
        <v>0.49687500000000001</v>
      </c>
    </row>
    <row r="1676" spans="1:5" x14ac:dyDescent="0.25">
      <c r="A1676">
        <v>39848401</v>
      </c>
      <c r="B1676" t="str">
        <f t="shared" si="26"/>
        <v>komorkowy</v>
      </c>
      <c r="C1676" s="1">
        <v>42941</v>
      </c>
      <c r="D1676" s="2">
        <v>0.48615740740740743</v>
      </c>
      <c r="E1676" s="2">
        <v>0.49478009259259259</v>
      </c>
    </row>
    <row r="1677" spans="1:5" x14ac:dyDescent="0.25">
      <c r="A1677">
        <v>4131448</v>
      </c>
      <c r="B1677" t="str">
        <f t="shared" si="26"/>
        <v>stacjonarny</v>
      </c>
      <c r="C1677" s="1">
        <v>42941</v>
      </c>
      <c r="D1677" s="2">
        <v>0.48975694444444445</v>
      </c>
      <c r="E1677" s="2">
        <v>0.49530092592592595</v>
      </c>
    </row>
    <row r="1678" spans="1:5" x14ac:dyDescent="0.25">
      <c r="A1678">
        <v>2239958</v>
      </c>
      <c r="B1678" t="str">
        <f t="shared" si="26"/>
        <v>stacjonarny</v>
      </c>
      <c r="C1678" s="1">
        <v>42941</v>
      </c>
      <c r="D1678" s="2">
        <v>0.49523148148148149</v>
      </c>
      <c r="E1678" s="2">
        <v>0.49962962962962965</v>
      </c>
    </row>
    <row r="1679" spans="1:5" x14ac:dyDescent="0.25">
      <c r="A1679">
        <v>3680149</v>
      </c>
      <c r="B1679" t="str">
        <f t="shared" si="26"/>
        <v>stacjonarny</v>
      </c>
      <c r="C1679" s="1">
        <v>42941</v>
      </c>
      <c r="D1679" s="2">
        <v>0.49556712962962962</v>
      </c>
      <c r="E1679" s="2">
        <v>0.49927083333333333</v>
      </c>
    </row>
    <row r="1680" spans="1:5" x14ac:dyDescent="0.25">
      <c r="A1680">
        <v>3654212</v>
      </c>
      <c r="B1680" t="str">
        <f t="shared" si="26"/>
        <v>stacjonarny</v>
      </c>
      <c r="C1680" s="1">
        <v>42941</v>
      </c>
      <c r="D1680" s="2">
        <v>0.49739583333333331</v>
      </c>
      <c r="E1680" s="2">
        <v>0.49787037037037035</v>
      </c>
    </row>
    <row r="1681" spans="1:5" x14ac:dyDescent="0.25">
      <c r="A1681">
        <v>3192053</v>
      </c>
      <c r="B1681" t="str">
        <f t="shared" si="26"/>
        <v>stacjonarny</v>
      </c>
      <c r="C1681" s="1">
        <v>42941</v>
      </c>
      <c r="D1681" s="2">
        <v>0.49796296296296294</v>
      </c>
      <c r="E1681" s="2">
        <v>0.5053009259259259</v>
      </c>
    </row>
    <row r="1682" spans="1:5" x14ac:dyDescent="0.25">
      <c r="A1682">
        <v>2355456</v>
      </c>
      <c r="B1682" t="str">
        <f t="shared" si="26"/>
        <v>stacjonarny</v>
      </c>
      <c r="C1682" s="1">
        <v>42941</v>
      </c>
      <c r="D1682" s="2">
        <v>0.50027777777777782</v>
      </c>
      <c r="E1682" s="2">
        <v>0.50983796296296291</v>
      </c>
    </row>
    <row r="1683" spans="1:5" x14ac:dyDescent="0.25">
      <c r="A1683">
        <v>64932677</v>
      </c>
      <c r="B1683" t="str">
        <f t="shared" si="26"/>
        <v>komorkowy</v>
      </c>
      <c r="C1683" s="1">
        <v>42941</v>
      </c>
      <c r="D1683" s="2">
        <v>0.50436342592592598</v>
      </c>
      <c r="E1683" s="2">
        <v>0.51339120370370372</v>
      </c>
    </row>
    <row r="1684" spans="1:5" x14ac:dyDescent="0.25">
      <c r="A1684">
        <v>9419117</v>
      </c>
      <c r="B1684" t="str">
        <f t="shared" si="26"/>
        <v>stacjonarny</v>
      </c>
      <c r="C1684" s="1">
        <v>42941</v>
      </c>
      <c r="D1684" s="2">
        <v>0.50545138888888885</v>
      </c>
      <c r="E1684" s="2">
        <v>0.50761574074074078</v>
      </c>
    </row>
    <row r="1685" spans="1:5" x14ac:dyDescent="0.25">
      <c r="A1685">
        <v>2509631</v>
      </c>
      <c r="B1685" t="str">
        <f t="shared" si="26"/>
        <v>stacjonarny</v>
      </c>
      <c r="C1685" s="1">
        <v>42941</v>
      </c>
      <c r="D1685" s="2">
        <v>0.51025462962962964</v>
      </c>
      <c r="E1685" s="2">
        <v>0.52134259259259264</v>
      </c>
    </row>
    <row r="1686" spans="1:5" x14ac:dyDescent="0.25">
      <c r="A1686">
        <v>4505950</v>
      </c>
      <c r="B1686" t="str">
        <f t="shared" si="26"/>
        <v>stacjonarny</v>
      </c>
      <c r="C1686" s="1">
        <v>42941</v>
      </c>
      <c r="D1686" s="2">
        <v>0.51373842592592589</v>
      </c>
      <c r="E1686" s="2">
        <v>0.52304398148148146</v>
      </c>
    </row>
    <row r="1687" spans="1:5" x14ac:dyDescent="0.25">
      <c r="A1687">
        <v>39663331</v>
      </c>
      <c r="B1687" t="str">
        <f t="shared" si="26"/>
        <v>komorkowy</v>
      </c>
      <c r="C1687" s="1">
        <v>42941</v>
      </c>
      <c r="D1687" s="2">
        <v>0.51447916666666671</v>
      </c>
      <c r="E1687" s="2">
        <v>0.51800925925925922</v>
      </c>
    </row>
    <row r="1688" spans="1:5" x14ac:dyDescent="0.25">
      <c r="A1688">
        <v>73350537</v>
      </c>
      <c r="B1688" t="str">
        <f t="shared" si="26"/>
        <v>komorkowy</v>
      </c>
      <c r="C1688" s="1">
        <v>42941</v>
      </c>
      <c r="D1688" s="2">
        <v>0.51847222222222222</v>
      </c>
      <c r="E1688" s="2">
        <v>0.5267708333333333</v>
      </c>
    </row>
    <row r="1689" spans="1:5" x14ac:dyDescent="0.25">
      <c r="A1689">
        <v>36929553</v>
      </c>
      <c r="B1689" t="str">
        <f t="shared" si="26"/>
        <v>komorkowy</v>
      </c>
      <c r="C1689" s="1">
        <v>42941</v>
      </c>
      <c r="D1689" s="2">
        <v>0.52155092592592589</v>
      </c>
      <c r="E1689" s="2">
        <v>0.52667824074074077</v>
      </c>
    </row>
    <row r="1690" spans="1:5" x14ac:dyDescent="0.25">
      <c r="A1690">
        <v>74135093</v>
      </c>
      <c r="B1690" t="str">
        <f t="shared" si="26"/>
        <v>komorkowy</v>
      </c>
      <c r="C1690" s="1">
        <v>42941</v>
      </c>
      <c r="D1690" s="2">
        <v>0.52232638888888894</v>
      </c>
      <c r="E1690" s="2">
        <v>0.52666666666666662</v>
      </c>
    </row>
    <row r="1691" spans="1:5" x14ac:dyDescent="0.25">
      <c r="A1691">
        <v>3505978</v>
      </c>
      <c r="B1691" t="str">
        <f t="shared" si="26"/>
        <v>stacjonarny</v>
      </c>
      <c r="C1691" s="1">
        <v>42941</v>
      </c>
      <c r="D1691" s="2">
        <v>0.52393518518518523</v>
      </c>
      <c r="E1691" s="2">
        <v>0.53479166666666667</v>
      </c>
    </row>
    <row r="1692" spans="1:5" x14ac:dyDescent="0.25">
      <c r="A1692">
        <v>4483996</v>
      </c>
      <c r="B1692" t="str">
        <f t="shared" si="26"/>
        <v>stacjonarny</v>
      </c>
      <c r="C1692" s="1">
        <v>42941</v>
      </c>
      <c r="D1692" s="2">
        <v>0.52584490740740741</v>
      </c>
      <c r="E1692" s="2">
        <v>0.53660879629629632</v>
      </c>
    </row>
    <row r="1693" spans="1:5" x14ac:dyDescent="0.25">
      <c r="A1693">
        <v>6264844</v>
      </c>
      <c r="B1693" t="str">
        <f t="shared" si="26"/>
        <v>stacjonarny</v>
      </c>
      <c r="C1693" s="1">
        <v>42941</v>
      </c>
      <c r="D1693" s="2">
        <v>0.52655092592592589</v>
      </c>
      <c r="E1693" s="2">
        <v>0.52703703703703708</v>
      </c>
    </row>
    <row r="1694" spans="1:5" x14ac:dyDescent="0.25">
      <c r="A1694">
        <v>92127966</v>
      </c>
      <c r="B1694" t="str">
        <f t="shared" si="26"/>
        <v>komorkowy</v>
      </c>
      <c r="C1694" s="1">
        <v>42941</v>
      </c>
      <c r="D1694" s="2">
        <v>0.5317708333333333</v>
      </c>
      <c r="E1694" s="2">
        <v>0.53724537037037035</v>
      </c>
    </row>
    <row r="1695" spans="1:5" x14ac:dyDescent="0.25">
      <c r="A1695">
        <v>7353916</v>
      </c>
      <c r="B1695" t="str">
        <f t="shared" si="26"/>
        <v>stacjonarny</v>
      </c>
      <c r="C1695" s="1">
        <v>42941</v>
      </c>
      <c r="D1695" s="2">
        <v>0.53456018518518522</v>
      </c>
      <c r="E1695" s="2">
        <v>0.53718750000000004</v>
      </c>
    </row>
    <row r="1696" spans="1:5" x14ac:dyDescent="0.25">
      <c r="A1696">
        <v>5440420</v>
      </c>
      <c r="B1696" t="str">
        <f t="shared" si="26"/>
        <v>stacjonarny</v>
      </c>
      <c r="C1696" s="1">
        <v>42941</v>
      </c>
      <c r="D1696" s="2">
        <v>0.53535879629629635</v>
      </c>
      <c r="E1696" s="2">
        <v>0.54219907407407408</v>
      </c>
    </row>
    <row r="1697" spans="1:5" x14ac:dyDescent="0.25">
      <c r="A1697">
        <v>8840288</v>
      </c>
      <c r="B1697" t="str">
        <f t="shared" si="26"/>
        <v>stacjonarny</v>
      </c>
      <c r="C1697" s="1">
        <v>42941</v>
      </c>
      <c r="D1697" s="2">
        <v>0.53964120370370372</v>
      </c>
      <c r="E1697" s="2">
        <v>0.54101851851851857</v>
      </c>
    </row>
    <row r="1698" spans="1:5" x14ac:dyDescent="0.25">
      <c r="A1698">
        <v>9007177570</v>
      </c>
      <c r="B1698" t="str">
        <f t="shared" si="26"/>
        <v>zagraniczny</v>
      </c>
      <c r="C1698" s="1">
        <v>42941</v>
      </c>
      <c r="D1698" s="2">
        <v>0.54324074074074069</v>
      </c>
      <c r="E1698" s="2">
        <v>0.54956018518518523</v>
      </c>
    </row>
    <row r="1699" spans="1:5" x14ac:dyDescent="0.25">
      <c r="A1699">
        <v>24850212</v>
      </c>
      <c r="B1699" t="str">
        <f t="shared" si="26"/>
        <v>komorkowy</v>
      </c>
      <c r="C1699" s="1">
        <v>42941</v>
      </c>
      <c r="D1699" s="2">
        <v>0.54350694444444447</v>
      </c>
      <c r="E1699" s="2">
        <v>0.54767361111111112</v>
      </c>
    </row>
    <row r="1700" spans="1:5" x14ac:dyDescent="0.25">
      <c r="A1700">
        <v>7857206</v>
      </c>
      <c r="B1700" t="str">
        <f t="shared" si="26"/>
        <v>stacjonarny</v>
      </c>
      <c r="C1700" s="1">
        <v>42941</v>
      </c>
      <c r="D1700" s="2">
        <v>0.54858796296296297</v>
      </c>
      <c r="E1700" s="2">
        <v>0.55077546296296298</v>
      </c>
    </row>
    <row r="1701" spans="1:5" x14ac:dyDescent="0.25">
      <c r="A1701">
        <v>9007177570</v>
      </c>
      <c r="B1701" t="str">
        <f t="shared" si="26"/>
        <v>zagraniczny</v>
      </c>
      <c r="C1701" s="1">
        <v>42941</v>
      </c>
      <c r="D1701" s="2">
        <v>0.5519560185185185</v>
      </c>
      <c r="E1701" s="2">
        <v>0.55625000000000002</v>
      </c>
    </row>
    <row r="1702" spans="1:5" x14ac:dyDescent="0.25">
      <c r="A1702">
        <v>96375379</v>
      </c>
      <c r="B1702" t="str">
        <f t="shared" si="26"/>
        <v>komorkowy</v>
      </c>
      <c r="C1702" s="1">
        <v>42941</v>
      </c>
      <c r="D1702" s="2">
        <v>0.55320601851851847</v>
      </c>
      <c r="E1702" s="2">
        <v>0.55569444444444449</v>
      </c>
    </row>
    <row r="1703" spans="1:5" x14ac:dyDescent="0.25">
      <c r="A1703">
        <v>6146223</v>
      </c>
      <c r="B1703" t="str">
        <f t="shared" si="26"/>
        <v>stacjonarny</v>
      </c>
      <c r="C1703" s="1">
        <v>42941</v>
      </c>
      <c r="D1703" s="2">
        <v>0.55517361111111108</v>
      </c>
      <c r="E1703" s="2">
        <v>0.56013888888888885</v>
      </c>
    </row>
    <row r="1704" spans="1:5" x14ac:dyDescent="0.25">
      <c r="A1704">
        <v>7119239917</v>
      </c>
      <c r="B1704" t="str">
        <f t="shared" si="26"/>
        <v>zagraniczny</v>
      </c>
      <c r="C1704" s="1">
        <v>42941</v>
      </c>
      <c r="D1704" s="2">
        <v>0.56033564814814818</v>
      </c>
      <c r="E1704" s="2">
        <v>0.56570601851851854</v>
      </c>
    </row>
    <row r="1705" spans="1:5" x14ac:dyDescent="0.25">
      <c r="A1705">
        <v>8622421</v>
      </c>
      <c r="B1705" t="str">
        <f t="shared" si="26"/>
        <v>stacjonarny</v>
      </c>
      <c r="C1705" s="1">
        <v>42941</v>
      </c>
      <c r="D1705" s="2">
        <v>0.56459490740740736</v>
      </c>
      <c r="E1705" s="2">
        <v>0.56638888888888894</v>
      </c>
    </row>
    <row r="1706" spans="1:5" x14ac:dyDescent="0.25">
      <c r="A1706">
        <v>2304726</v>
      </c>
      <c r="B1706" t="str">
        <f t="shared" si="26"/>
        <v>stacjonarny</v>
      </c>
      <c r="C1706" s="1">
        <v>42941</v>
      </c>
      <c r="D1706" s="2">
        <v>0.56620370370370365</v>
      </c>
      <c r="E1706" s="2">
        <v>0.57226851851851857</v>
      </c>
    </row>
    <row r="1707" spans="1:5" x14ac:dyDescent="0.25">
      <c r="A1707">
        <v>9183185</v>
      </c>
      <c r="B1707" t="str">
        <f t="shared" si="26"/>
        <v>stacjonarny</v>
      </c>
      <c r="C1707" s="1">
        <v>42941</v>
      </c>
      <c r="D1707" s="2">
        <v>0.56643518518518521</v>
      </c>
      <c r="E1707" s="2">
        <v>0.5687268518518519</v>
      </c>
    </row>
    <row r="1708" spans="1:5" x14ac:dyDescent="0.25">
      <c r="A1708">
        <v>2185216</v>
      </c>
      <c r="B1708" t="str">
        <f t="shared" si="26"/>
        <v>stacjonarny</v>
      </c>
      <c r="C1708" s="1">
        <v>42941</v>
      </c>
      <c r="D1708" s="2">
        <v>0.56959490740740737</v>
      </c>
      <c r="E1708" s="2">
        <v>0.57927083333333329</v>
      </c>
    </row>
    <row r="1709" spans="1:5" x14ac:dyDescent="0.25">
      <c r="A1709">
        <v>9664191</v>
      </c>
      <c r="B1709" t="str">
        <f t="shared" si="26"/>
        <v>stacjonarny</v>
      </c>
      <c r="C1709" s="1">
        <v>42941</v>
      </c>
      <c r="D1709" s="2">
        <v>0.56974537037037032</v>
      </c>
      <c r="E1709" s="2">
        <v>0.57015046296296301</v>
      </c>
    </row>
    <row r="1710" spans="1:5" x14ac:dyDescent="0.25">
      <c r="A1710">
        <v>8743781</v>
      </c>
      <c r="B1710" t="str">
        <f t="shared" si="26"/>
        <v>stacjonarny</v>
      </c>
      <c r="C1710" s="1">
        <v>42941</v>
      </c>
      <c r="D1710" s="2">
        <v>0.57284722222222217</v>
      </c>
      <c r="E1710" s="2">
        <v>0.58149305555555553</v>
      </c>
    </row>
    <row r="1711" spans="1:5" x14ac:dyDescent="0.25">
      <c r="A1711">
        <v>97997759</v>
      </c>
      <c r="B1711" t="str">
        <f t="shared" si="26"/>
        <v>komorkowy</v>
      </c>
      <c r="C1711" s="1">
        <v>42941</v>
      </c>
      <c r="D1711" s="2">
        <v>0.57335648148148144</v>
      </c>
      <c r="E1711" s="2">
        <v>0.5735069444444445</v>
      </c>
    </row>
    <row r="1712" spans="1:5" x14ac:dyDescent="0.25">
      <c r="A1712">
        <v>4100331</v>
      </c>
      <c r="B1712" t="str">
        <f t="shared" si="26"/>
        <v>stacjonarny</v>
      </c>
      <c r="C1712" s="1">
        <v>42941</v>
      </c>
      <c r="D1712" s="2">
        <v>0.57863425925925926</v>
      </c>
      <c r="E1712" s="2">
        <v>0.58030092592592597</v>
      </c>
    </row>
    <row r="1713" spans="1:5" x14ac:dyDescent="0.25">
      <c r="A1713">
        <v>7215284</v>
      </c>
      <c r="B1713" t="str">
        <f t="shared" si="26"/>
        <v>stacjonarny</v>
      </c>
      <c r="C1713" s="1">
        <v>42941</v>
      </c>
      <c r="D1713" s="2">
        <v>0.57974537037037033</v>
      </c>
      <c r="E1713" s="2">
        <v>0.59083333333333332</v>
      </c>
    </row>
    <row r="1714" spans="1:5" x14ac:dyDescent="0.25">
      <c r="A1714">
        <v>9474267</v>
      </c>
      <c r="B1714" t="str">
        <f t="shared" si="26"/>
        <v>stacjonarny</v>
      </c>
      <c r="C1714" s="1">
        <v>42941</v>
      </c>
      <c r="D1714" s="2">
        <v>0.58423611111111107</v>
      </c>
      <c r="E1714" s="2">
        <v>0.59392361111111114</v>
      </c>
    </row>
    <row r="1715" spans="1:5" x14ac:dyDescent="0.25">
      <c r="A1715">
        <v>3200206</v>
      </c>
      <c r="B1715" t="str">
        <f t="shared" si="26"/>
        <v>stacjonarny</v>
      </c>
      <c r="C1715" s="1">
        <v>42941</v>
      </c>
      <c r="D1715" s="2">
        <v>0.58784722222222219</v>
      </c>
      <c r="E1715" s="2">
        <v>0.59894675925925922</v>
      </c>
    </row>
    <row r="1716" spans="1:5" x14ac:dyDescent="0.25">
      <c r="A1716">
        <v>72014227</v>
      </c>
      <c r="B1716" t="str">
        <f t="shared" si="26"/>
        <v>komorkowy</v>
      </c>
      <c r="C1716" s="1">
        <v>42941</v>
      </c>
      <c r="D1716" s="2">
        <v>0.58899305555555559</v>
      </c>
      <c r="E1716" s="2">
        <v>0.59116898148148145</v>
      </c>
    </row>
    <row r="1717" spans="1:5" x14ac:dyDescent="0.25">
      <c r="A1717">
        <v>3976931</v>
      </c>
      <c r="B1717" t="str">
        <f t="shared" si="26"/>
        <v>stacjonarny</v>
      </c>
      <c r="C1717" s="1">
        <v>42941</v>
      </c>
      <c r="D1717" s="2">
        <v>0.59350694444444441</v>
      </c>
      <c r="E1717" s="2">
        <v>0.59811342592592598</v>
      </c>
    </row>
    <row r="1718" spans="1:5" x14ac:dyDescent="0.25">
      <c r="A1718">
        <v>6717763</v>
      </c>
      <c r="B1718" t="str">
        <f t="shared" si="26"/>
        <v>stacjonarny</v>
      </c>
      <c r="C1718" s="1">
        <v>42941</v>
      </c>
      <c r="D1718" s="2">
        <v>0.596099537037037</v>
      </c>
      <c r="E1718" s="2">
        <v>0.60069444444444442</v>
      </c>
    </row>
    <row r="1719" spans="1:5" x14ac:dyDescent="0.25">
      <c r="A1719">
        <v>2117176</v>
      </c>
      <c r="B1719" t="str">
        <f t="shared" si="26"/>
        <v>stacjonarny</v>
      </c>
      <c r="C1719" s="1">
        <v>42941</v>
      </c>
      <c r="D1719" s="2">
        <v>0.5995138888888889</v>
      </c>
      <c r="E1719" s="2">
        <v>0.60322916666666671</v>
      </c>
    </row>
    <row r="1720" spans="1:5" x14ac:dyDescent="0.25">
      <c r="A1720">
        <v>67688044</v>
      </c>
      <c r="B1720" t="str">
        <f t="shared" si="26"/>
        <v>komorkowy</v>
      </c>
      <c r="C1720" s="1">
        <v>42941</v>
      </c>
      <c r="D1720" s="2">
        <v>0.60341435185185188</v>
      </c>
      <c r="E1720" s="2">
        <v>0.60423611111111108</v>
      </c>
    </row>
    <row r="1721" spans="1:5" x14ac:dyDescent="0.25">
      <c r="A1721">
        <v>3824371</v>
      </c>
      <c r="B1721" t="str">
        <f t="shared" si="26"/>
        <v>stacjonarny</v>
      </c>
      <c r="C1721" s="1">
        <v>42941</v>
      </c>
      <c r="D1721" s="2">
        <v>0.60442129629629626</v>
      </c>
      <c r="E1721" s="2">
        <v>0.61266203703703703</v>
      </c>
    </row>
    <row r="1722" spans="1:5" x14ac:dyDescent="0.25">
      <c r="A1722">
        <v>3025855</v>
      </c>
      <c r="B1722" t="str">
        <f t="shared" si="26"/>
        <v>stacjonarny</v>
      </c>
      <c r="C1722" s="1">
        <v>42941</v>
      </c>
      <c r="D1722" s="2">
        <v>0.60601851851851851</v>
      </c>
      <c r="E1722" s="2">
        <v>0.60782407407407413</v>
      </c>
    </row>
    <row r="1723" spans="1:5" x14ac:dyDescent="0.25">
      <c r="A1723">
        <v>8773356</v>
      </c>
      <c r="B1723" t="str">
        <f t="shared" si="26"/>
        <v>stacjonarny</v>
      </c>
      <c r="C1723" s="1">
        <v>42941</v>
      </c>
      <c r="D1723" s="2">
        <v>0.60879629629629628</v>
      </c>
      <c r="E1723" s="2">
        <v>0.61106481481481478</v>
      </c>
    </row>
    <row r="1724" spans="1:5" x14ac:dyDescent="0.25">
      <c r="A1724">
        <v>1211446</v>
      </c>
      <c r="B1724" t="str">
        <f t="shared" si="26"/>
        <v>stacjonarny</v>
      </c>
      <c r="C1724" s="1">
        <v>42941</v>
      </c>
      <c r="D1724" s="2">
        <v>0.61202546296296301</v>
      </c>
      <c r="E1724" s="2">
        <v>0.62135416666666665</v>
      </c>
    </row>
    <row r="1725" spans="1:5" x14ac:dyDescent="0.25">
      <c r="A1725">
        <v>3607585</v>
      </c>
      <c r="B1725" t="str">
        <f t="shared" si="26"/>
        <v>stacjonarny</v>
      </c>
      <c r="C1725" s="1">
        <v>42941</v>
      </c>
      <c r="D1725" s="2">
        <v>0.61460648148148145</v>
      </c>
      <c r="E1725" s="2">
        <v>0.62116898148148147</v>
      </c>
    </row>
    <row r="1726" spans="1:5" x14ac:dyDescent="0.25">
      <c r="A1726">
        <v>5492379</v>
      </c>
      <c r="B1726" t="str">
        <f t="shared" si="26"/>
        <v>stacjonarny</v>
      </c>
      <c r="C1726" s="1">
        <v>42941</v>
      </c>
      <c r="D1726" s="2">
        <v>0.61895833333333339</v>
      </c>
      <c r="E1726" s="2">
        <v>0.61971064814814814</v>
      </c>
    </row>
    <row r="1727" spans="1:5" x14ac:dyDescent="0.25">
      <c r="A1727">
        <v>84589848</v>
      </c>
      <c r="B1727" t="str">
        <f t="shared" si="26"/>
        <v>komorkowy</v>
      </c>
      <c r="C1727" s="1">
        <v>42941</v>
      </c>
      <c r="D1727" s="2">
        <v>0.61971064814814814</v>
      </c>
      <c r="E1727" s="2">
        <v>0.62334490740740744</v>
      </c>
    </row>
    <row r="1728" spans="1:5" x14ac:dyDescent="0.25">
      <c r="A1728">
        <v>7622848</v>
      </c>
      <c r="B1728" t="str">
        <f t="shared" si="26"/>
        <v>stacjonarny</v>
      </c>
      <c r="C1728" s="1">
        <v>42941</v>
      </c>
      <c r="D1728" s="2">
        <v>0.62008101851851849</v>
      </c>
      <c r="E1728" s="2">
        <v>0.62776620370370373</v>
      </c>
    </row>
    <row r="1729" spans="1:5" x14ac:dyDescent="0.25">
      <c r="A1729">
        <v>7883595</v>
      </c>
      <c r="B1729" t="str">
        <f t="shared" si="26"/>
        <v>stacjonarny</v>
      </c>
      <c r="C1729" s="1">
        <v>42941</v>
      </c>
      <c r="D1729" s="2">
        <v>0.62149305555555556</v>
      </c>
      <c r="E1729" s="2">
        <v>0.624537037037037</v>
      </c>
    </row>
    <row r="1730" spans="1:5" x14ac:dyDescent="0.25">
      <c r="A1730">
        <v>4804872</v>
      </c>
      <c r="B1730" t="str">
        <f t="shared" si="26"/>
        <v>stacjonarny</v>
      </c>
      <c r="C1730" s="1">
        <v>42941</v>
      </c>
      <c r="D1730" s="2">
        <v>0.62472222222222218</v>
      </c>
      <c r="E1730" s="2">
        <v>0.6360069444444445</v>
      </c>
    </row>
    <row r="1731" spans="1:5" x14ac:dyDescent="0.25">
      <c r="A1731">
        <v>61812355</v>
      </c>
      <c r="B1731" t="str">
        <f t="shared" ref="B1731:B1794" si="27">IF(LEN(A1731)=7, "stacjonarny", IF(LEN(A1731)=8, "komorkowy", "zagraniczny"))</f>
        <v>komorkowy</v>
      </c>
      <c r="C1731" s="1">
        <v>42941</v>
      </c>
      <c r="D1731" s="2">
        <v>0.6292592592592593</v>
      </c>
      <c r="E1731" s="2">
        <v>0.63806712962962964</v>
      </c>
    </row>
    <row r="1732" spans="1:5" x14ac:dyDescent="0.25">
      <c r="A1732">
        <v>6493766</v>
      </c>
      <c r="B1732" t="str">
        <f t="shared" si="27"/>
        <v>stacjonarny</v>
      </c>
      <c r="C1732" s="1">
        <v>42942</v>
      </c>
      <c r="D1732" s="2">
        <v>0.33584490740740741</v>
      </c>
      <c r="E1732" s="2">
        <v>0.33677083333333335</v>
      </c>
    </row>
    <row r="1733" spans="1:5" x14ac:dyDescent="0.25">
      <c r="A1733">
        <v>4965118</v>
      </c>
      <c r="B1733" t="str">
        <f t="shared" si="27"/>
        <v>stacjonarny</v>
      </c>
      <c r="C1733" s="1">
        <v>42942</v>
      </c>
      <c r="D1733" s="2">
        <v>0.33710648148148148</v>
      </c>
      <c r="E1733" s="2">
        <v>0.34759259259259262</v>
      </c>
    </row>
    <row r="1734" spans="1:5" x14ac:dyDescent="0.25">
      <c r="A1734">
        <v>7973476</v>
      </c>
      <c r="B1734" t="str">
        <f t="shared" si="27"/>
        <v>stacjonarny</v>
      </c>
      <c r="C1734" s="1">
        <v>42942</v>
      </c>
      <c r="D1734" s="2">
        <v>0.34250000000000003</v>
      </c>
      <c r="E1734" s="2">
        <v>0.35003472222222221</v>
      </c>
    </row>
    <row r="1735" spans="1:5" x14ac:dyDescent="0.25">
      <c r="A1735">
        <v>6642574</v>
      </c>
      <c r="B1735" t="str">
        <f t="shared" si="27"/>
        <v>stacjonarny</v>
      </c>
      <c r="C1735" s="1">
        <v>42942</v>
      </c>
      <c r="D1735" s="2">
        <v>0.34575231481481483</v>
      </c>
      <c r="E1735" s="2">
        <v>0.35645833333333332</v>
      </c>
    </row>
    <row r="1736" spans="1:5" x14ac:dyDescent="0.25">
      <c r="A1736">
        <v>2325155</v>
      </c>
      <c r="B1736" t="str">
        <f t="shared" si="27"/>
        <v>stacjonarny</v>
      </c>
      <c r="C1736" s="1">
        <v>42942</v>
      </c>
      <c r="D1736" s="2">
        <v>0.34759259259259262</v>
      </c>
      <c r="E1736" s="2">
        <v>0.35511574074074076</v>
      </c>
    </row>
    <row r="1737" spans="1:5" x14ac:dyDescent="0.25">
      <c r="A1737">
        <v>1340323</v>
      </c>
      <c r="B1737" t="str">
        <f t="shared" si="27"/>
        <v>stacjonarny</v>
      </c>
      <c r="C1737" s="1">
        <v>42942</v>
      </c>
      <c r="D1737" s="2">
        <v>0.34994212962962962</v>
      </c>
      <c r="E1737" s="2">
        <v>0.35781249999999998</v>
      </c>
    </row>
    <row r="1738" spans="1:5" x14ac:dyDescent="0.25">
      <c r="A1738">
        <v>8957203</v>
      </c>
      <c r="B1738" t="str">
        <f t="shared" si="27"/>
        <v>stacjonarny</v>
      </c>
      <c r="C1738" s="1">
        <v>42942</v>
      </c>
      <c r="D1738" s="2">
        <v>0.35454861111111113</v>
      </c>
      <c r="E1738" s="2">
        <v>0.3629398148148148</v>
      </c>
    </row>
    <row r="1739" spans="1:5" x14ac:dyDescent="0.25">
      <c r="A1739">
        <v>8276893</v>
      </c>
      <c r="B1739" t="str">
        <f t="shared" si="27"/>
        <v>stacjonarny</v>
      </c>
      <c r="C1739" s="1">
        <v>42942</v>
      </c>
      <c r="D1739" s="2">
        <v>0.3590740740740741</v>
      </c>
      <c r="E1739" s="2">
        <v>0.36600694444444443</v>
      </c>
    </row>
    <row r="1740" spans="1:5" x14ac:dyDescent="0.25">
      <c r="A1740">
        <v>7894591002</v>
      </c>
      <c r="B1740" t="str">
        <f t="shared" si="27"/>
        <v>zagraniczny</v>
      </c>
      <c r="C1740" s="1">
        <v>42942</v>
      </c>
      <c r="D1740" s="2">
        <v>0.36476851851851849</v>
      </c>
      <c r="E1740" s="2">
        <v>0.37505787037037036</v>
      </c>
    </row>
    <row r="1741" spans="1:5" x14ac:dyDescent="0.25">
      <c r="A1741">
        <v>26891502</v>
      </c>
      <c r="B1741" t="str">
        <f t="shared" si="27"/>
        <v>komorkowy</v>
      </c>
      <c r="C1741" s="1">
        <v>42942</v>
      </c>
      <c r="D1741" s="2">
        <v>0.3697685185185185</v>
      </c>
      <c r="E1741" s="2">
        <v>0.37656250000000002</v>
      </c>
    </row>
    <row r="1742" spans="1:5" x14ac:dyDescent="0.25">
      <c r="A1742">
        <v>71021004</v>
      </c>
      <c r="B1742" t="str">
        <f t="shared" si="27"/>
        <v>komorkowy</v>
      </c>
      <c r="C1742" s="1">
        <v>42942</v>
      </c>
      <c r="D1742" s="2">
        <v>0.37305555555555553</v>
      </c>
      <c r="E1742" s="2">
        <v>0.38090277777777776</v>
      </c>
    </row>
    <row r="1743" spans="1:5" x14ac:dyDescent="0.25">
      <c r="A1743">
        <v>17314583</v>
      </c>
      <c r="B1743" t="str">
        <f t="shared" si="27"/>
        <v>komorkowy</v>
      </c>
      <c r="C1743" s="1">
        <v>42942</v>
      </c>
      <c r="D1743" s="2">
        <v>0.37843749999999998</v>
      </c>
      <c r="E1743" s="2">
        <v>0.38879629629629631</v>
      </c>
    </row>
    <row r="1744" spans="1:5" x14ac:dyDescent="0.25">
      <c r="A1744">
        <v>3972159</v>
      </c>
      <c r="B1744" t="str">
        <f t="shared" si="27"/>
        <v>stacjonarny</v>
      </c>
      <c r="C1744" s="1">
        <v>42942</v>
      </c>
      <c r="D1744" s="2">
        <v>0.37895833333333334</v>
      </c>
      <c r="E1744" s="2">
        <v>0.38263888888888886</v>
      </c>
    </row>
    <row r="1745" spans="1:5" x14ac:dyDescent="0.25">
      <c r="A1745">
        <v>94989369</v>
      </c>
      <c r="B1745" t="str">
        <f t="shared" si="27"/>
        <v>komorkowy</v>
      </c>
      <c r="C1745" s="1">
        <v>42942</v>
      </c>
      <c r="D1745" s="2">
        <v>0.37965277777777778</v>
      </c>
      <c r="E1745" s="2">
        <v>0.39068287037037036</v>
      </c>
    </row>
    <row r="1746" spans="1:5" x14ac:dyDescent="0.25">
      <c r="A1746">
        <v>4857453</v>
      </c>
      <c r="B1746" t="str">
        <f t="shared" si="27"/>
        <v>stacjonarny</v>
      </c>
      <c r="C1746" s="1">
        <v>42942</v>
      </c>
      <c r="D1746" s="2">
        <v>0.38013888888888892</v>
      </c>
      <c r="E1746" s="2">
        <v>0.385625</v>
      </c>
    </row>
    <row r="1747" spans="1:5" x14ac:dyDescent="0.25">
      <c r="A1747">
        <v>7980513</v>
      </c>
      <c r="B1747" t="str">
        <f t="shared" si="27"/>
        <v>stacjonarny</v>
      </c>
      <c r="C1747" s="1">
        <v>42942</v>
      </c>
      <c r="D1747" s="2">
        <v>0.38197916666666665</v>
      </c>
      <c r="E1747" s="2">
        <v>0.38288194444444446</v>
      </c>
    </row>
    <row r="1748" spans="1:5" x14ac:dyDescent="0.25">
      <c r="A1748">
        <v>6896175</v>
      </c>
      <c r="B1748" t="str">
        <f t="shared" si="27"/>
        <v>stacjonarny</v>
      </c>
      <c r="C1748" s="1">
        <v>42942</v>
      </c>
      <c r="D1748" s="2">
        <v>0.38309027777777777</v>
      </c>
      <c r="E1748" s="2">
        <v>0.38425925925925924</v>
      </c>
    </row>
    <row r="1749" spans="1:5" x14ac:dyDescent="0.25">
      <c r="A1749">
        <v>1689993</v>
      </c>
      <c r="B1749" t="str">
        <f t="shared" si="27"/>
        <v>stacjonarny</v>
      </c>
      <c r="C1749" s="1">
        <v>42942</v>
      </c>
      <c r="D1749" s="2">
        <v>0.38337962962962963</v>
      </c>
      <c r="E1749" s="2">
        <v>0.38748842592592592</v>
      </c>
    </row>
    <row r="1750" spans="1:5" x14ac:dyDescent="0.25">
      <c r="A1750">
        <v>1183006</v>
      </c>
      <c r="B1750" t="str">
        <f t="shared" si="27"/>
        <v>stacjonarny</v>
      </c>
      <c r="C1750" s="1">
        <v>42942</v>
      </c>
      <c r="D1750" s="2">
        <v>0.38601851851851854</v>
      </c>
      <c r="E1750" s="2">
        <v>0.39283564814814814</v>
      </c>
    </row>
    <row r="1751" spans="1:5" x14ac:dyDescent="0.25">
      <c r="A1751">
        <v>9446278</v>
      </c>
      <c r="B1751" t="str">
        <f t="shared" si="27"/>
        <v>stacjonarny</v>
      </c>
      <c r="C1751" s="1">
        <v>42942</v>
      </c>
      <c r="D1751" s="2">
        <v>0.38871527777777776</v>
      </c>
      <c r="E1751" s="2">
        <v>0.38982638888888888</v>
      </c>
    </row>
    <row r="1752" spans="1:5" x14ac:dyDescent="0.25">
      <c r="A1752">
        <v>2445944</v>
      </c>
      <c r="B1752" t="str">
        <f t="shared" si="27"/>
        <v>stacjonarny</v>
      </c>
      <c r="C1752" s="1">
        <v>42942</v>
      </c>
      <c r="D1752" s="2">
        <v>0.3895601851851852</v>
      </c>
      <c r="E1752" s="2">
        <v>0.39548611111111109</v>
      </c>
    </row>
    <row r="1753" spans="1:5" x14ac:dyDescent="0.25">
      <c r="A1753">
        <v>4404713</v>
      </c>
      <c r="B1753" t="str">
        <f t="shared" si="27"/>
        <v>stacjonarny</v>
      </c>
      <c r="C1753" s="1">
        <v>42942</v>
      </c>
      <c r="D1753" s="2">
        <v>0.39533564814814814</v>
      </c>
      <c r="E1753" s="2">
        <v>0.39599537037037036</v>
      </c>
    </row>
    <row r="1754" spans="1:5" x14ac:dyDescent="0.25">
      <c r="A1754">
        <v>6495153</v>
      </c>
      <c r="B1754" t="str">
        <f t="shared" si="27"/>
        <v>stacjonarny</v>
      </c>
      <c r="C1754" s="1">
        <v>42942</v>
      </c>
      <c r="D1754" s="2">
        <v>0.4001736111111111</v>
      </c>
      <c r="E1754" s="2">
        <v>0.40406249999999999</v>
      </c>
    </row>
    <row r="1755" spans="1:5" x14ac:dyDescent="0.25">
      <c r="A1755">
        <v>2684831</v>
      </c>
      <c r="B1755" t="str">
        <f t="shared" si="27"/>
        <v>stacjonarny</v>
      </c>
      <c r="C1755" s="1">
        <v>42942</v>
      </c>
      <c r="D1755" s="2">
        <v>0.40130787037037036</v>
      </c>
      <c r="E1755" s="2">
        <v>0.40658564814814813</v>
      </c>
    </row>
    <row r="1756" spans="1:5" x14ac:dyDescent="0.25">
      <c r="A1756">
        <v>8748493</v>
      </c>
      <c r="B1756" t="str">
        <f t="shared" si="27"/>
        <v>stacjonarny</v>
      </c>
      <c r="C1756" s="1">
        <v>42942</v>
      </c>
      <c r="D1756" s="2">
        <v>0.40415509259259258</v>
      </c>
      <c r="E1756" s="2">
        <v>0.40443287037037035</v>
      </c>
    </row>
    <row r="1757" spans="1:5" x14ac:dyDescent="0.25">
      <c r="A1757">
        <v>7230252</v>
      </c>
      <c r="B1757" t="str">
        <f t="shared" si="27"/>
        <v>stacjonarny</v>
      </c>
      <c r="C1757" s="1">
        <v>42942</v>
      </c>
      <c r="D1757" s="2">
        <v>0.40771990740740743</v>
      </c>
      <c r="E1757" s="2">
        <v>0.41290509259259262</v>
      </c>
    </row>
    <row r="1758" spans="1:5" x14ac:dyDescent="0.25">
      <c r="A1758">
        <v>5082463</v>
      </c>
      <c r="B1758" t="str">
        <f t="shared" si="27"/>
        <v>stacjonarny</v>
      </c>
      <c r="C1758" s="1">
        <v>42942</v>
      </c>
      <c r="D1758" s="2">
        <v>0.41269675925925925</v>
      </c>
      <c r="E1758" s="2">
        <v>0.42046296296296298</v>
      </c>
    </row>
    <row r="1759" spans="1:5" x14ac:dyDescent="0.25">
      <c r="A1759">
        <v>1830054</v>
      </c>
      <c r="B1759" t="str">
        <f t="shared" si="27"/>
        <v>stacjonarny</v>
      </c>
      <c r="C1759" s="1">
        <v>42942</v>
      </c>
      <c r="D1759" s="2">
        <v>0.41390046296296296</v>
      </c>
      <c r="E1759" s="2">
        <v>0.42016203703703703</v>
      </c>
    </row>
    <row r="1760" spans="1:5" x14ac:dyDescent="0.25">
      <c r="A1760">
        <v>5223970</v>
      </c>
      <c r="B1760" t="str">
        <f t="shared" si="27"/>
        <v>stacjonarny</v>
      </c>
      <c r="C1760" s="1">
        <v>42942</v>
      </c>
      <c r="D1760" s="2">
        <v>0.41413194444444446</v>
      </c>
      <c r="E1760" s="2">
        <v>0.41684027777777777</v>
      </c>
    </row>
    <row r="1761" spans="1:5" x14ac:dyDescent="0.25">
      <c r="A1761">
        <v>8369071681</v>
      </c>
      <c r="B1761" t="str">
        <f t="shared" si="27"/>
        <v>zagraniczny</v>
      </c>
      <c r="C1761" s="1">
        <v>42942</v>
      </c>
      <c r="D1761" s="2">
        <v>0.41935185185185186</v>
      </c>
      <c r="E1761" s="2">
        <v>0.42133101851851851</v>
      </c>
    </row>
    <row r="1762" spans="1:5" x14ac:dyDescent="0.25">
      <c r="A1762">
        <v>5582631</v>
      </c>
      <c r="B1762" t="str">
        <f t="shared" si="27"/>
        <v>stacjonarny</v>
      </c>
      <c r="C1762" s="1">
        <v>42942</v>
      </c>
      <c r="D1762" s="2">
        <v>0.42229166666666668</v>
      </c>
      <c r="E1762" s="2">
        <v>0.42271990740740739</v>
      </c>
    </row>
    <row r="1763" spans="1:5" x14ac:dyDescent="0.25">
      <c r="A1763">
        <v>68043713</v>
      </c>
      <c r="B1763" t="str">
        <f t="shared" si="27"/>
        <v>komorkowy</v>
      </c>
      <c r="C1763" s="1">
        <v>42942</v>
      </c>
      <c r="D1763" s="2">
        <v>0.42366898148148147</v>
      </c>
      <c r="E1763" s="2">
        <v>0.42792824074074076</v>
      </c>
    </row>
    <row r="1764" spans="1:5" x14ac:dyDescent="0.25">
      <c r="A1764">
        <v>89263578</v>
      </c>
      <c r="B1764" t="str">
        <f t="shared" si="27"/>
        <v>komorkowy</v>
      </c>
      <c r="C1764" s="1">
        <v>42942</v>
      </c>
      <c r="D1764" s="2">
        <v>0.42912037037037037</v>
      </c>
      <c r="E1764" s="2">
        <v>0.43753472222222223</v>
      </c>
    </row>
    <row r="1765" spans="1:5" x14ac:dyDescent="0.25">
      <c r="A1765">
        <v>7511410</v>
      </c>
      <c r="B1765" t="str">
        <f t="shared" si="27"/>
        <v>stacjonarny</v>
      </c>
      <c r="C1765" s="1">
        <v>42942</v>
      </c>
      <c r="D1765" s="2">
        <v>0.43304398148148149</v>
      </c>
      <c r="E1765" s="2">
        <v>0.43761574074074072</v>
      </c>
    </row>
    <row r="1766" spans="1:5" x14ac:dyDescent="0.25">
      <c r="A1766">
        <v>2128803</v>
      </c>
      <c r="B1766" t="str">
        <f t="shared" si="27"/>
        <v>stacjonarny</v>
      </c>
      <c r="C1766" s="1">
        <v>42942</v>
      </c>
      <c r="D1766" s="2">
        <v>0.43815972222222221</v>
      </c>
      <c r="E1766" s="2">
        <v>0.44572916666666668</v>
      </c>
    </row>
    <row r="1767" spans="1:5" x14ac:dyDescent="0.25">
      <c r="A1767">
        <v>3135285</v>
      </c>
      <c r="B1767" t="str">
        <f t="shared" si="27"/>
        <v>stacjonarny</v>
      </c>
      <c r="C1767" s="1">
        <v>42942</v>
      </c>
      <c r="D1767" s="2">
        <v>0.43896990740740743</v>
      </c>
      <c r="E1767" s="2">
        <v>0.44863425925925926</v>
      </c>
    </row>
    <row r="1768" spans="1:5" x14ac:dyDescent="0.25">
      <c r="A1768">
        <v>5231877</v>
      </c>
      <c r="B1768" t="str">
        <f t="shared" si="27"/>
        <v>stacjonarny</v>
      </c>
      <c r="C1768" s="1">
        <v>42942</v>
      </c>
      <c r="D1768" s="2">
        <v>0.44265046296296295</v>
      </c>
      <c r="E1768" s="2">
        <v>0.45337962962962963</v>
      </c>
    </row>
    <row r="1769" spans="1:5" x14ac:dyDescent="0.25">
      <c r="A1769">
        <v>98391891</v>
      </c>
      <c r="B1769" t="str">
        <f t="shared" si="27"/>
        <v>komorkowy</v>
      </c>
      <c r="C1769" s="1">
        <v>42942</v>
      </c>
      <c r="D1769" s="2">
        <v>0.44289351851851849</v>
      </c>
      <c r="E1769" s="2">
        <v>0.44364583333333335</v>
      </c>
    </row>
    <row r="1770" spans="1:5" x14ac:dyDescent="0.25">
      <c r="A1770">
        <v>9865524</v>
      </c>
      <c r="B1770" t="str">
        <f t="shared" si="27"/>
        <v>stacjonarny</v>
      </c>
      <c r="C1770" s="1">
        <v>42942</v>
      </c>
      <c r="D1770" s="2">
        <v>0.44298611111111114</v>
      </c>
      <c r="E1770" s="2">
        <v>0.45023148148148145</v>
      </c>
    </row>
    <row r="1771" spans="1:5" x14ac:dyDescent="0.25">
      <c r="A1771">
        <v>7988607</v>
      </c>
      <c r="B1771" t="str">
        <f t="shared" si="27"/>
        <v>stacjonarny</v>
      </c>
      <c r="C1771" s="1">
        <v>42942</v>
      </c>
      <c r="D1771" s="2">
        <v>0.44300925925925927</v>
      </c>
      <c r="E1771" s="2">
        <v>0.4513773148148148</v>
      </c>
    </row>
    <row r="1772" spans="1:5" x14ac:dyDescent="0.25">
      <c r="A1772">
        <v>4599598</v>
      </c>
      <c r="B1772" t="str">
        <f t="shared" si="27"/>
        <v>stacjonarny</v>
      </c>
      <c r="C1772" s="1">
        <v>42942</v>
      </c>
      <c r="D1772" s="2">
        <v>0.44710648148148147</v>
      </c>
      <c r="E1772" s="2">
        <v>0.45658564814814817</v>
      </c>
    </row>
    <row r="1773" spans="1:5" x14ac:dyDescent="0.25">
      <c r="A1773">
        <v>59984179</v>
      </c>
      <c r="B1773" t="str">
        <f t="shared" si="27"/>
        <v>komorkowy</v>
      </c>
      <c r="C1773" s="1">
        <v>42942</v>
      </c>
      <c r="D1773" s="2">
        <v>0.44815972222222222</v>
      </c>
      <c r="E1773" s="2">
        <v>0.45435185185185184</v>
      </c>
    </row>
    <row r="1774" spans="1:5" x14ac:dyDescent="0.25">
      <c r="A1774">
        <v>9763924</v>
      </c>
      <c r="B1774" t="str">
        <f t="shared" si="27"/>
        <v>stacjonarny</v>
      </c>
      <c r="C1774" s="1">
        <v>42942</v>
      </c>
      <c r="D1774" s="2">
        <v>0.44972222222222225</v>
      </c>
      <c r="E1774" s="2">
        <v>0.45559027777777777</v>
      </c>
    </row>
    <row r="1775" spans="1:5" x14ac:dyDescent="0.25">
      <c r="A1775">
        <v>1531672</v>
      </c>
      <c r="B1775" t="str">
        <f t="shared" si="27"/>
        <v>stacjonarny</v>
      </c>
      <c r="C1775" s="1">
        <v>42942</v>
      </c>
      <c r="D1775" s="2">
        <v>0.45021990740740742</v>
      </c>
      <c r="E1775" s="2">
        <v>0.46079861111111109</v>
      </c>
    </row>
    <row r="1776" spans="1:5" x14ac:dyDescent="0.25">
      <c r="A1776">
        <v>59723258</v>
      </c>
      <c r="B1776" t="str">
        <f t="shared" si="27"/>
        <v>komorkowy</v>
      </c>
      <c r="C1776" s="1">
        <v>42942</v>
      </c>
      <c r="D1776" s="2">
        <v>0.4503125</v>
      </c>
      <c r="E1776" s="2">
        <v>0.4601736111111111</v>
      </c>
    </row>
    <row r="1777" spans="1:5" x14ac:dyDescent="0.25">
      <c r="A1777">
        <v>6878722</v>
      </c>
      <c r="B1777" t="str">
        <f t="shared" si="27"/>
        <v>stacjonarny</v>
      </c>
      <c r="C1777" s="1">
        <v>42942</v>
      </c>
      <c r="D1777" s="2">
        <v>0.45333333333333331</v>
      </c>
      <c r="E1777" s="2">
        <v>0.45443287037037039</v>
      </c>
    </row>
    <row r="1778" spans="1:5" x14ac:dyDescent="0.25">
      <c r="A1778">
        <v>49278984</v>
      </c>
      <c r="B1778" t="str">
        <f t="shared" si="27"/>
        <v>komorkowy</v>
      </c>
      <c r="C1778" s="1">
        <v>42942</v>
      </c>
      <c r="D1778" s="2">
        <v>0.45531250000000001</v>
      </c>
      <c r="E1778" s="2">
        <v>0.45717592592592593</v>
      </c>
    </row>
    <row r="1779" spans="1:5" x14ac:dyDescent="0.25">
      <c r="A1779">
        <v>5672312</v>
      </c>
      <c r="B1779" t="str">
        <f t="shared" si="27"/>
        <v>stacjonarny</v>
      </c>
      <c r="C1779" s="1">
        <v>42942</v>
      </c>
      <c r="D1779" s="2">
        <v>0.45554398148148151</v>
      </c>
      <c r="E1779" s="2">
        <v>0.45913194444444444</v>
      </c>
    </row>
    <row r="1780" spans="1:5" x14ac:dyDescent="0.25">
      <c r="A1780">
        <v>9716545</v>
      </c>
      <c r="B1780" t="str">
        <f t="shared" si="27"/>
        <v>stacjonarny</v>
      </c>
      <c r="C1780" s="1">
        <v>42942</v>
      </c>
      <c r="D1780" s="2">
        <v>0.45726851851851852</v>
      </c>
      <c r="E1780" s="2">
        <v>0.46751157407407407</v>
      </c>
    </row>
    <row r="1781" spans="1:5" x14ac:dyDescent="0.25">
      <c r="A1781">
        <v>97953696</v>
      </c>
      <c r="B1781" t="str">
        <f t="shared" si="27"/>
        <v>komorkowy</v>
      </c>
      <c r="C1781" s="1">
        <v>42942</v>
      </c>
      <c r="D1781" s="2">
        <v>0.46297453703703706</v>
      </c>
      <c r="E1781" s="2">
        <v>0.47129629629629627</v>
      </c>
    </row>
    <row r="1782" spans="1:5" x14ac:dyDescent="0.25">
      <c r="A1782">
        <v>18636086</v>
      </c>
      <c r="B1782" t="str">
        <f t="shared" si="27"/>
        <v>komorkowy</v>
      </c>
      <c r="C1782" s="1">
        <v>42942</v>
      </c>
      <c r="D1782" s="2">
        <v>0.46431712962962962</v>
      </c>
      <c r="E1782" s="2">
        <v>0.47060185185185183</v>
      </c>
    </row>
    <row r="1783" spans="1:5" x14ac:dyDescent="0.25">
      <c r="A1783">
        <v>2071691</v>
      </c>
      <c r="B1783" t="str">
        <f t="shared" si="27"/>
        <v>stacjonarny</v>
      </c>
      <c r="C1783" s="1">
        <v>42942</v>
      </c>
      <c r="D1783" s="2">
        <v>0.46703703703703703</v>
      </c>
      <c r="E1783" s="2">
        <v>0.47262731481481479</v>
      </c>
    </row>
    <row r="1784" spans="1:5" x14ac:dyDescent="0.25">
      <c r="A1784">
        <v>8023179</v>
      </c>
      <c r="B1784" t="str">
        <f t="shared" si="27"/>
        <v>stacjonarny</v>
      </c>
      <c r="C1784" s="1">
        <v>42942</v>
      </c>
      <c r="D1784" s="2">
        <v>0.46703703703703703</v>
      </c>
      <c r="E1784" s="2">
        <v>0.47568287037037038</v>
      </c>
    </row>
    <row r="1785" spans="1:5" x14ac:dyDescent="0.25">
      <c r="A1785">
        <v>3533421</v>
      </c>
      <c r="B1785" t="str">
        <f t="shared" si="27"/>
        <v>stacjonarny</v>
      </c>
      <c r="C1785" s="1">
        <v>42942</v>
      </c>
      <c r="D1785" s="2">
        <v>0.47266203703703702</v>
      </c>
      <c r="E1785" s="2">
        <v>0.48297453703703702</v>
      </c>
    </row>
    <row r="1786" spans="1:5" x14ac:dyDescent="0.25">
      <c r="A1786">
        <v>1160932</v>
      </c>
      <c r="B1786" t="str">
        <f t="shared" si="27"/>
        <v>stacjonarny</v>
      </c>
      <c r="C1786" s="1">
        <v>42942</v>
      </c>
      <c r="D1786" s="2">
        <v>0.47515046296296298</v>
      </c>
      <c r="E1786" s="2">
        <v>0.47552083333333334</v>
      </c>
    </row>
    <row r="1787" spans="1:5" x14ac:dyDescent="0.25">
      <c r="A1787">
        <v>6320579</v>
      </c>
      <c r="B1787" t="str">
        <f t="shared" si="27"/>
        <v>stacjonarny</v>
      </c>
      <c r="C1787" s="1">
        <v>42942</v>
      </c>
      <c r="D1787" s="2">
        <v>0.48082175925925924</v>
      </c>
      <c r="E1787" s="2">
        <v>0.48585648148148147</v>
      </c>
    </row>
    <row r="1788" spans="1:5" x14ac:dyDescent="0.25">
      <c r="A1788">
        <v>6021417</v>
      </c>
      <c r="B1788" t="str">
        <f t="shared" si="27"/>
        <v>stacjonarny</v>
      </c>
      <c r="C1788" s="1">
        <v>42942</v>
      </c>
      <c r="D1788" s="2">
        <v>0.48534722222222221</v>
      </c>
      <c r="E1788" s="2">
        <v>0.48814814814814816</v>
      </c>
    </row>
    <row r="1789" spans="1:5" x14ac:dyDescent="0.25">
      <c r="A1789">
        <v>3638658</v>
      </c>
      <c r="B1789" t="str">
        <f t="shared" si="27"/>
        <v>stacjonarny</v>
      </c>
      <c r="C1789" s="1">
        <v>42942</v>
      </c>
      <c r="D1789" s="2">
        <v>0.48700231481481482</v>
      </c>
      <c r="E1789" s="2">
        <v>0.49305555555555558</v>
      </c>
    </row>
    <row r="1790" spans="1:5" x14ac:dyDescent="0.25">
      <c r="A1790">
        <v>7595348</v>
      </c>
      <c r="B1790" t="str">
        <f t="shared" si="27"/>
        <v>stacjonarny</v>
      </c>
      <c r="C1790" s="1">
        <v>42942</v>
      </c>
      <c r="D1790" s="2">
        <v>0.48849537037037039</v>
      </c>
      <c r="E1790" s="2">
        <v>0.49665509259259261</v>
      </c>
    </row>
    <row r="1791" spans="1:5" x14ac:dyDescent="0.25">
      <c r="A1791">
        <v>6637746981</v>
      </c>
      <c r="B1791" t="str">
        <f t="shared" si="27"/>
        <v>zagraniczny</v>
      </c>
      <c r="C1791" s="1">
        <v>42942</v>
      </c>
      <c r="D1791" s="2">
        <v>0.49020833333333336</v>
      </c>
      <c r="E1791" s="2">
        <v>0.49932870370370369</v>
      </c>
    </row>
    <row r="1792" spans="1:5" x14ac:dyDescent="0.25">
      <c r="A1792">
        <v>8501947</v>
      </c>
      <c r="B1792" t="str">
        <f t="shared" si="27"/>
        <v>stacjonarny</v>
      </c>
      <c r="C1792" s="1">
        <v>42942</v>
      </c>
      <c r="D1792" s="2">
        <v>0.49135416666666665</v>
      </c>
      <c r="E1792" s="2">
        <v>0.49472222222222223</v>
      </c>
    </row>
    <row r="1793" spans="1:5" x14ac:dyDescent="0.25">
      <c r="A1793">
        <v>85666950</v>
      </c>
      <c r="B1793" t="str">
        <f t="shared" si="27"/>
        <v>komorkowy</v>
      </c>
      <c r="C1793" s="1">
        <v>42942</v>
      </c>
      <c r="D1793" s="2">
        <v>0.49417824074074074</v>
      </c>
      <c r="E1793" s="2">
        <v>0.50312500000000004</v>
      </c>
    </row>
    <row r="1794" spans="1:5" x14ac:dyDescent="0.25">
      <c r="A1794">
        <v>72289518</v>
      </c>
      <c r="B1794" t="str">
        <f t="shared" si="27"/>
        <v>komorkowy</v>
      </c>
      <c r="C1794" s="1">
        <v>42942</v>
      </c>
      <c r="D1794" s="2">
        <v>0.49541666666666667</v>
      </c>
      <c r="E1794" s="2">
        <v>0.49947916666666664</v>
      </c>
    </row>
    <row r="1795" spans="1:5" x14ac:dyDescent="0.25">
      <c r="A1795">
        <v>4419123</v>
      </c>
      <c r="B1795" t="str">
        <f t="shared" ref="B1795:B1858" si="28">IF(LEN(A1795)=7, "stacjonarny", IF(LEN(A1795)=8, "komorkowy", "zagraniczny"))</f>
        <v>stacjonarny</v>
      </c>
      <c r="C1795" s="1">
        <v>42942</v>
      </c>
      <c r="D1795" s="2">
        <v>0.49952546296296296</v>
      </c>
      <c r="E1795" s="2">
        <v>0.50207175925925929</v>
      </c>
    </row>
    <row r="1796" spans="1:5" x14ac:dyDescent="0.25">
      <c r="A1796">
        <v>75645195</v>
      </c>
      <c r="B1796" t="str">
        <f t="shared" si="28"/>
        <v>komorkowy</v>
      </c>
      <c r="C1796" s="1">
        <v>42942</v>
      </c>
      <c r="D1796" s="2">
        <v>0.5046180555555555</v>
      </c>
      <c r="E1796" s="2">
        <v>0.50491898148148151</v>
      </c>
    </row>
    <row r="1797" spans="1:5" x14ac:dyDescent="0.25">
      <c r="A1797">
        <v>4305960</v>
      </c>
      <c r="B1797" t="str">
        <f t="shared" si="28"/>
        <v>stacjonarny</v>
      </c>
      <c r="C1797" s="1">
        <v>42942</v>
      </c>
      <c r="D1797" s="2">
        <v>0.50671296296296298</v>
      </c>
      <c r="E1797" s="2">
        <v>0.51233796296296297</v>
      </c>
    </row>
    <row r="1798" spans="1:5" x14ac:dyDescent="0.25">
      <c r="A1798">
        <v>21681406</v>
      </c>
      <c r="B1798" t="str">
        <f t="shared" si="28"/>
        <v>komorkowy</v>
      </c>
      <c r="C1798" s="1">
        <v>42942</v>
      </c>
      <c r="D1798" s="2">
        <v>0.50876157407407407</v>
      </c>
      <c r="E1798" s="2">
        <v>0.51472222222222219</v>
      </c>
    </row>
    <row r="1799" spans="1:5" x14ac:dyDescent="0.25">
      <c r="A1799">
        <v>6401011</v>
      </c>
      <c r="B1799" t="str">
        <f t="shared" si="28"/>
        <v>stacjonarny</v>
      </c>
      <c r="C1799" s="1">
        <v>42942</v>
      </c>
      <c r="D1799" s="2">
        <v>0.51140046296296293</v>
      </c>
      <c r="E1799" s="2">
        <v>0.5186574074074074</v>
      </c>
    </row>
    <row r="1800" spans="1:5" x14ac:dyDescent="0.25">
      <c r="A1800">
        <v>1879412</v>
      </c>
      <c r="B1800" t="str">
        <f t="shared" si="28"/>
        <v>stacjonarny</v>
      </c>
      <c r="C1800" s="1">
        <v>42942</v>
      </c>
      <c r="D1800" s="2">
        <v>0.51546296296296301</v>
      </c>
      <c r="E1800" s="2">
        <v>0.52481481481481485</v>
      </c>
    </row>
    <row r="1801" spans="1:5" x14ac:dyDescent="0.25">
      <c r="A1801">
        <v>6218089</v>
      </c>
      <c r="B1801" t="str">
        <f t="shared" si="28"/>
        <v>stacjonarny</v>
      </c>
      <c r="C1801" s="1">
        <v>42942</v>
      </c>
      <c r="D1801" s="2">
        <v>0.51712962962962961</v>
      </c>
      <c r="E1801" s="2">
        <v>0.52177083333333329</v>
      </c>
    </row>
    <row r="1802" spans="1:5" x14ac:dyDescent="0.25">
      <c r="A1802">
        <v>3408462348</v>
      </c>
      <c r="B1802" t="str">
        <f t="shared" si="28"/>
        <v>zagraniczny</v>
      </c>
      <c r="C1802" s="1">
        <v>42942</v>
      </c>
      <c r="D1802" s="2">
        <v>0.52173611111111107</v>
      </c>
      <c r="E1802" s="2">
        <v>0.52998842592592588</v>
      </c>
    </row>
    <row r="1803" spans="1:5" x14ac:dyDescent="0.25">
      <c r="A1803">
        <v>9535780</v>
      </c>
      <c r="B1803" t="str">
        <f t="shared" si="28"/>
        <v>stacjonarny</v>
      </c>
      <c r="C1803" s="1">
        <v>42942</v>
      </c>
      <c r="D1803" s="2">
        <v>0.52265046296296291</v>
      </c>
      <c r="E1803" s="2">
        <v>0.53091435185185187</v>
      </c>
    </row>
    <row r="1804" spans="1:5" x14ac:dyDescent="0.25">
      <c r="A1804">
        <v>4945889</v>
      </c>
      <c r="B1804" t="str">
        <f t="shared" si="28"/>
        <v>stacjonarny</v>
      </c>
      <c r="C1804" s="1">
        <v>42942</v>
      </c>
      <c r="D1804" s="2">
        <v>0.52790509259259255</v>
      </c>
      <c r="E1804" s="2">
        <v>0.53581018518518519</v>
      </c>
    </row>
    <row r="1805" spans="1:5" x14ac:dyDescent="0.25">
      <c r="A1805">
        <v>8985437</v>
      </c>
      <c r="B1805" t="str">
        <f t="shared" si="28"/>
        <v>stacjonarny</v>
      </c>
      <c r="C1805" s="1">
        <v>42942</v>
      </c>
      <c r="D1805" s="2">
        <v>0.52937500000000004</v>
      </c>
      <c r="E1805" s="2">
        <v>0.53609953703703705</v>
      </c>
    </row>
    <row r="1806" spans="1:5" x14ac:dyDescent="0.25">
      <c r="A1806">
        <v>57891628</v>
      </c>
      <c r="B1806" t="str">
        <f t="shared" si="28"/>
        <v>komorkowy</v>
      </c>
      <c r="C1806" s="1">
        <v>42942</v>
      </c>
      <c r="D1806" s="2">
        <v>0.53282407407407406</v>
      </c>
      <c r="E1806" s="2">
        <v>0.53501157407407407</v>
      </c>
    </row>
    <row r="1807" spans="1:5" x14ac:dyDescent="0.25">
      <c r="A1807">
        <v>9772824</v>
      </c>
      <c r="B1807" t="str">
        <f t="shared" si="28"/>
        <v>stacjonarny</v>
      </c>
      <c r="C1807" s="1">
        <v>42942</v>
      </c>
      <c r="D1807" s="2">
        <v>0.53344907407407405</v>
      </c>
      <c r="E1807" s="2">
        <v>0.54386574074074079</v>
      </c>
    </row>
    <row r="1808" spans="1:5" x14ac:dyDescent="0.25">
      <c r="A1808">
        <v>4154521</v>
      </c>
      <c r="B1808" t="str">
        <f t="shared" si="28"/>
        <v>stacjonarny</v>
      </c>
      <c r="C1808" s="1">
        <v>42942</v>
      </c>
      <c r="D1808" s="2">
        <v>0.53439814814814812</v>
      </c>
      <c r="E1808" s="2">
        <v>0.53813657407407411</v>
      </c>
    </row>
    <row r="1809" spans="1:5" x14ac:dyDescent="0.25">
      <c r="A1809">
        <v>96977805</v>
      </c>
      <c r="B1809" t="str">
        <f t="shared" si="28"/>
        <v>komorkowy</v>
      </c>
      <c r="C1809" s="1">
        <v>42942</v>
      </c>
      <c r="D1809" s="2">
        <v>0.53601851851851856</v>
      </c>
      <c r="E1809" s="2">
        <v>0.54394675925925928</v>
      </c>
    </row>
    <row r="1810" spans="1:5" x14ac:dyDescent="0.25">
      <c r="A1810">
        <v>24665933</v>
      </c>
      <c r="B1810" t="str">
        <f t="shared" si="28"/>
        <v>komorkowy</v>
      </c>
      <c r="C1810" s="1">
        <v>42942</v>
      </c>
      <c r="D1810" s="2">
        <v>0.53666666666666663</v>
      </c>
      <c r="E1810" s="2">
        <v>0.5370949074074074</v>
      </c>
    </row>
    <row r="1811" spans="1:5" x14ac:dyDescent="0.25">
      <c r="A1811">
        <v>5465004</v>
      </c>
      <c r="B1811" t="str">
        <f t="shared" si="28"/>
        <v>stacjonarny</v>
      </c>
      <c r="C1811" s="1">
        <v>42942</v>
      </c>
      <c r="D1811" s="2">
        <v>0.54017361111111106</v>
      </c>
      <c r="E1811" s="2">
        <v>0.54915509259259254</v>
      </c>
    </row>
    <row r="1812" spans="1:5" x14ac:dyDescent="0.25">
      <c r="A1812">
        <v>9560827</v>
      </c>
      <c r="B1812" t="str">
        <f t="shared" si="28"/>
        <v>stacjonarny</v>
      </c>
      <c r="C1812" s="1">
        <v>42942</v>
      </c>
      <c r="D1812" s="2">
        <v>0.54069444444444448</v>
      </c>
      <c r="E1812" s="2">
        <v>0.55103009259259261</v>
      </c>
    </row>
    <row r="1813" spans="1:5" x14ac:dyDescent="0.25">
      <c r="A1813">
        <v>3443287</v>
      </c>
      <c r="B1813" t="str">
        <f t="shared" si="28"/>
        <v>stacjonarny</v>
      </c>
      <c r="C1813" s="1">
        <v>42942</v>
      </c>
      <c r="D1813" s="2">
        <v>0.54593749999999996</v>
      </c>
      <c r="E1813" s="2">
        <v>0.55622685185185183</v>
      </c>
    </row>
    <row r="1814" spans="1:5" x14ac:dyDescent="0.25">
      <c r="A1814">
        <v>7551668</v>
      </c>
      <c r="B1814" t="str">
        <f t="shared" si="28"/>
        <v>stacjonarny</v>
      </c>
      <c r="C1814" s="1">
        <v>42942</v>
      </c>
      <c r="D1814" s="2">
        <v>0.55053240740740739</v>
      </c>
      <c r="E1814" s="2">
        <v>0.55672453703703706</v>
      </c>
    </row>
    <row r="1815" spans="1:5" x14ac:dyDescent="0.25">
      <c r="A1815">
        <v>3189059</v>
      </c>
      <c r="B1815" t="str">
        <f t="shared" si="28"/>
        <v>stacjonarny</v>
      </c>
      <c r="C1815" s="1">
        <v>42942</v>
      </c>
      <c r="D1815" s="2">
        <v>0.55462962962962958</v>
      </c>
      <c r="E1815" s="2">
        <v>0.56101851851851847</v>
      </c>
    </row>
    <row r="1816" spans="1:5" x14ac:dyDescent="0.25">
      <c r="A1816">
        <v>9061957</v>
      </c>
      <c r="B1816" t="str">
        <f t="shared" si="28"/>
        <v>stacjonarny</v>
      </c>
      <c r="C1816" s="1">
        <v>42942</v>
      </c>
      <c r="D1816" s="2">
        <v>0.55604166666666666</v>
      </c>
      <c r="E1816" s="2">
        <v>0.56381944444444443</v>
      </c>
    </row>
    <row r="1817" spans="1:5" x14ac:dyDescent="0.25">
      <c r="A1817">
        <v>2109147679</v>
      </c>
      <c r="B1817" t="str">
        <f t="shared" si="28"/>
        <v>zagraniczny</v>
      </c>
      <c r="C1817" s="1">
        <v>42942</v>
      </c>
      <c r="D1817" s="2">
        <v>0.56098379629629624</v>
      </c>
      <c r="E1817" s="2">
        <v>0.56753472222222223</v>
      </c>
    </row>
    <row r="1818" spans="1:5" x14ac:dyDescent="0.25">
      <c r="A1818">
        <v>59508384</v>
      </c>
      <c r="B1818" t="str">
        <f t="shared" si="28"/>
        <v>komorkowy</v>
      </c>
      <c r="C1818" s="1">
        <v>42942</v>
      </c>
      <c r="D1818" s="2">
        <v>0.56232638888888886</v>
      </c>
      <c r="E1818" s="2">
        <v>0.56594907407407402</v>
      </c>
    </row>
    <row r="1819" spans="1:5" x14ac:dyDescent="0.25">
      <c r="A1819">
        <v>48529464</v>
      </c>
      <c r="B1819" t="str">
        <f t="shared" si="28"/>
        <v>komorkowy</v>
      </c>
      <c r="C1819" s="1">
        <v>42942</v>
      </c>
      <c r="D1819" s="2">
        <v>0.56283564814814813</v>
      </c>
      <c r="E1819" s="2">
        <v>0.56427083333333339</v>
      </c>
    </row>
    <row r="1820" spans="1:5" x14ac:dyDescent="0.25">
      <c r="A1820">
        <v>4082744</v>
      </c>
      <c r="B1820" t="str">
        <f t="shared" si="28"/>
        <v>stacjonarny</v>
      </c>
      <c r="C1820" s="1">
        <v>42942</v>
      </c>
      <c r="D1820" s="2">
        <v>0.56481481481481477</v>
      </c>
      <c r="E1820" s="2">
        <v>0.57565972222222217</v>
      </c>
    </row>
    <row r="1821" spans="1:5" x14ac:dyDescent="0.25">
      <c r="A1821">
        <v>2395447</v>
      </c>
      <c r="B1821" t="str">
        <f t="shared" si="28"/>
        <v>stacjonarny</v>
      </c>
      <c r="C1821" s="1">
        <v>42942</v>
      </c>
      <c r="D1821" s="2">
        <v>0.56805555555555554</v>
      </c>
      <c r="E1821" s="2">
        <v>0.56937499999999996</v>
      </c>
    </row>
    <row r="1822" spans="1:5" x14ac:dyDescent="0.25">
      <c r="A1822">
        <v>96620804</v>
      </c>
      <c r="B1822" t="str">
        <f t="shared" si="28"/>
        <v>komorkowy</v>
      </c>
      <c r="C1822" s="1">
        <v>42942</v>
      </c>
      <c r="D1822" s="2">
        <v>0.56945601851851857</v>
      </c>
      <c r="E1822" s="2">
        <v>0.5776041666666667</v>
      </c>
    </row>
    <row r="1823" spans="1:5" x14ac:dyDescent="0.25">
      <c r="A1823">
        <v>9489003225</v>
      </c>
      <c r="B1823" t="str">
        <f t="shared" si="28"/>
        <v>zagraniczny</v>
      </c>
      <c r="C1823" s="1">
        <v>42942</v>
      </c>
      <c r="D1823" s="2">
        <v>0.57263888888888892</v>
      </c>
      <c r="E1823" s="2">
        <v>0.57309027777777777</v>
      </c>
    </row>
    <row r="1824" spans="1:5" x14ac:dyDescent="0.25">
      <c r="A1824">
        <v>6897893</v>
      </c>
      <c r="B1824" t="str">
        <f t="shared" si="28"/>
        <v>stacjonarny</v>
      </c>
      <c r="C1824" s="1">
        <v>42942</v>
      </c>
      <c r="D1824" s="2">
        <v>0.57662037037037039</v>
      </c>
      <c r="E1824" s="2">
        <v>0.58204861111111106</v>
      </c>
    </row>
    <row r="1825" spans="1:5" x14ac:dyDescent="0.25">
      <c r="A1825">
        <v>9759222</v>
      </c>
      <c r="B1825" t="str">
        <f t="shared" si="28"/>
        <v>stacjonarny</v>
      </c>
      <c r="C1825" s="1">
        <v>42942</v>
      </c>
      <c r="D1825" s="2">
        <v>0.58021990740740736</v>
      </c>
      <c r="E1825" s="2">
        <v>0.58726851851851847</v>
      </c>
    </row>
    <row r="1826" spans="1:5" x14ac:dyDescent="0.25">
      <c r="A1826">
        <v>39793981</v>
      </c>
      <c r="B1826" t="str">
        <f t="shared" si="28"/>
        <v>komorkowy</v>
      </c>
      <c r="C1826" s="1">
        <v>42942</v>
      </c>
      <c r="D1826" s="2">
        <v>0.58101851851851849</v>
      </c>
      <c r="E1826" s="2">
        <v>0.58164351851851848</v>
      </c>
    </row>
    <row r="1827" spans="1:5" x14ac:dyDescent="0.25">
      <c r="A1827">
        <v>3759991</v>
      </c>
      <c r="B1827" t="str">
        <f t="shared" si="28"/>
        <v>stacjonarny</v>
      </c>
      <c r="C1827" s="1">
        <v>42942</v>
      </c>
      <c r="D1827" s="2">
        <v>0.58408564814814812</v>
      </c>
      <c r="E1827" s="2">
        <v>0.58677083333333335</v>
      </c>
    </row>
    <row r="1828" spans="1:5" x14ac:dyDescent="0.25">
      <c r="A1828">
        <v>37838778</v>
      </c>
      <c r="B1828" t="str">
        <f t="shared" si="28"/>
        <v>komorkowy</v>
      </c>
      <c r="C1828" s="1">
        <v>42942</v>
      </c>
      <c r="D1828" s="2">
        <v>0.58770833333333339</v>
      </c>
      <c r="E1828" s="2">
        <v>0.59591435185185182</v>
      </c>
    </row>
    <row r="1829" spans="1:5" x14ac:dyDescent="0.25">
      <c r="A1829">
        <v>3785540</v>
      </c>
      <c r="B1829" t="str">
        <f t="shared" si="28"/>
        <v>stacjonarny</v>
      </c>
      <c r="C1829" s="1">
        <v>42942</v>
      </c>
      <c r="D1829" s="2">
        <v>0.59261574074074075</v>
      </c>
      <c r="E1829" s="2">
        <v>0.60343749999999996</v>
      </c>
    </row>
    <row r="1830" spans="1:5" x14ac:dyDescent="0.25">
      <c r="A1830">
        <v>9689833</v>
      </c>
      <c r="B1830" t="str">
        <f t="shared" si="28"/>
        <v>stacjonarny</v>
      </c>
      <c r="C1830" s="1">
        <v>42942</v>
      </c>
      <c r="D1830" s="2">
        <v>0.5932291666666667</v>
      </c>
      <c r="E1830" s="2">
        <v>0.59943287037037041</v>
      </c>
    </row>
    <row r="1831" spans="1:5" x14ac:dyDescent="0.25">
      <c r="A1831">
        <v>8136309</v>
      </c>
      <c r="B1831" t="str">
        <f t="shared" si="28"/>
        <v>stacjonarny</v>
      </c>
      <c r="C1831" s="1">
        <v>42942</v>
      </c>
      <c r="D1831" s="2">
        <v>0.59876157407407404</v>
      </c>
      <c r="E1831" s="2">
        <v>0.60951388888888891</v>
      </c>
    </row>
    <row r="1832" spans="1:5" x14ac:dyDescent="0.25">
      <c r="A1832">
        <v>1177203</v>
      </c>
      <c r="B1832" t="str">
        <f t="shared" si="28"/>
        <v>stacjonarny</v>
      </c>
      <c r="C1832" s="1">
        <v>42942</v>
      </c>
      <c r="D1832" s="2">
        <v>0.60384259259259254</v>
      </c>
      <c r="E1832" s="2">
        <v>0.60452546296296295</v>
      </c>
    </row>
    <row r="1833" spans="1:5" x14ac:dyDescent="0.25">
      <c r="A1833">
        <v>6060835</v>
      </c>
      <c r="B1833" t="str">
        <f t="shared" si="28"/>
        <v>stacjonarny</v>
      </c>
      <c r="C1833" s="1">
        <v>42942</v>
      </c>
      <c r="D1833" s="2">
        <v>0.60623842592592592</v>
      </c>
      <c r="E1833" s="2">
        <v>0.61055555555555552</v>
      </c>
    </row>
    <row r="1834" spans="1:5" x14ac:dyDescent="0.25">
      <c r="A1834">
        <v>8534481</v>
      </c>
      <c r="B1834" t="str">
        <f t="shared" si="28"/>
        <v>stacjonarny</v>
      </c>
      <c r="C1834" s="1">
        <v>42942</v>
      </c>
      <c r="D1834" s="2">
        <v>0.60950231481481476</v>
      </c>
      <c r="E1834" s="2">
        <v>0.61940972222222224</v>
      </c>
    </row>
    <row r="1835" spans="1:5" x14ac:dyDescent="0.25">
      <c r="A1835">
        <v>4959594</v>
      </c>
      <c r="B1835" t="str">
        <f t="shared" si="28"/>
        <v>stacjonarny</v>
      </c>
      <c r="C1835" s="1">
        <v>42942</v>
      </c>
      <c r="D1835" s="2">
        <v>0.61371527777777779</v>
      </c>
      <c r="E1835" s="2">
        <v>0.6235532407407407</v>
      </c>
    </row>
    <row r="1836" spans="1:5" x14ac:dyDescent="0.25">
      <c r="A1836">
        <v>1047809</v>
      </c>
      <c r="B1836" t="str">
        <f t="shared" si="28"/>
        <v>stacjonarny</v>
      </c>
      <c r="C1836" s="1">
        <v>42942</v>
      </c>
      <c r="D1836" s="2">
        <v>0.61724537037037042</v>
      </c>
      <c r="E1836" s="2">
        <v>0.62866898148148154</v>
      </c>
    </row>
    <row r="1837" spans="1:5" x14ac:dyDescent="0.25">
      <c r="A1837">
        <v>3437033</v>
      </c>
      <c r="B1837" t="str">
        <f t="shared" si="28"/>
        <v>stacjonarny</v>
      </c>
      <c r="C1837" s="1">
        <v>42942</v>
      </c>
      <c r="D1837" s="2">
        <v>0.62089120370370365</v>
      </c>
      <c r="E1837" s="2">
        <v>0.62159722222222225</v>
      </c>
    </row>
    <row r="1838" spans="1:5" x14ac:dyDescent="0.25">
      <c r="A1838">
        <v>6801890</v>
      </c>
      <c r="B1838" t="str">
        <f t="shared" si="28"/>
        <v>stacjonarny</v>
      </c>
      <c r="C1838" s="1">
        <v>42942</v>
      </c>
      <c r="D1838" s="2">
        <v>0.62467592592592591</v>
      </c>
      <c r="E1838" s="2">
        <v>0.62690972222222219</v>
      </c>
    </row>
    <row r="1839" spans="1:5" x14ac:dyDescent="0.25">
      <c r="A1839">
        <v>2604004</v>
      </c>
      <c r="B1839" t="str">
        <f t="shared" si="28"/>
        <v>stacjonarny</v>
      </c>
      <c r="C1839" s="1">
        <v>42942</v>
      </c>
      <c r="D1839" s="2">
        <v>0.6277314814814815</v>
      </c>
      <c r="E1839" s="2">
        <v>0.63423611111111111</v>
      </c>
    </row>
    <row r="1840" spans="1:5" x14ac:dyDescent="0.25">
      <c r="A1840">
        <v>4379524</v>
      </c>
      <c r="B1840" t="str">
        <f t="shared" si="28"/>
        <v>stacjonarny</v>
      </c>
      <c r="C1840" s="1">
        <v>42943</v>
      </c>
      <c r="D1840" s="2">
        <v>0.33751157407407406</v>
      </c>
      <c r="E1840" s="2">
        <v>0.33754629629629629</v>
      </c>
    </row>
    <row r="1841" spans="1:5" x14ac:dyDescent="0.25">
      <c r="A1841">
        <v>12377650</v>
      </c>
      <c r="B1841" t="str">
        <f t="shared" si="28"/>
        <v>komorkowy</v>
      </c>
      <c r="C1841" s="1">
        <v>42943</v>
      </c>
      <c r="D1841" s="2">
        <v>0.33943287037037034</v>
      </c>
      <c r="E1841" s="2">
        <v>0.34292824074074074</v>
      </c>
    </row>
    <row r="1842" spans="1:5" x14ac:dyDescent="0.25">
      <c r="A1842">
        <v>77869622</v>
      </c>
      <c r="B1842" t="str">
        <f t="shared" si="28"/>
        <v>komorkowy</v>
      </c>
      <c r="C1842" s="1">
        <v>42943</v>
      </c>
      <c r="D1842" s="2">
        <v>0.34219907407407407</v>
      </c>
      <c r="E1842" s="2">
        <v>0.35170138888888891</v>
      </c>
    </row>
    <row r="1843" spans="1:5" x14ac:dyDescent="0.25">
      <c r="A1843">
        <v>3414247278</v>
      </c>
      <c r="B1843" t="str">
        <f t="shared" si="28"/>
        <v>zagraniczny</v>
      </c>
      <c r="C1843" s="1">
        <v>42943</v>
      </c>
      <c r="D1843" s="2">
        <v>0.34658564814814813</v>
      </c>
      <c r="E1843" s="2">
        <v>0.34666666666666668</v>
      </c>
    </row>
    <row r="1844" spans="1:5" x14ac:dyDescent="0.25">
      <c r="A1844">
        <v>5839324907</v>
      </c>
      <c r="B1844" t="str">
        <f t="shared" si="28"/>
        <v>zagraniczny</v>
      </c>
      <c r="C1844" s="1">
        <v>42943</v>
      </c>
      <c r="D1844" s="2">
        <v>0.3490509259259259</v>
      </c>
      <c r="E1844" s="2">
        <v>0.35481481481481481</v>
      </c>
    </row>
    <row r="1845" spans="1:5" x14ac:dyDescent="0.25">
      <c r="A1845">
        <v>4852863</v>
      </c>
      <c r="B1845" t="str">
        <f t="shared" si="28"/>
        <v>stacjonarny</v>
      </c>
      <c r="C1845" s="1">
        <v>42943</v>
      </c>
      <c r="D1845" s="2">
        <v>0.34975694444444444</v>
      </c>
      <c r="E1845" s="2">
        <v>0.35971064814814813</v>
      </c>
    </row>
    <row r="1846" spans="1:5" x14ac:dyDescent="0.25">
      <c r="A1846">
        <v>3245936</v>
      </c>
      <c r="B1846" t="str">
        <f t="shared" si="28"/>
        <v>stacjonarny</v>
      </c>
      <c r="C1846" s="1">
        <v>42943</v>
      </c>
      <c r="D1846" s="2">
        <v>0.35116898148148146</v>
      </c>
      <c r="E1846" s="2">
        <v>0.35408564814814814</v>
      </c>
    </row>
    <row r="1847" spans="1:5" x14ac:dyDescent="0.25">
      <c r="A1847">
        <v>6674505</v>
      </c>
      <c r="B1847" t="str">
        <f t="shared" si="28"/>
        <v>stacjonarny</v>
      </c>
      <c r="C1847" s="1">
        <v>42943</v>
      </c>
      <c r="D1847" s="2">
        <v>0.35136574074074073</v>
      </c>
      <c r="E1847" s="2">
        <v>0.35390046296296296</v>
      </c>
    </row>
    <row r="1848" spans="1:5" x14ac:dyDescent="0.25">
      <c r="A1848">
        <v>9591892</v>
      </c>
      <c r="B1848" t="str">
        <f t="shared" si="28"/>
        <v>stacjonarny</v>
      </c>
      <c r="C1848" s="1">
        <v>42943</v>
      </c>
      <c r="D1848" s="2">
        <v>0.35487268518518517</v>
      </c>
      <c r="E1848" s="2">
        <v>0.36251157407407408</v>
      </c>
    </row>
    <row r="1849" spans="1:5" x14ac:dyDescent="0.25">
      <c r="A1849">
        <v>96404523</v>
      </c>
      <c r="B1849" t="str">
        <f t="shared" si="28"/>
        <v>komorkowy</v>
      </c>
      <c r="C1849" s="1">
        <v>42943</v>
      </c>
      <c r="D1849" s="2">
        <v>0.35592592592592592</v>
      </c>
      <c r="E1849" s="2">
        <v>0.36366898148148147</v>
      </c>
    </row>
    <row r="1850" spans="1:5" x14ac:dyDescent="0.25">
      <c r="A1850">
        <v>1405478</v>
      </c>
      <c r="B1850" t="str">
        <f t="shared" si="28"/>
        <v>stacjonarny</v>
      </c>
      <c r="C1850" s="1">
        <v>42943</v>
      </c>
      <c r="D1850" s="2">
        <v>0.35940972222222223</v>
      </c>
      <c r="E1850" s="2">
        <v>0.36412037037037037</v>
      </c>
    </row>
    <row r="1851" spans="1:5" x14ac:dyDescent="0.25">
      <c r="A1851">
        <v>5900506</v>
      </c>
      <c r="B1851" t="str">
        <f t="shared" si="28"/>
        <v>stacjonarny</v>
      </c>
      <c r="C1851" s="1">
        <v>42943</v>
      </c>
      <c r="D1851" s="2">
        <v>0.36026620370370371</v>
      </c>
      <c r="E1851" s="2">
        <v>0.36319444444444443</v>
      </c>
    </row>
    <row r="1852" spans="1:5" x14ac:dyDescent="0.25">
      <c r="A1852">
        <v>6060835</v>
      </c>
      <c r="B1852" t="str">
        <f t="shared" si="28"/>
        <v>stacjonarny</v>
      </c>
      <c r="C1852" s="1">
        <v>42943</v>
      </c>
      <c r="D1852" s="2">
        <v>0.36148148148148146</v>
      </c>
      <c r="E1852" s="2">
        <v>0.3721990740740741</v>
      </c>
    </row>
    <row r="1853" spans="1:5" x14ac:dyDescent="0.25">
      <c r="A1853">
        <v>8880275</v>
      </c>
      <c r="B1853" t="str">
        <f t="shared" si="28"/>
        <v>stacjonarny</v>
      </c>
      <c r="C1853" s="1">
        <v>42943</v>
      </c>
      <c r="D1853" s="2">
        <v>0.36598379629629629</v>
      </c>
      <c r="E1853" s="2">
        <v>0.37474537037037037</v>
      </c>
    </row>
    <row r="1854" spans="1:5" x14ac:dyDescent="0.25">
      <c r="A1854">
        <v>57101974</v>
      </c>
      <c r="B1854" t="str">
        <f t="shared" si="28"/>
        <v>komorkowy</v>
      </c>
      <c r="C1854" s="1">
        <v>42943</v>
      </c>
      <c r="D1854" s="2">
        <v>0.37133101851851852</v>
      </c>
      <c r="E1854" s="2">
        <v>0.37923611111111111</v>
      </c>
    </row>
    <row r="1855" spans="1:5" x14ac:dyDescent="0.25">
      <c r="A1855">
        <v>2096100</v>
      </c>
      <c r="B1855" t="str">
        <f t="shared" si="28"/>
        <v>stacjonarny</v>
      </c>
      <c r="C1855" s="1">
        <v>42943</v>
      </c>
      <c r="D1855" s="2">
        <v>0.3717361111111111</v>
      </c>
      <c r="E1855" s="2">
        <v>0.37253472222222223</v>
      </c>
    </row>
    <row r="1856" spans="1:5" x14ac:dyDescent="0.25">
      <c r="A1856">
        <v>2366545</v>
      </c>
      <c r="B1856" t="str">
        <f t="shared" si="28"/>
        <v>stacjonarny</v>
      </c>
      <c r="C1856" s="1">
        <v>42943</v>
      </c>
      <c r="D1856" s="2">
        <v>0.3737152777777778</v>
      </c>
      <c r="E1856" s="2">
        <v>0.37967592592592592</v>
      </c>
    </row>
    <row r="1857" spans="1:5" x14ac:dyDescent="0.25">
      <c r="A1857">
        <v>2260131</v>
      </c>
      <c r="B1857" t="str">
        <f t="shared" si="28"/>
        <v>stacjonarny</v>
      </c>
      <c r="C1857" s="1">
        <v>42943</v>
      </c>
      <c r="D1857" s="2">
        <v>0.37664351851851852</v>
      </c>
      <c r="E1857" s="2">
        <v>0.38442129629629629</v>
      </c>
    </row>
    <row r="1858" spans="1:5" x14ac:dyDescent="0.25">
      <c r="A1858">
        <v>75818182</v>
      </c>
      <c r="B1858" t="str">
        <f t="shared" si="28"/>
        <v>komorkowy</v>
      </c>
      <c r="C1858" s="1">
        <v>42943</v>
      </c>
      <c r="D1858" s="2">
        <v>0.37973379629629628</v>
      </c>
      <c r="E1858" s="2">
        <v>0.38395833333333335</v>
      </c>
    </row>
    <row r="1859" spans="1:5" x14ac:dyDescent="0.25">
      <c r="A1859">
        <v>1247125</v>
      </c>
      <c r="B1859" t="str">
        <f t="shared" ref="B1859:B1922" si="29">IF(LEN(A1859)=7, "stacjonarny", IF(LEN(A1859)=8, "komorkowy", "zagraniczny"))</f>
        <v>stacjonarny</v>
      </c>
      <c r="C1859" s="1">
        <v>42943</v>
      </c>
      <c r="D1859" s="2">
        <v>0.38461805555555556</v>
      </c>
      <c r="E1859" s="2">
        <v>0.39339120370370373</v>
      </c>
    </row>
    <row r="1860" spans="1:5" x14ac:dyDescent="0.25">
      <c r="A1860">
        <v>3733011</v>
      </c>
      <c r="B1860" t="str">
        <f t="shared" si="29"/>
        <v>stacjonarny</v>
      </c>
      <c r="C1860" s="1">
        <v>42943</v>
      </c>
      <c r="D1860" s="2">
        <v>0.38571759259259258</v>
      </c>
      <c r="E1860" s="2">
        <v>0.39556712962962964</v>
      </c>
    </row>
    <row r="1861" spans="1:5" x14ac:dyDescent="0.25">
      <c r="A1861">
        <v>6615729</v>
      </c>
      <c r="B1861" t="str">
        <f t="shared" si="29"/>
        <v>stacjonarny</v>
      </c>
      <c r="C1861" s="1">
        <v>42943</v>
      </c>
      <c r="D1861" s="2">
        <v>0.38997685185185182</v>
      </c>
      <c r="E1861" s="2">
        <v>0.39743055555555556</v>
      </c>
    </row>
    <row r="1862" spans="1:5" x14ac:dyDescent="0.25">
      <c r="A1862">
        <v>6844342</v>
      </c>
      <c r="B1862" t="str">
        <f t="shared" si="29"/>
        <v>stacjonarny</v>
      </c>
      <c r="C1862" s="1">
        <v>42943</v>
      </c>
      <c r="D1862" s="2">
        <v>0.39451388888888889</v>
      </c>
      <c r="E1862" s="2">
        <v>0.39609953703703704</v>
      </c>
    </row>
    <row r="1863" spans="1:5" x14ac:dyDescent="0.25">
      <c r="A1863">
        <v>8369815</v>
      </c>
      <c r="B1863" t="str">
        <f t="shared" si="29"/>
        <v>stacjonarny</v>
      </c>
      <c r="C1863" s="1">
        <v>42943</v>
      </c>
      <c r="D1863" s="2">
        <v>0.3967013888888889</v>
      </c>
      <c r="E1863" s="2">
        <v>0.40182870370370372</v>
      </c>
    </row>
    <row r="1864" spans="1:5" x14ac:dyDescent="0.25">
      <c r="A1864">
        <v>9304830</v>
      </c>
      <c r="B1864" t="str">
        <f t="shared" si="29"/>
        <v>stacjonarny</v>
      </c>
      <c r="C1864" s="1">
        <v>42943</v>
      </c>
      <c r="D1864" s="2">
        <v>0.39812500000000001</v>
      </c>
      <c r="E1864" s="2">
        <v>0.39895833333333336</v>
      </c>
    </row>
    <row r="1865" spans="1:5" x14ac:dyDescent="0.25">
      <c r="A1865">
        <v>1117708</v>
      </c>
      <c r="B1865" t="str">
        <f t="shared" si="29"/>
        <v>stacjonarny</v>
      </c>
      <c r="C1865" s="1">
        <v>42943</v>
      </c>
      <c r="D1865" s="2">
        <v>0.40266203703703701</v>
      </c>
      <c r="E1865" s="2">
        <v>0.4073148148148148</v>
      </c>
    </row>
    <row r="1866" spans="1:5" x14ac:dyDescent="0.25">
      <c r="A1866">
        <v>6055986</v>
      </c>
      <c r="B1866" t="str">
        <f t="shared" si="29"/>
        <v>stacjonarny</v>
      </c>
      <c r="C1866" s="1">
        <v>42943</v>
      </c>
      <c r="D1866" s="2">
        <v>0.40710648148148149</v>
      </c>
      <c r="E1866" s="2">
        <v>0.40740740740740738</v>
      </c>
    </row>
    <row r="1867" spans="1:5" x14ac:dyDescent="0.25">
      <c r="A1867">
        <v>4569864426</v>
      </c>
      <c r="B1867" t="str">
        <f t="shared" si="29"/>
        <v>zagraniczny</v>
      </c>
      <c r="C1867" s="1">
        <v>42943</v>
      </c>
      <c r="D1867" s="2">
        <v>0.40751157407407407</v>
      </c>
      <c r="E1867" s="2">
        <v>0.41725694444444444</v>
      </c>
    </row>
    <row r="1868" spans="1:5" x14ac:dyDescent="0.25">
      <c r="A1868">
        <v>2781512</v>
      </c>
      <c r="B1868" t="str">
        <f t="shared" si="29"/>
        <v>stacjonarny</v>
      </c>
      <c r="C1868" s="1">
        <v>42943</v>
      </c>
      <c r="D1868" s="2">
        <v>0.41244212962962962</v>
      </c>
      <c r="E1868" s="2">
        <v>0.41619212962962965</v>
      </c>
    </row>
    <row r="1869" spans="1:5" x14ac:dyDescent="0.25">
      <c r="A1869">
        <v>3093964</v>
      </c>
      <c r="B1869" t="str">
        <f t="shared" si="29"/>
        <v>stacjonarny</v>
      </c>
      <c r="C1869" s="1">
        <v>42943</v>
      </c>
      <c r="D1869" s="2">
        <v>0.41363425925925928</v>
      </c>
      <c r="E1869" s="2">
        <v>0.41902777777777778</v>
      </c>
    </row>
    <row r="1870" spans="1:5" x14ac:dyDescent="0.25">
      <c r="A1870">
        <v>9413315</v>
      </c>
      <c r="B1870" t="str">
        <f t="shared" si="29"/>
        <v>stacjonarny</v>
      </c>
      <c r="C1870" s="1">
        <v>42943</v>
      </c>
      <c r="D1870" s="2">
        <v>0.41783564814814816</v>
      </c>
      <c r="E1870" s="2">
        <v>0.42383101851851851</v>
      </c>
    </row>
    <row r="1871" spans="1:5" x14ac:dyDescent="0.25">
      <c r="A1871">
        <v>1890121</v>
      </c>
      <c r="B1871" t="str">
        <f t="shared" si="29"/>
        <v>stacjonarny</v>
      </c>
      <c r="C1871" s="1">
        <v>42943</v>
      </c>
      <c r="D1871" s="2">
        <v>0.42357638888888888</v>
      </c>
      <c r="E1871" s="2">
        <v>0.43</v>
      </c>
    </row>
    <row r="1872" spans="1:5" x14ac:dyDescent="0.25">
      <c r="A1872">
        <v>9906846123</v>
      </c>
      <c r="B1872" t="str">
        <f t="shared" si="29"/>
        <v>zagraniczny</v>
      </c>
      <c r="C1872" s="1">
        <v>42943</v>
      </c>
      <c r="D1872" s="2">
        <v>0.424375</v>
      </c>
      <c r="E1872" s="2">
        <v>0.42505787037037035</v>
      </c>
    </row>
    <row r="1873" spans="1:5" x14ac:dyDescent="0.25">
      <c r="A1873">
        <v>12063341</v>
      </c>
      <c r="B1873" t="str">
        <f t="shared" si="29"/>
        <v>komorkowy</v>
      </c>
      <c r="C1873" s="1">
        <v>42943</v>
      </c>
      <c r="D1873" s="2">
        <v>0.42849537037037039</v>
      </c>
      <c r="E1873" s="2">
        <v>0.4372800925925926</v>
      </c>
    </row>
    <row r="1874" spans="1:5" x14ac:dyDescent="0.25">
      <c r="A1874">
        <v>27798660</v>
      </c>
      <c r="B1874" t="str">
        <f t="shared" si="29"/>
        <v>komorkowy</v>
      </c>
      <c r="C1874" s="1">
        <v>42943</v>
      </c>
      <c r="D1874" s="2">
        <v>0.42925925925925928</v>
      </c>
      <c r="E1874" s="2">
        <v>0.43239583333333331</v>
      </c>
    </row>
    <row r="1875" spans="1:5" x14ac:dyDescent="0.25">
      <c r="A1875">
        <v>37077953</v>
      </c>
      <c r="B1875" t="str">
        <f t="shared" si="29"/>
        <v>komorkowy</v>
      </c>
      <c r="C1875" s="1">
        <v>42943</v>
      </c>
      <c r="D1875" s="2">
        <v>0.43262731481481481</v>
      </c>
      <c r="E1875" s="2">
        <v>0.43929398148148147</v>
      </c>
    </row>
    <row r="1876" spans="1:5" x14ac:dyDescent="0.25">
      <c r="A1876">
        <v>70606958</v>
      </c>
      <c r="B1876" t="str">
        <f t="shared" si="29"/>
        <v>komorkowy</v>
      </c>
      <c r="C1876" s="1">
        <v>42943</v>
      </c>
      <c r="D1876" s="2">
        <v>0.43387731481481484</v>
      </c>
      <c r="E1876" s="2">
        <v>0.44252314814814814</v>
      </c>
    </row>
    <row r="1877" spans="1:5" x14ac:dyDescent="0.25">
      <c r="A1877">
        <v>21303266</v>
      </c>
      <c r="B1877" t="str">
        <f t="shared" si="29"/>
        <v>komorkowy</v>
      </c>
      <c r="C1877" s="1">
        <v>42943</v>
      </c>
      <c r="D1877" s="2">
        <v>0.4384953703703704</v>
      </c>
      <c r="E1877" s="2">
        <v>0.44209490740740742</v>
      </c>
    </row>
    <row r="1878" spans="1:5" x14ac:dyDescent="0.25">
      <c r="A1878">
        <v>66871690</v>
      </c>
      <c r="B1878" t="str">
        <f t="shared" si="29"/>
        <v>komorkowy</v>
      </c>
      <c r="C1878" s="1">
        <v>42943</v>
      </c>
      <c r="D1878" s="2">
        <v>0.44003472222222223</v>
      </c>
      <c r="E1878" s="2">
        <v>0.44219907407407405</v>
      </c>
    </row>
    <row r="1879" spans="1:5" x14ac:dyDescent="0.25">
      <c r="A1879">
        <v>88366261</v>
      </c>
      <c r="B1879" t="str">
        <f t="shared" si="29"/>
        <v>komorkowy</v>
      </c>
      <c r="C1879" s="1">
        <v>42943</v>
      </c>
      <c r="D1879" s="2">
        <v>0.44006944444444446</v>
      </c>
      <c r="E1879" s="2">
        <v>0.44208333333333333</v>
      </c>
    </row>
    <row r="1880" spans="1:5" x14ac:dyDescent="0.25">
      <c r="A1880">
        <v>9506446</v>
      </c>
      <c r="B1880" t="str">
        <f t="shared" si="29"/>
        <v>stacjonarny</v>
      </c>
      <c r="C1880" s="1">
        <v>42943</v>
      </c>
      <c r="D1880" s="2">
        <v>0.44490740740740742</v>
      </c>
      <c r="E1880" s="2">
        <v>0.45071759259259259</v>
      </c>
    </row>
    <row r="1881" spans="1:5" x14ac:dyDescent="0.25">
      <c r="A1881">
        <v>9225807</v>
      </c>
      <c r="B1881" t="str">
        <f t="shared" si="29"/>
        <v>stacjonarny</v>
      </c>
      <c r="C1881" s="1">
        <v>42943</v>
      </c>
      <c r="D1881" s="2">
        <v>0.44996527777777778</v>
      </c>
      <c r="E1881" s="2">
        <v>0.45952546296296298</v>
      </c>
    </row>
    <row r="1882" spans="1:5" x14ac:dyDescent="0.25">
      <c r="A1882">
        <v>6956143</v>
      </c>
      <c r="B1882" t="str">
        <f t="shared" si="29"/>
        <v>stacjonarny</v>
      </c>
      <c r="C1882" s="1">
        <v>42943</v>
      </c>
      <c r="D1882" s="2">
        <v>0.45157407407407407</v>
      </c>
      <c r="E1882" s="2">
        <v>0.455625</v>
      </c>
    </row>
    <row r="1883" spans="1:5" x14ac:dyDescent="0.25">
      <c r="A1883">
        <v>1472253</v>
      </c>
      <c r="B1883" t="str">
        <f t="shared" si="29"/>
        <v>stacjonarny</v>
      </c>
      <c r="C1883" s="1">
        <v>42943</v>
      </c>
      <c r="D1883" s="2">
        <v>0.45729166666666665</v>
      </c>
      <c r="E1883" s="2">
        <v>0.46041666666666664</v>
      </c>
    </row>
    <row r="1884" spans="1:5" x14ac:dyDescent="0.25">
      <c r="A1884">
        <v>4025325</v>
      </c>
      <c r="B1884" t="str">
        <f t="shared" si="29"/>
        <v>stacjonarny</v>
      </c>
      <c r="C1884" s="1">
        <v>42943</v>
      </c>
      <c r="D1884" s="2">
        <v>0.46151620370370372</v>
      </c>
      <c r="E1884" s="2">
        <v>0.46604166666666669</v>
      </c>
    </row>
    <row r="1885" spans="1:5" x14ac:dyDescent="0.25">
      <c r="A1885">
        <v>6220398</v>
      </c>
      <c r="B1885" t="str">
        <f t="shared" si="29"/>
        <v>stacjonarny</v>
      </c>
      <c r="C1885" s="1">
        <v>42943</v>
      </c>
      <c r="D1885" s="2">
        <v>0.46175925925925926</v>
      </c>
      <c r="E1885" s="2">
        <v>0.46263888888888888</v>
      </c>
    </row>
    <row r="1886" spans="1:5" x14ac:dyDescent="0.25">
      <c r="A1886">
        <v>6326108</v>
      </c>
      <c r="B1886" t="str">
        <f t="shared" si="29"/>
        <v>stacjonarny</v>
      </c>
      <c r="C1886" s="1">
        <v>42943</v>
      </c>
      <c r="D1886" s="2">
        <v>0.46474537037037039</v>
      </c>
      <c r="E1886" s="2">
        <v>0.47486111111111112</v>
      </c>
    </row>
    <row r="1887" spans="1:5" x14ac:dyDescent="0.25">
      <c r="A1887">
        <v>88929709</v>
      </c>
      <c r="B1887" t="str">
        <f t="shared" si="29"/>
        <v>komorkowy</v>
      </c>
      <c r="C1887" s="1">
        <v>42943</v>
      </c>
      <c r="D1887" s="2">
        <v>0.46687499999999998</v>
      </c>
      <c r="E1887" s="2">
        <v>0.47510416666666666</v>
      </c>
    </row>
    <row r="1888" spans="1:5" x14ac:dyDescent="0.25">
      <c r="A1888">
        <v>3004967</v>
      </c>
      <c r="B1888" t="str">
        <f t="shared" si="29"/>
        <v>stacjonarny</v>
      </c>
      <c r="C1888" s="1">
        <v>42943</v>
      </c>
      <c r="D1888" s="2">
        <v>0.4707175925925926</v>
      </c>
      <c r="E1888" s="2">
        <v>0.47547453703703701</v>
      </c>
    </row>
    <row r="1889" spans="1:5" x14ac:dyDescent="0.25">
      <c r="A1889">
        <v>1721264</v>
      </c>
      <c r="B1889" t="str">
        <f t="shared" si="29"/>
        <v>stacjonarny</v>
      </c>
      <c r="C1889" s="1">
        <v>42943</v>
      </c>
      <c r="D1889" s="2">
        <v>0.47394675925925928</v>
      </c>
      <c r="E1889" s="2">
        <v>0.47922453703703705</v>
      </c>
    </row>
    <row r="1890" spans="1:5" x14ac:dyDescent="0.25">
      <c r="A1890">
        <v>5231877</v>
      </c>
      <c r="B1890" t="str">
        <f t="shared" si="29"/>
        <v>stacjonarny</v>
      </c>
      <c r="C1890" s="1">
        <v>42943</v>
      </c>
      <c r="D1890" s="2">
        <v>0.47550925925925924</v>
      </c>
      <c r="E1890" s="2">
        <v>0.47930555555555554</v>
      </c>
    </row>
    <row r="1891" spans="1:5" x14ac:dyDescent="0.25">
      <c r="A1891">
        <v>92414932</v>
      </c>
      <c r="B1891" t="str">
        <f t="shared" si="29"/>
        <v>komorkowy</v>
      </c>
      <c r="C1891" s="1">
        <v>42943</v>
      </c>
      <c r="D1891" s="2">
        <v>0.48085648148148147</v>
      </c>
      <c r="E1891" s="2">
        <v>0.48893518518518519</v>
      </c>
    </row>
    <row r="1892" spans="1:5" x14ac:dyDescent="0.25">
      <c r="A1892">
        <v>3202610</v>
      </c>
      <c r="B1892" t="str">
        <f t="shared" si="29"/>
        <v>stacjonarny</v>
      </c>
      <c r="C1892" s="1">
        <v>42943</v>
      </c>
      <c r="D1892" s="2">
        <v>0.48528935185185185</v>
      </c>
      <c r="E1892" s="2">
        <v>0.48694444444444446</v>
      </c>
    </row>
    <row r="1893" spans="1:5" x14ac:dyDescent="0.25">
      <c r="A1893">
        <v>2825289</v>
      </c>
      <c r="B1893" t="str">
        <f t="shared" si="29"/>
        <v>stacjonarny</v>
      </c>
      <c r="C1893" s="1">
        <v>42943</v>
      </c>
      <c r="D1893" s="2">
        <v>0.4855902777777778</v>
      </c>
      <c r="E1893" s="2">
        <v>0.49710648148148145</v>
      </c>
    </row>
    <row r="1894" spans="1:5" x14ac:dyDescent="0.25">
      <c r="A1894">
        <v>7915936</v>
      </c>
      <c r="B1894" t="str">
        <f t="shared" si="29"/>
        <v>stacjonarny</v>
      </c>
      <c r="C1894" s="1">
        <v>42943</v>
      </c>
      <c r="D1894" s="2">
        <v>0.49075231481481479</v>
      </c>
      <c r="E1894" s="2">
        <v>0.49836805555555558</v>
      </c>
    </row>
    <row r="1895" spans="1:5" x14ac:dyDescent="0.25">
      <c r="A1895">
        <v>3680072</v>
      </c>
      <c r="B1895" t="str">
        <f t="shared" si="29"/>
        <v>stacjonarny</v>
      </c>
      <c r="C1895" s="1">
        <v>42943</v>
      </c>
      <c r="D1895" s="2">
        <v>0.49561342592592594</v>
      </c>
      <c r="E1895" s="2">
        <v>0.49716435185185187</v>
      </c>
    </row>
    <row r="1896" spans="1:5" x14ac:dyDescent="0.25">
      <c r="A1896">
        <v>6980867</v>
      </c>
      <c r="B1896" t="str">
        <f t="shared" si="29"/>
        <v>stacjonarny</v>
      </c>
      <c r="C1896" s="1">
        <v>42943</v>
      </c>
      <c r="D1896" s="2">
        <v>0.49716435185185187</v>
      </c>
      <c r="E1896" s="2">
        <v>0.50270833333333331</v>
      </c>
    </row>
    <row r="1897" spans="1:5" x14ac:dyDescent="0.25">
      <c r="A1897">
        <v>3656681</v>
      </c>
      <c r="B1897" t="str">
        <f t="shared" si="29"/>
        <v>stacjonarny</v>
      </c>
      <c r="C1897" s="1">
        <v>42943</v>
      </c>
      <c r="D1897" s="2">
        <v>0.50123842592592593</v>
      </c>
      <c r="E1897" s="2">
        <v>0.5084143518518518</v>
      </c>
    </row>
    <row r="1898" spans="1:5" x14ac:dyDescent="0.25">
      <c r="A1898">
        <v>4445684</v>
      </c>
      <c r="B1898" t="str">
        <f t="shared" si="29"/>
        <v>stacjonarny</v>
      </c>
      <c r="C1898" s="1">
        <v>42943</v>
      </c>
      <c r="D1898" s="2">
        <v>0.50361111111111112</v>
      </c>
      <c r="E1898" s="2">
        <v>0.51285879629629627</v>
      </c>
    </row>
    <row r="1899" spans="1:5" x14ac:dyDescent="0.25">
      <c r="A1899">
        <v>9864502</v>
      </c>
      <c r="B1899" t="str">
        <f t="shared" si="29"/>
        <v>stacjonarny</v>
      </c>
      <c r="C1899" s="1">
        <v>42943</v>
      </c>
      <c r="D1899" s="2">
        <v>0.50722222222222224</v>
      </c>
      <c r="E1899" s="2">
        <v>0.50762731481481482</v>
      </c>
    </row>
    <row r="1900" spans="1:5" x14ac:dyDescent="0.25">
      <c r="A1900">
        <v>5881130</v>
      </c>
      <c r="B1900" t="str">
        <f t="shared" si="29"/>
        <v>stacjonarny</v>
      </c>
      <c r="C1900" s="1">
        <v>42943</v>
      </c>
      <c r="D1900" s="2">
        <v>0.51086805555555559</v>
      </c>
      <c r="E1900" s="2">
        <v>0.516087962962963</v>
      </c>
    </row>
    <row r="1901" spans="1:5" x14ac:dyDescent="0.25">
      <c r="A1901">
        <v>2056567</v>
      </c>
      <c r="B1901" t="str">
        <f t="shared" si="29"/>
        <v>stacjonarny</v>
      </c>
      <c r="C1901" s="1">
        <v>42943</v>
      </c>
      <c r="D1901" s="2">
        <v>0.51563657407407404</v>
      </c>
      <c r="E1901" s="2">
        <v>0.52396990740740745</v>
      </c>
    </row>
    <row r="1902" spans="1:5" x14ac:dyDescent="0.25">
      <c r="A1902">
        <v>62150310</v>
      </c>
      <c r="B1902" t="str">
        <f t="shared" si="29"/>
        <v>komorkowy</v>
      </c>
      <c r="C1902" s="1">
        <v>42943</v>
      </c>
      <c r="D1902" s="2">
        <v>0.52003472222222225</v>
      </c>
      <c r="E1902" s="2">
        <v>0.52927083333333336</v>
      </c>
    </row>
    <row r="1903" spans="1:5" x14ac:dyDescent="0.25">
      <c r="A1903">
        <v>9340299</v>
      </c>
      <c r="B1903" t="str">
        <f t="shared" si="29"/>
        <v>stacjonarny</v>
      </c>
      <c r="C1903" s="1">
        <v>42943</v>
      </c>
      <c r="D1903" s="2">
        <v>0.52034722222222218</v>
      </c>
      <c r="E1903" s="2">
        <v>0.52137731481481486</v>
      </c>
    </row>
    <row r="1904" spans="1:5" x14ac:dyDescent="0.25">
      <c r="A1904">
        <v>3912924</v>
      </c>
      <c r="B1904" t="str">
        <f t="shared" si="29"/>
        <v>stacjonarny</v>
      </c>
      <c r="C1904" s="1">
        <v>42943</v>
      </c>
      <c r="D1904" s="2">
        <v>0.52368055555555559</v>
      </c>
      <c r="E1904" s="2">
        <v>0.52627314814814818</v>
      </c>
    </row>
    <row r="1905" spans="1:5" x14ac:dyDescent="0.25">
      <c r="A1905">
        <v>8159466</v>
      </c>
      <c r="B1905" t="str">
        <f t="shared" si="29"/>
        <v>stacjonarny</v>
      </c>
      <c r="C1905" s="1">
        <v>42943</v>
      </c>
      <c r="D1905" s="2">
        <v>0.52460648148148148</v>
      </c>
      <c r="E1905" s="2">
        <v>0.52971064814814817</v>
      </c>
    </row>
    <row r="1906" spans="1:5" x14ac:dyDescent="0.25">
      <c r="A1906">
        <v>7467198</v>
      </c>
      <c r="B1906" t="str">
        <f t="shared" si="29"/>
        <v>stacjonarny</v>
      </c>
      <c r="C1906" s="1">
        <v>42943</v>
      </c>
      <c r="D1906" s="2">
        <v>0.52993055555555557</v>
      </c>
      <c r="E1906" s="2">
        <v>0.53739583333333329</v>
      </c>
    </row>
    <row r="1907" spans="1:5" x14ac:dyDescent="0.25">
      <c r="A1907">
        <v>4703748</v>
      </c>
      <c r="B1907" t="str">
        <f t="shared" si="29"/>
        <v>stacjonarny</v>
      </c>
      <c r="C1907" s="1">
        <v>42943</v>
      </c>
      <c r="D1907" s="2">
        <v>0.53315972222222219</v>
      </c>
      <c r="E1907" s="2">
        <v>0.53454861111111107</v>
      </c>
    </row>
    <row r="1908" spans="1:5" x14ac:dyDescent="0.25">
      <c r="A1908">
        <v>1165705</v>
      </c>
      <c r="B1908" t="str">
        <f t="shared" si="29"/>
        <v>stacjonarny</v>
      </c>
      <c r="C1908" s="1">
        <v>42943</v>
      </c>
      <c r="D1908" s="2">
        <v>0.53666666666666663</v>
      </c>
      <c r="E1908" s="2">
        <v>0.54100694444444442</v>
      </c>
    </row>
    <row r="1909" spans="1:5" x14ac:dyDescent="0.25">
      <c r="A1909">
        <v>90762334</v>
      </c>
      <c r="B1909" t="str">
        <f t="shared" si="29"/>
        <v>komorkowy</v>
      </c>
      <c r="C1909" s="1">
        <v>42943</v>
      </c>
      <c r="D1909" s="2">
        <v>0.54144675925925922</v>
      </c>
      <c r="E1909" s="2">
        <v>0.54313657407407412</v>
      </c>
    </row>
    <row r="1910" spans="1:5" x14ac:dyDescent="0.25">
      <c r="A1910">
        <v>16527855</v>
      </c>
      <c r="B1910" t="str">
        <f t="shared" si="29"/>
        <v>komorkowy</v>
      </c>
      <c r="C1910" s="1">
        <v>42943</v>
      </c>
      <c r="D1910" s="2">
        <v>0.54194444444444445</v>
      </c>
      <c r="E1910" s="2">
        <v>0.5513541666666667</v>
      </c>
    </row>
    <row r="1911" spans="1:5" x14ac:dyDescent="0.25">
      <c r="A1911">
        <v>1055495</v>
      </c>
      <c r="B1911" t="str">
        <f t="shared" si="29"/>
        <v>stacjonarny</v>
      </c>
      <c r="C1911" s="1">
        <v>42943</v>
      </c>
      <c r="D1911" s="2">
        <v>0.54600694444444442</v>
      </c>
      <c r="E1911" s="2">
        <v>0.54866898148148147</v>
      </c>
    </row>
    <row r="1912" spans="1:5" x14ac:dyDescent="0.25">
      <c r="A1912">
        <v>9120318</v>
      </c>
      <c r="B1912" t="str">
        <f t="shared" si="29"/>
        <v>stacjonarny</v>
      </c>
      <c r="C1912" s="1">
        <v>42943</v>
      </c>
      <c r="D1912" s="2">
        <v>0.54690972222222223</v>
      </c>
      <c r="E1912" s="2">
        <v>0.54707175925925922</v>
      </c>
    </row>
    <row r="1913" spans="1:5" x14ac:dyDescent="0.25">
      <c r="A1913">
        <v>4030817</v>
      </c>
      <c r="B1913" t="str">
        <f t="shared" si="29"/>
        <v>stacjonarny</v>
      </c>
      <c r="C1913" s="1">
        <v>42943</v>
      </c>
      <c r="D1913" s="2">
        <v>0.55092592592592593</v>
      </c>
      <c r="E1913" s="2">
        <v>0.56030092592592595</v>
      </c>
    </row>
    <row r="1914" spans="1:5" x14ac:dyDescent="0.25">
      <c r="A1914">
        <v>1025756</v>
      </c>
      <c r="B1914" t="str">
        <f t="shared" si="29"/>
        <v>stacjonarny</v>
      </c>
      <c r="C1914" s="1">
        <v>42943</v>
      </c>
      <c r="D1914" s="2">
        <v>0.55116898148148152</v>
      </c>
      <c r="E1914" s="2">
        <v>0.56047453703703709</v>
      </c>
    </row>
    <row r="1915" spans="1:5" x14ac:dyDescent="0.25">
      <c r="A1915">
        <v>29880225</v>
      </c>
      <c r="B1915" t="str">
        <f t="shared" si="29"/>
        <v>komorkowy</v>
      </c>
      <c r="C1915" s="1">
        <v>42943</v>
      </c>
      <c r="D1915" s="2">
        <v>0.55174768518518513</v>
      </c>
      <c r="E1915" s="2">
        <v>0.55920138888888893</v>
      </c>
    </row>
    <row r="1916" spans="1:5" x14ac:dyDescent="0.25">
      <c r="A1916">
        <v>4791902</v>
      </c>
      <c r="B1916" t="str">
        <f t="shared" si="29"/>
        <v>stacjonarny</v>
      </c>
      <c r="C1916" s="1">
        <v>42943</v>
      </c>
      <c r="D1916" s="2">
        <v>0.55718749999999995</v>
      </c>
      <c r="E1916" s="2">
        <v>0.55753472222222222</v>
      </c>
    </row>
    <row r="1917" spans="1:5" x14ac:dyDescent="0.25">
      <c r="A1917">
        <v>5228419</v>
      </c>
      <c r="B1917" t="str">
        <f t="shared" si="29"/>
        <v>stacjonarny</v>
      </c>
      <c r="C1917" s="1">
        <v>42943</v>
      </c>
      <c r="D1917" s="2">
        <v>0.55995370370370368</v>
      </c>
      <c r="E1917" s="2">
        <v>0.56405092592592587</v>
      </c>
    </row>
    <row r="1918" spans="1:5" x14ac:dyDescent="0.25">
      <c r="A1918">
        <v>8991671</v>
      </c>
      <c r="B1918" t="str">
        <f t="shared" si="29"/>
        <v>stacjonarny</v>
      </c>
      <c r="C1918" s="1">
        <v>42943</v>
      </c>
      <c r="D1918" s="2">
        <v>0.56268518518518518</v>
      </c>
      <c r="E1918" s="2">
        <v>0.56517361111111108</v>
      </c>
    </row>
    <row r="1919" spans="1:5" x14ac:dyDescent="0.25">
      <c r="A1919">
        <v>8045338707</v>
      </c>
      <c r="B1919" t="str">
        <f t="shared" si="29"/>
        <v>zagraniczny</v>
      </c>
      <c r="C1919" s="1">
        <v>42943</v>
      </c>
      <c r="D1919" s="2">
        <v>0.56680555555555556</v>
      </c>
      <c r="E1919" s="2">
        <v>0.56877314814814817</v>
      </c>
    </row>
    <row r="1920" spans="1:5" x14ac:dyDescent="0.25">
      <c r="A1920">
        <v>9192546</v>
      </c>
      <c r="B1920" t="str">
        <f t="shared" si="29"/>
        <v>stacjonarny</v>
      </c>
      <c r="C1920" s="1">
        <v>42943</v>
      </c>
      <c r="D1920" s="2">
        <v>0.57233796296296291</v>
      </c>
      <c r="E1920" s="2">
        <v>0.57620370370370366</v>
      </c>
    </row>
    <row r="1921" spans="1:5" x14ac:dyDescent="0.25">
      <c r="A1921">
        <v>9664752</v>
      </c>
      <c r="B1921" t="str">
        <f t="shared" si="29"/>
        <v>stacjonarny</v>
      </c>
      <c r="C1921" s="1">
        <v>42943</v>
      </c>
      <c r="D1921" s="2">
        <v>0.57563657407407409</v>
      </c>
      <c r="E1921" s="2">
        <v>0.57976851851851852</v>
      </c>
    </row>
    <row r="1922" spans="1:5" x14ac:dyDescent="0.25">
      <c r="A1922">
        <v>62653835</v>
      </c>
      <c r="B1922" t="str">
        <f t="shared" si="29"/>
        <v>komorkowy</v>
      </c>
      <c r="C1922" s="1">
        <v>42943</v>
      </c>
      <c r="D1922" s="2">
        <v>0.58034722222222224</v>
      </c>
      <c r="E1922" s="2">
        <v>0.58803240740740736</v>
      </c>
    </row>
    <row r="1923" spans="1:5" x14ac:dyDescent="0.25">
      <c r="A1923">
        <v>6087301</v>
      </c>
      <c r="B1923" t="str">
        <f t="shared" ref="B1923:B1986" si="30">IF(LEN(A1923)=7, "stacjonarny", IF(LEN(A1923)=8, "komorkowy", "zagraniczny"))</f>
        <v>stacjonarny</v>
      </c>
      <c r="C1923" s="1">
        <v>42943</v>
      </c>
      <c r="D1923" s="2">
        <v>0.58589120370370373</v>
      </c>
      <c r="E1923" s="2">
        <v>0.59706018518518522</v>
      </c>
    </row>
    <row r="1924" spans="1:5" x14ac:dyDescent="0.25">
      <c r="A1924">
        <v>3864488</v>
      </c>
      <c r="B1924" t="str">
        <f t="shared" si="30"/>
        <v>stacjonarny</v>
      </c>
      <c r="C1924" s="1">
        <v>42943</v>
      </c>
      <c r="D1924" s="2">
        <v>0.58601851851851849</v>
      </c>
      <c r="E1924" s="2">
        <v>0.58971064814814811</v>
      </c>
    </row>
    <row r="1925" spans="1:5" x14ac:dyDescent="0.25">
      <c r="A1925">
        <v>5604405</v>
      </c>
      <c r="B1925" t="str">
        <f t="shared" si="30"/>
        <v>stacjonarny</v>
      </c>
      <c r="C1925" s="1">
        <v>42943</v>
      </c>
      <c r="D1925" s="2">
        <v>0.58655092592592595</v>
      </c>
      <c r="E1925" s="2">
        <v>0.59761574074074075</v>
      </c>
    </row>
    <row r="1926" spans="1:5" x14ac:dyDescent="0.25">
      <c r="A1926">
        <v>4774889</v>
      </c>
      <c r="B1926" t="str">
        <f t="shared" si="30"/>
        <v>stacjonarny</v>
      </c>
      <c r="C1926" s="1">
        <v>42943</v>
      </c>
      <c r="D1926" s="2">
        <v>0.58733796296296292</v>
      </c>
      <c r="E1926" s="2">
        <v>0.59475694444444449</v>
      </c>
    </row>
    <row r="1927" spans="1:5" x14ac:dyDescent="0.25">
      <c r="A1927">
        <v>4017213</v>
      </c>
      <c r="B1927" t="str">
        <f t="shared" si="30"/>
        <v>stacjonarny</v>
      </c>
      <c r="C1927" s="1">
        <v>42943</v>
      </c>
      <c r="D1927" s="2">
        <v>0.59228009259259262</v>
      </c>
      <c r="E1927" s="2">
        <v>0.60034722222222225</v>
      </c>
    </row>
    <row r="1928" spans="1:5" x14ac:dyDescent="0.25">
      <c r="A1928">
        <v>4720934</v>
      </c>
      <c r="B1928" t="str">
        <f t="shared" si="30"/>
        <v>stacjonarny</v>
      </c>
      <c r="C1928" s="1">
        <v>42943</v>
      </c>
      <c r="D1928" s="2">
        <v>0.59624999999999995</v>
      </c>
      <c r="E1928" s="2">
        <v>0.59810185185185183</v>
      </c>
    </row>
    <row r="1929" spans="1:5" x14ac:dyDescent="0.25">
      <c r="A1929">
        <v>13494237</v>
      </c>
      <c r="B1929" t="str">
        <f t="shared" si="30"/>
        <v>komorkowy</v>
      </c>
      <c r="C1929" s="1">
        <v>42943</v>
      </c>
      <c r="D1929" s="2">
        <v>0.60160879629629627</v>
      </c>
      <c r="E1929" s="2">
        <v>0.61234953703703698</v>
      </c>
    </row>
    <row r="1930" spans="1:5" x14ac:dyDescent="0.25">
      <c r="A1930">
        <v>71807686</v>
      </c>
      <c r="B1930" t="str">
        <f t="shared" si="30"/>
        <v>komorkowy</v>
      </c>
      <c r="C1930" s="1">
        <v>42943</v>
      </c>
      <c r="D1930" s="2">
        <v>0.60339120370370369</v>
      </c>
      <c r="E1930" s="2">
        <v>0.61410879629629633</v>
      </c>
    </row>
    <row r="1931" spans="1:5" x14ac:dyDescent="0.25">
      <c r="A1931">
        <v>7865609</v>
      </c>
      <c r="B1931" t="str">
        <f t="shared" si="30"/>
        <v>stacjonarny</v>
      </c>
      <c r="C1931" s="1">
        <v>42943</v>
      </c>
      <c r="D1931" s="2">
        <v>0.60826388888888894</v>
      </c>
      <c r="E1931" s="2">
        <v>0.61071759259259262</v>
      </c>
    </row>
    <row r="1932" spans="1:5" x14ac:dyDescent="0.25">
      <c r="A1932">
        <v>5318850</v>
      </c>
      <c r="B1932" t="str">
        <f t="shared" si="30"/>
        <v>stacjonarny</v>
      </c>
      <c r="C1932" s="1">
        <v>42943</v>
      </c>
      <c r="D1932" s="2">
        <v>0.61053240740740744</v>
      </c>
      <c r="E1932" s="2">
        <v>0.61406249999999996</v>
      </c>
    </row>
    <row r="1933" spans="1:5" x14ac:dyDescent="0.25">
      <c r="A1933">
        <v>63613334</v>
      </c>
      <c r="B1933" t="str">
        <f t="shared" si="30"/>
        <v>komorkowy</v>
      </c>
      <c r="C1933" s="1">
        <v>42943</v>
      </c>
      <c r="D1933" s="2">
        <v>0.61393518518518519</v>
      </c>
      <c r="E1933" s="2">
        <v>0.61831018518518521</v>
      </c>
    </row>
    <row r="1934" spans="1:5" x14ac:dyDescent="0.25">
      <c r="A1934">
        <v>2256093</v>
      </c>
      <c r="B1934" t="str">
        <f t="shared" si="30"/>
        <v>stacjonarny</v>
      </c>
      <c r="C1934" s="1">
        <v>42943</v>
      </c>
      <c r="D1934" s="2">
        <v>0.61958333333333337</v>
      </c>
      <c r="E1934" s="2">
        <v>0.62275462962962957</v>
      </c>
    </row>
    <row r="1935" spans="1:5" x14ac:dyDescent="0.25">
      <c r="A1935">
        <v>7421094</v>
      </c>
      <c r="B1935" t="str">
        <f t="shared" si="30"/>
        <v>stacjonarny</v>
      </c>
      <c r="C1935" s="1">
        <v>42943</v>
      </c>
      <c r="D1935" s="2">
        <v>0.62206018518518513</v>
      </c>
      <c r="E1935" s="2">
        <v>0.62554398148148149</v>
      </c>
    </row>
    <row r="1936" spans="1:5" x14ac:dyDescent="0.25">
      <c r="A1936">
        <v>5376362</v>
      </c>
      <c r="B1936" t="str">
        <f t="shared" si="30"/>
        <v>stacjonarny</v>
      </c>
      <c r="C1936" s="1">
        <v>42943</v>
      </c>
      <c r="D1936" s="2">
        <v>0.6255208333333333</v>
      </c>
      <c r="E1936" s="2">
        <v>0.63026620370370368</v>
      </c>
    </row>
    <row r="1937" spans="1:5" x14ac:dyDescent="0.25">
      <c r="A1937">
        <v>8967842</v>
      </c>
      <c r="B1937" t="str">
        <f t="shared" si="30"/>
        <v>stacjonarny</v>
      </c>
      <c r="C1937" s="1">
        <v>42944</v>
      </c>
      <c r="D1937" s="2">
        <v>0.3369328703703704</v>
      </c>
      <c r="E1937" s="2">
        <v>0.34400462962962963</v>
      </c>
    </row>
    <row r="1938" spans="1:5" x14ac:dyDescent="0.25">
      <c r="A1938">
        <v>76644634</v>
      </c>
      <c r="B1938" t="str">
        <f t="shared" si="30"/>
        <v>komorkowy</v>
      </c>
      <c r="C1938" s="1">
        <v>42944</v>
      </c>
      <c r="D1938" s="2">
        <v>0.33696759259259257</v>
      </c>
      <c r="E1938" s="2">
        <v>0.33809027777777778</v>
      </c>
    </row>
    <row r="1939" spans="1:5" x14ac:dyDescent="0.25">
      <c r="A1939">
        <v>7622819</v>
      </c>
      <c r="B1939" t="str">
        <f t="shared" si="30"/>
        <v>stacjonarny</v>
      </c>
      <c r="C1939" s="1">
        <v>42944</v>
      </c>
      <c r="D1939" s="2">
        <v>0.33831018518518519</v>
      </c>
      <c r="E1939" s="2">
        <v>0.34758101851851853</v>
      </c>
    </row>
    <row r="1940" spans="1:5" x14ac:dyDescent="0.25">
      <c r="A1940">
        <v>3524259</v>
      </c>
      <c r="B1940" t="str">
        <f t="shared" si="30"/>
        <v>stacjonarny</v>
      </c>
      <c r="C1940" s="1">
        <v>42944</v>
      </c>
      <c r="D1940" s="2">
        <v>0.33927083333333335</v>
      </c>
      <c r="E1940" s="2">
        <v>0.34861111111111109</v>
      </c>
    </row>
    <row r="1941" spans="1:5" x14ac:dyDescent="0.25">
      <c r="A1941">
        <v>5550678</v>
      </c>
      <c r="B1941" t="str">
        <f t="shared" si="30"/>
        <v>stacjonarny</v>
      </c>
      <c r="C1941" s="1">
        <v>42944</v>
      </c>
      <c r="D1941" s="2">
        <v>0.34497685185185184</v>
      </c>
      <c r="E1941" s="2">
        <v>0.35487268518518517</v>
      </c>
    </row>
    <row r="1942" spans="1:5" x14ac:dyDescent="0.25">
      <c r="A1942">
        <v>41852472</v>
      </c>
      <c r="B1942" t="str">
        <f t="shared" si="30"/>
        <v>komorkowy</v>
      </c>
      <c r="C1942" s="1">
        <v>42944</v>
      </c>
      <c r="D1942" s="2">
        <v>0.34826388888888887</v>
      </c>
      <c r="E1942" s="2">
        <v>0.34871527777777778</v>
      </c>
    </row>
    <row r="1943" spans="1:5" x14ac:dyDescent="0.25">
      <c r="A1943">
        <v>8799570155</v>
      </c>
      <c r="B1943" t="str">
        <f t="shared" si="30"/>
        <v>zagraniczny</v>
      </c>
      <c r="C1943" s="1">
        <v>42944</v>
      </c>
      <c r="D1943" s="2">
        <v>0.34932870370370372</v>
      </c>
      <c r="E1943" s="2">
        <v>0.35365740740740742</v>
      </c>
    </row>
    <row r="1944" spans="1:5" x14ac:dyDescent="0.25">
      <c r="A1944">
        <v>9329226</v>
      </c>
      <c r="B1944" t="str">
        <f t="shared" si="30"/>
        <v>stacjonarny</v>
      </c>
      <c r="C1944" s="1">
        <v>42944</v>
      </c>
      <c r="D1944" s="2">
        <v>0.34983796296296299</v>
      </c>
      <c r="E1944" s="2">
        <v>0.35505787037037034</v>
      </c>
    </row>
    <row r="1945" spans="1:5" x14ac:dyDescent="0.25">
      <c r="A1945">
        <v>9219408</v>
      </c>
      <c r="B1945" t="str">
        <f t="shared" si="30"/>
        <v>stacjonarny</v>
      </c>
      <c r="C1945" s="1">
        <v>42944</v>
      </c>
      <c r="D1945" s="2">
        <v>0.35519675925925925</v>
      </c>
      <c r="E1945" s="2">
        <v>0.36072916666666666</v>
      </c>
    </row>
    <row r="1946" spans="1:5" x14ac:dyDescent="0.25">
      <c r="A1946">
        <v>2163209</v>
      </c>
      <c r="B1946" t="str">
        <f t="shared" si="30"/>
        <v>stacjonarny</v>
      </c>
      <c r="C1946" s="1">
        <v>42944</v>
      </c>
      <c r="D1946" s="2">
        <v>0.35749999999999998</v>
      </c>
      <c r="E1946" s="2">
        <v>0.36791666666666667</v>
      </c>
    </row>
    <row r="1947" spans="1:5" x14ac:dyDescent="0.25">
      <c r="A1947">
        <v>98021540</v>
      </c>
      <c r="B1947" t="str">
        <f t="shared" si="30"/>
        <v>komorkowy</v>
      </c>
      <c r="C1947" s="1">
        <v>42944</v>
      </c>
      <c r="D1947" s="2">
        <v>0.35806712962962961</v>
      </c>
      <c r="E1947" s="2">
        <v>0.36835648148148148</v>
      </c>
    </row>
    <row r="1948" spans="1:5" x14ac:dyDescent="0.25">
      <c r="A1948">
        <v>58420185</v>
      </c>
      <c r="B1948" t="str">
        <f t="shared" si="30"/>
        <v>komorkowy</v>
      </c>
      <c r="C1948" s="1">
        <v>42944</v>
      </c>
      <c r="D1948" s="2">
        <v>0.35957175925925927</v>
      </c>
      <c r="E1948" s="2">
        <v>0.3616435185185185</v>
      </c>
    </row>
    <row r="1949" spans="1:5" x14ac:dyDescent="0.25">
      <c r="A1949">
        <v>2188847</v>
      </c>
      <c r="B1949" t="str">
        <f t="shared" si="30"/>
        <v>stacjonarny</v>
      </c>
      <c r="C1949" s="1">
        <v>42944</v>
      </c>
      <c r="D1949" s="2">
        <v>0.36321759259259262</v>
      </c>
      <c r="E1949" s="2">
        <v>0.36689814814814814</v>
      </c>
    </row>
    <row r="1950" spans="1:5" x14ac:dyDescent="0.25">
      <c r="A1950">
        <v>2419817</v>
      </c>
      <c r="B1950" t="str">
        <f t="shared" si="30"/>
        <v>stacjonarny</v>
      </c>
      <c r="C1950" s="1">
        <v>42944</v>
      </c>
      <c r="D1950" s="2">
        <v>0.36768518518518517</v>
      </c>
      <c r="E1950" s="2">
        <v>0.3742476851851852</v>
      </c>
    </row>
    <row r="1951" spans="1:5" x14ac:dyDescent="0.25">
      <c r="A1951">
        <v>8938444</v>
      </c>
      <c r="B1951" t="str">
        <f t="shared" si="30"/>
        <v>stacjonarny</v>
      </c>
      <c r="C1951" s="1">
        <v>42944</v>
      </c>
      <c r="D1951" s="2">
        <v>0.37162037037037038</v>
      </c>
      <c r="E1951" s="2">
        <v>0.37275462962962963</v>
      </c>
    </row>
    <row r="1952" spans="1:5" x14ac:dyDescent="0.25">
      <c r="A1952">
        <v>8512255</v>
      </c>
      <c r="B1952" t="str">
        <f t="shared" si="30"/>
        <v>stacjonarny</v>
      </c>
      <c r="C1952" s="1">
        <v>42944</v>
      </c>
      <c r="D1952" s="2">
        <v>0.37327546296296299</v>
      </c>
      <c r="E1952" s="2">
        <v>0.37962962962962965</v>
      </c>
    </row>
    <row r="1953" spans="1:5" x14ac:dyDescent="0.25">
      <c r="A1953">
        <v>7488966</v>
      </c>
      <c r="B1953" t="str">
        <f t="shared" si="30"/>
        <v>stacjonarny</v>
      </c>
      <c r="C1953" s="1">
        <v>42944</v>
      </c>
      <c r="D1953" s="2">
        <v>0.37513888888888891</v>
      </c>
      <c r="E1953" s="2">
        <v>0.3775</v>
      </c>
    </row>
    <row r="1954" spans="1:5" x14ac:dyDescent="0.25">
      <c r="A1954">
        <v>6068132</v>
      </c>
      <c r="B1954" t="str">
        <f t="shared" si="30"/>
        <v>stacjonarny</v>
      </c>
      <c r="C1954" s="1">
        <v>42944</v>
      </c>
      <c r="D1954" s="2">
        <v>0.37793981481481481</v>
      </c>
      <c r="E1954" s="2">
        <v>0.3873611111111111</v>
      </c>
    </row>
    <row r="1955" spans="1:5" x14ac:dyDescent="0.25">
      <c r="A1955">
        <v>6131743</v>
      </c>
      <c r="B1955" t="str">
        <f t="shared" si="30"/>
        <v>stacjonarny</v>
      </c>
      <c r="C1955" s="1">
        <v>42944</v>
      </c>
      <c r="D1955" s="2">
        <v>0.38305555555555554</v>
      </c>
      <c r="E1955" s="2">
        <v>0.38718750000000002</v>
      </c>
    </row>
    <row r="1956" spans="1:5" x14ac:dyDescent="0.25">
      <c r="A1956">
        <v>71564278</v>
      </c>
      <c r="B1956" t="str">
        <f t="shared" si="30"/>
        <v>komorkowy</v>
      </c>
      <c r="C1956" s="1">
        <v>42944</v>
      </c>
      <c r="D1956" s="2">
        <v>0.38849537037037035</v>
      </c>
      <c r="E1956" s="2">
        <v>0.39708333333333334</v>
      </c>
    </row>
    <row r="1957" spans="1:5" x14ac:dyDescent="0.25">
      <c r="A1957">
        <v>4529192</v>
      </c>
      <c r="B1957" t="str">
        <f t="shared" si="30"/>
        <v>stacjonarny</v>
      </c>
      <c r="C1957" s="1">
        <v>42944</v>
      </c>
      <c r="D1957" s="2">
        <v>0.39005787037037037</v>
      </c>
      <c r="E1957" s="2">
        <v>0.39561342592592591</v>
      </c>
    </row>
    <row r="1958" spans="1:5" x14ac:dyDescent="0.25">
      <c r="A1958">
        <v>2193730</v>
      </c>
      <c r="B1958" t="str">
        <f t="shared" si="30"/>
        <v>stacjonarny</v>
      </c>
      <c r="C1958" s="1">
        <v>42944</v>
      </c>
      <c r="D1958" s="2">
        <v>0.39269675925925923</v>
      </c>
      <c r="E1958" s="2">
        <v>0.40126157407407409</v>
      </c>
    </row>
    <row r="1959" spans="1:5" x14ac:dyDescent="0.25">
      <c r="A1959">
        <v>3120387</v>
      </c>
      <c r="B1959" t="str">
        <f t="shared" si="30"/>
        <v>stacjonarny</v>
      </c>
      <c r="C1959" s="1">
        <v>42944</v>
      </c>
      <c r="D1959" s="2">
        <v>0.39303240740740741</v>
      </c>
      <c r="E1959" s="2">
        <v>0.39657407407407408</v>
      </c>
    </row>
    <row r="1960" spans="1:5" x14ac:dyDescent="0.25">
      <c r="A1960">
        <v>5726531</v>
      </c>
      <c r="B1960" t="str">
        <f t="shared" si="30"/>
        <v>stacjonarny</v>
      </c>
      <c r="C1960" s="1">
        <v>42944</v>
      </c>
      <c r="D1960" s="2">
        <v>0.39825231481481482</v>
      </c>
      <c r="E1960" s="2">
        <v>0.39855324074074072</v>
      </c>
    </row>
    <row r="1961" spans="1:5" x14ac:dyDescent="0.25">
      <c r="A1961">
        <v>5076649</v>
      </c>
      <c r="B1961" t="str">
        <f t="shared" si="30"/>
        <v>stacjonarny</v>
      </c>
      <c r="C1961" s="1">
        <v>42944</v>
      </c>
      <c r="D1961" s="2">
        <v>0.39922453703703703</v>
      </c>
      <c r="E1961" s="2">
        <v>0.40482638888888889</v>
      </c>
    </row>
    <row r="1962" spans="1:5" x14ac:dyDescent="0.25">
      <c r="A1962">
        <v>98939809</v>
      </c>
      <c r="B1962" t="str">
        <f t="shared" si="30"/>
        <v>komorkowy</v>
      </c>
      <c r="C1962" s="1">
        <v>42944</v>
      </c>
      <c r="D1962" s="2">
        <v>0.40277777777777779</v>
      </c>
      <c r="E1962" s="2">
        <v>0.40599537037037037</v>
      </c>
    </row>
    <row r="1963" spans="1:5" x14ac:dyDescent="0.25">
      <c r="A1963">
        <v>2005653</v>
      </c>
      <c r="B1963" t="str">
        <f t="shared" si="30"/>
        <v>stacjonarny</v>
      </c>
      <c r="C1963" s="1">
        <v>42944</v>
      </c>
      <c r="D1963" s="2">
        <v>0.40842592592592591</v>
      </c>
      <c r="E1963" s="2">
        <v>0.41866898148148146</v>
      </c>
    </row>
    <row r="1964" spans="1:5" x14ac:dyDescent="0.25">
      <c r="A1964">
        <v>4659808</v>
      </c>
      <c r="B1964" t="str">
        <f t="shared" si="30"/>
        <v>stacjonarny</v>
      </c>
      <c r="C1964" s="1">
        <v>42944</v>
      </c>
      <c r="D1964" s="2">
        <v>0.40956018518518517</v>
      </c>
      <c r="E1964" s="2">
        <v>0.41278935185185184</v>
      </c>
    </row>
    <row r="1965" spans="1:5" x14ac:dyDescent="0.25">
      <c r="A1965">
        <v>60113139</v>
      </c>
      <c r="B1965" t="str">
        <f t="shared" si="30"/>
        <v>komorkowy</v>
      </c>
      <c r="C1965" s="1">
        <v>42944</v>
      </c>
      <c r="D1965" s="2">
        <v>0.41228009259259257</v>
      </c>
      <c r="E1965" s="2">
        <v>0.41718749999999999</v>
      </c>
    </row>
    <row r="1966" spans="1:5" x14ac:dyDescent="0.25">
      <c r="A1966">
        <v>55896338</v>
      </c>
      <c r="B1966" t="str">
        <f t="shared" si="30"/>
        <v>komorkowy</v>
      </c>
      <c r="C1966" s="1">
        <v>42944</v>
      </c>
      <c r="D1966" s="2">
        <v>0.41521990740740738</v>
      </c>
      <c r="E1966" s="2">
        <v>0.41893518518518519</v>
      </c>
    </row>
    <row r="1967" spans="1:5" x14ac:dyDescent="0.25">
      <c r="A1967">
        <v>9747403</v>
      </c>
      <c r="B1967" t="str">
        <f t="shared" si="30"/>
        <v>stacjonarny</v>
      </c>
      <c r="C1967" s="1">
        <v>42944</v>
      </c>
      <c r="D1967" s="2">
        <v>0.42093750000000002</v>
      </c>
      <c r="E1967" s="2">
        <v>0.42825231481481479</v>
      </c>
    </row>
    <row r="1968" spans="1:5" x14ac:dyDescent="0.25">
      <c r="A1968">
        <v>5687447</v>
      </c>
      <c r="B1968" t="str">
        <f t="shared" si="30"/>
        <v>stacjonarny</v>
      </c>
      <c r="C1968" s="1">
        <v>42944</v>
      </c>
      <c r="D1968" s="2">
        <v>0.42295138888888889</v>
      </c>
      <c r="E1968" s="2">
        <v>0.42423611111111109</v>
      </c>
    </row>
    <row r="1969" spans="1:5" x14ac:dyDescent="0.25">
      <c r="A1969">
        <v>78940032</v>
      </c>
      <c r="B1969" t="str">
        <f t="shared" si="30"/>
        <v>komorkowy</v>
      </c>
      <c r="C1969" s="1">
        <v>42944</v>
      </c>
      <c r="D1969" s="2">
        <v>0.42478009259259258</v>
      </c>
      <c r="E1969" s="2">
        <v>0.43118055555555557</v>
      </c>
    </row>
    <row r="1970" spans="1:5" x14ac:dyDescent="0.25">
      <c r="A1970">
        <v>1094486764</v>
      </c>
      <c r="B1970" t="str">
        <f t="shared" si="30"/>
        <v>zagraniczny</v>
      </c>
      <c r="C1970" s="1">
        <v>42944</v>
      </c>
      <c r="D1970" s="2">
        <v>0.42781249999999998</v>
      </c>
      <c r="E1970" s="2">
        <v>0.43763888888888891</v>
      </c>
    </row>
    <row r="1971" spans="1:5" x14ac:dyDescent="0.25">
      <c r="A1971">
        <v>2611045</v>
      </c>
      <c r="B1971" t="str">
        <f t="shared" si="30"/>
        <v>stacjonarny</v>
      </c>
      <c r="C1971" s="1">
        <v>42944</v>
      </c>
      <c r="D1971" s="2">
        <v>0.43131944444444442</v>
      </c>
      <c r="E1971" s="2">
        <v>0.4387152777777778</v>
      </c>
    </row>
    <row r="1972" spans="1:5" x14ac:dyDescent="0.25">
      <c r="A1972">
        <v>6047761</v>
      </c>
      <c r="B1972" t="str">
        <f t="shared" si="30"/>
        <v>stacjonarny</v>
      </c>
      <c r="C1972" s="1">
        <v>42944</v>
      </c>
      <c r="D1972" s="2">
        <v>0.43351851851851853</v>
      </c>
      <c r="E1972" s="2">
        <v>0.4412152777777778</v>
      </c>
    </row>
    <row r="1973" spans="1:5" x14ac:dyDescent="0.25">
      <c r="A1973">
        <v>4154521</v>
      </c>
      <c r="B1973" t="str">
        <f t="shared" si="30"/>
        <v>stacjonarny</v>
      </c>
      <c r="C1973" s="1">
        <v>42944</v>
      </c>
      <c r="D1973" s="2">
        <v>0.43552083333333336</v>
      </c>
      <c r="E1973" s="2">
        <v>0.44587962962962963</v>
      </c>
    </row>
    <row r="1974" spans="1:5" x14ac:dyDescent="0.25">
      <c r="A1974">
        <v>8895257</v>
      </c>
      <c r="B1974" t="str">
        <f t="shared" si="30"/>
        <v>stacjonarny</v>
      </c>
      <c r="C1974" s="1">
        <v>42944</v>
      </c>
      <c r="D1974" s="2">
        <v>0.43975694444444446</v>
      </c>
      <c r="E1974" s="2">
        <v>0.4472800925925926</v>
      </c>
    </row>
    <row r="1975" spans="1:5" x14ac:dyDescent="0.25">
      <c r="A1975">
        <v>2199311</v>
      </c>
      <c r="B1975" t="str">
        <f t="shared" si="30"/>
        <v>stacjonarny</v>
      </c>
      <c r="C1975" s="1">
        <v>42944</v>
      </c>
      <c r="D1975" s="2">
        <v>0.44490740740740742</v>
      </c>
      <c r="E1975" s="2">
        <v>0.44578703703703704</v>
      </c>
    </row>
    <row r="1976" spans="1:5" x14ac:dyDescent="0.25">
      <c r="A1976">
        <v>17864361</v>
      </c>
      <c r="B1976" t="str">
        <f t="shared" si="30"/>
        <v>komorkowy</v>
      </c>
      <c r="C1976" s="1">
        <v>42944</v>
      </c>
      <c r="D1976" s="2">
        <v>0.44605324074074076</v>
      </c>
      <c r="E1976" s="2">
        <v>0.45253472222222224</v>
      </c>
    </row>
    <row r="1977" spans="1:5" x14ac:dyDescent="0.25">
      <c r="A1977">
        <v>6943996503</v>
      </c>
      <c r="B1977" t="str">
        <f t="shared" si="30"/>
        <v>zagraniczny</v>
      </c>
      <c r="C1977" s="1">
        <v>42944</v>
      </c>
      <c r="D1977" s="2">
        <v>0.4506134259259259</v>
      </c>
      <c r="E1977" s="2">
        <v>0.45674768518518516</v>
      </c>
    </row>
    <row r="1978" spans="1:5" x14ac:dyDescent="0.25">
      <c r="A1978">
        <v>9547712</v>
      </c>
      <c r="B1978" t="str">
        <f t="shared" si="30"/>
        <v>stacjonarny</v>
      </c>
      <c r="C1978" s="1">
        <v>42944</v>
      </c>
      <c r="D1978" s="2">
        <v>0.45546296296296296</v>
      </c>
      <c r="E1978" s="2">
        <v>0.46259259259259261</v>
      </c>
    </row>
    <row r="1979" spans="1:5" x14ac:dyDescent="0.25">
      <c r="A1979">
        <v>3925701</v>
      </c>
      <c r="B1979" t="str">
        <f t="shared" si="30"/>
        <v>stacjonarny</v>
      </c>
      <c r="C1979" s="1">
        <v>42944</v>
      </c>
      <c r="D1979" s="2">
        <v>0.45756944444444442</v>
      </c>
      <c r="E1979" s="2">
        <v>0.46141203703703704</v>
      </c>
    </row>
    <row r="1980" spans="1:5" x14ac:dyDescent="0.25">
      <c r="A1980">
        <v>97317489</v>
      </c>
      <c r="B1980" t="str">
        <f t="shared" si="30"/>
        <v>komorkowy</v>
      </c>
      <c r="C1980" s="1">
        <v>42944</v>
      </c>
      <c r="D1980" s="2">
        <v>0.46269675925925924</v>
      </c>
      <c r="E1980" s="2">
        <v>0.46620370370370373</v>
      </c>
    </row>
    <row r="1981" spans="1:5" x14ac:dyDescent="0.25">
      <c r="A1981">
        <v>78009874</v>
      </c>
      <c r="B1981" t="str">
        <f t="shared" si="30"/>
        <v>komorkowy</v>
      </c>
      <c r="C1981" s="1">
        <v>42944</v>
      </c>
      <c r="D1981" s="2">
        <v>0.46400462962962963</v>
      </c>
      <c r="E1981" s="2">
        <v>0.46545138888888887</v>
      </c>
    </row>
    <row r="1982" spans="1:5" x14ac:dyDescent="0.25">
      <c r="A1982">
        <v>8590206</v>
      </c>
      <c r="B1982" t="str">
        <f t="shared" si="30"/>
        <v>stacjonarny</v>
      </c>
      <c r="C1982" s="1">
        <v>42944</v>
      </c>
      <c r="D1982" s="2">
        <v>0.46763888888888888</v>
      </c>
      <c r="E1982" s="2">
        <v>0.47359953703703705</v>
      </c>
    </row>
    <row r="1983" spans="1:5" x14ac:dyDescent="0.25">
      <c r="A1983">
        <v>7273239</v>
      </c>
      <c r="B1983" t="str">
        <f t="shared" si="30"/>
        <v>stacjonarny</v>
      </c>
      <c r="C1983" s="1">
        <v>42944</v>
      </c>
      <c r="D1983" s="2">
        <v>0.47111111111111109</v>
      </c>
      <c r="E1983" s="2">
        <v>0.48017361111111112</v>
      </c>
    </row>
    <row r="1984" spans="1:5" x14ac:dyDescent="0.25">
      <c r="A1984">
        <v>9975967</v>
      </c>
      <c r="B1984" t="str">
        <f t="shared" si="30"/>
        <v>stacjonarny</v>
      </c>
      <c r="C1984" s="1">
        <v>42944</v>
      </c>
      <c r="D1984" s="2">
        <v>0.47454861111111113</v>
      </c>
      <c r="E1984" s="2">
        <v>0.47562500000000002</v>
      </c>
    </row>
    <row r="1985" spans="1:5" x14ac:dyDescent="0.25">
      <c r="A1985">
        <v>2134315</v>
      </c>
      <c r="B1985" t="str">
        <f t="shared" si="30"/>
        <v>stacjonarny</v>
      </c>
      <c r="C1985" s="1">
        <v>42944</v>
      </c>
      <c r="D1985" s="2">
        <v>0.47733796296296294</v>
      </c>
      <c r="E1985" s="2">
        <v>0.48003472222222221</v>
      </c>
    </row>
    <row r="1986" spans="1:5" x14ac:dyDescent="0.25">
      <c r="A1986">
        <v>6919928</v>
      </c>
      <c r="B1986" t="str">
        <f t="shared" si="30"/>
        <v>stacjonarny</v>
      </c>
      <c r="C1986" s="1">
        <v>42944</v>
      </c>
      <c r="D1986" s="2">
        <v>0.4783101851851852</v>
      </c>
      <c r="E1986" s="2">
        <v>0.48770833333333335</v>
      </c>
    </row>
    <row r="1987" spans="1:5" x14ac:dyDescent="0.25">
      <c r="A1987">
        <v>45081794</v>
      </c>
      <c r="B1987" t="str">
        <f t="shared" ref="B1987:B2050" si="31">IF(LEN(A1987)=7, "stacjonarny", IF(LEN(A1987)=8, "komorkowy", "zagraniczny"))</f>
        <v>komorkowy</v>
      </c>
      <c r="C1987" s="1">
        <v>42944</v>
      </c>
      <c r="D1987" s="2">
        <v>0.47928240740740741</v>
      </c>
      <c r="E1987" s="2">
        <v>0.481875</v>
      </c>
    </row>
    <row r="1988" spans="1:5" x14ac:dyDescent="0.25">
      <c r="A1988">
        <v>1661633</v>
      </c>
      <c r="B1988" t="str">
        <f t="shared" si="31"/>
        <v>stacjonarny</v>
      </c>
      <c r="C1988" s="1">
        <v>42944</v>
      </c>
      <c r="D1988" s="2">
        <v>0.48042824074074075</v>
      </c>
      <c r="E1988" s="2">
        <v>0.48422453703703705</v>
      </c>
    </row>
    <row r="1989" spans="1:5" x14ac:dyDescent="0.25">
      <c r="A1989">
        <v>1639829</v>
      </c>
      <c r="B1989" t="str">
        <f t="shared" si="31"/>
        <v>stacjonarny</v>
      </c>
      <c r="C1989" s="1">
        <v>42944</v>
      </c>
      <c r="D1989" s="2">
        <v>0.4815740740740741</v>
      </c>
      <c r="E1989" s="2">
        <v>0.48802083333333335</v>
      </c>
    </row>
    <row r="1990" spans="1:5" x14ac:dyDescent="0.25">
      <c r="A1990">
        <v>8585321</v>
      </c>
      <c r="B1990" t="str">
        <f t="shared" si="31"/>
        <v>stacjonarny</v>
      </c>
      <c r="C1990" s="1">
        <v>42944</v>
      </c>
      <c r="D1990" s="2">
        <v>0.4836111111111111</v>
      </c>
      <c r="E1990" s="2">
        <v>0.48996527777777776</v>
      </c>
    </row>
    <row r="1991" spans="1:5" x14ac:dyDescent="0.25">
      <c r="A1991">
        <v>1661643168</v>
      </c>
      <c r="B1991" t="str">
        <f t="shared" si="31"/>
        <v>zagraniczny</v>
      </c>
      <c r="C1991" s="1">
        <v>42944</v>
      </c>
      <c r="D1991" s="2">
        <v>0.48609953703703701</v>
      </c>
      <c r="E1991" s="2">
        <v>0.48850694444444442</v>
      </c>
    </row>
    <row r="1992" spans="1:5" x14ac:dyDescent="0.25">
      <c r="A1992">
        <v>5136126</v>
      </c>
      <c r="B1992" t="str">
        <f t="shared" si="31"/>
        <v>stacjonarny</v>
      </c>
      <c r="C1992" s="1">
        <v>42944</v>
      </c>
      <c r="D1992" s="2">
        <v>0.49048611111111112</v>
      </c>
      <c r="E1992" s="2">
        <v>0.49685185185185188</v>
      </c>
    </row>
    <row r="1993" spans="1:5" x14ac:dyDescent="0.25">
      <c r="A1993">
        <v>9747700</v>
      </c>
      <c r="B1993" t="str">
        <f t="shared" si="31"/>
        <v>stacjonarny</v>
      </c>
      <c r="C1993" s="1">
        <v>42944</v>
      </c>
      <c r="D1993" s="2">
        <v>0.49305555555555558</v>
      </c>
      <c r="E1993" s="2">
        <v>0.50435185185185183</v>
      </c>
    </row>
    <row r="1994" spans="1:5" x14ac:dyDescent="0.25">
      <c r="A1994">
        <v>8387594</v>
      </c>
      <c r="B1994" t="str">
        <f t="shared" si="31"/>
        <v>stacjonarny</v>
      </c>
      <c r="C1994" s="1">
        <v>42944</v>
      </c>
      <c r="D1994" s="2">
        <v>0.49401620370370369</v>
      </c>
      <c r="E1994" s="2">
        <v>0.49682870370370369</v>
      </c>
    </row>
    <row r="1995" spans="1:5" x14ac:dyDescent="0.25">
      <c r="A1995">
        <v>65166542</v>
      </c>
      <c r="B1995" t="str">
        <f t="shared" si="31"/>
        <v>komorkowy</v>
      </c>
      <c r="C1995" s="1">
        <v>42944</v>
      </c>
      <c r="D1995" s="2">
        <v>0.49554398148148149</v>
      </c>
      <c r="E1995" s="2">
        <v>0.49667824074074074</v>
      </c>
    </row>
    <row r="1996" spans="1:5" x14ac:dyDescent="0.25">
      <c r="A1996">
        <v>77607017</v>
      </c>
      <c r="B1996" t="str">
        <f t="shared" si="31"/>
        <v>komorkowy</v>
      </c>
      <c r="C1996" s="1">
        <v>42944</v>
      </c>
      <c r="D1996" s="2">
        <v>0.49858796296296298</v>
      </c>
      <c r="E1996" s="2">
        <v>0.50891203703703702</v>
      </c>
    </row>
    <row r="1997" spans="1:5" x14ac:dyDescent="0.25">
      <c r="A1997">
        <v>9028434625</v>
      </c>
      <c r="B1997" t="str">
        <f t="shared" si="31"/>
        <v>zagraniczny</v>
      </c>
      <c r="C1997" s="1">
        <v>42944</v>
      </c>
      <c r="D1997" s="2">
        <v>0.50208333333333333</v>
      </c>
      <c r="E1997" s="2">
        <v>0.5110069444444445</v>
      </c>
    </row>
    <row r="1998" spans="1:5" x14ac:dyDescent="0.25">
      <c r="A1998">
        <v>7503173</v>
      </c>
      <c r="B1998" t="str">
        <f t="shared" si="31"/>
        <v>stacjonarny</v>
      </c>
      <c r="C1998" s="1">
        <v>42944</v>
      </c>
      <c r="D1998" s="2">
        <v>0.50390046296296298</v>
      </c>
      <c r="E1998" s="2">
        <v>0.50619212962962967</v>
      </c>
    </row>
    <row r="1999" spans="1:5" x14ac:dyDescent="0.25">
      <c r="A1999">
        <v>9039872</v>
      </c>
      <c r="B1999" t="str">
        <f t="shared" si="31"/>
        <v>stacjonarny</v>
      </c>
      <c r="C1999" s="1">
        <v>42944</v>
      </c>
      <c r="D1999" s="2">
        <v>0.50825231481481481</v>
      </c>
      <c r="E1999" s="2">
        <v>0.5168518518518519</v>
      </c>
    </row>
    <row r="2000" spans="1:5" x14ac:dyDescent="0.25">
      <c r="A2000">
        <v>45940361</v>
      </c>
      <c r="B2000" t="str">
        <f t="shared" si="31"/>
        <v>komorkowy</v>
      </c>
      <c r="C2000" s="1">
        <v>42944</v>
      </c>
      <c r="D2000" s="2">
        <v>0.50982638888888887</v>
      </c>
      <c r="E2000" s="2">
        <v>0.51537037037037037</v>
      </c>
    </row>
    <row r="2001" spans="1:5" x14ac:dyDescent="0.25">
      <c r="A2001">
        <v>6242177</v>
      </c>
      <c r="B2001" t="str">
        <f t="shared" si="31"/>
        <v>stacjonarny</v>
      </c>
      <c r="C2001" s="1">
        <v>42944</v>
      </c>
      <c r="D2001" s="2">
        <v>0.5138773148148148</v>
      </c>
      <c r="E2001" s="2">
        <v>0.52096064814814813</v>
      </c>
    </row>
    <row r="2002" spans="1:5" x14ac:dyDescent="0.25">
      <c r="A2002">
        <v>60454232</v>
      </c>
      <c r="B2002" t="str">
        <f t="shared" si="31"/>
        <v>komorkowy</v>
      </c>
      <c r="C2002" s="1">
        <v>42944</v>
      </c>
      <c r="D2002" s="2">
        <v>0.5149421296296296</v>
      </c>
      <c r="E2002" s="2">
        <v>0.5248032407407407</v>
      </c>
    </row>
    <row r="2003" spans="1:5" x14ac:dyDescent="0.25">
      <c r="A2003">
        <v>4060894</v>
      </c>
      <c r="B2003" t="str">
        <f t="shared" si="31"/>
        <v>stacjonarny</v>
      </c>
      <c r="C2003" s="1">
        <v>42944</v>
      </c>
      <c r="D2003" s="2">
        <v>0.51730324074074074</v>
      </c>
      <c r="E2003" s="2">
        <v>0.51848379629629626</v>
      </c>
    </row>
    <row r="2004" spans="1:5" x14ac:dyDescent="0.25">
      <c r="A2004">
        <v>8223406</v>
      </c>
      <c r="B2004" t="str">
        <f t="shared" si="31"/>
        <v>stacjonarny</v>
      </c>
      <c r="C2004" s="1">
        <v>42944</v>
      </c>
      <c r="D2004" s="2">
        <v>0.51908564814814817</v>
      </c>
      <c r="E2004" s="2">
        <v>0.51929398148148154</v>
      </c>
    </row>
    <row r="2005" spans="1:5" x14ac:dyDescent="0.25">
      <c r="A2005">
        <v>43109897</v>
      </c>
      <c r="B2005" t="str">
        <f t="shared" si="31"/>
        <v>komorkowy</v>
      </c>
      <c r="C2005" s="1">
        <v>42944</v>
      </c>
      <c r="D2005" s="2">
        <v>0.52467592592592593</v>
      </c>
      <c r="E2005" s="2">
        <v>0.53178240740740745</v>
      </c>
    </row>
    <row r="2006" spans="1:5" x14ac:dyDescent="0.25">
      <c r="A2006">
        <v>95805020</v>
      </c>
      <c r="B2006" t="str">
        <f t="shared" si="31"/>
        <v>komorkowy</v>
      </c>
      <c r="C2006" s="1">
        <v>42944</v>
      </c>
      <c r="D2006" s="2">
        <v>0.52603009259259259</v>
      </c>
      <c r="E2006" s="2">
        <v>0.53304398148148147</v>
      </c>
    </row>
    <row r="2007" spans="1:5" x14ac:dyDescent="0.25">
      <c r="A2007">
        <v>2849439</v>
      </c>
      <c r="B2007" t="str">
        <f t="shared" si="31"/>
        <v>stacjonarny</v>
      </c>
      <c r="C2007" s="1">
        <v>42944</v>
      </c>
      <c r="D2007" s="2">
        <v>0.52813657407407411</v>
      </c>
      <c r="E2007" s="2">
        <v>0.53039351851851857</v>
      </c>
    </row>
    <row r="2008" spans="1:5" x14ac:dyDescent="0.25">
      <c r="A2008">
        <v>9589060</v>
      </c>
      <c r="B2008" t="str">
        <f t="shared" si="31"/>
        <v>stacjonarny</v>
      </c>
      <c r="C2008" s="1">
        <v>42944</v>
      </c>
      <c r="D2008" s="2">
        <v>0.53310185185185188</v>
      </c>
      <c r="E2008" s="2">
        <v>0.53871527777777772</v>
      </c>
    </row>
    <row r="2009" spans="1:5" x14ac:dyDescent="0.25">
      <c r="A2009">
        <v>2603125</v>
      </c>
      <c r="B2009" t="str">
        <f t="shared" si="31"/>
        <v>stacjonarny</v>
      </c>
      <c r="C2009" s="1">
        <v>42944</v>
      </c>
      <c r="D2009" s="2">
        <v>0.53541666666666665</v>
      </c>
      <c r="E2009" s="2">
        <v>0.53666666666666663</v>
      </c>
    </row>
    <row r="2010" spans="1:5" x14ac:dyDescent="0.25">
      <c r="A2010">
        <v>8770898</v>
      </c>
      <c r="B2010" t="str">
        <f t="shared" si="31"/>
        <v>stacjonarny</v>
      </c>
      <c r="C2010" s="1">
        <v>42944</v>
      </c>
      <c r="D2010" s="2">
        <v>0.53773148148148153</v>
      </c>
      <c r="E2010" s="2">
        <v>0.54628472222222224</v>
      </c>
    </row>
    <row r="2011" spans="1:5" x14ac:dyDescent="0.25">
      <c r="A2011">
        <v>3224960</v>
      </c>
      <c r="B2011" t="str">
        <f t="shared" si="31"/>
        <v>stacjonarny</v>
      </c>
      <c r="C2011" s="1">
        <v>42944</v>
      </c>
      <c r="D2011" s="2">
        <v>0.54221064814814812</v>
      </c>
      <c r="E2011" s="2">
        <v>0.54947916666666663</v>
      </c>
    </row>
    <row r="2012" spans="1:5" x14ac:dyDescent="0.25">
      <c r="A2012">
        <v>4150421</v>
      </c>
      <c r="B2012" t="str">
        <f t="shared" si="31"/>
        <v>stacjonarny</v>
      </c>
      <c r="C2012" s="1">
        <v>42944</v>
      </c>
      <c r="D2012" s="2">
        <v>0.54599537037037038</v>
      </c>
      <c r="E2012" s="2">
        <v>0.54759259259259263</v>
      </c>
    </row>
    <row r="2013" spans="1:5" x14ac:dyDescent="0.25">
      <c r="A2013">
        <v>44302763</v>
      </c>
      <c r="B2013" t="str">
        <f t="shared" si="31"/>
        <v>komorkowy</v>
      </c>
      <c r="C2013" s="1">
        <v>42944</v>
      </c>
      <c r="D2013" s="2">
        <v>0.54905092592592597</v>
      </c>
      <c r="E2013" s="2">
        <v>0.55343750000000003</v>
      </c>
    </row>
    <row r="2014" spans="1:5" x14ac:dyDescent="0.25">
      <c r="A2014">
        <v>1922212</v>
      </c>
      <c r="B2014" t="str">
        <f t="shared" si="31"/>
        <v>stacjonarny</v>
      </c>
      <c r="C2014" s="1">
        <v>42944</v>
      </c>
      <c r="D2014" s="2">
        <v>0.55334490740740738</v>
      </c>
      <c r="E2014" s="2">
        <v>0.56339120370370366</v>
      </c>
    </row>
    <row r="2015" spans="1:5" x14ac:dyDescent="0.25">
      <c r="A2015">
        <v>9603024</v>
      </c>
      <c r="B2015" t="str">
        <f t="shared" si="31"/>
        <v>stacjonarny</v>
      </c>
      <c r="C2015" s="1">
        <v>42944</v>
      </c>
      <c r="D2015" s="2">
        <v>0.55806712962962968</v>
      </c>
      <c r="E2015" s="2">
        <v>0.55923611111111116</v>
      </c>
    </row>
    <row r="2016" spans="1:5" x14ac:dyDescent="0.25">
      <c r="A2016">
        <v>1640513</v>
      </c>
      <c r="B2016" t="str">
        <f t="shared" si="31"/>
        <v>stacjonarny</v>
      </c>
      <c r="C2016" s="1">
        <v>42944</v>
      </c>
      <c r="D2016" s="2">
        <v>0.56162037037037038</v>
      </c>
      <c r="E2016" s="2">
        <v>0.56876157407407413</v>
      </c>
    </row>
    <row r="2017" spans="1:5" x14ac:dyDescent="0.25">
      <c r="A2017">
        <v>16592072</v>
      </c>
      <c r="B2017" t="str">
        <f t="shared" si="31"/>
        <v>komorkowy</v>
      </c>
      <c r="C2017" s="1">
        <v>42944</v>
      </c>
      <c r="D2017" s="2">
        <v>0.56673611111111111</v>
      </c>
      <c r="E2017" s="2">
        <v>0.57725694444444442</v>
      </c>
    </row>
    <row r="2018" spans="1:5" x14ac:dyDescent="0.25">
      <c r="A2018">
        <v>4895290</v>
      </c>
      <c r="B2018" t="str">
        <f t="shared" si="31"/>
        <v>stacjonarny</v>
      </c>
      <c r="C2018" s="1">
        <v>42944</v>
      </c>
      <c r="D2018" s="2">
        <v>0.56821759259259264</v>
      </c>
      <c r="E2018" s="2">
        <v>0.5773611111111111</v>
      </c>
    </row>
    <row r="2019" spans="1:5" x14ac:dyDescent="0.25">
      <c r="A2019">
        <v>5277660</v>
      </c>
      <c r="B2019" t="str">
        <f t="shared" si="31"/>
        <v>stacjonarny</v>
      </c>
      <c r="C2019" s="1">
        <v>42944</v>
      </c>
      <c r="D2019" s="2">
        <v>0.57050925925925922</v>
      </c>
      <c r="E2019" s="2">
        <v>0.58049768518518519</v>
      </c>
    </row>
    <row r="2020" spans="1:5" x14ac:dyDescent="0.25">
      <c r="A2020">
        <v>8715278</v>
      </c>
      <c r="B2020" t="str">
        <f t="shared" si="31"/>
        <v>stacjonarny</v>
      </c>
      <c r="C2020" s="1">
        <v>42944</v>
      </c>
      <c r="D2020" s="2">
        <v>0.57146990740740744</v>
      </c>
      <c r="E2020" s="2">
        <v>0.57642361111111107</v>
      </c>
    </row>
    <row r="2021" spans="1:5" x14ac:dyDescent="0.25">
      <c r="A2021">
        <v>1462418</v>
      </c>
      <c r="B2021" t="str">
        <f t="shared" si="31"/>
        <v>stacjonarny</v>
      </c>
      <c r="C2021" s="1">
        <v>42944</v>
      </c>
      <c r="D2021" s="2">
        <v>0.57186342592592587</v>
      </c>
      <c r="E2021" s="2">
        <v>0.57379629629629625</v>
      </c>
    </row>
    <row r="2022" spans="1:5" x14ac:dyDescent="0.25">
      <c r="A2022">
        <v>8077806</v>
      </c>
      <c r="B2022" t="str">
        <f t="shared" si="31"/>
        <v>stacjonarny</v>
      </c>
      <c r="C2022" s="1">
        <v>42944</v>
      </c>
      <c r="D2022" s="2">
        <v>0.57629629629629631</v>
      </c>
      <c r="E2022" s="2">
        <v>0.58628472222222228</v>
      </c>
    </row>
    <row r="2023" spans="1:5" x14ac:dyDescent="0.25">
      <c r="A2023">
        <v>5759409</v>
      </c>
      <c r="B2023" t="str">
        <f t="shared" si="31"/>
        <v>stacjonarny</v>
      </c>
      <c r="C2023" s="1">
        <v>42944</v>
      </c>
      <c r="D2023" s="2">
        <v>0.57835648148148144</v>
      </c>
      <c r="E2023" s="2">
        <v>0.58644675925925926</v>
      </c>
    </row>
    <row r="2024" spans="1:5" x14ac:dyDescent="0.25">
      <c r="A2024">
        <v>6257971</v>
      </c>
      <c r="B2024" t="str">
        <f t="shared" si="31"/>
        <v>stacjonarny</v>
      </c>
      <c r="C2024" s="1">
        <v>42944</v>
      </c>
      <c r="D2024" s="2">
        <v>0.58331018518518518</v>
      </c>
      <c r="E2024" s="2">
        <v>0.58539351851851851</v>
      </c>
    </row>
    <row r="2025" spans="1:5" x14ac:dyDescent="0.25">
      <c r="A2025">
        <v>91129571</v>
      </c>
      <c r="B2025" t="str">
        <f t="shared" si="31"/>
        <v>komorkowy</v>
      </c>
      <c r="C2025" s="1">
        <v>42944</v>
      </c>
      <c r="D2025" s="2">
        <v>0.58353009259259259</v>
      </c>
      <c r="E2025" s="2">
        <v>0.58950231481481485</v>
      </c>
    </row>
    <row r="2026" spans="1:5" x14ac:dyDescent="0.25">
      <c r="A2026">
        <v>6884037</v>
      </c>
      <c r="B2026" t="str">
        <f t="shared" si="31"/>
        <v>stacjonarny</v>
      </c>
      <c r="C2026" s="1">
        <v>42944</v>
      </c>
      <c r="D2026" s="2">
        <v>0.58892361111111113</v>
      </c>
      <c r="E2026" s="2">
        <v>0.59381944444444446</v>
      </c>
    </row>
    <row r="2027" spans="1:5" x14ac:dyDescent="0.25">
      <c r="A2027">
        <v>6657074</v>
      </c>
      <c r="B2027" t="str">
        <f t="shared" si="31"/>
        <v>stacjonarny</v>
      </c>
      <c r="C2027" s="1">
        <v>42944</v>
      </c>
      <c r="D2027" s="2">
        <v>0.59035879629629628</v>
      </c>
      <c r="E2027" s="2">
        <v>0.5992939814814815</v>
      </c>
    </row>
    <row r="2028" spans="1:5" x14ac:dyDescent="0.25">
      <c r="A2028">
        <v>2211277198</v>
      </c>
      <c r="B2028" t="str">
        <f t="shared" si="31"/>
        <v>zagraniczny</v>
      </c>
      <c r="C2028" s="1">
        <v>42944</v>
      </c>
      <c r="D2028" s="2">
        <v>0.59439814814814818</v>
      </c>
      <c r="E2028" s="2">
        <v>0.60048611111111116</v>
      </c>
    </row>
    <row r="2029" spans="1:5" x14ac:dyDescent="0.25">
      <c r="A2029">
        <v>26766818</v>
      </c>
      <c r="B2029" t="str">
        <f t="shared" si="31"/>
        <v>komorkowy</v>
      </c>
      <c r="C2029" s="1">
        <v>42944</v>
      </c>
      <c r="D2029" s="2">
        <v>0.59788194444444442</v>
      </c>
      <c r="E2029" s="2">
        <v>0.60576388888888888</v>
      </c>
    </row>
    <row r="2030" spans="1:5" x14ac:dyDescent="0.25">
      <c r="A2030">
        <v>4473835</v>
      </c>
      <c r="B2030" t="str">
        <f t="shared" si="31"/>
        <v>stacjonarny</v>
      </c>
      <c r="C2030" s="1">
        <v>42944</v>
      </c>
      <c r="D2030" s="2">
        <v>0.60322916666666671</v>
      </c>
      <c r="E2030" s="2">
        <v>0.60628472222222218</v>
      </c>
    </row>
    <row r="2031" spans="1:5" x14ac:dyDescent="0.25">
      <c r="A2031">
        <v>9941776</v>
      </c>
      <c r="B2031" t="str">
        <f t="shared" si="31"/>
        <v>stacjonarny</v>
      </c>
      <c r="C2031" s="1">
        <v>42944</v>
      </c>
      <c r="D2031" s="2">
        <v>0.60745370370370366</v>
      </c>
      <c r="E2031" s="2">
        <v>0.61017361111111112</v>
      </c>
    </row>
    <row r="2032" spans="1:5" x14ac:dyDescent="0.25">
      <c r="A2032">
        <v>9045402</v>
      </c>
      <c r="B2032" t="str">
        <f t="shared" si="31"/>
        <v>stacjonarny</v>
      </c>
      <c r="C2032" s="1">
        <v>42944</v>
      </c>
      <c r="D2032" s="2">
        <v>0.61322916666666671</v>
      </c>
      <c r="E2032" s="2">
        <v>0.62153935185185183</v>
      </c>
    </row>
    <row r="2033" spans="1:5" x14ac:dyDescent="0.25">
      <c r="A2033">
        <v>7662302259</v>
      </c>
      <c r="B2033" t="str">
        <f t="shared" si="31"/>
        <v>zagraniczny</v>
      </c>
      <c r="C2033" s="1">
        <v>42944</v>
      </c>
      <c r="D2033" s="2">
        <v>0.61570601851851847</v>
      </c>
      <c r="E2033" s="2">
        <v>0.62429398148148152</v>
      </c>
    </row>
    <row r="2034" spans="1:5" x14ac:dyDescent="0.25">
      <c r="A2034">
        <v>2756059784</v>
      </c>
      <c r="B2034" t="str">
        <f t="shared" si="31"/>
        <v>zagraniczny</v>
      </c>
      <c r="C2034" s="1">
        <v>42944</v>
      </c>
      <c r="D2034" s="2">
        <v>0.61962962962962964</v>
      </c>
      <c r="E2034" s="2">
        <v>0.62399305555555551</v>
      </c>
    </row>
    <row r="2035" spans="1:5" x14ac:dyDescent="0.25">
      <c r="A2035">
        <v>8667012</v>
      </c>
      <c r="B2035" t="str">
        <f t="shared" si="31"/>
        <v>stacjonarny</v>
      </c>
      <c r="C2035" s="1">
        <v>42944</v>
      </c>
      <c r="D2035" s="2">
        <v>0.62204861111111109</v>
      </c>
      <c r="E2035" s="2">
        <v>0.62440972222222224</v>
      </c>
    </row>
    <row r="2036" spans="1:5" x14ac:dyDescent="0.25">
      <c r="A2036">
        <v>34964547</v>
      </c>
      <c r="B2036" t="str">
        <f t="shared" si="31"/>
        <v>komorkowy</v>
      </c>
      <c r="C2036" s="1">
        <v>42944</v>
      </c>
      <c r="D2036" s="2">
        <v>0.62502314814814819</v>
      </c>
      <c r="E2036" s="2">
        <v>0.63574074074074072</v>
      </c>
    </row>
    <row r="2037" spans="1:5" x14ac:dyDescent="0.25">
      <c r="A2037">
        <v>9357185</v>
      </c>
      <c r="B2037" t="str">
        <f t="shared" si="31"/>
        <v>stacjonarny</v>
      </c>
      <c r="C2037" s="1">
        <v>42947</v>
      </c>
      <c r="D2037" s="2">
        <v>0.3342013888888889</v>
      </c>
      <c r="E2037" s="2">
        <v>0.34159722222222222</v>
      </c>
    </row>
    <row r="2038" spans="1:5" x14ac:dyDescent="0.25">
      <c r="A2038">
        <v>12471534</v>
      </c>
      <c r="B2038" t="str">
        <f t="shared" si="31"/>
        <v>komorkowy</v>
      </c>
      <c r="C2038" s="1">
        <v>42947</v>
      </c>
      <c r="D2038" s="2">
        <v>0.33929398148148149</v>
      </c>
      <c r="E2038" s="2">
        <v>0.34349537037037037</v>
      </c>
    </row>
    <row r="2039" spans="1:5" x14ac:dyDescent="0.25">
      <c r="A2039">
        <v>1003402</v>
      </c>
      <c r="B2039" t="str">
        <f t="shared" si="31"/>
        <v>stacjonarny</v>
      </c>
      <c r="C2039" s="1">
        <v>42947</v>
      </c>
      <c r="D2039" s="2">
        <v>0.34378472222222223</v>
      </c>
      <c r="E2039" s="2">
        <v>0.34677083333333331</v>
      </c>
    </row>
    <row r="2040" spans="1:5" x14ac:dyDescent="0.25">
      <c r="A2040">
        <v>4509550</v>
      </c>
      <c r="B2040" t="str">
        <f t="shared" si="31"/>
        <v>stacjonarny</v>
      </c>
      <c r="C2040" s="1">
        <v>42947</v>
      </c>
      <c r="D2040" s="2">
        <v>0.34609953703703705</v>
      </c>
      <c r="E2040" s="2">
        <v>0.35118055555555555</v>
      </c>
    </row>
    <row r="2041" spans="1:5" x14ac:dyDescent="0.25">
      <c r="A2041">
        <v>5356824</v>
      </c>
      <c r="B2041" t="str">
        <f t="shared" si="31"/>
        <v>stacjonarny</v>
      </c>
      <c r="C2041" s="1">
        <v>42947</v>
      </c>
      <c r="D2041" s="2">
        <v>0.35167824074074072</v>
      </c>
      <c r="E2041" s="2">
        <v>0.35538194444444443</v>
      </c>
    </row>
    <row r="2042" spans="1:5" x14ac:dyDescent="0.25">
      <c r="A2042">
        <v>4293872</v>
      </c>
      <c r="B2042" t="str">
        <f t="shared" si="31"/>
        <v>stacjonarny</v>
      </c>
      <c r="C2042" s="1">
        <v>42947</v>
      </c>
      <c r="D2042" s="2">
        <v>0.35333333333333333</v>
      </c>
      <c r="E2042" s="2">
        <v>0.35844907407407406</v>
      </c>
    </row>
    <row r="2043" spans="1:5" x14ac:dyDescent="0.25">
      <c r="A2043">
        <v>5086182</v>
      </c>
      <c r="B2043" t="str">
        <f t="shared" si="31"/>
        <v>stacjonarny</v>
      </c>
      <c r="C2043" s="1">
        <v>42947</v>
      </c>
      <c r="D2043" s="2">
        <v>0.35793981481481479</v>
      </c>
      <c r="E2043" s="2">
        <v>0.36571759259259257</v>
      </c>
    </row>
    <row r="2044" spans="1:5" x14ac:dyDescent="0.25">
      <c r="A2044">
        <v>6175467</v>
      </c>
      <c r="B2044" t="str">
        <f t="shared" si="31"/>
        <v>stacjonarny</v>
      </c>
      <c r="C2044" s="1">
        <v>42947</v>
      </c>
      <c r="D2044" s="2">
        <v>0.35976851851851854</v>
      </c>
      <c r="E2044" s="2">
        <v>0.36883101851851852</v>
      </c>
    </row>
    <row r="2045" spans="1:5" x14ac:dyDescent="0.25">
      <c r="A2045">
        <v>2107985</v>
      </c>
      <c r="B2045" t="str">
        <f t="shared" si="31"/>
        <v>stacjonarny</v>
      </c>
      <c r="C2045" s="1">
        <v>42947</v>
      </c>
      <c r="D2045" s="2">
        <v>0.36394675925925923</v>
      </c>
      <c r="E2045" s="2">
        <v>0.37373842592592593</v>
      </c>
    </row>
    <row r="2046" spans="1:5" x14ac:dyDescent="0.25">
      <c r="A2046">
        <v>9388066</v>
      </c>
      <c r="B2046" t="str">
        <f t="shared" si="31"/>
        <v>stacjonarny</v>
      </c>
      <c r="C2046" s="1">
        <v>42947</v>
      </c>
      <c r="D2046" s="2">
        <v>0.36552083333333335</v>
      </c>
      <c r="E2046" s="2">
        <v>0.3696990740740741</v>
      </c>
    </row>
    <row r="2047" spans="1:5" x14ac:dyDescent="0.25">
      <c r="A2047">
        <v>4614100</v>
      </c>
      <c r="B2047" t="str">
        <f t="shared" si="31"/>
        <v>stacjonarny</v>
      </c>
      <c r="C2047" s="1">
        <v>42947</v>
      </c>
      <c r="D2047" s="2">
        <v>0.36776620370370372</v>
      </c>
      <c r="E2047" s="2">
        <v>0.37584490740740739</v>
      </c>
    </row>
    <row r="2048" spans="1:5" x14ac:dyDescent="0.25">
      <c r="A2048">
        <v>8279741</v>
      </c>
      <c r="B2048" t="str">
        <f t="shared" si="31"/>
        <v>stacjonarny</v>
      </c>
      <c r="C2048" s="1">
        <v>42947</v>
      </c>
      <c r="D2048" s="2">
        <v>0.37170138888888887</v>
      </c>
      <c r="E2048" s="2">
        <v>0.38305555555555554</v>
      </c>
    </row>
    <row r="2049" spans="1:5" x14ac:dyDescent="0.25">
      <c r="A2049">
        <v>9564752674</v>
      </c>
      <c r="B2049" t="str">
        <f t="shared" si="31"/>
        <v>zagraniczny</v>
      </c>
      <c r="C2049" s="1">
        <v>42947</v>
      </c>
      <c r="D2049" s="2">
        <v>0.37239583333333331</v>
      </c>
      <c r="E2049" s="2">
        <v>0.37680555555555556</v>
      </c>
    </row>
    <row r="2050" spans="1:5" x14ac:dyDescent="0.25">
      <c r="A2050">
        <v>1451455</v>
      </c>
      <c r="B2050" t="str">
        <f t="shared" si="31"/>
        <v>stacjonarny</v>
      </c>
      <c r="C2050" s="1">
        <v>42947</v>
      </c>
      <c r="D2050" s="2">
        <v>0.37714120370370369</v>
      </c>
      <c r="E2050" s="2">
        <v>0.38119212962962962</v>
      </c>
    </row>
    <row r="2051" spans="1:5" x14ac:dyDescent="0.25">
      <c r="A2051">
        <v>8156713</v>
      </c>
      <c r="B2051" t="str">
        <f t="shared" ref="B2051:B2114" si="32">IF(LEN(A2051)=7, "stacjonarny", IF(LEN(A2051)=8, "komorkowy", "zagraniczny"))</f>
        <v>stacjonarny</v>
      </c>
      <c r="C2051" s="1">
        <v>42947</v>
      </c>
      <c r="D2051" s="2">
        <v>0.38130787037037039</v>
      </c>
      <c r="E2051" s="2">
        <v>0.38280092592592591</v>
      </c>
    </row>
    <row r="2052" spans="1:5" x14ac:dyDescent="0.25">
      <c r="A2052">
        <v>24024164</v>
      </c>
      <c r="B2052" t="str">
        <f t="shared" si="32"/>
        <v>komorkowy</v>
      </c>
      <c r="C2052" s="1">
        <v>42947</v>
      </c>
      <c r="D2052" s="2">
        <v>0.38135416666666666</v>
      </c>
      <c r="E2052" s="2">
        <v>0.38210648148148146</v>
      </c>
    </row>
    <row r="2053" spans="1:5" x14ac:dyDescent="0.25">
      <c r="A2053">
        <v>75122204</v>
      </c>
      <c r="B2053" t="str">
        <f t="shared" si="32"/>
        <v>komorkowy</v>
      </c>
      <c r="C2053" s="1">
        <v>42947</v>
      </c>
      <c r="D2053" s="2">
        <v>0.38641203703703703</v>
      </c>
      <c r="E2053" s="2">
        <v>0.39549768518518519</v>
      </c>
    </row>
    <row r="2054" spans="1:5" x14ac:dyDescent="0.25">
      <c r="A2054">
        <v>33166727</v>
      </c>
      <c r="B2054" t="str">
        <f t="shared" si="32"/>
        <v>komorkowy</v>
      </c>
      <c r="C2054" s="1">
        <v>42947</v>
      </c>
      <c r="D2054" s="2">
        <v>0.38927083333333334</v>
      </c>
      <c r="E2054" s="2">
        <v>0.39721064814814816</v>
      </c>
    </row>
    <row r="2055" spans="1:5" x14ac:dyDescent="0.25">
      <c r="A2055">
        <v>4293872</v>
      </c>
      <c r="B2055" t="str">
        <f t="shared" si="32"/>
        <v>stacjonarny</v>
      </c>
      <c r="C2055" s="1">
        <v>42947</v>
      </c>
      <c r="D2055" s="2">
        <v>0.39023148148148146</v>
      </c>
      <c r="E2055" s="2">
        <v>0.39748842592592593</v>
      </c>
    </row>
    <row r="2056" spans="1:5" x14ac:dyDescent="0.25">
      <c r="A2056">
        <v>3017523</v>
      </c>
      <c r="B2056" t="str">
        <f t="shared" si="32"/>
        <v>stacjonarny</v>
      </c>
      <c r="C2056" s="1">
        <v>42947</v>
      </c>
      <c r="D2056" s="2">
        <v>0.3934259259259259</v>
      </c>
      <c r="E2056" s="2">
        <v>0.40181712962962962</v>
      </c>
    </row>
    <row r="2057" spans="1:5" x14ac:dyDescent="0.25">
      <c r="A2057">
        <v>5087484</v>
      </c>
      <c r="B2057" t="str">
        <f t="shared" si="32"/>
        <v>stacjonarny</v>
      </c>
      <c r="C2057" s="1">
        <v>42947</v>
      </c>
      <c r="D2057" s="2">
        <v>0.39766203703703706</v>
      </c>
      <c r="E2057" s="2">
        <v>0.39957175925925925</v>
      </c>
    </row>
    <row r="2058" spans="1:5" x14ac:dyDescent="0.25">
      <c r="A2058">
        <v>47615054</v>
      </c>
      <c r="B2058" t="str">
        <f t="shared" si="32"/>
        <v>komorkowy</v>
      </c>
      <c r="C2058" s="1">
        <v>42947</v>
      </c>
      <c r="D2058" s="2">
        <v>0.39878472222222222</v>
      </c>
      <c r="E2058" s="2">
        <v>0.40041666666666664</v>
      </c>
    </row>
    <row r="2059" spans="1:5" x14ac:dyDescent="0.25">
      <c r="A2059">
        <v>7775602353</v>
      </c>
      <c r="B2059" t="str">
        <f t="shared" si="32"/>
        <v>zagraniczny</v>
      </c>
      <c r="C2059" s="1">
        <v>42947</v>
      </c>
      <c r="D2059" s="2">
        <v>0.40313657407407405</v>
      </c>
      <c r="E2059" s="2">
        <v>0.40773148148148147</v>
      </c>
    </row>
    <row r="2060" spans="1:5" x14ac:dyDescent="0.25">
      <c r="A2060">
        <v>9533304954</v>
      </c>
      <c r="B2060" t="str">
        <f t="shared" si="32"/>
        <v>zagraniczny</v>
      </c>
      <c r="C2060" s="1">
        <v>42947</v>
      </c>
      <c r="D2060" s="2">
        <v>0.40328703703703705</v>
      </c>
      <c r="E2060" s="2">
        <v>0.41405092592592591</v>
      </c>
    </row>
    <row r="2061" spans="1:5" x14ac:dyDescent="0.25">
      <c r="A2061">
        <v>5147651</v>
      </c>
      <c r="B2061" t="str">
        <f t="shared" si="32"/>
        <v>stacjonarny</v>
      </c>
      <c r="C2061" s="1">
        <v>42947</v>
      </c>
      <c r="D2061" s="2">
        <v>0.40497685185185184</v>
      </c>
      <c r="E2061" s="2">
        <v>0.41167824074074072</v>
      </c>
    </row>
    <row r="2062" spans="1:5" x14ac:dyDescent="0.25">
      <c r="A2062">
        <v>7564861</v>
      </c>
      <c r="B2062" t="str">
        <f t="shared" si="32"/>
        <v>stacjonarny</v>
      </c>
      <c r="C2062" s="1">
        <v>42947</v>
      </c>
      <c r="D2062" s="2">
        <v>0.40725694444444444</v>
      </c>
      <c r="E2062" s="2">
        <v>0.41819444444444442</v>
      </c>
    </row>
    <row r="2063" spans="1:5" x14ac:dyDescent="0.25">
      <c r="A2063">
        <v>8163790</v>
      </c>
      <c r="B2063" t="str">
        <f t="shared" si="32"/>
        <v>stacjonarny</v>
      </c>
      <c r="C2063" s="1">
        <v>42947</v>
      </c>
      <c r="D2063" s="2">
        <v>0.40787037037037038</v>
      </c>
      <c r="E2063" s="2">
        <v>0.40846064814814814</v>
      </c>
    </row>
    <row r="2064" spans="1:5" x14ac:dyDescent="0.25">
      <c r="A2064">
        <v>37930610</v>
      </c>
      <c r="B2064" t="str">
        <f t="shared" si="32"/>
        <v>komorkowy</v>
      </c>
      <c r="C2064" s="1">
        <v>42947</v>
      </c>
      <c r="D2064" s="2">
        <v>0.41334490740740742</v>
      </c>
      <c r="E2064" s="2">
        <v>0.4239236111111111</v>
      </c>
    </row>
    <row r="2065" spans="1:5" x14ac:dyDescent="0.25">
      <c r="A2065">
        <v>7518300</v>
      </c>
      <c r="B2065" t="str">
        <f t="shared" si="32"/>
        <v>stacjonarny</v>
      </c>
      <c r="C2065" s="1">
        <v>42947</v>
      </c>
      <c r="D2065" s="2">
        <v>0.41337962962962965</v>
      </c>
      <c r="E2065" s="2">
        <v>0.41743055555555558</v>
      </c>
    </row>
    <row r="2066" spans="1:5" x14ac:dyDescent="0.25">
      <c r="A2066">
        <v>9233918039</v>
      </c>
      <c r="B2066" t="str">
        <f t="shared" si="32"/>
        <v>zagraniczny</v>
      </c>
      <c r="C2066" s="1">
        <v>42947</v>
      </c>
      <c r="D2066" s="2">
        <v>0.41523148148148148</v>
      </c>
      <c r="E2066" s="2">
        <v>0.42322916666666666</v>
      </c>
    </row>
    <row r="2067" spans="1:5" x14ac:dyDescent="0.25">
      <c r="A2067">
        <v>5744555</v>
      </c>
      <c r="B2067" t="str">
        <f t="shared" si="32"/>
        <v>stacjonarny</v>
      </c>
      <c r="C2067" s="1">
        <v>42947</v>
      </c>
      <c r="D2067" s="2">
        <v>0.41841435185185183</v>
      </c>
      <c r="E2067" s="2">
        <v>0.42677083333333332</v>
      </c>
    </row>
    <row r="2068" spans="1:5" x14ac:dyDescent="0.25">
      <c r="A2068">
        <v>17005785</v>
      </c>
      <c r="B2068" t="str">
        <f t="shared" si="32"/>
        <v>komorkowy</v>
      </c>
      <c r="C2068" s="1">
        <v>42947</v>
      </c>
      <c r="D2068" s="2">
        <v>0.41873842592592592</v>
      </c>
      <c r="E2068" s="2">
        <v>0.42502314814814812</v>
      </c>
    </row>
    <row r="2069" spans="1:5" x14ac:dyDescent="0.25">
      <c r="A2069">
        <v>35281950</v>
      </c>
      <c r="B2069" t="str">
        <f t="shared" si="32"/>
        <v>komorkowy</v>
      </c>
      <c r="C2069" s="1">
        <v>42947</v>
      </c>
      <c r="D2069" s="2">
        <v>0.41952546296296295</v>
      </c>
      <c r="E2069" s="2">
        <v>0.42105324074074074</v>
      </c>
    </row>
    <row r="2070" spans="1:5" x14ac:dyDescent="0.25">
      <c r="A2070">
        <v>54840810</v>
      </c>
      <c r="B2070" t="str">
        <f t="shared" si="32"/>
        <v>komorkowy</v>
      </c>
      <c r="C2070" s="1">
        <v>42947</v>
      </c>
      <c r="D2070" s="2">
        <v>0.4211111111111111</v>
      </c>
      <c r="E2070" s="2">
        <v>0.42442129629629627</v>
      </c>
    </row>
    <row r="2071" spans="1:5" x14ac:dyDescent="0.25">
      <c r="A2071">
        <v>3236046</v>
      </c>
      <c r="B2071" t="str">
        <f t="shared" si="32"/>
        <v>stacjonarny</v>
      </c>
      <c r="C2071" s="1">
        <v>42947</v>
      </c>
      <c r="D2071" s="2">
        <v>0.42247685185185185</v>
      </c>
      <c r="E2071" s="2">
        <v>0.4268865740740741</v>
      </c>
    </row>
    <row r="2072" spans="1:5" x14ac:dyDescent="0.25">
      <c r="A2072">
        <v>20149106</v>
      </c>
      <c r="B2072" t="str">
        <f t="shared" si="32"/>
        <v>komorkowy</v>
      </c>
      <c r="C2072" s="1">
        <v>42947</v>
      </c>
      <c r="D2072" s="2">
        <v>0.42586805555555557</v>
      </c>
      <c r="E2072" s="2">
        <v>0.42711805555555554</v>
      </c>
    </row>
    <row r="2073" spans="1:5" x14ac:dyDescent="0.25">
      <c r="A2073">
        <v>6124638</v>
      </c>
      <c r="B2073" t="str">
        <f t="shared" si="32"/>
        <v>stacjonarny</v>
      </c>
      <c r="C2073" s="1">
        <v>42947</v>
      </c>
      <c r="D2073" s="2">
        <v>0.43162037037037038</v>
      </c>
      <c r="E2073" s="2">
        <v>0.44153935185185184</v>
      </c>
    </row>
    <row r="2074" spans="1:5" x14ac:dyDescent="0.25">
      <c r="A2074">
        <v>1090396060</v>
      </c>
      <c r="B2074" t="str">
        <f t="shared" si="32"/>
        <v>zagraniczny</v>
      </c>
      <c r="C2074" s="1">
        <v>42947</v>
      </c>
      <c r="D2074" s="2">
        <v>0.43663194444444442</v>
      </c>
      <c r="E2074" s="2">
        <v>0.43993055555555555</v>
      </c>
    </row>
    <row r="2075" spans="1:5" x14ac:dyDescent="0.25">
      <c r="A2075">
        <v>9355422</v>
      </c>
      <c r="B2075" t="str">
        <f t="shared" si="32"/>
        <v>stacjonarny</v>
      </c>
      <c r="C2075" s="1">
        <v>42947</v>
      </c>
      <c r="D2075" s="2">
        <v>0.43686342592592592</v>
      </c>
      <c r="E2075" s="2">
        <v>0.44393518518518521</v>
      </c>
    </row>
    <row r="2076" spans="1:5" x14ac:dyDescent="0.25">
      <c r="A2076">
        <v>9950462</v>
      </c>
      <c r="B2076" t="str">
        <f t="shared" si="32"/>
        <v>stacjonarny</v>
      </c>
      <c r="C2076" s="1">
        <v>42947</v>
      </c>
      <c r="D2076" s="2">
        <v>0.44243055555555555</v>
      </c>
      <c r="E2076" s="2">
        <v>0.45349537037037035</v>
      </c>
    </row>
    <row r="2077" spans="1:5" x14ac:dyDescent="0.25">
      <c r="A2077">
        <v>2474506</v>
      </c>
      <c r="B2077" t="str">
        <f t="shared" si="32"/>
        <v>stacjonarny</v>
      </c>
      <c r="C2077" s="1">
        <v>42947</v>
      </c>
      <c r="D2077" s="2">
        <v>0.44802083333333331</v>
      </c>
      <c r="E2077" s="2">
        <v>0.45892361111111113</v>
      </c>
    </row>
    <row r="2078" spans="1:5" x14ac:dyDescent="0.25">
      <c r="A2078">
        <v>2462682</v>
      </c>
      <c r="B2078" t="str">
        <f t="shared" si="32"/>
        <v>stacjonarny</v>
      </c>
      <c r="C2078" s="1">
        <v>42947</v>
      </c>
      <c r="D2078" s="2">
        <v>0.45243055555555556</v>
      </c>
      <c r="E2078" s="2">
        <v>0.45275462962962965</v>
      </c>
    </row>
    <row r="2079" spans="1:5" x14ac:dyDescent="0.25">
      <c r="A2079">
        <v>8159788</v>
      </c>
      <c r="B2079" t="str">
        <f t="shared" si="32"/>
        <v>stacjonarny</v>
      </c>
      <c r="C2079" s="1">
        <v>42947</v>
      </c>
      <c r="D2079" s="2">
        <v>0.45399305555555558</v>
      </c>
      <c r="E2079" s="2">
        <v>0.46392361111111113</v>
      </c>
    </row>
    <row r="2080" spans="1:5" x14ac:dyDescent="0.25">
      <c r="A2080">
        <v>8802222</v>
      </c>
      <c r="B2080" t="str">
        <f t="shared" si="32"/>
        <v>stacjonarny</v>
      </c>
      <c r="C2080" s="1">
        <v>42947</v>
      </c>
      <c r="D2080" s="2">
        <v>0.4572222222222222</v>
      </c>
      <c r="E2080" s="2">
        <v>0.45910879629629631</v>
      </c>
    </row>
    <row r="2081" spans="1:5" x14ac:dyDescent="0.25">
      <c r="A2081">
        <v>6384230</v>
      </c>
      <c r="B2081" t="str">
        <f t="shared" si="32"/>
        <v>stacjonarny</v>
      </c>
      <c r="C2081" s="1">
        <v>42947</v>
      </c>
      <c r="D2081" s="2">
        <v>0.45846064814814813</v>
      </c>
      <c r="E2081" s="2">
        <v>0.46900462962962963</v>
      </c>
    </row>
    <row r="2082" spans="1:5" x14ac:dyDescent="0.25">
      <c r="A2082">
        <v>48676568</v>
      </c>
      <c r="B2082" t="str">
        <f t="shared" si="32"/>
        <v>komorkowy</v>
      </c>
      <c r="C2082" s="1">
        <v>42947</v>
      </c>
      <c r="D2082" s="2">
        <v>0.45945601851851853</v>
      </c>
      <c r="E2082" s="2">
        <v>0.46525462962962966</v>
      </c>
    </row>
    <row r="2083" spans="1:5" x14ac:dyDescent="0.25">
      <c r="A2083">
        <v>3691457</v>
      </c>
      <c r="B2083" t="str">
        <f t="shared" si="32"/>
        <v>stacjonarny</v>
      </c>
      <c r="C2083" s="1">
        <v>42947</v>
      </c>
      <c r="D2083" s="2">
        <v>0.46119212962962963</v>
      </c>
      <c r="E2083" s="2">
        <v>0.4725347222222222</v>
      </c>
    </row>
    <row r="2084" spans="1:5" x14ac:dyDescent="0.25">
      <c r="A2084">
        <v>3263854</v>
      </c>
      <c r="B2084" t="str">
        <f t="shared" si="32"/>
        <v>stacjonarny</v>
      </c>
      <c r="C2084" s="1">
        <v>42947</v>
      </c>
      <c r="D2084" s="2">
        <v>0.46311342592592591</v>
      </c>
      <c r="E2084" s="2">
        <v>0.46394675925925927</v>
      </c>
    </row>
    <row r="2085" spans="1:5" x14ac:dyDescent="0.25">
      <c r="A2085">
        <v>8489588</v>
      </c>
      <c r="B2085" t="str">
        <f t="shared" si="32"/>
        <v>stacjonarny</v>
      </c>
      <c r="C2085" s="1">
        <v>42947</v>
      </c>
      <c r="D2085" s="2">
        <v>0.46803240740740742</v>
      </c>
      <c r="E2085" s="2">
        <v>0.47423611111111114</v>
      </c>
    </row>
    <row r="2086" spans="1:5" x14ac:dyDescent="0.25">
      <c r="A2086">
        <v>57211290</v>
      </c>
      <c r="B2086" t="str">
        <f t="shared" si="32"/>
        <v>komorkowy</v>
      </c>
      <c r="C2086" s="1">
        <v>42947</v>
      </c>
      <c r="D2086" s="2">
        <v>0.46987268518518521</v>
      </c>
      <c r="E2086" s="2">
        <v>0.47664351851851849</v>
      </c>
    </row>
    <row r="2087" spans="1:5" x14ac:dyDescent="0.25">
      <c r="A2087">
        <v>67748426</v>
      </c>
      <c r="B2087" t="str">
        <f t="shared" si="32"/>
        <v>komorkowy</v>
      </c>
      <c r="C2087" s="1">
        <v>42947</v>
      </c>
      <c r="D2087" s="2">
        <v>0.47158564814814813</v>
      </c>
      <c r="E2087" s="2">
        <v>0.47471064814814817</v>
      </c>
    </row>
    <row r="2088" spans="1:5" x14ac:dyDescent="0.25">
      <c r="A2088">
        <v>7225111</v>
      </c>
      <c r="B2088" t="str">
        <f t="shared" si="32"/>
        <v>stacjonarny</v>
      </c>
      <c r="C2088" s="1">
        <v>42947</v>
      </c>
      <c r="D2088" s="2">
        <v>0.47314814814814815</v>
      </c>
      <c r="E2088" s="2">
        <v>0.47643518518518518</v>
      </c>
    </row>
    <row r="2089" spans="1:5" x14ac:dyDescent="0.25">
      <c r="A2089">
        <v>5418543</v>
      </c>
      <c r="B2089" t="str">
        <f t="shared" si="32"/>
        <v>stacjonarny</v>
      </c>
      <c r="C2089" s="1">
        <v>42947</v>
      </c>
      <c r="D2089" s="2">
        <v>0.47315972222222225</v>
      </c>
      <c r="E2089" s="2">
        <v>0.47687499999999999</v>
      </c>
    </row>
    <row r="2090" spans="1:5" x14ac:dyDescent="0.25">
      <c r="A2090">
        <v>6439414</v>
      </c>
      <c r="B2090" t="str">
        <f t="shared" si="32"/>
        <v>stacjonarny</v>
      </c>
      <c r="C2090" s="1">
        <v>42947</v>
      </c>
      <c r="D2090" s="2">
        <v>0.47349537037037037</v>
      </c>
      <c r="E2090" s="2">
        <v>0.47881944444444446</v>
      </c>
    </row>
    <row r="2091" spans="1:5" x14ac:dyDescent="0.25">
      <c r="A2091">
        <v>3478173</v>
      </c>
      <c r="B2091" t="str">
        <f t="shared" si="32"/>
        <v>stacjonarny</v>
      </c>
      <c r="C2091" s="1">
        <v>42947</v>
      </c>
      <c r="D2091" s="2">
        <v>0.47357638888888887</v>
      </c>
      <c r="E2091" s="2">
        <v>0.47564814814814815</v>
      </c>
    </row>
    <row r="2092" spans="1:5" x14ac:dyDescent="0.25">
      <c r="A2092">
        <v>3691457</v>
      </c>
      <c r="B2092" t="str">
        <f t="shared" si="32"/>
        <v>stacjonarny</v>
      </c>
      <c r="C2092" s="1">
        <v>42947</v>
      </c>
      <c r="D2092" s="2">
        <v>0.47366898148148145</v>
      </c>
      <c r="E2092" s="2">
        <v>0.48020833333333335</v>
      </c>
    </row>
    <row r="2093" spans="1:5" x14ac:dyDescent="0.25">
      <c r="A2093">
        <v>6717763</v>
      </c>
      <c r="B2093" t="str">
        <f t="shared" si="32"/>
        <v>stacjonarny</v>
      </c>
      <c r="C2093" s="1">
        <v>42947</v>
      </c>
      <c r="D2093" s="2">
        <v>0.47851851851851851</v>
      </c>
      <c r="E2093" s="2">
        <v>0.48517361111111112</v>
      </c>
    </row>
    <row r="2094" spans="1:5" x14ac:dyDescent="0.25">
      <c r="A2094">
        <v>61228399</v>
      </c>
      <c r="B2094" t="str">
        <f t="shared" si="32"/>
        <v>komorkowy</v>
      </c>
      <c r="C2094" s="1">
        <v>42947</v>
      </c>
      <c r="D2094" s="2">
        <v>0.48053240740740738</v>
      </c>
      <c r="E2094" s="2">
        <v>0.48828703703703702</v>
      </c>
    </row>
    <row r="2095" spans="1:5" x14ac:dyDescent="0.25">
      <c r="A2095">
        <v>9282166</v>
      </c>
      <c r="B2095" t="str">
        <f t="shared" si="32"/>
        <v>stacjonarny</v>
      </c>
      <c r="C2095" s="1">
        <v>42947</v>
      </c>
      <c r="D2095" s="2">
        <v>0.48141203703703705</v>
      </c>
      <c r="E2095" s="2">
        <v>0.49063657407407407</v>
      </c>
    </row>
    <row r="2096" spans="1:5" x14ac:dyDescent="0.25">
      <c r="A2096">
        <v>6426246</v>
      </c>
      <c r="B2096" t="str">
        <f t="shared" si="32"/>
        <v>stacjonarny</v>
      </c>
      <c r="C2096" s="1">
        <v>42947</v>
      </c>
      <c r="D2096" s="2">
        <v>0.48174768518518518</v>
      </c>
      <c r="E2096" s="2">
        <v>0.48682870370370368</v>
      </c>
    </row>
    <row r="2097" spans="1:5" x14ac:dyDescent="0.25">
      <c r="A2097">
        <v>8585321</v>
      </c>
      <c r="B2097" t="str">
        <f t="shared" si="32"/>
        <v>stacjonarny</v>
      </c>
      <c r="C2097" s="1">
        <v>42947</v>
      </c>
      <c r="D2097" s="2">
        <v>0.48424768518518518</v>
      </c>
      <c r="E2097" s="2">
        <v>0.48873842592592592</v>
      </c>
    </row>
    <row r="2098" spans="1:5" x14ac:dyDescent="0.25">
      <c r="A2098">
        <v>9791237</v>
      </c>
      <c r="B2098" t="str">
        <f t="shared" si="32"/>
        <v>stacjonarny</v>
      </c>
      <c r="C2098" s="1">
        <v>42947</v>
      </c>
      <c r="D2098" s="2">
        <v>0.48635416666666664</v>
      </c>
      <c r="E2098" s="2">
        <v>0.49025462962962962</v>
      </c>
    </row>
    <row r="2099" spans="1:5" x14ac:dyDescent="0.25">
      <c r="A2099">
        <v>1830251</v>
      </c>
      <c r="B2099" t="str">
        <f t="shared" si="32"/>
        <v>stacjonarny</v>
      </c>
      <c r="C2099" s="1">
        <v>42947</v>
      </c>
      <c r="D2099" s="2">
        <v>0.48893518518518519</v>
      </c>
      <c r="E2099" s="2">
        <v>0.49787037037037035</v>
      </c>
    </row>
    <row r="2100" spans="1:5" x14ac:dyDescent="0.25">
      <c r="A2100">
        <v>42603700</v>
      </c>
      <c r="B2100" t="str">
        <f t="shared" si="32"/>
        <v>komorkowy</v>
      </c>
      <c r="C2100" s="1">
        <v>42947</v>
      </c>
      <c r="D2100" s="2">
        <v>0.49409722222222224</v>
      </c>
      <c r="E2100" s="2">
        <v>0.50521990740740741</v>
      </c>
    </row>
    <row r="2101" spans="1:5" x14ac:dyDescent="0.25">
      <c r="A2101">
        <v>3983714</v>
      </c>
      <c r="B2101" t="str">
        <f t="shared" si="32"/>
        <v>stacjonarny</v>
      </c>
      <c r="C2101" s="1">
        <v>42947</v>
      </c>
      <c r="D2101" s="2">
        <v>0.49849537037037039</v>
      </c>
      <c r="E2101" s="2">
        <v>0.5092592592592593</v>
      </c>
    </row>
    <row r="2102" spans="1:5" x14ac:dyDescent="0.25">
      <c r="A2102">
        <v>4520226</v>
      </c>
      <c r="B2102" t="str">
        <f t="shared" si="32"/>
        <v>stacjonarny</v>
      </c>
      <c r="C2102" s="1">
        <v>42947</v>
      </c>
      <c r="D2102" s="2">
        <v>0.49903935185185183</v>
      </c>
      <c r="E2102" s="2">
        <v>0.51059027777777777</v>
      </c>
    </row>
    <row r="2103" spans="1:5" x14ac:dyDescent="0.25">
      <c r="A2103">
        <v>6999348</v>
      </c>
      <c r="B2103" t="str">
        <f t="shared" si="32"/>
        <v>stacjonarny</v>
      </c>
      <c r="C2103" s="1">
        <v>42947</v>
      </c>
      <c r="D2103" s="2">
        <v>0.50065972222222221</v>
      </c>
      <c r="E2103" s="2">
        <v>0.50898148148148148</v>
      </c>
    </row>
    <row r="2104" spans="1:5" x14ac:dyDescent="0.25">
      <c r="A2104">
        <v>3767866</v>
      </c>
      <c r="B2104" t="str">
        <f t="shared" si="32"/>
        <v>stacjonarny</v>
      </c>
      <c r="C2104" s="1">
        <v>42947</v>
      </c>
      <c r="D2104" s="2">
        <v>0.5040972222222222</v>
      </c>
      <c r="E2104" s="2">
        <v>0.50971064814814815</v>
      </c>
    </row>
    <row r="2105" spans="1:5" x14ac:dyDescent="0.25">
      <c r="A2105">
        <v>49342013</v>
      </c>
      <c r="B2105" t="str">
        <f t="shared" si="32"/>
        <v>komorkowy</v>
      </c>
      <c r="C2105" s="1">
        <v>42947</v>
      </c>
      <c r="D2105" s="2">
        <v>0.50410879629629635</v>
      </c>
      <c r="E2105" s="2">
        <v>0.50539351851851855</v>
      </c>
    </row>
    <row r="2106" spans="1:5" x14ac:dyDescent="0.25">
      <c r="A2106">
        <v>6051341</v>
      </c>
      <c r="B2106" t="str">
        <f t="shared" si="32"/>
        <v>stacjonarny</v>
      </c>
      <c r="C2106" s="1">
        <v>42947</v>
      </c>
      <c r="D2106" s="2">
        <v>0.50980324074074079</v>
      </c>
      <c r="E2106" s="2">
        <v>0.51123842592592594</v>
      </c>
    </row>
    <row r="2107" spans="1:5" x14ac:dyDescent="0.25">
      <c r="A2107">
        <v>4326245</v>
      </c>
      <c r="B2107" t="str">
        <f t="shared" si="32"/>
        <v>stacjonarny</v>
      </c>
      <c r="C2107" s="1">
        <v>42947</v>
      </c>
      <c r="D2107" s="2">
        <v>0.51331018518518523</v>
      </c>
      <c r="E2107" s="2">
        <v>0.51490740740740737</v>
      </c>
    </row>
    <row r="2108" spans="1:5" x14ac:dyDescent="0.25">
      <c r="A2108">
        <v>5356378</v>
      </c>
      <c r="B2108" t="str">
        <f t="shared" si="32"/>
        <v>stacjonarny</v>
      </c>
      <c r="C2108" s="1">
        <v>42947</v>
      </c>
      <c r="D2108" s="2">
        <v>0.51811342592592591</v>
      </c>
      <c r="E2108" s="2">
        <v>0.51965277777777774</v>
      </c>
    </row>
    <row r="2109" spans="1:5" x14ac:dyDescent="0.25">
      <c r="A2109">
        <v>1302842</v>
      </c>
      <c r="B2109" t="str">
        <f t="shared" si="32"/>
        <v>stacjonarny</v>
      </c>
      <c r="C2109" s="1">
        <v>42947</v>
      </c>
      <c r="D2109" s="2">
        <v>0.52203703703703708</v>
      </c>
      <c r="E2109" s="2">
        <v>0.53162037037037035</v>
      </c>
    </row>
    <row r="2110" spans="1:5" x14ac:dyDescent="0.25">
      <c r="A2110">
        <v>2025194</v>
      </c>
      <c r="B2110" t="str">
        <f t="shared" si="32"/>
        <v>stacjonarny</v>
      </c>
      <c r="C2110" s="1">
        <v>42947</v>
      </c>
      <c r="D2110" s="2">
        <v>0.52238425925925924</v>
      </c>
      <c r="E2110" s="2">
        <v>0.52749999999999997</v>
      </c>
    </row>
    <row r="2111" spans="1:5" x14ac:dyDescent="0.25">
      <c r="A2111">
        <v>6703754</v>
      </c>
      <c r="B2111" t="str">
        <f t="shared" si="32"/>
        <v>stacjonarny</v>
      </c>
      <c r="C2111" s="1">
        <v>42947</v>
      </c>
      <c r="D2111" s="2">
        <v>0.5237384259259259</v>
      </c>
      <c r="E2111" s="2">
        <v>0.52431712962962962</v>
      </c>
    </row>
    <row r="2112" spans="1:5" x14ac:dyDescent="0.25">
      <c r="A2112">
        <v>86965710</v>
      </c>
      <c r="B2112" t="str">
        <f t="shared" si="32"/>
        <v>komorkowy</v>
      </c>
      <c r="C2112" s="1">
        <v>42947</v>
      </c>
      <c r="D2112" s="2">
        <v>0.52516203703703701</v>
      </c>
      <c r="E2112" s="2">
        <v>0.52825231481481483</v>
      </c>
    </row>
    <row r="2113" spans="1:5" x14ac:dyDescent="0.25">
      <c r="A2113">
        <v>9797571</v>
      </c>
      <c r="B2113" t="str">
        <f t="shared" si="32"/>
        <v>stacjonarny</v>
      </c>
      <c r="C2113" s="1">
        <v>42947</v>
      </c>
      <c r="D2113" s="2">
        <v>0.53011574074074075</v>
      </c>
      <c r="E2113" s="2">
        <v>0.5342824074074074</v>
      </c>
    </row>
    <row r="2114" spans="1:5" x14ac:dyDescent="0.25">
      <c r="A2114">
        <v>34628061</v>
      </c>
      <c r="B2114" t="str">
        <f t="shared" si="32"/>
        <v>komorkowy</v>
      </c>
      <c r="C2114" s="1">
        <v>42947</v>
      </c>
      <c r="D2114" s="2">
        <v>0.53206018518518516</v>
      </c>
      <c r="E2114" s="2">
        <v>0.53396990740740746</v>
      </c>
    </row>
    <row r="2115" spans="1:5" x14ac:dyDescent="0.25">
      <c r="A2115">
        <v>6716140</v>
      </c>
      <c r="B2115" t="str">
        <f t="shared" ref="B2115:B2149" si="33">IF(LEN(A2115)=7, "stacjonarny", IF(LEN(A2115)=8, "komorkowy", "zagraniczny"))</f>
        <v>stacjonarny</v>
      </c>
      <c r="C2115" s="1">
        <v>42947</v>
      </c>
      <c r="D2115" s="2">
        <v>0.53451388888888884</v>
      </c>
      <c r="E2115" s="2">
        <v>0.54087962962962965</v>
      </c>
    </row>
    <row r="2116" spans="1:5" x14ac:dyDescent="0.25">
      <c r="A2116">
        <v>9709339</v>
      </c>
      <c r="B2116" t="str">
        <f t="shared" si="33"/>
        <v>stacjonarny</v>
      </c>
      <c r="C2116" s="1">
        <v>42947</v>
      </c>
      <c r="D2116" s="2">
        <v>0.53622685185185182</v>
      </c>
      <c r="E2116" s="2">
        <v>0.54399305555555555</v>
      </c>
    </row>
    <row r="2117" spans="1:5" x14ac:dyDescent="0.25">
      <c r="A2117">
        <v>1331802</v>
      </c>
      <c r="B2117" t="str">
        <f t="shared" si="33"/>
        <v>stacjonarny</v>
      </c>
      <c r="C2117" s="1">
        <v>42947</v>
      </c>
      <c r="D2117" s="2">
        <v>0.5376967592592593</v>
      </c>
      <c r="E2117" s="2">
        <v>0.54113425925925929</v>
      </c>
    </row>
    <row r="2118" spans="1:5" x14ac:dyDescent="0.25">
      <c r="A2118">
        <v>9413315</v>
      </c>
      <c r="B2118" t="str">
        <f t="shared" si="33"/>
        <v>stacjonarny</v>
      </c>
      <c r="C2118" s="1">
        <v>42947</v>
      </c>
      <c r="D2118" s="2">
        <v>0.53961805555555553</v>
      </c>
      <c r="E2118" s="2">
        <v>0.54870370370370369</v>
      </c>
    </row>
    <row r="2119" spans="1:5" x14ac:dyDescent="0.25">
      <c r="A2119">
        <v>9555643</v>
      </c>
      <c r="B2119" t="str">
        <f t="shared" si="33"/>
        <v>stacjonarny</v>
      </c>
      <c r="C2119" s="1">
        <v>42947</v>
      </c>
      <c r="D2119" s="2">
        <v>0.5415740740740741</v>
      </c>
      <c r="E2119" s="2">
        <v>0.54230324074074077</v>
      </c>
    </row>
    <row r="2120" spans="1:5" x14ac:dyDescent="0.25">
      <c r="A2120">
        <v>4824250</v>
      </c>
      <c r="B2120" t="str">
        <f t="shared" si="33"/>
        <v>stacjonarny</v>
      </c>
      <c r="C2120" s="1">
        <v>42947</v>
      </c>
      <c r="D2120" s="2">
        <v>0.54670138888888886</v>
      </c>
      <c r="E2120" s="2">
        <v>0.55440972222222218</v>
      </c>
    </row>
    <row r="2121" spans="1:5" x14ac:dyDescent="0.25">
      <c r="A2121">
        <v>3931914</v>
      </c>
      <c r="B2121" t="str">
        <f t="shared" si="33"/>
        <v>stacjonarny</v>
      </c>
      <c r="C2121" s="1">
        <v>42947</v>
      </c>
      <c r="D2121" s="2">
        <v>0.55063657407407407</v>
      </c>
      <c r="E2121" s="2">
        <v>0.55451388888888886</v>
      </c>
    </row>
    <row r="2122" spans="1:5" x14ac:dyDescent="0.25">
      <c r="A2122">
        <v>79698655</v>
      </c>
      <c r="B2122" t="str">
        <f t="shared" si="33"/>
        <v>komorkowy</v>
      </c>
      <c r="C2122" s="1">
        <v>42947</v>
      </c>
      <c r="D2122" s="2">
        <v>0.55182870370370374</v>
      </c>
      <c r="E2122" s="2">
        <v>0.55775462962962963</v>
      </c>
    </row>
    <row r="2123" spans="1:5" x14ac:dyDescent="0.25">
      <c r="A2123">
        <v>5387521845</v>
      </c>
      <c r="B2123" t="str">
        <f t="shared" si="33"/>
        <v>zagraniczny</v>
      </c>
      <c r="C2123" s="1">
        <v>42947</v>
      </c>
      <c r="D2123" s="2">
        <v>0.55717592592592591</v>
      </c>
      <c r="E2123" s="2">
        <v>0.56000000000000005</v>
      </c>
    </row>
    <row r="2124" spans="1:5" x14ac:dyDescent="0.25">
      <c r="A2124">
        <v>84589848</v>
      </c>
      <c r="B2124" t="str">
        <f t="shared" si="33"/>
        <v>komorkowy</v>
      </c>
      <c r="C2124" s="1">
        <v>42947</v>
      </c>
      <c r="D2124" s="2">
        <v>0.56119212962962961</v>
      </c>
      <c r="E2124" s="2">
        <v>0.56221064814814814</v>
      </c>
    </row>
    <row r="2125" spans="1:5" x14ac:dyDescent="0.25">
      <c r="A2125">
        <v>1927908</v>
      </c>
      <c r="B2125" t="str">
        <f t="shared" si="33"/>
        <v>stacjonarny</v>
      </c>
      <c r="C2125" s="1">
        <v>42947</v>
      </c>
      <c r="D2125" s="2">
        <v>0.56452546296296291</v>
      </c>
      <c r="E2125" s="2">
        <v>0.5725231481481482</v>
      </c>
    </row>
    <row r="2126" spans="1:5" x14ac:dyDescent="0.25">
      <c r="A2126">
        <v>7975900</v>
      </c>
      <c r="B2126" t="str">
        <f t="shared" si="33"/>
        <v>stacjonarny</v>
      </c>
      <c r="C2126" s="1">
        <v>42947</v>
      </c>
      <c r="D2126" s="2">
        <v>0.56582175925925926</v>
      </c>
      <c r="E2126" s="2">
        <v>0.57314814814814818</v>
      </c>
    </row>
    <row r="2127" spans="1:5" x14ac:dyDescent="0.25">
      <c r="A2127">
        <v>1731500345</v>
      </c>
      <c r="B2127" t="str">
        <f t="shared" si="33"/>
        <v>zagraniczny</v>
      </c>
      <c r="C2127" s="1">
        <v>42947</v>
      </c>
      <c r="D2127" s="2">
        <v>0.56916666666666671</v>
      </c>
      <c r="E2127" s="2">
        <v>0.57851851851851854</v>
      </c>
    </row>
    <row r="2128" spans="1:5" x14ac:dyDescent="0.25">
      <c r="A2128">
        <v>5926011</v>
      </c>
      <c r="B2128" t="str">
        <f t="shared" si="33"/>
        <v>stacjonarny</v>
      </c>
      <c r="C2128" s="1">
        <v>42947</v>
      </c>
      <c r="D2128" s="2">
        <v>0.57268518518518519</v>
      </c>
      <c r="E2128" s="2">
        <v>0.58170138888888889</v>
      </c>
    </row>
    <row r="2129" spans="1:5" x14ac:dyDescent="0.25">
      <c r="A2129">
        <v>6408952</v>
      </c>
      <c r="B2129" t="str">
        <f t="shared" si="33"/>
        <v>stacjonarny</v>
      </c>
      <c r="C2129" s="1">
        <v>42947</v>
      </c>
      <c r="D2129" s="2">
        <v>0.57740740740740737</v>
      </c>
      <c r="E2129" s="2">
        <v>0.58895833333333336</v>
      </c>
    </row>
    <row r="2130" spans="1:5" x14ac:dyDescent="0.25">
      <c r="A2130">
        <v>53370610</v>
      </c>
      <c r="B2130" t="str">
        <f t="shared" si="33"/>
        <v>komorkowy</v>
      </c>
      <c r="C2130" s="1">
        <v>42947</v>
      </c>
      <c r="D2130" s="2">
        <v>0.57822916666666668</v>
      </c>
      <c r="E2130" s="2">
        <v>0.57994212962962965</v>
      </c>
    </row>
    <row r="2131" spans="1:5" x14ac:dyDescent="0.25">
      <c r="A2131">
        <v>8060169</v>
      </c>
      <c r="B2131" t="str">
        <f t="shared" si="33"/>
        <v>stacjonarny</v>
      </c>
      <c r="C2131" s="1">
        <v>42947</v>
      </c>
      <c r="D2131" s="2">
        <v>0.57874999999999999</v>
      </c>
      <c r="E2131" s="2">
        <v>0.58307870370370374</v>
      </c>
    </row>
    <row r="2132" spans="1:5" x14ac:dyDescent="0.25">
      <c r="A2132">
        <v>9147613</v>
      </c>
      <c r="B2132" t="str">
        <f t="shared" si="33"/>
        <v>stacjonarny</v>
      </c>
      <c r="C2132" s="1">
        <v>42947</v>
      </c>
      <c r="D2132" s="2">
        <v>0.57952546296296292</v>
      </c>
      <c r="E2132" s="2">
        <v>0.58090277777777777</v>
      </c>
    </row>
    <row r="2133" spans="1:5" x14ac:dyDescent="0.25">
      <c r="A2133">
        <v>4505950</v>
      </c>
      <c r="B2133" t="str">
        <f t="shared" si="33"/>
        <v>stacjonarny</v>
      </c>
      <c r="C2133" s="1">
        <v>42947</v>
      </c>
      <c r="D2133" s="2">
        <v>0.58163194444444444</v>
      </c>
      <c r="E2133" s="2">
        <v>0.5872222222222222</v>
      </c>
    </row>
    <row r="2134" spans="1:5" x14ac:dyDescent="0.25">
      <c r="A2134">
        <v>3537655</v>
      </c>
      <c r="B2134" t="str">
        <f t="shared" si="33"/>
        <v>stacjonarny</v>
      </c>
      <c r="C2134" s="1">
        <v>42947</v>
      </c>
      <c r="D2134" s="2">
        <v>0.58287037037037037</v>
      </c>
      <c r="E2134" s="2">
        <v>0.58347222222222217</v>
      </c>
    </row>
    <row r="2135" spans="1:5" x14ac:dyDescent="0.25">
      <c r="A2135">
        <v>1583683</v>
      </c>
      <c r="B2135" t="str">
        <f t="shared" si="33"/>
        <v>stacjonarny</v>
      </c>
      <c r="C2135" s="1">
        <v>42947</v>
      </c>
      <c r="D2135" s="2">
        <v>0.58784722222222219</v>
      </c>
      <c r="E2135" s="2">
        <v>0.58940972222222221</v>
      </c>
    </row>
    <row r="2136" spans="1:5" x14ac:dyDescent="0.25">
      <c r="A2136">
        <v>96302157</v>
      </c>
      <c r="B2136" t="str">
        <f t="shared" si="33"/>
        <v>komorkowy</v>
      </c>
      <c r="C2136" s="1">
        <v>42947</v>
      </c>
      <c r="D2136" s="2">
        <v>0.59052083333333338</v>
      </c>
      <c r="E2136" s="2">
        <v>0.59702546296296299</v>
      </c>
    </row>
    <row r="2137" spans="1:5" x14ac:dyDescent="0.25">
      <c r="A2137">
        <v>1809111</v>
      </c>
      <c r="B2137" t="str">
        <f t="shared" si="33"/>
        <v>stacjonarny</v>
      </c>
      <c r="C2137" s="1">
        <v>42947</v>
      </c>
      <c r="D2137" s="2">
        <v>0.59290509259259261</v>
      </c>
      <c r="E2137" s="2">
        <v>0.60322916666666671</v>
      </c>
    </row>
    <row r="2138" spans="1:5" x14ac:dyDescent="0.25">
      <c r="A2138">
        <v>8493652</v>
      </c>
      <c r="B2138" t="str">
        <f t="shared" si="33"/>
        <v>stacjonarny</v>
      </c>
      <c r="C2138" s="1">
        <v>42947</v>
      </c>
      <c r="D2138" s="2">
        <v>0.59569444444444442</v>
      </c>
      <c r="E2138" s="2">
        <v>0.60372685185185182</v>
      </c>
    </row>
    <row r="2139" spans="1:5" x14ac:dyDescent="0.25">
      <c r="A2139">
        <v>1026326</v>
      </c>
      <c r="B2139" t="str">
        <f t="shared" si="33"/>
        <v>stacjonarny</v>
      </c>
      <c r="C2139" s="1">
        <v>42947</v>
      </c>
      <c r="D2139" s="2">
        <v>0.59736111111111112</v>
      </c>
      <c r="E2139" s="2">
        <v>0.60046296296296298</v>
      </c>
    </row>
    <row r="2140" spans="1:5" x14ac:dyDescent="0.25">
      <c r="A2140">
        <v>1475165</v>
      </c>
      <c r="B2140" t="str">
        <f t="shared" si="33"/>
        <v>stacjonarny</v>
      </c>
      <c r="C2140" s="1">
        <v>42947</v>
      </c>
      <c r="D2140" s="2">
        <v>0.60197916666666662</v>
      </c>
      <c r="E2140" s="2">
        <v>0.60856481481481484</v>
      </c>
    </row>
    <row r="2141" spans="1:5" x14ac:dyDescent="0.25">
      <c r="A2141">
        <v>6264844</v>
      </c>
      <c r="B2141" t="str">
        <f t="shared" si="33"/>
        <v>stacjonarny</v>
      </c>
      <c r="C2141" s="1">
        <v>42947</v>
      </c>
      <c r="D2141" s="2">
        <v>0.60348379629629634</v>
      </c>
      <c r="E2141" s="2">
        <v>0.61365740740740737</v>
      </c>
    </row>
    <row r="2142" spans="1:5" x14ac:dyDescent="0.25">
      <c r="A2142">
        <v>9861652</v>
      </c>
      <c r="B2142" t="str">
        <f t="shared" si="33"/>
        <v>stacjonarny</v>
      </c>
      <c r="C2142" s="1">
        <v>42947</v>
      </c>
      <c r="D2142" s="2">
        <v>0.60519675925925931</v>
      </c>
      <c r="E2142" s="2">
        <v>0.61221064814814818</v>
      </c>
    </row>
    <row r="2143" spans="1:5" x14ac:dyDescent="0.25">
      <c r="A2143">
        <v>5446203</v>
      </c>
      <c r="B2143" t="str">
        <f t="shared" si="33"/>
        <v>stacjonarny</v>
      </c>
      <c r="C2143" s="1">
        <v>42947</v>
      </c>
      <c r="D2143" s="2">
        <v>0.60825231481481479</v>
      </c>
      <c r="E2143" s="2">
        <v>0.61048611111111106</v>
      </c>
    </row>
    <row r="2144" spans="1:5" x14ac:dyDescent="0.25">
      <c r="A2144">
        <v>7762020</v>
      </c>
      <c r="B2144" t="str">
        <f t="shared" si="33"/>
        <v>stacjonarny</v>
      </c>
      <c r="C2144" s="1">
        <v>42947</v>
      </c>
      <c r="D2144" s="2">
        <v>0.61159722222222224</v>
      </c>
      <c r="E2144" s="2">
        <v>0.61434027777777778</v>
      </c>
    </row>
    <row r="2145" spans="1:5" x14ac:dyDescent="0.25">
      <c r="A2145">
        <v>4045129075</v>
      </c>
      <c r="B2145" t="str">
        <f t="shared" si="33"/>
        <v>zagraniczny</v>
      </c>
      <c r="C2145" s="1">
        <v>42947</v>
      </c>
      <c r="D2145" s="2">
        <v>0.61328703703703702</v>
      </c>
      <c r="E2145" s="2">
        <v>0.61828703703703702</v>
      </c>
    </row>
    <row r="2146" spans="1:5" x14ac:dyDescent="0.25">
      <c r="A2146">
        <v>96736796</v>
      </c>
      <c r="B2146" t="str">
        <f t="shared" si="33"/>
        <v>komorkowy</v>
      </c>
      <c r="C2146" s="1">
        <v>42947</v>
      </c>
      <c r="D2146" s="2">
        <v>0.61524305555555558</v>
      </c>
      <c r="E2146" s="2">
        <v>0.62432870370370375</v>
      </c>
    </row>
    <row r="2147" spans="1:5" x14ac:dyDescent="0.25">
      <c r="A2147">
        <v>1035023</v>
      </c>
      <c r="B2147" t="str">
        <f t="shared" si="33"/>
        <v>stacjonarny</v>
      </c>
      <c r="C2147" s="1">
        <v>42947</v>
      </c>
      <c r="D2147" s="2">
        <v>0.61821759259259257</v>
      </c>
      <c r="E2147" s="2">
        <v>0.62706018518518514</v>
      </c>
    </row>
    <row r="2148" spans="1:5" x14ac:dyDescent="0.25">
      <c r="A2148">
        <v>9941776</v>
      </c>
      <c r="B2148" t="str">
        <f t="shared" si="33"/>
        <v>stacjonarny</v>
      </c>
      <c r="C2148" s="1">
        <v>42947</v>
      </c>
      <c r="D2148" s="2">
        <v>0.62299768518518517</v>
      </c>
      <c r="E2148" s="2">
        <v>0.62311342592592589</v>
      </c>
    </row>
    <row r="2149" spans="1:5" x14ac:dyDescent="0.25">
      <c r="A2149">
        <v>6401011</v>
      </c>
      <c r="B2149" t="str">
        <f t="shared" si="33"/>
        <v>stacjonarny</v>
      </c>
      <c r="C2149" s="1">
        <v>42947</v>
      </c>
      <c r="D2149" s="2">
        <v>0.62693287037037038</v>
      </c>
      <c r="E2149" s="2">
        <v>0.62837962962962968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134E-9B5C-4902-B366-B5F10C5CA1AE}">
  <dimension ref="A1:Q2149"/>
  <sheetViews>
    <sheetView workbookViewId="0">
      <selection activeCell="B2" sqref="B2"/>
    </sheetView>
  </sheetViews>
  <sheetFormatPr defaultRowHeight="15" x14ac:dyDescent="0.25"/>
  <cols>
    <col min="1" max="1" width="11" bestFit="1" customWidth="1"/>
    <col min="2" max="4" width="11" customWidth="1"/>
    <col min="5" max="5" width="10.140625" bestFit="1" customWidth="1"/>
    <col min="6" max="6" width="11.42578125" bestFit="1" customWidth="1"/>
    <col min="7" max="7" width="11.85546875" bestFit="1" customWidth="1"/>
    <col min="10" max="10" width="11.140625" bestFit="1" customWidth="1"/>
    <col min="11" max="11" width="10.140625" bestFit="1" customWidth="1"/>
    <col min="16" max="16" width="17.7109375" bestFit="1" customWidth="1"/>
    <col min="17" max="17" width="11.5703125" bestFit="1" customWidth="1"/>
  </cols>
  <sheetData>
    <row r="1" spans="1:17" x14ac:dyDescent="0.25">
      <c r="A1" t="s">
        <v>0</v>
      </c>
      <c r="B1" t="s">
        <v>8</v>
      </c>
      <c r="C1">
        <v>12</v>
      </c>
      <c r="D1" t="s">
        <v>16</v>
      </c>
      <c r="E1" t="s">
        <v>1</v>
      </c>
      <c r="F1" t="s">
        <v>2</v>
      </c>
      <c r="G1" t="s">
        <v>3</v>
      </c>
      <c r="H1" t="s">
        <v>15</v>
      </c>
      <c r="M1">
        <f>COUNTIF(D2:D2149,1)</f>
        <v>21</v>
      </c>
    </row>
    <row r="2" spans="1:17" x14ac:dyDescent="0.25">
      <c r="A2" s="6">
        <v>3539762</v>
      </c>
      <c r="B2" t="str">
        <f t="shared" ref="B2:B65" si="0">IF(LEN(A2)=7, "stacjonarny", IF(LEN(A2)=8, "komorkowy", "zagraniczny"))</f>
        <v>stacjonarny</v>
      </c>
      <c r="C2">
        <f>IF(LEFT(A2,2)="12",1,0)</f>
        <v>0</v>
      </c>
      <c r="D2">
        <f>IF(AND(C2=1,B2="stacjonarny"),1,0)</f>
        <v>0</v>
      </c>
      <c r="E2" s="1">
        <v>42919</v>
      </c>
      <c r="F2" s="2">
        <v>0.33673611111111112</v>
      </c>
      <c r="G2" s="2">
        <v>0.34821759259259261</v>
      </c>
      <c r="H2" s="2">
        <f>G2-F2</f>
        <v>1.1481481481481481E-2</v>
      </c>
      <c r="K2" s="1"/>
    </row>
    <row r="3" spans="1:17" x14ac:dyDescent="0.25">
      <c r="A3" s="6">
        <v>4546455</v>
      </c>
      <c r="B3" t="str">
        <f t="shared" si="0"/>
        <v>stacjonarny</v>
      </c>
      <c r="C3">
        <f t="shared" ref="C3:C66" si="1">IF(LEFT(A3,2)="12",1,0)</f>
        <v>0</v>
      </c>
      <c r="D3">
        <f t="shared" ref="D3:D66" si="2">IF(AND(C3=1,B3="stacjonarny"),1,0)</f>
        <v>0</v>
      </c>
      <c r="E3" s="1">
        <v>42919</v>
      </c>
      <c r="F3" s="2">
        <v>0.34037037037037038</v>
      </c>
      <c r="G3" s="2">
        <v>0.34983796296296299</v>
      </c>
      <c r="H3" s="2">
        <f t="shared" ref="H3:H66" si="3">G3-F3</f>
        <v>9.4675925925926108E-3</v>
      </c>
    </row>
    <row r="4" spans="1:17" x14ac:dyDescent="0.25">
      <c r="A4" s="6">
        <v>4546455</v>
      </c>
      <c r="B4" t="str">
        <f t="shared" si="0"/>
        <v>stacjonarny</v>
      </c>
      <c r="C4">
        <f t="shared" si="1"/>
        <v>0</v>
      </c>
      <c r="D4">
        <f t="shared" si="2"/>
        <v>0</v>
      </c>
      <c r="E4" s="1">
        <v>42919</v>
      </c>
      <c r="F4" s="2">
        <v>0.34042824074074074</v>
      </c>
      <c r="G4" s="2">
        <v>0.35046296296296298</v>
      </c>
      <c r="H4" s="2">
        <f t="shared" si="3"/>
        <v>1.0034722222222237E-2</v>
      </c>
      <c r="K4" s="1"/>
    </row>
    <row r="5" spans="1:17" x14ac:dyDescent="0.25">
      <c r="A5" s="6">
        <v>6900303</v>
      </c>
      <c r="B5" t="str">
        <f t="shared" si="0"/>
        <v>stacjonarny</v>
      </c>
      <c r="C5">
        <f t="shared" si="1"/>
        <v>0</v>
      </c>
      <c r="D5">
        <f t="shared" si="2"/>
        <v>0</v>
      </c>
      <c r="E5" s="1">
        <v>42919</v>
      </c>
      <c r="F5" s="2">
        <v>0.34362268518518518</v>
      </c>
      <c r="G5" s="2">
        <v>0.3482986111111111</v>
      </c>
      <c r="H5" s="2">
        <f t="shared" si="3"/>
        <v>4.6759259259259167E-3</v>
      </c>
      <c r="K5" s="1"/>
    </row>
    <row r="6" spans="1:17" x14ac:dyDescent="0.25">
      <c r="A6" s="6">
        <v>4250194</v>
      </c>
      <c r="B6" t="str">
        <f t="shared" si="0"/>
        <v>stacjonarny</v>
      </c>
      <c r="C6">
        <f t="shared" si="1"/>
        <v>0</v>
      </c>
      <c r="D6">
        <f t="shared" si="2"/>
        <v>0</v>
      </c>
      <c r="E6" s="1">
        <v>42919</v>
      </c>
      <c r="F6" s="2">
        <v>0.34399305555555554</v>
      </c>
      <c r="G6" s="2">
        <v>0.34872685185185187</v>
      </c>
      <c r="H6" s="2">
        <f t="shared" si="3"/>
        <v>4.7337962962963331E-3</v>
      </c>
      <c r="K6" s="1"/>
    </row>
    <row r="7" spans="1:17" x14ac:dyDescent="0.25">
      <c r="A7" s="6">
        <v>54586484</v>
      </c>
      <c r="B7" t="str">
        <f t="shared" si="0"/>
        <v>komorkowy</v>
      </c>
      <c r="C7">
        <f t="shared" si="1"/>
        <v>0</v>
      </c>
      <c r="D7">
        <f t="shared" si="2"/>
        <v>0</v>
      </c>
      <c r="E7" s="1">
        <v>42919</v>
      </c>
      <c r="F7" s="2">
        <v>0.3460185185185185</v>
      </c>
      <c r="G7" s="2">
        <v>0.34969907407407408</v>
      </c>
      <c r="H7" s="2">
        <f t="shared" si="3"/>
        <v>3.6805555555555758E-3</v>
      </c>
      <c r="K7" s="1"/>
    </row>
    <row r="8" spans="1:17" x14ac:dyDescent="0.25">
      <c r="A8" s="6">
        <v>26204415</v>
      </c>
      <c r="B8" t="str">
        <f t="shared" si="0"/>
        <v>komorkowy</v>
      </c>
      <c r="C8">
        <f t="shared" si="1"/>
        <v>0</v>
      </c>
      <c r="D8">
        <f t="shared" si="2"/>
        <v>0</v>
      </c>
      <c r="E8" s="1">
        <v>42919</v>
      </c>
      <c r="F8" s="2">
        <v>0.34880787037037037</v>
      </c>
      <c r="G8" s="2">
        <v>0.35023148148148148</v>
      </c>
      <c r="H8" s="2">
        <f t="shared" si="3"/>
        <v>1.4236111111111116E-3</v>
      </c>
      <c r="K8" s="1"/>
    </row>
    <row r="9" spans="1:17" x14ac:dyDescent="0.25">
      <c r="A9" s="6">
        <v>8596929</v>
      </c>
      <c r="B9" t="str">
        <f t="shared" si="0"/>
        <v>stacjonarny</v>
      </c>
      <c r="C9">
        <f t="shared" si="1"/>
        <v>0</v>
      </c>
      <c r="D9">
        <f t="shared" si="2"/>
        <v>0</v>
      </c>
      <c r="E9" s="1">
        <v>42919</v>
      </c>
      <c r="F9" s="2">
        <v>0.35322916666666665</v>
      </c>
      <c r="G9" s="2">
        <v>0.35968749999999999</v>
      </c>
      <c r="H9" s="2">
        <f t="shared" si="3"/>
        <v>6.4583333333333437E-3</v>
      </c>
      <c r="K9" s="1"/>
    </row>
    <row r="10" spans="1:17" x14ac:dyDescent="0.25">
      <c r="A10" s="6">
        <v>4546455</v>
      </c>
      <c r="B10" t="str">
        <f t="shared" si="0"/>
        <v>stacjonarny</v>
      </c>
      <c r="C10">
        <f t="shared" si="1"/>
        <v>0</v>
      </c>
      <c r="D10">
        <f t="shared" si="2"/>
        <v>0</v>
      </c>
      <c r="E10" s="1">
        <v>42919</v>
      </c>
      <c r="F10" s="2">
        <v>0.35723379629629631</v>
      </c>
      <c r="G10" s="2">
        <v>0.36699074074074073</v>
      </c>
      <c r="H10" s="2">
        <f t="shared" si="3"/>
        <v>9.7569444444444153E-3</v>
      </c>
      <c r="K10" s="1"/>
    </row>
    <row r="11" spans="1:17" x14ac:dyDescent="0.25">
      <c r="A11" s="6">
        <v>44937926</v>
      </c>
      <c r="B11" t="str">
        <f t="shared" si="0"/>
        <v>komorkowy</v>
      </c>
      <c r="C11">
        <f t="shared" si="1"/>
        <v>0</v>
      </c>
      <c r="D11">
        <f t="shared" si="2"/>
        <v>0</v>
      </c>
      <c r="E11" s="1">
        <v>42919</v>
      </c>
      <c r="F11" s="2">
        <v>0.36178240740740741</v>
      </c>
      <c r="G11" s="2">
        <v>0.37260416666666668</v>
      </c>
      <c r="H11" s="2">
        <f t="shared" si="3"/>
        <v>1.0821759259259267E-2</v>
      </c>
      <c r="K11" s="1"/>
      <c r="P11" s="3" t="s">
        <v>4</v>
      </c>
      <c r="Q11" t="s">
        <v>17</v>
      </c>
    </row>
    <row r="12" spans="1:17" x14ac:dyDescent="0.25">
      <c r="A12" s="6">
        <v>5816822</v>
      </c>
      <c r="B12" t="str">
        <f t="shared" si="0"/>
        <v>stacjonarny</v>
      </c>
      <c r="C12">
        <f t="shared" si="1"/>
        <v>0</v>
      </c>
      <c r="D12">
        <f t="shared" si="2"/>
        <v>0</v>
      </c>
      <c r="E12" s="1">
        <v>42919</v>
      </c>
      <c r="F12" s="2">
        <v>0.36702546296296296</v>
      </c>
      <c r="G12" s="2">
        <v>0.37568287037037035</v>
      </c>
      <c r="H12" s="2">
        <f t="shared" si="3"/>
        <v>8.6574074074073915E-3</v>
      </c>
      <c r="K12" s="1"/>
      <c r="P12" s="4">
        <v>0</v>
      </c>
      <c r="Q12">
        <v>2127</v>
      </c>
    </row>
    <row r="13" spans="1:17" x14ac:dyDescent="0.25">
      <c r="A13" s="6">
        <v>96191858</v>
      </c>
      <c r="B13" t="str">
        <f t="shared" si="0"/>
        <v>komorkowy</v>
      </c>
      <c r="C13">
        <f t="shared" si="1"/>
        <v>0</v>
      </c>
      <c r="D13">
        <f t="shared" si="2"/>
        <v>0</v>
      </c>
      <c r="E13" s="1">
        <v>42919</v>
      </c>
      <c r="F13" s="2">
        <v>0.36861111111111111</v>
      </c>
      <c r="G13" s="2">
        <v>0.37554398148148149</v>
      </c>
      <c r="H13" s="2">
        <f t="shared" si="3"/>
        <v>6.9328703703703809E-3</v>
      </c>
      <c r="K13" s="1"/>
      <c r="P13" s="4">
        <v>1</v>
      </c>
      <c r="Q13">
        <v>21</v>
      </c>
    </row>
    <row r="14" spans="1:17" x14ac:dyDescent="0.25">
      <c r="A14" s="6">
        <v>47261256</v>
      </c>
      <c r="B14" t="str">
        <f t="shared" si="0"/>
        <v>komorkowy</v>
      </c>
      <c r="C14">
        <f t="shared" si="1"/>
        <v>0</v>
      </c>
      <c r="D14">
        <f t="shared" si="2"/>
        <v>0</v>
      </c>
      <c r="E14" s="1">
        <v>42919</v>
      </c>
      <c r="F14" s="2">
        <v>0.37017361111111113</v>
      </c>
      <c r="G14" s="2">
        <v>0.37328703703703703</v>
      </c>
      <c r="H14" s="2">
        <f t="shared" si="3"/>
        <v>3.1134259259258945E-3</v>
      </c>
      <c r="K14" s="1"/>
      <c r="P14" s="4" t="s">
        <v>5</v>
      </c>
      <c r="Q14">
        <v>2148</v>
      </c>
    </row>
    <row r="15" spans="1:17" x14ac:dyDescent="0.25">
      <c r="A15" s="6">
        <v>26204415</v>
      </c>
      <c r="B15" t="str">
        <f t="shared" si="0"/>
        <v>komorkowy</v>
      </c>
      <c r="C15">
        <f t="shared" si="1"/>
        <v>0</v>
      </c>
      <c r="D15">
        <f t="shared" si="2"/>
        <v>0</v>
      </c>
      <c r="E15" s="1">
        <v>42919</v>
      </c>
      <c r="F15" s="2">
        <v>0.37516203703703704</v>
      </c>
      <c r="G15" s="2">
        <v>0.38424768518518521</v>
      </c>
      <c r="H15" s="2">
        <f t="shared" si="3"/>
        <v>9.0856481481481621E-3</v>
      </c>
      <c r="K15" s="1"/>
    </row>
    <row r="16" spans="1:17" x14ac:dyDescent="0.25">
      <c r="A16" s="6">
        <v>22747425</v>
      </c>
      <c r="B16" t="str">
        <f t="shared" si="0"/>
        <v>komorkowy</v>
      </c>
      <c r="C16">
        <f t="shared" si="1"/>
        <v>0</v>
      </c>
      <c r="D16">
        <f t="shared" si="2"/>
        <v>0</v>
      </c>
      <c r="E16" s="1">
        <v>42919</v>
      </c>
      <c r="F16" s="2">
        <v>0.37719907407407405</v>
      </c>
      <c r="G16" s="2">
        <v>0.38513888888888886</v>
      </c>
      <c r="H16" s="2">
        <f t="shared" si="3"/>
        <v>7.9398148148148162E-3</v>
      </c>
      <c r="K16" s="1"/>
    </row>
    <row r="17" spans="1:14" x14ac:dyDescent="0.25">
      <c r="A17" s="6">
        <v>96191858</v>
      </c>
      <c r="B17" t="str">
        <f t="shared" si="0"/>
        <v>komorkowy</v>
      </c>
      <c r="C17">
        <f t="shared" si="1"/>
        <v>0</v>
      </c>
      <c r="D17">
        <f t="shared" si="2"/>
        <v>0</v>
      </c>
      <c r="E17" s="1">
        <v>42919</v>
      </c>
      <c r="F17" s="2">
        <v>0.37987268518518519</v>
      </c>
      <c r="G17" s="2">
        <v>0.38802083333333331</v>
      </c>
      <c r="H17" s="2">
        <f t="shared" si="3"/>
        <v>8.1481481481481266E-3</v>
      </c>
      <c r="K17" s="1"/>
    </row>
    <row r="18" spans="1:14" x14ac:dyDescent="0.25">
      <c r="A18" s="6">
        <v>5816822</v>
      </c>
      <c r="B18" t="str">
        <f t="shared" si="0"/>
        <v>stacjonarny</v>
      </c>
      <c r="C18">
        <f t="shared" si="1"/>
        <v>0</v>
      </c>
      <c r="D18">
        <f t="shared" si="2"/>
        <v>0</v>
      </c>
      <c r="E18" s="1">
        <v>42919</v>
      </c>
      <c r="F18" s="2">
        <v>0.38123842592592594</v>
      </c>
      <c r="G18" s="2">
        <v>0.38390046296296299</v>
      </c>
      <c r="H18" s="2">
        <f t="shared" si="3"/>
        <v>2.6620370370370461E-3</v>
      </c>
      <c r="K18" s="1"/>
    </row>
    <row r="19" spans="1:14" x14ac:dyDescent="0.25">
      <c r="A19" s="6">
        <v>3352943</v>
      </c>
      <c r="B19" t="str">
        <f t="shared" si="0"/>
        <v>stacjonarny</v>
      </c>
      <c r="C19">
        <f t="shared" si="1"/>
        <v>0</v>
      </c>
      <c r="D19">
        <f t="shared" si="2"/>
        <v>0</v>
      </c>
      <c r="E19" s="1">
        <v>42919</v>
      </c>
      <c r="F19" s="2">
        <v>0.38701388888888888</v>
      </c>
      <c r="G19" s="2">
        <v>0.3943402777777778</v>
      </c>
      <c r="H19" s="2">
        <f t="shared" si="3"/>
        <v>7.3263888888889239E-3</v>
      </c>
      <c r="K19" s="1"/>
    </row>
    <row r="20" spans="1:14" x14ac:dyDescent="0.25">
      <c r="A20" s="6">
        <v>35634368</v>
      </c>
      <c r="B20" t="str">
        <f t="shared" si="0"/>
        <v>komorkowy</v>
      </c>
      <c r="C20">
        <f t="shared" si="1"/>
        <v>0</v>
      </c>
      <c r="D20">
        <f t="shared" si="2"/>
        <v>0</v>
      </c>
      <c r="E20" s="1">
        <v>42919</v>
      </c>
      <c r="F20" s="2">
        <v>0.39181712962962961</v>
      </c>
      <c r="G20" s="2">
        <v>0.40334490740740742</v>
      </c>
      <c r="H20" s="2">
        <f t="shared" si="3"/>
        <v>1.1527777777777803E-2</v>
      </c>
      <c r="K20" s="1"/>
      <c r="M20" s="4">
        <v>1</v>
      </c>
      <c r="N20">
        <v>21</v>
      </c>
    </row>
    <row r="21" spans="1:14" x14ac:dyDescent="0.25">
      <c r="A21" s="6">
        <v>8313390</v>
      </c>
      <c r="B21" t="str">
        <f t="shared" si="0"/>
        <v>stacjonarny</v>
      </c>
      <c r="C21">
        <f t="shared" si="1"/>
        <v>0</v>
      </c>
      <c r="D21">
        <f t="shared" si="2"/>
        <v>0</v>
      </c>
      <c r="E21" s="1">
        <v>42919</v>
      </c>
      <c r="F21" s="2">
        <v>0.39571759259259259</v>
      </c>
      <c r="G21" s="2">
        <v>0.39844907407407409</v>
      </c>
      <c r="H21" s="2">
        <f t="shared" si="3"/>
        <v>2.7314814814815014E-3</v>
      </c>
      <c r="K21" s="1"/>
    </row>
    <row r="22" spans="1:14" x14ac:dyDescent="0.25">
      <c r="A22" s="6">
        <v>3954712</v>
      </c>
      <c r="B22" t="str">
        <f t="shared" si="0"/>
        <v>stacjonarny</v>
      </c>
      <c r="C22">
        <f t="shared" si="1"/>
        <v>0</v>
      </c>
      <c r="D22">
        <f t="shared" si="2"/>
        <v>0</v>
      </c>
      <c r="E22" s="1">
        <v>42919</v>
      </c>
      <c r="F22" s="2">
        <v>0.39876157407407409</v>
      </c>
      <c r="G22" s="2">
        <v>0.40207175925925925</v>
      </c>
      <c r="H22" s="2">
        <f t="shared" si="3"/>
        <v>3.310185185185166E-3</v>
      </c>
      <c r="K22" s="1"/>
    </row>
    <row r="23" spans="1:14" x14ac:dyDescent="0.25">
      <c r="A23" s="6">
        <v>2109147679</v>
      </c>
      <c r="B23" t="str">
        <f t="shared" si="0"/>
        <v>zagraniczny</v>
      </c>
      <c r="C23">
        <f t="shared" si="1"/>
        <v>0</v>
      </c>
      <c r="D23">
        <f t="shared" si="2"/>
        <v>0</v>
      </c>
      <c r="E23" s="1">
        <v>42919</v>
      </c>
      <c r="F23" s="2">
        <v>0.40035879629629628</v>
      </c>
      <c r="G23" s="2">
        <v>0.41166666666666668</v>
      </c>
      <c r="H23" s="2">
        <f t="shared" si="3"/>
        <v>1.1307870370370399E-2</v>
      </c>
      <c r="K23" s="1"/>
    </row>
    <row r="24" spans="1:14" x14ac:dyDescent="0.25">
      <c r="A24" s="6">
        <v>1787732</v>
      </c>
      <c r="B24" t="str">
        <f t="shared" si="0"/>
        <v>stacjonarny</v>
      </c>
      <c r="C24">
        <f t="shared" si="1"/>
        <v>0</v>
      </c>
      <c r="D24">
        <f t="shared" si="2"/>
        <v>0</v>
      </c>
      <c r="E24" s="1">
        <v>42919</v>
      </c>
      <c r="F24" s="2">
        <v>0.4052546296296296</v>
      </c>
      <c r="G24" s="2">
        <v>0.41048611111111111</v>
      </c>
      <c r="H24" s="2">
        <f t="shared" si="3"/>
        <v>5.2314814814815036E-3</v>
      </c>
      <c r="K24" s="1"/>
    </row>
    <row r="25" spans="1:14" x14ac:dyDescent="0.25">
      <c r="A25" s="6">
        <v>7834807</v>
      </c>
      <c r="B25" t="str">
        <f t="shared" si="0"/>
        <v>stacjonarny</v>
      </c>
      <c r="C25">
        <f t="shared" si="1"/>
        <v>0</v>
      </c>
      <c r="D25">
        <f t="shared" si="2"/>
        <v>0</v>
      </c>
      <c r="E25" s="1">
        <v>42919</v>
      </c>
      <c r="F25" s="2">
        <v>0.40980324074074076</v>
      </c>
      <c r="G25" s="2">
        <v>0.41035879629629629</v>
      </c>
      <c r="H25" s="2">
        <f t="shared" si="3"/>
        <v>5.5555555555553138E-4</v>
      </c>
      <c r="K25" s="1"/>
    </row>
    <row r="26" spans="1:14" x14ac:dyDescent="0.25">
      <c r="A26" s="6">
        <v>33320202</v>
      </c>
      <c r="B26" t="str">
        <f t="shared" si="0"/>
        <v>komorkowy</v>
      </c>
      <c r="C26">
        <f t="shared" si="1"/>
        <v>0</v>
      </c>
      <c r="D26">
        <f t="shared" si="2"/>
        <v>0</v>
      </c>
      <c r="E26" s="1">
        <v>42919</v>
      </c>
      <c r="F26" s="2">
        <v>0.41506944444444444</v>
      </c>
      <c r="G26" s="2">
        <v>0.42621527777777779</v>
      </c>
      <c r="H26" s="2">
        <f t="shared" si="3"/>
        <v>1.1145833333333355E-2</v>
      </c>
      <c r="K26" s="1"/>
    </row>
    <row r="27" spans="1:14" x14ac:dyDescent="0.25">
      <c r="A27" s="6">
        <v>1488369</v>
      </c>
      <c r="B27" t="str">
        <f t="shared" si="0"/>
        <v>stacjonarny</v>
      </c>
      <c r="C27">
        <f t="shared" si="1"/>
        <v>0</v>
      </c>
      <c r="D27">
        <f t="shared" si="2"/>
        <v>0</v>
      </c>
      <c r="E27" s="1">
        <v>42919</v>
      </c>
      <c r="F27" s="2">
        <v>0.41612268518518519</v>
      </c>
      <c r="G27" s="2">
        <v>0.41756944444444444</v>
      </c>
      <c r="H27" s="2">
        <f t="shared" si="3"/>
        <v>1.4467592592592449E-3</v>
      </c>
      <c r="K27" s="1"/>
    </row>
    <row r="28" spans="1:14" x14ac:dyDescent="0.25">
      <c r="A28" s="6">
        <v>2631285</v>
      </c>
      <c r="B28" t="str">
        <f t="shared" si="0"/>
        <v>stacjonarny</v>
      </c>
      <c r="C28">
        <f t="shared" si="1"/>
        <v>0</v>
      </c>
      <c r="D28">
        <f t="shared" si="2"/>
        <v>0</v>
      </c>
      <c r="E28" s="1">
        <v>42919</v>
      </c>
      <c r="F28" s="2">
        <v>0.4176273148148148</v>
      </c>
      <c r="G28" s="2">
        <v>0.42375000000000002</v>
      </c>
      <c r="H28" s="2">
        <f t="shared" si="3"/>
        <v>6.1226851851852171E-3</v>
      </c>
      <c r="K28" s="1"/>
    </row>
    <row r="29" spans="1:14" x14ac:dyDescent="0.25">
      <c r="A29" s="6">
        <v>7415603</v>
      </c>
      <c r="B29" t="str">
        <f t="shared" si="0"/>
        <v>stacjonarny</v>
      </c>
      <c r="C29">
        <f t="shared" si="1"/>
        <v>0</v>
      </c>
      <c r="D29">
        <f t="shared" si="2"/>
        <v>0</v>
      </c>
      <c r="E29" s="1">
        <v>42919</v>
      </c>
      <c r="F29" s="2">
        <v>0.42078703703703701</v>
      </c>
      <c r="G29" s="2">
        <v>0.43216435185185187</v>
      </c>
      <c r="H29" s="2">
        <f t="shared" si="3"/>
        <v>1.1377314814814854E-2</v>
      </c>
      <c r="K29" s="1"/>
    </row>
    <row r="30" spans="1:14" x14ac:dyDescent="0.25">
      <c r="A30" s="6">
        <v>96375379</v>
      </c>
      <c r="B30" t="str">
        <f t="shared" si="0"/>
        <v>komorkowy</v>
      </c>
      <c r="C30">
        <f t="shared" si="1"/>
        <v>0</v>
      </c>
      <c r="D30">
        <f t="shared" si="2"/>
        <v>0</v>
      </c>
      <c r="E30" s="1">
        <v>42919</v>
      </c>
      <c r="F30" s="2">
        <v>0.42447916666666669</v>
      </c>
      <c r="G30" s="2">
        <v>0.42660879629629628</v>
      </c>
      <c r="H30" s="2">
        <f t="shared" si="3"/>
        <v>2.1296296296295925E-3</v>
      </c>
      <c r="K30" s="1"/>
    </row>
    <row r="31" spans="1:14" x14ac:dyDescent="0.25">
      <c r="A31" s="6">
        <v>6976431</v>
      </c>
      <c r="B31" t="str">
        <f t="shared" si="0"/>
        <v>stacjonarny</v>
      </c>
      <c r="C31">
        <f t="shared" si="1"/>
        <v>0</v>
      </c>
      <c r="D31">
        <f t="shared" si="2"/>
        <v>0</v>
      </c>
      <c r="E31" s="1">
        <v>42919</v>
      </c>
      <c r="F31" s="2">
        <v>0.4281712962962963</v>
      </c>
      <c r="G31" s="2">
        <v>0.43692129629629628</v>
      </c>
      <c r="H31" s="2">
        <f t="shared" si="3"/>
        <v>8.74999999999998E-3</v>
      </c>
      <c r="K31" s="1"/>
    </row>
    <row r="32" spans="1:14" x14ac:dyDescent="0.25">
      <c r="A32" s="6">
        <v>4093292</v>
      </c>
      <c r="B32" t="str">
        <f t="shared" si="0"/>
        <v>stacjonarny</v>
      </c>
      <c r="C32">
        <f t="shared" si="1"/>
        <v>0</v>
      </c>
      <c r="D32">
        <f t="shared" si="2"/>
        <v>0</v>
      </c>
      <c r="E32" s="1">
        <v>42919</v>
      </c>
      <c r="F32" s="2">
        <v>0.43038194444444444</v>
      </c>
      <c r="G32" s="2">
        <v>0.43494212962962964</v>
      </c>
      <c r="H32" s="2">
        <f t="shared" si="3"/>
        <v>4.5601851851851949E-3</v>
      </c>
      <c r="K32" s="1"/>
    </row>
    <row r="33" spans="1:11" x14ac:dyDescent="0.25">
      <c r="A33" s="6">
        <v>6312575</v>
      </c>
      <c r="B33" t="str">
        <f t="shared" si="0"/>
        <v>stacjonarny</v>
      </c>
      <c r="C33">
        <f t="shared" si="1"/>
        <v>0</v>
      </c>
      <c r="D33">
        <f t="shared" si="2"/>
        <v>0</v>
      </c>
      <c r="E33" s="1">
        <v>42919</v>
      </c>
      <c r="F33" s="2">
        <v>0.4309837962962963</v>
      </c>
      <c r="G33" s="2">
        <v>0.43748842592592591</v>
      </c>
      <c r="H33" s="2">
        <f t="shared" si="3"/>
        <v>6.5046296296296102E-3</v>
      </c>
      <c r="K33" s="1"/>
    </row>
    <row r="34" spans="1:11" x14ac:dyDescent="0.25">
      <c r="A34" s="6">
        <v>38535407</v>
      </c>
      <c r="B34" t="str">
        <f t="shared" si="0"/>
        <v>komorkowy</v>
      </c>
      <c r="C34">
        <f t="shared" si="1"/>
        <v>0</v>
      </c>
      <c r="D34">
        <f t="shared" si="2"/>
        <v>0</v>
      </c>
      <c r="E34" s="1">
        <v>42919</v>
      </c>
      <c r="F34" s="2">
        <v>0.43593749999999998</v>
      </c>
      <c r="G34" s="2">
        <v>0.44417824074074075</v>
      </c>
      <c r="H34" s="2">
        <f t="shared" si="3"/>
        <v>8.2407407407407707E-3</v>
      </c>
      <c r="K34" s="1"/>
    </row>
    <row r="35" spans="1:11" x14ac:dyDescent="0.25">
      <c r="A35" s="6">
        <v>38535407</v>
      </c>
      <c r="B35" t="str">
        <f t="shared" si="0"/>
        <v>komorkowy</v>
      </c>
      <c r="C35">
        <f t="shared" si="1"/>
        <v>0</v>
      </c>
      <c r="D35">
        <f t="shared" si="2"/>
        <v>0</v>
      </c>
      <c r="E35" s="1">
        <v>42919</v>
      </c>
      <c r="F35" s="2">
        <v>0.43824074074074076</v>
      </c>
      <c r="G35" s="2">
        <v>0.43913194444444442</v>
      </c>
      <c r="H35" s="2">
        <f t="shared" si="3"/>
        <v>8.9120370370365798E-4</v>
      </c>
      <c r="K35" s="1"/>
    </row>
    <row r="36" spans="1:11" x14ac:dyDescent="0.25">
      <c r="A36" s="6">
        <v>9413315</v>
      </c>
      <c r="B36" t="str">
        <f t="shared" si="0"/>
        <v>stacjonarny</v>
      </c>
      <c r="C36">
        <f t="shared" si="1"/>
        <v>0</v>
      </c>
      <c r="D36">
        <f t="shared" si="2"/>
        <v>0</v>
      </c>
      <c r="E36" s="1">
        <v>42919</v>
      </c>
      <c r="F36" s="2">
        <v>0.44313657407407409</v>
      </c>
      <c r="G36" s="2">
        <v>0.45300925925925928</v>
      </c>
      <c r="H36" s="2">
        <f t="shared" si="3"/>
        <v>9.8726851851851927E-3</v>
      </c>
      <c r="K36" s="1"/>
    </row>
    <row r="37" spans="1:11" x14ac:dyDescent="0.25">
      <c r="A37" s="6">
        <v>8514016</v>
      </c>
      <c r="B37" t="str">
        <f t="shared" si="0"/>
        <v>stacjonarny</v>
      </c>
      <c r="C37">
        <f t="shared" si="1"/>
        <v>0</v>
      </c>
      <c r="D37">
        <f t="shared" si="2"/>
        <v>0</v>
      </c>
      <c r="E37" s="1">
        <v>42919</v>
      </c>
      <c r="F37" s="2">
        <v>0.44778935185185187</v>
      </c>
      <c r="G37" s="2">
        <v>0.44998842592592592</v>
      </c>
      <c r="H37" s="2">
        <f t="shared" si="3"/>
        <v>2.1990740740740478E-3</v>
      </c>
      <c r="K37" s="1"/>
    </row>
    <row r="38" spans="1:11" x14ac:dyDescent="0.25">
      <c r="A38" s="6">
        <v>40965486</v>
      </c>
      <c r="B38" t="str">
        <f t="shared" si="0"/>
        <v>komorkowy</v>
      </c>
      <c r="C38">
        <f t="shared" si="1"/>
        <v>0</v>
      </c>
      <c r="D38">
        <f t="shared" si="2"/>
        <v>0</v>
      </c>
      <c r="E38" s="1">
        <v>42919</v>
      </c>
      <c r="F38" s="2">
        <v>0.44945601851851852</v>
      </c>
      <c r="G38" s="2">
        <v>0.46011574074074074</v>
      </c>
      <c r="H38" s="2">
        <f t="shared" si="3"/>
        <v>1.0659722222222223E-2</v>
      </c>
      <c r="K38" s="1"/>
    </row>
    <row r="39" spans="1:11" x14ac:dyDescent="0.25">
      <c r="A39" s="6">
        <v>4546455</v>
      </c>
      <c r="B39" t="str">
        <f t="shared" si="0"/>
        <v>stacjonarny</v>
      </c>
      <c r="C39">
        <f t="shared" si="1"/>
        <v>0</v>
      </c>
      <c r="D39">
        <f t="shared" si="2"/>
        <v>0</v>
      </c>
      <c r="E39" s="1">
        <v>42919</v>
      </c>
      <c r="F39" s="2">
        <v>0.45270833333333332</v>
      </c>
      <c r="G39" s="2">
        <v>0.45620370370370372</v>
      </c>
      <c r="H39" s="2">
        <f t="shared" si="3"/>
        <v>3.4953703703703987E-3</v>
      </c>
      <c r="K39" s="1"/>
    </row>
    <row r="40" spans="1:11" x14ac:dyDescent="0.25">
      <c r="A40" s="6">
        <v>1435049</v>
      </c>
      <c r="B40" t="str">
        <f t="shared" si="0"/>
        <v>stacjonarny</v>
      </c>
      <c r="C40">
        <f t="shared" si="1"/>
        <v>0</v>
      </c>
      <c r="D40">
        <f t="shared" si="2"/>
        <v>0</v>
      </c>
      <c r="E40" s="1">
        <v>42919</v>
      </c>
      <c r="F40" s="2">
        <v>0.45494212962962965</v>
      </c>
      <c r="G40" s="2">
        <v>0.45567129629629627</v>
      </c>
      <c r="H40" s="2">
        <f t="shared" si="3"/>
        <v>7.2916666666661412E-4</v>
      </c>
      <c r="K40" s="1"/>
    </row>
    <row r="41" spans="1:11" x14ac:dyDescent="0.25">
      <c r="A41" s="6">
        <v>85598139</v>
      </c>
      <c r="B41" t="str">
        <f t="shared" si="0"/>
        <v>komorkowy</v>
      </c>
      <c r="C41">
        <f t="shared" si="1"/>
        <v>0</v>
      </c>
      <c r="D41">
        <f t="shared" si="2"/>
        <v>0</v>
      </c>
      <c r="E41" s="1">
        <v>42919</v>
      </c>
      <c r="F41" s="2">
        <v>0.45608796296296295</v>
      </c>
      <c r="G41" s="2">
        <v>0.46314814814814814</v>
      </c>
      <c r="H41" s="2">
        <f t="shared" si="3"/>
        <v>7.0601851851851971E-3</v>
      </c>
      <c r="K41" s="1"/>
    </row>
    <row r="42" spans="1:11" x14ac:dyDescent="0.25">
      <c r="A42" s="6">
        <v>1787732</v>
      </c>
      <c r="B42" t="str">
        <f t="shared" si="0"/>
        <v>stacjonarny</v>
      </c>
      <c r="C42">
        <f t="shared" si="1"/>
        <v>0</v>
      </c>
      <c r="D42">
        <f t="shared" si="2"/>
        <v>0</v>
      </c>
      <c r="E42" s="1">
        <v>42919</v>
      </c>
      <c r="F42" s="2">
        <v>0.46151620370370372</v>
      </c>
      <c r="G42" s="2">
        <v>0.46546296296296297</v>
      </c>
      <c r="H42" s="2">
        <f t="shared" si="3"/>
        <v>3.9467592592592471E-3</v>
      </c>
      <c r="K42" s="1"/>
    </row>
    <row r="43" spans="1:11" x14ac:dyDescent="0.25">
      <c r="A43" s="6">
        <v>1926053</v>
      </c>
      <c r="B43" t="str">
        <f t="shared" si="0"/>
        <v>stacjonarny</v>
      </c>
      <c r="C43">
        <f t="shared" si="1"/>
        <v>0</v>
      </c>
      <c r="D43">
        <f t="shared" si="2"/>
        <v>0</v>
      </c>
      <c r="E43" s="1">
        <v>42919</v>
      </c>
      <c r="F43" s="2">
        <v>0.46155092592592595</v>
      </c>
      <c r="G43" s="2">
        <v>0.46766203703703701</v>
      </c>
      <c r="H43" s="2">
        <f t="shared" si="3"/>
        <v>6.1111111111110672E-3</v>
      </c>
      <c r="K43" s="1"/>
    </row>
    <row r="44" spans="1:11" x14ac:dyDescent="0.25">
      <c r="A44" s="6">
        <v>82949156</v>
      </c>
      <c r="B44" t="str">
        <f t="shared" si="0"/>
        <v>komorkowy</v>
      </c>
      <c r="C44">
        <f t="shared" si="1"/>
        <v>0</v>
      </c>
      <c r="D44">
        <f t="shared" si="2"/>
        <v>0</v>
      </c>
      <c r="E44" s="1">
        <v>42919</v>
      </c>
      <c r="F44" s="2">
        <v>0.46224537037037039</v>
      </c>
      <c r="G44" s="2">
        <v>0.46390046296296295</v>
      </c>
      <c r="H44" s="2">
        <f t="shared" si="3"/>
        <v>1.6550925925925553E-3</v>
      </c>
      <c r="K44" s="1"/>
    </row>
    <row r="45" spans="1:11" x14ac:dyDescent="0.25">
      <c r="A45" s="6">
        <v>73690742</v>
      </c>
      <c r="B45" t="str">
        <f t="shared" si="0"/>
        <v>komorkowy</v>
      </c>
      <c r="C45">
        <f t="shared" si="1"/>
        <v>0</v>
      </c>
      <c r="D45">
        <f t="shared" si="2"/>
        <v>0</v>
      </c>
      <c r="E45" s="1">
        <v>42919</v>
      </c>
      <c r="F45" s="2">
        <v>0.46766203703703701</v>
      </c>
      <c r="G45" s="2">
        <v>0.4767939814814815</v>
      </c>
      <c r="H45" s="2">
        <f t="shared" si="3"/>
        <v>9.1319444444444842E-3</v>
      </c>
      <c r="K45" s="1"/>
    </row>
    <row r="46" spans="1:11" x14ac:dyDescent="0.25">
      <c r="A46" s="6">
        <v>5107477025</v>
      </c>
      <c r="B46" t="str">
        <f t="shared" si="0"/>
        <v>zagraniczny</v>
      </c>
      <c r="C46">
        <f t="shared" si="1"/>
        <v>0</v>
      </c>
      <c r="D46">
        <f t="shared" si="2"/>
        <v>0</v>
      </c>
      <c r="E46" s="1">
        <v>42919</v>
      </c>
      <c r="F46" s="2">
        <v>0.47125</v>
      </c>
      <c r="G46" s="2">
        <v>0.47871527777777778</v>
      </c>
      <c r="H46" s="2">
        <f t="shared" si="3"/>
        <v>7.465277777777779E-3</v>
      </c>
      <c r="K46" s="1"/>
    </row>
    <row r="47" spans="1:11" x14ac:dyDescent="0.25">
      <c r="A47" s="6">
        <v>4787793</v>
      </c>
      <c r="B47" t="str">
        <f t="shared" si="0"/>
        <v>stacjonarny</v>
      </c>
      <c r="C47">
        <f t="shared" si="1"/>
        <v>0</v>
      </c>
      <c r="D47">
        <f t="shared" si="2"/>
        <v>0</v>
      </c>
      <c r="E47" s="1">
        <v>42919</v>
      </c>
      <c r="F47" s="2">
        <v>0.47584490740740742</v>
      </c>
      <c r="G47" s="2">
        <v>0.48518518518518516</v>
      </c>
      <c r="H47" s="2">
        <f t="shared" si="3"/>
        <v>9.340277777777739E-3</v>
      </c>
      <c r="K47" s="1"/>
    </row>
    <row r="48" spans="1:11" x14ac:dyDescent="0.25">
      <c r="A48" s="6">
        <v>79381100</v>
      </c>
      <c r="B48" t="str">
        <f t="shared" si="0"/>
        <v>komorkowy</v>
      </c>
      <c r="C48">
        <f t="shared" si="1"/>
        <v>0</v>
      </c>
      <c r="D48">
        <f t="shared" si="2"/>
        <v>0</v>
      </c>
      <c r="E48" s="1">
        <v>42919</v>
      </c>
      <c r="F48" s="2">
        <v>0.48078703703703701</v>
      </c>
      <c r="G48" s="2">
        <v>0.48550925925925925</v>
      </c>
      <c r="H48" s="2">
        <f t="shared" si="3"/>
        <v>4.7222222222222388E-3</v>
      </c>
      <c r="K48" s="1"/>
    </row>
    <row r="49" spans="1:11" x14ac:dyDescent="0.25">
      <c r="A49" s="6">
        <v>4146159</v>
      </c>
      <c r="B49" t="str">
        <f t="shared" si="0"/>
        <v>stacjonarny</v>
      </c>
      <c r="C49">
        <f t="shared" si="1"/>
        <v>0</v>
      </c>
      <c r="D49">
        <f t="shared" si="2"/>
        <v>0</v>
      </c>
      <c r="E49" s="1">
        <v>42919</v>
      </c>
      <c r="F49" s="2">
        <v>0.48123842592592592</v>
      </c>
      <c r="G49" s="2">
        <v>0.49261574074074072</v>
      </c>
      <c r="H49" s="2">
        <f t="shared" si="3"/>
        <v>1.1377314814814798E-2</v>
      </c>
      <c r="K49" s="1"/>
    </row>
    <row r="50" spans="1:11" x14ac:dyDescent="0.25">
      <c r="A50" s="6">
        <v>13484133</v>
      </c>
      <c r="B50" t="str">
        <f t="shared" si="0"/>
        <v>komorkowy</v>
      </c>
      <c r="C50">
        <f t="shared" si="1"/>
        <v>0</v>
      </c>
      <c r="D50">
        <f t="shared" si="2"/>
        <v>0</v>
      </c>
      <c r="E50" s="1">
        <v>42919</v>
      </c>
      <c r="F50" s="2">
        <v>0.48254629629629631</v>
      </c>
      <c r="G50" s="2">
        <v>0.48739583333333331</v>
      </c>
      <c r="H50" s="2">
        <f t="shared" si="3"/>
        <v>4.8495370370369995E-3</v>
      </c>
      <c r="K50" s="1"/>
    </row>
    <row r="51" spans="1:11" x14ac:dyDescent="0.25">
      <c r="A51" s="6">
        <v>4657345</v>
      </c>
      <c r="B51" t="str">
        <f t="shared" si="0"/>
        <v>stacjonarny</v>
      </c>
      <c r="C51">
        <f t="shared" si="1"/>
        <v>0</v>
      </c>
      <c r="D51">
        <f t="shared" si="2"/>
        <v>0</v>
      </c>
      <c r="E51" s="1">
        <v>42919</v>
      </c>
      <c r="F51" s="2">
        <v>0.48489583333333336</v>
      </c>
      <c r="G51" s="2">
        <v>0.48734953703703704</v>
      </c>
      <c r="H51" s="2">
        <f t="shared" si="3"/>
        <v>2.4537037037036802E-3</v>
      </c>
      <c r="K51" s="1"/>
    </row>
    <row r="52" spans="1:11" x14ac:dyDescent="0.25">
      <c r="A52" s="6">
        <v>3697935</v>
      </c>
      <c r="B52" t="str">
        <f t="shared" si="0"/>
        <v>stacjonarny</v>
      </c>
      <c r="C52">
        <f t="shared" si="1"/>
        <v>0</v>
      </c>
      <c r="D52">
        <f t="shared" si="2"/>
        <v>0</v>
      </c>
      <c r="E52" s="1">
        <v>42919</v>
      </c>
      <c r="F52" s="2">
        <v>0.49054398148148148</v>
      </c>
      <c r="G52" s="2">
        <v>0.49251157407407409</v>
      </c>
      <c r="H52" s="2">
        <f t="shared" si="3"/>
        <v>1.9675925925926041E-3</v>
      </c>
      <c r="K52" s="1"/>
    </row>
    <row r="53" spans="1:11" x14ac:dyDescent="0.25">
      <c r="A53" s="6">
        <v>2668991</v>
      </c>
      <c r="B53" t="str">
        <f t="shared" si="0"/>
        <v>stacjonarny</v>
      </c>
      <c r="C53">
        <f t="shared" si="1"/>
        <v>0</v>
      </c>
      <c r="D53">
        <f t="shared" si="2"/>
        <v>0</v>
      </c>
      <c r="E53" s="1">
        <v>42919</v>
      </c>
      <c r="F53" s="2">
        <v>0.49284722222222221</v>
      </c>
      <c r="G53" s="2">
        <v>0.50354166666666667</v>
      </c>
      <c r="H53" s="2">
        <f t="shared" si="3"/>
        <v>1.0694444444444451E-2</v>
      </c>
      <c r="K53" s="1"/>
    </row>
    <row r="54" spans="1:11" x14ac:dyDescent="0.25">
      <c r="A54" s="6">
        <v>3520189</v>
      </c>
      <c r="B54" t="str">
        <f t="shared" si="0"/>
        <v>stacjonarny</v>
      </c>
      <c r="C54">
        <f t="shared" si="1"/>
        <v>0</v>
      </c>
      <c r="D54">
        <f t="shared" si="2"/>
        <v>0</v>
      </c>
      <c r="E54" s="1">
        <v>42919</v>
      </c>
      <c r="F54" s="2">
        <v>0.49862268518518521</v>
      </c>
      <c r="G54" s="2">
        <v>0.50287037037037041</v>
      </c>
      <c r="H54" s="2">
        <f t="shared" si="3"/>
        <v>4.2476851851852016E-3</v>
      </c>
      <c r="K54" s="1"/>
    </row>
    <row r="55" spans="1:11" x14ac:dyDescent="0.25">
      <c r="A55" s="6">
        <v>4546455</v>
      </c>
      <c r="B55" t="str">
        <f t="shared" si="0"/>
        <v>stacjonarny</v>
      </c>
      <c r="C55">
        <f t="shared" si="1"/>
        <v>0</v>
      </c>
      <c r="D55">
        <f t="shared" si="2"/>
        <v>0</v>
      </c>
      <c r="E55" s="1">
        <v>42919</v>
      </c>
      <c r="F55" s="2">
        <v>0.50089120370370366</v>
      </c>
      <c r="G55" s="2">
        <v>0.50876157407407407</v>
      </c>
      <c r="H55" s="2">
        <f t="shared" si="3"/>
        <v>7.8703703703704164E-3</v>
      </c>
      <c r="K55" s="1"/>
    </row>
    <row r="56" spans="1:11" x14ac:dyDescent="0.25">
      <c r="A56" s="6">
        <v>3897347</v>
      </c>
      <c r="B56" t="str">
        <f t="shared" si="0"/>
        <v>stacjonarny</v>
      </c>
      <c r="C56">
        <f t="shared" si="1"/>
        <v>0</v>
      </c>
      <c r="D56">
        <f t="shared" si="2"/>
        <v>0</v>
      </c>
      <c r="E56" s="1">
        <v>42919</v>
      </c>
      <c r="F56" s="2">
        <v>0.50549768518518523</v>
      </c>
      <c r="G56" s="2">
        <v>0.5100231481481482</v>
      </c>
      <c r="H56" s="2">
        <f t="shared" si="3"/>
        <v>4.5254629629629672E-3</v>
      </c>
      <c r="K56" s="1"/>
    </row>
    <row r="57" spans="1:11" x14ac:dyDescent="0.25">
      <c r="A57" s="6">
        <v>1867016</v>
      </c>
      <c r="B57" t="str">
        <f t="shared" si="0"/>
        <v>stacjonarny</v>
      </c>
      <c r="C57">
        <f t="shared" si="1"/>
        <v>0</v>
      </c>
      <c r="D57">
        <f t="shared" si="2"/>
        <v>0</v>
      </c>
      <c r="E57" s="1">
        <v>42919</v>
      </c>
      <c r="F57" s="2">
        <v>0.50910879629629635</v>
      </c>
      <c r="G57" s="2">
        <v>0.50930555555555557</v>
      </c>
      <c r="H57" s="2">
        <f t="shared" si="3"/>
        <v>1.96759259259216E-4</v>
      </c>
      <c r="K57" s="1"/>
    </row>
    <row r="58" spans="1:11" x14ac:dyDescent="0.25">
      <c r="A58" s="6">
        <v>96949751</v>
      </c>
      <c r="B58" t="str">
        <f t="shared" si="0"/>
        <v>komorkowy</v>
      </c>
      <c r="C58">
        <f t="shared" si="1"/>
        <v>0</v>
      </c>
      <c r="D58">
        <f t="shared" si="2"/>
        <v>0</v>
      </c>
      <c r="E58" s="1">
        <v>42919</v>
      </c>
      <c r="F58" s="2">
        <v>0.51262731481481483</v>
      </c>
      <c r="G58" s="2">
        <v>0.5142592592592593</v>
      </c>
      <c r="H58" s="2">
        <f t="shared" si="3"/>
        <v>1.6319444444444775E-3</v>
      </c>
      <c r="K58" s="1"/>
    </row>
    <row r="59" spans="1:11" x14ac:dyDescent="0.25">
      <c r="A59" s="6">
        <v>81613163</v>
      </c>
      <c r="B59" t="str">
        <f t="shared" si="0"/>
        <v>komorkowy</v>
      </c>
      <c r="C59">
        <f t="shared" si="1"/>
        <v>0</v>
      </c>
      <c r="D59">
        <f t="shared" si="2"/>
        <v>0</v>
      </c>
      <c r="E59" s="1">
        <v>42919</v>
      </c>
      <c r="F59" s="2">
        <v>0.5175925925925926</v>
      </c>
      <c r="G59" s="2">
        <v>0.52021990740740742</v>
      </c>
      <c r="H59" s="2">
        <f t="shared" si="3"/>
        <v>2.6273148148148184E-3</v>
      </c>
      <c r="K59" s="1"/>
    </row>
    <row r="60" spans="1:11" x14ac:dyDescent="0.25">
      <c r="A60" s="6">
        <v>4250194</v>
      </c>
      <c r="B60" t="str">
        <f t="shared" si="0"/>
        <v>stacjonarny</v>
      </c>
      <c r="C60">
        <f t="shared" si="1"/>
        <v>0</v>
      </c>
      <c r="D60">
        <f t="shared" si="2"/>
        <v>0</v>
      </c>
      <c r="E60" s="1">
        <v>42919</v>
      </c>
      <c r="F60" s="2">
        <v>0.52217592592592588</v>
      </c>
      <c r="G60" s="2">
        <v>0.52918981481481486</v>
      </c>
      <c r="H60" s="2">
        <f t="shared" si="3"/>
        <v>7.0138888888889861E-3</v>
      </c>
      <c r="K60" s="1"/>
    </row>
    <row r="61" spans="1:11" x14ac:dyDescent="0.25">
      <c r="A61" s="6">
        <v>6050344</v>
      </c>
      <c r="B61" t="str">
        <f t="shared" si="0"/>
        <v>stacjonarny</v>
      </c>
      <c r="C61">
        <f t="shared" si="1"/>
        <v>0</v>
      </c>
      <c r="D61">
        <f t="shared" si="2"/>
        <v>0</v>
      </c>
      <c r="E61" s="1">
        <v>42919</v>
      </c>
      <c r="F61" s="2">
        <v>0.52444444444444449</v>
      </c>
      <c r="G61" s="2">
        <v>0.52681712962962968</v>
      </c>
      <c r="H61" s="2">
        <f t="shared" si="3"/>
        <v>2.372685185185186E-3</v>
      </c>
      <c r="K61" s="1"/>
    </row>
    <row r="62" spans="1:11" x14ac:dyDescent="0.25">
      <c r="A62" s="6">
        <v>4546455</v>
      </c>
      <c r="B62" t="str">
        <f t="shared" si="0"/>
        <v>stacjonarny</v>
      </c>
      <c r="C62">
        <f t="shared" si="1"/>
        <v>0</v>
      </c>
      <c r="D62">
        <f t="shared" si="2"/>
        <v>0</v>
      </c>
      <c r="E62" s="1">
        <v>42919</v>
      </c>
      <c r="F62" s="2">
        <v>0.5258680555555556</v>
      </c>
      <c r="G62" s="2">
        <v>0.53531249999999997</v>
      </c>
      <c r="H62" s="2">
        <f t="shared" si="3"/>
        <v>9.4444444444443665E-3</v>
      </c>
      <c r="K62" s="1"/>
    </row>
    <row r="63" spans="1:11" x14ac:dyDescent="0.25">
      <c r="A63" s="6">
        <v>7727942</v>
      </c>
      <c r="B63" t="str">
        <f t="shared" si="0"/>
        <v>stacjonarny</v>
      </c>
      <c r="C63">
        <f t="shared" si="1"/>
        <v>0</v>
      </c>
      <c r="D63">
        <f t="shared" si="2"/>
        <v>0</v>
      </c>
      <c r="E63" s="1">
        <v>42919</v>
      </c>
      <c r="F63" s="2">
        <v>0.53013888888888894</v>
      </c>
      <c r="G63" s="2">
        <v>0.53707175925925921</v>
      </c>
      <c r="H63" s="2">
        <f t="shared" si="3"/>
        <v>6.9328703703702699E-3</v>
      </c>
      <c r="K63" s="1"/>
    </row>
    <row r="64" spans="1:11" x14ac:dyDescent="0.25">
      <c r="A64" s="6">
        <v>8249721</v>
      </c>
      <c r="B64" t="str">
        <f t="shared" si="0"/>
        <v>stacjonarny</v>
      </c>
      <c r="C64">
        <f t="shared" si="1"/>
        <v>0</v>
      </c>
      <c r="D64">
        <f t="shared" si="2"/>
        <v>0</v>
      </c>
      <c r="E64" s="1">
        <v>42919</v>
      </c>
      <c r="F64" s="2">
        <v>0.53486111111111112</v>
      </c>
      <c r="G64" s="2">
        <v>0.53756944444444443</v>
      </c>
      <c r="H64" s="2">
        <f t="shared" si="3"/>
        <v>2.7083333333333126E-3</v>
      </c>
      <c r="K64" s="1"/>
    </row>
    <row r="65" spans="1:11" x14ac:dyDescent="0.25">
      <c r="A65" s="6">
        <v>6894270</v>
      </c>
      <c r="B65" t="str">
        <f t="shared" si="0"/>
        <v>stacjonarny</v>
      </c>
      <c r="C65">
        <f t="shared" si="1"/>
        <v>0</v>
      </c>
      <c r="D65">
        <f t="shared" si="2"/>
        <v>0</v>
      </c>
      <c r="E65" s="1">
        <v>42919</v>
      </c>
      <c r="F65" s="2">
        <v>0.53488425925925931</v>
      </c>
      <c r="G65" s="2">
        <v>0.53523148148148147</v>
      </c>
      <c r="H65" s="2">
        <f t="shared" si="3"/>
        <v>3.4722222222216548E-4</v>
      </c>
      <c r="K65" s="1"/>
    </row>
    <row r="66" spans="1:11" x14ac:dyDescent="0.25">
      <c r="A66" s="6">
        <v>3095218</v>
      </c>
      <c r="B66" t="str">
        <f t="shared" ref="B66:B129" si="4">IF(LEN(A66)=7, "stacjonarny", IF(LEN(A66)=8, "komorkowy", "zagraniczny"))</f>
        <v>stacjonarny</v>
      </c>
      <c r="C66">
        <f t="shared" si="1"/>
        <v>0</v>
      </c>
      <c r="D66">
        <f t="shared" si="2"/>
        <v>0</v>
      </c>
      <c r="E66" s="1">
        <v>42919</v>
      </c>
      <c r="F66" s="2">
        <v>0.5358680555555555</v>
      </c>
      <c r="G66" s="2">
        <v>0.54329861111111111</v>
      </c>
      <c r="H66" s="2">
        <f t="shared" si="3"/>
        <v>7.4305555555556069E-3</v>
      </c>
      <c r="K66" s="1"/>
    </row>
    <row r="67" spans="1:11" x14ac:dyDescent="0.25">
      <c r="A67" s="6">
        <v>45081794</v>
      </c>
      <c r="B67" t="str">
        <f t="shared" si="4"/>
        <v>komorkowy</v>
      </c>
      <c r="C67">
        <f t="shared" ref="C67:C130" si="5">IF(LEFT(A67,2)="12",1,0)</f>
        <v>0</v>
      </c>
      <c r="D67">
        <f t="shared" ref="D67:D130" si="6">IF(AND(C67=1,B67="stacjonarny"),1,0)</f>
        <v>0</v>
      </c>
      <c r="E67" s="1">
        <v>42919</v>
      </c>
      <c r="F67" s="2">
        <v>0.54016203703703702</v>
      </c>
      <c r="G67" s="2">
        <v>0.54297453703703702</v>
      </c>
      <c r="H67" s="2">
        <f t="shared" ref="H67:H130" si="7">G67-F67</f>
        <v>2.8124999999999956E-3</v>
      </c>
      <c r="K67" s="1"/>
    </row>
    <row r="68" spans="1:11" x14ac:dyDescent="0.25">
      <c r="A68" s="6">
        <v>3533271</v>
      </c>
      <c r="B68" t="str">
        <f t="shared" si="4"/>
        <v>stacjonarny</v>
      </c>
      <c r="C68">
        <f t="shared" si="5"/>
        <v>0</v>
      </c>
      <c r="D68">
        <f t="shared" si="6"/>
        <v>0</v>
      </c>
      <c r="E68" s="1">
        <v>42919</v>
      </c>
      <c r="F68" s="2">
        <v>0.54280092592592588</v>
      </c>
      <c r="G68" s="2">
        <v>0.54478009259259264</v>
      </c>
      <c r="H68" s="2">
        <f t="shared" si="7"/>
        <v>1.979166666666754E-3</v>
      </c>
      <c r="K68" s="1"/>
    </row>
    <row r="69" spans="1:11" x14ac:dyDescent="0.25">
      <c r="A69" s="6">
        <v>7415603</v>
      </c>
      <c r="B69" t="str">
        <f t="shared" si="4"/>
        <v>stacjonarny</v>
      </c>
      <c r="C69">
        <f t="shared" si="5"/>
        <v>0</v>
      </c>
      <c r="D69">
        <f t="shared" si="6"/>
        <v>0</v>
      </c>
      <c r="E69" s="1">
        <v>42919</v>
      </c>
      <c r="F69" s="2">
        <v>0.54848379629629629</v>
      </c>
      <c r="G69" s="2">
        <v>0.5578819444444445</v>
      </c>
      <c r="H69" s="2">
        <f t="shared" si="7"/>
        <v>9.398148148148211E-3</v>
      </c>
      <c r="K69" s="1"/>
    </row>
    <row r="70" spans="1:11" x14ac:dyDescent="0.25">
      <c r="A70" s="6">
        <v>9088452</v>
      </c>
      <c r="B70" t="str">
        <f t="shared" si="4"/>
        <v>stacjonarny</v>
      </c>
      <c r="C70">
        <f t="shared" si="5"/>
        <v>0</v>
      </c>
      <c r="D70">
        <f t="shared" si="6"/>
        <v>0</v>
      </c>
      <c r="E70" s="1">
        <v>42919</v>
      </c>
      <c r="F70" s="2">
        <v>0.55283564814814812</v>
      </c>
      <c r="G70" s="2">
        <v>0.55756944444444445</v>
      </c>
      <c r="H70" s="2">
        <f t="shared" si="7"/>
        <v>4.7337962962963331E-3</v>
      </c>
      <c r="K70" s="1"/>
    </row>
    <row r="71" spans="1:11" x14ac:dyDescent="0.25">
      <c r="A71" s="6">
        <v>3379401</v>
      </c>
      <c r="B71" t="str">
        <f t="shared" si="4"/>
        <v>stacjonarny</v>
      </c>
      <c r="C71">
        <f t="shared" si="5"/>
        <v>0</v>
      </c>
      <c r="D71">
        <f t="shared" si="6"/>
        <v>0</v>
      </c>
      <c r="E71" s="1">
        <v>42919</v>
      </c>
      <c r="F71" s="2">
        <v>0.55576388888888884</v>
      </c>
      <c r="G71" s="2">
        <v>0.56342592592592589</v>
      </c>
      <c r="H71" s="2">
        <f t="shared" si="7"/>
        <v>7.6620370370370505E-3</v>
      </c>
      <c r="K71" s="1"/>
    </row>
    <row r="72" spans="1:11" x14ac:dyDescent="0.25">
      <c r="A72" s="6">
        <v>73350537</v>
      </c>
      <c r="B72" t="str">
        <f t="shared" si="4"/>
        <v>komorkowy</v>
      </c>
      <c r="C72">
        <f t="shared" si="5"/>
        <v>0</v>
      </c>
      <c r="D72">
        <f t="shared" si="6"/>
        <v>0</v>
      </c>
      <c r="E72" s="1">
        <v>42919</v>
      </c>
      <c r="F72" s="2">
        <v>0.55722222222222217</v>
      </c>
      <c r="G72" s="2">
        <v>0.55787037037037035</v>
      </c>
      <c r="H72" s="2">
        <f t="shared" si="7"/>
        <v>6.4814814814817545E-4</v>
      </c>
      <c r="K72" s="1"/>
    </row>
    <row r="73" spans="1:11" x14ac:dyDescent="0.25">
      <c r="A73" s="6">
        <v>83707586</v>
      </c>
      <c r="B73" t="str">
        <f t="shared" si="4"/>
        <v>komorkowy</v>
      </c>
      <c r="C73">
        <f t="shared" si="5"/>
        <v>0</v>
      </c>
      <c r="D73">
        <f t="shared" si="6"/>
        <v>0</v>
      </c>
      <c r="E73" s="1">
        <v>42919</v>
      </c>
      <c r="F73" s="2">
        <v>0.55803240740740745</v>
      </c>
      <c r="G73" s="2">
        <v>0.56174768518518514</v>
      </c>
      <c r="H73" s="2">
        <f t="shared" si="7"/>
        <v>3.7152777777776924E-3</v>
      </c>
      <c r="K73" s="1"/>
    </row>
    <row r="74" spans="1:11" x14ac:dyDescent="0.25">
      <c r="A74" s="6">
        <v>5107477025</v>
      </c>
      <c r="B74" t="str">
        <f t="shared" si="4"/>
        <v>zagraniczny</v>
      </c>
      <c r="C74">
        <f t="shared" si="5"/>
        <v>0</v>
      </c>
      <c r="D74">
        <f t="shared" si="6"/>
        <v>0</v>
      </c>
      <c r="E74" s="1">
        <v>42919</v>
      </c>
      <c r="F74" s="2">
        <v>0.55888888888888888</v>
      </c>
      <c r="G74" s="2">
        <v>0.56745370370370374</v>
      </c>
      <c r="H74" s="2">
        <f t="shared" si="7"/>
        <v>8.5648148148148584E-3</v>
      </c>
      <c r="K74" s="1"/>
    </row>
    <row r="75" spans="1:11" x14ac:dyDescent="0.25">
      <c r="A75" s="6">
        <v>1480206</v>
      </c>
      <c r="B75" t="str">
        <f t="shared" si="4"/>
        <v>stacjonarny</v>
      </c>
      <c r="C75">
        <f t="shared" si="5"/>
        <v>0</v>
      </c>
      <c r="D75">
        <f t="shared" si="6"/>
        <v>0</v>
      </c>
      <c r="E75" s="1">
        <v>42919</v>
      </c>
      <c r="F75" s="2">
        <v>0.5645486111111111</v>
      </c>
      <c r="G75" s="2">
        <v>0.56458333333333333</v>
      </c>
      <c r="H75" s="2">
        <f t="shared" si="7"/>
        <v>3.472222222222765E-5</v>
      </c>
      <c r="K75" s="1"/>
    </row>
    <row r="76" spans="1:11" x14ac:dyDescent="0.25">
      <c r="A76" s="6">
        <v>3095218</v>
      </c>
      <c r="B76" t="str">
        <f t="shared" si="4"/>
        <v>stacjonarny</v>
      </c>
      <c r="C76">
        <f t="shared" si="5"/>
        <v>0</v>
      </c>
      <c r="D76">
        <f t="shared" si="6"/>
        <v>0</v>
      </c>
      <c r="E76" s="1">
        <v>42919</v>
      </c>
      <c r="F76" s="2">
        <v>0.56555555555555559</v>
      </c>
      <c r="G76" s="2">
        <v>0.56557870370370367</v>
      </c>
      <c r="H76" s="2">
        <f t="shared" si="7"/>
        <v>2.3148148148077752E-5</v>
      </c>
      <c r="K76" s="1"/>
    </row>
    <row r="77" spans="1:11" x14ac:dyDescent="0.25">
      <c r="A77" s="6">
        <v>2028923</v>
      </c>
      <c r="B77" t="str">
        <f t="shared" si="4"/>
        <v>stacjonarny</v>
      </c>
      <c r="C77">
        <f t="shared" si="5"/>
        <v>0</v>
      </c>
      <c r="D77">
        <f t="shared" si="6"/>
        <v>0</v>
      </c>
      <c r="E77" s="1">
        <v>42919</v>
      </c>
      <c r="F77" s="2">
        <v>0.56800925925925927</v>
      </c>
      <c r="G77" s="2">
        <v>0.57093749999999999</v>
      </c>
      <c r="H77" s="2">
        <f t="shared" si="7"/>
        <v>2.9282407407407174E-3</v>
      </c>
      <c r="K77" s="1"/>
    </row>
    <row r="78" spans="1:11" x14ac:dyDescent="0.25">
      <c r="A78" s="6">
        <v>81880891</v>
      </c>
      <c r="B78" t="str">
        <f t="shared" si="4"/>
        <v>komorkowy</v>
      </c>
      <c r="C78">
        <f t="shared" si="5"/>
        <v>0</v>
      </c>
      <c r="D78">
        <f t="shared" si="6"/>
        <v>0</v>
      </c>
      <c r="E78" s="1">
        <v>42919</v>
      </c>
      <c r="F78" s="2">
        <v>0.57141203703703702</v>
      </c>
      <c r="G78" s="2">
        <v>0.57547453703703699</v>
      </c>
      <c r="H78" s="2">
        <f t="shared" si="7"/>
        <v>4.0624999999999689E-3</v>
      </c>
      <c r="K78" s="1"/>
    </row>
    <row r="79" spans="1:11" x14ac:dyDescent="0.25">
      <c r="A79" s="6">
        <v>4274149</v>
      </c>
      <c r="B79" t="str">
        <f t="shared" si="4"/>
        <v>stacjonarny</v>
      </c>
      <c r="C79">
        <f t="shared" si="5"/>
        <v>0</v>
      </c>
      <c r="D79">
        <f t="shared" si="6"/>
        <v>0</v>
      </c>
      <c r="E79" s="1">
        <v>42919</v>
      </c>
      <c r="F79" s="2">
        <v>0.5717592592592593</v>
      </c>
      <c r="G79" s="2">
        <v>0.58065972222222217</v>
      </c>
      <c r="H79" s="2">
        <f t="shared" si="7"/>
        <v>8.900462962962874E-3</v>
      </c>
      <c r="K79" s="1"/>
    </row>
    <row r="80" spans="1:11" x14ac:dyDescent="0.25">
      <c r="A80" s="6">
        <v>3505978</v>
      </c>
      <c r="B80" t="str">
        <f t="shared" si="4"/>
        <v>stacjonarny</v>
      </c>
      <c r="C80">
        <f t="shared" si="5"/>
        <v>0</v>
      </c>
      <c r="D80">
        <f t="shared" si="6"/>
        <v>0</v>
      </c>
      <c r="E80" s="1">
        <v>42919</v>
      </c>
      <c r="F80" s="2">
        <v>0.57642361111111107</v>
      </c>
      <c r="G80" s="2">
        <v>0.5799305555555555</v>
      </c>
      <c r="H80" s="2">
        <f t="shared" si="7"/>
        <v>3.5069444444444375E-3</v>
      </c>
      <c r="K80" s="1"/>
    </row>
    <row r="81" spans="1:11" x14ac:dyDescent="0.25">
      <c r="A81" s="6">
        <v>8504601</v>
      </c>
      <c r="B81" t="str">
        <f t="shared" si="4"/>
        <v>stacjonarny</v>
      </c>
      <c r="C81">
        <f t="shared" si="5"/>
        <v>0</v>
      </c>
      <c r="D81">
        <f t="shared" si="6"/>
        <v>0</v>
      </c>
      <c r="E81" s="1">
        <v>42919</v>
      </c>
      <c r="F81" s="2">
        <v>0.57958333333333334</v>
      </c>
      <c r="G81" s="2">
        <v>0.58056712962962964</v>
      </c>
      <c r="H81" s="2">
        <f t="shared" si="7"/>
        <v>9.8379629629630205E-4</v>
      </c>
      <c r="K81" s="1"/>
    </row>
    <row r="82" spans="1:11" x14ac:dyDescent="0.25">
      <c r="A82" s="6">
        <v>8214927</v>
      </c>
      <c r="B82" t="str">
        <f t="shared" si="4"/>
        <v>stacjonarny</v>
      </c>
      <c r="C82">
        <f t="shared" si="5"/>
        <v>0</v>
      </c>
      <c r="D82">
        <f t="shared" si="6"/>
        <v>0</v>
      </c>
      <c r="E82" s="1">
        <v>42919</v>
      </c>
      <c r="F82" s="2">
        <v>0.5819212962962963</v>
      </c>
      <c r="G82" s="2">
        <v>0.59106481481481477</v>
      </c>
      <c r="H82" s="2">
        <f t="shared" si="7"/>
        <v>9.1435185185184675E-3</v>
      </c>
      <c r="K82" s="1"/>
    </row>
    <row r="83" spans="1:11" x14ac:dyDescent="0.25">
      <c r="A83" s="6">
        <v>5913547</v>
      </c>
      <c r="B83" t="str">
        <f t="shared" si="4"/>
        <v>stacjonarny</v>
      </c>
      <c r="C83">
        <f t="shared" si="5"/>
        <v>0</v>
      </c>
      <c r="D83">
        <f t="shared" si="6"/>
        <v>0</v>
      </c>
      <c r="E83" s="1">
        <v>42919</v>
      </c>
      <c r="F83" s="2">
        <v>0.58414351851851853</v>
      </c>
      <c r="G83" s="2">
        <v>0.5861574074074074</v>
      </c>
      <c r="H83" s="2">
        <f t="shared" si="7"/>
        <v>2.0138888888888706E-3</v>
      </c>
      <c r="K83" s="1"/>
    </row>
    <row r="84" spans="1:11" x14ac:dyDescent="0.25">
      <c r="A84" s="6">
        <v>3505978</v>
      </c>
      <c r="B84" t="str">
        <f t="shared" si="4"/>
        <v>stacjonarny</v>
      </c>
      <c r="C84">
        <f t="shared" si="5"/>
        <v>0</v>
      </c>
      <c r="D84">
        <f t="shared" si="6"/>
        <v>0</v>
      </c>
      <c r="E84" s="1">
        <v>42919</v>
      </c>
      <c r="F84" s="2">
        <v>0.58699074074074076</v>
      </c>
      <c r="G84" s="2">
        <v>0.59060185185185188</v>
      </c>
      <c r="H84" s="2">
        <f t="shared" si="7"/>
        <v>3.6111111111111205E-3</v>
      </c>
      <c r="K84" s="1"/>
    </row>
    <row r="85" spans="1:11" x14ac:dyDescent="0.25">
      <c r="A85" s="6">
        <v>14783929</v>
      </c>
      <c r="B85" t="str">
        <f t="shared" si="4"/>
        <v>komorkowy</v>
      </c>
      <c r="C85">
        <f t="shared" si="5"/>
        <v>0</v>
      </c>
      <c r="D85">
        <f t="shared" si="6"/>
        <v>0</v>
      </c>
      <c r="E85" s="1">
        <v>42919</v>
      </c>
      <c r="F85" s="2">
        <v>0.5902546296296296</v>
      </c>
      <c r="G85" s="2">
        <v>0.59516203703703707</v>
      </c>
      <c r="H85" s="2">
        <f t="shared" si="7"/>
        <v>4.9074074074074714E-3</v>
      </c>
      <c r="K85" s="1"/>
    </row>
    <row r="86" spans="1:11" x14ac:dyDescent="0.25">
      <c r="A86" s="6">
        <v>2915745</v>
      </c>
      <c r="B86" t="str">
        <f t="shared" si="4"/>
        <v>stacjonarny</v>
      </c>
      <c r="C86">
        <f t="shared" si="5"/>
        <v>0</v>
      </c>
      <c r="D86">
        <f t="shared" si="6"/>
        <v>0</v>
      </c>
      <c r="E86" s="1">
        <v>42919</v>
      </c>
      <c r="F86" s="2">
        <v>0.59324074074074074</v>
      </c>
      <c r="G86" s="2">
        <v>0.6029282407407407</v>
      </c>
      <c r="H86" s="2">
        <f t="shared" si="7"/>
        <v>9.68749999999996E-3</v>
      </c>
      <c r="K86" s="1"/>
    </row>
    <row r="87" spans="1:11" x14ac:dyDescent="0.25">
      <c r="A87" s="6">
        <v>1100142</v>
      </c>
      <c r="B87" t="str">
        <f t="shared" si="4"/>
        <v>stacjonarny</v>
      </c>
      <c r="C87">
        <f t="shared" si="5"/>
        <v>0</v>
      </c>
      <c r="D87">
        <f t="shared" si="6"/>
        <v>0</v>
      </c>
      <c r="E87" s="1">
        <v>42919</v>
      </c>
      <c r="F87" s="2">
        <v>0.59710648148148149</v>
      </c>
      <c r="G87" s="2">
        <v>0.6003356481481481</v>
      </c>
      <c r="H87" s="2">
        <f t="shared" si="7"/>
        <v>3.2291666666666163E-3</v>
      </c>
      <c r="K87" s="1"/>
    </row>
    <row r="88" spans="1:11" x14ac:dyDescent="0.25">
      <c r="A88" s="6">
        <v>7795911</v>
      </c>
      <c r="B88" t="str">
        <f t="shared" si="4"/>
        <v>stacjonarny</v>
      </c>
      <c r="C88">
        <f t="shared" si="5"/>
        <v>0</v>
      </c>
      <c r="D88">
        <f t="shared" si="6"/>
        <v>0</v>
      </c>
      <c r="E88" s="1">
        <v>42919</v>
      </c>
      <c r="F88" s="2">
        <v>0.60196759259259258</v>
      </c>
      <c r="G88" s="2">
        <v>0.61259259259259258</v>
      </c>
      <c r="H88" s="2">
        <f t="shared" si="7"/>
        <v>1.0624999999999996E-2</v>
      </c>
      <c r="K88" s="1"/>
    </row>
    <row r="89" spans="1:11" x14ac:dyDescent="0.25">
      <c r="A89" s="6">
        <v>1709455</v>
      </c>
      <c r="B89" t="str">
        <f t="shared" si="4"/>
        <v>stacjonarny</v>
      </c>
      <c r="C89">
        <f t="shared" si="5"/>
        <v>0</v>
      </c>
      <c r="D89">
        <f t="shared" si="6"/>
        <v>0</v>
      </c>
      <c r="E89" s="1">
        <v>42919</v>
      </c>
      <c r="F89" s="2">
        <v>0.60313657407407406</v>
      </c>
      <c r="G89" s="2">
        <v>0.60765046296296299</v>
      </c>
      <c r="H89" s="2">
        <f t="shared" si="7"/>
        <v>4.5138888888889284E-3</v>
      </c>
      <c r="K89" s="1"/>
    </row>
    <row r="90" spans="1:11" x14ac:dyDescent="0.25">
      <c r="A90" s="6">
        <v>54586484</v>
      </c>
      <c r="B90" t="str">
        <f t="shared" si="4"/>
        <v>komorkowy</v>
      </c>
      <c r="C90">
        <f t="shared" si="5"/>
        <v>0</v>
      </c>
      <c r="D90">
        <f t="shared" si="6"/>
        <v>0</v>
      </c>
      <c r="E90" s="1">
        <v>42919</v>
      </c>
      <c r="F90" s="2">
        <v>0.60753472222222227</v>
      </c>
      <c r="G90" s="2">
        <v>0.61120370370370369</v>
      </c>
      <c r="H90" s="2">
        <f t="shared" si="7"/>
        <v>3.6689814814814259E-3</v>
      </c>
      <c r="K90" s="1"/>
    </row>
    <row r="91" spans="1:11" x14ac:dyDescent="0.25">
      <c r="A91" s="6">
        <v>6674505</v>
      </c>
      <c r="B91" t="str">
        <f t="shared" si="4"/>
        <v>stacjonarny</v>
      </c>
      <c r="C91">
        <f t="shared" si="5"/>
        <v>0</v>
      </c>
      <c r="D91">
        <f t="shared" si="6"/>
        <v>0</v>
      </c>
      <c r="E91" s="1">
        <v>42919</v>
      </c>
      <c r="F91" s="2">
        <v>0.61243055555555559</v>
      </c>
      <c r="G91" s="2">
        <v>0.62267361111111108</v>
      </c>
      <c r="H91" s="2">
        <f t="shared" si="7"/>
        <v>1.0243055555555491E-2</v>
      </c>
      <c r="K91" s="1"/>
    </row>
    <row r="92" spans="1:11" x14ac:dyDescent="0.25">
      <c r="A92" s="6">
        <v>6920814</v>
      </c>
      <c r="B92" t="str">
        <f t="shared" si="4"/>
        <v>stacjonarny</v>
      </c>
      <c r="C92">
        <f t="shared" si="5"/>
        <v>0</v>
      </c>
      <c r="D92">
        <f t="shared" si="6"/>
        <v>0</v>
      </c>
      <c r="E92" s="1">
        <v>42919</v>
      </c>
      <c r="F92" s="2">
        <v>0.6141550925925926</v>
      </c>
      <c r="G92" s="2">
        <v>0.61440972222222223</v>
      </c>
      <c r="H92" s="2">
        <f t="shared" si="7"/>
        <v>2.5462962962963243E-4</v>
      </c>
      <c r="K92" s="1"/>
    </row>
    <row r="93" spans="1:11" x14ac:dyDescent="0.25">
      <c r="A93" s="6">
        <v>6161675</v>
      </c>
      <c r="B93" t="str">
        <f t="shared" si="4"/>
        <v>stacjonarny</v>
      </c>
      <c r="C93">
        <f t="shared" si="5"/>
        <v>0</v>
      </c>
      <c r="D93">
        <f t="shared" si="6"/>
        <v>0</v>
      </c>
      <c r="E93" s="1">
        <v>42919</v>
      </c>
      <c r="F93" s="2">
        <v>0.61449074074074073</v>
      </c>
      <c r="G93" s="2">
        <v>0.62415509259259261</v>
      </c>
      <c r="H93" s="2">
        <f t="shared" si="7"/>
        <v>9.6643518518518823E-3</v>
      </c>
      <c r="K93" s="1"/>
    </row>
    <row r="94" spans="1:11" x14ac:dyDescent="0.25">
      <c r="A94" s="6">
        <v>8498076</v>
      </c>
      <c r="B94" t="str">
        <f t="shared" si="4"/>
        <v>stacjonarny</v>
      </c>
      <c r="C94">
        <f t="shared" si="5"/>
        <v>0</v>
      </c>
      <c r="D94">
        <f t="shared" si="6"/>
        <v>0</v>
      </c>
      <c r="E94" s="1">
        <v>42919</v>
      </c>
      <c r="F94" s="2">
        <v>0.61523148148148143</v>
      </c>
      <c r="G94" s="2">
        <v>0.62223379629629627</v>
      </c>
      <c r="H94" s="2">
        <f t="shared" si="7"/>
        <v>7.0023148148148362E-3</v>
      </c>
      <c r="K94" s="1"/>
    </row>
    <row r="95" spans="1:11" x14ac:dyDescent="0.25">
      <c r="A95" s="6">
        <v>4174785</v>
      </c>
      <c r="B95" t="str">
        <f t="shared" si="4"/>
        <v>stacjonarny</v>
      </c>
      <c r="C95">
        <f t="shared" si="5"/>
        <v>0</v>
      </c>
      <c r="D95">
        <f t="shared" si="6"/>
        <v>0</v>
      </c>
      <c r="E95" s="1">
        <v>42919</v>
      </c>
      <c r="F95" s="2">
        <v>0.61624999999999996</v>
      </c>
      <c r="G95" s="2">
        <v>0.62702546296296291</v>
      </c>
      <c r="H95" s="2">
        <f t="shared" si="7"/>
        <v>1.0775462962962945E-2</v>
      </c>
      <c r="K95" s="1"/>
    </row>
    <row r="96" spans="1:11" x14ac:dyDescent="0.25">
      <c r="A96" s="6">
        <v>3776937</v>
      </c>
      <c r="B96" t="str">
        <f t="shared" si="4"/>
        <v>stacjonarny</v>
      </c>
      <c r="C96">
        <f t="shared" si="5"/>
        <v>0</v>
      </c>
      <c r="D96">
        <f t="shared" si="6"/>
        <v>0</v>
      </c>
      <c r="E96" s="1">
        <v>42919</v>
      </c>
      <c r="F96" s="2">
        <v>0.61767361111111108</v>
      </c>
      <c r="G96" s="2">
        <v>0.6234143518518519</v>
      </c>
      <c r="H96" s="2">
        <f t="shared" si="7"/>
        <v>5.740740740740824E-3</v>
      </c>
      <c r="K96" s="1"/>
    </row>
    <row r="97" spans="1:11" x14ac:dyDescent="0.25">
      <c r="A97" s="6">
        <v>2636055</v>
      </c>
      <c r="B97" t="str">
        <f t="shared" si="4"/>
        <v>stacjonarny</v>
      </c>
      <c r="C97">
        <f t="shared" si="5"/>
        <v>0</v>
      </c>
      <c r="D97">
        <f t="shared" si="6"/>
        <v>0</v>
      </c>
      <c r="E97" s="1">
        <v>42919</v>
      </c>
      <c r="F97" s="2">
        <v>0.62174768518518519</v>
      </c>
      <c r="G97" s="2">
        <v>0.62206018518518513</v>
      </c>
      <c r="H97" s="2">
        <f t="shared" si="7"/>
        <v>3.1249999999993783E-4</v>
      </c>
      <c r="K97" s="1"/>
    </row>
    <row r="98" spans="1:11" x14ac:dyDescent="0.25">
      <c r="A98" s="6">
        <v>4555937</v>
      </c>
      <c r="B98" t="str">
        <f t="shared" si="4"/>
        <v>stacjonarny</v>
      </c>
      <c r="C98">
        <f t="shared" si="5"/>
        <v>0</v>
      </c>
      <c r="D98">
        <f t="shared" si="6"/>
        <v>0</v>
      </c>
      <c r="E98" s="1">
        <v>42919</v>
      </c>
      <c r="F98" s="2">
        <v>0.62645833333333334</v>
      </c>
      <c r="G98" s="2">
        <v>0.63792824074074073</v>
      </c>
      <c r="H98" s="2">
        <f t="shared" si="7"/>
        <v>1.1469907407407387E-2</v>
      </c>
      <c r="K98" s="1"/>
    </row>
    <row r="99" spans="1:11" x14ac:dyDescent="0.25">
      <c r="A99" s="6">
        <v>80306197</v>
      </c>
      <c r="B99" t="str">
        <f t="shared" si="4"/>
        <v>komorkowy</v>
      </c>
      <c r="C99">
        <f t="shared" si="5"/>
        <v>0</v>
      </c>
      <c r="D99">
        <f t="shared" si="6"/>
        <v>0</v>
      </c>
      <c r="E99" s="1">
        <v>42920</v>
      </c>
      <c r="F99" s="2">
        <v>0.33644675925925926</v>
      </c>
      <c r="G99" s="2">
        <v>0.33884259259259258</v>
      </c>
      <c r="H99" s="2">
        <f t="shared" si="7"/>
        <v>2.3958333333333193E-3</v>
      </c>
      <c r="K99" s="1"/>
    </row>
    <row r="100" spans="1:11" x14ac:dyDescent="0.25">
      <c r="A100" s="6">
        <v>99162491</v>
      </c>
      <c r="B100" t="str">
        <f t="shared" si="4"/>
        <v>komorkowy</v>
      </c>
      <c r="C100">
        <f t="shared" si="5"/>
        <v>0</v>
      </c>
      <c r="D100">
        <f t="shared" si="6"/>
        <v>0</v>
      </c>
      <c r="E100" s="1">
        <v>42920</v>
      </c>
      <c r="F100" s="2">
        <v>0.33944444444444444</v>
      </c>
      <c r="G100" s="2">
        <v>0.35085648148148146</v>
      </c>
      <c r="H100" s="2">
        <f t="shared" si="7"/>
        <v>1.1412037037037026E-2</v>
      </c>
      <c r="K100" s="1"/>
    </row>
    <row r="101" spans="1:11" x14ac:dyDescent="0.25">
      <c r="A101" s="6">
        <v>2109147679</v>
      </c>
      <c r="B101" t="str">
        <f t="shared" si="4"/>
        <v>zagraniczny</v>
      </c>
      <c r="C101">
        <f t="shared" si="5"/>
        <v>0</v>
      </c>
      <c r="D101">
        <f t="shared" si="6"/>
        <v>0</v>
      </c>
      <c r="E101" s="1">
        <v>42920</v>
      </c>
      <c r="F101" s="2">
        <v>0.34505787037037039</v>
      </c>
      <c r="G101" s="2">
        <v>0.35395833333333332</v>
      </c>
      <c r="H101" s="2">
        <f t="shared" si="7"/>
        <v>8.9004629629629295E-3</v>
      </c>
      <c r="K101" s="1"/>
    </row>
    <row r="102" spans="1:11" x14ac:dyDescent="0.25">
      <c r="A102" s="6">
        <v>9422310</v>
      </c>
      <c r="B102" t="str">
        <f t="shared" si="4"/>
        <v>stacjonarny</v>
      </c>
      <c r="C102">
        <f t="shared" si="5"/>
        <v>0</v>
      </c>
      <c r="D102">
        <f t="shared" si="6"/>
        <v>0</v>
      </c>
      <c r="E102" s="1">
        <v>42920</v>
      </c>
      <c r="F102" s="2">
        <v>0.35071759259259261</v>
      </c>
      <c r="G102" s="2">
        <v>0.36206018518518518</v>
      </c>
      <c r="H102" s="2">
        <f t="shared" si="7"/>
        <v>1.1342592592592571E-2</v>
      </c>
      <c r="K102" s="1"/>
    </row>
    <row r="103" spans="1:11" x14ac:dyDescent="0.25">
      <c r="A103" s="6">
        <v>20679187</v>
      </c>
      <c r="B103" t="str">
        <f t="shared" si="4"/>
        <v>komorkowy</v>
      </c>
      <c r="C103">
        <f t="shared" si="5"/>
        <v>0</v>
      </c>
      <c r="D103">
        <f t="shared" si="6"/>
        <v>0</v>
      </c>
      <c r="E103" s="1">
        <v>42920</v>
      </c>
      <c r="F103" s="2">
        <v>0.35372685185185188</v>
      </c>
      <c r="G103" s="2">
        <v>0.3595949074074074</v>
      </c>
      <c r="H103" s="2">
        <f t="shared" si="7"/>
        <v>5.8680555555555292E-3</v>
      </c>
      <c r="K103" s="1"/>
    </row>
    <row r="104" spans="1:11" x14ac:dyDescent="0.25">
      <c r="A104" s="6">
        <v>6087997</v>
      </c>
      <c r="B104" t="str">
        <f t="shared" si="4"/>
        <v>stacjonarny</v>
      </c>
      <c r="C104">
        <f t="shared" si="5"/>
        <v>0</v>
      </c>
      <c r="D104">
        <f t="shared" si="6"/>
        <v>0</v>
      </c>
      <c r="E104" s="1">
        <v>42920</v>
      </c>
      <c r="F104" s="2">
        <v>0.35653935185185187</v>
      </c>
      <c r="G104" s="2">
        <v>0.36062499999999997</v>
      </c>
      <c r="H104" s="2">
        <f t="shared" si="7"/>
        <v>4.0856481481481022E-3</v>
      </c>
      <c r="K104" s="1"/>
    </row>
    <row r="105" spans="1:11" x14ac:dyDescent="0.25">
      <c r="A105" s="6">
        <v>20679187</v>
      </c>
      <c r="B105" t="str">
        <f t="shared" si="4"/>
        <v>komorkowy</v>
      </c>
      <c r="C105">
        <f t="shared" si="5"/>
        <v>0</v>
      </c>
      <c r="D105">
        <f t="shared" si="6"/>
        <v>0</v>
      </c>
      <c r="E105" s="1">
        <v>42920</v>
      </c>
      <c r="F105" s="2">
        <v>0.35850694444444442</v>
      </c>
      <c r="G105" s="2">
        <v>0.36371527777777779</v>
      </c>
      <c r="H105" s="2">
        <f t="shared" si="7"/>
        <v>5.2083333333333703E-3</v>
      </c>
      <c r="K105" s="1"/>
    </row>
    <row r="106" spans="1:11" x14ac:dyDescent="0.25">
      <c r="A106" s="6">
        <v>5253133</v>
      </c>
      <c r="B106" t="str">
        <f t="shared" si="4"/>
        <v>stacjonarny</v>
      </c>
      <c r="C106">
        <f t="shared" si="5"/>
        <v>0</v>
      </c>
      <c r="D106">
        <f t="shared" si="6"/>
        <v>0</v>
      </c>
      <c r="E106" s="1">
        <v>42920</v>
      </c>
      <c r="F106" s="2">
        <v>0.35986111111111113</v>
      </c>
      <c r="G106" s="2">
        <v>0.36961805555555555</v>
      </c>
      <c r="H106" s="2">
        <f t="shared" si="7"/>
        <v>9.7569444444444153E-3</v>
      </c>
      <c r="K106" s="1"/>
    </row>
    <row r="107" spans="1:11" x14ac:dyDescent="0.25">
      <c r="A107" s="6">
        <v>96949751</v>
      </c>
      <c r="B107" t="str">
        <f t="shared" si="4"/>
        <v>komorkowy</v>
      </c>
      <c r="C107">
        <f t="shared" si="5"/>
        <v>0</v>
      </c>
      <c r="D107">
        <f t="shared" si="6"/>
        <v>0</v>
      </c>
      <c r="E107" s="1">
        <v>42920</v>
      </c>
      <c r="F107" s="2">
        <v>0.36465277777777777</v>
      </c>
      <c r="G107" s="2">
        <v>0.36525462962962962</v>
      </c>
      <c r="H107" s="2">
        <f t="shared" si="7"/>
        <v>6.0185185185185341E-4</v>
      </c>
      <c r="K107" s="1"/>
    </row>
    <row r="108" spans="1:11" x14ac:dyDescent="0.25">
      <c r="A108" s="6">
        <v>1508356</v>
      </c>
      <c r="B108" t="str">
        <f t="shared" si="4"/>
        <v>stacjonarny</v>
      </c>
      <c r="C108">
        <f t="shared" si="5"/>
        <v>0</v>
      </c>
      <c r="D108">
        <f t="shared" si="6"/>
        <v>0</v>
      </c>
      <c r="E108" s="1">
        <v>42920</v>
      </c>
      <c r="F108" s="2">
        <v>0.37013888888888891</v>
      </c>
      <c r="G108" s="2">
        <v>0.38033564814814813</v>
      </c>
      <c r="H108" s="2">
        <f t="shared" si="7"/>
        <v>1.0196759259259225E-2</v>
      </c>
      <c r="K108" s="1"/>
    </row>
    <row r="109" spans="1:11" x14ac:dyDescent="0.25">
      <c r="A109" s="6">
        <v>9171025</v>
      </c>
      <c r="B109" t="str">
        <f t="shared" si="4"/>
        <v>stacjonarny</v>
      </c>
      <c r="C109">
        <f t="shared" si="5"/>
        <v>0</v>
      </c>
      <c r="D109">
        <f t="shared" si="6"/>
        <v>0</v>
      </c>
      <c r="E109" s="1">
        <v>42920</v>
      </c>
      <c r="F109" s="2">
        <v>0.37292824074074077</v>
      </c>
      <c r="G109" s="2">
        <v>0.38390046296296299</v>
      </c>
      <c r="H109" s="2">
        <f t="shared" si="7"/>
        <v>1.0972222222222217E-2</v>
      </c>
      <c r="K109" s="1"/>
    </row>
    <row r="110" spans="1:11" x14ac:dyDescent="0.25">
      <c r="A110" s="6">
        <v>7191598</v>
      </c>
      <c r="B110" t="str">
        <f t="shared" si="4"/>
        <v>stacjonarny</v>
      </c>
      <c r="C110">
        <f t="shared" si="5"/>
        <v>0</v>
      </c>
      <c r="D110">
        <f t="shared" si="6"/>
        <v>0</v>
      </c>
      <c r="E110" s="1">
        <v>42920</v>
      </c>
      <c r="F110" s="2">
        <v>0.37559027777777776</v>
      </c>
      <c r="G110" s="2">
        <v>0.37986111111111109</v>
      </c>
      <c r="H110" s="2">
        <f t="shared" si="7"/>
        <v>4.2708333333333348E-3</v>
      </c>
      <c r="K110" s="1"/>
    </row>
    <row r="111" spans="1:11" x14ac:dyDescent="0.25">
      <c r="A111" s="6">
        <v>3505978</v>
      </c>
      <c r="B111" t="str">
        <f t="shared" si="4"/>
        <v>stacjonarny</v>
      </c>
      <c r="C111">
        <f t="shared" si="5"/>
        <v>0</v>
      </c>
      <c r="D111">
        <f t="shared" si="6"/>
        <v>0</v>
      </c>
      <c r="E111" s="1">
        <v>42920</v>
      </c>
      <c r="F111" s="2">
        <v>0.37769675925925927</v>
      </c>
      <c r="G111" s="2">
        <v>0.38211805555555556</v>
      </c>
      <c r="H111" s="2">
        <f t="shared" si="7"/>
        <v>4.4212962962962843E-3</v>
      </c>
      <c r="K111" s="1"/>
    </row>
    <row r="112" spans="1:11" x14ac:dyDescent="0.25">
      <c r="A112" s="6">
        <v>90533733</v>
      </c>
      <c r="B112" t="str">
        <f t="shared" si="4"/>
        <v>komorkowy</v>
      </c>
      <c r="C112">
        <f t="shared" si="5"/>
        <v>0</v>
      </c>
      <c r="D112">
        <f t="shared" si="6"/>
        <v>0</v>
      </c>
      <c r="E112" s="1">
        <v>42920</v>
      </c>
      <c r="F112" s="2">
        <v>0.38092592592592595</v>
      </c>
      <c r="G112" s="2">
        <v>0.38866898148148149</v>
      </c>
      <c r="H112" s="2">
        <f t="shared" si="7"/>
        <v>7.7430555555555447E-3</v>
      </c>
      <c r="K112" s="1"/>
    </row>
    <row r="113" spans="1:11" x14ac:dyDescent="0.25">
      <c r="A113" s="6">
        <v>6859181</v>
      </c>
      <c r="B113" t="str">
        <f t="shared" si="4"/>
        <v>stacjonarny</v>
      </c>
      <c r="C113">
        <f t="shared" si="5"/>
        <v>0</v>
      </c>
      <c r="D113">
        <f t="shared" si="6"/>
        <v>0</v>
      </c>
      <c r="E113" s="1">
        <v>42920</v>
      </c>
      <c r="F113" s="2">
        <v>0.38188657407407406</v>
      </c>
      <c r="G113" s="2">
        <v>0.38545138888888891</v>
      </c>
      <c r="H113" s="2">
        <f t="shared" si="7"/>
        <v>3.564814814814854E-3</v>
      </c>
      <c r="K113" s="1"/>
    </row>
    <row r="114" spans="1:11" x14ac:dyDescent="0.25">
      <c r="A114" s="6">
        <v>7207066</v>
      </c>
      <c r="B114" t="str">
        <f t="shared" si="4"/>
        <v>stacjonarny</v>
      </c>
      <c r="C114">
        <f t="shared" si="5"/>
        <v>0</v>
      </c>
      <c r="D114">
        <f t="shared" si="6"/>
        <v>0</v>
      </c>
      <c r="E114" s="1">
        <v>42920</v>
      </c>
      <c r="F114" s="2">
        <v>0.3862962962962963</v>
      </c>
      <c r="G114" s="2">
        <v>0.3883449074074074</v>
      </c>
      <c r="H114" s="2">
        <f t="shared" si="7"/>
        <v>2.0486111111110983E-3</v>
      </c>
      <c r="K114" s="1"/>
    </row>
    <row r="115" spans="1:11" x14ac:dyDescent="0.25">
      <c r="A115" s="6">
        <v>4230507</v>
      </c>
      <c r="B115" t="str">
        <f t="shared" si="4"/>
        <v>stacjonarny</v>
      </c>
      <c r="C115">
        <f t="shared" si="5"/>
        <v>0</v>
      </c>
      <c r="D115">
        <f t="shared" si="6"/>
        <v>0</v>
      </c>
      <c r="E115" s="1">
        <v>42920</v>
      </c>
      <c r="F115" s="2">
        <v>0.38763888888888887</v>
      </c>
      <c r="G115" s="2">
        <v>0.39317129629629627</v>
      </c>
      <c r="H115" s="2">
        <f t="shared" si="7"/>
        <v>5.5324074074074026E-3</v>
      </c>
      <c r="K115" s="1"/>
    </row>
    <row r="116" spans="1:11" x14ac:dyDescent="0.25">
      <c r="A116" s="6">
        <v>2915745</v>
      </c>
      <c r="B116" t="str">
        <f t="shared" si="4"/>
        <v>stacjonarny</v>
      </c>
      <c r="C116">
        <f t="shared" si="5"/>
        <v>0</v>
      </c>
      <c r="D116">
        <f t="shared" si="6"/>
        <v>0</v>
      </c>
      <c r="E116" s="1">
        <v>42920</v>
      </c>
      <c r="F116" s="2">
        <v>0.39210648148148147</v>
      </c>
      <c r="G116" s="2">
        <v>0.39277777777777778</v>
      </c>
      <c r="H116" s="2">
        <f t="shared" si="7"/>
        <v>6.7129629629630871E-4</v>
      </c>
      <c r="K116" s="1"/>
    </row>
    <row r="117" spans="1:11" x14ac:dyDescent="0.25">
      <c r="A117" s="6">
        <v>2235911</v>
      </c>
      <c r="B117" t="str">
        <f t="shared" si="4"/>
        <v>stacjonarny</v>
      </c>
      <c r="C117">
        <f t="shared" si="5"/>
        <v>0</v>
      </c>
      <c r="D117">
        <f t="shared" si="6"/>
        <v>0</v>
      </c>
      <c r="E117" s="1">
        <v>42920</v>
      </c>
      <c r="F117" s="2">
        <v>0.39656249999999998</v>
      </c>
      <c r="G117" s="2">
        <v>0.40236111111111111</v>
      </c>
      <c r="H117" s="2">
        <f t="shared" si="7"/>
        <v>5.7986111111111294E-3</v>
      </c>
      <c r="K117" s="1"/>
    </row>
    <row r="118" spans="1:11" x14ac:dyDescent="0.25">
      <c r="A118" s="6">
        <v>1611389</v>
      </c>
      <c r="B118" t="str">
        <f t="shared" si="4"/>
        <v>stacjonarny</v>
      </c>
      <c r="C118">
        <f t="shared" si="5"/>
        <v>0</v>
      </c>
      <c r="D118">
        <f t="shared" si="6"/>
        <v>0</v>
      </c>
      <c r="E118" s="1">
        <v>42920</v>
      </c>
      <c r="F118" s="2">
        <v>0.39879629629629632</v>
      </c>
      <c r="G118" s="2">
        <v>0.41033564814814816</v>
      </c>
      <c r="H118" s="2">
        <f t="shared" si="7"/>
        <v>1.1539351851851842E-2</v>
      </c>
      <c r="K118" s="1"/>
    </row>
    <row r="119" spans="1:11" x14ac:dyDescent="0.25">
      <c r="A119" s="6">
        <v>9052652</v>
      </c>
      <c r="B119" t="str">
        <f t="shared" si="4"/>
        <v>stacjonarny</v>
      </c>
      <c r="C119">
        <f t="shared" si="5"/>
        <v>0</v>
      </c>
      <c r="D119">
        <f t="shared" si="6"/>
        <v>0</v>
      </c>
      <c r="E119" s="1">
        <v>42920</v>
      </c>
      <c r="F119" s="2">
        <v>0.3997337962962963</v>
      </c>
      <c r="G119" s="2">
        <v>0.40465277777777775</v>
      </c>
      <c r="H119" s="2">
        <f t="shared" si="7"/>
        <v>4.9189814814814548E-3</v>
      </c>
      <c r="K119" s="1"/>
    </row>
    <row r="120" spans="1:11" x14ac:dyDescent="0.25">
      <c r="A120" s="6">
        <v>93611539</v>
      </c>
      <c r="B120" t="str">
        <f t="shared" si="4"/>
        <v>komorkowy</v>
      </c>
      <c r="C120">
        <f t="shared" si="5"/>
        <v>0</v>
      </c>
      <c r="D120">
        <f t="shared" si="6"/>
        <v>0</v>
      </c>
      <c r="E120" s="1">
        <v>42920</v>
      </c>
      <c r="F120" s="2">
        <v>0.40133101851851855</v>
      </c>
      <c r="G120" s="2">
        <v>0.40964120370370372</v>
      </c>
      <c r="H120" s="2">
        <f t="shared" si="7"/>
        <v>8.3101851851851705E-3</v>
      </c>
      <c r="K120" s="1"/>
    </row>
    <row r="121" spans="1:11" x14ac:dyDescent="0.25">
      <c r="A121" s="6">
        <v>68966479</v>
      </c>
      <c r="B121" t="str">
        <f t="shared" si="4"/>
        <v>komorkowy</v>
      </c>
      <c r="C121">
        <f t="shared" si="5"/>
        <v>0</v>
      </c>
      <c r="D121">
        <f t="shared" si="6"/>
        <v>0</v>
      </c>
      <c r="E121" s="1">
        <v>42920</v>
      </c>
      <c r="F121" s="2">
        <v>0.40493055555555557</v>
      </c>
      <c r="G121" s="2">
        <v>0.40618055555555554</v>
      </c>
      <c r="H121" s="2">
        <f t="shared" si="7"/>
        <v>1.2499999999999734E-3</v>
      </c>
      <c r="K121" s="1"/>
    </row>
    <row r="122" spans="1:11" x14ac:dyDescent="0.25">
      <c r="A122" s="6">
        <v>79381100</v>
      </c>
      <c r="B122" t="str">
        <f t="shared" si="4"/>
        <v>komorkowy</v>
      </c>
      <c r="C122">
        <f t="shared" si="5"/>
        <v>0</v>
      </c>
      <c r="D122">
        <f t="shared" si="6"/>
        <v>0</v>
      </c>
      <c r="E122" s="1">
        <v>42920</v>
      </c>
      <c r="F122" s="2">
        <v>0.40614583333333332</v>
      </c>
      <c r="G122" s="2">
        <v>0.41761574074074076</v>
      </c>
      <c r="H122" s="2">
        <f t="shared" si="7"/>
        <v>1.1469907407407443E-2</v>
      </c>
      <c r="K122" s="1"/>
    </row>
    <row r="123" spans="1:11" x14ac:dyDescent="0.25">
      <c r="A123" s="6">
        <v>4697138</v>
      </c>
      <c r="B123" t="str">
        <f t="shared" si="4"/>
        <v>stacjonarny</v>
      </c>
      <c r="C123">
        <f t="shared" si="5"/>
        <v>0</v>
      </c>
      <c r="D123">
        <f t="shared" si="6"/>
        <v>0</v>
      </c>
      <c r="E123" s="1">
        <v>42920</v>
      </c>
      <c r="F123" s="2">
        <v>0.40737268518518521</v>
      </c>
      <c r="G123" s="2">
        <v>0.4102777777777778</v>
      </c>
      <c r="H123" s="2">
        <f t="shared" si="7"/>
        <v>2.9050925925925841E-3</v>
      </c>
      <c r="K123" s="1"/>
    </row>
    <row r="124" spans="1:11" x14ac:dyDescent="0.25">
      <c r="A124" s="6">
        <v>5786740</v>
      </c>
      <c r="B124" t="str">
        <f t="shared" si="4"/>
        <v>stacjonarny</v>
      </c>
      <c r="C124">
        <f t="shared" si="5"/>
        <v>0</v>
      </c>
      <c r="D124">
        <f t="shared" si="6"/>
        <v>0</v>
      </c>
      <c r="E124" s="1">
        <v>42920</v>
      </c>
      <c r="F124" s="2">
        <v>0.40796296296296297</v>
      </c>
      <c r="G124" s="2">
        <v>0.41495370370370371</v>
      </c>
      <c r="H124" s="2">
        <f t="shared" si="7"/>
        <v>6.9907407407407418E-3</v>
      </c>
      <c r="K124" s="1"/>
    </row>
    <row r="125" spans="1:11" x14ac:dyDescent="0.25">
      <c r="A125" s="6">
        <v>7727942</v>
      </c>
      <c r="B125" t="str">
        <f t="shared" si="4"/>
        <v>stacjonarny</v>
      </c>
      <c r="C125">
        <f t="shared" si="5"/>
        <v>0</v>
      </c>
      <c r="D125">
        <f t="shared" si="6"/>
        <v>0</v>
      </c>
      <c r="E125" s="1">
        <v>42920</v>
      </c>
      <c r="F125" s="2">
        <v>0.41097222222222224</v>
      </c>
      <c r="G125" s="2">
        <v>0.41613425925925923</v>
      </c>
      <c r="H125" s="2">
        <f t="shared" si="7"/>
        <v>5.1620370370369928E-3</v>
      </c>
      <c r="K125" s="1"/>
    </row>
    <row r="126" spans="1:11" x14ac:dyDescent="0.25">
      <c r="A126" s="6">
        <v>8384647</v>
      </c>
      <c r="B126" t="str">
        <f t="shared" si="4"/>
        <v>stacjonarny</v>
      </c>
      <c r="C126">
        <f t="shared" si="5"/>
        <v>0</v>
      </c>
      <c r="D126">
        <f t="shared" si="6"/>
        <v>0</v>
      </c>
      <c r="E126" s="1">
        <v>42920</v>
      </c>
      <c r="F126" s="2">
        <v>0.4110300925925926</v>
      </c>
      <c r="G126" s="2">
        <v>0.42162037037037037</v>
      </c>
      <c r="H126" s="2">
        <f t="shared" si="7"/>
        <v>1.0590277777777768E-2</v>
      </c>
      <c r="K126" s="1"/>
    </row>
    <row r="127" spans="1:11" x14ac:dyDescent="0.25">
      <c r="A127" s="6">
        <v>1858872516</v>
      </c>
      <c r="B127" t="str">
        <f t="shared" si="4"/>
        <v>zagraniczny</v>
      </c>
      <c r="C127">
        <f t="shared" si="5"/>
        <v>0</v>
      </c>
      <c r="D127">
        <f t="shared" si="6"/>
        <v>0</v>
      </c>
      <c r="E127" s="1">
        <v>42920</v>
      </c>
      <c r="F127" s="2">
        <v>0.41510416666666666</v>
      </c>
      <c r="G127" s="2">
        <v>0.41668981481481482</v>
      </c>
      <c r="H127" s="2">
        <f t="shared" si="7"/>
        <v>1.5856481481481555E-3</v>
      </c>
      <c r="K127" s="1"/>
    </row>
    <row r="128" spans="1:11" x14ac:dyDescent="0.25">
      <c r="A128" s="6">
        <v>4546455</v>
      </c>
      <c r="B128" t="str">
        <f t="shared" si="4"/>
        <v>stacjonarny</v>
      </c>
      <c r="C128">
        <f t="shared" si="5"/>
        <v>0</v>
      </c>
      <c r="D128">
        <f t="shared" si="6"/>
        <v>0</v>
      </c>
      <c r="E128" s="1">
        <v>42920</v>
      </c>
      <c r="F128" s="2">
        <v>0.41912037037037037</v>
      </c>
      <c r="G128" s="2">
        <v>0.42031249999999998</v>
      </c>
      <c r="H128" s="2">
        <f t="shared" si="7"/>
        <v>1.1921296296296124E-3</v>
      </c>
      <c r="K128" s="1"/>
    </row>
    <row r="129" spans="1:11" x14ac:dyDescent="0.25">
      <c r="A129" s="6">
        <v>2668991</v>
      </c>
      <c r="B129" t="str">
        <f t="shared" si="4"/>
        <v>stacjonarny</v>
      </c>
      <c r="C129">
        <f t="shared" si="5"/>
        <v>0</v>
      </c>
      <c r="D129">
        <f t="shared" si="6"/>
        <v>0</v>
      </c>
      <c r="E129" s="1">
        <v>42920</v>
      </c>
      <c r="F129" s="2">
        <v>0.42249999999999999</v>
      </c>
      <c r="G129" s="2">
        <v>0.42834490740740738</v>
      </c>
      <c r="H129" s="2">
        <f t="shared" si="7"/>
        <v>5.8449074074073959E-3</v>
      </c>
      <c r="K129" s="1"/>
    </row>
    <row r="130" spans="1:11" x14ac:dyDescent="0.25">
      <c r="A130" s="6">
        <v>5528648</v>
      </c>
      <c r="B130" t="str">
        <f t="shared" ref="B130:B193" si="8">IF(LEN(A130)=7, "stacjonarny", IF(LEN(A130)=8, "komorkowy", "zagraniczny"))</f>
        <v>stacjonarny</v>
      </c>
      <c r="C130">
        <f t="shared" si="5"/>
        <v>0</v>
      </c>
      <c r="D130">
        <f t="shared" si="6"/>
        <v>0</v>
      </c>
      <c r="E130" s="1">
        <v>42920</v>
      </c>
      <c r="F130" s="2">
        <v>0.42591435185185184</v>
      </c>
      <c r="G130" s="2">
        <v>0.43486111111111109</v>
      </c>
      <c r="H130" s="2">
        <f t="shared" si="7"/>
        <v>8.9467592592592515E-3</v>
      </c>
      <c r="K130" s="1"/>
    </row>
    <row r="131" spans="1:11" x14ac:dyDescent="0.25">
      <c r="A131" s="6">
        <v>2157195</v>
      </c>
      <c r="B131" t="str">
        <f t="shared" si="8"/>
        <v>stacjonarny</v>
      </c>
      <c r="C131">
        <f t="shared" ref="C131:C194" si="9">IF(LEFT(A131,2)="12",1,0)</f>
        <v>0</v>
      </c>
      <c r="D131">
        <f t="shared" ref="D131:D194" si="10">IF(AND(C131=1,B131="stacjonarny"),1,0)</f>
        <v>0</v>
      </c>
      <c r="E131" s="1">
        <v>42920</v>
      </c>
      <c r="F131" s="2">
        <v>0.42942129629629627</v>
      </c>
      <c r="G131" s="2">
        <v>0.4349189814814815</v>
      </c>
      <c r="H131" s="2">
        <f t="shared" ref="H131:H194" si="11">G131-F131</f>
        <v>5.4976851851852304E-3</v>
      </c>
      <c r="K131" s="1"/>
    </row>
    <row r="132" spans="1:11" x14ac:dyDescent="0.25">
      <c r="A132" s="6">
        <v>7747085</v>
      </c>
      <c r="B132" t="str">
        <f t="shared" si="8"/>
        <v>stacjonarny</v>
      </c>
      <c r="C132">
        <f t="shared" si="9"/>
        <v>0</v>
      </c>
      <c r="D132">
        <f t="shared" si="10"/>
        <v>0</v>
      </c>
      <c r="E132" s="1">
        <v>42920</v>
      </c>
      <c r="F132" s="2">
        <v>0.43247685185185186</v>
      </c>
      <c r="G132" s="2">
        <v>0.43613425925925925</v>
      </c>
      <c r="H132" s="2">
        <f t="shared" si="11"/>
        <v>3.657407407407387E-3</v>
      </c>
      <c r="K132" s="1"/>
    </row>
    <row r="133" spans="1:11" x14ac:dyDescent="0.25">
      <c r="A133" s="6">
        <v>6865106</v>
      </c>
      <c r="B133" t="str">
        <f t="shared" si="8"/>
        <v>stacjonarny</v>
      </c>
      <c r="C133">
        <f t="shared" si="9"/>
        <v>0</v>
      </c>
      <c r="D133">
        <f t="shared" si="10"/>
        <v>0</v>
      </c>
      <c r="E133" s="1">
        <v>42920</v>
      </c>
      <c r="F133" s="2">
        <v>0.43741898148148151</v>
      </c>
      <c r="G133" s="2">
        <v>0.44848379629629631</v>
      </c>
      <c r="H133" s="2">
        <f t="shared" si="11"/>
        <v>1.1064814814814805E-2</v>
      </c>
      <c r="K133" s="1"/>
    </row>
    <row r="134" spans="1:11" x14ac:dyDescent="0.25">
      <c r="A134" s="6">
        <v>8819206</v>
      </c>
      <c r="B134" t="str">
        <f t="shared" si="8"/>
        <v>stacjonarny</v>
      </c>
      <c r="C134">
        <f t="shared" si="9"/>
        <v>0</v>
      </c>
      <c r="D134">
        <f t="shared" si="10"/>
        <v>0</v>
      </c>
      <c r="E134" s="1">
        <v>42920</v>
      </c>
      <c r="F134" s="2">
        <v>0.44068287037037035</v>
      </c>
      <c r="G134" s="2">
        <v>0.44912037037037039</v>
      </c>
      <c r="H134" s="2">
        <f t="shared" si="11"/>
        <v>8.4375000000000422E-3</v>
      </c>
      <c r="K134" s="1"/>
    </row>
    <row r="135" spans="1:11" x14ac:dyDescent="0.25">
      <c r="A135" s="6">
        <v>3990337</v>
      </c>
      <c r="B135" t="str">
        <f t="shared" si="8"/>
        <v>stacjonarny</v>
      </c>
      <c r="C135">
        <f t="shared" si="9"/>
        <v>0</v>
      </c>
      <c r="D135">
        <f t="shared" si="10"/>
        <v>0</v>
      </c>
      <c r="E135" s="1">
        <v>42920</v>
      </c>
      <c r="F135" s="2">
        <v>0.44158564814814816</v>
      </c>
      <c r="G135" s="2">
        <v>0.4470601851851852</v>
      </c>
      <c r="H135" s="2">
        <f t="shared" si="11"/>
        <v>5.4745370370370416E-3</v>
      </c>
      <c r="K135" s="1"/>
    </row>
    <row r="136" spans="1:11" x14ac:dyDescent="0.25">
      <c r="A136" s="6">
        <v>4238684</v>
      </c>
      <c r="B136" t="str">
        <f t="shared" si="8"/>
        <v>stacjonarny</v>
      </c>
      <c r="C136">
        <f t="shared" si="9"/>
        <v>0</v>
      </c>
      <c r="D136">
        <f t="shared" si="10"/>
        <v>0</v>
      </c>
      <c r="E136" s="1">
        <v>42920</v>
      </c>
      <c r="F136" s="2">
        <v>0.44466435185185182</v>
      </c>
      <c r="G136" s="2">
        <v>0.4535763888888889</v>
      </c>
      <c r="H136" s="2">
        <f t="shared" si="11"/>
        <v>8.9120370370370794E-3</v>
      </c>
      <c r="K136" s="1"/>
    </row>
    <row r="137" spans="1:11" x14ac:dyDescent="0.25">
      <c r="A137" s="6">
        <v>86774913</v>
      </c>
      <c r="B137" t="str">
        <f t="shared" si="8"/>
        <v>komorkowy</v>
      </c>
      <c r="C137">
        <f t="shared" si="9"/>
        <v>0</v>
      </c>
      <c r="D137">
        <f t="shared" si="10"/>
        <v>0</v>
      </c>
      <c r="E137" s="1">
        <v>42920</v>
      </c>
      <c r="F137" s="2">
        <v>0.44548611111111114</v>
      </c>
      <c r="G137" s="2">
        <v>0.4541898148148148</v>
      </c>
      <c r="H137" s="2">
        <f t="shared" si="11"/>
        <v>8.703703703703658E-3</v>
      </c>
      <c r="K137" s="1"/>
    </row>
    <row r="138" spans="1:11" x14ac:dyDescent="0.25">
      <c r="A138" s="6">
        <v>93696449</v>
      </c>
      <c r="B138" t="str">
        <f t="shared" si="8"/>
        <v>komorkowy</v>
      </c>
      <c r="C138">
        <f t="shared" si="9"/>
        <v>0</v>
      </c>
      <c r="D138">
        <f t="shared" si="10"/>
        <v>0</v>
      </c>
      <c r="E138" s="1">
        <v>42920</v>
      </c>
      <c r="F138" s="2">
        <v>0.45063657407407409</v>
      </c>
      <c r="G138" s="2">
        <v>0.45581018518518518</v>
      </c>
      <c r="H138" s="2">
        <f t="shared" si="11"/>
        <v>5.1736111111110872E-3</v>
      </c>
      <c r="K138" s="1"/>
    </row>
    <row r="139" spans="1:11" x14ac:dyDescent="0.25">
      <c r="A139" s="6">
        <v>1269611</v>
      </c>
      <c r="B139" t="str">
        <f t="shared" si="8"/>
        <v>stacjonarny</v>
      </c>
      <c r="C139">
        <f t="shared" si="9"/>
        <v>1</v>
      </c>
      <c r="D139">
        <f t="shared" si="10"/>
        <v>1</v>
      </c>
      <c r="E139" s="1">
        <v>42920</v>
      </c>
      <c r="F139" s="2">
        <v>0.45596064814814813</v>
      </c>
      <c r="G139" s="2">
        <v>0.46010416666666665</v>
      </c>
      <c r="H139" s="2">
        <f t="shared" si="11"/>
        <v>4.1435185185185186E-3</v>
      </c>
      <c r="K139" s="1"/>
    </row>
    <row r="140" spans="1:11" x14ac:dyDescent="0.25">
      <c r="A140" s="6">
        <v>4623731</v>
      </c>
      <c r="B140" t="str">
        <f t="shared" si="8"/>
        <v>stacjonarny</v>
      </c>
      <c r="C140">
        <f t="shared" si="9"/>
        <v>0</v>
      </c>
      <c r="D140">
        <f t="shared" si="10"/>
        <v>0</v>
      </c>
      <c r="E140" s="1">
        <v>42920</v>
      </c>
      <c r="F140" s="2">
        <v>0.46053240740740742</v>
      </c>
      <c r="G140" s="2">
        <v>0.47131944444444446</v>
      </c>
      <c r="H140" s="2">
        <f t="shared" si="11"/>
        <v>1.0787037037037039E-2</v>
      </c>
      <c r="K140" s="1"/>
    </row>
    <row r="141" spans="1:11" x14ac:dyDescent="0.25">
      <c r="A141" s="6">
        <v>4623731</v>
      </c>
      <c r="B141" t="str">
        <f t="shared" si="8"/>
        <v>stacjonarny</v>
      </c>
      <c r="C141">
        <f t="shared" si="9"/>
        <v>0</v>
      </c>
      <c r="D141">
        <f t="shared" si="10"/>
        <v>0</v>
      </c>
      <c r="E141" s="1">
        <v>42920</v>
      </c>
      <c r="F141" s="2">
        <v>0.46423611111111113</v>
      </c>
      <c r="G141" s="2">
        <v>0.46842592592592591</v>
      </c>
      <c r="H141" s="2">
        <f t="shared" si="11"/>
        <v>4.1898148148147851E-3</v>
      </c>
      <c r="K141" s="1"/>
    </row>
    <row r="142" spans="1:11" x14ac:dyDescent="0.25">
      <c r="A142" s="6">
        <v>3127402</v>
      </c>
      <c r="B142" t="str">
        <f t="shared" si="8"/>
        <v>stacjonarny</v>
      </c>
      <c r="C142">
        <f t="shared" si="9"/>
        <v>0</v>
      </c>
      <c r="D142">
        <f t="shared" si="10"/>
        <v>0</v>
      </c>
      <c r="E142" s="1">
        <v>42920</v>
      </c>
      <c r="F142" s="2">
        <v>0.46861111111111109</v>
      </c>
      <c r="G142" s="2">
        <v>0.47747685185185185</v>
      </c>
      <c r="H142" s="2">
        <f t="shared" si="11"/>
        <v>8.8657407407407574E-3</v>
      </c>
      <c r="K142" s="1"/>
    </row>
    <row r="143" spans="1:11" x14ac:dyDescent="0.25">
      <c r="A143" s="6">
        <v>1714791</v>
      </c>
      <c r="B143" t="str">
        <f t="shared" si="8"/>
        <v>stacjonarny</v>
      </c>
      <c r="C143">
        <f t="shared" si="9"/>
        <v>0</v>
      </c>
      <c r="D143">
        <f t="shared" si="10"/>
        <v>0</v>
      </c>
      <c r="E143" s="1">
        <v>42920</v>
      </c>
      <c r="F143" s="2">
        <v>0.47230324074074076</v>
      </c>
      <c r="G143" s="2">
        <v>0.47288194444444442</v>
      </c>
      <c r="H143" s="2">
        <f t="shared" si="11"/>
        <v>5.7870370370366464E-4</v>
      </c>
      <c r="K143" s="1"/>
    </row>
    <row r="144" spans="1:11" x14ac:dyDescent="0.25">
      <c r="A144" s="6">
        <v>7768277</v>
      </c>
      <c r="B144" t="str">
        <f t="shared" si="8"/>
        <v>stacjonarny</v>
      </c>
      <c r="C144">
        <f t="shared" si="9"/>
        <v>0</v>
      </c>
      <c r="D144">
        <f t="shared" si="10"/>
        <v>0</v>
      </c>
      <c r="E144" s="1">
        <v>42920</v>
      </c>
      <c r="F144" s="2">
        <v>0.47453703703703703</v>
      </c>
      <c r="G144" s="2">
        <v>0.4800462962962963</v>
      </c>
      <c r="H144" s="2">
        <f t="shared" si="11"/>
        <v>5.5092592592592693E-3</v>
      </c>
      <c r="K144" s="1"/>
    </row>
    <row r="145" spans="1:11" x14ac:dyDescent="0.25">
      <c r="A145" s="6">
        <v>4371394</v>
      </c>
      <c r="B145" t="str">
        <f t="shared" si="8"/>
        <v>stacjonarny</v>
      </c>
      <c r="C145">
        <f t="shared" si="9"/>
        <v>0</v>
      </c>
      <c r="D145">
        <f t="shared" si="10"/>
        <v>0</v>
      </c>
      <c r="E145" s="1">
        <v>42920</v>
      </c>
      <c r="F145" s="2">
        <v>0.47967592592592595</v>
      </c>
      <c r="G145" s="2">
        <v>0.48236111111111113</v>
      </c>
      <c r="H145" s="2">
        <f t="shared" si="11"/>
        <v>2.6851851851851793E-3</v>
      </c>
      <c r="K145" s="1"/>
    </row>
    <row r="146" spans="1:11" x14ac:dyDescent="0.25">
      <c r="A146" s="6">
        <v>9803545</v>
      </c>
      <c r="B146" t="str">
        <f t="shared" si="8"/>
        <v>stacjonarny</v>
      </c>
      <c r="C146">
        <f t="shared" si="9"/>
        <v>0</v>
      </c>
      <c r="D146">
        <f t="shared" si="10"/>
        <v>0</v>
      </c>
      <c r="E146" s="1">
        <v>42920</v>
      </c>
      <c r="F146" s="2">
        <v>0.47978009259259258</v>
      </c>
      <c r="G146" s="2">
        <v>0.49125000000000002</v>
      </c>
      <c r="H146" s="2">
        <f t="shared" si="11"/>
        <v>1.1469907407407443E-2</v>
      </c>
      <c r="K146" s="1"/>
    </row>
    <row r="147" spans="1:11" x14ac:dyDescent="0.25">
      <c r="A147" s="6">
        <v>4176704</v>
      </c>
      <c r="B147" t="str">
        <f t="shared" si="8"/>
        <v>stacjonarny</v>
      </c>
      <c r="C147">
        <f t="shared" si="9"/>
        <v>0</v>
      </c>
      <c r="D147">
        <f t="shared" si="10"/>
        <v>0</v>
      </c>
      <c r="E147" s="1">
        <v>42920</v>
      </c>
      <c r="F147" s="2">
        <v>0.47983796296296294</v>
      </c>
      <c r="G147" s="2">
        <v>0.48949074074074073</v>
      </c>
      <c r="H147" s="2">
        <f t="shared" si="11"/>
        <v>9.6527777777777879E-3</v>
      </c>
      <c r="K147" s="1"/>
    </row>
    <row r="148" spans="1:11" x14ac:dyDescent="0.25">
      <c r="A148" s="6">
        <v>90271112</v>
      </c>
      <c r="B148" t="str">
        <f t="shared" si="8"/>
        <v>komorkowy</v>
      </c>
      <c r="C148">
        <f t="shared" si="9"/>
        <v>0</v>
      </c>
      <c r="D148">
        <f t="shared" si="10"/>
        <v>0</v>
      </c>
      <c r="E148" s="1">
        <v>42920</v>
      </c>
      <c r="F148" s="2">
        <v>0.4805787037037037</v>
      </c>
      <c r="G148" s="2">
        <v>0.48696759259259259</v>
      </c>
      <c r="H148" s="2">
        <f t="shared" si="11"/>
        <v>6.3888888888888884E-3</v>
      </c>
      <c r="K148" s="1"/>
    </row>
    <row r="149" spans="1:11" x14ac:dyDescent="0.25">
      <c r="A149" s="6">
        <v>8136309</v>
      </c>
      <c r="B149" t="str">
        <f t="shared" si="8"/>
        <v>stacjonarny</v>
      </c>
      <c r="C149">
        <f t="shared" si="9"/>
        <v>0</v>
      </c>
      <c r="D149">
        <f t="shared" si="10"/>
        <v>0</v>
      </c>
      <c r="E149" s="1">
        <v>42920</v>
      </c>
      <c r="F149" s="2">
        <v>0.48189814814814813</v>
      </c>
      <c r="G149" s="2">
        <v>0.49115740740740743</v>
      </c>
      <c r="H149" s="2">
        <f t="shared" si="11"/>
        <v>9.2592592592593004E-3</v>
      </c>
      <c r="K149" s="1"/>
    </row>
    <row r="150" spans="1:11" x14ac:dyDescent="0.25">
      <c r="A150" s="6">
        <v>3178616</v>
      </c>
      <c r="B150" t="str">
        <f t="shared" si="8"/>
        <v>stacjonarny</v>
      </c>
      <c r="C150">
        <f t="shared" si="9"/>
        <v>0</v>
      </c>
      <c r="D150">
        <f t="shared" si="10"/>
        <v>0</v>
      </c>
      <c r="E150" s="1">
        <v>42920</v>
      </c>
      <c r="F150" s="2">
        <v>0.48312500000000003</v>
      </c>
      <c r="G150" s="2">
        <v>0.49138888888888888</v>
      </c>
      <c r="H150" s="2">
        <f t="shared" si="11"/>
        <v>8.2638888888888484E-3</v>
      </c>
      <c r="K150" s="1"/>
    </row>
    <row r="151" spans="1:11" x14ac:dyDescent="0.25">
      <c r="A151" s="6">
        <v>27791497</v>
      </c>
      <c r="B151" t="str">
        <f t="shared" si="8"/>
        <v>komorkowy</v>
      </c>
      <c r="C151">
        <f t="shared" si="9"/>
        <v>0</v>
      </c>
      <c r="D151">
        <f t="shared" si="10"/>
        <v>0</v>
      </c>
      <c r="E151" s="1">
        <v>42920</v>
      </c>
      <c r="F151" s="2">
        <v>0.48803240740740739</v>
      </c>
      <c r="G151" s="2">
        <v>0.49682870370370369</v>
      </c>
      <c r="H151" s="2">
        <f t="shared" si="11"/>
        <v>8.7962962962963021E-3</v>
      </c>
      <c r="K151" s="1"/>
    </row>
    <row r="152" spans="1:11" x14ac:dyDescent="0.25">
      <c r="A152" s="6">
        <v>4738129</v>
      </c>
      <c r="B152" t="str">
        <f t="shared" si="8"/>
        <v>stacjonarny</v>
      </c>
      <c r="C152">
        <f t="shared" si="9"/>
        <v>0</v>
      </c>
      <c r="D152">
        <f t="shared" si="10"/>
        <v>0</v>
      </c>
      <c r="E152" s="1">
        <v>42920</v>
      </c>
      <c r="F152" s="2">
        <v>0.48979166666666668</v>
      </c>
      <c r="G152" s="2">
        <v>0.500462962962963</v>
      </c>
      <c r="H152" s="2">
        <f t="shared" si="11"/>
        <v>1.0671296296296318E-2</v>
      </c>
      <c r="K152" s="1"/>
    </row>
    <row r="153" spans="1:11" x14ac:dyDescent="0.25">
      <c r="A153" s="6">
        <v>54840810</v>
      </c>
      <c r="B153" t="str">
        <f t="shared" si="8"/>
        <v>komorkowy</v>
      </c>
      <c r="C153">
        <f t="shared" si="9"/>
        <v>0</v>
      </c>
      <c r="D153">
        <f t="shared" si="10"/>
        <v>0</v>
      </c>
      <c r="E153" s="1">
        <v>42920</v>
      </c>
      <c r="F153" s="2">
        <v>0.49430555555555555</v>
      </c>
      <c r="G153" s="2">
        <v>0.50231481481481477</v>
      </c>
      <c r="H153" s="2">
        <f t="shared" si="11"/>
        <v>8.009259259259216E-3</v>
      </c>
      <c r="K153" s="1"/>
    </row>
    <row r="154" spans="1:11" x14ac:dyDescent="0.25">
      <c r="A154" s="6">
        <v>8885606</v>
      </c>
      <c r="B154" t="str">
        <f t="shared" si="8"/>
        <v>stacjonarny</v>
      </c>
      <c r="C154">
        <f t="shared" si="9"/>
        <v>0</v>
      </c>
      <c r="D154">
        <f t="shared" si="10"/>
        <v>0</v>
      </c>
      <c r="E154" s="1">
        <v>42920</v>
      </c>
      <c r="F154" s="2">
        <v>0.49984953703703705</v>
      </c>
      <c r="G154" s="2">
        <v>0.50960648148148147</v>
      </c>
      <c r="H154" s="2">
        <f t="shared" si="11"/>
        <v>9.7569444444444153E-3</v>
      </c>
      <c r="K154" s="1"/>
    </row>
    <row r="155" spans="1:11" x14ac:dyDescent="0.25">
      <c r="A155" s="6">
        <v>6730442</v>
      </c>
      <c r="B155" t="str">
        <f t="shared" si="8"/>
        <v>stacjonarny</v>
      </c>
      <c r="C155">
        <f t="shared" si="9"/>
        <v>0</v>
      </c>
      <c r="D155">
        <f t="shared" si="10"/>
        <v>0</v>
      </c>
      <c r="E155" s="1">
        <v>42920</v>
      </c>
      <c r="F155" s="2">
        <v>0.50063657407407403</v>
      </c>
      <c r="G155" s="2">
        <v>0.50876157407407407</v>
      </c>
      <c r="H155" s="2">
        <f t="shared" si="11"/>
        <v>8.1250000000000488E-3</v>
      </c>
      <c r="K155" s="1"/>
    </row>
    <row r="156" spans="1:11" x14ac:dyDescent="0.25">
      <c r="A156" s="6">
        <v>3326913</v>
      </c>
      <c r="B156" t="str">
        <f t="shared" si="8"/>
        <v>stacjonarny</v>
      </c>
      <c r="C156">
        <f t="shared" si="9"/>
        <v>0</v>
      </c>
      <c r="D156">
        <f t="shared" si="10"/>
        <v>0</v>
      </c>
      <c r="E156" s="1">
        <v>42920</v>
      </c>
      <c r="F156" s="2">
        <v>0.50594907407407408</v>
      </c>
      <c r="G156" s="2">
        <v>0.5154050925925926</v>
      </c>
      <c r="H156" s="2">
        <f t="shared" si="11"/>
        <v>9.4560185185185164E-3</v>
      </c>
      <c r="K156" s="1"/>
    </row>
    <row r="157" spans="1:11" x14ac:dyDescent="0.25">
      <c r="A157" s="6">
        <v>9865716</v>
      </c>
      <c r="B157" t="str">
        <f t="shared" si="8"/>
        <v>stacjonarny</v>
      </c>
      <c r="C157">
        <f t="shared" si="9"/>
        <v>0</v>
      </c>
      <c r="D157">
        <f t="shared" si="10"/>
        <v>0</v>
      </c>
      <c r="E157" s="1">
        <v>42920</v>
      </c>
      <c r="F157" s="2">
        <v>0.51076388888888891</v>
      </c>
      <c r="G157" s="2">
        <v>0.51890046296296299</v>
      </c>
      <c r="H157" s="2">
        <f t="shared" si="11"/>
        <v>8.1365740740740877E-3</v>
      </c>
      <c r="K157" s="1"/>
    </row>
    <row r="158" spans="1:11" x14ac:dyDescent="0.25">
      <c r="A158" s="6">
        <v>73284745</v>
      </c>
      <c r="B158" t="str">
        <f t="shared" si="8"/>
        <v>komorkowy</v>
      </c>
      <c r="C158">
        <f t="shared" si="9"/>
        <v>0</v>
      </c>
      <c r="D158">
        <f t="shared" si="10"/>
        <v>0</v>
      </c>
      <c r="E158" s="1">
        <v>42920</v>
      </c>
      <c r="F158" s="2">
        <v>0.51451388888888894</v>
      </c>
      <c r="G158" s="2">
        <v>0.51857638888888891</v>
      </c>
      <c r="H158" s="2">
        <f t="shared" si="11"/>
        <v>4.0624999999999689E-3</v>
      </c>
      <c r="K158" s="1"/>
    </row>
    <row r="159" spans="1:11" x14ac:dyDescent="0.25">
      <c r="A159" s="6">
        <v>1761255</v>
      </c>
      <c r="B159" t="str">
        <f t="shared" si="8"/>
        <v>stacjonarny</v>
      </c>
      <c r="C159">
        <f t="shared" si="9"/>
        <v>0</v>
      </c>
      <c r="D159">
        <f t="shared" si="10"/>
        <v>0</v>
      </c>
      <c r="E159" s="1">
        <v>42920</v>
      </c>
      <c r="F159" s="2">
        <v>0.51958333333333329</v>
      </c>
      <c r="G159" s="2">
        <v>0.52266203703703706</v>
      </c>
      <c r="H159" s="2">
        <f t="shared" si="11"/>
        <v>3.0787037037037779E-3</v>
      </c>
      <c r="K159" s="1"/>
    </row>
    <row r="160" spans="1:11" x14ac:dyDescent="0.25">
      <c r="A160" s="6">
        <v>48625903</v>
      </c>
      <c r="B160" t="str">
        <f t="shared" si="8"/>
        <v>komorkowy</v>
      </c>
      <c r="C160">
        <f t="shared" si="9"/>
        <v>0</v>
      </c>
      <c r="D160">
        <f t="shared" si="10"/>
        <v>0</v>
      </c>
      <c r="E160" s="1">
        <v>42920</v>
      </c>
      <c r="F160" s="2">
        <v>0.52303240740740742</v>
      </c>
      <c r="G160" s="2">
        <v>0.523900462962963</v>
      </c>
      <c r="H160" s="2">
        <f t="shared" si="11"/>
        <v>8.6805555555558023E-4</v>
      </c>
      <c r="K160" s="1"/>
    </row>
    <row r="161" spans="1:11" x14ac:dyDescent="0.25">
      <c r="A161" s="6">
        <v>2235911</v>
      </c>
      <c r="B161" t="str">
        <f t="shared" si="8"/>
        <v>stacjonarny</v>
      </c>
      <c r="C161">
        <f t="shared" si="9"/>
        <v>0</v>
      </c>
      <c r="D161">
        <f t="shared" si="10"/>
        <v>0</v>
      </c>
      <c r="E161" s="1">
        <v>42920</v>
      </c>
      <c r="F161" s="2">
        <v>0.52454861111111106</v>
      </c>
      <c r="G161" s="2">
        <v>0.53546296296296292</v>
      </c>
      <c r="H161" s="2">
        <f t="shared" si="11"/>
        <v>1.0914351851851856E-2</v>
      </c>
      <c r="K161" s="1"/>
    </row>
    <row r="162" spans="1:11" x14ac:dyDescent="0.25">
      <c r="A162" s="6">
        <v>18036364</v>
      </c>
      <c r="B162" t="str">
        <f t="shared" si="8"/>
        <v>komorkowy</v>
      </c>
      <c r="C162">
        <f t="shared" si="9"/>
        <v>0</v>
      </c>
      <c r="D162">
        <f t="shared" si="10"/>
        <v>0</v>
      </c>
      <c r="E162" s="1">
        <v>42920</v>
      </c>
      <c r="F162" s="2">
        <v>0.53015046296296298</v>
      </c>
      <c r="G162" s="2">
        <v>0.53275462962962961</v>
      </c>
      <c r="H162" s="2">
        <f t="shared" si="11"/>
        <v>2.6041666666666297E-3</v>
      </c>
      <c r="K162" s="1"/>
    </row>
    <row r="163" spans="1:11" x14ac:dyDescent="0.25">
      <c r="A163" s="6">
        <v>38063903</v>
      </c>
      <c r="B163" t="str">
        <f t="shared" si="8"/>
        <v>komorkowy</v>
      </c>
      <c r="C163">
        <f t="shared" si="9"/>
        <v>0</v>
      </c>
      <c r="D163">
        <f t="shared" si="10"/>
        <v>0</v>
      </c>
      <c r="E163" s="1">
        <v>42920</v>
      </c>
      <c r="F163" s="2">
        <v>0.53465277777777775</v>
      </c>
      <c r="G163" s="2">
        <v>0.53925925925925922</v>
      </c>
      <c r="H163" s="2">
        <f t="shared" si="11"/>
        <v>4.6064814814814614E-3</v>
      </c>
      <c r="K163" s="1"/>
    </row>
    <row r="164" spans="1:11" x14ac:dyDescent="0.25">
      <c r="A164" s="6">
        <v>4555937</v>
      </c>
      <c r="B164" t="str">
        <f t="shared" si="8"/>
        <v>stacjonarny</v>
      </c>
      <c r="C164">
        <f t="shared" si="9"/>
        <v>0</v>
      </c>
      <c r="D164">
        <f t="shared" si="10"/>
        <v>0</v>
      </c>
      <c r="E164" s="1">
        <v>42920</v>
      </c>
      <c r="F164" s="2">
        <v>0.53748842592592594</v>
      </c>
      <c r="G164" s="2">
        <v>0.54775462962962962</v>
      </c>
      <c r="H164" s="2">
        <f t="shared" si="11"/>
        <v>1.026620370370368E-2</v>
      </c>
      <c r="K164" s="1"/>
    </row>
    <row r="165" spans="1:11" x14ac:dyDescent="0.25">
      <c r="A165" s="6">
        <v>9422310</v>
      </c>
      <c r="B165" t="str">
        <f t="shared" si="8"/>
        <v>stacjonarny</v>
      </c>
      <c r="C165">
        <f t="shared" si="9"/>
        <v>0</v>
      </c>
      <c r="D165">
        <f t="shared" si="10"/>
        <v>0</v>
      </c>
      <c r="E165" s="1">
        <v>42920</v>
      </c>
      <c r="F165" s="2">
        <v>0.54137731481481477</v>
      </c>
      <c r="G165" s="2">
        <v>0.5506712962962963</v>
      </c>
      <c r="H165" s="2">
        <f t="shared" si="11"/>
        <v>9.293981481481528E-3</v>
      </c>
      <c r="K165" s="1"/>
    </row>
    <row r="166" spans="1:11" x14ac:dyDescent="0.25">
      <c r="A166" s="6">
        <v>16999529</v>
      </c>
      <c r="B166" t="str">
        <f t="shared" si="8"/>
        <v>komorkowy</v>
      </c>
      <c r="C166">
        <f t="shared" si="9"/>
        <v>0</v>
      </c>
      <c r="D166">
        <f t="shared" si="10"/>
        <v>0</v>
      </c>
      <c r="E166" s="1">
        <v>42920</v>
      </c>
      <c r="F166" s="2">
        <v>0.54395833333333332</v>
      </c>
      <c r="G166" s="2">
        <v>0.54451388888888885</v>
      </c>
      <c r="H166" s="2">
        <f t="shared" si="11"/>
        <v>5.5555555555553138E-4</v>
      </c>
      <c r="K166" s="1"/>
    </row>
    <row r="167" spans="1:11" x14ac:dyDescent="0.25">
      <c r="A167" s="6">
        <v>8385222</v>
      </c>
      <c r="B167" t="str">
        <f t="shared" si="8"/>
        <v>stacjonarny</v>
      </c>
      <c r="C167">
        <f t="shared" si="9"/>
        <v>0</v>
      </c>
      <c r="D167">
        <f t="shared" si="10"/>
        <v>0</v>
      </c>
      <c r="E167" s="1">
        <v>42920</v>
      </c>
      <c r="F167" s="2">
        <v>0.5455092592592593</v>
      </c>
      <c r="G167" s="2">
        <v>0.54748842592592595</v>
      </c>
      <c r="H167" s="2">
        <f t="shared" si="11"/>
        <v>1.979166666666643E-3</v>
      </c>
      <c r="K167" s="1"/>
    </row>
    <row r="168" spans="1:11" x14ac:dyDescent="0.25">
      <c r="A168" s="6">
        <v>8086847</v>
      </c>
      <c r="B168" t="str">
        <f t="shared" si="8"/>
        <v>stacjonarny</v>
      </c>
      <c r="C168">
        <f t="shared" si="9"/>
        <v>0</v>
      </c>
      <c r="D168">
        <f t="shared" si="10"/>
        <v>0</v>
      </c>
      <c r="E168" s="1">
        <v>42920</v>
      </c>
      <c r="F168" s="2">
        <v>0.54909722222222224</v>
      </c>
      <c r="G168" s="2">
        <v>0.5524768518518518</v>
      </c>
      <c r="H168" s="2">
        <f t="shared" si="11"/>
        <v>3.3796296296295658E-3</v>
      </c>
      <c r="K168" s="1"/>
    </row>
    <row r="169" spans="1:11" x14ac:dyDescent="0.25">
      <c r="A169" s="6">
        <v>5215912</v>
      </c>
      <c r="B169" t="str">
        <f t="shared" si="8"/>
        <v>stacjonarny</v>
      </c>
      <c r="C169">
        <f t="shared" si="9"/>
        <v>0</v>
      </c>
      <c r="D169">
        <f t="shared" si="10"/>
        <v>0</v>
      </c>
      <c r="E169" s="1">
        <v>42920</v>
      </c>
      <c r="F169" s="2">
        <v>0.5512731481481481</v>
      </c>
      <c r="G169" s="2">
        <v>0.55435185185185187</v>
      </c>
      <c r="H169" s="2">
        <f t="shared" si="11"/>
        <v>3.0787037037037779E-3</v>
      </c>
      <c r="K169" s="1"/>
    </row>
    <row r="170" spans="1:11" x14ac:dyDescent="0.25">
      <c r="A170" s="6">
        <v>1973826522</v>
      </c>
      <c r="B170" t="str">
        <f t="shared" si="8"/>
        <v>zagraniczny</v>
      </c>
      <c r="C170">
        <f t="shared" si="9"/>
        <v>0</v>
      </c>
      <c r="D170">
        <f t="shared" si="10"/>
        <v>0</v>
      </c>
      <c r="E170" s="1">
        <v>42920</v>
      </c>
      <c r="F170" s="2">
        <v>0.5553703703703704</v>
      </c>
      <c r="G170" s="2">
        <v>0.55833333333333335</v>
      </c>
      <c r="H170" s="2">
        <f t="shared" si="11"/>
        <v>2.962962962962945E-3</v>
      </c>
      <c r="K170" s="1"/>
    </row>
    <row r="171" spans="1:11" x14ac:dyDescent="0.25">
      <c r="A171" s="6">
        <v>2255197</v>
      </c>
      <c r="B171" t="str">
        <f t="shared" si="8"/>
        <v>stacjonarny</v>
      </c>
      <c r="C171">
        <f t="shared" si="9"/>
        <v>0</v>
      </c>
      <c r="D171">
        <f t="shared" si="10"/>
        <v>0</v>
      </c>
      <c r="E171" s="1">
        <v>42920</v>
      </c>
      <c r="F171" s="2">
        <v>0.55905092592592598</v>
      </c>
      <c r="G171" s="2">
        <v>0.56342592592592589</v>
      </c>
      <c r="H171" s="2">
        <f t="shared" si="11"/>
        <v>4.3749999999999067E-3</v>
      </c>
      <c r="K171" s="1"/>
    </row>
    <row r="172" spans="1:11" x14ac:dyDescent="0.25">
      <c r="A172" s="6">
        <v>6719542</v>
      </c>
      <c r="B172" t="str">
        <f t="shared" si="8"/>
        <v>stacjonarny</v>
      </c>
      <c r="C172">
        <f t="shared" si="9"/>
        <v>0</v>
      </c>
      <c r="D172">
        <f t="shared" si="10"/>
        <v>0</v>
      </c>
      <c r="E172" s="1">
        <v>42920</v>
      </c>
      <c r="F172" s="2">
        <v>0.5638657407407407</v>
      </c>
      <c r="G172" s="2">
        <v>0.56425925925925924</v>
      </c>
      <c r="H172" s="2">
        <f t="shared" si="11"/>
        <v>3.9351851851854303E-4</v>
      </c>
      <c r="K172" s="1"/>
    </row>
    <row r="173" spans="1:11" x14ac:dyDescent="0.25">
      <c r="A173" s="6">
        <v>1837797</v>
      </c>
      <c r="B173" t="str">
        <f t="shared" si="8"/>
        <v>stacjonarny</v>
      </c>
      <c r="C173">
        <f t="shared" si="9"/>
        <v>0</v>
      </c>
      <c r="D173">
        <f t="shared" si="10"/>
        <v>0</v>
      </c>
      <c r="E173" s="1">
        <v>42920</v>
      </c>
      <c r="F173" s="2">
        <v>0.5688657407407407</v>
      </c>
      <c r="G173" s="2">
        <v>0.57524305555555555</v>
      </c>
      <c r="H173" s="2">
        <f t="shared" si="11"/>
        <v>6.3773148148148495E-3</v>
      </c>
      <c r="K173" s="1"/>
    </row>
    <row r="174" spans="1:11" x14ac:dyDescent="0.25">
      <c r="A174" s="6">
        <v>6772052</v>
      </c>
      <c r="B174" t="str">
        <f t="shared" si="8"/>
        <v>stacjonarny</v>
      </c>
      <c r="C174">
        <f t="shared" si="9"/>
        <v>0</v>
      </c>
      <c r="D174">
        <f t="shared" si="10"/>
        <v>0</v>
      </c>
      <c r="E174" s="1">
        <v>42920</v>
      </c>
      <c r="F174" s="2">
        <v>0.57204861111111116</v>
      </c>
      <c r="G174" s="2">
        <v>0.57371527777777775</v>
      </c>
      <c r="H174" s="2">
        <f t="shared" si="11"/>
        <v>1.6666666666665941E-3</v>
      </c>
      <c r="K174" s="1"/>
    </row>
    <row r="175" spans="1:11" x14ac:dyDescent="0.25">
      <c r="A175" s="6">
        <v>6495517</v>
      </c>
      <c r="B175" t="str">
        <f t="shared" si="8"/>
        <v>stacjonarny</v>
      </c>
      <c r="C175">
        <f t="shared" si="9"/>
        <v>0</v>
      </c>
      <c r="D175">
        <f t="shared" si="10"/>
        <v>0</v>
      </c>
      <c r="E175" s="1">
        <v>42920</v>
      </c>
      <c r="F175" s="2">
        <v>0.57347222222222227</v>
      </c>
      <c r="G175" s="2">
        <v>0.58420138888888884</v>
      </c>
      <c r="H175" s="2">
        <f t="shared" si="11"/>
        <v>1.0729166666666567E-2</v>
      </c>
      <c r="K175" s="1"/>
    </row>
    <row r="176" spans="1:11" x14ac:dyDescent="0.25">
      <c r="A176" s="6">
        <v>6275284312</v>
      </c>
      <c r="B176" t="str">
        <f t="shared" si="8"/>
        <v>zagraniczny</v>
      </c>
      <c r="C176">
        <f t="shared" si="9"/>
        <v>0</v>
      </c>
      <c r="D176">
        <f t="shared" si="10"/>
        <v>0</v>
      </c>
      <c r="E176" s="1">
        <v>42920</v>
      </c>
      <c r="F176" s="2">
        <v>0.57861111111111108</v>
      </c>
      <c r="G176" s="2">
        <v>0.58296296296296302</v>
      </c>
      <c r="H176" s="2">
        <f t="shared" si="11"/>
        <v>4.35185185185194E-3</v>
      </c>
      <c r="K176" s="1"/>
    </row>
    <row r="177" spans="1:11" x14ac:dyDescent="0.25">
      <c r="A177" s="6">
        <v>5997385</v>
      </c>
      <c r="B177" t="str">
        <f t="shared" si="8"/>
        <v>stacjonarny</v>
      </c>
      <c r="C177">
        <f t="shared" si="9"/>
        <v>0</v>
      </c>
      <c r="D177">
        <f t="shared" si="10"/>
        <v>0</v>
      </c>
      <c r="E177" s="1">
        <v>42920</v>
      </c>
      <c r="F177" s="2">
        <v>0.58136574074074077</v>
      </c>
      <c r="G177" s="2">
        <v>0.58156249999999998</v>
      </c>
      <c r="H177" s="2">
        <f t="shared" si="11"/>
        <v>1.96759259259216E-4</v>
      </c>
      <c r="K177" s="1"/>
    </row>
    <row r="178" spans="1:11" x14ac:dyDescent="0.25">
      <c r="A178" s="6">
        <v>54586484</v>
      </c>
      <c r="B178" t="str">
        <f t="shared" si="8"/>
        <v>komorkowy</v>
      </c>
      <c r="C178">
        <f t="shared" si="9"/>
        <v>0</v>
      </c>
      <c r="D178">
        <f t="shared" si="10"/>
        <v>0</v>
      </c>
      <c r="E178" s="1">
        <v>42920</v>
      </c>
      <c r="F178" s="2">
        <v>0.58335648148148145</v>
      </c>
      <c r="G178" s="2">
        <v>0.5841319444444445</v>
      </c>
      <c r="H178" s="2">
        <f t="shared" si="11"/>
        <v>7.7546296296304718E-4</v>
      </c>
      <c r="K178" s="1"/>
    </row>
    <row r="179" spans="1:11" x14ac:dyDescent="0.25">
      <c r="A179" s="6">
        <v>8449157</v>
      </c>
      <c r="B179" t="str">
        <f t="shared" si="8"/>
        <v>stacjonarny</v>
      </c>
      <c r="C179">
        <f t="shared" si="9"/>
        <v>0</v>
      </c>
      <c r="D179">
        <f t="shared" si="10"/>
        <v>0</v>
      </c>
      <c r="E179" s="1">
        <v>42920</v>
      </c>
      <c r="F179" s="2">
        <v>0.58377314814814818</v>
      </c>
      <c r="G179" s="2">
        <v>0.59186342592592589</v>
      </c>
      <c r="H179" s="2">
        <f t="shared" si="11"/>
        <v>8.0902777777777102E-3</v>
      </c>
      <c r="K179" s="1"/>
    </row>
    <row r="180" spans="1:11" x14ac:dyDescent="0.25">
      <c r="A180" s="6">
        <v>1301099</v>
      </c>
      <c r="B180" t="str">
        <f t="shared" si="8"/>
        <v>stacjonarny</v>
      </c>
      <c r="C180">
        <f t="shared" si="9"/>
        <v>0</v>
      </c>
      <c r="D180">
        <f t="shared" si="10"/>
        <v>0</v>
      </c>
      <c r="E180" s="1">
        <v>42920</v>
      </c>
      <c r="F180" s="2">
        <v>0.58452546296296293</v>
      </c>
      <c r="G180" s="2">
        <v>0.58862268518518523</v>
      </c>
      <c r="H180" s="2">
        <f t="shared" si="11"/>
        <v>4.0972222222223076E-3</v>
      </c>
      <c r="K180" s="1"/>
    </row>
    <row r="181" spans="1:11" x14ac:dyDescent="0.25">
      <c r="A181" s="6">
        <v>1774304298</v>
      </c>
      <c r="B181" t="str">
        <f t="shared" si="8"/>
        <v>zagraniczny</v>
      </c>
      <c r="C181">
        <f t="shared" si="9"/>
        <v>0</v>
      </c>
      <c r="D181">
        <f t="shared" si="10"/>
        <v>0</v>
      </c>
      <c r="E181" s="1">
        <v>42920</v>
      </c>
      <c r="F181" s="2">
        <v>0.58452546296296293</v>
      </c>
      <c r="G181" s="2">
        <v>0.59087962962962959</v>
      </c>
      <c r="H181" s="2">
        <f t="shared" si="11"/>
        <v>6.3541666666666607E-3</v>
      </c>
      <c r="K181" s="1"/>
    </row>
    <row r="182" spans="1:11" x14ac:dyDescent="0.25">
      <c r="A182" s="6">
        <v>52165701</v>
      </c>
      <c r="B182" t="str">
        <f t="shared" si="8"/>
        <v>komorkowy</v>
      </c>
      <c r="C182">
        <f t="shared" si="9"/>
        <v>0</v>
      </c>
      <c r="D182">
        <f t="shared" si="10"/>
        <v>0</v>
      </c>
      <c r="E182" s="1">
        <v>42920</v>
      </c>
      <c r="F182" s="2">
        <v>0.59018518518518515</v>
      </c>
      <c r="G182" s="2">
        <v>0.60047453703703701</v>
      </c>
      <c r="H182" s="2">
        <f t="shared" si="11"/>
        <v>1.0289351851851869E-2</v>
      </c>
      <c r="K182" s="1"/>
    </row>
    <row r="183" spans="1:11" x14ac:dyDescent="0.25">
      <c r="A183" s="6">
        <v>49158974</v>
      </c>
      <c r="B183" t="str">
        <f t="shared" si="8"/>
        <v>komorkowy</v>
      </c>
      <c r="C183">
        <f t="shared" si="9"/>
        <v>0</v>
      </c>
      <c r="D183">
        <f t="shared" si="10"/>
        <v>0</v>
      </c>
      <c r="E183" s="1">
        <v>42920</v>
      </c>
      <c r="F183" s="2">
        <v>0.59425925925925926</v>
      </c>
      <c r="G183" s="2">
        <v>0.59886574074074073</v>
      </c>
      <c r="H183" s="2">
        <f t="shared" si="11"/>
        <v>4.6064814814814614E-3</v>
      </c>
      <c r="K183" s="1"/>
    </row>
    <row r="184" spans="1:11" x14ac:dyDescent="0.25">
      <c r="A184" s="6">
        <v>6231537</v>
      </c>
      <c r="B184" t="str">
        <f t="shared" si="8"/>
        <v>stacjonarny</v>
      </c>
      <c r="C184">
        <f t="shared" si="9"/>
        <v>0</v>
      </c>
      <c r="D184">
        <f t="shared" si="10"/>
        <v>0</v>
      </c>
      <c r="E184" s="1">
        <v>42920</v>
      </c>
      <c r="F184" s="2">
        <v>0.59767361111111106</v>
      </c>
      <c r="G184" s="2">
        <v>0.6026273148148148</v>
      </c>
      <c r="H184" s="2">
        <f t="shared" si="11"/>
        <v>4.9537037037037379E-3</v>
      </c>
      <c r="K184" s="1"/>
    </row>
    <row r="185" spans="1:11" x14ac:dyDescent="0.25">
      <c r="A185" s="6">
        <v>6965661375</v>
      </c>
      <c r="B185" t="str">
        <f t="shared" si="8"/>
        <v>zagraniczny</v>
      </c>
      <c r="C185">
        <f t="shared" si="9"/>
        <v>0</v>
      </c>
      <c r="D185">
        <f t="shared" si="10"/>
        <v>0</v>
      </c>
      <c r="E185" s="1">
        <v>42920</v>
      </c>
      <c r="F185" s="2">
        <v>0.59995370370370371</v>
      </c>
      <c r="G185" s="2">
        <v>0.60442129629629626</v>
      </c>
      <c r="H185" s="2">
        <f t="shared" si="11"/>
        <v>4.4675925925925508E-3</v>
      </c>
      <c r="K185" s="1"/>
    </row>
    <row r="186" spans="1:11" x14ac:dyDescent="0.25">
      <c r="A186" s="6">
        <v>4555937</v>
      </c>
      <c r="B186" t="str">
        <f t="shared" si="8"/>
        <v>stacjonarny</v>
      </c>
      <c r="C186">
        <f t="shared" si="9"/>
        <v>0</v>
      </c>
      <c r="D186">
        <f t="shared" si="10"/>
        <v>0</v>
      </c>
      <c r="E186" s="1">
        <v>42920</v>
      </c>
      <c r="F186" s="2">
        <v>0.60509259259259263</v>
      </c>
      <c r="G186" s="2">
        <v>0.60509259259259263</v>
      </c>
      <c r="H186" s="2">
        <f t="shared" si="11"/>
        <v>0</v>
      </c>
      <c r="K186" s="1"/>
    </row>
    <row r="187" spans="1:11" x14ac:dyDescent="0.25">
      <c r="A187" s="6">
        <v>8831940</v>
      </c>
      <c r="B187" t="str">
        <f t="shared" si="8"/>
        <v>stacjonarny</v>
      </c>
      <c r="C187">
        <f t="shared" si="9"/>
        <v>0</v>
      </c>
      <c r="D187">
        <f t="shared" si="10"/>
        <v>0</v>
      </c>
      <c r="E187" s="1">
        <v>42920</v>
      </c>
      <c r="F187" s="2">
        <v>0.6066435185185185</v>
      </c>
      <c r="G187" s="2">
        <v>0.61133101851851857</v>
      </c>
      <c r="H187" s="2">
        <f t="shared" si="11"/>
        <v>4.6875000000000666E-3</v>
      </c>
      <c r="K187" s="1"/>
    </row>
    <row r="188" spans="1:11" x14ac:dyDescent="0.25">
      <c r="A188" s="6">
        <v>7421868</v>
      </c>
      <c r="B188" t="str">
        <f t="shared" si="8"/>
        <v>stacjonarny</v>
      </c>
      <c r="C188">
        <f t="shared" si="9"/>
        <v>0</v>
      </c>
      <c r="D188">
        <f t="shared" si="10"/>
        <v>0</v>
      </c>
      <c r="E188" s="1">
        <v>42920</v>
      </c>
      <c r="F188" s="2">
        <v>0.61136574074074079</v>
      </c>
      <c r="G188" s="2">
        <v>0.61636574074074069</v>
      </c>
      <c r="H188" s="2">
        <f t="shared" si="11"/>
        <v>4.9999999999998934E-3</v>
      </c>
      <c r="K188" s="1"/>
    </row>
    <row r="189" spans="1:11" x14ac:dyDescent="0.25">
      <c r="A189" s="6">
        <v>5131341</v>
      </c>
      <c r="B189" t="str">
        <f t="shared" si="8"/>
        <v>stacjonarny</v>
      </c>
      <c r="C189">
        <f t="shared" si="9"/>
        <v>0</v>
      </c>
      <c r="D189">
        <f t="shared" si="10"/>
        <v>0</v>
      </c>
      <c r="E189" s="1">
        <v>42920</v>
      </c>
      <c r="F189" s="2">
        <v>0.61186342592592591</v>
      </c>
      <c r="G189" s="2">
        <v>0.61896990740740743</v>
      </c>
      <c r="H189" s="2">
        <f t="shared" si="11"/>
        <v>7.1064814814815191E-3</v>
      </c>
      <c r="K189" s="1"/>
    </row>
    <row r="190" spans="1:11" x14ac:dyDescent="0.25">
      <c r="A190" s="6">
        <v>3121850</v>
      </c>
      <c r="B190" t="str">
        <f t="shared" si="8"/>
        <v>stacjonarny</v>
      </c>
      <c r="C190">
        <f t="shared" si="9"/>
        <v>0</v>
      </c>
      <c r="D190">
        <f t="shared" si="10"/>
        <v>0</v>
      </c>
      <c r="E190" s="1">
        <v>42920</v>
      </c>
      <c r="F190" s="2">
        <v>0.61410879629629633</v>
      </c>
      <c r="G190" s="2">
        <v>0.6216666666666667</v>
      </c>
      <c r="H190" s="2">
        <f t="shared" si="11"/>
        <v>7.5578703703703676E-3</v>
      </c>
      <c r="K190" s="1"/>
    </row>
    <row r="191" spans="1:11" x14ac:dyDescent="0.25">
      <c r="A191" s="6">
        <v>6905863</v>
      </c>
      <c r="B191" t="str">
        <f t="shared" si="8"/>
        <v>stacjonarny</v>
      </c>
      <c r="C191">
        <f t="shared" si="9"/>
        <v>0</v>
      </c>
      <c r="D191">
        <f t="shared" si="10"/>
        <v>0</v>
      </c>
      <c r="E191" s="1">
        <v>42920</v>
      </c>
      <c r="F191" s="2">
        <v>0.6186342592592593</v>
      </c>
      <c r="G191" s="2">
        <v>0.62296296296296294</v>
      </c>
      <c r="H191" s="2">
        <f t="shared" si="11"/>
        <v>4.3287037037036402E-3</v>
      </c>
      <c r="K191" s="1"/>
    </row>
    <row r="192" spans="1:11" x14ac:dyDescent="0.25">
      <c r="A192" s="6">
        <v>2514802</v>
      </c>
      <c r="B192" t="str">
        <f t="shared" si="8"/>
        <v>stacjonarny</v>
      </c>
      <c r="C192">
        <f t="shared" si="9"/>
        <v>0</v>
      </c>
      <c r="D192">
        <f t="shared" si="10"/>
        <v>0</v>
      </c>
      <c r="E192" s="1">
        <v>42920</v>
      </c>
      <c r="F192" s="2">
        <v>0.6186342592592593</v>
      </c>
      <c r="G192" s="2">
        <v>0.6265856481481481</v>
      </c>
      <c r="H192" s="2">
        <f t="shared" si="11"/>
        <v>7.9513888888887996E-3</v>
      </c>
      <c r="K192" s="1"/>
    </row>
    <row r="193" spans="1:11" x14ac:dyDescent="0.25">
      <c r="A193" s="6">
        <v>93696449</v>
      </c>
      <c r="B193" t="str">
        <f t="shared" si="8"/>
        <v>komorkowy</v>
      </c>
      <c r="C193">
        <f t="shared" si="9"/>
        <v>0</v>
      </c>
      <c r="D193">
        <f t="shared" si="10"/>
        <v>0</v>
      </c>
      <c r="E193" s="1">
        <v>42920</v>
      </c>
      <c r="F193" s="2">
        <v>0.6227314814814815</v>
      </c>
      <c r="G193" s="2">
        <v>0.63056712962962957</v>
      </c>
      <c r="H193" s="2">
        <f t="shared" si="11"/>
        <v>7.8356481481480778E-3</v>
      </c>
      <c r="K193" s="1"/>
    </row>
    <row r="194" spans="1:11" x14ac:dyDescent="0.25">
      <c r="A194" s="6">
        <v>3931464</v>
      </c>
      <c r="B194" t="str">
        <f t="shared" ref="B194:B257" si="12">IF(LEN(A194)=7, "stacjonarny", IF(LEN(A194)=8, "komorkowy", "zagraniczny"))</f>
        <v>stacjonarny</v>
      </c>
      <c r="C194">
        <f t="shared" si="9"/>
        <v>0</v>
      </c>
      <c r="D194">
        <f t="shared" si="10"/>
        <v>0</v>
      </c>
      <c r="E194" s="1">
        <v>42920</v>
      </c>
      <c r="F194" s="2">
        <v>0.62381944444444448</v>
      </c>
      <c r="G194" s="2">
        <v>0.6322106481481482</v>
      </c>
      <c r="H194" s="2">
        <f t="shared" si="11"/>
        <v>8.3912037037037202E-3</v>
      </c>
      <c r="K194" s="1"/>
    </row>
    <row r="195" spans="1:11" x14ac:dyDescent="0.25">
      <c r="A195" s="6">
        <v>1583683</v>
      </c>
      <c r="B195" t="str">
        <f t="shared" si="12"/>
        <v>stacjonarny</v>
      </c>
      <c r="C195">
        <f t="shared" ref="C195:C258" si="13">IF(LEFT(A195,2)="12",1,0)</f>
        <v>0</v>
      </c>
      <c r="D195">
        <f t="shared" ref="D195:D258" si="14">IF(AND(C195=1,B195="stacjonarny"),1,0)</f>
        <v>0</v>
      </c>
      <c r="E195" s="1">
        <v>42920</v>
      </c>
      <c r="F195" s="2">
        <v>0.6275694444444444</v>
      </c>
      <c r="G195" s="2">
        <v>0.63215277777777779</v>
      </c>
      <c r="H195" s="2">
        <f t="shared" ref="H195:H258" si="15">G195-F195</f>
        <v>4.5833333333333837E-3</v>
      </c>
      <c r="K195" s="1"/>
    </row>
    <row r="196" spans="1:11" x14ac:dyDescent="0.25">
      <c r="A196" s="6">
        <v>52165701</v>
      </c>
      <c r="B196" t="str">
        <f t="shared" si="12"/>
        <v>komorkowy</v>
      </c>
      <c r="C196">
        <f t="shared" si="13"/>
        <v>0</v>
      </c>
      <c r="D196">
        <f t="shared" si="14"/>
        <v>0</v>
      </c>
      <c r="E196" s="1">
        <v>42921</v>
      </c>
      <c r="F196" s="2">
        <v>0.33545138888888887</v>
      </c>
      <c r="G196" s="2">
        <v>0.3435300925925926</v>
      </c>
      <c r="H196" s="2">
        <f t="shared" si="15"/>
        <v>8.0787037037037268E-3</v>
      </c>
      <c r="K196" s="1"/>
    </row>
    <row r="197" spans="1:11" x14ac:dyDescent="0.25">
      <c r="A197" s="6">
        <v>1521041994</v>
      </c>
      <c r="B197" t="str">
        <f t="shared" si="12"/>
        <v>zagraniczny</v>
      </c>
      <c r="C197">
        <f t="shared" si="13"/>
        <v>0</v>
      </c>
      <c r="D197">
        <f t="shared" si="14"/>
        <v>0</v>
      </c>
      <c r="E197" s="1">
        <v>42921</v>
      </c>
      <c r="F197" s="2">
        <v>0.34099537037037037</v>
      </c>
      <c r="G197" s="2">
        <v>0.34749999999999998</v>
      </c>
      <c r="H197" s="2">
        <f t="shared" si="15"/>
        <v>6.5046296296296102E-3</v>
      </c>
      <c r="K197" s="1"/>
    </row>
    <row r="198" spans="1:11" x14ac:dyDescent="0.25">
      <c r="A198" s="6">
        <v>9187410</v>
      </c>
      <c r="B198" t="str">
        <f t="shared" si="12"/>
        <v>stacjonarny</v>
      </c>
      <c r="C198">
        <f t="shared" si="13"/>
        <v>0</v>
      </c>
      <c r="D198">
        <f t="shared" si="14"/>
        <v>0</v>
      </c>
      <c r="E198" s="1">
        <v>42921</v>
      </c>
      <c r="F198" s="2">
        <v>0.34662037037037036</v>
      </c>
      <c r="G198" s="2">
        <v>0.34908564814814813</v>
      </c>
      <c r="H198" s="2">
        <f t="shared" si="15"/>
        <v>2.4652777777777746E-3</v>
      </c>
      <c r="K198" s="1"/>
    </row>
    <row r="199" spans="1:11" x14ac:dyDescent="0.25">
      <c r="A199" s="6">
        <v>8228350</v>
      </c>
      <c r="B199" t="str">
        <f t="shared" si="12"/>
        <v>stacjonarny</v>
      </c>
      <c r="C199">
        <f t="shared" si="13"/>
        <v>0</v>
      </c>
      <c r="D199">
        <f t="shared" si="14"/>
        <v>0</v>
      </c>
      <c r="E199" s="1">
        <v>42921</v>
      </c>
      <c r="F199" s="2">
        <v>0.34667824074074072</v>
      </c>
      <c r="G199" s="2">
        <v>0.3473148148148148</v>
      </c>
      <c r="H199" s="2">
        <f t="shared" si="15"/>
        <v>6.3657407407408106E-4</v>
      </c>
      <c r="K199" s="1"/>
    </row>
    <row r="200" spans="1:11" x14ac:dyDescent="0.25">
      <c r="A200" s="6">
        <v>8313390</v>
      </c>
      <c r="B200" t="str">
        <f t="shared" si="12"/>
        <v>stacjonarny</v>
      </c>
      <c r="C200">
        <f t="shared" si="13"/>
        <v>0</v>
      </c>
      <c r="D200">
        <f t="shared" si="14"/>
        <v>0</v>
      </c>
      <c r="E200" s="1">
        <v>42921</v>
      </c>
      <c r="F200" s="2">
        <v>0.34903935185185186</v>
      </c>
      <c r="G200" s="2">
        <v>0.35381944444444446</v>
      </c>
      <c r="H200" s="2">
        <f t="shared" si="15"/>
        <v>4.7800925925925997E-3</v>
      </c>
      <c r="K200" s="1"/>
    </row>
    <row r="201" spans="1:11" x14ac:dyDescent="0.25">
      <c r="A201" s="6">
        <v>5508903</v>
      </c>
      <c r="B201" t="str">
        <f t="shared" si="12"/>
        <v>stacjonarny</v>
      </c>
      <c r="C201">
        <f t="shared" si="13"/>
        <v>0</v>
      </c>
      <c r="D201">
        <f t="shared" si="14"/>
        <v>0</v>
      </c>
      <c r="E201" s="1">
        <v>42921</v>
      </c>
      <c r="F201" s="2">
        <v>0.34915509259259259</v>
      </c>
      <c r="G201" s="2">
        <v>0.3605902777777778</v>
      </c>
      <c r="H201" s="2">
        <f t="shared" si="15"/>
        <v>1.1435185185185215E-2</v>
      </c>
      <c r="K201" s="1"/>
    </row>
    <row r="202" spans="1:11" x14ac:dyDescent="0.25">
      <c r="A202" s="6">
        <v>3102910</v>
      </c>
      <c r="B202" t="str">
        <f t="shared" si="12"/>
        <v>stacjonarny</v>
      </c>
      <c r="C202">
        <f t="shared" si="13"/>
        <v>0</v>
      </c>
      <c r="D202">
        <f t="shared" si="14"/>
        <v>0</v>
      </c>
      <c r="E202" s="1">
        <v>42921</v>
      </c>
      <c r="F202" s="2">
        <v>0.35150462962962964</v>
      </c>
      <c r="G202" s="2">
        <v>0.35672453703703705</v>
      </c>
      <c r="H202" s="2">
        <f t="shared" si="15"/>
        <v>5.2199074074074092E-3</v>
      </c>
      <c r="K202" s="1"/>
    </row>
    <row r="203" spans="1:11" x14ac:dyDescent="0.25">
      <c r="A203" s="6">
        <v>45948073</v>
      </c>
      <c r="B203" t="str">
        <f t="shared" si="12"/>
        <v>komorkowy</v>
      </c>
      <c r="C203">
        <f t="shared" si="13"/>
        <v>0</v>
      </c>
      <c r="D203">
        <f t="shared" si="14"/>
        <v>0</v>
      </c>
      <c r="E203" s="1">
        <v>42921</v>
      </c>
      <c r="F203" s="2">
        <v>0.35574074074074075</v>
      </c>
      <c r="G203" s="2">
        <v>0.36162037037037037</v>
      </c>
      <c r="H203" s="2">
        <f t="shared" si="15"/>
        <v>5.8796296296296235E-3</v>
      </c>
      <c r="K203" s="1"/>
    </row>
    <row r="204" spans="1:11" x14ac:dyDescent="0.25">
      <c r="A204" s="6">
        <v>73690742</v>
      </c>
      <c r="B204" t="str">
        <f t="shared" si="12"/>
        <v>komorkowy</v>
      </c>
      <c r="C204">
        <f t="shared" si="13"/>
        <v>0</v>
      </c>
      <c r="D204">
        <f t="shared" si="14"/>
        <v>0</v>
      </c>
      <c r="E204" s="1">
        <v>42921</v>
      </c>
      <c r="F204" s="2">
        <v>0.35829861111111111</v>
      </c>
      <c r="G204" s="2">
        <v>0.36826388888888889</v>
      </c>
      <c r="H204" s="2">
        <f t="shared" si="15"/>
        <v>9.9652777777777812E-3</v>
      </c>
      <c r="K204" s="1"/>
    </row>
    <row r="205" spans="1:11" x14ac:dyDescent="0.25">
      <c r="A205" s="6">
        <v>58037769</v>
      </c>
      <c r="B205" t="str">
        <f t="shared" si="12"/>
        <v>komorkowy</v>
      </c>
      <c r="C205">
        <f t="shared" si="13"/>
        <v>0</v>
      </c>
      <c r="D205">
        <f t="shared" si="14"/>
        <v>0</v>
      </c>
      <c r="E205" s="1">
        <v>42921</v>
      </c>
      <c r="F205" s="2">
        <v>0.36261574074074077</v>
      </c>
      <c r="G205" s="2">
        <v>0.36730324074074072</v>
      </c>
      <c r="H205" s="2">
        <f t="shared" si="15"/>
        <v>4.6874999999999556E-3</v>
      </c>
      <c r="K205" s="1"/>
    </row>
    <row r="206" spans="1:11" x14ac:dyDescent="0.25">
      <c r="A206" s="6">
        <v>3434934</v>
      </c>
      <c r="B206" t="str">
        <f t="shared" si="12"/>
        <v>stacjonarny</v>
      </c>
      <c r="C206">
        <f t="shared" si="13"/>
        <v>0</v>
      </c>
      <c r="D206">
        <f t="shared" si="14"/>
        <v>0</v>
      </c>
      <c r="E206" s="1">
        <v>42921</v>
      </c>
      <c r="F206" s="2">
        <v>0.36760416666666668</v>
      </c>
      <c r="G206" s="2">
        <v>0.37854166666666667</v>
      </c>
      <c r="H206" s="2">
        <f t="shared" si="15"/>
        <v>1.0937499999999989E-2</v>
      </c>
      <c r="K206" s="1"/>
    </row>
    <row r="207" spans="1:11" x14ac:dyDescent="0.25">
      <c r="A207" s="6">
        <v>4963499</v>
      </c>
      <c r="B207" t="str">
        <f t="shared" si="12"/>
        <v>stacjonarny</v>
      </c>
      <c r="C207">
        <f t="shared" si="13"/>
        <v>0</v>
      </c>
      <c r="D207">
        <f t="shared" si="14"/>
        <v>0</v>
      </c>
      <c r="E207" s="1">
        <v>42921</v>
      </c>
      <c r="F207" s="2">
        <v>0.37008101851851855</v>
      </c>
      <c r="G207" s="2">
        <v>0.37175925925925923</v>
      </c>
      <c r="H207" s="2">
        <f t="shared" si="15"/>
        <v>1.6782407407406885E-3</v>
      </c>
      <c r="K207" s="1"/>
    </row>
    <row r="208" spans="1:11" x14ac:dyDescent="0.25">
      <c r="A208" s="6">
        <v>7904403</v>
      </c>
      <c r="B208" t="str">
        <f t="shared" si="12"/>
        <v>stacjonarny</v>
      </c>
      <c r="C208">
        <f t="shared" si="13"/>
        <v>0</v>
      </c>
      <c r="D208">
        <f t="shared" si="14"/>
        <v>0</v>
      </c>
      <c r="E208" s="1">
        <v>42921</v>
      </c>
      <c r="F208" s="2">
        <v>0.37361111111111112</v>
      </c>
      <c r="G208" s="2">
        <v>0.3772800925925926</v>
      </c>
      <c r="H208" s="2">
        <f t="shared" si="15"/>
        <v>3.6689814814814814E-3</v>
      </c>
      <c r="K208" s="1"/>
    </row>
    <row r="209" spans="1:11" x14ac:dyDescent="0.25">
      <c r="A209" s="6">
        <v>4389240</v>
      </c>
      <c r="B209" t="str">
        <f t="shared" si="12"/>
        <v>stacjonarny</v>
      </c>
      <c r="C209">
        <f t="shared" si="13"/>
        <v>0</v>
      </c>
      <c r="D209">
        <f t="shared" si="14"/>
        <v>0</v>
      </c>
      <c r="E209" s="1">
        <v>42921</v>
      </c>
      <c r="F209" s="2">
        <v>0.37711805555555555</v>
      </c>
      <c r="G209" s="2">
        <v>0.37886574074074075</v>
      </c>
      <c r="H209" s="2">
        <f t="shared" si="15"/>
        <v>1.7476851851851993E-3</v>
      </c>
      <c r="K209" s="1"/>
    </row>
    <row r="210" spans="1:11" x14ac:dyDescent="0.25">
      <c r="A210" s="6">
        <v>68647339</v>
      </c>
      <c r="B210" t="str">
        <f t="shared" si="12"/>
        <v>komorkowy</v>
      </c>
      <c r="C210">
        <f t="shared" si="13"/>
        <v>0</v>
      </c>
      <c r="D210">
        <f t="shared" si="14"/>
        <v>0</v>
      </c>
      <c r="E210" s="1">
        <v>42921</v>
      </c>
      <c r="F210" s="2">
        <v>0.38180555555555556</v>
      </c>
      <c r="G210" s="2">
        <v>0.39295138888888886</v>
      </c>
      <c r="H210" s="2">
        <f t="shared" si="15"/>
        <v>1.1145833333333299E-2</v>
      </c>
      <c r="K210" s="1"/>
    </row>
    <row r="211" spans="1:11" x14ac:dyDescent="0.25">
      <c r="A211" s="6">
        <v>8461631</v>
      </c>
      <c r="B211" t="str">
        <f t="shared" si="12"/>
        <v>stacjonarny</v>
      </c>
      <c r="C211">
        <f t="shared" si="13"/>
        <v>0</v>
      </c>
      <c r="D211">
        <f t="shared" si="14"/>
        <v>0</v>
      </c>
      <c r="E211" s="1">
        <v>42921</v>
      </c>
      <c r="F211" s="2">
        <v>0.38335648148148149</v>
      </c>
      <c r="G211" s="2">
        <v>0.38451388888888888</v>
      </c>
      <c r="H211" s="2">
        <f t="shared" si="15"/>
        <v>1.1574074074073848E-3</v>
      </c>
      <c r="K211" s="1"/>
    </row>
    <row r="212" spans="1:11" x14ac:dyDescent="0.25">
      <c r="A212" s="6">
        <v>3087246</v>
      </c>
      <c r="B212" t="str">
        <f t="shared" si="12"/>
        <v>stacjonarny</v>
      </c>
      <c r="C212">
        <f t="shared" si="13"/>
        <v>0</v>
      </c>
      <c r="D212">
        <f t="shared" si="14"/>
        <v>0</v>
      </c>
      <c r="E212" s="1">
        <v>42921</v>
      </c>
      <c r="F212" s="2">
        <v>0.38633101851851853</v>
      </c>
      <c r="G212" s="2">
        <v>0.39391203703703703</v>
      </c>
      <c r="H212" s="2">
        <f t="shared" si="15"/>
        <v>7.5810185185185008E-3</v>
      </c>
      <c r="K212" s="1"/>
    </row>
    <row r="213" spans="1:11" x14ac:dyDescent="0.25">
      <c r="A213" s="6">
        <v>9321082</v>
      </c>
      <c r="B213" t="str">
        <f t="shared" si="12"/>
        <v>stacjonarny</v>
      </c>
      <c r="C213">
        <f t="shared" si="13"/>
        <v>0</v>
      </c>
      <c r="D213">
        <f t="shared" si="14"/>
        <v>0</v>
      </c>
      <c r="E213" s="1">
        <v>42921</v>
      </c>
      <c r="F213" s="2">
        <v>0.38976851851851851</v>
      </c>
      <c r="G213" s="2">
        <v>0.40090277777777777</v>
      </c>
      <c r="H213" s="2">
        <f t="shared" si="15"/>
        <v>1.113425925925926E-2</v>
      </c>
      <c r="K213" s="1"/>
    </row>
    <row r="214" spans="1:11" x14ac:dyDescent="0.25">
      <c r="A214" s="6">
        <v>4941247888</v>
      </c>
      <c r="B214" t="str">
        <f t="shared" si="12"/>
        <v>zagraniczny</v>
      </c>
      <c r="C214">
        <f t="shared" si="13"/>
        <v>0</v>
      </c>
      <c r="D214">
        <f t="shared" si="14"/>
        <v>0</v>
      </c>
      <c r="E214" s="1">
        <v>42921</v>
      </c>
      <c r="F214" s="2">
        <v>0.39114583333333336</v>
      </c>
      <c r="G214" s="2">
        <v>0.39870370370370373</v>
      </c>
      <c r="H214" s="2">
        <f t="shared" si="15"/>
        <v>7.5578703703703676E-3</v>
      </c>
      <c r="K214" s="1"/>
    </row>
    <row r="215" spans="1:11" x14ac:dyDescent="0.25">
      <c r="A215" s="6">
        <v>13484133</v>
      </c>
      <c r="B215" t="str">
        <f t="shared" si="12"/>
        <v>komorkowy</v>
      </c>
      <c r="C215">
        <f t="shared" si="13"/>
        <v>0</v>
      </c>
      <c r="D215">
        <f t="shared" si="14"/>
        <v>0</v>
      </c>
      <c r="E215" s="1">
        <v>42921</v>
      </c>
      <c r="F215" s="2">
        <v>0.3959375</v>
      </c>
      <c r="G215" s="2">
        <v>0.3982060185185185</v>
      </c>
      <c r="H215" s="2">
        <f t="shared" si="15"/>
        <v>2.2685185185185031E-3</v>
      </c>
      <c r="K215" s="1"/>
    </row>
    <row r="216" spans="1:11" x14ac:dyDescent="0.25">
      <c r="A216" s="6">
        <v>9610703</v>
      </c>
      <c r="B216" t="str">
        <f t="shared" si="12"/>
        <v>stacjonarny</v>
      </c>
      <c r="C216">
        <f t="shared" si="13"/>
        <v>0</v>
      </c>
      <c r="D216">
        <f t="shared" si="14"/>
        <v>0</v>
      </c>
      <c r="E216" s="1">
        <v>42921</v>
      </c>
      <c r="F216" s="2">
        <v>0.40074074074074073</v>
      </c>
      <c r="G216" s="2">
        <v>0.40766203703703702</v>
      </c>
      <c r="H216" s="2">
        <f t="shared" si="15"/>
        <v>6.9212962962962865E-3</v>
      </c>
      <c r="K216" s="1"/>
    </row>
    <row r="217" spans="1:11" x14ac:dyDescent="0.25">
      <c r="A217" s="6">
        <v>7236035</v>
      </c>
      <c r="B217" t="str">
        <f t="shared" si="12"/>
        <v>stacjonarny</v>
      </c>
      <c r="C217">
        <f t="shared" si="13"/>
        <v>0</v>
      </c>
      <c r="D217">
        <f t="shared" si="14"/>
        <v>0</v>
      </c>
      <c r="E217" s="1">
        <v>42921</v>
      </c>
      <c r="F217" s="2">
        <v>0.40517361111111111</v>
      </c>
      <c r="G217" s="2">
        <v>0.41189814814814812</v>
      </c>
      <c r="H217" s="2">
        <f t="shared" si="15"/>
        <v>6.724537037037015E-3</v>
      </c>
      <c r="K217" s="1"/>
    </row>
    <row r="218" spans="1:11" x14ac:dyDescent="0.25">
      <c r="A218" s="6">
        <v>7236035</v>
      </c>
      <c r="B218" t="str">
        <f t="shared" si="12"/>
        <v>stacjonarny</v>
      </c>
      <c r="C218">
        <f t="shared" si="13"/>
        <v>0</v>
      </c>
      <c r="D218">
        <f t="shared" si="14"/>
        <v>0</v>
      </c>
      <c r="E218" s="1">
        <v>42921</v>
      </c>
      <c r="F218" s="2">
        <v>0.4089814814814815</v>
      </c>
      <c r="G218" s="2">
        <v>0.41927083333333331</v>
      </c>
      <c r="H218" s="2">
        <f t="shared" si="15"/>
        <v>1.0289351851851813E-2</v>
      </c>
      <c r="K218" s="1"/>
    </row>
    <row r="219" spans="1:11" x14ac:dyDescent="0.25">
      <c r="A219" s="6">
        <v>2675422</v>
      </c>
      <c r="B219" t="str">
        <f t="shared" si="12"/>
        <v>stacjonarny</v>
      </c>
      <c r="C219">
        <f t="shared" si="13"/>
        <v>0</v>
      </c>
      <c r="D219">
        <f t="shared" si="14"/>
        <v>0</v>
      </c>
      <c r="E219" s="1">
        <v>42921</v>
      </c>
      <c r="F219" s="2">
        <v>0.41393518518518518</v>
      </c>
      <c r="G219" s="2">
        <v>0.42075231481481479</v>
      </c>
      <c r="H219" s="2">
        <f t="shared" si="15"/>
        <v>6.8171296296296036E-3</v>
      </c>
      <c r="K219" s="1"/>
    </row>
    <row r="220" spans="1:11" x14ac:dyDescent="0.25">
      <c r="A220" s="6">
        <v>99056276</v>
      </c>
      <c r="B220" t="str">
        <f t="shared" si="12"/>
        <v>komorkowy</v>
      </c>
      <c r="C220">
        <f t="shared" si="13"/>
        <v>0</v>
      </c>
      <c r="D220">
        <f t="shared" si="14"/>
        <v>0</v>
      </c>
      <c r="E220" s="1">
        <v>42921</v>
      </c>
      <c r="F220" s="2">
        <v>0.41749999999999998</v>
      </c>
      <c r="G220" s="2">
        <v>0.42891203703703706</v>
      </c>
      <c r="H220" s="2">
        <f t="shared" si="15"/>
        <v>1.1412037037037082E-2</v>
      </c>
      <c r="K220" s="1"/>
    </row>
    <row r="221" spans="1:11" x14ac:dyDescent="0.25">
      <c r="A221" s="6">
        <v>1715377</v>
      </c>
      <c r="B221" t="str">
        <f t="shared" si="12"/>
        <v>stacjonarny</v>
      </c>
      <c r="C221">
        <f t="shared" si="13"/>
        <v>0</v>
      </c>
      <c r="D221">
        <f t="shared" si="14"/>
        <v>0</v>
      </c>
      <c r="E221" s="1">
        <v>42921</v>
      </c>
      <c r="F221" s="2">
        <v>0.41847222222222225</v>
      </c>
      <c r="G221" s="2">
        <v>0.42833333333333334</v>
      </c>
      <c r="H221" s="2">
        <f t="shared" si="15"/>
        <v>9.8611111111110983E-3</v>
      </c>
      <c r="K221" s="1"/>
    </row>
    <row r="222" spans="1:11" x14ac:dyDescent="0.25">
      <c r="A222" s="6">
        <v>6700458395</v>
      </c>
      <c r="B222" t="str">
        <f t="shared" si="12"/>
        <v>zagraniczny</v>
      </c>
      <c r="C222">
        <f t="shared" si="13"/>
        <v>0</v>
      </c>
      <c r="D222">
        <f t="shared" si="14"/>
        <v>0</v>
      </c>
      <c r="E222" s="1">
        <v>42921</v>
      </c>
      <c r="F222" s="2">
        <v>0.42149305555555555</v>
      </c>
      <c r="G222" s="2">
        <v>0.42678240740740742</v>
      </c>
      <c r="H222" s="2">
        <f t="shared" si="15"/>
        <v>5.2893518518518645E-3</v>
      </c>
      <c r="K222" s="1"/>
    </row>
    <row r="223" spans="1:11" x14ac:dyDescent="0.25">
      <c r="A223" s="6">
        <v>2211277198</v>
      </c>
      <c r="B223" t="str">
        <f t="shared" si="12"/>
        <v>zagraniczny</v>
      </c>
      <c r="C223">
        <f t="shared" si="13"/>
        <v>0</v>
      </c>
      <c r="D223">
        <f t="shared" si="14"/>
        <v>0</v>
      </c>
      <c r="E223" s="1">
        <v>42921</v>
      </c>
      <c r="F223" s="2">
        <v>0.42168981481481482</v>
      </c>
      <c r="G223" s="2">
        <v>0.42326388888888888</v>
      </c>
      <c r="H223" s="2">
        <f t="shared" si="15"/>
        <v>1.5740740740740611E-3</v>
      </c>
      <c r="K223" s="1"/>
    </row>
    <row r="224" spans="1:11" x14ac:dyDescent="0.25">
      <c r="A224" s="6">
        <v>9866373</v>
      </c>
      <c r="B224" t="str">
        <f t="shared" si="12"/>
        <v>stacjonarny</v>
      </c>
      <c r="C224">
        <f t="shared" si="13"/>
        <v>0</v>
      </c>
      <c r="D224">
        <f t="shared" si="14"/>
        <v>0</v>
      </c>
      <c r="E224" s="1">
        <v>42921</v>
      </c>
      <c r="F224" s="2">
        <v>0.42202546296296295</v>
      </c>
      <c r="G224" s="2">
        <v>0.42905092592592592</v>
      </c>
      <c r="H224" s="2">
        <f t="shared" si="15"/>
        <v>7.0254629629629695E-3</v>
      </c>
      <c r="K224" s="1"/>
    </row>
    <row r="225" spans="1:11" x14ac:dyDescent="0.25">
      <c r="A225" s="6">
        <v>4526057</v>
      </c>
      <c r="B225" t="str">
        <f t="shared" si="12"/>
        <v>stacjonarny</v>
      </c>
      <c r="C225">
        <f t="shared" si="13"/>
        <v>0</v>
      </c>
      <c r="D225">
        <f t="shared" si="14"/>
        <v>0</v>
      </c>
      <c r="E225" s="1">
        <v>42921</v>
      </c>
      <c r="F225" s="2">
        <v>0.42313657407407407</v>
      </c>
      <c r="G225" s="2">
        <v>0.42508101851851854</v>
      </c>
      <c r="H225" s="2">
        <f t="shared" si="15"/>
        <v>1.9444444444444708E-3</v>
      </c>
      <c r="K225" s="1"/>
    </row>
    <row r="226" spans="1:11" x14ac:dyDescent="0.25">
      <c r="A226" s="6">
        <v>70786056</v>
      </c>
      <c r="B226" t="str">
        <f t="shared" si="12"/>
        <v>komorkowy</v>
      </c>
      <c r="C226">
        <f t="shared" si="13"/>
        <v>0</v>
      </c>
      <c r="D226">
        <f t="shared" si="14"/>
        <v>0</v>
      </c>
      <c r="E226" s="1">
        <v>42921</v>
      </c>
      <c r="F226" s="2">
        <v>0.42357638888888888</v>
      </c>
      <c r="G226" s="2">
        <v>0.4253587962962963</v>
      </c>
      <c r="H226" s="2">
        <f t="shared" si="15"/>
        <v>1.782407407407427E-3</v>
      </c>
      <c r="K226" s="1"/>
    </row>
    <row r="227" spans="1:11" x14ac:dyDescent="0.25">
      <c r="A227" s="6">
        <v>9874705</v>
      </c>
      <c r="B227" t="str">
        <f t="shared" si="12"/>
        <v>stacjonarny</v>
      </c>
      <c r="C227">
        <f t="shared" si="13"/>
        <v>0</v>
      </c>
      <c r="D227">
        <f t="shared" si="14"/>
        <v>0</v>
      </c>
      <c r="E227" s="1">
        <v>42921</v>
      </c>
      <c r="F227" s="2">
        <v>0.4274074074074074</v>
      </c>
      <c r="G227" s="2">
        <v>0.43408564814814815</v>
      </c>
      <c r="H227" s="2">
        <f t="shared" si="15"/>
        <v>6.6782407407407485E-3</v>
      </c>
      <c r="K227" s="1"/>
    </row>
    <row r="228" spans="1:11" x14ac:dyDescent="0.25">
      <c r="A228" s="6">
        <v>2506618</v>
      </c>
      <c r="B228" t="str">
        <f t="shared" si="12"/>
        <v>stacjonarny</v>
      </c>
      <c r="C228">
        <f t="shared" si="13"/>
        <v>0</v>
      </c>
      <c r="D228">
        <f t="shared" si="14"/>
        <v>0</v>
      </c>
      <c r="E228" s="1">
        <v>42921</v>
      </c>
      <c r="F228" s="2">
        <v>0.43084490740740738</v>
      </c>
      <c r="G228" s="2">
        <v>0.43738425925925928</v>
      </c>
      <c r="H228" s="2">
        <f t="shared" si="15"/>
        <v>6.5393518518518934E-3</v>
      </c>
      <c r="K228" s="1"/>
    </row>
    <row r="229" spans="1:11" x14ac:dyDescent="0.25">
      <c r="A229" s="6">
        <v>6312575</v>
      </c>
      <c r="B229" t="str">
        <f t="shared" si="12"/>
        <v>stacjonarny</v>
      </c>
      <c r="C229">
        <f t="shared" si="13"/>
        <v>0</v>
      </c>
      <c r="D229">
        <f t="shared" si="14"/>
        <v>0</v>
      </c>
      <c r="E229" s="1">
        <v>42921</v>
      </c>
      <c r="F229" s="2">
        <v>0.43234953703703705</v>
      </c>
      <c r="G229" s="2">
        <v>0.44233796296296296</v>
      </c>
      <c r="H229" s="2">
        <f t="shared" si="15"/>
        <v>9.9884259259259145E-3</v>
      </c>
      <c r="K229" s="1"/>
    </row>
    <row r="230" spans="1:11" x14ac:dyDescent="0.25">
      <c r="A230" s="6">
        <v>9620895</v>
      </c>
      <c r="B230" t="str">
        <f t="shared" si="12"/>
        <v>stacjonarny</v>
      </c>
      <c r="C230">
        <f t="shared" si="13"/>
        <v>0</v>
      </c>
      <c r="D230">
        <f t="shared" si="14"/>
        <v>0</v>
      </c>
      <c r="E230" s="1">
        <v>42921</v>
      </c>
      <c r="F230" s="2">
        <v>0.4362847222222222</v>
      </c>
      <c r="G230" s="2">
        <v>0.44714120370370369</v>
      </c>
      <c r="H230" s="2">
        <f t="shared" si="15"/>
        <v>1.0856481481481495E-2</v>
      </c>
      <c r="K230" s="1"/>
    </row>
    <row r="231" spans="1:11" x14ac:dyDescent="0.25">
      <c r="A231" s="6">
        <v>8187780</v>
      </c>
      <c r="B231" t="str">
        <f t="shared" si="12"/>
        <v>stacjonarny</v>
      </c>
      <c r="C231">
        <f t="shared" si="13"/>
        <v>0</v>
      </c>
      <c r="D231">
        <f t="shared" si="14"/>
        <v>0</v>
      </c>
      <c r="E231" s="1">
        <v>42921</v>
      </c>
      <c r="F231" s="2">
        <v>0.43898148148148147</v>
      </c>
      <c r="G231" s="2">
        <v>0.44800925925925927</v>
      </c>
      <c r="H231" s="2">
        <f t="shared" si="15"/>
        <v>9.0277777777778012E-3</v>
      </c>
      <c r="K231" s="1"/>
    </row>
    <row r="232" spans="1:11" x14ac:dyDescent="0.25">
      <c r="A232" s="6">
        <v>4176999</v>
      </c>
      <c r="B232" t="str">
        <f t="shared" si="12"/>
        <v>stacjonarny</v>
      </c>
      <c r="C232">
        <f t="shared" si="13"/>
        <v>0</v>
      </c>
      <c r="D232">
        <f t="shared" si="14"/>
        <v>0</v>
      </c>
      <c r="E232" s="1">
        <v>42921</v>
      </c>
      <c r="F232" s="2">
        <v>0.44148148148148147</v>
      </c>
      <c r="G232" s="2">
        <v>0.45222222222222225</v>
      </c>
      <c r="H232" s="2">
        <f t="shared" si="15"/>
        <v>1.0740740740740773E-2</v>
      </c>
      <c r="K232" s="1"/>
    </row>
    <row r="233" spans="1:11" x14ac:dyDescent="0.25">
      <c r="A233" s="6">
        <v>9937257</v>
      </c>
      <c r="B233" t="str">
        <f t="shared" si="12"/>
        <v>stacjonarny</v>
      </c>
      <c r="C233">
        <f t="shared" si="13"/>
        <v>0</v>
      </c>
      <c r="D233">
        <f t="shared" si="14"/>
        <v>0</v>
      </c>
      <c r="E233" s="1">
        <v>42921</v>
      </c>
      <c r="F233" s="2">
        <v>0.44383101851851853</v>
      </c>
      <c r="G233" s="2">
        <v>0.44697916666666665</v>
      </c>
      <c r="H233" s="2">
        <f t="shared" si="15"/>
        <v>3.1481481481481222E-3</v>
      </c>
      <c r="K233" s="1"/>
    </row>
    <row r="234" spans="1:11" x14ac:dyDescent="0.25">
      <c r="A234" s="6">
        <v>4363716</v>
      </c>
      <c r="B234" t="str">
        <f t="shared" si="12"/>
        <v>stacjonarny</v>
      </c>
      <c r="C234">
        <f t="shared" si="13"/>
        <v>0</v>
      </c>
      <c r="D234">
        <f t="shared" si="14"/>
        <v>0</v>
      </c>
      <c r="E234" s="1">
        <v>42921</v>
      </c>
      <c r="F234" s="2">
        <v>0.44436342592592593</v>
      </c>
      <c r="G234" s="2">
        <v>0.45106481481481481</v>
      </c>
      <c r="H234" s="2">
        <f t="shared" si="15"/>
        <v>6.7013888888888817E-3</v>
      </c>
      <c r="K234" s="1"/>
    </row>
    <row r="235" spans="1:11" x14ac:dyDescent="0.25">
      <c r="A235" s="6">
        <v>96323047</v>
      </c>
      <c r="B235" t="str">
        <f t="shared" si="12"/>
        <v>komorkowy</v>
      </c>
      <c r="C235">
        <f t="shared" si="13"/>
        <v>0</v>
      </c>
      <c r="D235">
        <f t="shared" si="14"/>
        <v>0</v>
      </c>
      <c r="E235" s="1">
        <v>42921</v>
      </c>
      <c r="F235" s="2">
        <v>0.44962962962962966</v>
      </c>
      <c r="G235" s="2">
        <v>0.45341435185185186</v>
      </c>
      <c r="H235" s="2">
        <f t="shared" si="15"/>
        <v>3.7847222222222032E-3</v>
      </c>
      <c r="K235" s="1"/>
    </row>
    <row r="236" spans="1:11" x14ac:dyDescent="0.25">
      <c r="A236" s="6">
        <v>2750193</v>
      </c>
      <c r="B236" t="str">
        <f t="shared" si="12"/>
        <v>stacjonarny</v>
      </c>
      <c r="C236">
        <f t="shared" si="13"/>
        <v>0</v>
      </c>
      <c r="D236">
        <f t="shared" si="14"/>
        <v>0</v>
      </c>
      <c r="E236" s="1">
        <v>42921</v>
      </c>
      <c r="F236" s="2">
        <v>0.45445601851851852</v>
      </c>
      <c r="G236" s="2">
        <v>0.455625</v>
      </c>
      <c r="H236" s="2">
        <f t="shared" si="15"/>
        <v>1.1689814814814792E-3</v>
      </c>
      <c r="K236" s="1"/>
    </row>
    <row r="237" spans="1:11" x14ac:dyDescent="0.25">
      <c r="A237" s="6">
        <v>7973319</v>
      </c>
      <c r="B237" t="str">
        <f t="shared" si="12"/>
        <v>stacjonarny</v>
      </c>
      <c r="C237">
        <f t="shared" si="13"/>
        <v>0</v>
      </c>
      <c r="D237">
        <f t="shared" si="14"/>
        <v>0</v>
      </c>
      <c r="E237" s="1">
        <v>42921</v>
      </c>
      <c r="F237" s="2">
        <v>0.45565972222222223</v>
      </c>
      <c r="G237" s="2">
        <v>0.46090277777777777</v>
      </c>
      <c r="H237" s="2">
        <f t="shared" si="15"/>
        <v>5.2430555555555425E-3</v>
      </c>
      <c r="K237" s="1"/>
    </row>
    <row r="238" spans="1:11" x14ac:dyDescent="0.25">
      <c r="A238" s="6">
        <v>1908394</v>
      </c>
      <c r="B238" t="str">
        <f t="shared" si="12"/>
        <v>stacjonarny</v>
      </c>
      <c r="C238">
        <f t="shared" si="13"/>
        <v>0</v>
      </c>
      <c r="D238">
        <f t="shared" si="14"/>
        <v>0</v>
      </c>
      <c r="E238" s="1">
        <v>42921</v>
      </c>
      <c r="F238" s="2">
        <v>0.45825231481481482</v>
      </c>
      <c r="G238" s="2">
        <v>0.46818287037037037</v>
      </c>
      <c r="H238" s="2">
        <f t="shared" si="15"/>
        <v>9.9305555555555536E-3</v>
      </c>
      <c r="K238" s="1"/>
    </row>
    <row r="239" spans="1:11" x14ac:dyDescent="0.25">
      <c r="A239" s="6">
        <v>19116274</v>
      </c>
      <c r="B239" t="str">
        <f t="shared" si="12"/>
        <v>komorkowy</v>
      </c>
      <c r="C239">
        <f t="shared" si="13"/>
        <v>0</v>
      </c>
      <c r="D239">
        <f t="shared" si="14"/>
        <v>0</v>
      </c>
      <c r="E239" s="1">
        <v>42921</v>
      </c>
      <c r="F239" s="2">
        <v>0.46032407407407405</v>
      </c>
      <c r="G239" s="2">
        <v>0.46797453703703706</v>
      </c>
      <c r="H239" s="2">
        <f t="shared" si="15"/>
        <v>7.6504629629630116E-3</v>
      </c>
      <c r="K239" s="1"/>
    </row>
    <row r="240" spans="1:11" x14ac:dyDescent="0.25">
      <c r="A240" s="6">
        <v>1235622</v>
      </c>
      <c r="B240" t="str">
        <f t="shared" si="12"/>
        <v>stacjonarny</v>
      </c>
      <c r="C240">
        <f t="shared" si="13"/>
        <v>1</v>
      </c>
      <c r="D240">
        <f t="shared" si="14"/>
        <v>1</v>
      </c>
      <c r="E240" s="1">
        <v>42921</v>
      </c>
      <c r="F240" s="2">
        <v>0.46460648148148148</v>
      </c>
      <c r="G240" s="2">
        <v>0.47087962962962965</v>
      </c>
      <c r="H240" s="2">
        <f t="shared" si="15"/>
        <v>6.2731481481481666E-3</v>
      </c>
      <c r="K240" s="1"/>
    </row>
    <row r="241" spans="1:11" x14ac:dyDescent="0.25">
      <c r="A241" s="6">
        <v>1926053</v>
      </c>
      <c r="B241" t="str">
        <f t="shared" si="12"/>
        <v>stacjonarny</v>
      </c>
      <c r="C241">
        <f t="shared" si="13"/>
        <v>0</v>
      </c>
      <c r="D241">
        <f t="shared" si="14"/>
        <v>0</v>
      </c>
      <c r="E241" s="1">
        <v>42921</v>
      </c>
      <c r="F241" s="2">
        <v>0.46751157407407407</v>
      </c>
      <c r="G241" s="2">
        <v>0.46879629629629632</v>
      </c>
      <c r="H241" s="2">
        <f t="shared" si="15"/>
        <v>1.2847222222222565E-3</v>
      </c>
      <c r="K241" s="1"/>
    </row>
    <row r="242" spans="1:11" x14ac:dyDescent="0.25">
      <c r="A242" s="6">
        <v>1458287</v>
      </c>
      <c r="B242" t="str">
        <f t="shared" si="12"/>
        <v>stacjonarny</v>
      </c>
      <c r="C242">
        <f t="shared" si="13"/>
        <v>0</v>
      </c>
      <c r="D242">
        <f t="shared" si="14"/>
        <v>0</v>
      </c>
      <c r="E242" s="1">
        <v>42921</v>
      </c>
      <c r="F242" s="2">
        <v>0.47060185185185183</v>
      </c>
      <c r="G242" s="2">
        <v>0.47584490740740742</v>
      </c>
      <c r="H242" s="2">
        <f t="shared" si="15"/>
        <v>5.243055555555598E-3</v>
      </c>
      <c r="K242" s="1"/>
    </row>
    <row r="243" spans="1:11" x14ac:dyDescent="0.25">
      <c r="A243" s="6">
        <v>3758539398</v>
      </c>
      <c r="B243" t="str">
        <f t="shared" si="12"/>
        <v>zagraniczny</v>
      </c>
      <c r="C243">
        <f t="shared" si="13"/>
        <v>0</v>
      </c>
      <c r="D243">
        <f t="shared" si="14"/>
        <v>0</v>
      </c>
      <c r="E243" s="1">
        <v>42921</v>
      </c>
      <c r="F243" s="2">
        <v>0.47296296296296297</v>
      </c>
      <c r="G243" s="2">
        <v>0.47506944444444443</v>
      </c>
      <c r="H243" s="2">
        <f t="shared" si="15"/>
        <v>2.1064814814814592E-3</v>
      </c>
      <c r="K243" s="1"/>
    </row>
    <row r="244" spans="1:11" x14ac:dyDescent="0.25">
      <c r="A244" s="6">
        <v>8471021</v>
      </c>
      <c r="B244" t="str">
        <f t="shared" si="12"/>
        <v>stacjonarny</v>
      </c>
      <c r="C244">
        <f t="shared" si="13"/>
        <v>0</v>
      </c>
      <c r="D244">
        <f t="shared" si="14"/>
        <v>0</v>
      </c>
      <c r="E244" s="1">
        <v>42921</v>
      </c>
      <c r="F244" s="2">
        <v>0.47431712962962963</v>
      </c>
      <c r="G244" s="2">
        <v>0.47746527777777775</v>
      </c>
      <c r="H244" s="2">
        <f t="shared" si="15"/>
        <v>3.1481481481481222E-3</v>
      </c>
      <c r="K244" s="1"/>
    </row>
    <row r="245" spans="1:11" x14ac:dyDescent="0.25">
      <c r="A245" s="6">
        <v>4039284</v>
      </c>
      <c r="B245" t="str">
        <f t="shared" si="12"/>
        <v>stacjonarny</v>
      </c>
      <c r="C245">
        <f t="shared" si="13"/>
        <v>0</v>
      </c>
      <c r="D245">
        <f t="shared" si="14"/>
        <v>0</v>
      </c>
      <c r="E245" s="1">
        <v>42921</v>
      </c>
      <c r="F245" s="2">
        <v>0.47684027777777777</v>
      </c>
      <c r="G245" s="2">
        <v>0.4824074074074074</v>
      </c>
      <c r="H245" s="2">
        <f t="shared" si="15"/>
        <v>5.5671296296296302E-3</v>
      </c>
      <c r="K245" s="1"/>
    </row>
    <row r="246" spans="1:11" x14ac:dyDescent="0.25">
      <c r="A246" s="6">
        <v>3177370</v>
      </c>
      <c r="B246" t="str">
        <f t="shared" si="12"/>
        <v>stacjonarny</v>
      </c>
      <c r="C246">
        <f t="shared" si="13"/>
        <v>0</v>
      </c>
      <c r="D246">
        <f t="shared" si="14"/>
        <v>0</v>
      </c>
      <c r="E246" s="1">
        <v>42921</v>
      </c>
      <c r="F246" s="2">
        <v>0.47972222222222222</v>
      </c>
      <c r="G246" s="2">
        <v>0.48660879629629628</v>
      </c>
      <c r="H246" s="2">
        <f t="shared" si="15"/>
        <v>6.8865740740740589E-3</v>
      </c>
      <c r="K246" s="1"/>
    </row>
    <row r="247" spans="1:11" x14ac:dyDescent="0.25">
      <c r="A247" s="6">
        <v>7236035</v>
      </c>
      <c r="B247" t="str">
        <f t="shared" si="12"/>
        <v>stacjonarny</v>
      </c>
      <c r="C247">
        <f t="shared" si="13"/>
        <v>0</v>
      </c>
      <c r="D247">
        <f t="shared" si="14"/>
        <v>0</v>
      </c>
      <c r="E247" s="1">
        <v>42921</v>
      </c>
      <c r="F247" s="2">
        <v>0.48149305555555555</v>
      </c>
      <c r="G247" s="2">
        <v>0.48582175925925924</v>
      </c>
      <c r="H247" s="2">
        <f t="shared" si="15"/>
        <v>4.3287037037036957E-3</v>
      </c>
      <c r="K247" s="1"/>
    </row>
    <row r="248" spans="1:11" x14ac:dyDescent="0.25">
      <c r="A248" s="6">
        <v>6689117</v>
      </c>
      <c r="B248" t="str">
        <f t="shared" si="12"/>
        <v>stacjonarny</v>
      </c>
      <c r="C248">
        <f t="shared" si="13"/>
        <v>0</v>
      </c>
      <c r="D248">
        <f t="shared" si="14"/>
        <v>0</v>
      </c>
      <c r="E248" s="1">
        <v>42921</v>
      </c>
      <c r="F248" s="2">
        <v>0.48554398148148148</v>
      </c>
      <c r="G248" s="2">
        <v>0.49553240740740739</v>
      </c>
      <c r="H248" s="2">
        <f t="shared" si="15"/>
        <v>9.9884259259259145E-3</v>
      </c>
      <c r="K248" s="1"/>
    </row>
    <row r="249" spans="1:11" x14ac:dyDescent="0.25">
      <c r="A249" s="6">
        <v>4824267</v>
      </c>
      <c r="B249" t="str">
        <f t="shared" si="12"/>
        <v>stacjonarny</v>
      </c>
      <c r="C249">
        <f t="shared" si="13"/>
        <v>0</v>
      </c>
      <c r="D249">
        <f t="shared" si="14"/>
        <v>0</v>
      </c>
      <c r="E249" s="1">
        <v>42921</v>
      </c>
      <c r="F249" s="2">
        <v>0.4871875</v>
      </c>
      <c r="G249" s="2">
        <v>0.49509259259259258</v>
      </c>
      <c r="H249" s="2">
        <f t="shared" si="15"/>
        <v>7.9050925925925886E-3</v>
      </c>
      <c r="K249" s="1"/>
    </row>
    <row r="250" spans="1:11" x14ac:dyDescent="0.25">
      <c r="A250" s="6">
        <v>6978234</v>
      </c>
      <c r="B250" t="str">
        <f t="shared" si="12"/>
        <v>stacjonarny</v>
      </c>
      <c r="C250">
        <f t="shared" si="13"/>
        <v>0</v>
      </c>
      <c r="D250">
        <f t="shared" si="14"/>
        <v>0</v>
      </c>
      <c r="E250" s="1">
        <v>42921</v>
      </c>
      <c r="F250" s="2">
        <v>0.48873842592592592</v>
      </c>
      <c r="G250" s="2">
        <v>0.49131944444444442</v>
      </c>
      <c r="H250" s="2">
        <f t="shared" si="15"/>
        <v>2.5810185185184964E-3</v>
      </c>
      <c r="K250" s="1"/>
    </row>
    <row r="251" spans="1:11" x14ac:dyDescent="0.25">
      <c r="A251" s="6">
        <v>2158377</v>
      </c>
      <c r="B251" t="str">
        <f t="shared" si="12"/>
        <v>stacjonarny</v>
      </c>
      <c r="C251">
        <f t="shared" si="13"/>
        <v>0</v>
      </c>
      <c r="D251">
        <f t="shared" si="14"/>
        <v>0</v>
      </c>
      <c r="E251" s="1">
        <v>42921</v>
      </c>
      <c r="F251" s="2">
        <v>0.49149305555555556</v>
      </c>
      <c r="G251" s="2">
        <v>0.49283564814814818</v>
      </c>
      <c r="H251" s="2">
        <f t="shared" si="15"/>
        <v>1.3425925925926174E-3</v>
      </c>
      <c r="K251" s="1"/>
    </row>
    <row r="252" spans="1:11" x14ac:dyDescent="0.25">
      <c r="A252" s="6">
        <v>73970924</v>
      </c>
      <c r="B252" t="str">
        <f t="shared" si="12"/>
        <v>komorkowy</v>
      </c>
      <c r="C252">
        <f t="shared" si="13"/>
        <v>0</v>
      </c>
      <c r="D252">
        <f t="shared" si="14"/>
        <v>0</v>
      </c>
      <c r="E252" s="1">
        <v>42921</v>
      </c>
      <c r="F252" s="2">
        <v>0.49336805555555557</v>
      </c>
      <c r="G252" s="2">
        <v>0.49403935185185183</v>
      </c>
      <c r="H252" s="2">
        <f t="shared" si="15"/>
        <v>6.712962962962532E-4</v>
      </c>
      <c r="K252" s="1"/>
    </row>
    <row r="253" spans="1:11" x14ac:dyDescent="0.25">
      <c r="A253" s="6">
        <v>6927270</v>
      </c>
      <c r="B253" t="str">
        <f t="shared" si="12"/>
        <v>stacjonarny</v>
      </c>
      <c r="C253">
        <f t="shared" si="13"/>
        <v>0</v>
      </c>
      <c r="D253">
        <f t="shared" si="14"/>
        <v>0</v>
      </c>
      <c r="E253" s="1">
        <v>42921</v>
      </c>
      <c r="F253" s="2">
        <v>0.49571759259259257</v>
      </c>
      <c r="G253" s="2">
        <v>0.50516203703703699</v>
      </c>
      <c r="H253" s="2">
        <f t="shared" si="15"/>
        <v>9.444444444444422E-3</v>
      </c>
      <c r="K253" s="1"/>
    </row>
    <row r="254" spans="1:11" x14ac:dyDescent="0.25">
      <c r="A254" s="6">
        <v>7318247385</v>
      </c>
      <c r="B254" t="str">
        <f t="shared" si="12"/>
        <v>zagraniczny</v>
      </c>
      <c r="C254">
        <f t="shared" si="13"/>
        <v>0</v>
      </c>
      <c r="D254">
        <f t="shared" si="14"/>
        <v>0</v>
      </c>
      <c r="E254" s="1">
        <v>42921</v>
      </c>
      <c r="F254" s="2">
        <v>0.49596064814814816</v>
      </c>
      <c r="G254" s="2">
        <v>0.49886574074074075</v>
      </c>
      <c r="H254" s="2">
        <f t="shared" si="15"/>
        <v>2.9050925925925841E-3</v>
      </c>
      <c r="K254" s="1"/>
    </row>
    <row r="255" spans="1:11" x14ac:dyDescent="0.25">
      <c r="A255" s="6">
        <v>1579531</v>
      </c>
      <c r="B255" t="str">
        <f t="shared" si="12"/>
        <v>stacjonarny</v>
      </c>
      <c r="C255">
        <f t="shared" si="13"/>
        <v>0</v>
      </c>
      <c r="D255">
        <f t="shared" si="14"/>
        <v>0</v>
      </c>
      <c r="E255" s="1">
        <v>42921</v>
      </c>
      <c r="F255" s="2">
        <v>0.50134259259259262</v>
      </c>
      <c r="G255" s="2">
        <v>0.50873842592592589</v>
      </c>
      <c r="H255" s="2">
        <f t="shared" si="15"/>
        <v>7.3958333333332682E-3</v>
      </c>
      <c r="K255" s="1"/>
    </row>
    <row r="256" spans="1:11" x14ac:dyDescent="0.25">
      <c r="A256" s="6">
        <v>9593481</v>
      </c>
      <c r="B256" t="str">
        <f t="shared" si="12"/>
        <v>stacjonarny</v>
      </c>
      <c r="C256">
        <f t="shared" si="13"/>
        <v>0</v>
      </c>
      <c r="D256">
        <f t="shared" si="14"/>
        <v>0</v>
      </c>
      <c r="E256" s="1">
        <v>42921</v>
      </c>
      <c r="F256" s="2">
        <v>0.50179398148148147</v>
      </c>
      <c r="G256" s="2">
        <v>0.50248842592592591</v>
      </c>
      <c r="H256" s="2">
        <f t="shared" si="15"/>
        <v>6.9444444444444198E-4</v>
      </c>
      <c r="K256" s="1"/>
    </row>
    <row r="257" spans="1:11" x14ac:dyDescent="0.25">
      <c r="A257" s="6">
        <v>6657074</v>
      </c>
      <c r="B257" t="str">
        <f t="shared" si="12"/>
        <v>stacjonarny</v>
      </c>
      <c r="C257">
        <f t="shared" si="13"/>
        <v>0</v>
      </c>
      <c r="D257">
        <f t="shared" si="14"/>
        <v>0</v>
      </c>
      <c r="E257" s="1">
        <v>42921</v>
      </c>
      <c r="F257" s="2">
        <v>0.50288194444444445</v>
      </c>
      <c r="G257" s="2">
        <v>0.51248842592592592</v>
      </c>
      <c r="H257" s="2">
        <f t="shared" si="15"/>
        <v>9.6064814814814659E-3</v>
      </c>
      <c r="K257" s="1"/>
    </row>
    <row r="258" spans="1:11" x14ac:dyDescent="0.25">
      <c r="A258" s="6">
        <v>1488369</v>
      </c>
      <c r="B258" t="str">
        <f t="shared" ref="B258:B321" si="16">IF(LEN(A258)=7, "stacjonarny", IF(LEN(A258)=8, "komorkowy", "zagraniczny"))</f>
        <v>stacjonarny</v>
      </c>
      <c r="C258">
        <f t="shared" si="13"/>
        <v>0</v>
      </c>
      <c r="D258">
        <f t="shared" si="14"/>
        <v>0</v>
      </c>
      <c r="E258" s="1">
        <v>42921</v>
      </c>
      <c r="F258" s="2">
        <v>0.50457175925925923</v>
      </c>
      <c r="G258" s="2">
        <v>0.51533564814814814</v>
      </c>
      <c r="H258" s="2">
        <f t="shared" si="15"/>
        <v>1.0763888888888906E-2</v>
      </c>
      <c r="K258" s="1"/>
    </row>
    <row r="259" spans="1:11" x14ac:dyDescent="0.25">
      <c r="A259" s="6">
        <v>1797960</v>
      </c>
      <c r="B259" t="str">
        <f t="shared" si="16"/>
        <v>stacjonarny</v>
      </c>
      <c r="C259">
        <f t="shared" ref="C259:C322" si="17">IF(LEFT(A259,2)="12",1,0)</f>
        <v>0</v>
      </c>
      <c r="D259">
        <f t="shared" ref="D259:D322" si="18">IF(AND(C259=1,B259="stacjonarny"),1,0)</f>
        <v>0</v>
      </c>
      <c r="E259" s="1">
        <v>42921</v>
      </c>
      <c r="F259" s="2">
        <v>0.51026620370370368</v>
      </c>
      <c r="G259" s="2">
        <v>0.51557870370370373</v>
      </c>
      <c r="H259" s="2">
        <f t="shared" ref="H259:H322" si="19">G259-F259</f>
        <v>5.3125000000000533E-3</v>
      </c>
      <c r="K259" s="1"/>
    </row>
    <row r="260" spans="1:11" x14ac:dyDescent="0.25">
      <c r="A260" s="6">
        <v>65923776</v>
      </c>
      <c r="B260" t="str">
        <f t="shared" si="16"/>
        <v>komorkowy</v>
      </c>
      <c r="C260">
        <f t="shared" si="17"/>
        <v>0</v>
      </c>
      <c r="D260">
        <f t="shared" si="18"/>
        <v>0</v>
      </c>
      <c r="E260" s="1">
        <v>42921</v>
      </c>
      <c r="F260" s="2">
        <v>0.51388888888888884</v>
      </c>
      <c r="G260" s="2">
        <v>0.51673611111111106</v>
      </c>
      <c r="H260" s="2">
        <f t="shared" si="19"/>
        <v>2.8472222222222232E-3</v>
      </c>
      <c r="K260" s="1"/>
    </row>
    <row r="261" spans="1:11" x14ac:dyDescent="0.25">
      <c r="A261" s="6">
        <v>3407358</v>
      </c>
      <c r="B261" t="str">
        <f t="shared" si="16"/>
        <v>stacjonarny</v>
      </c>
      <c r="C261">
        <f t="shared" si="17"/>
        <v>0</v>
      </c>
      <c r="D261">
        <f t="shared" si="18"/>
        <v>0</v>
      </c>
      <c r="E261" s="1">
        <v>42921</v>
      </c>
      <c r="F261" s="2">
        <v>0.51827546296296301</v>
      </c>
      <c r="G261" s="2">
        <v>0.51986111111111111</v>
      </c>
      <c r="H261" s="2">
        <f t="shared" si="19"/>
        <v>1.5856481481481E-3</v>
      </c>
      <c r="K261" s="1"/>
    </row>
    <row r="262" spans="1:11" x14ac:dyDescent="0.25">
      <c r="A262" s="6">
        <v>1887758</v>
      </c>
      <c r="B262" t="str">
        <f t="shared" si="16"/>
        <v>stacjonarny</v>
      </c>
      <c r="C262">
        <f t="shared" si="17"/>
        <v>0</v>
      </c>
      <c r="D262">
        <f t="shared" si="18"/>
        <v>0</v>
      </c>
      <c r="E262" s="1">
        <v>42921</v>
      </c>
      <c r="F262" s="2">
        <v>0.51884259259259258</v>
      </c>
      <c r="G262" s="2">
        <v>0.52637731481481487</v>
      </c>
      <c r="H262" s="2">
        <f t="shared" si="19"/>
        <v>7.5347222222222898E-3</v>
      </c>
      <c r="K262" s="1"/>
    </row>
    <row r="263" spans="1:11" x14ac:dyDescent="0.25">
      <c r="A263" s="6">
        <v>9983997</v>
      </c>
      <c r="B263" t="str">
        <f t="shared" si="16"/>
        <v>stacjonarny</v>
      </c>
      <c r="C263">
        <f t="shared" si="17"/>
        <v>0</v>
      </c>
      <c r="D263">
        <f t="shared" si="18"/>
        <v>0</v>
      </c>
      <c r="E263" s="1">
        <v>42921</v>
      </c>
      <c r="F263" s="2">
        <v>0.5242013888888889</v>
      </c>
      <c r="G263" s="2">
        <v>0.53452546296296299</v>
      </c>
      <c r="H263" s="2">
        <f t="shared" si="19"/>
        <v>1.0324074074074097E-2</v>
      </c>
      <c r="K263" s="1"/>
    </row>
    <row r="264" spans="1:11" x14ac:dyDescent="0.25">
      <c r="A264" s="6">
        <v>3539762</v>
      </c>
      <c r="B264" t="str">
        <f t="shared" si="16"/>
        <v>stacjonarny</v>
      </c>
      <c r="C264">
        <f t="shared" si="17"/>
        <v>0</v>
      </c>
      <c r="D264">
        <f t="shared" si="18"/>
        <v>0</v>
      </c>
      <c r="E264" s="1">
        <v>42921</v>
      </c>
      <c r="F264" s="2">
        <v>0.5250231481481481</v>
      </c>
      <c r="G264" s="2">
        <v>0.5264699074074074</v>
      </c>
      <c r="H264" s="2">
        <f t="shared" si="19"/>
        <v>1.4467592592593004E-3</v>
      </c>
      <c r="K264" s="1"/>
    </row>
    <row r="265" spans="1:11" x14ac:dyDescent="0.25">
      <c r="A265" s="6">
        <v>58067439</v>
      </c>
      <c r="B265" t="str">
        <f t="shared" si="16"/>
        <v>komorkowy</v>
      </c>
      <c r="C265">
        <f t="shared" si="17"/>
        <v>0</v>
      </c>
      <c r="D265">
        <f t="shared" si="18"/>
        <v>0</v>
      </c>
      <c r="E265" s="1">
        <v>42921</v>
      </c>
      <c r="F265" s="2">
        <v>0.52607638888888886</v>
      </c>
      <c r="G265" s="2">
        <v>0.52662037037037035</v>
      </c>
      <c r="H265" s="2">
        <f t="shared" si="19"/>
        <v>5.439814814814925E-4</v>
      </c>
      <c r="K265" s="1"/>
    </row>
    <row r="266" spans="1:11" x14ac:dyDescent="0.25">
      <c r="A266" s="6">
        <v>6760428735</v>
      </c>
      <c r="B266" t="str">
        <f t="shared" si="16"/>
        <v>zagraniczny</v>
      </c>
      <c r="C266">
        <f t="shared" si="17"/>
        <v>0</v>
      </c>
      <c r="D266">
        <f t="shared" si="18"/>
        <v>0</v>
      </c>
      <c r="E266" s="1">
        <v>42921</v>
      </c>
      <c r="F266" s="2">
        <v>0.52811342592592592</v>
      </c>
      <c r="G266" s="2">
        <v>0.53195601851851848</v>
      </c>
      <c r="H266" s="2">
        <f t="shared" si="19"/>
        <v>3.8425925925925641E-3</v>
      </c>
      <c r="K266" s="1"/>
    </row>
    <row r="267" spans="1:11" x14ac:dyDescent="0.25">
      <c r="A267" s="6">
        <v>9803006</v>
      </c>
      <c r="B267" t="str">
        <f t="shared" si="16"/>
        <v>stacjonarny</v>
      </c>
      <c r="C267">
        <f t="shared" si="17"/>
        <v>0</v>
      </c>
      <c r="D267">
        <f t="shared" si="18"/>
        <v>0</v>
      </c>
      <c r="E267" s="1">
        <v>42921</v>
      </c>
      <c r="F267" s="2">
        <v>0.53233796296296299</v>
      </c>
      <c r="G267" s="2">
        <v>0.54116898148148151</v>
      </c>
      <c r="H267" s="2">
        <f t="shared" si="19"/>
        <v>8.8310185185185297E-3</v>
      </c>
      <c r="K267" s="1"/>
    </row>
    <row r="268" spans="1:11" x14ac:dyDescent="0.25">
      <c r="A268" s="6">
        <v>5312081</v>
      </c>
      <c r="B268" t="str">
        <f t="shared" si="16"/>
        <v>stacjonarny</v>
      </c>
      <c r="C268">
        <f t="shared" si="17"/>
        <v>0</v>
      </c>
      <c r="D268">
        <f t="shared" si="18"/>
        <v>0</v>
      </c>
      <c r="E268" s="1">
        <v>42921</v>
      </c>
      <c r="F268" s="2">
        <v>0.53372685185185187</v>
      </c>
      <c r="G268" s="2">
        <v>0.53991898148148143</v>
      </c>
      <c r="H268" s="2">
        <f t="shared" si="19"/>
        <v>6.1921296296295614E-3</v>
      </c>
      <c r="K268" s="1"/>
    </row>
    <row r="269" spans="1:11" x14ac:dyDescent="0.25">
      <c r="A269" s="6">
        <v>7114306</v>
      </c>
      <c r="B269" t="str">
        <f t="shared" si="16"/>
        <v>stacjonarny</v>
      </c>
      <c r="C269">
        <f t="shared" si="17"/>
        <v>0</v>
      </c>
      <c r="D269">
        <f t="shared" si="18"/>
        <v>0</v>
      </c>
      <c r="E269" s="1">
        <v>42921</v>
      </c>
      <c r="F269" s="2">
        <v>0.53607638888888887</v>
      </c>
      <c r="G269" s="2">
        <v>0.54104166666666664</v>
      </c>
      <c r="H269" s="2">
        <f t="shared" si="19"/>
        <v>4.9652777777777768E-3</v>
      </c>
      <c r="K269" s="1"/>
    </row>
    <row r="270" spans="1:11" x14ac:dyDescent="0.25">
      <c r="A270" s="6">
        <v>7594764</v>
      </c>
      <c r="B270" t="str">
        <f t="shared" si="16"/>
        <v>stacjonarny</v>
      </c>
      <c r="C270">
        <f t="shared" si="17"/>
        <v>0</v>
      </c>
      <c r="D270">
        <f t="shared" si="18"/>
        <v>0</v>
      </c>
      <c r="E270" s="1">
        <v>42921</v>
      </c>
      <c r="F270" s="2">
        <v>0.53850694444444447</v>
      </c>
      <c r="G270" s="2">
        <v>0.53944444444444439</v>
      </c>
      <c r="H270" s="2">
        <f t="shared" si="19"/>
        <v>9.374999999999245E-4</v>
      </c>
      <c r="K270" s="1"/>
    </row>
    <row r="271" spans="1:11" x14ac:dyDescent="0.25">
      <c r="A271" s="6">
        <v>3004571</v>
      </c>
      <c r="B271" t="str">
        <f t="shared" si="16"/>
        <v>stacjonarny</v>
      </c>
      <c r="C271">
        <f t="shared" si="17"/>
        <v>0</v>
      </c>
      <c r="D271">
        <f t="shared" si="18"/>
        <v>0</v>
      </c>
      <c r="E271" s="1">
        <v>42921</v>
      </c>
      <c r="F271" s="2">
        <v>0.54194444444444445</v>
      </c>
      <c r="G271" s="2">
        <v>0.54666666666666663</v>
      </c>
      <c r="H271" s="2">
        <f t="shared" si="19"/>
        <v>4.7222222222221832E-3</v>
      </c>
      <c r="K271" s="1"/>
    </row>
    <row r="272" spans="1:11" x14ac:dyDescent="0.25">
      <c r="A272" s="6">
        <v>6689117</v>
      </c>
      <c r="B272" t="str">
        <f t="shared" si="16"/>
        <v>stacjonarny</v>
      </c>
      <c r="C272">
        <f t="shared" si="17"/>
        <v>0</v>
      </c>
      <c r="D272">
        <f t="shared" si="18"/>
        <v>0</v>
      </c>
      <c r="E272" s="1">
        <v>42921</v>
      </c>
      <c r="F272" s="2">
        <v>0.54609953703703706</v>
      </c>
      <c r="G272" s="2">
        <v>0.55435185185185187</v>
      </c>
      <c r="H272" s="2">
        <f t="shared" si="19"/>
        <v>8.2523148148148096E-3</v>
      </c>
      <c r="K272" s="1"/>
    </row>
    <row r="273" spans="1:11" x14ac:dyDescent="0.25">
      <c r="A273" s="6">
        <v>1081610</v>
      </c>
      <c r="B273" t="str">
        <f t="shared" si="16"/>
        <v>stacjonarny</v>
      </c>
      <c r="C273">
        <f t="shared" si="17"/>
        <v>0</v>
      </c>
      <c r="D273">
        <f t="shared" si="18"/>
        <v>0</v>
      </c>
      <c r="E273" s="1">
        <v>42921</v>
      </c>
      <c r="F273" s="2">
        <v>0.54809027777777775</v>
      </c>
      <c r="G273" s="2">
        <v>0.55568287037037034</v>
      </c>
      <c r="H273" s="2">
        <f t="shared" si="19"/>
        <v>7.5925925925925952E-3</v>
      </c>
      <c r="K273" s="1"/>
    </row>
    <row r="274" spans="1:11" x14ac:dyDescent="0.25">
      <c r="A274" s="6">
        <v>20220216</v>
      </c>
      <c r="B274" t="str">
        <f t="shared" si="16"/>
        <v>komorkowy</v>
      </c>
      <c r="C274">
        <f t="shared" si="17"/>
        <v>0</v>
      </c>
      <c r="D274">
        <f t="shared" si="18"/>
        <v>0</v>
      </c>
      <c r="E274" s="1">
        <v>42921</v>
      </c>
      <c r="F274" s="2">
        <v>0.54857638888888893</v>
      </c>
      <c r="G274" s="2">
        <v>0.55879629629629635</v>
      </c>
      <c r="H274" s="2">
        <f t="shared" si="19"/>
        <v>1.0219907407407414E-2</v>
      </c>
      <c r="K274" s="1"/>
    </row>
    <row r="275" spans="1:11" x14ac:dyDescent="0.25">
      <c r="A275" s="6">
        <v>79890857</v>
      </c>
      <c r="B275" t="str">
        <f t="shared" si="16"/>
        <v>komorkowy</v>
      </c>
      <c r="C275">
        <f t="shared" si="17"/>
        <v>0</v>
      </c>
      <c r="D275">
        <f t="shared" si="18"/>
        <v>0</v>
      </c>
      <c r="E275" s="1">
        <v>42921</v>
      </c>
      <c r="F275" s="2">
        <v>0.54859953703703701</v>
      </c>
      <c r="G275" s="2">
        <v>0.55990740740740741</v>
      </c>
      <c r="H275" s="2">
        <f t="shared" si="19"/>
        <v>1.1307870370370399E-2</v>
      </c>
      <c r="K275" s="1"/>
    </row>
    <row r="276" spans="1:11" x14ac:dyDescent="0.25">
      <c r="A276" s="6">
        <v>4600571814</v>
      </c>
      <c r="B276" t="str">
        <f t="shared" si="16"/>
        <v>zagraniczny</v>
      </c>
      <c r="C276">
        <f t="shared" si="17"/>
        <v>0</v>
      </c>
      <c r="D276">
        <f t="shared" si="18"/>
        <v>0</v>
      </c>
      <c r="E276" s="1">
        <v>42921</v>
      </c>
      <c r="F276" s="2">
        <v>0.55166666666666664</v>
      </c>
      <c r="G276" s="2">
        <v>0.55865740740740744</v>
      </c>
      <c r="H276" s="2">
        <f t="shared" si="19"/>
        <v>6.9907407407407973E-3</v>
      </c>
      <c r="K276" s="1"/>
    </row>
    <row r="277" spans="1:11" x14ac:dyDescent="0.25">
      <c r="A277" s="6">
        <v>1579531</v>
      </c>
      <c r="B277" t="str">
        <f t="shared" si="16"/>
        <v>stacjonarny</v>
      </c>
      <c r="C277">
        <f t="shared" si="17"/>
        <v>0</v>
      </c>
      <c r="D277">
        <f t="shared" si="18"/>
        <v>0</v>
      </c>
      <c r="E277" s="1">
        <v>42921</v>
      </c>
      <c r="F277" s="2">
        <v>0.55266203703703709</v>
      </c>
      <c r="G277" s="2">
        <v>0.56405092592592587</v>
      </c>
      <c r="H277" s="2">
        <f t="shared" si="19"/>
        <v>1.1388888888888782E-2</v>
      </c>
      <c r="K277" s="1"/>
    </row>
    <row r="278" spans="1:11" x14ac:dyDescent="0.25">
      <c r="A278" s="6">
        <v>7110850</v>
      </c>
      <c r="B278" t="str">
        <f t="shared" si="16"/>
        <v>stacjonarny</v>
      </c>
      <c r="C278">
        <f t="shared" si="17"/>
        <v>0</v>
      </c>
      <c r="D278">
        <f t="shared" si="18"/>
        <v>0</v>
      </c>
      <c r="E278" s="1">
        <v>42921</v>
      </c>
      <c r="F278" s="2">
        <v>0.55269675925925921</v>
      </c>
      <c r="G278" s="2">
        <v>0.56355324074074076</v>
      </c>
      <c r="H278" s="2">
        <f t="shared" si="19"/>
        <v>1.085648148148155E-2</v>
      </c>
      <c r="K278" s="1"/>
    </row>
    <row r="279" spans="1:11" x14ac:dyDescent="0.25">
      <c r="A279" s="6">
        <v>18036364</v>
      </c>
      <c r="B279" t="str">
        <f t="shared" si="16"/>
        <v>komorkowy</v>
      </c>
      <c r="C279">
        <f t="shared" si="17"/>
        <v>0</v>
      </c>
      <c r="D279">
        <f t="shared" si="18"/>
        <v>0</v>
      </c>
      <c r="E279" s="1">
        <v>42921</v>
      </c>
      <c r="F279" s="2">
        <v>0.55847222222222226</v>
      </c>
      <c r="G279" s="2">
        <v>0.56166666666666665</v>
      </c>
      <c r="H279" s="2">
        <f t="shared" si="19"/>
        <v>3.1944444444443887E-3</v>
      </c>
      <c r="K279" s="1"/>
    </row>
    <row r="280" spans="1:11" x14ac:dyDescent="0.25">
      <c r="A280" s="6">
        <v>6712006</v>
      </c>
      <c r="B280" t="str">
        <f t="shared" si="16"/>
        <v>stacjonarny</v>
      </c>
      <c r="C280">
        <f t="shared" si="17"/>
        <v>0</v>
      </c>
      <c r="D280">
        <f t="shared" si="18"/>
        <v>0</v>
      </c>
      <c r="E280" s="1">
        <v>42921</v>
      </c>
      <c r="F280" s="2">
        <v>0.56106481481481485</v>
      </c>
      <c r="G280" s="2">
        <v>0.56716435185185188</v>
      </c>
      <c r="H280" s="2">
        <f t="shared" si="19"/>
        <v>6.0995370370370283E-3</v>
      </c>
      <c r="K280" s="1"/>
    </row>
    <row r="281" spans="1:11" x14ac:dyDescent="0.25">
      <c r="A281" s="6">
        <v>5646830</v>
      </c>
      <c r="B281" t="str">
        <f t="shared" si="16"/>
        <v>stacjonarny</v>
      </c>
      <c r="C281">
        <f t="shared" si="17"/>
        <v>0</v>
      </c>
      <c r="D281">
        <f t="shared" si="18"/>
        <v>0</v>
      </c>
      <c r="E281" s="1">
        <v>42921</v>
      </c>
      <c r="F281" s="2">
        <v>0.56361111111111106</v>
      </c>
      <c r="G281" s="2">
        <v>0.57469907407407406</v>
      </c>
      <c r="H281" s="2">
        <f t="shared" si="19"/>
        <v>1.1087962962962994E-2</v>
      </c>
      <c r="K281" s="1"/>
    </row>
    <row r="282" spans="1:11" x14ac:dyDescent="0.25">
      <c r="A282" s="6">
        <v>38535407</v>
      </c>
      <c r="B282" t="str">
        <f t="shared" si="16"/>
        <v>komorkowy</v>
      </c>
      <c r="C282">
        <f t="shared" si="17"/>
        <v>0</v>
      </c>
      <c r="D282">
        <f t="shared" si="18"/>
        <v>0</v>
      </c>
      <c r="E282" s="1">
        <v>42921</v>
      </c>
      <c r="F282" s="2">
        <v>0.56568287037037035</v>
      </c>
      <c r="G282" s="2">
        <v>0.56981481481481477</v>
      </c>
      <c r="H282" s="2">
        <f t="shared" si="19"/>
        <v>4.1319444444444242E-3</v>
      </c>
      <c r="K282" s="1"/>
    </row>
    <row r="283" spans="1:11" x14ac:dyDescent="0.25">
      <c r="A283" s="6">
        <v>66871690</v>
      </c>
      <c r="B283" t="str">
        <f t="shared" si="16"/>
        <v>komorkowy</v>
      </c>
      <c r="C283">
        <f t="shared" si="17"/>
        <v>0</v>
      </c>
      <c r="D283">
        <f t="shared" si="18"/>
        <v>0</v>
      </c>
      <c r="E283" s="1">
        <v>42921</v>
      </c>
      <c r="F283" s="2">
        <v>0.56703703703703701</v>
      </c>
      <c r="G283" s="2">
        <v>0.57664351851851847</v>
      </c>
      <c r="H283" s="2">
        <f t="shared" si="19"/>
        <v>9.6064814814814659E-3</v>
      </c>
      <c r="K283" s="1"/>
    </row>
    <row r="284" spans="1:11" x14ac:dyDescent="0.25">
      <c r="A284" s="6">
        <v>7085993</v>
      </c>
      <c r="B284" t="str">
        <f t="shared" si="16"/>
        <v>stacjonarny</v>
      </c>
      <c r="C284">
        <f t="shared" si="17"/>
        <v>0</v>
      </c>
      <c r="D284">
        <f t="shared" si="18"/>
        <v>0</v>
      </c>
      <c r="E284" s="1">
        <v>42921</v>
      </c>
      <c r="F284" s="2">
        <v>0.57192129629629629</v>
      </c>
      <c r="G284" s="2">
        <v>0.57506944444444441</v>
      </c>
      <c r="H284" s="2">
        <f t="shared" si="19"/>
        <v>3.1481481481481222E-3</v>
      </c>
      <c r="K284" s="1"/>
    </row>
    <row r="285" spans="1:11" x14ac:dyDescent="0.25">
      <c r="A285" s="6">
        <v>2890720</v>
      </c>
      <c r="B285" t="str">
        <f t="shared" si="16"/>
        <v>stacjonarny</v>
      </c>
      <c r="C285">
        <f t="shared" si="17"/>
        <v>0</v>
      </c>
      <c r="D285">
        <f t="shared" si="18"/>
        <v>0</v>
      </c>
      <c r="E285" s="1">
        <v>42921</v>
      </c>
      <c r="F285" s="2">
        <v>0.57589120370370372</v>
      </c>
      <c r="G285" s="2">
        <v>0.57648148148148148</v>
      </c>
      <c r="H285" s="2">
        <f t="shared" si="19"/>
        <v>5.9027777777775903E-4</v>
      </c>
      <c r="K285" s="1"/>
    </row>
    <row r="286" spans="1:11" x14ac:dyDescent="0.25">
      <c r="A286" s="6">
        <v>8375968</v>
      </c>
      <c r="B286" t="str">
        <f t="shared" si="16"/>
        <v>stacjonarny</v>
      </c>
      <c r="C286">
        <f t="shared" si="17"/>
        <v>0</v>
      </c>
      <c r="D286">
        <f t="shared" si="18"/>
        <v>0</v>
      </c>
      <c r="E286" s="1">
        <v>42921</v>
      </c>
      <c r="F286" s="2">
        <v>0.5786458333333333</v>
      </c>
      <c r="G286" s="2">
        <v>0.57954861111111111</v>
      </c>
      <c r="H286" s="2">
        <f t="shared" si="19"/>
        <v>9.0277777777780788E-4</v>
      </c>
      <c r="K286" s="1"/>
    </row>
    <row r="287" spans="1:11" x14ac:dyDescent="0.25">
      <c r="A287" s="6">
        <v>1119740</v>
      </c>
      <c r="B287" t="str">
        <f t="shared" si="16"/>
        <v>stacjonarny</v>
      </c>
      <c r="C287">
        <f t="shared" si="17"/>
        <v>0</v>
      </c>
      <c r="D287">
        <f t="shared" si="18"/>
        <v>0</v>
      </c>
      <c r="E287" s="1">
        <v>42921</v>
      </c>
      <c r="F287" s="2">
        <v>0.57876157407407403</v>
      </c>
      <c r="G287" s="2">
        <v>0.5811574074074074</v>
      </c>
      <c r="H287" s="2">
        <f t="shared" si="19"/>
        <v>2.3958333333333748E-3</v>
      </c>
      <c r="K287" s="1"/>
    </row>
    <row r="288" spans="1:11" x14ac:dyDescent="0.25">
      <c r="A288" s="6">
        <v>3796958</v>
      </c>
      <c r="B288" t="str">
        <f t="shared" si="16"/>
        <v>stacjonarny</v>
      </c>
      <c r="C288">
        <f t="shared" si="17"/>
        <v>0</v>
      </c>
      <c r="D288">
        <f t="shared" si="18"/>
        <v>0</v>
      </c>
      <c r="E288" s="1">
        <v>42921</v>
      </c>
      <c r="F288" s="2">
        <v>0.57901620370370366</v>
      </c>
      <c r="G288" s="2">
        <v>0.58940972222222221</v>
      </c>
      <c r="H288" s="2">
        <f t="shared" si="19"/>
        <v>1.0393518518518552E-2</v>
      </c>
      <c r="K288" s="1"/>
    </row>
    <row r="289" spans="1:11" x14ac:dyDescent="0.25">
      <c r="A289" s="6">
        <v>8010775</v>
      </c>
      <c r="B289" t="str">
        <f t="shared" si="16"/>
        <v>stacjonarny</v>
      </c>
      <c r="C289">
        <f t="shared" si="17"/>
        <v>0</v>
      </c>
      <c r="D289">
        <f t="shared" si="18"/>
        <v>0</v>
      </c>
      <c r="E289" s="1">
        <v>42921</v>
      </c>
      <c r="F289" s="2">
        <v>0.58275462962962965</v>
      </c>
      <c r="G289" s="2">
        <v>0.5852546296296296</v>
      </c>
      <c r="H289" s="2">
        <f t="shared" si="19"/>
        <v>2.4999999999999467E-3</v>
      </c>
      <c r="K289" s="1"/>
    </row>
    <row r="290" spans="1:11" x14ac:dyDescent="0.25">
      <c r="A290" s="6">
        <v>46023878</v>
      </c>
      <c r="B290" t="str">
        <f t="shared" si="16"/>
        <v>komorkowy</v>
      </c>
      <c r="C290">
        <f t="shared" si="17"/>
        <v>0</v>
      </c>
      <c r="D290">
        <f t="shared" si="18"/>
        <v>0</v>
      </c>
      <c r="E290" s="1">
        <v>42921</v>
      </c>
      <c r="F290" s="2">
        <v>0.58829861111111115</v>
      </c>
      <c r="G290" s="2">
        <v>0.59641203703703705</v>
      </c>
      <c r="H290" s="2">
        <f t="shared" si="19"/>
        <v>8.113425925925899E-3</v>
      </c>
      <c r="K290" s="1"/>
    </row>
    <row r="291" spans="1:11" x14ac:dyDescent="0.25">
      <c r="A291" s="6">
        <v>3379007610</v>
      </c>
      <c r="B291" t="str">
        <f t="shared" si="16"/>
        <v>zagraniczny</v>
      </c>
      <c r="C291">
        <f t="shared" si="17"/>
        <v>0</v>
      </c>
      <c r="D291">
        <f t="shared" si="18"/>
        <v>0</v>
      </c>
      <c r="E291" s="1">
        <v>42921</v>
      </c>
      <c r="F291" s="2">
        <v>0.59281249999999996</v>
      </c>
      <c r="G291" s="2">
        <v>0.59871527777777778</v>
      </c>
      <c r="H291" s="2">
        <f t="shared" si="19"/>
        <v>5.9027777777778123E-3</v>
      </c>
      <c r="K291" s="1"/>
    </row>
    <row r="292" spans="1:11" x14ac:dyDescent="0.25">
      <c r="A292" s="6">
        <v>2890519255</v>
      </c>
      <c r="B292" t="str">
        <f t="shared" si="16"/>
        <v>zagraniczny</v>
      </c>
      <c r="C292">
        <f t="shared" si="17"/>
        <v>0</v>
      </c>
      <c r="D292">
        <f t="shared" si="18"/>
        <v>0</v>
      </c>
      <c r="E292" s="1">
        <v>42921</v>
      </c>
      <c r="F292" s="2">
        <v>0.59557870370370369</v>
      </c>
      <c r="G292" s="2">
        <v>0.59930555555555554</v>
      </c>
      <c r="H292" s="2">
        <f t="shared" si="19"/>
        <v>3.7268518518518423E-3</v>
      </c>
      <c r="K292" s="1"/>
    </row>
    <row r="293" spans="1:11" x14ac:dyDescent="0.25">
      <c r="A293" s="6">
        <v>27858818</v>
      </c>
      <c r="B293" t="str">
        <f t="shared" si="16"/>
        <v>komorkowy</v>
      </c>
      <c r="C293">
        <f t="shared" si="17"/>
        <v>0</v>
      </c>
      <c r="D293">
        <f t="shared" si="18"/>
        <v>0</v>
      </c>
      <c r="E293" s="1">
        <v>42921</v>
      </c>
      <c r="F293" s="2">
        <v>0.59718749999999998</v>
      </c>
      <c r="G293" s="2">
        <v>0.60711805555555554</v>
      </c>
      <c r="H293" s="2">
        <f t="shared" si="19"/>
        <v>9.9305555555555536E-3</v>
      </c>
      <c r="K293" s="1"/>
    </row>
    <row r="294" spans="1:11" x14ac:dyDescent="0.25">
      <c r="A294" s="6">
        <v>5076649</v>
      </c>
      <c r="B294" t="str">
        <f t="shared" si="16"/>
        <v>stacjonarny</v>
      </c>
      <c r="C294">
        <f t="shared" si="17"/>
        <v>0</v>
      </c>
      <c r="D294">
        <f t="shared" si="18"/>
        <v>0</v>
      </c>
      <c r="E294" s="1">
        <v>42921</v>
      </c>
      <c r="F294" s="2">
        <v>0.59803240740740737</v>
      </c>
      <c r="G294" s="2">
        <v>0.60223379629629625</v>
      </c>
      <c r="H294" s="2">
        <f t="shared" si="19"/>
        <v>4.2013888888888795E-3</v>
      </c>
      <c r="K294" s="1"/>
    </row>
    <row r="295" spans="1:11" x14ac:dyDescent="0.25">
      <c r="A295" s="6">
        <v>70367818</v>
      </c>
      <c r="B295" t="str">
        <f t="shared" si="16"/>
        <v>komorkowy</v>
      </c>
      <c r="C295">
        <f t="shared" si="17"/>
        <v>0</v>
      </c>
      <c r="D295">
        <f t="shared" si="18"/>
        <v>0</v>
      </c>
      <c r="E295" s="1">
        <v>42921</v>
      </c>
      <c r="F295" s="2">
        <v>0.5982291666666667</v>
      </c>
      <c r="G295" s="2">
        <v>0.60077546296296291</v>
      </c>
      <c r="H295" s="2">
        <f t="shared" si="19"/>
        <v>2.5462962962962132E-3</v>
      </c>
      <c r="K295" s="1"/>
    </row>
    <row r="296" spans="1:11" x14ac:dyDescent="0.25">
      <c r="A296" s="6">
        <v>9788998</v>
      </c>
      <c r="B296" t="str">
        <f t="shared" si="16"/>
        <v>stacjonarny</v>
      </c>
      <c r="C296">
        <f t="shared" si="17"/>
        <v>0</v>
      </c>
      <c r="D296">
        <f t="shared" si="18"/>
        <v>0</v>
      </c>
      <c r="E296" s="1">
        <v>42921</v>
      </c>
      <c r="F296" s="2">
        <v>0.60070601851851857</v>
      </c>
      <c r="G296" s="2">
        <v>0.6075694444444445</v>
      </c>
      <c r="H296" s="2">
        <f t="shared" si="19"/>
        <v>6.8634259259259256E-3</v>
      </c>
      <c r="K296" s="1"/>
    </row>
    <row r="297" spans="1:11" x14ac:dyDescent="0.25">
      <c r="A297" s="6">
        <v>1951101</v>
      </c>
      <c r="B297" t="str">
        <f t="shared" si="16"/>
        <v>stacjonarny</v>
      </c>
      <c r="C297">
        <f t="shared" si="17"/>
        <v>0</v>
      </c>
      <c r="D297">
        <f t="shared" si="18"/>
        <v>0</v>
      </c>
      <c r="E297" s="1">
        <v>42921</v>
      </c>
      <c r="F297" s="2">
        <v>0.60379629629629628</v>
      </c>
      <c r="G297" s="2">
        <v>0.6139930555555555</v>
      </c>
      <c r="H297" s="2">
        <f t="shared" si="19"/>
        <v>1.0196759259259225E-2</v>
      </c>
      <c r="K297" s="1"/>
    </row>
    <row r="298" spans="1:11" x14ac:dyDescent="0.25">
      <c r="A298" s="6">
        <v>4546455</v>
      </c>
      <c r="B298" t="str">
        <f t="shared" si="16"/>
        <v>stacjonarny</v>
      </c>
      <c r="C298">
        <f t="shared" si="17"/>
        <v>0</v>
      </c>
      <c r="D298">
        <f t="shared" si="18"/>
        <v>0</v>
      </c>
      <c r="E298" s="1">
        <v>42921</v>
      </c>
      <c r="F298" s="2">
        <v>0.6040740740740741</v>
      </c>
      <c r="G298" s="2">
        <v>0.61181712962962964</v>
      </c>
      <c r="H298" s="2">
        <f t="shared" si="19"/>
        <v>7.7430555555555447E-3</v>
      </c>
      <c r="K298" s="1"/>
    </row>
    <row r="299" spans="1:11" x14ac:dyDescent="0.25">
      <c r="A299" s="6">
        <v>12687991</v>
      </c>
      <c r="B299" t="str">
        <f t="shared" si="16"/>
        <v>komorkowy</v>
      </c>
      <c r="C299">
        <f t="shared" si="17"/>
        <v>1</v>
      </c>
      <c r="D299">
        <f t="shared" si="18"/>
        <v>0</v>
      </c>
      <c r="E299" s="1">
        <v>42921</v>
      </c>
      <c r="F299" s="2">
        <v>0.60660879629629627</v>
      </c>
      <c r="G299" s="2">
        <v>0.6086921296296296</v>
      </c>
      <c r="H299" s="2">
        <f t="shared" si="19"/>
        <v>2.0833333333333259E-3</v>
      </c>
      <c r="K299" s="1"/>
    </row>
    <row r="300" spans="1:11" x14ac:dyDescent="0.25">
      <c r="A300" s="6">
        <v>4328583</v>
      </c>
      <c r="B300" t="str">
        <f t="shared" si="16"/>
        <v>stacjonarny</v>
      </c>
      <c r="C300">
        <f t="shared" si="17"/>
        <v>0</v>
      </c>
      <c r="D300">
        <f t="shared" si="18"/>
        <v>0</v>
      </c>
      <c r="E300" s="1">
        <v>42921</v>
      </c>
      <c r="F300" s="2">
        <v>0.60927083333333332</v>
      </c>
      <c r="G300" s="2">
        <v>0.61127314814814815</v>
      </c>
      <c r="H300" s="2">
        <f t="shared" si="19"/>
        <v>2.0023148148148318E-3</v>
      </c>
      <c r="K300" s="1"/>
    </row>
    <row r="301" spans="1:11" x14ac:dyDescent="0.25">
      <c r="A301" s="6">
        <v>2184116</v>
      </c>
      <c r="B301" t="str">
        <f t="shared" si="16"/>
        <v>stacjonarny</v>
      </c>
      <c r="C301">
        <f t="shared" si="17"/>
        <v>0</v>
      </c>
      <c r="D301">
        <f t="shared" si="18"/>
        <v>0</v>
      </c>
      <c r="E301" s="1">
        <v>42921</v>
      </c>
      <c r="F301" s="2">
        <v>0.61251157407407408</v>
      </c>
      <c r="G301" s="2">
        <v>0.61998842592592596</v>
      </c>
      <c r="H301" s="2">
        <f t="shared" si="19"/>
        <v>7.4768518518518734E-3</v>
      </c>
      <c r="K301" s="1"/>
    </row>
    <row r="302" spans="1:11" x14ac:dyDescent="0.25">
      <c r="A302" s="6">
        <v>24724570</v>
      </c>
      <c r="B302" t="str">
        <f t="shared" si="16"/>
        <v>komorkowy</v>
      </c>
      <c r="C302">
        <f t="shared" si="17"/>
        <v>0</v>
      </c>
      <c r="D302">
        <f t="shared" si="18"/>
        <v>0</v>
      </c>
      <c r="E302" s="1">
        <v>42921</v>
      </c>
      <c r="F302" s="2">
        <v>0.61430555555555555</v>
      </c>
      <c r="G302" s="2">
        <v>0.61843749999999997</v>
      </c>
      <c r="H302" s="2">
        <f t="shared" si="19"/>
        <v>4.1319444444444242E-3</v>
      </c>
      <c r="K302" s="1"/>
    </row>
    <row r="303" spans="1:11" x14ac:dyDescent="0.25">
      <c r="A303" s="6">
        <v>4843076</v>
      </c>
      <c r="B303" t="str">
        <f t="shared" si="16"/>
        <v>stacjonarny</v>
      </c>
      <c r="C303">
        <f t="shared" si="17"/>
        <v>0</v>
      </c>
      <c r="D303">
        <f t="shared" si="18"/>
        <v>0</v>
      </c>
      <c r="E303" s="1">
        <v>42921</v>
      </c>
      <c r="F303" s="2">
        <v>0.61957175925925922</v>
      </c>
      <c r="G303" s="2">
        <v>0.62241898148148145</v>
      </c>
      <c r="H303" s="2">
        <f t="shared" si="19"/>
        <v>2.8472222222222232E-3</v>
      </c>
      <c r="K303" s="1"/>
    </row>
    <row r="304" spans="1:11" x14ac:dyDescent="0.25">
      <c r="A304" s="6">
        <v>7795911</v>
      </c>
      <c r="B304" t="str">
        <f t="shared" si="16"/>
        <v>stacjonarny</v>
      </c>
      <c r="C304">
        <f t="shared" si="17"/>
        <v>0</v>
      </c>
      <c r="D304">
        <f t="shared" si="18"/>
        <v>0</v>
      </c>
      <c r="E304" s="1">
        <v>42921</v>
      </c>
      <c r="F304" s="2">
        <v>0.62047453703703703</v>
      </c>
      <c r="G304" s="2">
        <v>0.62715277777777778</v>
      </c>
      <c r="H304" s="2">
        <f t="shared" si="19"/>
        <v>6.6782407407407485E-3</v>
      </c>
      <c r="K304" s="1"/>
    </row>
    <row r="305" spans="1:11" x14ac:dyDescent="0.25">
      <c r="A305" s="6">
        <v>42722517</v>
      </c>
      <c r="B305" t="str">
        <f t="shared" si="16"/>
        <v>komorkowy</v>
      </c>
      <c r="C305">
        <f t="shared" si="17"/>
        <v>0</v>
      </c>
      <c r="D305">
        <f t="shared" si="18"/>
        <v>0</v>
      </c>
      <c r="E305" s="1">
        <v>42921</v>
      </c>
      <c r="F305" s="2">
        <v>0.62094907407407407</v>
      </c>
      <c r="G305" s="2">
        <v>0.62687499999999996</v>
      </c>
      <c r="H305" s="2">
        <f t="shared" si="19"/>
        <v>5.9259259259258901E-3</v>
      </c>
      <c r="K305" s="1"/>
    </row>
    <row r="306" spans="1:11" x14ac:dyDescent="0.25">
      <c r="A306" s="6">
        <v>9697189</v>
      </c>
      <c r="B306" t="str">
        <f t="shared" si="16"/>
        <v>stacjonarny</v>
      </c>
      <c r="C306">
        <f t="shared" si="17"/>
        <v>0</v>
      </c>
      <c r="D306">
        <f t="shared" si="18"/>
        <v>0</v>
      </c>
      <c r="E306" s="1">
        <v>42921</v>
      </c>
      <c r="F306" s="2">
        <v>0.62251157407407409</v>
      </c>
      <c r="G306" s="2">
        <v>0.6234143518518519</v>
      </c>
      <c r="H306" s="2">
        <f t="shared" si="19"/>
        <v>9.0277777777780788E-4</v>
      </c>
      <c r="K306" s="1"/>
    </row>
    <row r="307" spans="1:11" x14ac:dyDescent="0.25">
      <c r="A307" s="6">
        <v>4471203</v>
      </c>
      <c r="B307" t="str">
        <f t="shared" si="16"/>
        <v>stacjonarny</v>
      </c>
      <c r="C307">
        <f t="shared" si="17"/>
        <v>0</v>
      </c>
      <c r="D307">
        <f t="shared" si="18"/>
        <v>0</v>
      </c>
      <c r="E307" s="1">
        <v>42921</v>
      </c>
      <c r="F307" s="2">
        <v>0.62403935185185189</v>
      </c>
      <c r="G307" s="2">
        <v>0.62936342592592598</v>
      </c>
      <c r="H307" s="2">
        <f t="shared" si="19"/>
        <v>5.3240740740740922E-3</v>
      </c>
      <c r="K307" s="1"/>
    </row>
    <row r="308" spans="1:11" x14ac:dyDescent="0.25">
      <c r="A308" s="6">
        <v>1439114</v>
      </c>
      <c r="B308" t="str">
        <f t="shared" si="16"/>
        <v>stacjonarny</v>
      </c>
      <c r="C308">
        <f t="shared" si="17"/>
        <v>0</v>
      </c>
      <c r="D308">
        <f t="shared" si="18"/>
        <v>0</v>
      </c>
      <c r="E308" s="1">
        <v>42921</v>
      </c>
      <c r="F308" s="2">
        <v>0.62589120370370366</v>
      </c>
      <c r="G308" s="2">
        <v>0.62774305555555554</v>
      </c>
      <c r="H308" s="2">
        <f t="shared" si="19"/>
        <v>1.8518518518518823E-3</v>
      </c>
      <c r="K308" s="1"/>
    </row>
    <row r="309" spans="1:11" x14ac:dyDescent="0.25">
      <c r="A309" s="6">
        <v>5822881</v>
      </c>
      <c r="B309" t="str">
        <f t="shared" si="16"/>
        <v>stacjonarny</v>
      </c>
      <c r="C309">
        <f t="shared" si="17"/>
        <v>0</v>
      </c>
      <c r="D309">
        <f t="shared" si="18"/>
        <v>0</v>
      </c>
      <c r="E309" s="1">
        <v>42922</v>
      </c>
      <c r="F309" s="2">
        <v>0.33555555555555555</v>
      </c>
      <c r="G309" s="2">
        <v>0.34137731481481481</v>
      </c>
      <c r="H309" s="2">
        <f t="shared" si="19"/>
        <v>5.8217592592592626E-3</v>
      </c>
      <c r="K309" s="1"/>
    </row>
    <row r="310" spans="1:11" x14ac:dyDescent="0.25">
      <c r="A310" s="6">
        <v>6027120</v>
      </c>
      <c r="B310" t="str">
        <f t="shared" si="16"/>
        <v>stacjonarny</v>
      </c>
      <c r="C310">
        <f t="shared" si="17"/>
        <v>0</v>
      </c>
      <c r="D310">
        <f t="shared" si="18"/>
        <v>0</v>
      </c>
      <c r="E310" s="1">
        <v>42922</v>
      </c>
      <c r="F310" s="2">
        <v>0.33814814814814814</v>
      </c>
      <c r="G310" s="2">
        <v>0.34232638888888889</v>
      </c>
      <c r="H310" s="2">
        <f t="shared" si="19"/>
        <v>4.1782407407407463E-3</v>
      </c>
      <c r="K310" s="1"/>
    </row>
    <row r="311" spans="1:11" x14ac:dyDescent="0.25">
      <c r="A311" s="6">
        <v>2790475</v>
      </c>
      <c r="B311" t="str">
        <f t="shared" si="16"/>
        <v>stacjonarny</v>
      </c>
      <c r="C311">
        <f t="shared" si="17"/>
        <v>0</v>
      </c>
      <c r="D311">
        <f t="shared" si="18"/>
        <v>0</v>
      </c>
      <c r="E311" s="1">
        <v>42922</v>
      </c>
      <c r="F311" s="2">
        <v>0.34349537037037037</v>
      </c>
      <c r="G311" s="2">
        <v>0.34965277777777776</v>
      </c>
      <c r="H311" s="2">
        <f t="shared" si="19"/>
        <v>6.1574074074073892E-3</v>
      </c>
      <c r="K311" s="1"/>
    </row>
    <row r="312" spans="1:11" x14ac:dyDescent="0.25">
      <c r="A312" s="6">
        <v>30893038</v>
      </c>
      <c r="B312" t="str">
        <f t="shared" si="16"/>
        <v>komorkowy</v>
      </c>
      <c r="C312">
        <f t="shared" si="17"/>
        <v>0</v>
      </c>
      <c r="D312">
        <f t="shared" si="18"/>
        <v>0</v>
      </c>
      <c r="E312" s="1">
        <v>42922</v>
      </c>
      <c r="F312" s="2">
        <v>0.34708333333333335</v>
      </c>
      <c r="G312" s="2">
        <v>0.34912037037037036</v>
      </c>
      <c r="H312" s="2">
        <f t="shared" si="19"/>
        <v>2.0370370370370039E-3</v>
      </c>
      <c r="K312" s="1"/>
    </row>
    <row r="313" spans="1:11" x14ac:dyDescent="0.25">
      <c r="A313" s="6">
        <v>5076649</v>
      </c>
      <c r="B313" t="str">
        <f t="shared" si="16"/>
        <v>stacjonarny</v>
      </c>
      <c r="C313">
        <f t="shared" si="17"/>
        <v>0</v>
      </c>
      <c r="D313">
        <f t="shared" si="18"/>
        <v>0</v>
      </c>
      <c r="E313" s="1">
        <v>42922</v>
      </c>
      <c r="F313" s="2">
        <v>0.35163194444444446</v>
      </c>
      <c r="G313" s="2">
        <v>0.35670138888888892</v>
      </c>
      <c r="H313" s="2">
        <f t="shared" si="19"/>
        <v>5.0694444444444597E-3</v>
      </c>
      <c r="K313" s="1"/>
    </row>
    <row r="314" spans="1:11" x14ac:dyDescent="0.25">
      <c r="A314" s="6">
        <v>5013602</v>
      </c>
      <c r="B314" t="str">
        <f t="shared" si="16"/>
        <v>stacjonarny</v>
      </c>
      <c r="C314">
        <f t="shared" si="17"/>
        <v>0</v>
      </c>
      <c r="D314">
        <f t="shared" si="18"/>
        <v>0</v>
      </c>
      <c r="E314" s="1">
        <v>42922</v>
      </c>
      <c r="F314" s="2">
        <v>0.35531249999999998</v>
      </c>
      <c r="G314" s="2">
        <v>0.3630902777777778</v>
      </c>
      <c r="H314" s="2">
        <f t="shared" si="19"/>
        <v>7.7777777777778279E-3</v>
      </c>
      <c r="K314" s="1"/>
    </row>
    <row r="315" spans="1:11" x14ac:dyDescent="0.25">
      <c r="A315" s="6">
        <v>5696056</v>
      </c>
      <c r="B315" t="str">
        <f t="shared" si="16"/>
        <v>stacjonarny</v>
      </c>
      <c r="C315">
        <f t="shared" si="17"/>
        <v>0</v>
      </c>
      <c r="D315">
        <f t="shared" si="18"/>
        <v>0</v>
      </c>
      <c r="E315" s="1">
        <v>42922</v>
      </c>
      <c r="F315" s="2">
        <v>0.36097222222222225</v>
      </c>
      <c r="G315" s="2">
        <v>0.36534722222222221</v>
      </c>
      <c r="H315" s="2">
        <f t="shared" si="19"/>
        <v>4.3749999999999623E-3</v>
      </c>
      <c r="K315" s="1"/>
    </row>
    <row r="316" spans="1:11" x14ac:dyDescent="0.25">
      <c r="A316" s="6">
        <v>11274735</v>
      </c>
      <c r="B316" t="str">
        <f t="shared" si="16"/>
        <v>komorkowy</v>
      </c>
      <c r="C316">
        <f t="shared" si="17"/>
        <v>0</v>
      </c>
      <c r="D316">
        <f t="shared" si="18"/>
        <v>0</v>
      </c>
      <c r="E316" s="1">
        <v>42922</v>
      </c>
      <c r="F316" s="2">
        <v>0.36618055555555556</v>
      </c>
      <c r="G316" s="2">
        <v>0.37038194444444444</v>
      </c>
      <c r="H316" s="2">
        <f t="shared" si="19"/>
        <v>4.2013888888888795E-3</v>
      </c>
      <c r="K316" s="1"/>
    </row>
    <row r="317" spans="1:11" x14ac:dyDescent="0.25">
      <c r="A317" s="6">
        <v>1158631</v>
      </c>
      <c r="B317" t="str">
        <f t="shared" si="16"/>
        <v>stacjonarny</v>
      </c>
      <c r="C317">
        <f t="shared" si="17"/>
        <v>0</v>
      </c>
      <c r="D317">
        <f t="shared" si="18"/>
        <v>0</v>
      </c>
      <c r="E317" s="1">
        <v>42922</v>
      </c>
      <c r="F317" s="2">
        <v>0.3664351851851852</v>
      </c>
      <c r="G317" s="2">
        <v>0.37646990740740743</v>
      </c>
      <c r="H317" s="2">
        <f t="shared" si="19"/>
        <v>1.0034722222222237E-2</v>
      </c>
      <c r="K317" s="1"/>
    </row>
    <row r="318" spans="1:11" x14ac:dyDescent="0.25">
      <c r="A318" s="6">
        <v>6009110</v>
      </c>
      <c r="B318" t="str">
        <f t="shared" si="16"/>
        <v>stacjonarny</v>
      </c>
      <c r="C318">
        <f t="shared" si="17"/>
        <v>0</v>
      </c>
      <c r="D318">
        <f t="shared" si="18"/>
        <v>0</v>
      </c>
      <c r="E318" s="1">
        <v>42922</v>
      </c>
      <c r="F318" s="2">
        <v>0.37092592592592594</v>
      </c>
      <c r="G318" s="2">
        <v>0.37193287037037037</v>
      </c>
      <c r="H318" s="2">
        <f t="shared" si="19"/>
        <v>1.0069444444444353E-3</v>
      </c>
      <c r="K318" s="1"/>
    </row>
    <row r="319" spans="1:11" x14ac:dyDescent="0.25">
      <c r="A319" s="6">
        <v>6644360383</v>
      </c>
      <c r="B319" t="str">
        <f t="shared" si="16"/>
        <v>zagraniczny</v>
      </c>
      <c r="C319">
        <f t="shared" si="17"/>
        <v>0</v>
      </c>
      <c r="D319">
        <f t="shared" si="18"/>
        <v>0</v>
      </c>
      <c r="E319" s="1">
        <v>42922</v>
      </c>
      <c r="F319" s="2">
        <v>0.37333333333333335</v>
      </c>
      <c r="G319" s="2">
        <v>0.37968750000000001</v>
      </c>
      <c r="H319" s="2">
        <f t="shared" si="19"/>
        <v>6.3541666666666607E-3</v>
      </c>
      <c r="K319" s="1"/>
    </row>
    <row r="320" spans="1:11" x14ac:dyDescent="0.25">
      <c r="A320" s="6">
        <v>6045882</v>
      </c>
      <c r="B320" t="str">
        <f t="shared" si="16"/>
        <v>stacjonarny</v>
      </c>
      <c r="C320">
        <f t="shared" si="17"/>
        <v>0</v>
      </c>
      <c r="D320">
        <f t="shared" si="18"/>
        <v>0</v>
      </c>
      <c r="E320" s="1">
        <v>42922</v>
      </c>
      <c r="F320" s="2">
        <v>0.37799768518518517</v>
      </c>
      <c r="G320" s="2">
        <v>0.38377314814814817</v>
      </c>
      <c r="H320" s="2">
        <f t="shared" si="19"/>
        <v>5.7754629629629961E-3</v>
      </c>
      <c r="K320" s="1"/>
    </row>
    <row r="321" spans="1:11" x14ac:dyDescent="0.25">
      <c r="A321" s="6">
        <v>4113351</v>
      </c>
      <c r="B321" t="str">
        <f t="shared" si="16"/>
        <v>stacjonarny</v>
      </c>
      <c r="C321">
        <f t="shared" si="17"/>
        <v>0</v>
      </c>
      <c r="D321">
        <f t="shared" si="18"/>
        <v>0</v>
      </c>
      <c r="E321" s="1">
        <v>42922</v>
      </c>
      <c r="F321" s="2">
        <v>0.37913194444444442</v>
      </c>
      <c r="G321" s="2">
        <v>0.3800115740740741</v>
      </c>
      <c r="H321" s="2">
        <f t="shared" si="19"/>
        <v>8.7962962962967461E-4</v>
      </c>
      <c r="K321" s="1"/>
    </row>
    <row r="322" spans="1:11" x14ac:dyDescent="0.25">
      <c r="A322" s="6">
        <v>9777118</v>
      </c>
      <c r="B322" t="str">
        <f t="shared" ref="B322:B385" si="20">IF(LEN(A322)=7, "stacjonarny", IF(LEN(A322)=8, "komorkowy", "zagraniczny"))</f>
        <v>stacjonarny</v>
      </c>
      <c r="C322">
        <f t="shared" si="17"/>
        <v>0</v>
      </c>
      <c r="D322">
        <f t="shared" si="18"/>
        <v>0</v>
      </c>
      <c r="E322" s="1">
        <v>42922</v>
      </c>
      <c r="F322" s="2">
        <v>0.38156250000000003</v>
      </c>
      <c r="G322" s="2">
        <v>0.3878240740740741</v>
      </c>
      <c r="H322" s="2">
        <f t="shared" si="19"/>
        <v>6.2615740740740722E-3</v>
      </c>
      <c r="K322" s="1"/>
    </row>
    <row r="323" spans="1:11" x14ac:dyDescent="0.25">
      <c r="A323" s="6">
        <v>1659814</v>
      </c>
      <c r="B323" t="str">
        <f t="shared" si="20"/>
        <v>stacjonarny</v>
      </c>
      <c r="C323">
        <f t="shared" ref="C323:C386" si="21">IF(LEFT(A323,2)="12",1,0)</f>
        <v>0</v>
      </c>
      <c r="D323">
        <f t="shared" ref="D323:D386" si="22">IF(AND(C323=1,B323="stacjonarny"),1,0)</f>
        <v>0</v>
      </c>
      <c r="E323" s="1">
        <v>42922</v>
      </c>
      <c r="F323" s="2">
        <v>0.38416666666666666</v>
      </c>
      <c r="G323" s="2">
        <v>0.39554398148148145</v>
      </c>
      <c r="H323" s="2">
        <f t="shared" ref="H323:H386" si="23">G323-F323</f>
        <v>1.1377314814814798E-2</v>
      </c>
      <c r="K323" s="1"/>
    </row>
    <row r="324" spans="1:11" x14ac:dyDescent="0.25">
      <c r="A324" s="6">
        <v>26204415</v>
      </c>
      <c r="B324" t="str">
        <f t="shared" si="20"/>
        <v>komorkowy</v>
      </c>
      <c r="C324">
        <f t="shared" si="21"/>
        <v>0</v>
      </c>
      <c r="D324">
        <f t="shared" si="22"/>
        <v>0</v>
      </c>
      <c r="E324" s="1">
        <v>42922</v>
      </c>
      <c r="F324" s="2">
        <v>0.38806712962962964</v>
      </c>
      <c r="G324" s="2">
        <v>0.39144675925925926</v>
      </c>
      <c r="H324" s="2">
        <f t="shared" si="23"/>
        <v>3.3796296296296213E-3</v>
      </c>
      <c r="K324" s="1"/>
    </row>
    <row r="325" spans="1:11" x14ac:dyDescent="0.25">
      <c r="A325" s="6">
        <v>8471544</v>
      </c>
      <c r="B325" t="str">
        <f t="shared" si="20"/>
        <v>stacjonarny</v>
      </c>
      <c r="C325">
        <f t="shared" si="21"/>
        <v>0</v>
      </c>
      <c r="D325">
        <f t="shared" si="22"/>
        <v>0</v>
      </c>
      <c r="E325" s="1">
        <v>42922</v>
      </c>
      <c r="F325" s="2">
        <v>0.38960648148148147</v>
      </c>
      <c r="G325" s="2">
        <v>0.39498842592592592</v>
      </c>
      <c r="H325" s="2">
        <f t="shared" si="23"/>
        <v>5.3819444444444531E-3</v>
      </c>
      <c r="K325" s="1"/>
    </row>
    <row r="326" spans="1:11" x14ac:dyDescent="0.25">
      <c r="A326" s="6">
        <v>3379401</v>
      </c>
      <c r="B326" t="str">
        <f t="shared" si="20"/>
        <v>stacjonarny</v>
      </c>
      <c r="C326">
        <f t="shared" si="21"/>
        <v>0</v>
      </c>
      <c r="D326">
        <f t="shared" si="22"/>
        <v>0</v>
      </c>
      <c r="E326" s="1">
        <v>42922</v>
      </c>
      <c r="F326" s="2">
        <v>0.39466435185185184</v>
      </c>
      <c r="G326" s="2">
        <v>0.40501157407407407</v>
      </c>
      <c r="H326" s="2">
        <f t="shared" si="23"/>
        <v>1.034722222222223E-2</v>
      </c>
      <c r="K326" s="1"/>
    </row>
    <row r="327" spans="1:11" x14ac:dyDescent="0.25">
      <c r="A327" s="6">
        <v>5912377607</v>
      </c>
      <c r="B327" t="str">
        <f t="shared" si="20"/>
        <v>zagraniczny</v>
      </c>
      <c r="C327">
        <f t="shared" si="21"/>
        <v>0</v>
      </c>
      <c r="D327">
        <f t="shared" si="22"/>
        <v>0</v>
      </c>
      <c r="E327" s="1">
        <v>42922</v>
      </c>
      <c r="F327" s="2">
        <v>0.39613425925925927</v>
      </c>
      <c r="G327" s="2">
        <v>0.39868055555555554</v>
      </c>
      <c r="H327" s="2">
        <f t="shared" si="23"/>
        <v>2.5462962962962687E-3</v>
      </c>
      <c r="K327" s="1"/>
    </row>
    <row r="328" spans="1:11" x14ac:dyDescent="0.25">
      <c r="A328" s="6">
        <v>77705897</v>
      </c>
      <c r="B328" t="str">
        <f t="shared" si="20"/>
        <v>komorkowy</v>
      </c>
      <c r="C328">
        <f t="shared" si="21"/>
        <v>0</v>
      </c>
      <c r="D328">
        <f t="shared" si="22"/>
        <v>0</v>
      </c>
      <c r="E328" s="1">
        <v>42922</v>
      </c>
      <c r="F328" s="2">
        <v>0.39956018518518521</v>
      </c>
      <c r="G328" s="2">
        <v>0.40025462962962965</v>
      </c>
      <c r="H328" s="2">
        <f t="shared" si="23"/>
        <v>6.9444444444444198E-4</v>
      </c>
      <c r="K328" s="1"/>
    </row>
    <row r="329" spans="1:11" x14ac:dyDescent="0.25">
      <c r="A329" s="6">
        <v>5894865</v>
      </c>
      <c r="B329" t="str">
        <f t="shared" si="20"/>
        <v>stacjonarny</v>
      </c>
      <c r="C329">
        <f t="shared" si="21"/>
        <v>0</v>
      </c>
      <c r="D329">
        <f t="shared" si="22"/>
        <v>0</v>
      </c>
      <c r="E329" s="1">
        <v>42922</v>
      </c>
      <c r="F329" s="2">
        <v>0.40255787037037039</v>
      </c>
      <c r="G329" s="2">
        <v>0.40554398148148146</v>
      </c>
      <c r="H329" s="2">
        <f t="shared" si="23"/>
        <v>2.9861111111110783E-3</v>
      </c>
      <c r="K329" s="1"/>
    </row>
    <row r="330" spans="1:11" x14ac:dyDescent="0.25">
      <c r="A330" s="6">
        <v>7449832</v>
      </c>
      <c r="B330" t="str">
        <f t="shared" si="20"/>
        <v>stacjonarny</v>
      </c>
      <c r="C330">
        <f t="shared" si="21"/>
        <v>0</v>
      </c>
      <c r="D330">
        <f t="shared" si="22"/>
        <v>0</v>
      </c>
      <c r="E330" s="1">
        <v>42922</v>
      </c>
      <c r="F330" s="2">
        <v>0.40559027777777779</v>
      </c>
      <c r="G330" s="2">
        <v>0.41425925925925927</v>
      </c>
      <c r="H330" s="2">
        <f t="shared" si="23"/>
        <v>8.6689814814814858E-3</v>
      </c>
      <c r="K330" s="1"/>
    </row>
    <row r="331" spans="1:11" x14ac:dyDescent="0.25">
      <c r="A331" s="6">
        <v>49390412</v>
      </c>
      <c r="B331" t="str">
        <f t="shared" si="20"/>
        <v>komorkowy</v>
      </c>
      <c r="C331">
        <f t="shared" si="21"/>
        <v>0</v>
      </c>
      <c r="D331">
        <f t="shared" si="22"/>
        <v>0</v>
      </c>
      <c r="E331" s="1">
        <v>42922</v>
      </c>
      <c r="F331" s="2">
        <v>0.40645833333333331</v>
      </c>
      <c r="G331" s="2">
        <v>0.41598379629629628</v>
      </c>
      <c r="H331" s="2">
        <f t="shared" si="23"/>
        <v>9.5254629629629717E-3</v>
      </c>
      <c r="K331" s="1"/>
    </row>
    <row r="332" spans="1:11" x14ac:dyDescent="0.25">
      <c r="A332" s="6">
        <v>6156594</v>
      </c>
      <c r="B332" t="str">
        <f t="shared" si="20"/>
        <v>stacjonarny</v>
      </c>
      <c r="C332">
        <f t="shared" si="21"/>
        <v>0</v>
      </c>
      <c r="D332">
        <f t="shared" si="22"/>
        <v>0</v>
      </c>
      <c r="E332" s="1">
        <v>42922</v>
      </c>
      <c r="F332" s="2">
        <v>0.41142361111111109</v>
      </c>
      <c r="G332" s="2">
        <v>0.42168981481481482</v>
      </c>
      <c r="H332" s="2">
        <f t="shared" si="23"/>
        <v>1.0266203703703736E-2</v>
      </c>
      <c r="K332" s="1"/>
    </row>
    <row r="333" spans="1:11" x14ac:dyDescent="0.25">
      <c r="A333" s="6">
        <v>5006675</v>
      </c>
      <c r="B333" t="str">
        <f t="shared" si="20"/>
        <v>stacjonarny</v>
      </c>
      <c r="C333">
        <f t="shared" si="21"/>
        <v>0</v>
      </c>
      <c r="D333">
        <f t="shared" si="22"/>
        <v>0</v>
      </c>
      <c r="E333" s="1">
        <v>42922</v>
      </c>
      <c r="F333" s="2">
        <v>0.4129976851851852</v>
      </c>
      <c r="G333" s="2">
        <v>0.41953703703703704</v>
      </c>
      <c r="H333" s="2">
        <f t="shared" si="23"/>
        <v>6.5393518518518379E-3</v>
      </c>
      <c r="K333" s="1"/>
    </row>
    <row r="334" spans="1:11" x14ac:dyDescent="0.25">
      <c r="A334" s="6">
        <v>2096180</v>
      </c>
      <c r="B334" t="str">
        <f t="shared" si="20"/>
        <v>stacjonarny</v>
      </c>
      <c r="C334">
        <f t="shared" si="21"/>
        <v>0</v>
      </c>
      <c r="D334">
        <f t="shared" si="22"/>
        <v>0</v>
      </c>
      <c r="E334" s="1">
        <v>42922</v>
      </c>
      <c r="F334" s="2">
        <v>0.41351851851851851</v>
      </c>
      <c r="G334" s="2">
        <v>0.41670138888888891</v>
      </c>
      <c r="H334" s="2">
        <f t="shared" si="23"/>
        <v>3.1828703703704053E-3</v>
      </c>
      <c r="K334" s="1"/>
    </row>
    <row r="335" spans="1:11" x14ac:dyDescent="0.25">
      <c r="A335" s="6">
        <v>8214927</v>
      </c>
      <c r="B335" t="str">
        <f t="shared" si="20"/>
        <v>stacjonarny</v>
      </c>
      <c r="C335">
        <f t="shared" si="21"/>
        <v>0</v>
      </c>
      <c r="D335">
        <f t="shared" si="22"/>
        <v>0</v>
      </c>
      <c r="E335" s="1">
        <v>42922</v>
      </c>
      <c r="F335" s="2">
        <v>0.41638888888888886</v>
      </c>
      <c r="G335" s="2">
        <v>0.42116898148148146</v>
      </c>
      <c r="H335" s="2">
        <f t="shared" si="23"/>
        <v>4.7800925925925997E-3</v>
      </c>
      <c r="K335" s="1"/>
    </row>
    <row r="336" spans="1:11" x14ac:dyDescent="0.25">
      <c r="A336" s="6">
        <v>5816822</v>
      </c>
      <c r="B336" t="str">
        <f t="shared" si="20"/>
        <v>stacjonarny</v>
      </c>
      <c r="C336">
        <f t="shared" si="21"/>
        <v>0</v>
      </c>
      <c r="D336">
        <f t="shared" si="22"/>
        <v>0</v>
      </c>
      <c r="E336" s="1">
        <v>42922</v>
      </c>
      <c r="F336" s="2">
        <v>0.41684027777777777</v>
      </c>
      <c r="G336" s="2">
        <v>0.4230902777777778</v>
      </c>
      <c r="H336" s="2">
        <f t="shared" si="23"/>
        <v>6.2500000000000333E-3</v>
      </c>
      <c r="K336" s="1"/>
    </row>
    <row r="337" spans="1:11" x14ac:dyDescent="0.25">
      <c r="A337" s="6">
        <v>9683894</v>
      </c>
      <c r="B337" t="str">
        <f t="shared" si="20"/>
        <v>stacjonarny</v>
      </c>
      <c r="C337">
        <f t="shared" si="21"/>
        <v>0</v>
      </c>
      <c r="D337">
        <f t="shared" si="22"/>
        <v>0</v>
      </c>
      <c r="E337" s="1">
        <v>42922</v>
      </c>
      <c r="F337" s="2">
        <v>0.42046296296296298</v>
      </c>
      <c r="G337" s="2">
        <v>0.42086805555555556</v>
      </c>
      <c r="H337" s="2">
        <f t="shared" si="23"/>
        <v>4.050925925925819E-4</v>
      </c>
      <c r="K337" s="1"/>
    </row>
    <row r="338" spans="1:11" x14ac:dyDescent="0.25">
      <c r="A338" s="6">
        <v>2808052</v>
      </c>
      <c r="B338" t="str">
        <f t="shared" si="20"/>
        <v>stacjonarny</v>
      </c>
      <c r="C338">
        <f t="shared" si="21"/>
        <v>0</v>
      </c>
      <c r="D338">
        <f t="shared" si="22"/>
        <v>0</v>
      </c>
      <c r="E338" s="1">
        <v>42922</v>
      </c>
      <c r="F338" s="2">
        <v>0.42144675925925928</v>
      </c>
      <c r="G338" s="2">
        <v>0.43079861111111112</v>
      </c>
      <c r="H338" s="2">
        <f t="shared" si="23"/>
        <v>9.3518518518518334E-3</v>
      </c>
      <c r="K338" s="1"/>
    </row>
    <row r="339" spans="1:11" x14ac:dyDescent="0.25">
      <c r="A339" s="6">
        <v>18084593</v>
      </c>
      <c r="B339" t="str">
        <f t="shared" si="20"/>
        <v>komorkowy</v>
      </c>
      <c r="C339">
        <f t="shared" si="21"/>
        <v>0</v>
      </c>
      <c r="D339">
        <f t="shared" si="22"/>
        <v>0</v>
      </c>
      <c r="E339" s="1">
        <v>42922</v>
      </c>
      <c r="F339" s="2">
        <v>0.42482638888888891</v>
      </c>
      <c r="G339" s="2">
        <v>0.43292824074074077</v>
      </c>
      <c r="H339" s="2">
        <f t="shared" si="23"/>
        <v>8.1018518518518601E-3</v>
      </c>
      <c r="K339" s="1"/>
    </row>
    <row r="340" spans="1:11" x14ac:dyDescent="0.25">
      <c r="A340" s="6">
        <v>1390402</v>
      </c>
      <c r="B340" t="str">
        <f t="shared" si="20"/>
        <v>stacjonarny</v>
      </c>
      <c r="C340">
        <f t="shared" si="21"/>
        <v>0</v>
      </c>
      <c r="D340">
        <f t="shared" si="22"/>
        <v>0</v>
      </c>
      <c r="E340" s="1">
        <v>42922</v>
      </c>
      <c r="F340" s="2">
        <v>0.42880787037037038</v>
      </c>
      <c r="G340" s="2">
        <v>0.44034722222222222</v>
      </c>
      <c r="H340" s="2">
        <f t="shared" si="23"/>
        <v>1.1539351851851842E-2</v>
      </c>
      <c r="K340" s="1"/>
    </row>
    <row r="341" spans="1:11" x14ac:dyDescent="0.25">
      <c r="A341" s="6">
        <v>44200961</v>
      </c>
      <c r="B341" t="str">
        <f t="shared" si="20"/>
        <v>komorkowy</v>
      </c>
      <c r="C341">
        <f t="shared" si="21"/>
        <v>0</v>
      </c>
      <c r="D341">
        <f t="shared" si="22"/>
        <v>0</v>
      </c>
      <c r="E341" s="1">
        <v>42922</v>
      </c>
      <c r="F341" s="2">
        <v>0.42920138888888887</v>
      </c>
      <c r="G341" s="2">
        <v>0.43532407407407409</v>
      </c>
      <c r="H341" s="2">
        <f t="shared" si="23"/>
        <v>6.1226851851852171E-3</v>
      </c>
      <c r="K341" s="1"/>
    </row>
    <row r="342" spans="1:11" x14ac:dyDescent="0.25">
      <c r="A342" s="6">
        <v>5859235</v>
      </c>
      <c r="B342" t="str">
        <f t="shared" si="20"/>
        <v>stacjonarny</v>
      </c>
      <c r="C342">
        <f t="shared" si="21"/>
        <v>0</v>
      </c>
      <c r="D342">
        <f t="shared" si="22"/>
        <v>0</v>
      </c>
      <c r="E342" s="1">
        <v>42922</v>
      </c>
      <c r="F342" s="2">
        <v>0.43037037037037035</v>
      </c>
      <c r="G342" s="2">
        <v>0.4344675925925926</v>
      </c>
      <c r="H342" s="2">
        <f t="shared" si="23"/>
        <v>4.0972222222222521E-3</v>
      </c>
      <c r="K342" s="1"/>
    </row>
    <row r="343" spans="1:11" x14ac:dyDescent="0.25">
      <c r="A343" s="6">
        <v>51855396</v>
      </c>
      <c r="B343" t="str">
        <f t="shared" si="20"/>
        <v>komorkowy</v>
      </c>
      <c r="C343">
        <f t="shared" si="21"/>
        <v>0</v>
      </c>
      <c r="D343">
        <f t="shared" si="22"/>
        <v>0</v>
      </c>
      <c r="E343" s="1">
        <v>42922</v>
      </c>
      <c r="F343" s="2">
        <v>0.43266203703703704</v>
      </c>
      <c r="G343" s="2">
        <v>0.44364583333333335</v>
      </c>
      <c r="H343" s="2">
        <f t="shared" si="23"/>
        <v>1.0983796296296311E-2</v>
      </c>
      <c r="K343" s="1"/>
    </row>
    <row r="344" spans="1:11" x14ac:dyDescent="0.25">
      <c r="A344" s="6">
        <v>8768896</v>
      </c>
      <c r="B344" t="str">
        <f t="shared" si="20"/>
        <v>stacjonarny</v>
      </c>
      <c r="C344">
        <f t="shared" si="21"/>
        <v>0</v>
      </c>
      <c r="D344">
        <f t="shared" si="22"/>
        <v>0</v>
      </c>
      <c r="E344" s="1">
        <v>42922</v>
      </c>
      <c r="F344" s="2">
        <v>0.43590277777777775</v>
      </c>
      <c r="G344" s="2">
        <v>0.44127314814814816</v>
      </c>
      <c r="H344" s="2">
        <f t="shared" si="23"/>
        <v>5.3703703703704142E-3</v>
      </c>
      <c r="K344" s="1"/>
    </row>
    <row r="345" spans="1:11" x14ac:dyDescent="0.25">
      <c r="A345" s="6">
        <v>9088045</v>
      </c>
      <c r="B345" t="str">
        <f t="shared" si="20"/>
        <v>stacjonarny</v>
      </c>
      <c r="C345">
        <f t="shared" si="21"/>
        <v>0</v>
      </c>
      <c r="D345">
        <f t="shared" si="22"/>
        <v>0</v>
      </c>
      <c r="E345" s="1">
        <v>42922</v>
      </c>
      <c r="F345" s="2">
        <v>0.44063657407407408</v>
      </c>
      <c r="G345" s="2">
        <v>0.44285879629629632</v>
      </c>
      <c r="H345" s="2">
        <f t="shared" si="23"/>
        <v>2.2222222222222365E-3</v>
      </c>
      <c r="K345" s="1"/>
    </row>
    <row r="346" spans="1:11" x14ac:dyDescent="0.25">
      <c r="A346" s="6">
        <v>9872216</v>
      </c>
      <c r="B346" t="str">
        <f t="shared" si="20"/>
        <v>stacjonarny</v>
      </c>
      <c r="C346">
        <f t="shared" si="21"/>
        <v>0</v>
      </c>
      <c r="D346">
        <f t="shared" si="22"/>
        <v>0</v>
      </c>
      <c r="E346" s="1">
        <v>42922</v>
      </c>
      <c r="F346" s="2">
        <v>0.44200231481481483</v>
      </c>
      <c r="G346" s="2">
        <v>0.44886574074074076</v>
      </c>
      <c r="H346" s="2">
        <f t="shared" si="23"/>
        <v>6.8634259259259256E-3</v>
      </c>
      <c r="K346" s="1"/>
    </row>
    <row r="347" spans="1:11" x14ac:dyDescent="0.25">
      <c r="A347" s="6">
        <v>8369815</v>
      </c>
      <c r="B347" t="str">
        <f t="shared" si="20"/>
        <v>stacjonarny</v>
      </c>
      <c r="C347">
        <f t="shared" si="21"/>
        <v>0</v>
      </c>
      <c r="D347">
        <f t="shared" si="22"/>
        <v>0</v>
      </c>
      <c r="E347" s="1">
        <v>42922</v>
      </c>
      <c r="F347" s="2">
        <v>0.44350694444444444</v>
      </c>
      <c r="G347" s="2">
        <v>0.44528935185185187</v>
      </c>
      <c r="H347" s="2">
        <f t="shared" si="23"/>
        <v>1.782407407407427E-3</v>
      </c>
      <c r="K347" s="1"/>
    </row>
    <row r="348" spans="1:11" x14ac:dyDescent="0.25">
      <c r="A348" s="6">
        <v>3370151</v>
      </c>
      <c r="B348" t="str">
        <f t="shared" si="20"/>
        <v>stacjonarny</v>
      </c>
      <c r="C348">
        <f t="shared" si="21"/>
        <v>0</v>
      </c>
      <c r="D348">
        <f t="shared" si="22"/>
        <v>0</v>
      </c>
      <c r="E348" s="1">
        <v>42922</v>
      </c>
      <c r="F348" s="2">
        <v>0.44452546296296297</v>
      </c>
      <c r="G348" s="2">
        <v>0.44923611111111111</v>
      </c>
      <c r="H348" s="2">
        <f t="shared" si="23"/>
        <v>4.7106481481481444E-3</v>
      </c>
      <c r="K348" s="1"/>
    </row>
    <row r="349" spans="1:11" x14ac:dyDescent="0.25">
      <c r="A349" s="6">
        <v>1488369</v>
      </c>
      <c r="B349" t="str">
        <f t="shared" si="20"/>
        <v>stacjonarny</v>
      </c>
      <c r="C349">
        <f t="shared" si="21"/>
        <v>0</v>
      </c>
      <c r="D349">
        <f t="shared" si="22"/>
        <v>0</v>
      </c>
      <c r="E349" s="1">
        <v>42922</v>
      </c>
      <c r="F349" s="2">
        <v>0.44871527777777775</v>
      </c>
      <c r="G349" s="2">
        <v>0.45627314814814812</v>
      </c>
      <c r="H349" s="2">
        <f t="shared" si="23"/>
        <v>7.5578703703703676E-3</v>
      </c>
      <c r="K349" s="1"/>
    </row>
    <row r="350" spans="1:11" x14ac:dyDescent="0.25">
      <c r="A350" s="6">
        <v>4132754</v>
      </c>
      <c r="B350" t="str">
        <f t="shared" si="20"/>
        <v>stacjonarny</v>
      </c>
      <c r="C350">
        <f t="shared" si="21"/>
        <v>0</v>
      </c>
      <c r="D350">
        <f t="shared" si="22"/>
        <v>0</v>
      </c>
      <c r="E350" s="1">
        <v>42922</v>
      </c>
      <c r="F350" s="2">
        <v>0.45281250000000001</v>
      </c>
      <c r="G350" s="2">
        <v>0.45374999999999999</v>
      </c>
      <c r="H350" s="2">
        <f t="shared" si="23"/>
        <v>9.3749999999998002E-4</v>
      </c>
      <c r="K350" s="1"/>
    </row>
    <row r="351" spans="1:11" x14ac:dyDescent="0.25">
      <c r="A351" s="6">
        <v>66638685</v>
      </c>
      <c r="B351" t="str">
        <f t="shared" si="20"/>
        <v>komorkowy</v>
      </c>
      <c r="C351">
        <f t="shared" si="21"/>
        <v>0</v>
      </c>
      <c r="D351">
        <f t="shared" si="22"/>
        <v>0</v>
      </c>
      <c r="E351" s="1">
        <v>42922</v>
      </c>
      <c r="F351" s="2">
        <v>0.45401620370370371</v>
      </c>
      <c r="G351" s="2">
        <v>0.46406249999999999</v>
      </c>
      <c r="H351" s="2">
        <f t="shared" si="23"/>
        <v>1.0046296296296275E-2</v>
      </c>
      <c r="K351" s="1"/>
    </row>
    <row r="352" spans="1:11" x14ac:dyDescent="0.25">
      <c r="A352" s="6">
        <v>6818507</v>
      </c>
      <c r="B352" t="str">
        <f t="shared" si="20"/>
        <v>stacjonarny</v>
      </c>
      <c r="C352">
        <f t="shared" si="21"/>
        <v>0</v>
      </c>
      <c r="D352">
        <f t="shared" si="22"/>
        <v>0</v>
      </c>
      <c r="E352" s="1">
        <v>42922</v>
      </c>
      <c r="F352" s="2">
        <v>0.4584259259259259</v>
      </c>
      <c r="G352" s="2">
        <v>0.46380787037037036</v>
      </c>
      <c r="H352" s="2">
        <f t="shared" si="23"/>
        <v>5.3819444444444531E-3</v>
      </c>
      <c r="K352" s="1"/>
    </row>
    <row r="353" spans="1:11" x14ac:dyDescent="0.25">
      <c r="A353" s="6">
        <v>93611539</v>
      </c>
      <c r="B353" t="str">
        <f t="shared" si="20"/>
        <v>komorkowy</v>
      </c>
      <c r="C353">
        <f t="shared" si="21"/>
        <v>0</v>
      </c>
      <c r="D353">
        <f t="shared" si="22"/>
        <v>0</v>
      </c>
      <c r="E353" s="1">
        <v>42922</v>
      </c>
      <c r="F353" s="2">
        <v>0.45853009259259259</v>
      </c>
      <c r="G353" s="2">
        <v>0.46674768518518517</v>
      </c>
      <c r="H353" s="2">
        <f t="shared" si="23"/>
        <v>8.2175925925925819E-3</v>
      </c>
      <c r="K353" s="1"/>
    </row>
    <row r="354" spans="1:11" x14ac:dyDescent="0.25">
      <c r="A354" s="6">
        <v>2890519255</v>
      </c>
      <c r="B354" t="str">
        <f t="shared" si="20"/>
        <v>zagraniczny</v>
      </c>
      <c r="C354">
        <f t="shared" si="21"/>
        <v>0</v>
      </c>
      <c r="D354">
        <f t="shared" si="22"/>
        <v>0</v>
      </c>
      <c r="E354" s="1">
        <v>42922</v>
      </c>
      <c r="F354" s="2">
        <v>0.4613888888888889</v>
      </c>
      <c r="G354" s="2">
        <v>0.46836805555555555</v>
      </c>
      <c r="H354" s="2">
        <f t="shared" si="23"/>
        <v>6.9791666666666474E-3</v>
      </c>
      <c r="K354" s="1"/>
    </row>
    <row r="355" spans="1:11" x14ac:dyDescent="0.25">
      <c r="A355" s="6">
        <v>66336445</v>
      </c>
      <c r="B355" t="str">
        <f t="shared" si="20"/>
        <v>komorkowy</v>
      </c>
      <c r="C355">
        <f t="shared" si="21"/>
        <v>0</v>
      </c>
      <c r="D355">
        <f t="shared" si="22"/>
        <v>0</v>
      </c>
      <c r="E355" s="1">
        <v>42922</v>
      </c>
      <c r="F355" s="2">
        <v>0.46322916666666669</v>
      </c>
      <c r="G355" s="2">
        <v>0.4642013888888889</v>
      </c>
      <c r="H355" s="2">
        <f t="shared" si="23"/>
        <v>9.7222222222220767E-4</v>
      </c>
      <c r="K355" s="1"/>
    </row>
    <row r="356" spans="1:11" x14ac:dyDescent="0.25">
      <c r="A356" s="6">
        <v>9356324</v>
      </c>
      <c r="B356" t="str">
        <f t="shared" si="20"/>
        <v>stacjonarny</v>
      </c>
      <c r="C356">
        <f t="shared" si="21"/>
        <v>0</v>
      </c>
      <c r="D356">
        <f t="shared" si="22"/>
        <v>0</v>
      </c>
      <c r="E356" s="1">
        <v>42922</v>
      </c>
      <c r="F356" s="2">
        <v>0.46339120370370368</v>
      </c>
      <c r="G356" s="2">
        <v>0.47425925925925927</v>
      </c>
      <c r="H356" s="2">
        <f t="shared" si="23"/>
        <v>1.0868055555555589E-2</v>
      </c>
      <c r="K356" s="1"/>
    </row>
    <row r="357" spans="1:11" x14ac:dyDescent="0.25">
      <c r="A357" s="6">
        <v>5111892302</v>
      </c>
      <c r="B357" t="str">
        <f t="shared" si="20"/>
        <v>zagraniczny</v>
      </c>
      <c r="C357">
        <f t="shared" si="21"/>
        <v>0</v>
      </c>
      <c r="D357">
        <f t="shared" si="22"/>
        <v>0</v>
      </c>
      <c r="E357" s="1">
        <v>42922</v>
      </c>
      <c r="F357" s="2">
        <v>0.46871527777777777</v>
      </c>
      <c r="G357" s="2">
        <v>0.47319444444444442</v>
      </c>
      <c r="H357" s="2">
        <f t="shared" si="23"/>
        <v>4.4791666666666452E-3</v>
      </c>
      <c r="K357" s="1"/>
    </row>
    <row r="358" spans="1:11" x14ac:dyDescent="0.25">
      <c r="A358" s="6">
        <v>2435007</v>
      </c>
      <c r="B358" t="str">
        <f t="shared" si="20"/>
        <v>stacjonarny</v>
      </c>
      <c r="C358">
        <f t="shared" si="21"/>
        <v>0</v>
      </c>
      <c r="D358">
        <f t="shared" si="22"/>
        <v>0</v>
      </c>
      <c r="E358" s="1">
        <v>42922</v>
      </c>
      <c r="F358" s="2">
        <v>0.47395833333333331</v>
      </c>
      <c r="G358" s="2">
        <v>0.47423611111111114</v>
      </c>
      <c r="H358" s="2">
        <f t="shared" si="23"/>
        <v>2.777777777778212E-4</v>
      </c>
      <c r="K358" s="1"/>
    </row>
    <row r="359" spans="1:11" x14ac:dyDescent="0.25">
      <c r="A359" s="6">
        <v>6694568</v>
      </c>
      <c r="B359" t="str">
        <f t="shared" si="20"/>
        <v>stacjonarny</v>
      </c>
      <c r="C359">
        <f t="shared" si="21"/>
        <v>0</v>
      </c>
      <c r="D359">
        <f t="shared" si="22"/>
        <v>0</v>
      </c>
      <c r="E359" s="1">
        <v>42922</v>
      </c>
      <c r="F359" s="2">
        <v>0.47865740740740742</v>
      </c>
      <c r="G359" s="2">
        <v>0.48923611111111109</v>
      </c>
      <c r="H359" s="2">
        <f t="shared" si="23"/>
        <v>1.0578703703703674E-2</v>
      </c>
      <c r="K359" s="1"/>
    </row>
    <row r="360" spans="1:11" x14ac:dyDescent="0.25">
      <c r="A360" s="6">
        <v>6420583</v>
      </c>
      <c r="B360" t="str">
        <f t="shared" si="20"/>
        <v>stacjonarny</v>
      </c>
      <c r="C360">
        <f t="shared" si="21"/>
        <v>0</v>
      </c>
      <c r="D360">
        <f t="shared" si="22"/>
        <v>0</v>
      </c>
      <c r="E360" s="1">
        <v>42922</v>
      </c>
      <c r="F360" s="2">
        <v>0.48</v>
      </c>
      <c r="G360" s="2">
        <v>0.48539351851851853</v>
      </c>
      <c r="H360" s="2">
        <f t="shared" si="23"/>
        <v>5.3935185185185475E-3</v>
      </c>
      <c r="K360" s="1"/>
    </row>
    <row r="361" spans="1:11" x14ac:dyDescent="0.25">
      <c r="A361" s="6">
        <v>19835498</v>
      </c>
      <c r="B361" t="str">
        <f t="shared" si="20"/>
        <v>komorkowy</v>
      </c>
      <c r="C361">
        <f t="shared" si="21"/>
        <v>0</v>
      </c>
      <c r="D361">
        <f t="shared" si="22"/>
        <v>0</v>
      </c>
      <c r="E361" s="1">
        <v>42922</v>
      </c>
      <c r="F361" s="2">
        <v>0.48478009259259258</v>
      </c>
      <c r="G361" s="2">
        <v>0.49233796296296295</v>
      </c>
      <c r="H361" s="2">
        <f t="shared" si="23"/>
        <v>7.5578703703703676E-3</v>
      </c>
      <c r="K361" s="1"/>
    </row>
    <row r="362" spans="1:11" x14ac:dyDescent="0.25">
      <c r="A362" s="6">
        <v>6663334</v>
      </c>
      <c r="B362" t="str">
        <f t="shared" si="20"/>
        <v>stacjonarny</v>
      </c>
      <c r="C362">
        <f t="shared" si="21"/>
        <v>0</v>
      </c>
      <c r="D362">
        <f t="shared" si="22"/>
        <v>0</v>
      </c>
      <c r="E362" s="1">
        <v>42922</v>
      </c>
      <c r="F362" s="2">
        <v>0.48605324074074074</v>
      </c>
      <c r="G362" s="2">
        <v>0.49381944444444442</v>
      </c>
      <c r="H362" s="2">
        <f t="shared" si="23"/>
        <v>7.766203703703678E-3</v>
      </c>
      <c r="K362" s="1"/>
    </row>
    <row r="363" spans="1:11" x14ac:dyDescent="0.25">
      <c r="A363" s="6">
        <v>44765837</v>
      </c>
      <c r="B363" t="str">
        <f t="shared" si="20"/>
        <v>komorkowy</v>
      </c>
      <c r="C363">
        <f t="shared" si="21"/>
        <v>0</v>
      </c>
      <c r="D363">
        <f t="shared" si="22"/>
        <v>0</v>
      </c>
      <c r="E363" s="1">
        <v>42922</v>
      </c>
      <c r="F363" s="2">
        <v>0.4887037037037037</v>
      </c>
      <c r="G363" s="2">
        <v>0.49343749999999997</v>
      </c>
      <c r="H363" s="2">
        <f t="shared" si="23"/>
        <v>4.7337962962962776E-3</v>
      </c>
      <c r="K363" s="1"/>
    </row>
    <row r="364" spans="1:11" x14ac:dyDescent="0.25">
      <c r="A364" s="6">
        <v>2469778</v>
      </c>
      <c r="B364" t="str">
        <f t="shared" si="20"/>
        <v>stacjonarny</v>
      </c>
      <c r="C364">
        <f t="shared" si="21"/>
        <v>0</v>
      </c>
      <c r="D364">
        <f t="shared" si="22"/>
        <v>0</v>
      </c>
      <c r="E364" s="1">
        <v>42922</v>
      </c>
      <c r="F364" s="2">
        <v>0.49236111111111114</v>
      </c>
      <c r="G364" s="2">
        <v>0.49780092592592595</v>
      </c>
      <c r="H364" s="2">
        <f t="shared" si="23"/>
        <v>5.439814814814814E-3</v>
      </c>
      <c r="K364" s="1"/>
    </row>
    <row r="365" spans="1:11" x14ac:dyDescent="0.25">
      <c r="A365" s="6">
        <v>1959826</v>
      </c>
      <c r="B365" t="str">
        <f t="shared" si="20"/>
        <v>stacjonarny</v>
      </c>
      <c r="C365">
        <f t="shared" si="21"/>
        <v>0</v>
      </c>
      <c r="D365">
        <f t="shared" si="22"/>
        <v>0</v>
      </c>
      <c r="E365" s="1">
        <v>42922</v>
      </c>
      <c r="F365" s="2">
        <v>0.49372685185185183</v>
      </c>
      <c r="G365" s="2">
        <v>0.50436342592592598</v>
      </c>
      <c r="H365" s="2">
        <f t="shared" si="23"/>
        <v>1.0636574074074145E-2</v>
      </c>
      <c r="K365" s="1"/>
    </row>
    <row r="366" spans="1:11" x14ac:dyDescent="0.25">
      <c r="A366" s="6">
        <v>37032078</v>
      </c>
      <c r="B366" t="str">
        <f t="shared" si="20"/>
        <v>komorkowy</v>
      </c>
      <c r="C366">
        <f t="shared" si="21"/>
        <v>0</v>
      </c>
      <c r="D366">
        <f t="shared" si="22"/>
        <v>0</v>
      </c>
      <c r="E366" s="1">
        <v>42922</v>
      </c>
      <c r="F366" s="2">
        <v>0.49387731481481484</v>
      </c>
      <c r="G366" s="2">
        <v>0.50420138888888888</v>
      </c>
      <c r="H366" s="2">
        <f t="shared" si="23"/>
        <v>1.0324074074074041E-2</v>
      </c>
      <c r="K366" s="1"/>
    </row>
    <row r="367" spans="1:11" x14ac:dyDescent="0.25">
      <c r="A367" s="6">
        <v>6516512</v>
      </c>
      <c r="B367" t="str">
        <f t="shared" si="20"/>
        <v>stacjonarny</v>
      </c>
      <c r="C367">
        <f t="shared" si="21"/>
        <v>0</v>
      </c>
      <c r="D367">
        <f t="shared" si="22"/>
        <v>0</v>
      </c>
      <c r="E367" s="1">
        <v>42922</v>
      </c>
      <c r="F367" s="2">
        <v>0.49438657407407405</v>
      </c>
      <c r="G367" s="2">
        <v>0.49909722222222225</v>
      </c>
      <c r="H367" s="2">
        <f t="shared" si="23"/>
        <v>4.7106481481481999E-3</v>
      </c>
      <c r="K367" s="1"/>
    </row>
    <row r="368" spans="1:11" x14ac:dyDescent="0.25">
      <c r="A368" s="6">
        <v>4726561</v>
      </c>
      <c r="B368" t="str">
        <f t="shared" si="20"/>
        <v>stacjonarny</v>
      </c>
      <c r="C368">
        <f t="shared" si="21"/>
        <v>0</v>
      </c>
      <c r="D368">
        <f t="shared" si="22"/>
        <v>0</v>
      </c>
      <c r="E368" s="1">
        <v>42922</v>
      </c>
      <c r="F368" s="2">
        <v>0.49910879629629629</v>
      </c>
      <c r="G368" s="2">
        <v>0.5009837962962963</v>
      </c>
      <c r="H368" s="2">
        <f t="shared" si="23"/>
        <v>1.8750000000000155E-3</v>
      </c>
      <c r="K368" s="1"/>
    </row>
    <row r="369" spans="1:11" x14ac:dyDescent="0.25">
      <c r="A369" s="6">
        <v>9685747</v>
      </c>
      <c r="B369" t="str">
        <f t="shared" si="20"/>
        <v>stacjonarny</v>
      </c>
      <c r="C369">
        <f t="shared" si="21"/>
        <v>0</v>
      </c>
      <c r="D369">
        <f t="shared" si="22"/>
        <v>0</v>
      </c>
      <c r="E369" s="1">
        <v>42922</v>
      </c>
      <c r="F369" s="2">
        <v>0.50342592592592594</v>
      </c>
      <c r="G369" s="2">
        <v>0.51392361111111107</v>
      </c>
      <c r="H369" s="2">
        <f t="shared" si="23"/>
        <v>1.0497685185185124E-2</v>
      </c>
      <c r="K369" s="1"/>
    </row>
    <row r="370" spans="1:11" x14ac:dyDescent="0.25">
      <c r="A370" s="6">
        <v>7507354</v>
      </c>
      <c r="B370" t="str">
        <f t="shared" si="20"/>
        <v>stacjonarny</v>
      </c>
      <c r="C370">
        <f t="shared" si="21"/>
        <v>0</v>
      </c>
      <c r="D370">
        <f t="shared" si="22"/>
        <v>0</v>
      </c>
      <c r="E370" s="1">
        <v>42922</v>
      </c>
      <c r="F370" s="2">
        <v>0.50700231481481484</v>
      </c>
      <c r="G370" s="2">
        <v>0.51186342592592593</v>
      </c>
      <c r="H370" s="2">
        <f t="shared" si="23"/>
        <v>4.8611111111110938E-3</v>
      </c>
      <c r="K370" s="1"/>
    </row>
    <row r="371" spans="1:11" x14ac:dyDescent="0.25">
      <c r="A371" s="6">
        <v>8605742</v>
      </c>
      <c r="B371" t="str">
        <f t="shared" si="20"/>
        <v>stacjonarny</v>
      </c>
      <c r="C371">
        <f t="shared" si="21"/>
        <v>0</v>
      </c>
      <c r="D371">
        <f t="shared" si="22"/>
        <v>0</v>
      </c>
      <c r="E371" s="1">
        <v>42922</v>
      </c>
      <c r="F371" s="2">
        <v>0.5119097222222222</v>
      </c>
      <c r="G371" s="2">
        <v>0.52288194444444447</v>
      </c>
      <c r="H371" s="2">
        <f t="shared" si="23"/>
        <v>1.0972222222222272E-2</v>
      </c>
      <c r="K371" s="1"/>
    </row>
    <row r="372" spans="1:11" x14ac:dyDescent="0.25">
      <c r="A372" s="6">
        <v>4681236</v>
      </c>
      <c r="B372" t="str">
        <f t="shared" si="20"/>
        <v>stacjonarny</v>
      </c>
      <c r="C372">
        <f t="shared" si="21"/>
        <v>0</v>
      </c>
      <c r="D372">
        <f t="shared" si="22"/>
        <v>0</v>
      </c>
      <c r="E372" s="1">
        <v>42922</v>
      </c>
      <c r="F372" s="2">
        <v>0.51452546296296298</v>
      </c>
      <c r="G372" s="2">
        <v>0.51570601851851849</v>
      </c>
      <c r="H372" s="2">
        <f t="shared" si="23"/>
        <v>1.1805555555555181E-3</v>
      </c>
      <c r="K372" s="1"/>
    </row>
    <row r="373" spans="1:11" x14ac:dyDescent="0.25">
      <c r="A373" s="6">
        <v>3590468</v>
      </c>
      <c r="B373" t="str">
        <f t="shared" si="20"/>
        <v>stacjonarny</v>
      </c>
      <c r="C373">
        <f t="shared" si="21"/>
        <v>0</v>
      </c>
      <c r="D373">
        <f t="shared" si="22"/>
        <v>0</v>
      </c>
      <c r="E373" s="1">
        <v>42922</v>
      </c>
      <c r="F373" s="2">
        <v>0.51556712962962958</v>
      </c>
      <c r="G373" s="2">
        <v>0.52572916666666669</v>
      </c>
      <c r="H373" s="2">
        <f t="shared" si="23"/>
        <v>1.0162037037037108E-2</v>
      </c>
      <c r="K373" s="1"/>
    </row>
    <row r="374" spans="1:11" x14ac:dyDescent="0.25">
      <c r="A374" s="6">
        <v>9878283</v>
      </c>
      <c r="B374" t="str">
        <f t="shared" si="20"/>
        <v>stacjonarny</v>
      </c>
      <c r="C374">
        <f t="shared" si="21"/>
        <v>0</v>
      </c>
      <c r="D374">
        <f t="shared" si="22"/>
        <v>0</v>
      </c>
      <c r="E374" s="1">
        <v>42922</v>
      </c>
      <c r="F374" s="2">
        <v>0.51858796296296295</v>
      </c>
      <c r="G374" s="2">
        <v>0.52776620370370375</v>
      </c>
      <c r="H374" s="2">
        <f t="shared" si="23"/>
        <v>9.1782407407408062E-3</v>
      </c>
      <c r="K374" s="1"/>
    </row>
    <row r="375" spans="1:11" x14ac:dyDescent="0.25">
      <c r="A375" s="6">
        <v>5991516</v>
      </c>
      <c r="B375" t="str">
        <f t="shared" si="20"/>
        <v>stacjonarny</v>
      </c>
      <c r="C375">
        <f t="shared" si="21"/>
        <v>0</v>
      </c>
      <c r="D375">
        <f t="shared" si="22"/>
        <v>0</v>
      </c>
      <c r="E375" s="1">
        <v>42922</v>
      </c>
      <c r="F375" s="2">
        <v>0.52217592592592588</v>
      </c>
      <c r="G375" s="2">
        <v>0.53173611111111108</v>
      </c>
      <c r="H375" s="2">
        <f t="shared" si="23"/>
        <v>9.5601851851851993E-3</v>
      </c>
      <c r="K375" s="1"/>
    </row>
    <row r="376" spans="1:11" x14ac:dyDescent="0.25">
      <c r="A376" s="6">
        <v>1240369</v>
      </c>
      <c r="B376" t="str">
        <f t="shared" si="20"/>
        <v>stacjonarny</v>
      </c>
      <c r="C376">
        <f t="shared" si="21"/>
        <v>1</v>
      </c>
      <c r="D376">
        <f t="shared" si="22"/>
        <v>1</v>
      </c>
      <c r="E376" s="1">
        <v>42922</v>
      </c>
      <c r="F376" s="2">
        <v>0.52767361111111111</v>
      </c>
      <c r="G376" s="2">
        <v>0.52850694444444446</v>
      </c>
      <c r="H376" s="2">
        <f t="shared" si="23"/>
        <v>8.3333333333335258E-4</v>
      </c>
      <c r="K376" s="1"/>
    </row>
    <row r="377" spans="1:11" x14ac:dyDescent="0.25">
      <c r="A377" s="6">
        <v>25133293</v>
      </c>
      <c r="B377" t="str">
        <f t="shared" si="20"/>
        <v>komorkowy</v>
      </c>
      <c r="C377">
        <f t="shared" si="21"/>
        <v>0</v>
      </c>
      <c r="D377">
        <f t="shared" si="22"/>
        <v>0</v>
      </c>
      <c r="E377" s="1">
        <v>42922</v>
      </c>
      <c r="F377" s="2">
        <v>0.528900462962963</v>
      </c>
      <c r="G377" s="2">
        <v>0.53740740740740744</v>
      </c>
      <c r="H377" s="2">
        <f t="shared" si="23"/>
        <v>8.506944444444442E-3</v>
      </c>
      <c r="K377" s="1"/>
    </row>
    <row r="378" spans="1:11" x14ac:dyDescent="0.25">
      <c r="A378" s="6">
        <v>5036422</v>
      </c>
      <c r="B378" t="str">
        <f t="shared" si="20"/>
        <v>stacjonarny</v>
      </c>
      <c r="C378">
        <f t="shared" si="21"/>
        <v>0</v>
      </c>
      <c r="D378">
        <f t="shared" si="22"/>
        <v>0</v>
      </c>
      <c r="E378" s="1">
        <v>42922</v>
      </c>
      <c r="F378" s="2">
        <v>0.52986111111111112</v>
      </c>
      <c r="G378" s="2">
        <v>0.53047453703703706</v>
      </c>
      <c r="H378" s="2">
        <f t="shared" si="23"/>
        <v>6.134259259259478E-4</v>
      </c>
      <c r="K378" s="1"/>
    </row>
    <row r="379" spans="1:11" x14ac:dyDescent="0.25">
      <c r="A379" s="6">
        <v>4283724</v>
      </c>
      <c r="B379" t="str">
        <f t="shared" si="20"/>
        <v>stacjonarny</v>
      </c>
      <c r="C379">
        <f t="shared" si="21"/>
        <v>0</v>
      </c>
      <c r="D379">
        <f t="shared" si="22"/>
        <v>0</v>
      </c>
      <c r="E379" s="1">
        <v>42922</v>
      </c>
      <c r="F379" s="2">
        <v>0.53134259259259264</v>
      </c>
      <c r="G379" s="2">
        <v>0.53738425925925926</v>
      </c>
      <c r="H379" s="2">
        <f t="shared" si="23"/>
        <v>6.0416666666666119E-3</v>
      </c>
      <c r="K379" s="1"/>
    </row>
    <row r="380" spans="1:11" x14ac:dyDescent="0.25">
      <c r="A380" s="6">
        <v>5856822</v>
      </c>
      <c r="B380" t="str">
        <f t="shared" si="20"/>
        <v>stacjonarny</v>
      </c>
      <c r="C380">
        <f t="shared" si="21"/>
        <v>0</v>
      </c>
      <c r="D380">
        <f t="shared" si="22"/>
        <v>0</v>
      </c>
      <c r="E380" s="1">
        <v>42922</v>
      </c>
      <c r="F380" s="2">
        <v>0.533599537037037</v>
      </c>
      <c r="G380" s="2">
        <v>0.53469907407407402</v>
      </c>
      <c r="H380" s="2">
        <f t="shared" si="23"/>
        <v>1.0995370370370239E-3</v>
      </c>
      <c r="K380" s="1"/>
    </row>
    <row r="381" spans="1:11" x14ac:dyDescent="0.25">
      <c r="A381" s="6">
        <v>7880396</v>
      </c>
      <c r="B381" t="str">
        <f t="shared" si="20"/>
        <v>stacjonarny</v>
      </c>
      <c r="C381">
        <f t="shared" si="21"/>
        <v>0</v>
      </c>
      <c r="D381">
        <f t="shared" si="22"/>
        <v>0</v>
      </c>
      <c r="E381" s="1">
        <v>42922</v>
      </c>
      <c r="F381" s="2">
        <v>0.53796296296296298</v>
      </c>
      <c r="G381" s="2">
        <v>0.54479166666666667</v>
      </c>
      <c r="H381" s="2">
        <f t="shared" si="23"/>
        <v>6.8287037037036979E-3</v>
      </c>
      <c r="K381" s="1"/>
    </row>
    <row r="382" spans="1:11" x14ac:dyDescent="0.25">
      <c r="A382" s="6">
        <v>2201085</v>
      </c>
      <c r="B382" t="str">
        <f t="shared" si="20"/>
        <v>stacjonarny</v>
      </c>
      <c r="C382">
        <f t="shared" si="21"/>
        <v>0</v>
      </c>
      <c r="D382">
        <f t="shared" si="22"/>
        <v>0</v>
      </c>
      <c r="E382" s="1">
        <v>42922</v>
      </c>
      <c r="F382" s="2">
        <v>0.54072916666666671</v>
      </c>
      <c r="G382" s="2">
        <v>0.544525462962963</v>
      </c>
      <c r="H382" s="2">
        <f t="shared" si="23"/>
        <v>3.7962962962962976E-3</v>
      </c>
      <c r="K382" s="1"/>
    </row>
    <row r="383" spans="1:11" x14ac:dyDescent="0.25">
      <c r="A383" s="6">
        <v>30893038</v>
      </c>
      <c r="B383" t="str">
        <f t="shared" si="20"/>
        <v>komorkowy</v>
      </c>
      <c r="C383">
        <f t="shared" si="21"/>
        <v>0</v>
      </c>
      <c r="D383">
        <f t="shared" si="22"/>
        <v>0</v>
      </c>
      <c r="E383" s="1">
        <v>42922</v>
      </c>
      <c r="F383" s="2">
        <v>0.54082175925925924</v>
      </c>
      <c r="G383" s="2">
        <v>0.54995370370370367</v>
      </c>
      <c r="H383" s="2">
        <f t="shared" si="23"/>
        <v>9.1319444444444287E-3</v>
      </c>
      <c r="K383" s="1"/>
    </row>
    <row r="384" spans="1:11" x14ac:dyDescent="0.25">
      <c r="A384" s="6">
        <v>9319894</v>
      </c>
      <c r="B384" t="str">
        <f t="shared" si="20"/>
        <v>stacjonarny</v>
      </c>
      <c r="C384">
        <f t="shared" si="21"/>
        <v>0</v>
      </c>
      <c r="D384">
        <f t="shared" si="22"/>
        <v>0</v>
      </c>
      <c r="E384" s="1">
        <v>42922</v>
      </c>
      <c r="F384" s="2">
        <v>0.54207175925925921</v>
      </c>
      <c r="G384" s="2">
        <v>0.54953703703703705</v>
      </c>
      <c r="H384" s="2">
        <f t="shared" si="23"/>
        <v>7.4652777777778345E-3</v>
      </c>
      <c r="K384" s="1"/>
    </row>
    <row r="385" spans="1:11" x14ac:dyDescent="0.25">
      <c r="A385" s="6">
        <v>3211876</v>
      </c>
      <c r="B385" t="str">
        <f t="shared" si="20"/>
        <v>stacjonarny</v>
      </c>
      <c r="C385">
        <f t="shared" si="21"/>
        <v>0</v>
      </c>
      <c r="D385">
        <f t="shared" si="22"/>
        <v>0</v>
      </c>
      <c r="E385" s="1">
        <v>42922</v>
      </c>
      <c r="F385" s="2">
        <v>0.54693287037037042</v>
      </c>
      <c r="G385" s="2">
        <v>0.54781250000000004</v>
      </c>
      <c r="H385" s="2">
        <f t="shared" si="23"/>
        <v>8.796296296296191E-4</v>
      </c>
      <c r="K385" s="1"/>
    </row>
    <row r="386" spans="1:11" x14ac:dyDescent="0.25">
      <c r="A386" s="6">
        <v>4736016</v>
      </c>
      <c r="B386" t="str">
        <f t="shared" ref="B386:B449" si="24">IF(LEN(A386)=7, "stacjonarny", IF(LEN(A386)=8, "komorkowy", "zagraniczny"))</f>
        <v>stacjonarny</v>
      </c>
      <c r="C386">
        <f t="shared" si="21"/>
        <v>0</v>
      </c>
      <c r="D386">
        <f t="shared" si="22"/>
        <v>0</v>
      </c>
      <c r="E386" s="1">
        <v>42922</v>
      </c>
      <c r="F386" s="2">
        <v>0.55115740740740737</v>
      </c>
      <c r="G386" s="2">
        <v>0.55248842592592595</v>
      </c>
      <c r="H386" s="2">
        <f t="shared" si="23"/>
        <v>1.3310185185185786E-3</v>
      </c>
      <c r="K386" s="1"/>
    </row>
    <row r="387" spans="1:11" x14ac:dyDescent="0.25">
      <c r="A387" s="6">
        <v>8063487</v>
      </c>
      <c r="B387" t="str">
        <f t="shared" si="24"/>
        <v>stacjonarny</v>
      </c>
      <c r="C387">
        <f t="shared" ref="C387:C450" si="25">IF(LEFT(A387,2)="12",1,0)</f>
        <v>0</v>
      </c>
      <c r="D387">
        <f t="shared" ref="D387:D450" si="26">IF(AND(C387=1,B387="stacjonarny"),1,0)</f>
        <v>0</v>
      </c>
      <c r="E387" s="1">
        <v>42922</v>
      </c>
      <c r="F387" s="2">
        <v>0.55269675925925921</v>
      </c>
      <c r="G387" s="2">
        <v>0.56017361111111108</v>
      </c>
      <c r="H387" s="2">
        <f t="shared" ref="H387:H450" si="27">G387-F387</f>
        <v>7.4768518518518734E-3</v>
      </c>
      <c r="K387" s="1"/>
    </row>
    <row r="388" spans="1:11" x14ac:dyDescent="0.25">
      <c r="A388" s="6">
        <v>1319121</v>
      </c>
      <c r="B388" t="str">
        <f t="shared" si="24"/>
        <v>stacjonarny</v>
      </c>
      <c r="C388">
        <f t="shared" si="25"/>
        <v>0</v>
      </c>
      <c r="D388">
        <f t="shared" si="26"/>
        <v>0</v>
      </c>
      <c r="E388" s="1">
        <v>42922</v>
      </c>
      <c r="F388" s="2">
        <v>0.55652777777777773</v>
      </c>
      <c r="G388" s="2">
        <v>0.55682870370370374</v>
      </c>
      <c r="H388" s="2">
        <f t="shared" si="27"/>
        <v>3.0092592592600997E-4</v>
      </c>
      <c r="K388" s="1"/>
    </row>
    <row r="389" spans="1:11" x14ac:dyDescent="0.25">
      <c r="A389" s="6">
        <v>5026277</v>
      </c>
      <c r="B389" t="str">
        <f t="shared" si="24"/>
        <v>stacjonarny</v>
      </c>
      <c r="C389">
        <f t="shared" si="25"/>
        <v>0</v>
      </c>
      <c r="D389">
        <f t="shared" si="26"/>
        <v>0</v>
      </c>
      <c r="E389" s="1">
        <v>42922</v>
      </c>
      <c r="F389" s="2">
        <v>0.55969907407407404</v>
      </c>
      <c r="G389" s="2">
        <v>0.5655324074074074</v>
      </c>
      <c r="H389" s="2">
        <f t="shared" si="27"/>
        <v>5.833333333333357E-3</v>
      </c>
      <c r="K389" s="1"/>
    </row>
    <row r="390" spans="1:11" x14ac:dyDescent="0.25">
      <c r="A390" s="6">
        <v>8768896</v>
      </c>
      <c r="B390" t="str">
        <f t="shared" si="24"/>
        <v>stacjonarny</v>
      </c>
      <c r="C390">
        <f t="shared" si="25"/>
        <v>0</v>
      </c>
      <c r="D390">
        <f t="shared" si="26"/>
        <v>0</v>
      </c>
      <c r="E390" s="1">
        <v>42922</v>
      </c>
      <c r="F390" s="2">
        <v>0.55982638888888892</v>
      </c>
      <c r="G390" s="2">
        <v>0.57039351851851849</v>
      </c>
      <c r="H390" s="2">
        <f t="shared" si="27"/>
        <v>1.0567129629629579E-2</v>
      </c>
      <c r="K390" s="1"/>
    </row>
    <row r="391" spans="1:11" x14ac:dyDescent="0.25">
      <c r="A391" s="6">
        <v>48661666</v>
      </c>
      <c r="B391" t="str">
        <f t="shared" si="24"/>
        <v>komorkowy</v>
      </c>
      <c r="C391">
        <f t="shared" si="25"/>
        <v>0</v>
      </c>
      <c r="D391">
        <f t="shared" si="26"/>
        <v>0</v>
      </c>
      <c r="E391" s="1">
        <v>42922</v>
      </c>
      <c r="F391" s="2">
        <v>0.56123842592592588</v>
      </c>
      <c r="G391" s="2">
        <v>0.56376157407407412</v>
      </c>
      <c r="H391" s="2">
        <f t="shared" si="27"/>
        <v>2.5231481481482465E-3</v>
      </c>
      <c r="K391" s="1"/>
    </row>
    <row r="392" spans="1:11" x14ac:dyDescent="0.25">
      <c r="A392" s="6">
        <v>9304830</v>
      </c>
      <c r="B392" t="str">
        <f t="shared" si="24"/>
        <v>stacjonarny</v>
      </c>
      <c r="C392">
        <f t="shared" si="25"/>
        <v>0</v>
      </c>
      <c r="D392">
        <f t="shared" si="26"/>
        <v>0</v>
      </c>
      <c r="E392" s="1">
        <v>42922</v>
      </c>
      <c r="F392" s="2">
        <v>0.56671296296296292</v>
      </c>
      <c r="G392" s="2">
        <v>0.56832175925925921</v>
      </c>
      <c r="H392" s="2">
        <f t="shared" si="27"/>
        <v>1.6087962962962887E-3</v>
      </c>
      <c r="K392" s="1"/>
    </row>
    <row r="393" spans="1:11" x14ac:dyDescent="0.25">
      <c r="A393" s="6">
        <v>3040267</v>
      </c>
      <c r="B393" t="str">
        <f t="shared" si="24"/>
        <v>stacjonarny</v>
      </c>
      <c r="C393">
        <f t="shared" si="25"/>
        <v>0</v>
      </c>
      <c r="D393">
        <f t="shared" si="26"/>
        <v>0</v>
      </c>
      <c r="E393" s="1">
        <v>42922</v>
      </c>
      <c r="F393" s="2">
        <v>0.56738425925925928</v>
      </c>
      <c r="G393" s="2">
        <v>0.578587962962963</v>
      </c>
      <c r="H393" s="2">
        <f t="shared" si="27"/>
        <v>1.1203703703703716E-2</v>
      </c>
      <c r="K393" s="1"/>
    </row>
    <row r="394" spans="1:11" x14ac:dyDescent="0.25">
      <c r="A394" s="6">
        <v>8405954</v>
      </c>
      <c r="B394" t="str">
        <f t="shared" si="24"/>
        <v>stacjonarny</v>
      </c>
      <c r="C394">
        <f t="shared" si="25"/>
        <v>0</v>
      </c>
      <c r="D394">
        <f t="shared" si="26"/>
        <v>0</v>
      </c>
      <c r="E394" s="1">
        <v>42922</v>
      </c>
      <c r="F394" s="2">
        <v>0.57164351851851847</v>
      </c>
      <c r="G394" s="2">
        <v>0.57528935185185182</v>
      </c>
      <c r="H394" s="2">
        <f t="shared" si="27"/>
        <v>3.6458333333333481E-3</v>
      </c>
      <c r="K394" s="1"/>
    </row>
    <row r="395" spans="1:11" x14ac:dyDescent="0.25">
      <c r="A395" s="6">
        <v>75873682</v>
      </c>
      <c r="B395" t="str">
        <f t="shared" si="24"/>
        <v>komorkowy</v>
      </c>
      <c r="C395">
        <f t="shared" si="25"/>
        <v>0</v>
      </c>
      <c r="D395">
        <f t="shared" si="26"/>
        <v>0</v>
      </c>
      <c r="E395" s="1">
        <v>42922</v>
      </c>
      <c r="F395" s="2">
        <v>0.57399305555555558</v>
      </c>
      <c r="G395" s="2">
        <v>0.58403935185185185</v>
      </c>
      <c r="H395" s="2">
        <f t="shared" si="27"/>
        <v>1.0046296296296275E-2</v>
      </c>
      <c r="K395" s="1"/>
    </row>
    <row r="396" spans="1:11" x14ac:dyDescent="0.25">
      <c r="A396" s="6">
        <v>5984039</v>
      </c>
      <c r="B396" t="str">
        <f t="shared" si="24"/>
        <v>stacjonarny</v>
      </c>
      <c r="C396">
        <f t="shared" si="25"/>
        <v>0</v>
      </c>
      <c r="D396">
        <f t="shared" si="26"/>
        <v>0</v>
      </c>
      <c r="E396" s="1">
        <v>42922</v>
      </c>
      <c r="F396" s="2">
        <v>0.57586805555555554</v>
      </c>
      <c r="G396" s="2">
        <v>0.57981481481481478</v>
      </c>
      <c r="H396" s="2">
        <f t="shared" si="27"/>
        <v>3.9467592592592471E-3</v>
      </c>
      <c r="K396" s="1"/>
    </row>
    <row r="397" spans="1:11" x14ac:dyDescent="0.25">
      <c r="A397" s="6">
        <v>9807682</v>
      </c>
      <c r="B397" t="str">
        <f t="shared" si="24"/>
        <v>stacjonarny</v>
      </c>
      <c r="C397">
        <f t="shared" si="25"/>
        <v>0</v>
      </c>
      <c r="D397">
        <f t="shared" si="26"/>
        <v>0</v>
      </c>
      <c r="E397" s="1">
        <v>42922</v>
      </c>
      <c r="F397" s="2">
        <v>0.57592592592592595</v>
      </c>
      <c r="G397" s="2">
        <v>0.57924768518518521</v>
      </c>
      <c r="H397" s="2">
        <f t="shared" si="27"/>
        <v>3.3217592592592604E-3</v>
      </c>
      <c r="K397" s="1"/>
    </row>
    <row r="398" spans="1:11" x14ac:dyDescent="0.25">
      <c r="A398" s="6">
        <v>3029994</v>
      </c>
      <c r="B398" t="str">
        <f t="shared" si="24"/>
        <v>stacjonarny</v>
      </c>
      <c r="C398">
        <f t="shared" si="25"/>
        <v>0</v>
      </c>
      <c r="D398">
        <f t="shared" si="26"/>
        <v>0</v>
      </c>
      <c r="E398" s="1">
        <v>42922</v>
      </c>
      <c r="F398" s="2">
        <v>0.57737268518518514</v>
      </c>
      <c r="G398" s="2">
        <v>0.58391203703703709</v>
      </c>
      <c r="H398" s="2">
        <f t="shared" si="27"/>
        <v>6.5393518518519489E-3</v>
      </c>
      <c r="K398" s="1"/>
    </row>
    <row r="399" spans="1:11" x14ac:dyDescent="0.25">
      <c r="A399" s="6">
        <v>9415767851</v>
      </c>
      <c r="B399" t="str">
        <f t="shared" si="24"/>
        <v>zagraniczny</v>
      </c>
      <c r="C399">
        <f t="shared" si="25"/>
        <v>0</v>
      </c>
      <c r="D399">
        <f t="shared" si="26"/>
        <v>0</v>
      </c>
      <c r="E399" s="1">
        <v>42922</v>
      </c>
      <c r="F399" s="2">
        <v>0.5827430555555555</v>
      </c>
      <c r="G399" s="2">
        <v>0.58309027777777778</v>
      </c>
      <c r="H399" s="2">
        <f t="shared" si="27"/>
        <v>3.472222222222765E-4</v>
      </c>
      <c r="K399" s="1"/>
    </row>
    <row r="400" spans="1:11" x14ac:dyDescent="0.25">
      <c r="A400" s="6">
        <v>2388040</v>
      </c>
      <c r="B400" t="str">
        <f t="shared" si="24"/>
        <v>stacjonarny</v>
      </c>
      <c r="C400">
        <f t="shared" si="25"/>
        <v>0</v>
      </c>
      <c r="D400">
        <f t="shared" si="26"/>
        <v>0</v>
      </c>
      <c r="E400" s="1">
        <v>42922</v>
      </c>
      <c r="F400" s="2">
        <v>0.58496527777777774</v>
      </c>
      <c r="G400" s="2">
        <v>0.59334490740740742</v>
      </c>
      <c r="H400" s="2">
        <f t="shared" si="27"/>
        <v>8.3796296296296813E-3</v>
      </c>
      <c r="K400" s="1"/>
    </row>
    <row r="401" spans="1:11" x14ac:dyDescent="0.25">
      <c r="A401" s="6">
        <v>41974998</v>
      </c>
      <c r="B401" t="str">
        <f t="shared" si="24"/>
        <v>komorkowy</v>
      </c>
      <c r="C401">
        <f t="shared" si="25"/>
        <v>0</v>
      </c>
      <c r="D401">
        <f t="shared" si="26"/>
        <v>0</v>
      </c>
      <c r="E401" s="1">
        <v>42922</v>
      </c>
      <c r="F401" s="2">
        <v>0.58890046296296295</v>
      </c>
      <c r="G401" s="2">
        <v>0.59614583333333337</v>
      </c>
      <c r="H401" s="2">
        <f t="shared" si="27"/>
        <v>7.2453703703704297E-3</v>
      </c>
      <c r="K401" s="1"/>
    </row>
    <row r="402" spans="1:11" x14ac:dyDescent="0.25">
      <c r="A402" s="6">
        <v>8400710</v>
      </c>
      <c r="B402" t="str">
        <f t="shared" si="24"/>
        <v>stacjonarny</v>
      </c>
      <c r="C402">
        <f t="shared" si="25"/>
        <v>0</v>
      </c>
      <c r="D402">
        <f t="shared" si="26"/>
        <v>0</v>
      </c>
      <c r="E402" s="1">
        <v>42922</v>
      </c>
      <c r="F402" s="2">
        <v>0.59182870370370366</v>
      </c>
      <c r="G402" s="2">
        <v>0.59376157407407404</v>
      </c>
      <c r="H402" s="2">
        <f t="shared" si="27"/>
        <v>1.9328703703703765E-3</v>
      </c>
      <c r="K402" s="1"/>
    </row>
    <row r="403" spans="1:11" x14ac:dyDescent="0.25">
      <c r="A403" s="6">
        <v>1088377750</v>
      </c>
      <c r="B403" t="str">
        <f t="shared" si="24"/>
        <v>zagraniczny</v>
      </c>
      <c r="C403">
        <f t="shared" si="25"/>
        <v>0</v>
      </c>
      <c r="D403">
        <f t="shared" si="26"/>
        <v>0</v>
      </c>
      <c r="E403" s="1">
        <v>42922</v>
      </c>
      <c r="F403" s="2">
        <v>0.59666666666666668</v>
      </c>
      <c r="G403" s="2">
        <v>0.5975462962962963</v>
      </c>
      <c r="H403" s="2">
        <f t="shared" si="27"/>
        <v>8.796296296296191E-4</v>
      </c>
      <c r="K403" s="1"/>
    </row>
    <row r="404" spans="1:11" x14ac:dyDescent="0.25">
      <c r="A404" s="6">
        <v>62016185</v>
      </c>
      <c r="B404" t="str">
        <f t="shared" si="24"/>
        <v>komorkowy</v>
      </c>
      <c r="C404">
        <f t="shared" si="25"/>
        <v>0</v>
      </c>
      <c r="D404">
        <f t="shared" si="26"/>
        <v>0</v>
      </c>
      <c r="E404" s="1">
        <v>42922</v>
      </c>
      <c r="F404" s="2">
        <v>0.60146990740740736</v>
      </c>
      <c r="G404" s="2">
        <v>0.60932870370370373</v>
      </c>
      <c r="H404" s="2">
        <f t="shared" si="27"/>
        <v>7.8587962962963775E-3</v>
      </c>
      <c r="K404" s="1"/>
    </row>
    <row r="405" spans="1:11" x14ac:dyDescent="0.25">
      <c r="A405" s="6">
        <v>4002406</v>
      </c>
      <c r="B405" t="str">
        <f t="shared" si="24"/>
        <v>stacjonarny</v>
      </c>
      <c r="C405">
        <f t="shared" si="25"/>
        <v>0</v>
      </c>
      <c r="D405">
        <f t="shared" si="26"/>
        <v>0</v>
      </c>
      <c r="E405" s="1">
        <v>42922</v>
      </c>
      <c r="F405" s="2">
        <v>0.60247685185185185</v>
      </c>
      <c r="G405" s="2">
        <v>0.60782407407407413</v>
      </c>
      <c r="H405" s="2">
        <f t="shared" si="27"/>
        <v>5.3472222222222809E-3</v>
      </c>
      <c r="K405" s="1"/>
    </row>
    <row r="406" spans="1:11" x14ac:dyDescent="0.25">
      <c r="A406" s="6">
        <v>2394144</v>
      </c>
      <c r="B406" t="str">
        <f t="shared" si="24"/>
        <v>stacjonarny</v>
      </c>
      <c r="C406">
        <f t="shared" si="25"/>
        <v>0</v>
      </c>
      <c r="D406">
        <f t="shared" si="26"/>
        <v>0</v>
      </c>
      <c r="E406" s="1">
        <v>42922</v>
      </c>
      <c r="F406" s="2">
        <v>0.60774305555555552</v>
      </c>
      <c r="G406" s="2">
        <v>0.61297453703703708</v>
      </c>
      <c r="H406" s="2">
        <f t="shared" si="27"/>
        <v>5.2314814814815591E-3</v>
      </c>
      <c r="K406" s="1"/>
    </row>
    <row r="407" spans="1:11" x14ac:dyDescent="0.25">
      <c r="A407" s="6">
        <v>9763924</v>
      </c>
      <c r="B407" t="str">
        <f t="shared" si="24"/>
        <v>stacjonarny</v>
      </c>
      <c r="C407">
        <f t="shared" si="25"/>
        <v>0</v>
      </c>
      <c r="D407">
        <f t="shared" si="26"/>
        <v>0</v>
      </c>
      <c r="E407" s="1">
        <v>42922</v>
      </c>
      <c r="F407" s="2">
        <v>0.611724537037037</v>
      </c>
      <c r="G407" s="2">
        <v>0.62217592592592597</v>
      </c>
      <c r="H407" s="2">
        <f t="shared" si="27"/>
        <v>1.0451388888888968E-2</v>
      </c>
      <c r="K407" s="1"/>
    </row>
    <row r="408" spans="1:11" x14ac:dyDescent="0.25">
      <c r="A408" s="6">
        <v>7977726</v>
      </c>
      <c r="B408" t="str">
        <f t="shared" si="24"/>
        <v>stacjonarny</v>
      </c>
      <c r="C408">
        <f t="shared" si="25"/>
        <v>0</v>
      </c>
      <c r="D408">
        <f t="shared" si="26"/>
        <v>0</v>
      </c>
      <c r="E408" s="1">
        <v>42922</v>
      </c>
      <c r="F408" s="2">
        <v>0.6139930555555555</v>
      </c>
      <c r="G408" s="2">
        <v>0.62364583333333334</v>
      </c>
      <c r="H408" s="2">
        <f t="shared" si="27"/>
        <v>9.6527777777778434E-3</v>
      </c>
      <c r="K408" s="1"/>
    </row>
    <row r="409" spans="1:11" x14ac:dyDescent="0.25">
      <c r="A409" s="6">
        <v>7219884</v>
      </c>
      <c r="B409" t="str">
        <f t="shared" si="24"/>
        <v>stacjonarny</v>
      </c>
      <c r="C409">
        <f t="shared" si="25"/>
        <v>0</v>
      </c>
      <c r="D409">
        <f t="shared" si="26"/>
        <v>0</v>
      </c>
      <c r="E409" s="1">
        <v>42922</v>
      </c>
      <c r="F409" s="2">
        <v>0.61871527777777779</v>
      </c>
      <c r="G409" s="2">
        <v>0.62458333333333338</v>
      </c>
      <c r="H409" s="2">
        <f t="shared" si="27"/>
        <v>5.8680555555555847E-3</v>
      </c>
      <c r="K409" s="1"/>
    </row>
    <row r="410" spans="1:11" x14ac:dyDescent="0.25">
      <c r="A410" s="6">
        <v>8211396842</v>
      </c>
      <c r="B410" t="str">
        <f t="shared" si="24"/>
        <v>zagraniczny</v>
      </c>
      <c r="C410">
        <f t="shared" si="25"/>
        <v>0</v>
      </c>
      <c r="D410">
        <f t="shared" si="26"/>
        <v>0</v>
      </c>
      <c r="E410" s="1">
        <v>42922</v>
      </c>
      <c r="F410" s="2">
        <v>0.6237731481481481</v>
      </c>
      <c r="G410" s="2">
        <v>0.63299768518518518</v>
      </c>
      <c r="H410" s="2">
        <f t="shared" si="27"/>
        <v>9.2245370370370727E-3</v>
      </c>
      <c r="K410" s="1"/>
    </row>
    <row r="411" spans="1:11" x14ac:dyDescent="0.25">
      <c r="A411" s="6">
        <v>4860618</v>
      </c>
      <c r="B411" t="str">
        <f t="shared" si="24"/>
        <v>stacjonarny</v>
      </c>
      <c r="C411">
        <f t="shared" si="25"/>
        <v>0</v>
      </c>
      <c r="D411">
        <f t="shared" si="26"/>
        <v>0</v>
      </c>
      <c r="E411" s="1">
        <v>42922</v>
      </c>
      <c r="F411" s="2">
        <v>0.62396990740740743</v>
      </c>
      <c r="G411" s="2">
        <v>0.62693287037037038</v>
      </c>
      <c r="H411" s="2">
        <f t="shared" si="27"/>
        <v>2.962962962962945E-3</v>
      </c>
      <c r="K411" s="1"/>
    </row>
    <row r="412" spans="1:11" x14ac:dyDescent="0.25">
      <c r="A412" s="6">
        <v>6772052</v>
      </c>
      <c r="B412" t="str">
        <f t="shared" si="24"/>
        <v>stacjonarny</v>
      </c>
      <c r="C412">
        <f t="shared" si="25"/>
        <v>0</v>
      </c>
      <c r="D412">
        <f t="shared" si="26"/>
        <v>0</v>
      </c>
      <c r="E412" s="1">
        <v>42922</v>
      </c>
      <c r="F412" s="2">
        <v>0.62491898148148151</v>
      </c>
      <c r="G412" s="2">
        <v>0.63265046296296301</v>
      </c>
      <c r="H412" s="2">
        <f t="shared" si="27"/>
        <v>7.7314814814815058E-3</v>
      </c>
      <c r="K412" s="1"/>
    </row>
    <row r="413" spans="1:11" x14ac:dyDescent="0.25">
      <c r="A413" s="6">
        <v>6290575</v>
      </c>
      <c r="B413" t="str">
        <f t="shared" si="24"/>
        <v>stacjonarny</v>
      </c>
      <c r="C413">
        <f t="shared" si="25"/>
        <v>0</v>
      </c>
      <c r="D413">
        <f t="shared" si="26"/>
        <v>0</v>
      </c>
      <c r="E413" s="1">
        <v>42922</v>
      </c>
      <c r="F413" s="2">
        <v>0.62614583333333329</v>
      </c>
      <c r="G413" s="2">
        <v>0.6318287037037037</v>
      </c>
      <c r="H413" s="2">
        <f t="shared" si="27"/>
        <v>5.6828703703704075E-3</v>
      </c>
      <c r="K413" s="1"/>
    </row>
    <row r="414" spans="1:11" x14ac:dyDescent="0.25">
      <c r="A414" s="6">
        <v>13972929</v>
      </c>
      <c r="B414" t="str">
        <f t="shared" si="24"/>
        <v>komorkowy</v>
      </c>
      <c r="C414">
        <f t="shared" si="25"/>
        <v>0</v>
      </c>
      <c r="D414">
        <f t="shared" si="26"/>
        <v>0</v>
      </c>
      <c r="E414" s="1">
        <v>42923</v>
      </c>
      <c r="F414" s="2">
        <v>0.33677083333333335</v>
      </c>
      <c r="G414" s="2">
        <v>0.34700231481481481</v>
      </c>
      <c r="H414" s="2">
        <f t="shared" si="27"/>
        <v>1.0231481481481453E-2</v>
      </c>
      <c r="K414" s="1"/>
    </row>
    <row r="415" spans="1:11" x14ac:dyDescent="0.25">
      <c r="A415" s="6">
        <v>7663988</v>
      </c>
      <c r="B415" t="str">
        <f t="shared" si="24"/>
        <v>stacjonarny</v>
      </c>
      <c r="C415">
        <f t="shared" si="25"/>
        <v>0</v>
      </c>
      <c r="D415">
        <f t="shared" si="26"/>
        <v>0</v>
      </c>
      <c r="E415" s="1">
        <v>42923</v>
      </c>
      <c r="F415" s="2">
        <v>0.34092592592592591</v>
      </c>
      <c r="G415" s="2">
        <v>0.3448148148148148</v>
      </c>
      <c r="H415" s="2">
        <f t="shared" si="27"/>
        <v>3.8888888888888862E-3</v>
      </c>
      <c r="K415" s="1"/>
    </row>
    <row r="416" spans="1:11" x14ac:dyDescent="0.25">
      <c r="A416" s="6">
        <v>90532439</v>
      </c>
      <c r="B416" t="str">
        <f t="shared" si="24"/>
        <v>komorkowy</v>
      </c>
      <c r="C416">
        <f t="shared" si="25"/>
        <v>0</v>
      </c>
      <c r="D416">
        <f t="shared" si="26"/>
        <v>0</v>
      </c>
      <c r="E416" s="1">
        <v>42923</v>
      </c>
      <c r="F416" s="2">
        <v>0.34288194444444442</v>
      </c>
      <c r="G416" s="2">
        <v>0.34506944444444443</v>
      </c>
      <c r="H416" s="2">
        <f t="shared" si="27"/>
        <v>2.1875000000000089E-3</v>
      </c>
      <c r="K416" s="1"/>
    </row>
    <row r="417" spans="1:11" x14ac:dyDescent="0.25">
      <c r="A417" s="6">
        <v>5505912</v>
      </c>
      <c r="B417" t="str">
        <f t="shared" si="24"/>
        <v>stacjonarny</v>
      </c>
      <c r="C417">
        <f t="shared" si="25"/>
        <v>0</v>
      </c>
      <c r="D417">
        <f t="shared" si="26"/>
        <v>0</v>
      </c>
      <c r="E417" s="1">
        <v>42923</v>
      </c>
      <c r="F417" s="2">
        <v>0.34465277777777775</v>
      </c>
      <c r="G417" s="2">
        <v>0.34819444444444442</v>
      </c>
      <c r="H417" s="2">
        <f t="shared" si="27"/>
        <v>3.5416666666666652E-3</v>
      </c>
      <c r="K417" s="1"/>
    </row>
    <row r="418" spans="1:11" x14ac:dyDescent="0.25">
      <c r="A418" s="6">
        <v>5505912</v>
      </c>
      <c r="B418" t="str">
        <f t="shared" si="24"/>
        <v>stacjonarny</v>
      </c>
      <c r="C418">
        <f t="shared" si="25"/>
        <v>0</v>
      </c>
      <c r="D418">
        <f t="shared" si="26"/>
        <v>0</v>
      </c>
      <c r="E418" s="1">
        <v>42923</v>
      </c>
      <c r="F418" s="2">
        <v>0.34848379629629628</v>
      </c>
      <c r="G418" s="2">
        <v>0.35015046296296298</v>
      </c>
      <c r="H418" s="2">
        <f t="shared" si="27"/>
        <v>1.6666666666667052E-3</v>
      </c>
      <c r="K418" s="1"/>
    </row>
    <row r="419" spans="1:11" x14ac:dyDescent="0.25">
      <c r="A419" s="6">
        <v>70678482</v>
      </c>
      <c r="B419" t="str">
        <f t="shared" si="24"/>
        <v>komorkowy</v>
      </c>
      <c r="C419">
        <f t="shared" si="25"/>
        <v>0</v>
      </c>
      <c r="D419">
        <f t="shared" si="26"/>
        <v>0</v>
      </c>
      <c r="E419" s="1">
        <v>42923</v>
      </c>
      <c r="F419" s="2">
        <v>0.35130787037037037</v>
      </c>
      <c r="G419" s="2">
        <v>0.35899305555555555</v>
      </c>
      <c r="H419" s="2">
        <f t="shared" si="27"/>
        <v>7.6851851851851838E-3</v>
      </c>
      <c r="K419" s="1"/>
    </row>
    <row r="420" spans="1:11" x14ac:dyDescent="0.25">
      <c r="A420" s="6">
        <v>6578914</v>
      </c>
      <c r="B420" t="str">
        <f t="shared" si="24"/>
        <v>stacjonarny</v>
      </c>
      <c r="C420">
        <f t="shared" si="25"/>
        <v>0</v>
      </c>
      <c r="D420">
        <f t="shared" si="26"/>
        <v>0</v>
      </c>
      <c r="E420" s="1">
        <v>42923</v>
      </c>
      <c r="F420" s="2">
        <v>0.35699074074074072</v>
      </c>
      <c r="G420" s="2">
        <v>0.36546296296296299</v>
      </c>
      <c r="H420" s="2">
        <f t="shared" si="27"/>
        <v>8.4722222222222698E-3</v>
      </c>
      <c r="K420" s="1"/>
    </row>
    <row r="421" spans="1:11" x14ac:dyDescent="0.25">
      <c r="A421" s="6">
        <v>3444629</v>
      </c>
      <c r="B421" t="str">
        <f t="shared" si="24"/>
        <v>stacjonarny</v>
      </c>
      <c r="C421">
        <f t="shared" si="25"/>
        <v>0</v>
      </c>
      <c r="D421">
        <f t="shared" si="26"/>
        <v>0</v>
      </c>
      <c r="E421" s="1">
        <v>42923</v>
      </c>
      <c r="F421" s="2">
        <v>0.36015046296296294</v>
      </c>
      <c r="G421" s="2">
        <v>0.36656250000000001</v>
      </c>
      <c r="H421" s="2">
        <f t="shared" si="27"/>
        <v>6.4120370370370772E-3</v>
      </c>
      <c r="K421" s="1"/>
    </row>
    <row r="422" spans="1:11" x14ac:dyDescent="0.25">
      <c r="A422" s="6">
        <v>95211263</v>
      </c>
      <c r="B422" t="str">
        <f t="shared" si="24"/>
        <v>komorkowy</v>
      </c>
      <c r="C422">
        <f t="shared" si="25"/>
        <v>0</v>
      </c>
      <c r="D422">
        <f t="shared" si="26"/>
        <v>0</v>
      </c>
      <c r="E422" s="1">
        <v>42923</v>
      </c>
      <c r="F422" s="2">
        <v>0.36069444444444443</v>
      </c>
      <c r="G422" s="2">
        <v>0.36572916666666666</v>
      </c>
      <c r="H422" s="2">
        <f t="shared" si="27"/>
        <v>5.0347222222222321E-3</v>
      </c>
      <c r="K422" s="1"/>
    </row>
    <row r="423" spans="1:11" x14ac:dyDescent="0.25">
      <c r="A423" s="6">
        <v>9468070</v>
      </c>
      <c r="B423" t="str">
        <f t="shared" si="24"/>
        <v>stacjonarny</v>
      </c>
      <c r="C423">
        <f t="shared" si="25"/>
        <v>0</v>
      </c>
      <c r="D423">
        <f t="shared" si="26"/>
        <v>0</v>
      </c>
      <c r="E423" s="1">
        <v>42923</v>
      </c>
      <c r="F423" s="2">
        <v>0.36225694444444445</v>
      </c>
      <c r="G423" s="2">
        <v>0.36364583333333333</v>
      </c>
      <c r="H423" s="2">
        <f t="shared" si="27"/>
        <v>1.388888888888884E-3</v>
      </c>
      <c r="K423" s="1"/>
    </row>
    <row r="424" spans="1:11" x14ac:dyDescent="0.25">
      <c r="A424" s="6">
        <v>31516318</v>
      </c>
      <c r="B424" t="str">
        <f t="shared" si="24"/>
        <v>komorkowy</v>
      </c>
      <c r="C424">
        <f t="shared" si="25"/>
        <v>0</v>
      </c>
      <c r="D424">
        <f t="shared" si="26"/>
        <v>0</v>
      </c>
      <c r="E424" s="1">
        <v>42923</v>
      </c>
      <c r="F424" s="2">
        <v>0.36267361111111113</v>
      </c>
      <c r="G424" s="2">
        <v>0.36622685185185183</v>
      </c>
      <c r="H424" s="2">
        <f t="shared" si="27"/>
        <v>3.5532407407407041E-3</v>
      </c>
      <c r="K424" s="1"/>
    </row>
    <row r="425" spans="1:11" x14ac:dyDescent="0.25">
      <c r="A425" s="6">
        <v>9865716</v>
      </c>
      <c r="B425" t="str">
        <f t="shared" si="24"/>
        <v>stacjonarny</v>
      </c>
      <c r="C425">
        <f t="shared" si="25"/>
        <v>0</v>
      </c>
      <c r="D425">
        <f t="shared" si="26"/>
        <v>0</v>
      </c>
      <c r="E425" s="1">
        <v>42923</v>
      </c>
      <c r="F425" s="2">
        <v>0.36584490740740738</v>
      </c>
      <c r="G425" s="2">
        <v>0.37709490740740742</v>
      </c>
      <c r="H425" s="2">
        <f t="shared" si="27"/>
        <v>1.1250000000000038E-2</v>
      </c>
      <c r="K425" s="1"/>
    </row>
    <row r="426" spans="1:11" x14ac:dyDescent="0.25">
      <c r="A426" s="6">
        <v>8163790</v>
      </c>
      <c r="B426" t="str">
        <f t="shared" si="24"/>
        <v>stacjonarny</v>
      </c>
      <c r="C426">
        <f t="shared" si="25"/>
        <v>0</v>
      </c>
      <c r="D426">
        <f t="shared" si="26"/>
        <v>0</v>
      </c>
      <c r="E426" s="1">
        <v>42923</v>
      </c>
      <c r="F426" s="2">
        <v>0.36885416666666665</v>
      </c>
      <c r="G426" s="2">
        <v>0.36932870370370369</v>
      </c>
      <c r="H426" s="2">
        <f t="shared" si="27"/>
        <v>4.745370370370372E-4</v>
      </c>
      <c r="K426" s="1"/>
    </row>
    <row r="427" spans="1:11" x14ac:dyDescent="0.25">
      <c r="A427" s="6">
        <v>18070008</v>
      </c>
      <c r="B427" t="str">
        <f t="shared" si="24"/>
        <v>komorkowy</v>
      </c>
      <c r="C427">
        <f t="shared" si="25"/>
        <v>0</v>
      </c>
      <c r="D427">
        <f t="shared" si="26"/>
        <v>0</v>
      </c>
      <c r="E427" s="1">
        <v>42923</v>
      </c>
      <c r="F427" s="2">
        <v>0.36996527777777777</v>
      </c>
      <c r="G427" s="2">
        <v>0.37149305555555556</v>
      </c>
      <c r="H427" s="2">
        <f t="shared" si="27"/>
        <v>1.5277777777777946E-3</v>
      </c>
      <c r="K427" s="1"/>
    </row>
    <row r="428" spans="1:11" x14ac:dyDescent="0.25">
      <c r="A428" s="6">
        <v>1119740</v>
      </c>
      <c r="B428" t="str">
        <f t="shared" si="24"/>
        <v>stacjonarny</v>
      </c>
      <c r="C428">
        <f t="shared" si="25"/>
        <v>0</v>
      </c>
      <c r="D428">
        <f t="shared" si="26"/>
        <v>0</v>
      </c>
      <c r="E428" s="1">
        <v>42923</v>
      </c>
      <c r="F428" s="2">
        <v>0.37112268518518521</v>
      </c>
      <c r="G428" s="2">
        <v>0.37534722222222222</v>
      </c>
      <c r="H428" s="2">
        <f t="shared" si="27"/>
        <v>4.2245370370370128E-3</v>
      </c>
      <c r="K428" s="1"/>
    </row>
    <row r="429" spans="1:11" x14ac:dyDescent="0.25">
      <c r="A429" s="6">
        <v>94634526</v>
      </c>
      <c r="B429" t="str">
        <f t="shared" si="24"/>
        <v>komorkowy</v>
      </c>
      <c r="C429">
        <f t="shared" si="25"/>
        <v>0</v>
      </c>
      <c r="D429">
        <f t="shared" si="26"/>
        <v>0</v>
      </c>
      <c r="E429" s="1">
        <v>42923</v>
      </c>
      <c r="F429" s="2">
        <v>0.3721990740740741</v>
      </c>
      <c r="G429" s="2">
        <v>0.37956018518518519</v>
      </c>
      <c r="H429" s="2">
        <f t="shared" si="27"/>
        <v>7.3611111111110961E-3</v>
      </c>
      <c r="K429" s="1"/>
    </row>
    <row r="430" spans="1:11" x14ac:dyDescent="0.25">
      <c r="A430" s="6">
        <v>67964973</v>
      </c>
      <c r="B430" t="str">
        <f t="shared" si="24"/>
        <v>komorkowy</v>
      </c>
      <c r="C430">
        <f t="shared" si="25"/>
        <v>0</v>
      </c>
      <c r="D430">
        <f t="shared" si="26"/>
        <v>0</v>
      </c>
      <c r="E430" s="1">
        <v>42923</v>
      </c>
      <c r="F430" s="2">
        <v>0.37445601851851851</v>
      </c>
      <c r="G430" s="2">
        <v>0.38145833333333334</v>
      </c>
      <c r="H430" s="2">
        <f t="shared" si="27"/>
        <v>7.0023148148148362E-3</v>
      </c>
      <c r="K430" s="1"/>
    </row>
    <row r="431" spans="1:11" x14ac:dyDescent="0.25">
      <c r="A431" s="6">
        <v>3505978</v>
      </c>
      <c r="B431" t="str">
        <f t="shared" si="24"/>
        <v>stacjonarny</v>
      </c>
      <c r="C431">
        <f t="shared" si="25"/>
        <v>0</v>
      </c>
      <c r="D431">
        <f t="shared" si="26"/>
        <v>0</v>
      </c>
      <c r="E431" s="1">
        <v>42923</v>
      </c>
      <c r="F431" s="2">
        <v>0.3767476851851852</v>
      </c>
      <c r="G431" s="2">
        <v>0.38192129629629629</v>
      </c>
      <c r="H431" s="2">
        <f t="shared" si="27"/>
        <v>5.1736111111110872E-3</v>
      </c>
      <c r="K431" s="1"/>
    </row>
    <row r="432" spans="1:11" x14ac:dyDescent="0.25">
      <c r="A432" s="6">
        <v>8685299481</v>
      </c>
      <c r="B432" t="str">
        <f t="shared" si="24"/>
        <v>zagraniczny</v>
      </c>
      <c r="C432">
        <f t="shared" si="25"/>
        <v>0</v>
      </c>
      <c r="D432">
        <f t="shared" si="26"/>
        <v>0</v>
      </c>
      <c r="E432" s="1">
        <v>42923</v>
      </c>
      <c r="F432" s="2">
        <v>0.3778009259259259</v>
      </c>
      <c r="G432" s="2">
        <v>0.37927083333333333</v>
      </c>
      <c r="H432" s="2">
        <f t="shared" si="27"/>
        <v>1.4699074074074336E-3</v>
      </c>
      <c r="K432" s="1"/>
    </row>
    <row r="433" spans="1:11" x14ac:dyDescent="0.25">
      <c r="A433" s="6">
        <v>8863988</v>
      </c>
      <c r="B433" t="str">
        <f t="shared" si="24"/>
        <v>stacjonarny</v>
      </c>
      <c r="C433">
        <f t="shared" si="25"/>
        <v>0</v>
      </c>
      <c r="D433">
        <f t="shared" si="26"/>
        <v>0</v>
      </c>
      <c r="E433" s="1">
        <v>42923</v>
      </c>
      <c r="F433" s="2">
        <v>0.37998842592592591</v>
      </c>
      <c r="G433" s="2">
        <v>0.38434027777777779</v>
      </c>
      <c r="H433" s="2">
        <f t="shared" si="27"/>
        <v>4.3518518518518845E-3</v>
      </c>
      <c r="K433" s="1"/>
    </row>
    <row r="434" spans="1:11" x14ac:dyDescent="0.25">
      <c r="A434" s="6">
        <v>29121099</v>
      </c>
      <c r="B434" t="str">
        <f t="shared" si="24"/>
        <v>komorkowy</v>
      </c>
      <c r="C434">
        <f t="shared" si="25"/>
        <v>0</v>
      </c>
      <c r="D434">
        <f t="shared" si="26"/>
        <v>0</v>
      </c>
      <c r="E434" s="1">
        <v>42923</v>
      </c>
      <c r="F434" s="2">
        <v>0.3835763888888889</v>
      </c>
      <c r="G434" s="2">
        <v>0.38965277777777779</v>
      </c>
      <c r="H434" s="2">
        <f t="shared" si="27"/>
        <v>6.0763888888888951E-3</v>
      </c>
      <c r="K434" s="1"/>
    </row>
    <row r="435" spans="1:11" x14ac:dyDescent="0.25">
      <c r="A435" s="6">
        <v>2814524</v>
      </c>
      <c r="B435" t="str">
        <f t="shared" si="24"/>
        <v>stacjonarny</v>
      </c>
      <c r="C435">
        <f t="shared" si="25"/>
        <v>0</v>
      </c>
      <c r="D435">
        <f t="shared" si="26"/>
        <v>0</v>
      </c>
      <c r="E435" s="1">
        <v>42923</v>
      </c>
      <c r="F435" s="2">
        <v>0.38922453703703702</v>
      </c>
      <c r="G435" s="2">
        <v>0.39096064814814813</v>
      </c>
      <c r="H435" s="2">
        <f t="shared" si="27"/>
        <v>1.7361111111111049E-3</v>
      </c>
      <c r="K435" s="1"/>
    </row>
    <row r="436" spans="1:11" x14ac:dyDescent="0.25">
      <c r="A436" s="6">
        <v>5341697748</v>
      </c>
      <c r="B436" t="str">
        <f t="shared" si="24"/>
        <v>zagraniczny</v>
      </c>
      <c r="C436">
        <f t="shared" si="25"/>
        <v>0</v>
      </c>
      <c r="D436">
        <f t="shared" si="26"/>
        <v>0</v>
      </c>
      <c r="E436" s="1">
        <v>42923</v>
      </c>
      <c r="F436" s="2">
        <v>0.39091435185185186</v>
      </c>
      <c r="G436" s="2">
        <v>0.39620370370370372</v>
      </c>
      <c r="H436" s="2">
        <f t="shared" si="27"/>
        <v>5.2893518518518645E-3</v>
      </c>
      <c r="K436" s="1"/>
    </row>
    <row r="437" spans="1:11" x14ac:dyDescent="0.25">
      <c r="A437" s="6">
        <v>4102482</v>
      </c>
      <c r="B437" t="str">
        <f t="shared" si="24"/>
        <v>stacjonarny</v>
      </c>
      <c r="C437">
        <f t="shared" si="25"/>
        <v>0</v>
      </c>
      <c r="D437">
        <f t="shared" si="26"/>
        <v>0</v>
      </c>
      <c r="E437" s="1">
        <v>42923</v>
      </c>
      <c r="F437" s="2">
        <v>0.39196759259259262</v>
      </c>
      <c r="G437" s="2">
        <v>0.39486111111111111</v>
      </c>
      <c r="H437" s="2">
        <f t="shared" si="27"/>
        <v>2.8935185185184897E-3</v>
      </c>
      <c r="K437" s="1"/>
    </row>
    <row r="438" spans="1:11" x14ac:dyDescent="0.25">
      <c r="A438" s="6">
        <v>5636281</v>
      </c>
      <c r="B438" t="str">
        <f t="shared" si="24"/>
        <v>stacjonarny</v>
      </c>
      <c r="C438">
        <f t="shared" si="25"/>
        <v>0</v>
      </c>
      <c r="D438">
        <f t="shared" si="26"/>
        <v>0</v>
      </c>
      <c r="E438" s="1">
        <v>42923</v>
      </c>
      <c r="F438" s="2">
        <v>0.39731481481481479</v>
      </c>
      <c r="G438" s="2">
        <v>0.40688657407407408</v>
      </c>
      <c r="H438" s="2">
        <f t="shared" si="27"/>
        <v>9.5717592592592937E-3</v>
      </c>
      <c r="K438" s="1"/>
    </row>
    <row r="439" spans="1:11" x14ac:dyDescent="0.25">
      <c r="A439" s="6">
        <v>7715424</v>
      </c>
      <c r="B439" t="str">
        <f t="shared" si="24"/>
        <v>stacjonarny</v>
      </c>
      <c r="C439">
        <f t="shared" si="25"/>
        <v>0</v>
      </c>
      <c r="D439">
        <f t="shared" si="26"/>
        <v>0</v>
      </c>
      <c r="E439" s="1">
        <v>42923</v>
      </c>
      <c r="F439" s="2">
        <v>0.40283564814814815</v>
      </c>
      <c r="G439" s="2">
        <v>0.41091435185185188</v>
      </c>
      <c r="H439" s="2">
        <f t="shared" si="27"/>
        <v>8.0787037037037268E-3</v>
      </c>
      <c r="K439" s="1"/>
    </row>
    <row r="440" spans="1:11" x14ac:dyDescent="0.25">
      <c r="A440" s="6">
        <v>3811342</v>
      </c>
      <c r="B440" t="str">
        <f t="shared" si="24"/>
        <v>stacjonarny</v>
      </c>
      <c r="C440">
        <f t="shared" si="25"/>
        <v>0</v>
      </c>
      <c r="D440">
        <f t="shared" si="26"/>
        <v>0</v>
      </c>
      <c r="E440" s="1">
        <v>42923</v>
      </c>
      <c r="F440" s="2">
        <v>0.4039814814814815</v>
      </c>
      <c r="G440" s="2">
        <v>0.41211805555555553</v>
      </c>
      <c r="H440" s="2">
        <f t="shared" si="27"/>
        <v>8.1365740740740322E-3</v>
      </c>
      <c r="K440" s="1"/>
    </row>
    <row r="441" spans="1:11" x14ac:dyDescent="0.25">
      <c r="A441" s="6">
        <v>8177683</v>
      </c>
      <c r="B441" t="str">
        <f t="shared" si="24"/>
        <v>stacjonarny</v>
      </c>
      <c r="C441">
        <f t="shared" si="25"/>
        <v>0</v>
      </c>
      <c r="D441">
        <f t="shared" si="26"/>
        <v>0</v>
      </c>
      <c r="E441" s="1">
        <v>42923</v>
      </c>
      <c r="F441" s="2">
        <v>0.40534722222222225</v>
      </c>
      <c r="G441" s="2">
        <v>0.40887731481481482</v>
      </c>
      <c r="H441" s="2">
        <f t="shared" si="27"/>
        <v>3.5300925925925708E-3</v>
      </c>
      <c r="K441" s="1"/>
    </row>
    <row r="442" spans="1:11" x14ac:dyDescent="0.25">
      <c r="A442" s="6">
        <v>51367705</v>
      </c>
      <c r="B442" t="str">
        <f t="shared" si="24"/>
        <v>komorkowy</v>
      </c>
      <c r="C442">
        <f t="shared" si="25"/>
        <v>0</v>
      </c>
      <c r="D442">
        <f t="shared" si="26"/>
        <v>0</v>
      </c>
      <c r="E442" s="1">
        <v>42923</v>
      </c>
      <c r="F442" s="2">
        <v>0.41025462962962961</v>
      </c>
      <c r="G442" s="2">
        <v>0.41064814814814815</v>
      </c>
      <c r="H442" s="2">
        <f t="shared" si="27"/>
        <v>3.9351851851854303E-4</v>
      </c>
      <c r="K442" s="1"/>
    </row>
    <row r="443" spans="1:11" x14ac:dyDescent="0.25">
      <c r="A443" s="6">
        <v>7646265</v>
      </c>
      <c r="B443" t="str">
        <f t="shared" si="24"/>
        <v>stacjonarny</v>
      </c>
      <c r="C443">
        <f t="shared" si="25"/>
        <v>0</v>
      </c>
      <c r="D443">
        <f t="shared" si="26"/>
        <v>0</v>
      </c>
      <c r="E443" s="1">
        <v>42923</v>
      </c>
      <c r="F443" s="2">
        <v>0.4103472222222222</v>
      </c>
      <c r="G443" s="2">
        <v>0.41578703703703701</v>
      </c>
      <c r="H443" s="2">
        <f t="shared" si="27"/>
        <v>5.439814814814814E-3</v>
      </c>
      <c r="K443" s="1"/>
    </row>
    <row r="444" spans="1:11" x14ac:dyDescent="0.25">
      <c r="A444" s="6">
        <v>37906881</v>
      </c>
      <c r="B444" t="str">
        <f t="shared" si="24"/>
        <v>komorkowy</v>
      </c>
      <c r="C444">
        <f t="shared" si="25"/>
        <v>0</v>
      </c>
      <c r="D444">
        <f t="shared" si="26"/>
        <v>0</v>
      </c>
      <c r="E444" s="1">
        <v>42923</v>
      </c>
      <c r="F444" s="2">
        <v>0.41248842592592594</v>
      </c>
      <c r="G444" s="2">
        <v>0.41328703703703706</v>
      </c>
      <c r="H444" s="2">
        <f t="shared" si="27"/>
        <v>7.9861111111112493E-4</v>
      </c>
      <c r="K444" s="1"/>
    </row>
    <row r="445" spans="1:11" x14ac:dyDescent="0.25">
      <c r="A445" s="6">
        <v>9740908</v>
      </c>
      <c r="B445" t="str">
        <f t="shared" si="24"/>
        <v>stacjonarny</v>
      </c>
      <c r="C445">
        <f t="shared" si="25"/>
        <v>0</v>
      </c>
      <c r="D445">
        <f t="shared" si="26"/>
        <v>0</v>
      </c>
      <c r="E445" s="1">
        <v>42923</v>
      </c>
      <c r="F445" s="2">
        <v>0.41260416666666666</v>
      </c>
      <c r="G445" s="2">
        <v>0.41520833333333335</v>
      </c>
      <c r="H445" s="2">
        <f t="shared" si="27"/>
        <v>2.6041666666666852E-3</v>
      </c>
      <c r="K445" s="1"/>
    </row>
    <row r="446" spans="1:11" x14ac:dyDescent="0.25">
      <c r="A446" s="6">
        <v>45948073</v>
      </c>
      <c r="B446" t="str">
        <f t="shared" si="24"/>
        <v>komorkowy</v>
      </c>
      <c r="C446">
        <f t="shared" si="25"/>
        <v>0</v>
      </c>
      <c r="D446">
        <f t="shared" si="26"/>
        <v>0</v>
      </c>
      <c r="E446" s="1">
        <v>42923</v>
      </c>
      <c r="F446" s="2">
        <v>0.41680555555555554</v>
      </c>
      <c r="G446" s="2">
        <v>0.4243865740740741</v>
      </c>
      <c r="H446" s="2">
        <f t="shared" si="27"/>
        <v>7.5810185185185563E-3</v>
      </c>
      <c r="K446" s="1"/>
    </row>
    <row r="447" spans="1:11" x14ac:dyDescent="0.25">
      <c r="A447" s="6">
        <v>8070345</v>
      </c>
      <c r="B447" t="str">
        <f t="shared" si="24"/>
        <v>stacjonarny</v>
      </c>
      <c r="C447">
        <f t="shared" si="25"/>
        <v>0</v>
      </c>
      <c r="D447">
        <f t="shared" si="26"/>
        <v>0</v>
      </c>
      <c r="E447" s="1">
        <v>42923</v>
      </c>
      <c r="F447" s="2">
        <v>0.41829861111111111</v>
      </c>
      <c r="G447" s="2">
        <v>0.42706018518518518</v>
      </c>
      <c r="H447" s="2">
        <f t="shared" si="27"/>
        <v>8.7615740740740744E-3</v>
      </c>
      <c r="K447" s="1"/>
    </row>
    <row r="448" spans="1:11" x14ac:dyDescent="0.25">
      <c r="A448" s="6">
        <v>52214055</v>
      </c>
      <c r="B448" t="str">
        <f t="shared" si="24"/>
        <v>komorkowy</v>
      </c>
      <c r="C448">
        <f t="shared" si="25"/>
        <v>0</v>
      </c>
      <c r="D448">
        <f t="shared" si="26"/>
        <v>0</v>
      </c>
      <c r="E448" s="1">
        <v>42923</v>
      </c>
      <c r="F448" s="2">
        <v>0.4199074074074074</v>
      </c>
      <c r="G448" s="2">
        <v>0.42357638888888888</v>
      </c>
      <c r="H448" s="2">
        <f t="shared" si="27"/>
        <v>3.6689814814814814E-3</v>
      </c>
      <c r="K448" s="1"/>
    </row>
    <row r="449" spans="1:11" x14ac:dyDescent="0.25">
      <c r="A449" s="6">
        <v>8434044</v>
      </c>
      <c r="B449" t="str">
        <f t="shared" si="24"/>
        <v>stacjonarny</v>
      </c>
      <c r="C449">
        <f t="shared" si="25"/>
        <v>0</v>
      </c>
      <c r="D449">
        <f t="shared" si="26"/>
        <v>0</v>
      </c>
      <c r="E449" s="1">
        <v>42923</v>
      </c>
      <c r="F449" s="2">
        <v>0.42149305555555555</v>
      </c>
      <c r="G449" s="2">
        <v>0.42736111111111114</v>
      </c>
      <c r="H449" s="2">
        <f t="shared" si="27"/>
        <v>5.8680555555555847E-3</v>
      </c>
      <c r="K449" s="1"/>
    </row>
    <row r="450" spans="1:11" x14ac:dyDescent="0.25">
      <c r="A450" s="6">
        <v>4702334</v>
      </c>
      <c r="B450" t="str">
        <f t="shared" ref="B450:B513" si="28">IF(LEN(A450)=7, "stacjonarny", IF(LEN(A450)=8, "komorkowy", "zagraniczny"))</f>
        <v>stacjonarny</v>
      </c>
      <c r="C450">
        <f t="shared" si="25"/>
        <v>0</v>
      </c>
      <c r="D450">
        <f t="shared" si="26"/>
        <v>0</v>
      </c>
      <c r="E450" s="1">
        <v>42923</v>
      </c>
      <c r="F450" s="2">
        <v>0.4255902777777778</v>
      </c>
      <c r="G450" s="2">
        <v>0.43464120370370368</v>
      </c>
      <c r="H450" s="2">
        <f t="shared" si="27"/>
        <v>9.050925925925879E-3</v>
      </c>
      <c r="K450" s="1"/>
    </row>
    <row r="451" spans="1:11" x14ac:dyDescent="0.25">
      <c r="A451" s="6">
        <v>1308483040</v>
      </c>
      <c r="B451" t="str">
        <f t="shared" si="28"/>
        <v>zagraniczny</v>
      </c>
      <c r="C451">
        <f t="shared" ref="C451:C514" si="29">IF(LEFT(A451,2)="12",1,0)</f>
        <v>0</v>
      </c>
      <c r="D451">
        <f t="shared" ref="D451:D514" si="30">IF(AND(C451=1,B451="stacjonarny"),1,0)</f>
        <v>0</v>
      </c>
      <c r="E451" s="1">
        <v>42923</v>
      </c>
      <c r="F451" s="2">
        <v>0.43016203703703704</v>
      </c>
      <c r="G451" s="2">
        <v>0.44123842592592594</v>
      </c>
      <c r="H451" s="2">
        <f t="shared" ref="H451:H514" si="31">G451-F451</f>
        <v>1.1076388888888899E-2</v>
      </c>
      <c r="K451" s="1"/>
    </row>
    <row r="452" spans="1:11" x14ac:dyDescent="0.25">
      <c r="A452" s="6">
        <v>34556399</v>
      </c>
      <c r="B452" t="str">
        <f t="shared" si="28"/>
        <v>komorkowy</v>
      </c>
      <c r="C452">
        <f t="shared" si="29"/>
        <v>0</v>
      </c>
      <c r="D452">
        <f t="shared" si="30"/>
        <v>0</v>
      </c>
      <c r="E452" s="1">
        <v>42923</v>
      </c>
      <c r="F452" s="2">
        <v>0.43146990740740743</v>
      </c>
      <c r="G452" s="2">
        <v>0.43192129629629628</v>
      </c>
      <c r="H452" s="2">
        <f t="shared" si="31"/>
        <v>4.5138888888884843E-4</v>
      </c>
      <c r="K452" s="1"/>
    </row>
    <row r="453" spans="1:11" x14ac:dyDescent="0.25">
      <c r="A453" s="6">
        <v>48676568</v>
      </c>
      <c r="B453" t="str">
        <f t="shared" si="28"/>
        <v>komorkowy</v>
      </c>
      <c r="C453">
        <f t="shared" si="29"/>
        <v>0</v>
      </c>
      <c r="D453">
        <f t="shared" si="30"/>
        <v>0</v>
      </c>
      <c r="E453" s="1">
        <v>42923</v>
      </c>
      <c r="F453" s="2">
        <v>0.43313657407407408</v>
      </c>
      <c r="G453" s="2">
        <v>0.43811342592592595</v>
      </c>
      <c r="H453" s="2">
        <f t="shared" si="31"/>
        <v>4.9768518518518712E-3</v>
      </c>
      <c r="K453" s="1"/>
    </row>
    <row r="454" spans="1:11" x14ac:dyDescent="0.25">
      <c r="A454" s="6">
        <v>1887758</v>
      </c>
      <c r="B454" t="str">
        <f t="shared" si="28"/>
        <v>stacjonarny</v>
      </c>
      <c r="C454">
        <f t="shared" si="29"/>
        <v>0</v>
      </c>
      <c r="D454">
        <f t="shared" si="30"/>
        <v>0</v>
      </c>
      <c r="E454" s="1">
        <v>42923</v>
      </c>
      <c r="F454" s="2">
        <v>0.43752314814814813</v>
      </c>
      <c r="G454" s="2">
        <v>0.44806712962962963</v>
      </c>
      <c r="H454" s="2">
        <f t="shared" si="31"/>
        <v>1.0543981481481501E-2</v>
      </c>
      <c r="K454" s="1"/>
    </row>
    <row r="455" spans="1:11" x14ac:dyDescent="0.25">
      <c r="A455" s="6">
        <v>3505978</v>
      </c>
      <c r="B455" t="str">
        <f t="shared" si="28"/>
        <v>stacjonarny</v>
      </c>
      <c r="C455">
        <f t="shared" si="29"/>
        <v>0</v>
      </c>
      <c r="D455">
        <f t="shared" si="30"/>
        <v>0</v>
      </c>
      <c r="E455" s="1">
        <v>42923</v>
      </c>
      <c r="F455" s="2">
        <v>0.44184027777777779</v>
      </c>
      <c r="G455" s="2">
        <v>0.44582175925925926</v>
      </c>
      <c r="H455" s="2">
        <f t="shared" si="31"/>
        <v>3.9814814814814747E-3</v>
      </c>
      <c r="K455" s="1"/>
    </row>
    <row r="456" spans="1:11" x14ac:dyDescent="0.25">
      <c r="A456" s="6">
        <v>4405604</v>
      </c>
      <c r="B456" t="str">
        <f t="shared" si="28"/>
        <v>stacjonarny</v>
      </c>
      <c r="C456">
        <f t="shared" si="29"/>
        <v>0</v>
      </c>
      <c r="D456">
        <f t="shared" si="30"/>
        <v>0</v>
      </c>
      <c r="E456" s="1">
        <v>42923</v>
      </c>
      <c r="F456" s="2">
        <v>0.44543981481481482</v>
      </c>
      <c r="G456" s="2">
        <v>0.45271990740740742</v>
      </c>
      <c r="H456" s="2">
        <f t="shared" si="31"/>
        <v>7.2800925925926019E-3</v>
      </c>
      <c r="K456" s="1"/>
    </row>
    <row r="457" spans="1:11" x14ac:dyDescent="0.25">
      <c r="A457" s="6">
        <v>2327418</v>
      </c>
      <c r="B457" t="str">
        <f t="shared" si="28"/>
        <v>stacjonarny</v>
      </c>
      <c r="C457">
        <f t="shared" si="29"/>
        <v>0</v>
      </c>
      <c r="D457">
        <f t="shared" si="30"/>
        <v>0</v>
      </c>
      <c r="E457" s="1">
        <v>42923</v>
      </c>
      <c r="F457" s="2">
        <v>0.44775462962962964</v>
      </c>
      <c r="G457" s="2">
        <v>0.45450231481481479</v>
      </c>
      <c r="H457" s="2">
        <f t="shared" si="31"/>
        <v>6.7476851851851483E-3</v>
      </c>
      <c r="K457" s="1"/>
    </row>
    <row r="458" spans="1:11" x14ac:dyDescent="0.25">
      <c r="A458" s="6">
        <v>5205087</v>
      </c>
      <c r="B458" t="str">
        <f t="shared" si="28"/>
        <v>stacjonarny</v>
      </c>
      <c r="C458">
        <f t="shared" si="29"/>
        <v>0</v>
      </c>
      <c r="D458">
        <f t="shared" si="30"/>
        <v>0</v>
      </c>
      <c r="E458" s="1">
        <v>42923</v>
      </c>
      <c r="F458" s="2">
        <v>0.44927083333333334</v>
      </c>
      <c r="G458" s="2">
        <v>0.45666666666666667</v>
      </c>
      <c r="H458" s="2">
        <f t="shared" si="31"/>
        <v>7.3958333333333237E-3</v>
      </c>
      <c r="K458" s="1"/>
    </row>
    <row r="459" spans="1:11" x14ac:dyDescent="0.25">
      <c r="A459" s="6">
        <v>1936989939</v>
      </c>
      <c r="B459" t="str">
        <f t="shared" si="28"/>
        <v>zagraniczny</v>
      </c>
      <c r="C459">
        <f t="shared" si="29"/>
        <v>0</v>
      </c>
      <c r="D459">
        <f t="shared" si="30"/>
        <v>0</v>
      </c>
      <c r="E459" s="1">
        <v>42923</v>
      </c>
      <c r="F459" s="2">
        <v>0.45091435185185186</v>
      </c>
      <c r="G459" s="2">
        <v>0.4586574074074074</v>
      </c>
      <c r="H459" s="2">
        <f t="shared" si="31"/>
        <v>7.7430555555555447E-3</v>
      </c>
      <c r="K459" s="1"/>
    </row>
    <row r="460" spans="1:11" x14ac:dyDescent="0.25">
      <c r="A460" s="6">
        <v>2722706</v>
      </c>
      <c r="B460" t="str">
        <f t="shared" si="28"/>
        <v>stacjonarny</v>
      </c>
      <c r="C460">
        <f t="shared" si="29"/>
        <v>0</v>
      </c>
      <c r="D460">
        <f t="shared" si="30"/>
        <v>0</v>
      </c>
      <c r="E460" s="1">
        <v>42923</v>
      </c>
      <c r="F460" s="2">
        <v>0.45416666666666666</v>
      </c>
      <c r="G460" s="2">
        <v>0.46155092592592595</v>
      </c>
      <c r="H460" s="2">
        <f t="shared" si="31"/>
        <v>7.3842592592592848E-3</v>
      </c>
      <c r="K460" s="1"/>
    </row>
    <row r="461" spans="1:11" x14ac:dyDescent="0.25">
      <c r="A461" s="6">
        <v>3018218</v>
      </c>
      <c r="B461" t="str">
        <f t="shared" si="28"/>
        <v>stacjonarny</v>
      </c>
      <c r="C461">
        <f t="shared" si="29"/>
        <v>0</v>
      </c>
      <c r="D461">
        <f t="shared" si="30"/>
        <v>0</v>
      </c>
      <c r="E461" s="1">
        <v>42923</v>
      </c>
      <c r="F461" s="2">
        <v>0.45950231481481479</v>
      </c>
      <c r="G461" s="2">
        <v>0.46091435185185187</v>
      </c>
      <c r="H461" s="2">
        <f t="shared" si="31"/>
        <v>1.4120370370370727E-3</v>
      </c>
      <c r="K461" s="1"/>
    </row>
    <row r="462" spans="1:11" x14ac:dyDescent="0.25">
      <c r="A462" s="6">
        <v>3765658</v>
      </c>
      <c r="B462" t="str">
        <f t="shared" si="28"/>
        <v>stacjonarny</v>
      </c>
      <c r="C462">
        <f t="shared" si="29"/>
        <v>0</v>
      </c>
      <c r="D462">
        <f t="shared" si="30"/>
        <v>0</v>
      </c>
      <c r="E462" s="1">
        <v>42923</v>
      </c>
      <c r="F462" s="2">
        <v>0.45981481481481479</v>
      </c>
      <c r="G462" s="2">
        <v>0.46148148148148149</v>
      </c>
      <c r="H462" s="2">
        <f t="shared" si="31"/>
        <v>1.6666666666667052E-3</v>
      </c>
      <c r="K462" s="1"/>
    </row>
    <row r="463" spans="1:11" x14ac:dyDescent="0.25">
      <c r="A463" s="6">
        <v>43109897</v>
      </c>
      <c r="B463" t="str">
        <f t="shared" si="28"/>
        <v>komorkowy</v>
      </c>
      <c r="C463">
        <f t="shared" si="29"/>
        <v>0</v>
      </c>
      <c r="D463">
        <f t="shared" si="30"/>
        <v>0</v>
      </c>
      <c r="E463" s="1">
        <v>42923</v>
      </c>
      <c r="F463" s="2">
        <v>0.46357638888888891</v>
      </c>
      <c r="G463" s="2">
        <v>0.46807870370370369</v>
      </c>
      <c r="H463" s="2">
        <f t="shared" si="31"/>
        <v>4.5023148148147785E-3</v>
      </c>
      <c r="K463" s="1"/>
    </row>
    <row r="464" spans="1:11" x14ac:dyDescent="0.25">
      <c r="A464" s="6">
        <v>3178616</v>
      </c>
      <c r="B464" t="str">
        <f t="shared" si="28"/>
        <v>stacjonarny</v>
      </c>
      <c r="C464">
        <f t="shared" si="29"/>
        <v>0</v>
      </c>
      <c r="D464">
        <f t="shared" si="30"/>
        <v>0</v>
      </c>
      <c r="E464" s="1">
        <v>42923</v>
      </c>
      <c r="F464" s="2">
        <v>0.46891203703703704</v>
      </c>
      <c r="G464" s="2">
        <v>0.47209490740740739</v>
      </c>
      <c r="H464" s="2">
        <f t="shared" si="31"/>
        <v>3.1828703703703498E-3</v>
      </c>
      <c r="K464" s="1"/>
    </row>
    <row r="465" spans="1:11" x14ac:dyDescent="0.25">
      <c r="A465" s="6">
        <v>71207090</v>
      </c>
      <c r="B465" t="str">
        <f t="shared" si="28"/>
        <v>komorkowy</v>
      </c>
      <c r="C465">
        <f t="shared" si="29"/>
        <v>0</v>
      </c>
      <c r="D465">
        <f t="shared" si="30"/>
        <v>0</v>
      </c>
      <c r="E465" s="1">
        <v>42923</v>
      </c>
      <c r="F465" s="2">
        <v>0.47127314814814814</v>
      </c>
      <c r="G465" s="2">
        <v>0.47475694444444444</v>
      </c>
      <c r="H465" s="2">
        <f t="shared" si="31"/>
        <v>3.4837962962963043E-3</v>
      </c>
      <c r="K465" s="1"/>
    </row>
    <row r="466" spans="1:11" x14ac:dyDescent="0.25">
      <c r="A466" s="6">
        <v>3465997</v>
      </c>
      <c r="B466" t="str">
        <f t="shared" si="28"/>
        <v>stacjonarny</v>
      </c>
      <c r="C466">
        <f t="shared" si="29"/>
        <v>0</v>
      </c>
      <c r="D466">
        <f t="shared" si="30"/>
        <v>0</v>
      </c>
      <c r="E466" s="1">
        <v>42923</v>
      </c>
      <c r="F466" s="2">
        <v>0.47285879629629629</v>
      </c>
      <c r="G466" s="2">
        <v>0.47479166666666667</v>
      </c>
      <c r="H466" s="2">
        <f t="shared" si="31"/>
        <v>1.9328703703703765E-3</v>
      </c>
      <c r="K466" s="1"/>
    </row>
    <row r="467" spans="1:11" x14ac:dyDescent="0.25">
      <c r="A467" s="6">
        <v>17490780</v>
      </c>
      <c r="B467" t="str">
        <f t="shared" si="28"/>
        <v>komorkowy</v>
      </c>
      <c r="C467">
        <f t="shared" si="29"/>
        <v>0</v>
      </c>
      <c r="D467">
        <f t="shared" si="30"/>
        <v>0</v>
      </c>
      <c r="E467" s="1">
        <v>42923</v>
      </c>
      <c r="F467" s="2">
        <v>0.47409722222222223</v>
      </c>
      <c r="G467" s="2">
        <v>0.48534722222222221</v>
      </c>
      <c r="H467" s="2">
        <f t="shared" si="31"/>
        <v>1.1249999999999982E-2</v>
      </c>
      <c r="K467" s="1"/>
    </row>
    <row r="468" spans="1:11" x14ac:dyDescent="0.25">
      <c r="A468" s="6">
        <v>9805082</v>
      </c>
      <c r="B468" t="str">
        <f t="shared" si="28"/>
        <v>stacjonarny</v>
      </c>
      <c r="C468">
        <f t="shared" si="29"/>
        <v>0</v>
      </c>
      <c r="D468">
        <f t="shared" si="30"/>
        <v>0</v>
      </c>
      <c r="E468" s="1">
        <v>42923</v>
      </c>
      <c r="F468" s="2">
        <v>0.47561342592592593</v>
      </c>
      <c r="G468" s="2">
        <v>0.47950231481481481</v>
      </c>
      <c r="H468" s="2">
        <f t="shared" si="31"/>
        <v>3.8888888888888862E-3</v>
      </c>
      <c r="K468" s="1"/>
    </row>
    <row r="469" spans="1:11" x14ac:dyDescent="0.25">
      <c r="A469" s="6">
        <v>6333547</v>
      </c>
      <c r="B469" t="str">
        <f t="shared" si="28"/>
        <v>stacjonarny</v>
      </c>
      <c r="C469">
        <f t="shared" si="29"/>
        <v>0</v>
      </c>
      <c r="D469">
        <f t="shared" si="30"/>
        <v>0</v>
      </c>
      <c r="E469" s="1">
        <v>42923</v>
      </c>
      <c r="F469" s="2">
        <v>0.4788425925925926</v>
      </c>
      <c r="G469" s="2">
        <v>0.48685185185185187</v>
      </c>
      <c r="H469" s="2">
        <f t="shared" si="31"/>
        <v>8.0092592592592715E-3</v>
      </c>
      <c r="K469" s="1"/>
    </row>
    <row r="470" spans="1:11" x14ac:dyDescent="0.25">
      <c r="A470" s="6">
        <v>8424969</v>
      </c>
      <c r="B470" t="str">
        <f t="shared" si="28"/>
        <v>stacjonarny</v>
      </c>
      <c r="C470">
        <f t="shared" si="29"/>
        <v>0</v>
      </c>
      <c r="D470">
        <f t="shared" si="30"/>
        <v>0</v>
      </c>
      <c r="E470" s="1">
        <v>42923</v>
      </c>
      <c r="F470" s="2">
        <v>0.48380787037037037</v>
      </c>
      <c r="G470" s="2">
        <v>0.49267361111111113</v>
      </c>
      <c r="H470" s="2">
        <f t="shared" si="31"/>
        <v>8.8657407407407574E-3</v>
      </c>
      <c r="K470" s="1"/>
    </row>
    <row r="471" spans="1:11" x14ac:dyDescent="0.25">
      <c r="A471" s="6">
        <v>41210751</v>
      </c>
      <c r="B471" t="str">
        <f t="shared" si="28"/>
        <v>komorkowy</v>
      </c>
      <c r="C471">
        <f t="shared" si="29"/>
        <v>0</v>
      </c>
      <c r="D471">
        <f t="shared" si="30"/>
        <v>0</v>
      </c>
      <c r="E471" s="1">
        <v>42923</v>
      </c>
      <c r="F471" s="2">
        <v>0.48699074074074072</v>
      </c>
      <c r="G471" s="2">
        <v>0.48884259259259261</v>
      </c>
      <c r="H471" s="2">
        <f t="shared" si="31"/>
        <v>1.8518518518518823E-3</v>
      </c>
      <c r="K471" s="1"/>
    </row>
    <row r="472" spans="1:11" x14ac:dyDescent="0.25">
      <c r="A472" s="6">
        <v>9321082</v>
      </c>
      <c r="B472" t="str">
        <f t="shared" si="28"/>
        <v>stacjonarny</v>
      </c>
      <c r="C472">
        <f t="shared" si="29"/>
        <v>0</v>
      </c>
      <c r="D472">
        <f t="shared" si="30"/>
        <v>0</v>
      </c>
      <c r="E472" s="1">
        <v>42923</v>
      </c>
      <c r="F472" s="2">
        <v>0.49206018518518518</v>
      </c>
      <c r="G472" s="2">
        <v>0.50086805555555558</v>
      </c>
      <c r="H472" s="2">
        <f t="shared" si="31"/>
        <v>8.8078703703703964E-3</v>
      </c>
      <c r="K472" s="1"/>
    </row>
    <row r="473" spans="1:11" x14ac:dyDescent="0.25">
      <c r="A473" s="6">
        <v>80907155</v>
      </c>
      <c r="B473" t="str">
        <f t="shared" si="28"/>
        <v>komorkowy</v>
      </c>
      <c r="C473">
        <f t="shared" si="29"/>
        <v>0</v>
      </c>
      <c r="D473">
        <f t="shared" si="30"/>
        <v>0</v>
      </c>
      <c r="E473" s="1">
        <v>42923</v>
      </c>
      <c r="F473" s="2">
        <v>0.49668981481481483</v>
      </c>
      <c r="G473" s="2">
        <v>0.50266203703703705</v>
      </c>
      <c r="H473" s="2">
        <f t="shared" si="31"/>
        <v>5.9722222222222121E-3</v>
      </c>
      <c r="K473" s="1"/>
    </row>
    <row r="474" spans="1:11" x14ac:dyDescent="0.25">
      <c r="A474" s="6">
        <v>16303399</v>
      </c>
      <c r="B474" t="str">
        <f t="shared" si="28"/>
        <v>komorkowy</v>
      </c>
      <c r="C474">
        <f t="shared" si="29"/>
        <v>0</v>
      </c>
      <c r="D474">
        <f t="shared" si="30"/>
        <v>0</v>
      </c>
      <c r="E474" s="1">
        <v>42923</v>
      </c>
      <c r="F474" s="2">
        <v>0.50232638888888892</v>
      </c>
      <c r="G474" s="2">
        <v>0.50351851851851848</v>
      </c>
      <c r="H474" s="2">
        <f t="shared" si="31"/>
        <v>1.1921296296295569E-3</v>
      </c>
      <c r="K474" s="1"/>
    </row>
    <row r="475" spans="1:11" x14ac:dyDescent="0.25">
      <c r="A475" s="6">
        <v>7841442</v>
      </c>
      <c r="B475" t="str">
        <f t="shared" si="28"/>
        <v>stacjonarny</v>
      </c>
      <c r="C475">
        <f t="shared" si="29"/>
        <v>0</v>
      </c>
      <c r="D475">
        <f t="shared" si="30"/>
        <v>0</v>
      </c>
      <c r="E475" s="1">
        <v>42923</v>
      </c>
      <c r="F475" s="2">
        <v>0.50498842592592597</v>
      </c>
      <c r="G475" s="2">
        <v>0.50807870370370367</v>
      </c>
      <c r="H475" s="2">
        <f t="shared" si="31"/>
        <v>3.0902777777777057E-3</v>
      </c>
      <c r="K475" s="1"/>
    </row>
    <row r="476" spans="1:11" x14ac:dyDescent="0.25">
      <c r="A476" s="6">
        <v>5512237</v>
      </c>
      <c r="B476" t="str">
        <f t="shared" si="28"/>
        <v>stacjonarny</v>
      </c>
      <c r="C476">
        <f t="shared" si="29"/>
        <v>0</v>
      </c>
      <c r="D476">
        <f t="shared" si="30"/>
        <v>0</v>
      </c>
      <c r="E476" s="1">
        <v>42923</v>
      </c>
      <c r="F476" s="2">
        <v>0.50883101851851853</v>
      </c>
      <c r="G476" s="2">
        <v>0.50998842592592597</v>
      </c>
      <c r="H476" s="2">
        <f t="shared" si="31"/>
        <v>1.1574074074074403E-3</v>
      </c>
      <c r="K476" s="1"/>
    </row>
    <row r="477" spans="1:11" x14ac:dyDescent="0.25">
      <c r="A477" s="6">
        <v>2557668</v>
      </c>
      <c r="B477" t="str">
        <f t="shared" si="28"/>
        <v>stacjonarny</v>
      </c>
      <c r="C477">
        <f t="shared" si="29"/>
        <v>0</v>
      </c>
      <c r="D477">
        <f t="shared" si="30"/>
        <v>0</v>
      </c>
      <c r="E477" s="1">
        <v>42923</v>
      </c>
      <c r="F477" s="2">
        <v>0.51253472222222218</v>
      </c>
      <c r="G477" s="2">
        <v>0.51974537037037039</v>
      </c>
      <c r="H477" s="2">
        <f t="shared" si="31"/>
        <v>7.2106481481482021E-3</v>
      </c>
      <c r="K477" s="1"/>
    </row>
    <row r="478" spans="1:11" x14ac:dyDescent="0.25">
      <c r="A478" s="6">
        <v>4469748</v>
      </c>
      <c r="B478" t="str">
        <f t="shared" si="28"/>
        <v>stacjonarny</v>
      </c>
      <c r="C478">
        <f t="shared" si="29"/>
        <v>0</v>
      </c>
      <c r="D478">
        <f t="shared" si="30"/>
        <v>0</v>
      </c>
      <c r="E478" s="1">
        <v>42923</v>
      </c>
      <c r="F478" s="2">
        <v>0.51744212962962965</v>
      </c>
      <c r="G478" s="2">
        <v>0.52157407407407408</v>
      </c>
      <c r="H478" s="2">
        <f t="shared" si="31"/>
        <v>4.1319444444444242E-3</v>
      </c>
      <c r="K478" s="1"/>
    </row>
    <row r="479" spans="1:11" x14ac:dyDescent="0.25">
      <c r="A479" s="6">
        <v>7773546</v>
      </c>
      <c r="B479" t="str">
        <f t="shared" si="28"/>
        <v>stacjonarny</v>
      </c>
      <c r="C479">
        <f t="shared" si="29"/>
        <v>0</v>
      </c>
      <c r="D479">
        <f t="shared" si="30"/>
        <v>0</v>
      </c>
      <c r="E479" s="1">
        <v>42923</v>
      </c>
      <c r="F479" s="2">
        <v>0.51883101851851854</v>
      </c>
      <c r="G479" s="2">
        <v>0.52545138888888887</v>
      </c>
      <c r="H479" s="2">
        <f t="shared" si="31"/>
        <v>6.620370370370332E-3</v>
      </c>
      <c r="K479" s="1"/>
    </row>
    <row r="480" spans="1:11" x14ac:dyDescent="0.25">
      <c r="A480" s="6">
        <v>9521805</v>
      </c>
      <c r="B480" t="str">
        <f t="shared" si="28"/>
        <v>stacjonarny</v>
      </c>
      <c r="C480">
        <f t="shared" si="29"/>
        <v>0</v>
      </c>
      <c r="D480">
        <f t="shared" si="30"/>
        <v>0</v>
      </c>
      <c r="E480" s="1">
        <v>42923</v>
      </c>
      <c r="F480" s="2">
        <v>0.52357638888888891</v>
      </c>
      <c r="G480" s="2">
        <v>0.53096064814814814</v>
      </c>
      <c r="H480" s="2">
        <f t="shared" si="31"/>
        <v>7.3842592592592293E-3</v>
      </c>
      <c r="K480" s="1"/>
    </row>
    <row r="481" spans="1:11" x14ac:dyDescent="0.25">
      <c r="A481" s="6">
        <v>1640140</v>
      </c>
      <c r="B481" t="str">
        <f t="shared" si="28"/>
        <v>stacjonarny</v>
      </c>
      <c r="C481">
        <f t="shared" si="29"/>
        <v>0</v>
      </c>
      <c r="D481">
        <f t="shared" si="30"/>
        <v>0</v>
      </c>
      <c r="E481" s="1">
        <v>42923</v>
      </c>
      <c r="F481" s="2">
        <v>0.52484953703703707</v>
      </c>
      <c r="G481" s="2">
        <v>0.53331018518518514</v>
      </c>
      <c r="H481" s="2">
        <f t="shared" si="31"/>
        <v>8.4606481481480644E-3</v>
      </c>
      <c r="K481" s="1"/>
    </row>
    <row r="482" spans="1:11" x14ac:dyDescent="0.25">
      <c r="A482" s="6">
        <v>5415372</v>
      </c>
      <c r="B482" t="str">
        <f t="shared" si="28"/>
        <v>stacjonarny</v>
      </c>
      <c r="C482">
        <f t="shared" si="29"/>
        <v>0</v>
      </c>
      <c r="D482">
        <f t="shared" si="30"/>
        <v>0</v>
      </c>
      <c r="E482" s="1">
        <v>42923</v>
      </c>
      <c r="F482" s="2">
        <v>0.52690972222222221</v>
      </c>
      <c r="G482" s="2">
        <v>0.53266203703703707</v>
      </c>
      <c r="H482" s="2">
        <f t="shared" si="31"/>
        <v>5.7523148148148628E-3</v>
      </c>
      <c r="K482" s="1"/>
    </row>
    <row r="483" spans="1:11" x14ac:dyDescent="0.25">
      <c r="A483" s="6">
        <v>23504109</v>
      </c>
      <c r="B483" t="str">
        <f t="shared" si="28"/>
        <v>komorkowy</v>
      </c>
      <c r="C483">
        <f t="shared" si="29"/>
        <v>0</v>
      </c>
      <c r="D483">
        <f t="shared" si="30"/>
        <v>0</v>
      </c>
      <c r="E483" s="1">
        <v>42923</v>
      </c>
      <c r="F483" s="2">
        <v>0.52921296296296294</v>
      </c>
      <c r="G483" s="2">
        <v>0.53706018518518517</v>
      </c>
      <c r="H483" s="2">
        <f t="shared" si="31"/>
        <v>7.8472222222222276E-3</v>
      </c>
      <c r="K483" s="1"/>
    </row>
    <row r="484" spans="1:11" x14ac:dyDescent="0.25">
      <c r="A484" s="6">
        <v>7914439</v>
      </c>
      <c r="B484" t="str">
        <f t="shared" si="28"/>
        <v>stacjonarny</v>
      </c>
      <c r="C484">
        <f t="shared" si="29"/>
        <v>0</v>
      </c>
      <c r="D484">
        <f t="shared" si="30"/>
        <v>0</v>
      </c>
      <c r="E484" s="1">
        <v>42923</v>
      </c>
      <c r="F484" s="2">
        <v>0.52964120370370371</v>
      </c>
      <c r="G484" s="2">
        <v>0.53607638888888887</v>
      </c>
      <c r="H484" s="2">
        <f t="shared" si="31"/>
        <v>6.4351851851851549E-3</v>
      </c>
      <c r="K484" s="1"/>
    </row>
    <row r="485" spans="1:11" x14ac:dyDescent="0.25">
      <c r="A485" s="6">
        <v>3900921</v>
      </c>
      <c r="B485" t="str">
        <f t="shared" si="28"/>
        <v>stacjonarny</v>
      </c>
      <c r="C485">
        <f t="shared" si="29"/>
        <v>0</v>
      </c>
      <c r="D485">
        <f t="shared" si="30"/>
        <v>0</v>
      </c>
      <c r="E485" s="1">
        <v>42923</v>
      </c>
      <c r="F485" s="2">
        <v>0.52968749999999998</v>
      </c>
      <c r="G485" s="2">
        <v>0.53865740740740742</v>
      </c>
      <c r="H485" s="2">
        <f t="shared" si="31"/>
        <v>8.9699074074074403E-3</v>
      </c>
      <c r="K485" s="1"/>
    </row>
    <row r="486" spans="1:11" x14ac:dyDescent="0.25">
      <c r="A486" s="6">
        <v>1081610</v>
      </c>
      <c r="B486" t="str">
        <f t="shared" si="28"/>
        <v>stacjonarny</v>
      </c>
      <c r="C486">
        <f t="shared" si="29"/>
        <v>0</v>
      </c>
      <c r="D486">
        <f t="shared" si="30"/>
        <v>0</v>
      </c>
      <c r="E486" s="1">
        <v>42923</v>
      </c>
      <c r="F486" s="2">
        <v>0.53372685185185187</v>
      </c>
      <c r="G486" s="2">
        <v>0.54082175925925924</v>
      </c>
      <c r="H486" s="2">
        <f t="shared" si="31"/>
        <v>7.0949074074073692E-3</v>
      </c>
      <c r="K486" s="1"/>
    </row>
    <row r="487" spans="1:11" x14ac:dyDescent="0.25">
      <c r="A487" s="6">
        <v>9176754</v>
      </c>
      <c r="B487" t="str">
        <f t="shared" si="28"/>
        <v>stacjonarny</v>
      </c>
      <c r="C487">
        <f t="shared" si="29"/>
        <v>0</v>
      </c>
      <c r="D487">
        <f t="shared" si="30"/>
        <v>0</v>
      </c>
      <c r="E487" s="1">
        <v>42923</v>
      </c>
      <c r="F487" s="2">
        <v>0.5345833333333333</v>
      </c>
      <c r="G487" s="2">
        <v>0.54532407407407413</v>
      </c>
      <c r="H487" s="2">
        <f t="shared" si="31"/>
        <v>1.0740740740740828E-2</v>
      </c>
      <c r="K487" s="1"/>
    </row>
    <row r="488" spans="1:11" x14ac:dyDescent="0.25">
      <c r="A488" s="6">
        <v>1814327</v>
      </c>
      <c r="B488" t="str">
        <f t="shared" si="28"/>
        <v>stacjonarny</v>
      </c>
      <c r="C488">
        <f t="shared" si="29"/>
        <v>0</v>
      </c>
      <c r="D488">
        <f t="shared" si="30"/>
        <v>0</v>
      </c>
      <c r="E488" s="1">
        <v>42923</v>
      </c>
      <c r="F488" s="2">
        <v>0.5385416666666667</v>
      </c>
      <c r="G488" s="2">
        <v>0.53870370370370368</v>
      </c>
      <c r="H488" s="2">
        <f t="shared" si="31"/>
        <v>1.6203703703698835E-4</v>
      </c>
      <c r="K488" s="1"/>
    </row>
    <row r="489" spans="1:11" x14ac:dyDescent="0.25">
      <c r="A489" s="6">
        <v>87702896</v>
      </c>
      <c r="B489" t="str">
        <f t="shared" si="28"/>
        <v>komorkowy</v>
      </c>
      <c r="C489">
        <f t="shared" si="29"/>
        <v>0</v>
      </c>
      <c r="D489">
        <f t="shared" si="30"/>
        <v>0</v>
      </c>
      <c r="E489" s="1">
        <v>42923</v>
      </c>
      <c r="F489" s="2">
        <v>0.54137731481481477</v>
      </c>
      <c r="G489" s="2">
        <v>0.55253472222222222</v>
      </c>
      <c r="H489" s="2">
        <f t="shared" si="31"/>
        <v>1.1157407407407449E-2</v>
      </c>
      <c r="K489" s="1"/>
    </row>
    <row r="490" spans="1:11" x14ac:dyDescent="0.25">
      <c r="A490" s="6">
        <v>4131448</v>
      </c>
      <c r="B490" t="str">
        <f t="shared" si="28"/>
        <v>stacjonarny</v>
      </c>
      <c r="C490">
        <f t="shared" si="29"/>
        <v>0</v>
      </c>
      <c r="D490">
        <f t="shared" si="30"/>
        <v>0</v>
      </c>
      <c r="E490" s="1">
        <v>42923</v>
      </c>
      <c r="F490" s="2">
        <v>0.54305555555555551</v>
      </c>
      <c r="G490" s="2">
        <v>0.5444444444444444</v>
      </c>
      <c r="H490" s="2">
        <f t="shared" si="31"/>
        <v>1.388888888888884E-3</v>
      </c>
      <c r="K490" s="1"/>
    </row>
    <row r="491" spans="1:11" x14ac:dyDescent="0.25">
      <c r="A491" s="6">
        <v>97798921</v>
      </c>
      <c r="B491" t="str">
        <f t="shared" si="28"/>
        <v>komorkowy</v>
      </c>
      <c r="C491">
        <f t="shared" si="29"/>
        <v>0</v>
      </c>
      <c r="D491">
        <f t="shared" si="30"/>
        <v>0</v>
      </c>
      <c r="E491" s="1">
        <v>42923</v>
      </c>
      <c r="F491" s="2">
        <v>0.5434606481481481</v>
      </c>
      <c r="G491" s="2">
        <v>0.55003472222222227</v>
      </c>
      <c r="H491" s="2">
        <f t="shared" si="31"/>
        <v>6.5740740740741765E-3</v>
      </c>
      <c r="K491" s="1"/>
    </row>
    <row r="492" spans="1:11" x14ac:dyDescent="0.25">
      <c r="A492" s="6">
        <v>97798921</v>
      </c>
      <c r="B492" t="str">
        <f t="shared" si="28"/>
        <v>komorkowy</v>
      </c>
      <c r="C492">
        <f t="shared" si="29"/>
        <v>0</v>
      </c>
      <c r="D492">
        <f t="shared" si="30"/>
        <v>0</v>
      </c>
      <c r="E492" s="1">
        <v>42923</v>
      </c>
      <c r="F492" s="2">
        <v>0.54372685185185188</v>
      </c>
      <c r="G492" s="2">
        <v>0.54856481481481478</v>
      </c>
      <c r="H492" s="2">
        <f t="shared" si="31"/>
        <v>4.8379629629629051E-3</v>
      </c>
      <c r="K492" s="1"/>
    </row>
    <row r="493" spans="1:11" x14ac:dyDescent="0.25">
      <c r="A493" s="6">
        <v>3919087</v>
      </c>
      <c r="B493" t="str">
        <f t="shared" si="28"/>
        <v>stacjonarny</v>
      </c>
      <c r="C493">
        <f t="shared" si="29"/>
        <v>0</v>
      </c>
      <c r="D493">
        <f t="shared" si="30"/>
        <v>0</v>
      </c>
      <c r="E493" s="1">
        <v>42923</v>
      </c>
      <c r="F493" s="2">
        <v>0.54379629629629633</v>
      </c>
      <c r="G493" s="2">
        <v>0.54679398148148151</v>
      </c>
      <c r="H493" s="2">
        <f t="shared" si="31"/>
        <v>2.9976851851851727E-3</v>
      </c>
      <c r="K493" s="1"/>
    </row>
    <row r="494" spans="1:11" x14ac:dyDescent="0.25">
      <c r="A494" s="6">
        <v>2619219</v>
      </c>
      <c r="B494" t="str">
        <f t="shared" si="28"/>
        <v>stacjonarny</v>
      </c>
      <c r="C494">
        <f t="shared" si="29"/>
        <v>0</v>
      </c>
      <c r="D494">
        <f t="shared" si="30"/>
        <v>0</v>
      </c>
      <c r="E494" s="1">
        <v>42923</v>
      </c>
      <c r="F494" s="2">
        <v>0.54752314814814818</v>
      </c>
      <c r="G494" s="2">
        <v>0.5486805555555555</v>
      </c>
      <c r="H494" s="2">
        <f t="shared" si="31"/>
        <v>1.1574074074073293E-3</v>
      </c>
      <c r="K494" s="1"/>
    </row>
    <row r="495" spans="1:11" x14ac:dyDescent="0.25">
      <c r="A495" s="6">
        <v>54536153</v>
      </c>
      <c r="B495" t="str">
        <f t="shared" si="28"/>
        <v>komorkowy</v>
      </c>
      <c r="C495">
        <f t="shared" si="29"/>
        <v>0</v>
      </c>
      <c r="D495">
        <f t="shared" si="30"/>
        <v>0</v>
      </c>
      <c r="E495" s="1">
        <v>42923</v>
      </c>
      <c r="F495" s="2">
        <v>0.54858796296296297</v>
      </c>
      <c r="G495" s="2">
        <v>0.55723379629629632</v>
      </c>
      <c r="H495" s="2">
        <f t="shared" si="31"/>
        <v>8.6458333333333526E-3</v>
      </c>
      <c r="K495" s="1"/>
    </row>
    <row r="496" spans="1:11" x14ac:dyDescent="0.25">
      <c r="A496" s="6">
        <v>6813775</v>
      </c>
      <c r="B496" t="str">
        <f t="shared" si="28"/>
        <v>stacjonarny</v>
      </c>
      <c r="C496">
        <f t="shared" si="29"/>
        <v>0</v>
      </c>
      <c r="D496">
        <f t="shared" si="30"/>
        <v>0</v>
      </c>
      <c r="E496" s="1">
        <v>42923</v>
      </c>
      <c r="F496" s="2">
        <v>0.55363425925925924</v>
      </c>
      <c r="G496" s="2">
        <v>0.55819444444444444</v>
      </c>
      <c r="H496" s="2">
        <f t="shared" si="31"/>
        <v>4.5601851851851949E-3</v>
      </c>
      <c r="K496" s="1"/>
    </row>
    <row r="497" spans="1:11" x14ac:dyDescent="0.25">
      <c r="A497" s="6">
        <v>72312196</v>
      </c>
      <c r="B497" t="str">
        <f t="shared" si="28"/>
        <v>komorkowy</v>
      </c>
      <c r="C497">
        <f t="shared" si="29"/>
        <v>0</v>
      </c>
      <c r="D497">
        <f t="shared" si="30"/>
        <v>0</v>
      </c>
      <c r="E497" s="1">
        <v>42923</v>
      </c>
      <c r="F497" s="2">
        <v>0.55532407407407403</v>
      </c>
      <c r="G497" s="2">
        <v>0.56598379629629625</v>
      </c>
      <c r="H497" s="2">
        <f t="shared" si="31"/>
        <v>1.0659722222222223E-2</v>
      </c>
      <c r="K497" s="1"/>
    </row>
    <row r="498" spans="1:11" x14ac:dyDescent="0.25">
      <c r="A498" s="6">
        <v>2235911</v>
      </c>
      <c r="B498" t="str">
        <f t="shared" si="28"/>
        <v>stacjonarny</v>
      </c>
      <c r="C498">
        <f t="shared" si="29"/>
        <v>0</v>
      </c>
      <c r="D498">
        <f t="shared" si="30"/>
        <v>0</v>
      </c>
      <c r="E498" s="1">
        <v>42923</v>
      </c>
      <c r="F498" s="2">
        <v>0.56019675925925927</v>
      </c>
      <c r="G498" s="2">
        <v>0.56783564814814813</v>
      </c>
      <c r="H498" s="2">
        <f t="shared" si="31"/>
        <v>7.6388888888888618E-3</v>
      </c>
      <c r="K498" s="1"/>
    </row>
    <row r="499" spans="1:11" x14ac:dyDescent="0.25">
      <c r="A499" s="6">
        <v>9532678004</v>
      </c>
      <c r="B499" t="str">
        <f t="shared" si="28"/>
        <v>zagraniczny</v>
      </c>
      <c r="C499">
        <f t="shared" si="29"/>
        <v>0</v>
      </c>
      <c r="D499">
        <f t="shared" si="30"/>
        <v>0</v>
      </c>
      <c r="E499" s="1">
        <v>42923</v>
      </c>
      <c r="F499" s="2">
        <v>0.56347222222222226</v>
      </c>
      <c r="G499" s="2">
        <v>0.57157407407407412</v>
      </c>
      <c r="H499" s="2">
        <f t="shared" si="31"/>
        <v>8.1018518518518601E-3</v>
      </c>
      <c r="K499" s="1"/>
    </row>
    <row r="500" spans="1:11" x14ac:dyDescent="0.25">
      <c r="A500" s="6">
        <v>4653709</v>
      </c>
      <c r="B500" t="str">
        <f t="shared" si="28"/>
        <v>stacjonarny</v>
      </c>
      <c r="C500">
        <f t="shared" si="29"/>
        <v>0</v>
      </c>
      <c r="D500">
        <f t="shared" si="30"/>
        <v>0</v>
      </c>
      <c r="E500" s="1">
        <v>42923</v>
      </c>
      <c r="F500" s="2">
        <v>0.56795138888888885</v>
      </c>
      <c r="G500" s="2">
        <v>0.57596064814814818</v>
      </c>
      <c r="H500" s="2">
        <f t="shared" si="31"/>
        <v>8.009259259259327E-3</v>
      </c>
      <c r="K500" s="1"/>
    </row>
    <row r="501" spans="1:11" x14ac:dyDescent="0.25">
      <c r="A501" s="6">
        <v>1734512</v>
      </c>
      <c r="B501" t="str">
        <f t="shared" si="28"/>
        <v>stacjonarny</v>
      </c>
      <c r="C501">
        <f t="shared" si="29"/>
        <v>0</v>
      </c>
      <c r="D501">
        <f t="shared" si="30"/>
        <v>0</v>
      </c>
      <c r="E501" s="1">
        <v>42923</v>
      </c>
      <c r="F501" s="2">
        <v>0.57093749999999999</v>
      </c>
      <c r="G501" s="2">
        <v>0.5765393518518519</v>
      </c>
      <c r="H501" s="2">
        <f t="shared" si="31"/>
        <v>5.6018518518519134E-3</v>
      </c>
      <c r="K501" s="1"/>
    </row>
    <row r="502" spans="1:11" x14ac:dyDescent="0.25">
      <c r="A502" s="6">
        <v>6741642</v>
      </c>
      <c r="B502" t="str">
        <f t="shared" si="28"/>
        <v>stacjonarny</v>
      </c>
      <c r="C502">
        <f t="shared" si="29"/>
        <v>0</v>
      </c>
      <c r="D502">
        <f t="shared" si="30"/>
        <v>0</v>
      </c>
      <c r="E502" s="1">
        <v>42923</v>
      </c>
      <c r="F502" s="2">
        <v>0.57523148148148151</v>
      </c>
      <c r="G502" s="2">
        <v>0.57535879629629627</v>
      </c>
      <c r="H502" s="2">
        <f t="shared" si="31"/>
        <v>1.273148148147607E-4</v>
      </c>
      <c r="K502" s="1"/>
    </row>
    <row r="503" spans="1:11" x14ac:dyDescent="0.25">
      <c r="A503" s="6">
        <v>45862784</v>
      </c>
      <c r="B503" t="str">
        <f t="shared" si="28"/>
        <v>komorkowy</v>
      </c>
      <c r="C503">
        <f t="shared" si="29"/>
        <v>0</v>
      </c>
      <c r="D503">
        <f t="shared" si="30"/>
        <v>0</v>
      </c>
      <c r="E503" s="1">
        <v>42923</v>
      </c>
      <c r="F503" s="2">
        <v>0.57768518518518519</v>
      </c>
      <c r="G503" s="2">
        <v>0.58636574074074077</v>
      </c>
      <c r="H503" s="2">
        <f t="shared" si="31"/>
        <v>8.6805555555555802E-3</v>
      </c>
      <c r="K503" s="1"/>
    </row>
    <row r="504" spans="1:11" x14ac:dyDescent="0.25">
      <c r="A504" s="6">
        <v>25147401</v>
      </c>
      <c r="B504" t="str">
        <f t="shared" si="28"/>
        <v>komorkowy</v>
      </c>
      <c r="C504">
        <f t="shared" si="29"/>
        <v>0</v>
      </c>
      <c r="D504">
        <f t="shared" si="30"/>
        <v>0</v>
      </c>
      <c r="E504" s="1">
        <v>42923</v>
      </c>
      <c r="F504" s="2">
        <v>0.57922453703703702</v>
      </c>
      <c r="G504" s="2">
        <v>0.58821759259259254</v>
      </c>
      <c r="H504" s="2">
        <f t="shared" si="31"/>
        <v>8.9930555555555181E-3</v>
      </c>
      <c r="K504" s="1"/>
    </row>
    <row r="505" spans="1:11" x14ac:dyDescent="0.25">
      <c r="A505" s="6">
        <v>4963499</v>
      </c>
      <c r="B505" t="str">
        <f t="shared" si="28"/>
        <v>stacjonarny</v>
      </c>
      <c r="C505">
        <f t="shared" si="29"/>
        <v>0</v>
      </c>
      <c r="D505">
        <f t="shared" si="30"/>
        <v>0</v>
      </c>
      <c r="E505" s="1">
        <v>42923</v>
      </c>
      <c r="F505" s="2">
        <v>0.58484953703703701</v>
      </c>
      <c r="G505" s="2">
        <v>0.5869212962962963</v>
      </c>
      <c r="H505" s="2">
        <f t="shared" si="31"/>
        <v>2.0717592592592871E-3</v>
      </c>
      <c r="K505" s="1"/>
    </row>
    <row r="506" spans="1:11" x14ac:dyDescent="0.25">
      <c r="A506" s="6">
        <v>7432767</v>
      </c>
      <c r="B506" t="str">
        <f t="shared" si="28"/>
        <v>stacjonarny</v>
      </c>
      <c r="C506">
        <f t="shared" si="29"/>
        <v>0</v>
      </c>
      <c r="D506">
        <f t="shared" si="30"/>
        <v>0</v>
      </c>
      <c r="E506" s="1">
        <v>42923</v>
      </c>
      <c r="F506" s="2">
        <v>0.58508101851851857</v>
      </c>
      <c r="G506" s="2">
        <v>0.58635416666666662</v>
      </c>
      <c r="H506" s="2">
        <f t="shared" si="31"/>
        <v>1.2731481481480511E-3</v>
      </c>
      <c r="K506" s="1"/>
    </row>
    <row r="507" spans="1:11" x14ac:dyDescent="0.25">
      <c r="A507" s="6">
        <v>3599100</v>
      </c>
      <c r="B507" t="str">
        <f t="shared" si="28"/>
        <v>stacjonarny</v>
      </c>
      <c r="C507">
        <f t="shared" si="29"/>
        <v>0</v>
      </c>
      <c r="D507">
        <f t="shared" si="30"/>
        <v>0</v>
      </c>
      <c r="E507" s="1">
        <v>42923</v>
      </c>
      <c r="F507" s="2">
        <v>0.58832175925925922</v>
      </c>
      <c r="G507" s="2">
        <v>0.59277777777777774</v>
      </c>
      <c r="H507" s="2">
        <f t="shared" si="31"/>
        <v>4.4560185185185119E-3</v>
      </c>
      <c r="K507" s="1"/>
    </row>
    <row r="508" spans="1:11" x14ac:dyDescent="0.25">
      <c r="A508" s="6">
        <v>8251878</v>
      </c>
      <c r="B508" t="str">
        <f t="shared" si="28"/>
        <v>stacjonarny</v>
      </c>
      <c r="C508">
        <f t="shared" si="29"/>
        <v>0</v>
      </c>
      <c r="D508">
        <f t="shared" si="30"/>
        <v>0</v>
      </c>
      <c r="E508" s="1">
        <v>42923</v>
      </c>
      <c r="F508" s="2">
        <v>0.59281249999999996</v>
      </c>
      <c r="G508" s="2">
        <v>0.59375</v>
      </c>
      <c r="H508" s="2">
        <f t="shared" si="31"/>
        <v>9.3750000000003553E-4</v>
      </c>
      <c r="K508" s="1"/>
    </row>
    <row r="509" spans="1:11" x14ac:dyDescent="0.25">
      <c r="A509" s="6">
        <v>2826868</v>
      </c>
      <c r="B509" t="str">
        <f t="shared" si="28"/>
        <v>stacjonarny</v>
      </c>
      <c r="C509">
        <f t="shared" si="29"/>
        <v>0</v>
      </c>
      <c r="D509">
        <f t="shared" si="30"/>
        <v>0</v>
      </c>
      <c r="E509" s="1">
        <v>42923</v>
      </c>
      <c r="F509" s="2">
        <v>0.59672453703703698</v>
      </c>
      <c r="G509" s="2">
        <v>0.60435185185185181</v>
      </c>
      <c r="H509" s="2">
        <f t="shared" si="31"/>
        <v>7.6273148148148229E-3</v>
      </c>
      <c r="K509" s="1"/>
    </row>
    <row r="510" spans="1:11" x14ac:dyDescent="0.25">
      <c r="A510" s="6">
        <v>76099906</v>
      </c>
      <c r="B510" t="str">
        <f t="shared" si="28"/>
        <v>komorkowy</v>
      </c>
      <c r="C510">
        <f t="shared" si="29"/>
        <v>0</v>
      </c>
      <c r="D510">
        <f t="shared" si="30"/>
        <v>0</v>
      </c>
      <c r="E510" s="1">
        <v>42923</v>
      </c>
      <c r="F510" s="2">
        <v>0.6004976851851852</v>
      </c>
      <c r="G510" s="2">
        <v>0.61106481481481478</v>
      </c>
      <c r="H510" s="2">
        <f t="shared" si="31"/>
        <v>1.0567129629629579E-2</v>
      </c>
      <c r="K510" s="1"/>
    </row>
    <row r="511" spans="1:11" x14ac:dyDescent="0.25">
      <c r="A511" s="6">
        <v>5147242</v>
      </c>
      <c r="B511" t="str">
        <f t="shared" si="28"/>
        <v>stacjonarny</v>
      </c>
      <c r="C511">
        <f t="shared" si="29"/>
        <v>0</v>
      </c>
      <c r="D511">
        <f t="shared" si="30"/>
        <v>0</v>
      </c>
      <c r="E511" s="1">
        <v>42923</v>
      </c>
      <c r="F511" s="2">
        <v>0.60381944444444446</v>
      </c>
      <c r="G511" s="2">
        <v>0.60589120370370375</v>
      </c>
      <c r="H511" s="2">
        <f t="shared" si="31"/>
        <v>2.0717592592592871E-3</v>
      </c>
      <c r="K511" s="1"/>
    </row>
    <row r="512" spans="1:11" x14ac:dyDescent="0.25">
      <c r="A512" s="6">
        <v>9600226</v>
      </c>
      <c r="B512" t="str">
        <f t="shared" si="28"/>
        <v>stacjonarny</v>
      </c>
      <c r="C512">
        <f t="shared" si="29"/>
        <v>0</v>
      </c>
      <c r="D512">
        <f t="shared" si="30"/>
        <v>0</v>
      </c>
      <c r="E512" s="1">
        <v>42923</v>
      </c>
      <c r="F512" s="2">
        <v>0.60758101851851853</v>
      </c>
      <c r="G512" s="2">
        <v>0.61008101851851848</v>
      </c>
      <c r="H512" s="2">
        <f t="shared" si="31"/>
        <v>2.4999999999999467E-3</v>
      </c>
      <c r="K512" s="1"/>
    </row>
    <row r="513" spans="1:11" x14ac:dyDescent="0.25">
      <c r="A513" s="6">
        <v>1337042</v>
      </c>
      <c r="B513" t="str">
        <f t="shared" si="28"/>
        <v>stacjonarny</v>
      </c>
      <c r="C513">
        <f t="shared" si="29"/>
        <v>0</v>
      </c>
      <c r="D513">
        <f t="shared" si="30"/>
        <v>0</v>
      </c>
      <c r="E513" s="1">
        <v>42923</v>
      </c>
      <c r="F513" s="2">
        <v>0.60930555555555554</v>
      </c>
      <c r="G513" s="2">
        <v>0.62085648148148154</v>
      </c>
      <c r="H513" s="2">
        <f t="shared" si="31"/>
        <v>1.1550925925925992E-2</v>
      </c>
      <c r="K513" s="1"/>
    </row>
    <row r="514" spans="1:11" x14ac:dyDescent="0.25">
      <c r="A514" s="6">
        <v>1223943</v>
      </c>
      <c r="B514" t="str">
        <f t="shared" ref="B514:B577" si="32">IF(LEN(A514)=7, "stacjonarny", IF(LEN(A514)=8, "komorkowy", "zagraniczny"))</f>
        <v>stacjonarny</v>
      </c>
      <c r="C514">
        <f t="shared" si="29"/>
        <v>1</v>
      </c>
      <c r="D514">
        <f t="shared" si="30"/>
        <v>1</v>
      </c>
      <c r="E514" s="1">
        <v>42923</v>
      </c>
      <c r="F514" s="2">
        <v>0.61412037037037037</v>
      </c>
      <c r="G514" s="2">
        <v>0.62342592592592594</v>
      </c>
      <c r="H514" s="2">
        <f t="shared" si="31"/>
        <v>9.3055555555555669E-3</v>
      </c>
      <c r="K514" s="1"/>
    </row>
    <row r="515" spans="1:11" x14ac:dyDescent="0.25">
      <c r="A515" s="6">
        <v>3525921</v>
      </c>
      <c r="B515" t="str">
        <f t="shared" si="32"/>
        <v>stacjonarny</v>
      </c>
      <c r="C515">
        <f t="shared" ref="C515:C578" si="33">IF(LEFT(A515,2)="12",1,0)</f>
        <v>0</v>
      </c>
      <c r="D515">
        <f t="shared" ref="D515:D578" si="34">IF(AND(C515=1,B515="stacjonarny"),1,0)</f>
        <v>0</v>
      </c>
      <c r="E515" s="1">
        <v>42923</v>
      </c>
      <c r="F515" s="2">
        <v>0.61557870370370371</v>
      </c>
      <c r="G515" s="2">
        <v>0.61946759259259254</v>
      </c>
      <c r="H515" s="2">
        <f t="shared" ref="H515:H578" si="35">G515-F515</f>
        <v>3.8888888888888307E-3</v>
      </c>
      <c r="K515" s="1"/>
    </row>
    <row r="516" spans="1:11" x14ac:dyDescent="0.25">
      <c r="A516" s="6">
        <v>5094248</v>
      </c>
      <c r="B516" t="str">
        <f t="shared" si="32"/>
        <v>stacjonarny</v>
      </c>
      <c r="C516">
        <f t="shared" si="33"/>
        <v>0</v>
      </c>
      <c r="D516">
        <f t="shared" si="34"/>
        <v>0</v>
      </c>
      <c r="E516" s="1">
        <v>42923</v>
      </c>
      <c r="F516" s="2">
        <v>0.61901620370370369</v>
      </c>
      <c r="G516" s="2">
        <v>0.62861111111111112</v>
      </c>
      <c r="H516" s="2">
        <f t="shared" si="35"/>
        <v>9.594907407407427E-3</v>
      </c>
      <c r="K516" s="1"/>
    </row>
    <row r="517" spans="1:11" x14ac:dyDescent="0.25">
      <c r="A517" s="6">
        <v>7275091</v>
      </c>
      <c r="B517" t="str">
        <f t="shared" si="32"/>
        <v>stacjonarny</v>
      </c>
      <c r="C517">
        <f t="shared" si="33"/>
        <v>0</v>
      </c>
      <c r="D517">
        <f t="shared" si="34"/>
        <v>0</v>
      </c>
      <c r="E517" s="1">
        <v>42923</v>
      </c>
      <c r="F517" s="2">
        <v>0.62306712962962962</v>
      </c>
      <c r="G517" s="2">
        <v>0.63328703703703704</v>
      </c>
      <c r="H517" s="2">
        <f t="shared" si="35"/>
        <v>1.0219907407407414E-2</v>
      </c>
      <c r="K517" s="1"/>
    </row>
    <row r="518" spans="1:11" x14ac:dyDescent="0.25">
      <c r="A518" s="6">
        <v>73042148</v>
      </c>
      <c r="B518" t="str">
        <f t="shared" si="32"/>
        <v>komorkowy</v>
      </c>
      <c r="C518">
        <f t="shared" si="33"/>
        <v>0</v>
      </c>
      <c r="D518">
        <f t="shared" si="34"/>
        <v>0</v>
      </c>
      <c r="E518" s="1">
        <v>42923</v>
      </c>
      <c r="F518" s="2">
        <v>0.62537037037037035</v>
      </c>
      <c r="G518" s="2">
        <v>0.63498842592592597</v>
      </c>
      <c r="H518" s="2">
        <f t="shared" si="35"/>
        <v>9.6180555555556158E-3</v>
      </c>
      <c r="K518" s="1"/>
    </row>
    <row r="519" spans="1:11" x14ac:dyDescent="0.25">
      <c r="A519" s="6">
        <v>8570276</v>
      </c>
      <c r="B519" t="str">
        <f t="shared" si="32"/>
        <v>stacjonarny</v>
      </c>
      <c r="C519">
        <f t="shared" si="33"/>
        <v>0</v>
      </c>
      <c r="D519">
        <f t="shared" si="34"/>
        <v>0</v>
      </c>
      <c r="E519" s="1">
        <v>42926</v>
      </c>
      <c r="F519" s="2">
        <v>0.33759259259259261</v>
      </c>
      <c r="G519" s="2">
        <v>0.34880787037037037</v>
      </c>
      <c r="H519" s="2">
        <f t="shared" si="35"/>
        <v>1.1215277777777755E-2</v>
      </c>
      <c r="K519" s="1"/>
    </row>
    <row r="520" spans="1:11" x14ac:dyDescent="0.25">
      <c r="A520" s="6">
        <v>1775586</v>
      </c>
      <c r="B520" t="str">
        <f t="shared" si="32"/>
        <v>stacjonarny</v>
      </c>
      <c r="C520">
        <f t="shared" si="33"/>
        <v>0</v>
      </c>
      <c r="D520">
        <f t="shared" si="34"/>
        <v>0</v>
      </c>
      <c r="E520" s="1">
        <v>42926</v>
      </c>
      <c r="F520" s="2">
        <v>0.34016203703703701</v>
      </c>
      <c r="G520" s="2">
        <v>0.3495138888888889</v>
      </c>
      <c r="H520" s="2">
        <f t="shared" si="35"/>
        <v>9.3518518518518889E-3</v>
      </c>
      <c r="K520" s="1"/>
    </row>
    <row r="521" spans="1:11" x14ac:dyDescent="0.25">
      <c r="A521" s="6">
        <v>27791497</v>
      </c>
      <c r="B521" t="str">
        <f t="shared" si="32"/>
        <v>komorkowy</v>
      </c>
      <c r="C521">
        <f t="shared" si="33"/>
        <v>0</v>
      </c>
      <c r="D521">
        <f t="shared" si="34"/>
        <v>0</v>
      </c>
      <c r="E521" s="1">
        <v>42926</v>
      </c>
      <c r="F521" s="2">
        <v>0.34312500000000001</v>
      </c>
      <c r="G521" s="2">
        <v>0.34373842592592591</v>
      </c>
      <c r="H521" s="2">
        <f t="shared" si="35"/>
        <v>6.1342592592589229E-4</v>
      </c>
      <c r="K521" s="1"/>
    </row>
    <row r="522" spans="1:11" x14ac:dyDescent="0.25">
      <c r="A522" s="6">
        <v>5162775</v>
      </c>
      <c r="B522" t="str">
        <f t="shared" si="32"/>
        <v>stacjonarny</v>
      </c>
      <c r="C522">
        <f t="shared" si="33"/>
        <v>0</v>
      </c>
      <c r="D522">
        <f t="shared" si="34"/>
        <v>0</v>
      </c>
      <c r="E522" s="1">
        <v>42926</v>
      </c>
      <c r="F522" s="2">
        <v>0.34364583333333332</v>
      </c>
      <c r="G522" s="2">
        <v>0.3492824074074074</v>
      </c>
      <c r="H522" s="2">
        <f t="shared" si="35"/>
        <v>5.6365740740740855E-3</v>
      </c>
      <c r="K522" s="1"/>
    </row>
    <row r="523" spans="1:11" x14ac:dyDescent="0.25">
      <c r="A523" s="6">
        <v>56115408</v>
      </c>
      <c r="B523" t="str">
        <f t="shared" si="32"/>
        <v>komorkowy</v>
      </c>
      <c r="C523">
        <f t="shared" si="33"/>
        <v>0</v>
      </c>
      <c r="D523">
        <f t="shared" si="34"/>
        <v>0</v>
      </c>
      <c r="E523" s="1">
        <v>42926</v>
      </c>
      <c r="F523" s="2">
        <v>0.34796296296296297</v>
      </c>
      <c r="G523" s="2">
        <v>0.35728009259259258</v>
      </c>
      <c r="H523" s="2">
        <f t="shared" si="35"/>
        <v>9.3171296296296058E-3</v>
      </c>
      <c r="K523" s="1"/>
    </row>
    <row r="524" spans="1:11" x14ac:dyDescent="0.25">
      <c r="A524" s="6">
        <v>6766881</v>
      </c>
      <c r="B524" t="str">
        <f t="shared" si="32"/>
        <v>stacjonarny</v>
      </c>
      <c r="C524">
        <f t="shared" si="33"/>
        <v>0</v>
      </c>
      <c r="D524">
        <f t="shared" si="34"/>
        <v>0</v>
      </c>
      <c r="E524" s="1">
        <v>42926</v>
      </c>
      <c r="F524" s="2">
        <v>0.35249999999999998</v>
      </c>
      <c r="G524" s="2">
        <v>0.35278935185185184</v>
      </c>
      <c r="H524" s="2">
        <f t="shared" si="35"/>
        <v>2.8935185185186008E-4</v>
      </c>
      <c r="K524" s="1"/>
    </row>
    <row r="525" spans="1:11" x14ac:dyDescent="0.25">
      <c r="A525" s="6">
        <v>9502975</v>
      </c>
      <c r="B525" t="str">
        <f t="shared" si="32"/>
        <v>stacjonarny</v>
      </c>
      <c r="C525">
        <f t="shared" si="33"/>
        <v>0</v>
      </c>
      <c r="D525">
        <f t="shared" si="34"/>
        <v>0</v>
      </c>
      <c r="E525" s="1">
        <v>42926</v>
      </c>
      <c r="F525" s="2">
        <v>0.35483796296296294</v>
      </c>
      <c r="G525" s="2">
        <v>0.35699074074074072</v>
      </c>
      <c r="H525" s="2">
        <f t="shared" si="35"/>
        <v>2.1527777777777812E-3</v>
      </c>
      <c r="K525" s="1"/>
    </row>
    <row r="526" spans="1:11" x14ac:dyDescent="0.25">
      <c r="A526" s="6">
        <v>4212838</v>
      </c>
      <c r="B526" t="str">
        <f t="shared" si="32"/>
        <v>stacjonarny</v>
      </c>
      <c r="C526">
        <f t="shared" si="33"/>
        <v>0</v>
      </c>
      <c r="D526">
        <f t="shared" si="34"/>
        <v>0</v>
      </c>
      <c r="E526" s="1">
        <v>42926</v>
      </c>
      <c r="F526" s="2">
        <v>0.35760416666666667</v>
      </c>
      <c r="G526" s="2">
        <v>0.35951388888888891</v>
      </c>
      <c r="H526" s="2">
        <f t="shared" si="35"/>
        <v>1.9097222222222432E-3</v>
      </c>
      <c r="K526" s="1"/>
    </row>
    <row r="527" spans="1:11" x14ac:dyDescent="0.25">
      <c r="A527" s="6">
        <v>6952061</v>
      </c>
      <c r="B527" t="str">
        <f t="shared" si="32"/>
        <v>stacjonarny</v>
      </c>
      <c r="C527">
        <f t="shared" si="33"/>
        <v>0</v>
      </c>
      <c r="D527">
        <f t="shared" si="34"/>
        <v>0</v>
      </c>
      <c r="E527" s="1">
        <v>42926</v>
      </c>
      <c r="F527" s="2">
        <v>0.36282407407407408</v>
      </c>
      <c r="G527" s="2">
        <v>0.37093749999999998</v>
      </c>
      <c r="H527" s="2">
        <f t="shared" si="35"/>
        <v>8.113425925925899E-3</v>
      </c>
      <c r="K527" s="1"/>
    </row>
    <row r="528" spans="1:11" x14ac:dyDescent="0.25">
      <c r="A528" s="6">
        <v>56127547</v>
      </c>
      <c r="B528" t="str">
        <f t="shared" si="32"/>
        <v>komorkowy</v>
      </c>
      <c r="C528">
        <f t="shared" si="33"/>
        <v>0</v>
      </c>
      <c r="D528">
        <f t="shared" si="34"/>
        <v>0</v>
      </c>
      <c r="E528" s="1">
        <v>42926</v>
      </c>
      <c r="F528" s="2">
        <v>0.36803240740740739</v>
      </c>
      <c r="G528" s="2">
        <v>0.37565972222222221</v>
      </c>
      <c r="H528" s="2">
        <f t="shared" si="35"/>
        <v>7.6273148148148229E-3</v>
      </c>
      <c r="K528" s="1"/>
    </row>
    <row r="529" spans="1:11" x14ac:dyDescent="0.25">
      <c r="A529" s="6">
        <v>4952685</v>
      </c>
      <c r="B529" t="str">
        <f t="shared" si="32"/>
        <v>stacjonarny</v>
      </c>
      <c r="C529">
        <f t="shared" si="33"/>
        <v>0</v>
      </c>
      <c r="D529">
        <f t="shared" si="34"/>
        <v>0</v>
      </c>
      <c r="E529" s="1">
        <v>42926</v>
      </c>
      <c r="F529" s="2">
        <v>0.36895833333333333</v>
      </c>
      <c r="G529" s="2">
        <v>0.37655092592592593</v>
      </c>
      <c r="H529" s="2">
        <f t="shared" si="35"/>
        <v>7.5925925925925952E-3</v>
      </c>
      <c r="K529" s="1"/>
    </row>
    <row r="530" spans="1:11" x14ac:dyDescent="0.25">
      <c r="A530" s="6">
        <v>8632893</v>
      </c>
      <c r="B530" t="str">
        <f t="shared" si="32"/>
        <v>stacjonarny</v>
      </c>
      <c r="C530">
        <f t="shared" si="33"/>
        <v>0</v>
      </c>
      <c r="D530">
        <f t="shared" si="34"/>
        <v>0</v>
      </c>
      <c r="E530" s="1">
        <v>42926</v>
      </c>
      <c r="F530" s="2">
        <v>0.36996527777777777</v>
      </c>
      <c r="G530" s="2">
        <v>0.37988425925925928</v>
      </c>
      <c r="H530" s="2">
        <f t="shared" si="35"/>
        <v>9.9189814814815147E-3</v>
      </c>
      <c r="K530" s="1"/>
    </row>
    <row r="531" spans="1:11" x14ac:dyDescent="0.25">
      <c r="A531" s="6">
        <v>7320123</v>
      </c>
      <c r="B531" t="str">
        <f t="shared" si="32"/>
        <v>stacjonarny</v>
      </c>
      <c r="C531">
        <f t="shared" si="33"/>
        <v>0</v>
      </c>
      <c r="D531">
        <f t="shared" si="34"/>
        <v>0</v>
      </c>
      <c r="E531" s="1">
        <v>42926</v>
      </c>
      <c r="F531" s="2">
        <v>0.37015046296296295</v>
      </c>
      <c r="G531" s="2">
        <v>0.37528935185185186</v>
      </c>
      <c r="H531" s="2">
        <f t="shared" si="35"/>
        <v>5.138888888888915E-3</v>
      </c>
      <c r="K531" s="1"/>
    </row>
    <row r="532" spans="1:11" x14ac:dyDescent="0.25">
      <c r="A532" s="6">
        <v>4600571814</v>
      </c>
      <c r="B532" t="str">
        <f t="shared" si="32"/>
        <v>zagraniczny</v>
      </c>
      <c r="C532">
        <f t="shared" si="33"/>
        <v>0</v>
      </c>
      <c r="D532">
        <f t="shared" si="34"/>
        <v>0</v>
      </c>
      <c r="E532" s="1">
        <v>42926</v>
      </c>
      <c r="F532" s="2">
        <v>0.3706712962962963</v>
      </c>
      <c r="G532" s="2">
        <v>0.37572916666666667</v>
      </c>
      <c r="H532" s="2">
        <f t="shared" si="35"/>
        <v>5.0578703703703654E-3</v>
      </c>
      <c r="K532" s="1"/>
    </row>
    <row r="533" spans="1:11" x14ac:dyDescent="0.25">
      <c r="A533" s="6">
        <v>38063903</v>
      </c>
      <c r="B533" t="str">
        <f t="shared" si="32"/>
        <v>komorkowy</v>
      </c>
      <c r="C533">
        <f t="shared" si="33"/>
        <v>0</v>
      </c>
      <c r="D533">
        <f t="shared" si="34"/>
        <v>0</v>
      </c>
      <c r="E533" s="1">
        <v>42926</v>
      </c>
      <c r="F533" s="2">
        <v>0.37207175925925928</v>
      </c>
      <c r="G533" s="2">
        <v>0.37332175925925926</v>
      </c>
      <c r="H533" s="2">
        <f t="shared" si="35"/>
        <v>1.2499999999999734E-3</v>
      </c>
      <c r="K533" s="1"/>
    </row>
    <row r="534" spans="1:11" x14ac:dyDescent="0.25">
      <c r="A534" s="6">
        <v>4901642</v>
      </c>
      <c r="B534" t="str">
        <f t="shared" si="32"/>
        <v>stacjonarny</v>
      </c>
      <c r="C534">
        <f t="shared" si="33"/>
        <v>0</v>
      </c>
      <c r="D534">
        <f t="shared" si="34"/>
        <v>0</v>
      </c>
      <c r="E534" s="1">
        <v>42926</v>
      </c>
      <c r="F534" s="2">
        <v>0.37747685185185187</v>
      </c>
      <c r="G534" s="2">
        <v>0.38609953703703703</v>
      </c>
      <c r="H534" s="2">
        <f t="shared" si="35"/>
        <v>8.6226851851851638E-3</v>
      </c>
      <c r="K534" s="1"/>
    </row>
    <row r="535" spans="1:11" x14ac:dyDescent="0.25">
      <c r="A535" s="6">
        <v>39669014</v>
      </c>
      <c r="B535" t="str">
        <f t="shared" si="32"/>
        <v>komorkowy</v>
      </c>
      <c r="C535">
        <f t="shared" si="33"/>
        <v>0</v>
      </c>
      <c r="D535">
        <f t="shared" si="34"/>
        <v>0</v>
      </c>
      <c r="E535" s="1">
        <v>42926</v>
      </c>
      <c r="F535" s="2">
        <v>0.37930555555555556</v>
      </c>
      <c r="G535" s="2">
        <v>0.38686342592592593</v>
      </c>
      <c r="H535" s="2">
        <f t="shared" si="35"/>
        <v>7.5578703703703676E-3</v>
      </c>
      <c r="K535" s="1"/>
    </row>
    <row r="536" spans="1:11" x14ac:dyDescent="0.25">
      <c r="A536" s="6">
        <v>48919339</v>
      </c>
      <c r="B536" t="str">
        <f t="shared" si="32"/>
        <v>komorkowy</v>
      </c>
      <c r="C536">
        <f t="shared" si="33"/>
        <v>0</v>
      </c>
      <c r="D536">
        <f t="shared" si="34"/>
        <v>0</v>
      </c>
      <c r="E536" s="1">
        <v>42926</v>
      </c>
      <c r="F536" s="2">
        <v>0.38040509259259259</v>
      </c>
      <c r="G536" s="2">
        <v>0.38484953703703706</v>
      </c>
      <c r="H536" s="2">
        <f t="shared" si="35"/>
        <v>4.4444444444444731E-3</v>
      </c>
      <c r="K536" s="1"/>
    </row>
    <row r="537" spans="1:11" x14ac:dyDescent="0.25">
      <c r="A537" s="6">
        <v>4960687</v>
      </c>
      <c r="B537" t="str">
        <f t="shared" si="32"/>
        <v>stacjonarny</v>
      </c>
      <c r="C537">
        <f t="shared" si="33"/>
        <v>0</v>
      </c>
      <c r="D537">
        <f t="shared" si="34"/>
        <v>0</v>
      </c>
      <c r="E537" s="1">
        <v>42926</v>
      </c>
      <c r="F537" s="2">
        <v>0.3835648148148148</v>
      </c>
      <c r="G537" s="2">
        <v>0.3941087962962963</v>
      </c>
      <c r="H537" s="2">
        <f t="shared" si="35"/>
        <v>1.0543981481481501E-2</v>
      </c>
      <c r="K537" s="1"/>
    </row>
    <row r="538" spans="1:11" x14ac:dyDescent="0.25">
      <c r="A538" s="6">
        <v>41156424</v>
      </c>
      <c r="B538" t="str">
        <f t="shared" si="32"/>
        <v>komorkowy</v>
      </c>
      <c r="C538">
        <f t="shared" si="33"/>
        <v>0</v>
      </c>
      <c r="D538">
        <f t="shared" si="34"/>
        <v>0</v>
      </c>
      <c r="E538" s="1">
        <v>42926</v>
      </c>
      <c r="F538" s="2">
        <v>0.38715277777777779</v>
      </c>
      <c r="G538" s="2">
        <v>0.39293981481481483</v>
      </c>
      <c r="H538" s="2">
        <f t="shared" si="35"/>
        <v>5.787037037037035E-3</v>
      </c>
      <c r="K538" s="1"/>
    </row>
    <row r="539" spans="1:11" x14ac:dyDescent="0.25">
      <c r="A539" s="6">
        <v>5087066</v>
      </c>
      <c r="B539" t="str">
        <f t="shared" si="32"/>
        <v>stacjonarny</v>
      </c>
      <c r="C539">
        <f t="shared" si="33"/>
        <v>0</v>
      </c>
      <c r="D539">
        <f t="shared" si="34"/>
        <v>0</v>
      </c>
      <c r="E539" s="1">
        <v>42926</v>
      </c>
      <c r="F539" s="2">
        <v>0.3894097222222222</v>
      </c>
      <c r="G539" s="2">
        <v>0.39869212962962963</v>
      </c>
      <c r="H539" s="2">
        <f t="shared" si="35"/>
        <v>9.2824074074074336E-3</v>
      </c>
      <c r="K539" s="1"/>
    </row>
    <row r="540" spans="1:11" x14ac:dyDescent="0.25">
      <c r="A540" s="6">
        <v>4636713</v>
      </c>
      <c r="B540" t="str">
        <f t="shared" si="32"/>
        <v>stacjonarny</v>
      </c>
      <c r="C540">
        <f t="shared" si="33"/>
        <v>0</v>
      </c>
      <c r="D540">
        <f t="shared" si="34"/>
        <v>0</v>
      </c>
      <c r="E540" s="1">
        <v>42926</v>
      </c>
      <c r="F540" s="2">
        <v>0.39193287037037039</v>
      </c>
      <c r="G540" s="2">
        <v>0.39712962962962961</v>
      </c>
      <c r="H540" s="2">
        <f t="shared" si="35"/>
        <v>5.1967592592592204E-3</v>
      </c>
      <c r="K540" s="1"/>
    </row>
    <row r="541" spans="1:11" x14ac:dyDescent="0.25">
      <c r="A541" s="6">
        <v>3944120</v>
      </c>
      <c r="B541" t="str">
        <f t="shared" si="32"/>
        <v>stacjonarny</v>
      </c>
      <c r="C541">
        <f t="shared" si="33"/>
        <v>0</v>
      </c>
      <c r="D541">
        <f t="shared" si="34"/>
        <v>0</v>
      </c>
      <c r="E541" s="1">
        <v>42926</v>
      </c>
      <c r="F541" s="2">
        <v>0.39307870370370368</v>
      </c>
      <c r="G541" s="2">
        <v>0.39380787037037035</v>
      </c>
      <c r="H541" s="2">
        <f t="shared" si="35"/>
        <v>7.2916666666666963E-4</v>
      </c>
      <c r="K541" s="1"/>
    </row>
    <row r="542" spans="1:11" x14ac:dyDescent="0.25">
      <c r="A542" s="6">
        <v>5960122</v>
      </c>
      <c r="B542" t="str">
        <f t="shared" si="32"/>
        <v>stacjonarny</v>
      </c>
      <c r="C542">
        <f t="shared" si="33"/>
        <v>0</v>
      </c>
      <c r="D542">
        <f t="shared" si="34"/>
        <v>0</v>
      </c>
      <c r="E542" s="1">
        <v>42926</v>
      </c>
      <c r="F542" s="2">
        <v>0.3984375</v>
      </c>
      <c r="G542" s="2">
        <v>0.40802083333333333</v>
      </c>
      <c r="H542" s="2">
        <f t="shared" si="35"/>
        <v>9.5833333333333326E-3</v>
      </c>
      <c r="K542" s="1"/>
    </row>
    <row r="543" spans="1:11" x14ac:dyDescent="0.25">
      <c r="A543" s="6">
        <v>6795454</v>
      </c>
      <c r="B543" t="str">
        <f t="shared" si="32"/>
        <v>stacjonarny</v>
      </c>
      <c r="C543">
        <f t="shared" si="33"/>
        <v>0</v>
      </c>
      <c r="D543">
        <f t="shared" si="34"/>
        <v>0</v>
      </c>
      <c r="E543" s="1">
        <v>42926</v>
      </c>
      <c r="F543" s="2">
        <v>0.40265046296296297</v>
      </c>
      <c r="G543" s="2">
        <v>0.40284722222222225</v>
      </c>
      <c r="H543" s="2">
        <f t="shared" si="35"/>
        <v>1.9675925925927151E-4</v>
      </c>
      <c r="K543" s="1"/>
    </row>
    <row r="544" spans="1:11" x14ac:dyDescent="0.25">
      <c r="A544" s="6">
        <v>5013688</v>
      </c>
      <c r="B544" t="str">
        <f t="shared" si="32"/>
        <v>stacjonarny</v>
      </c>
      <c r="C544">
        <f t="shared" si="33"/>
        <v>0</v>
      </c>
      <c r="D544">
        <f t="shared" si="34"/>
        <v>0</v>
      </c>
      <c r="E544" s="1">
        <v>42926</v>
      </c>
      <c r="F544" s="2">
        <v>0.40662037037037035</v>
      </c>
      <c r="G544" s="2">
        <v>0.41171296296296295</v>
      </c>
      <c r="H544" s="2">
        <f t="shared" si="35"/>
        <v>5.092592592592593E-3</v>
      </c>
      <c r="K544" s="1"/>
    </row>
    <row r="545" spans="1:11" x14ac:dyDescent="0.25">
      <c r="A545" s="6">
        <v>9487255</v>
      </c>
      <c r="B545" t="str">
        <f t="shared" si="32"/>
        <v>stacjonarny</v>
      </c>
      <c r="C545">
        <f t="shared" si="33"/>
        <v>0</v>
      </c>
      <c r="D545">
        <f t="shared" si="34"/>
        <v>0</v>
      </c>
      <c r="E545" s="1">
        <v>42926</v>
      </c>
      <c r="F545" s="2">
        <v>0.40997685185185184</v>
      </c>
      <c r="G545" s="2">
        <v>0.41947916666666668</v>
      </c>
      <c r="H545" s="2">
        <f t="shared" si="35"/>
        <v>9.5023148148148384E-3</v>
      </c>
      <c r="K545" s="1"/>
    </row>
    <row r="546" spans="1:11" x14ac:dyDescent="0.25">
      <c r="A546" s="6">
        <v>1592822</v>
      </c>
      <c r="B546" t="str">
        <f t="shared" si="32"/>
        <v>stacjonarny</v>
      </c>
      <c r="C546">
        <f t="shared" si="33"/>
        <v>0</v>
      </c>
      <c r="D546">
        <f t="shared" si="34"/>
        <v>0</v>
      </c>
      <c r="E546" s="1">
        <v>42926</v>
      </c>
      <c r="F546" s="2">
        <v>0.41422453703703704</v>
      </c>
      <c r="G546" s="2">
        <v>0.42549768518518516</v>
      </c>
      <c r="H546" s="2">
        <f t="shared" si="35"/>
        <v>1.1273148148148115E-2</v>
      </c>
      <c r="K546" s="1"/>
    </row>
    <row r="547" spans="1:11" x14ac:dyDescent="0.25">
      <c r="A547" s="6">
        <v>9084978</v>
      </c>
      <c r="B547" t="str">
        <f t="shared" si="32"/>
        <v>stacjonarny</v>
      </c>
      <c r="C547">
        <f t="shared" si="33"/>
        <v>0</v>
      </c>
      <c r="D547">
        <f t="shared" si="34"/>
        <v>0</v>
      </c>
      <c r="E547" s="1">
        <v>42926</v>
      </c>
      <c r="F547" s="2">
        <v>0.41553240740740743</v>
      </c>
      <c r="G547" s="2">
        <v>0.42593750000000002</v>
      </c>
      <c r="H547" s="2">
        <f t="shared" si="35"/>
        <v>1.0405092592592591E-2</v>
      </c>
      <c r="K547" s="1"/>
    </row>
    <row r="548" spans="1:11" x14ac:dyDescent="0.25">
      <c r="A548" s="6">
        <v>80038636</v>
      </c>
      <c r="B548" t="str">
        <f t="shared" si="32"/>
        <v>komorkowy</v>
      </c>
      <c r="C548">
        <f t="shared" si="33"/>
        <v>0</v>
      </c>
      <c r="D548">
        <f t="shared" si="34"/>
        <v>0</v>
      </c>
      <c r="E548" s="1">
        <v>42926</v>
      </c>
      <c r="F548" s="2">
        <v>0.41734953703703703</v>
      </c>
      <c r="G548" s="2">
        <v>0.42822916666666666</v>
      </c>
      <c r="H548" s="2">
        <f t="shared" si="35"/>
        <v>1.0879629629629628E-2</v>
      </c>
      <c r="K548" s="1"/>
    </row>
    <row r="549" spans="1:11" x14ac:dyDescent="0.25">
      <c r="A549" s="6">
        <v>2021941339</v>
      </c>
      <c r="B549" t="str">
        <f t="shared" si="32"/>
        <v>zagraniczny</v>
      </c>
      <c r="C549">
        <f t="shared" si="33"/>
        <v>0</v>
      </c>
      <c r="D549">
        <f t="shared" si="34"/>
        <v>0</v>
      </c>
      <c r="E549" s="1">
        <v>42926</v>
      </c>
      <c r="F549" s="2">
        <v>0.41863425925925923</v>
      </c>
      <c r="G549" s="2">
        <v>0.42877314814814815</v>
      </c>
      <c r="H549" s="2">
        <f t="shared" si="35"/>
        <v>1.0138888888888919E-2</v>
      </c>
      <c r="K549" s="1"/>
    </row>
    <row r="550" spans="1:11" x14ac:dyDescent="0.25">
      <c r="A550" s="6">
        <v>7718350</v>
      </c>
      <c r="B550" t="str">
        <f t="shared" si="32"/>
        <v>stacjonarny</v>
      </c>
      <c r="C550">
        <f t="shared" si="33"/>
        <v>0</v>
      </c>
      <c r="D550">
        <f t="shared" si="34"/>
        <v>0</v>
      </c>
      <c r="E550" s="1">
        <v>42926</v>
      </c>
      <c r="F550" s="2">
        <v>0.42002314814814817</v>
      </c>
      <c r="G550" s="2">
        <v>0.42700231481481482</v>
      </c>
      <c r="H550" s="2">
        <f t="shared" si="35"/>
        <v>6.9791666666666474E-3</v>
      </c>
      <c r="K550" s="1"/>
    </row>
    <row r="551" spans="1:11" x14ac:dyDescent="0.25">
      <c r="A551" s="6">
        <v>3153283</v>
      </c>
      <c r="B551" t="str">
        <f t="shared" si="32"/>
        <v>stacjonarny</v>
      </c>
      <c r="C551">
        <f t="shared" si="33"/>
        <v>0</v>
      </c>
      <c r="D551">
        <f t="shared" si="34"/>
        <v>0</v>
      </c>
      <c r="E551" s="1">
        <v>42926</v>
      </c>
      <c r="F551" s="2">
        <v>0.42396990740740742</v>
      </c>
      <c r="G551" s="2">
        <v>0.43335648148148148</v>
      </c>
      <c r="H551" s="2">
        <f t="shared" si="35"/>
        <v>9.3865740740740611E-3</v>
      </c>
      <c r="K551" s="1"/>
    </row>
    <row r="552" spans="1:11" x14ac:dyDescent="0.25">
      <c r="A552" s="6">
        <v>6341482</v>
      </c>
      <c r="B552" t="str">
        <f t="shared" si="32"/>
        <v>stacjonarny</v>
      </c>
      <c r="C552">
        <f t="shared" si="33"/>
        <v>0</v>
      </c>
      <c r="D552">
        <f t="shared" si="34"/>
        <v>0</v>
      </c>
      <c r="E552" s="1">
        <v>42926</v>
      </c>
      <c r="F552" s="2">
        <v>0.42922453703703706</v>
      </c>
      <c r="G552" s="2">
        <v>0.43947916666666664</v>
      </c>
      <c r="H552" s="2">
        <f t="shared" si="35"/>
        <v>1.0254629629629586E-2</v>
      </c>
      <c r="K552" s="1"/>
    </row>
    <row r="553" spans="1:11" x14ac:dyDescent="0.25">
      <c r="A553" s="6">
        <v>67964973</v>
      </c>
      <c r="B553" t="str">
        <f t="shared" si="32"/>
        <v>komorkowy</v>
      </c>
      <c r="C553">
        <f t="shared" si="33"/>
        <v>0</v>
      </c>
      <c r="D553">
        <f t="shared" si="34"/>
        <v>0</v>
      </c>
      <c r="E553" s="1">
        <v>42926</v>
      </c>
      <c r="F553" s="2">
        <v>0.43475694444444446</v>
      </c>
      <c r="G553" s="2">
        <v>0.43590277777777775</v>
      </c>
      <c r="H553" s="2">
        <f t="shared" si="35"/>
        <v>1.1458333333332904E-3</v>
      </c>
      <c r="K553" s="1"/>
    </row>
    <row r="554" spans="1:11" x14ac:dyDescent="0.25">
      <c r="A554" s="6">
        <v>1223943</v>
      </c>
      <c r="B554" t="str">
        <f t="shared" si="32"/>
        <v>stacjonarny</v>
      </c>
      <c r="C554">
        <f t="shared" si="33"/>
        <v>1</v>
      </c>
      <c r="D554">
        <f t="shared" si="34"/>
        <v>1</v>
      </c>
      <c r="E554" s="1">
        <v>42926</v>
      </c>
      <c r="F554" s="2">
        <v>0.43961805555555555</v>
      </c>
      <c r="G554" s="2">
        <v>0.45087962962962963</v>
      </c>
      <c r="H554" s="2">
        <f t="shared" si="35"/>
        <v>1.1261574074074077E-2</v>
      </c>
      <c r="K554" s="1"/>
    </row>
    <row r="555" spans="1:11" x14ac:dyDescent="0.25">
      <c r="A555" s="6">
        <v>8049834</v>
      </c>
      <c r="B555" t="str">
        <f t="shared" si="32"/>
        <v>stacjonarny</v>
      </c>
      <c r="C555">
        <f t="shared" si="33"/>
        <v>0</v>
      </c>
      <c r="D555">
        <f t="shared" si="34"/>
        <v>0</v>
      </c>
      <c r="E555" s="1">
        <v>42926</v>
      </c>
      <c r="F555" s="2">
        <v>0.44210648148148146</v>
      </c>
      <c r="G555" s="2">
        <v>0.44369212962962962</v>
      </c>
      <c r="H555" s="2">
        <f t="shared" si="35"/>
        <v>1.5856481481481555E-3</v>
      </c>
      <c r="K555" s="1"/>
    </row>
    <row r="556" spans="1:11" x14ac:dyDescent="0.25">
      <c r="A556" s="6">
        <v>6374704</v>
      </c>
      <c r="B556" t="str">
        <f t="shared" si="32"/>
        <v>stacjonarny</v>
      </c>
      <c r="C556">
        <f t="shared" si="33"/>
        <v>0</v>
      </c>
      <c r="D556">
        <f t="shared" si="34"/>
        <v>0</v>
      </c>
      <c r="E556" s="1">
        <v>42926</v>
      </c>
      <c r="F556" s="2">
        <v>0.44572916666666668</v>
      </c>
      <c r="G556" s="2">
        <v>0.4548726851851852</v>
      </c>
      <c r="H556" s="2">
        <f t="shared" si="35"/>
        <v>9.143518518518523E-3</v>
      </c>
      <c r="K556" s="1"/>
    </row>
    <row r="557" spans="1:11" x14ac:dyDescent="0.25">
      <c r="A557" s="6">
        <v>99625315</v>
      </c>
      <c r="B557" t="str">
        <f t="shared" si="32"/>
        <v>komorkowy</v>
      </c>
      <c r="C557">
        <f t="shared" si="33"/>
        <v>0</v>
      </c>
      <c r="D557">
        <f t="shared" si="34"/>
        <v>0</v>
      </c>
      <c r="E557" s="1">
        <v>42926</v>
      </c>
      <c r="F557" s="2">
        <v>0.44592592592592595</v>
      </c>
      <c r="G557" s="2">
        <v>0.45026620370370368</v>
      </c>
      <c r="H557" s="2">
        <f t="shared" si="35"/>
        <v>4.3402777777777346E-3</v>
      </c>
      <c r="K557" s="1"/>
    </row>
    <row r="558" spans="1:11" x14ac:dyDescent="0.25">
      <c r="A558" s="6">
        <v>9728932</v>
      </c>
      <c r="B558" t="str">
        <f t="shared" si="32"/>
        <v>stacjonarny</v>
      </c>
      <c r="C558">
        <f t="shared" si="33"/>
        <v>0</v>
      </c>
      <c r="D558">
        <f t="shared" si="34"/>
        <v>0</v>
      </c>
      <c r="E558" s="1">
        <v>42926</v>
      </c>
      <c r="F558" s="2">
        <v>0.44641203703703702</v>
      </c>
      <c r="G558" s="2">
        <v>0.45089120370370372</v>
      </c>
      <c r="H558" s="2">
        <f t="shared" si="35"/>
        <v>4.4791666666667007E-3</v>
      </c>
      <c r="K558" s="1"/>
    </row>
    <row r="559" spans="1:11" x14ac:dyDescent="0.25">
      <c r="A559" s="6">
        <v>9121149</v>
      </c>
      <c r="B559" t="str">
        <f t="shared" si="32"/>
        <v>stacjonarny</v>
      </c>
      <c r="C559">
        <f t="shared" si="33"/>
        <v>0</v>
      </c>
      <c r="D559">
        <f t="shared" si="34"/>
        <v>0</v>
      </c>
      <c r="E559" s="1">
        <v>42926</v>
      </c>
      <c r="F559" s="2">
        <v>0.45106481481481481</v>
      </c>
      <c r="G559" s="2">
        <v>0.45603009259259258</v>
      </c>
      <c r="H559" s="2">
        <f t="shared" si="35"/>
        <v>4.9652777777777768E-3</v>
      </c>
      <c r="K559" s="1"/>
    </row>
    <row r="560" spans="1:11" x14ac:dyDescent="0.25">
      <c r="A560" s="6">
        <v>2790475</v>
      </c>
      <c r="B560" t="str">
        <f t="shared" si="32"/>
        <v>stacjonarny</v>
      </c>
      <c r="C560">
        <f t="shared" si="33"/>
        <v>0</v>
      </c>
      <c r="D560">
        <f t="shared" si="34"/>
        <v>0</v>
      </c>
      <c r="E560" s="1">
        <v>42926</v>
      </c>
      <c r="F560" s="2">
        <v>0.45663194444444444</v>
      </c>
      <c r="G560" s="2">
        <v>0.46517361111111111</v>
      </c>
      <c r="H560" s="2">
        <f t="shared" si="35"/>
        <v>8.5416666666666696E-3</v>
      </c>
      <c r="K560" s="1"/>
    </row>
    <row r="561" spans="1:11" x14ac:dyDescent="0.25">
      <c r="A561" s="6">
        <v>4148520</v>
      </c>
      <c r="B561" t="str">
        <f t="shared" si="32"/>
        <v>stacjonarny</v>
      </c>
      <c r="C561">
        <f t="shared" si="33"/>
        <v>0</v>
      </c>
      <c r="D561">
        <f t="shared" si="34"/>
        <v>0</v>
      </c>
      <c r="E561" s="1">
        <v>42926</v>
      </c>
      <c r="F561" s="2">
        <v>0.46108796296296295</v>
      </c>
      <c r="G561" s="2">
        <v>0.46989583333333335</v>
      </c>
      <c r="H561" s="2">
        <f t="shared" si="35"/>
        <v>8.8078703703703964E-3</v>
      </c>
      <c r="K561" s="1"/>
    </row>
    <row r="562" spans="1:11" x14ac:dyDescent="0.25">
      <c r="A562" s="6">
        <v>55462392</v>
      </c>
      <c r="B562" t="str">
        <f t="shared" si="32"/>
        <v>komorkowy</v>
      </c>
      <c r="C562">
        <f t="shared" si="33"/>
        <v>0</v>
      </c>
      <c r="D562">
        <f t="shared" si="34"/>
        <v>0</v>
      </c>
      <c r="E562" s="1">
        <v>42926</v>
      </c>
      <c r="F562" s="2">
        <v>0.46597222222222223</v>
      </c>
      <c r="G562" s="2">
        <v>0.46732638888888889</v>
      </c>
      <c r="H562" s="2">
        <f t="shared" si="35"/>
        <v>1.3541666666666563E-3</v>
      </c>
      <c r="K562" s="1"/>
    </row>
    <row r="563" spans="1:11" x14ac:dyDescent="0.25">
      <c r="A563" s="6">
        <v>8130722</v>
      </c>
      <c r="B563" t="str">
        <f t="shared" si="32"/>
        <v>stacjonarny</v>
      </c>
      <c r="C563">
        <f t="shared" si="33"/>
        <v>0</v>
      </c>
      <c r="D563">
        <f t="shared" si="34"/>
        <v>0</v>
      </c>
      <c r="E563" s="1">
        <v>42926</v>
      </c>
      <c r="F563" s="2">
        <v>0.46649305555555554</v>
      </c>
      <c r="G563" s="2">
        <v>0.47717592592592595</v>
      </c>
      <c r="H563" s="2">
        <f t="shared" si="35"/>
        <v>1.0682870370370412E-2</v>
      </c>
      <c r="K563" s="1"/>
    </row>
    <row r="564" spans="1:11" x14ac:dyDescent="0.25">
      <c r="A564" s="6">
        <v>5448890</v>
      </c>
      <c r="B564" t="str">
        <f t="shared" si="32"/>
        <v>stacjonarny</v>
      </c>
      <c r="C564">
        <f t="shared" si="33"/>
        <v>0</v>
      </c>
      <c r="D564">
        <f t="shared" si="34"/>
        <v>0</v>
      </c>
      <c r="E564" s="1">
        <v>42926</v>
      </c>
      <c r="F564" s="2">
        <v>0.46957175925925926</v>
      </c>
      <c r="G564" s="2">
        <v>0.47247685185185184</v>
      </c>
      <c r="H564" s="2">
        <f t="shared" si="35"/>
        <v>2.9050925925925841E-3</v>
      </c>
      <c r="K564" s="1"/>
    </row>
    <row r="565" spans="1:11" x14ac:dyDescent="0.25">
      <c r="A565" s="6">
        <v>6118241</v>
      </c>
      <c r="B565" t="str">
        <f t="shared" si="32"/>
        <v>stacjonarny</v>
      </c>
      <c r="C565">
        <f t="shared" si="33"/>
        <v>0</v>
      </c>
      <c r="D565">
        <f t="shared" si="34"/>
        <v>0</v>
      </c>
      <c r="E565" s="1">
        <v>42926</v>
      </c>
      <c r="F565" s="2">
        <v>0.47462962962962962</v>
      </c>
      <c r="G565" s="2">
        <v>0.47839120370370369</v>
      </c>
      <c r="H565" s="2">
        <f t="shared" si="35"/>
        <v>3.76157407407407E-3</v>
      </c>
      <c r="K565" s="1"/>
    </row>
    <row r="566" spans="1:11" x14ac:dyDescent="0.25">
      <c r="A566" s="6">
        <v>1088377750</v>
      </c>
      <c r="B566" t="str">
        <f t="shared" si="32"/>
        <v>zagraniczny</v>
      </c>
      <c r="C566">
        <f t="shared" si="33"/>
        <v>0</v>
      </c>
      <c r="D566">
        <f t="shared" si="34"/>
        <v>0</v>
      </c>
      <c r="E566" s="1">
        <v>42926</v>
      </c>
      <c r="F566" s="2">
        <v>0.47535879629629629</v>
      </c>
      <c r="G566" s="2">
        <v>0.48454861111111114</v>
      </c>
      <c r="H566" s="2">
        <f t="shared" si="35"/>
        <v>9.1898148148148451E-3</v>
      </c>
      <c r="K566" s="1"/>
    </row>
    <row r="567" spans="1:11" x14ac:dyDescent="0.25">
      <c r="A567" s="6">
        <v>98238772</v>
      </c>
      <c r="B567" t="str">
        <f t="shared" si="32"/>
        <v>komorkowy</v>
      </c>
      <c r="C567">
        <f t="shared" si="33"/>
        <v>0</v>
      </c>
      <c r="D567">
        <f t="shared" si="34"/>
        <v>0</v>
      </c>
      <c r="E567" s="1">
        <v>42926</v>
      </c>
      <c r="F567" s="2">
        <v>0.47989583333333335</v>
      </c>
      <c r="G567" s="2">
        <v>0.48138888888888887</v>
      </c>
      <c r="H567" s="2">
        <f t="shared" si="35"/>
        <v>1.4930555555555114E-3</v>
      </c>
      <c r="K567" s="1"/>
    </row>
    <row r="568" spans="1:11" x14ac:dyDescent="0.25">
      <c r="A568" s="6">
        <v>9524588</v>
      </c>
      <c r="B568" t="str">
        <f t="shared" si="32"/>
        <v>stacjonarny</v>
      </c>
      <c r="C568">
        <f t="shared" si="33"/>
        <v>0</v>
      </c>
      <c r="D568">
        <f t="shared" si="34"/>
        <v>0</v>
      </c>
      <c r="E568" s="1">
        <v>42926</v>
      </c>
      <c r="F568" s="2">
        <v>0.4846759259259259</v>
      </c>
      <c r="G568" s="2">
        <v>0.49550925925925926</v>
      </c>
      <c r="H568" s="2">
        <f t="shared" si="35"/>
        <v>1.0833333333333361E-2</v>
      </c>
      <c r="K568" s="1"/>
    </row>
    <row r="569" spans="1:11" x14ac:dyDescent="0.25">
      <c r="A569" s="6">
        <v>96375379</v>
      </c>
      <c r="B569" t="str">
        <f t="shared" si="32"/>
        <v>komorkowy</v>
      </c>
      <c r="C569">
        <f t="shared" si="33"/>
        <v>0</v>
      </c>
      <c r="D569">
        <f t="shared" si="34"/>
        <v>0</v>
      </c>
      <c r="E569" s="1">
        <v>42926</v>
      </c>
      <c r="F569" s="2">
        <v>0.4881712962962963</v>
      </c>
      <c r="G569" s="2">
        <v>0.49769675925925927</v>
      </c>
      <c r="H569" s="2">
        <f t="shared" si="35"/>
        <v>9.5254629629629717E-3</v>
      </c>
      <c r="K569" s="1"/>
    </row>
    <row r="570" spans="1:11" x14ac:dyDescent="0.25">
      <c r="A570" s="6">
        <v>4759206</v>
      </c>
      <c r="B570" t="str">
        <f t="shared" si="32"/>
        <v>stacjonarny</v>
      </c>
      <c r="C570">
        <f t="shared" si="33"/>
        <v>0</v>
      </c>
      <c r="D570">
        <f t="shared" si="34"/>
        <v>0</v>
      </c>
      <c r="E570" s="1">
        <v>42926</v>
      </c>
      <c r="F570" s="2">
        <v>0.49055555555555558</v>
      </c>
      <c r="G570" s="2">
        <v>0.49449074074074073</v>
      </c>
      <c r="H570" s="2">
        <f t="shared" si="35"/>
        <v>3.9351851851851527E-3</v>
      </c>
      <c r="K570" s="1"/>
    </row>
    <row r="571" spans="1:11" x14ac:dyDescent="0.25">
      <c r="A571" s="6">
        <v>9197309</v>
      </c>
      <c r="B571" t="str">
        <f t="shared" si="32"/>
        <v>stacjonarny</v>
      </c>
      <c r="C571">
        <f t="shared" si="33"/>
        <v>0</v>
      </c>
      <c r="D571">
        <f t="shared" si="34"/>
        <v>0</v>
      </c>
      <c r="E571" s="1">
        <v>42926</v>
      </c>
      <c r="F571" s="2">
        <v>0.49488425925925927</v>
      </c>
      <c r="G571" s="2">
        <v>0.50590277777777781</v>
      </c>
      <c r="H571" s="2">
        <f t="shared" si="35"/>
        <v>1.1018518518518539E-2</v>
      </c>
      <c r="K571" s="1"/>
    </row>
    <row r="572" spans="1:11" x14ac:dyDescent="0.25">
      <c r="A572" s="6">
        <v>8322522</v>
      </c>
      <c r="B572" t="str">
        <f t="shared" si="32"/>
        <v>stacjonarny</v>
      </c>
      <c r="C572">
        <f t="shared" si="33"/>
        <v>0</v>
      </c>
      <c r="D572">
        <f t="shared" si="34"/>
        <v>0</v>
      </c>
      <c r="E572" s="1">
        <v>42926</v>
      </c>
      <c r="F572" s="2">
        <v>0.49674768518518519</v>
      </c>
      <c r="G572" s="2">
        <v>0.50796296296296295</v>
      </c>
      <c r="H572" s="2">
        <f t="shared" si="35"/>
        <v>1.1215277777777755E-2</v>
      </c>
      <c r="K572" s="1"/>
    </row>
    <row r="573" spans="1:11" x14ac:dyDescent="0.25">
      <c r="A573" s="6">
        <v>4264808</v>
      </c>
      <c r="B573" t="str">
        <f t="shared" si="32"/>
        <v>stacjonarny</v>
      </c>
      <c r="C573">
        <f t="shared" si="33"/>
        <v>0</v>
      </c>
      <c r="D573">
        <f t="shared" si="34"/>
        <v>0</v>
      </c>
      <c r="E573" s="1">
        <v>42926</v>
      </c>
      <c r="F573" s="2">
        <v>0.50089120370370366</v>
      </c>
      <c r="G573" s="2">
        <v>0.50109953703703702</v>
      </c>
      <c r="H573" s="2">
        <f t="shared" si="35"/>
        <v>2.083333333333659E-4</v>
      </c>
      <c r="K573" s="1"/>
    </row>
    <row r="574" spans="1:11" x14ac:dyDescent="0.25">
      <c r="A574" s="6">
        <v>3095218</v>
      </c>
      <c r="B574" t="str">
        <f t="shared" si="32"/>
        <v>stacjonarny</v>
      </c>
      <c r="C574">
        <f t="shared" si="33"/>
        <v>0</v>
      </c>
      <c r="D574">
        <f t="shared" si="34"/>
        <v>0</v>
      </c>
      <c r="E574" s="1">
        <v>42926</v>
      </c>
      <c r="F574" s="2">
        <v>0.50635416666666666</v>
      </c>
      <c r="G574" s="2">
        <v>0.51716435185185183</v>
      </c>
      <c r="H574" s="2">
        <f t="shared" si="35"/>
        <v>1.0810185185185173E-2</v>
      </c>
      <c r="K574" s="1"/>
    </row>
    <row r="575" spans="1:11" x14ac:dyDescent="0.25">
      <c r="A575" s="6">
        <v>5820632164</v>
      </c>
      <c r="B575" t="str">
        <f t="shared" si="32"/>
        <v>zagraniczny</v>
      </c>
      <c r="C575">
        <f t="shared" si="33"/>
        <v>0</v>
      </c>
      <c r="D575">
        <f t="shared" si="34"/>
        <v>0</v>
      </c>
      <c r="E575" s="1">
        <v>42926</v>
      </c>
      <c r="F575" s="2">
        <v>0.51010416666666669</v>
      </c>
      <c r="G575" s="2">
        <v>0.51879629629629631</v>
      </c>
      <c r="H575" s="2">
        <f t="shared" si="35"/>
        <v>8.6921296296296191E-3</v>
      </c>
      <c r="K575" s="1"/>
    </row>
    <row r="576" spans="1:11" x14ac:dyDescent="0.25">
      <c r="A576" s="6">
        <v>89814525</v>
      </c>
      <c r="B576" t="str">
        <f t="shared" si="32"/>
        <v>komorkowy</v>
      </c>
      <c r="C576">
        <f t="shared" si="33"/>
        <v>0</v>
      </c>
      <c r="D576">
        <f t="shared" si="34"/>
        <v>0</v>
      </c>
      <c r="E576" s="1">
        <v>42926</v>
      </c>
      <c r="F576" s="2">
        <v>0.51090277777777782</v>
      </c>
      <c r="G576" s="2">
        <v>0.51175925925925925</v>
      </c>
      <c r="H576" s="2">
        <f t="shared" si="35"/>
        <v>8.5648148148143033E-4</v>
      </c>
      <c r="K576" s="1"/>
    </row>
    <row r="577" spans="1:11" x14ac:dyDescent="0.25">
      <c r="A577" s="6">
        <v>1223816</v>
      </c>
      <c r="B577" t="str">
        <f t="shared" si="32"/>
        <v>stacjonarny</v>
      </c>
      <c r="C577">
        <f t="shared" si="33"/>
        <v>1</v>
      </c>
      <c r="D577">
        <f t="shared" si="34"/>
        <v>1</v>
      </c>
      <c r="E577" s="1">
        <v>42926</v>
      </c>
      <c r="F577" s="2">
        <v>0.51116898148148149</v>
      </c>
      <c r="G577" s="2">
        <v>0.51718750000000002</v>
      </c>
      <c r="H577" s="2">
        <f t="shared" si="35"/>
        <v>6.0185185185185341E-3</v>
      </c>
      <c r="K577" s="1"/>
    </row>
    <row r="578" spans="1:11" x14ac:dyDescent="0.25">
      <c r="A578" s="6">
        <v>18503160</v>
      </c>
      <c r="B578" t="str">
        <f t="shared" ref="B578:B641" si="36">IF(LEN(A578)=7, "stacjonarny", IF(LEN(A578)=8, "komorkowy", "zagraniczny"))</f>
        <v>komorkowy</v>
      </c>
      <c r="C578">
        <f t="shared" si="33"/>
        <v>0</v>
      </c>
      <c r="D578">
        <f t="shared" si="34"/>
        <v>0</v>
      </c>
      <c r="E578" s="1">
        <v>42926</v>
      </c>
      <c r="F578" s="2">
        <v>0.51157407407407407</v>
      </c>
      <c r="G578" s="2">
        <v>0.51663194444444449</v>
      </c>
      <c r="H578" s="2">
        <f t="shared" si="35"/>
        <v>5.0578703703704209E-3</v>
      </c>
      <c r="K578" s="1"/>
    </row>
    <row r="579" spans="1:11" x14ac:dyDescent="0.25">
      <c r="A579" s="6">
        <v>21677804</v>
      </c>
      <c r="B579" t="str">
        <f t="shared" si="36"/>
        <v>komorkowy</v>
      </c>
      <c r="C579">
        <f t="shared" ref="C579:C642" si="37">IF(LEFT(A579,2)="12",1,0)</f>
        <v>0</v>
      </c>
      <c r="D579">
        <f t="shared" ref="D579:D642" si="38">IF(AND(C579=1,B579="stacjonarny"),1,0)</f>
        <v>0</v>
      </c>
      <c r="E579" s="1">
        <v>42926</v>
      </c>
      <c r="F579" s="2">
        <v>0.51328703703703704</v>
      </c>
      <c r="G579" s="2">
        <v>0.51821759259259259</v>
      </c>
      <c r="H579" s="2">
        <f t="shared" ref="H579:H642" si="39">G579-F579</f>
        <v>4.9305555555555491E-3</v>
      </c>
      <c r="K579" s="1"/>
    </row>
    <row r="580" spans="1:11" x14ac:dyDescent="0.25">
      <c r="A580" s="6">
        <v>5087066</v>
      </c>
      <c r="B580" t="str">
        <f t="shared" si="36"/>
        <v>stacjonarny</v>
      </c>
      <c r="C580">
        <f t="shared" si="37"/>
        <v>0</v>
      </c>
      <c r="D580">
        <f t="shared" si="38"/>
        <v>0</v>
      </c>
      <c r="E580" s="1">
        <v>42926</v>
      </c>
      <c r="F580" s="2">
        <v>0.51603009259259258</v>
      </c>
      <c r="G580" s="2">
        <v>0.5269907407407407</v>
      </c>
      <c r="H580" s="2">
        <f t="shared" si="39"/>
        <v>1.0960648148148122E-2</v>
      </c>
      <c r="K580" s="1"/>
    </row>
    <row r="581" spans="1:11" x14ac:dyDescent="0.25">
      <c r="A581" s="6">
        <v>6905863</v>
      </c>
      <c r="B581" t="str">
        <f t="shared" si="36"/>
        <v>stacjonarny</v>
      </c>
      <c r="C581">
        <f t="shared" si="37"/>
        <v>0</v>
      </c>
      <c r="D581">
        <f t="shared" si="38"/>
        <v>0</v>
      </c>
      <c r="E581" s="1">
        <v>42926</v>
      </c>
      <c r="F581" s="2">
        <v>0.52123842592592595</v>
      </c>
      <c r="G581" s="2">
        <v>0.53008101851851852</v>
      </c>
      <c r="H581" s="2">
        <f t="shared" si="39"/>
        <v>8.8425925925925686E-3</v>
      </c>
      <c r="K581" s="1"/>
    </row>
    <row r="582" spans="1:11" x14ac:dyDescent="0.25">
      <c r="A582" s="6">
        <v>4144248</v>
      </c>
      <c r="B582" t="str">
        <f t="shared" si="36"/>
        <v>stacjonarny</v>
      </c>
      <c r="C582">
        <f t="shared" si="37"/>
        <v>0</v>
      </c>
      <c r="D582">
        <f t="shared" si="38"/>
        <v>0</v>
      </c>
      <c r="E582" s="1">
        <v>42926</v>
      </c>
      <c r="F582" s="2">
        <v>0.52134259259259264</v>
      </c>
      <c r="G582" s="2">
        <v>0.53226851851851853</v>
      </c>
      <c r="H582" s="2">
        <f t="shared" si="39"/>
        <v>1.0925925925925895E-2</v>
      </c>
      <c r="K582" s="1"/>
    </row>
    <row r="583" spans="1:11" x14ac:dyDescent="0.25">
      <c r="A583" s="6">
        <v>16392077</v>
      </c>
      <c r="B583" t="str">
        <f t="shared" si="36"/>
        <v>komorkowy</v>
      </c>
      <c r="C583">
        <f t="shared" si="37"/>
        <v>0</v>
      </c>
      <c r="D583">
        <f t="shared" si="38"/>
        <v>0</v>
      </c>
      <c r="E583" s="1">
        <v>42926</v>
      </c>
      <c r="F583" s="2">
        <v>0.52254629629629634</v>
      </c>
      <c r="G583" s="2">
        <v>0.52263888888888888</v>
      </c>
      <c r="H583" s="2">
        <f t="shared" si="39"/>
        <v>9.2592592592533052E-5</v>
      </c>
      <c r="K583" s="1"/>
    </row>
    <row r="584" spans="1:11" x14ac:dyDescent="0.25">
      <c r="A584" s="6">
        <v>8865092</v>
      </c>
      <c r="B584" t="str">
        <f t="shared" si="36"/>
        <v>stacjonarny</v>
      </c>
      <c r="C584">
        <f t="shared" si="37"/>
        <v>0</v>
      </c>
      <c r="D584">
        <f t="shared" si="38"/>
        <v>0</v>
      </c>
      <c r="E584" s="1">
        <v>42926</v>
      </c>
      <c r="F584" s="2">
        <v>0.52392361111111108</v>
      </c>
      <c r="G584" s="2">
        <v>0.53378472222222217</v>
      </c>
      <c r="H584" s="2">
        <f t="shared" si="39"/>
        <v>9.8611111111110983E-3</v>
      </c>
      <c r="K584" s="1"/>
    </row>
    <row r="585" spans="1:11" x14ac:dyDescent="0.25">
      <c r="A585" s="6">
        <v>92597723</v>
      </c>
      <c r="B585" t="str">
        <f t="shared" si="36"/>
        <v>komorkowy</v>
      </c>
      <c r="C585">
        <f t="shared" si="37"/>
        <v>0</v>
      </c>
      <c r="D585">
        <f t="shared" si="38"/>
        <v>0</v>
      </c>
      <c r="E585" s="1">
        <v>42926</v>
      </c>
      <c r="F585" s="2">
        <v>0.52837962962962959</v>
      </c>
      <c r="G585" s="2">
        <v>0.53084490740740742</v>
      </c>
      <c r="H585" s="2">
        <f t="shared" si="39"/>
        <v>2.4652777777778301E-3</v>
      </c>
      <c r="K585" s="1"/>
    </row>
    <row r="586" spans="1:11" x14ac:dyDescent="0.25">
      <c r="A586" s="6">
        <v>49840829</v>
      </c>
      <c r="B586" t="str">
        <f t="shared" si="36"/>
        <v>komorkowy</v>
      </c>
      <c r="C586">
        <f t="shared" si="37"/>
        <v>0</v>
      </c>
      <c r="D586">
        <f t="shared" si="38"/>
        <v>0</v>
      </c>
      <c r="E586" s="1">
        <v>42926</v>
      </c>
      <c r="F586" s="2">
        <v>0.53204861111111112</v>
      </c>
      <c r="G586" s="2">
        <v>0.53737268518518522</v>
      </c>
      <c r="H586" s="2">
        <f t="shared" si="39"/>
        <v>5.3240740740740922E-3</v>
      </c>
      <c r="K586" s="1"/>
    </row>
    <row r="587" spans="1:11" x14ac:dyDescent="0.25">
      <c r="A587" s="6">
        <v>20354301</v>
      </c>
      <c r="B587" t="str">
        <f t="shared" si="36"/>
        <v>komorkowy</v>
      </c>
      <c r="C587">
        <f t="shared" si="37"/>
        <v>0</v>
      </c>
      <c r="D587">
        <f t="shared" si="38"/>
        <v>0</v>
      </c>
      <c r="E587" s="1">
        <v>42926</v>
      </c>
      <c r="F587" s="2">
        <v>0.53291666666666671</v>
      </c>
      <c r="G587" s="2">
        <v>0.53758101851851847</v>
      </c>
      <c r="H587" s="2">
        <f t="shared" si="39"/>
        <v>4.6643518518517668E-3</v>
      </c>
      <c r="K587" s="1"/>
    </row>
    <row r="588" spans="1:11" x14ac:dyDescent="0.25">
      <c r="A588" s="6">
        <v>2731955</v>
      </c>
      <c r="B588" t="str">
        <f t="shared" si="36"/>
        <v>stacjonarny</v>
      </c>
      <c r="C588">
        <f t="shared" si="37"/>
        <v>0</v>
      </c>
      <c r="D588">
        <f t="shared" si="38"/>
        <v>0</v>
      </c>
      <c r="E588" s="1">
        <v>42926</v>
      </c>
      <c r="F588" s="2">
        <v>0.53843750000000001</v>
      </c>
      <c r="G588" s="2">
        <v>0.54283564814814811</v>
      </c>
      <c r="H588" s="2">
        <f t="shared" si="39"/>
        <v>4.3981481481480955E-3</v>
      </c>
      <c r="K588" s="1"/>
    </row>
    <row r="589" spans="1:11" x14ac:dyDescent="0.25">
      <c r="A589" s="6">
        <v>2304726</v>
      </c>
      <c r="B589" t="str">
        <f t="shared" si="36"/>
        <v>stacjonarny</v>
      </c>
      <c r="C589">
        <f t="shared" si="37"/>
        <v>0</v>
      </c>
      <c r="D589">
        <f t="shared" si="38"/>
        <v>0</v>
      </c>
      <c r="E589" s="1">
        <v>42926</v>
      </c>
      <c r="F589" s="2">
        <v>0.54197916666666668</v>
      </c>
      <c r="G589" s="2">
        <v>0.54866898148148147</v>
      </c>
      <c r="H589" s="2">
        <f t="shared" si="39"/>
        <v>6.6898148148147873E-3</v>
      </c>
      <c r="K589" s="1"/>
    </row>
    <row r="590" spans="1:11" x14ac:dyDescent="0.25">
      <c r="A590" s="6">
        <v>4653709</v>
      </c>
      <c r="B590" t="str">
        <f t="shared" si="36"/>
        <v>stacjonarny</v>
      </c>
      <c r="C590">
        <f t="shared" si="37"/>
        <v>0</v>
      </c>
      <c r="D590">
        <f t="shared" si="38"/>
        <v>0</v>
      </c>
      <c r="E590" s="1">
        <v>42926</v>
      </c>
      <c r="F590" s="2">
        <v>0.54292824074074075</v>
      </c>
      <c r="G590" s="2">
        <v>0.5444444444444444</v>
      </c>
      <c r="H590" s="2">
        <f t="shared" si="39"/>
        <v>1.5162037037036447E-3</v>
      </c>
      <c r="K590" s="1"/>
    </row>
    <row r="591" spans="1:11" x14ac:dyDescent="0.25">
      <c r="A591" s="6">
        <v>4848864</v>
      </c>
      <c r="B591" t="str">
        <f t="shared" si="36"/>
        <v>stacjonarny</v>
      </c>
      <c r="C591">
        <f t="shared" si="37"/>
        <v>0</v>
      </c>
      <c r="D591">
        <f t="shared" si="38"/>
        <v>0</v>
      </c>
      <c r="E591" s="1">
        <v>42926</v>
      </c>
      <c r="F591" s="2">
        <v>0.54432870370370368</v>
      </c>
      <c r="G591" s="2">
        <v>0.55090277777777774</v>
      </c>
      <c r="H591" s="2">
        <f t="shared" si="39"/>
        <v>6.5740740740740655E-3</v>
      </c>
      <c r="K591" s="1"/>
    </row>
    <row r="592" spans="1:11" x14ac:dyDescent="0.25">
      <c r="A592" s="6">
        <v>6709939</v>
      </c>
      <c r="B592" t="str">
        <f t="shared" si="36"/>
        <v>stacjonarny</v>
      </c>
      <c r="C592">
        <f t="shared" si="37"/>
        <v>0</v>
      </c>
      <c r="D592">
        <f t="shared" si="38"/>
        <v>0</v>
      </c>
      <c r="E592" s="1">
        <v>42926</v>
      </c>
      <c r="F592" s="2">
        <v>0.54692129629629627</v>
      </c>
      <c r="G592" s="2">
        <v>0.55000000000000004</v>
      </c>
      <c r="H592" s="2">
        <f t="shared" si="39"/>
        <v>3.0787037037037779E-3</v>
      </c>
      <c r="K592" s="1"/>
    </row>
    <row r="593" spans="1:11" x14ac:dyDescent="0.25">
      <c r="A593" s="6">
        <v>8870498</v>
      </c>
      <c r="B593" t="str">
        <f t="shared" si="36"/>
        <v>stacjonarny</v>
      </c>
      <c r="C593">
        <f t="shared" si="37"/>
        <v>0</v>
      </c>
      <c r="D593">
        <f t="shared" si="38"/>
        <v>0</v>
      </c>
      <c r="E593" s="1">
        <v>42926</v>
      </c>
      <c r="F593" s="2">
        <v>0.55046296296296293</v>
      </c>
      <c r="G593" s="2">
        <v>0.55986111111111114</v>
      </c>
      <c r="H593" s="2">
        <f t="shared" si="39"/>
        <v>9.398148148148211E-3</v>
      </c>
      <c r="K593" s="1"/>
    </row>
    <row r="594" spans="1:11" x14ac:dyDescent="0.25">
      <c r="A594" s="6">
        <v>2947889</v>
      </c>
      <c r="B594" t="str">
        <f t="shared" si="36"/>
        <v>stacjonarny</v>
      </c>
      <c r="C594">
        <f t="shared" si="37"/>
        <v>0</v>
      </c>
      <c r="D594">
        <f t="shared" si="38"/>
        <v>0</v>
      </c>
      <c r="E594" s="1">
        <v>42926</v>
      </c>
      <c r="F594" s="2">
        <v>0.55246527777777776</v>
      </c>
      <c r="G594" s="2">
        <v>0.56334490740740739</v>
      </c>
      <c r="H594" s="2">
        <f t="shared" si="39"/>
        <v>1.0879629629629628E-2</v>
      </c>
      <c r="K594" s="1"/>
    </row>
    <row r="595" spans="1:11" x14ac:dyDescent="0.25">
      <c r="A595" s="6">
        <v>8270097</v>
      </c>
      <c r="B595" t="str">
        <f t="shared" si="36"/>
        <v>stacjonarny</v>
      </c>
      <c r="C595">
        <f t="shared" si="37"/>
        <v>0</v>
      </c>
      <c r="D595">
        <f t="shared" si="38"/>
        <v>0</v>
      </c>
      <c r="E595" s="1">
        <v>42926</v>
      </c>
      <c r="F595" s="2">
        <v>0.55650462962962965</v>
      </c>
      <c r="G595" s="2">
        <v>0.55850694444444449</v>
      </c>
      <c r="H595" s="2">
        <f t="shared" si="39"/>
        <v>2.0023148148148318E-3</v>
      </c>
      <c r="K595" s="1"/>
    </row>
    <row r="596" spans="1:11" x14ac:dyDescent="0.25">
      <c r="A596" s="6">
        <v>8183468</v>
      </c>
      <c r="B596" t="str">
        <f t="shared" si="36"/>
        <v>stacjonarny</v>
      </c>
      <c r="C596">
        <f t="shared" si="37"/>
        <v>0</v>
      </c>
      <c r="D596">
        <f t="shared" si="38"/>
        <v>0</v>
      </c>
      <c r="E596" s="1">
        <v>42926</v>
      </c>
      <c r="F596" s="2">
        <v>0.55832175925925931</v>
      </c>
      <c r="G596" s="2">
        <v>0.56265046296296295</v>
      </c>
      <c r="H596" s="2">
        <f t="shared" si="39"/>
        <v>4.3287037037036402E-3</v>
      </c>
      <c r="K596" s="1"/>
    </row>
    <row r="597" spans="1:11" x14ac:dyDescent="0.25">
      <c r="A597" s="6">
        <v>3263806</v>
      </c>
      <c r="B597" t="str">
        <f t="shared" si="36"/>
        <v>stacjonarny</v>
      </c>
      <c r="C597">
        <f t="shared" si="37"/>
        <v>0</v>
      </c>
      <c r="D597">
        <f t="shared" si="38"/>
        <v>0</v>
      </c>
      <c r="E597" s="1">
        <v>42926</v>
      </c>
      <c r="F597" s="2">
        <v>0.55864583333333329</v>
      </c>
      <c r="G597" s="2">
        <v>0.56383101851851847</v>
      </c>
      <c r="H597" s="2">
        <f t="shared" si="39"/>
        <v>5.1851851851851816E-3</v>
      </c>
      <c r="K597" s="1"/>
    </row>
    <row r="598" spans="1:11" x14ac:dyDescent="0.25">
      <c r="A598" s="6">
        <v>7792980</v>
      </c>
      <c r="B598" t="str">
        <f t="shared" si="36"/>
        <v>stacjonarny</v>
      </c>
      <c r="C598">
        <f t="shared" si="37"/>
        <v>0</v>
      </c>
      <c r="D598">
        <f t="shared" si="38"/>
        <v>0</v>
      </c>
      <c r="E598" s="1">
        <v>42926</v>
      </c>
      <c r="F598" s="2">
        <v>0.56234953703703705</v>
      </c>
      <c r="G598" s="2">
        <v>0.57378472222222221</v>
      </c>
      <c r="H598" s="2">
        <f t="shared" si="39"/>
        <v>1.1435185185185159E-2</v>
      </c>
      <c r="K598" s="1"/>
    </row>
    <row r="599" spans="1:11" x14ac:dyDescent="0.25">
      <c r="A599" s="6">
        <v>88929925</v>
      </c>
      <c r="B599" t="str">
        <f t="shared" si="36"/>
        <v>komorkowy</v>
      </c>
      <c r="C599">
        <f t="shared" si="37"/>
        <v>0</v>
      </c>
      <c r="D599">
        <f t="shared" si="38"/>
        <v>0</v>
      </c>
      <c r="E599" s="1">
        <v>42926</v>
      </c>
      <c r="F599" s="2">
        <v>0.56688657407407406</v>
      </c>
      <c r="G599" s="2">
        <v>0.57342592592592589</v>
      </c>
      <c r="H599" s="2">
        <f t="shared" si="39"/>
        <v>6.5393518518518379E-3</v>
      </c>
      <c r="K599" s="1"/>
    </row>
    <row r="600" spans="1:11" x14ac:dyDescent="0.25">
      <c r="A600" s="6">
        <v>2478461</v>
      </c>
      <c r="B600" t="str">
        <f t="shared" si="36"/>
        <v>stacjonarny</v>
      </c>
      <c r="C600">
        <f t="shared" si="37"/>
        <v>0</v>
      </c>
      <c r="D600">
        <f t="shared" si="38"/>
        <v>0</v>
      </c>
      <c r="E600" s="1">
        <v>42926</v>
      </c>
      <c r="F600" s="2">
        <v>0.56980324074074074</v>
      </c>
      <c r="G600" s="2">
        <v>0.575775462962963</v>
      </c>
      <c r="H600" s="2">
        <f t="shared" si="39"/>
        <v>5.9722222222222676E-3</v>
      </c>
      <c r="K600" s="1"/>
    </row>
    <row r="601" spans="1:11" x14ac:dyDescent="0.25">
      <c r="A601" s="6">
        <v>2838216</v>
      </c>
      <c r="B601" t="str">
        <f t="shared" si="36"/>
        <v>stacjonarny</v>
      </c>
      <c r="C601">
        <f t="shared" si="37"/>
        <v>0</v>
      </c>
      <c r="D601">
        <f t="shared" si="38"/>
        <v>0</v>
      </c>
      <c r="E601" s="1">
        <v>42926</v>
      </c>
      <c r="F601" s="2">
        <v>0.5755555555555556</v>
      </c>
      <c r="G601" s="2">
        <v>0.57737268518518514</v>
      </c>
      <c r="H601" s="2">
        <f t="shared" si="39"/>
        <v>1.8171296296295436E-3</v>
      </c>
      <c r="K601" s="1"/>
    </row>
    <row r="602" spans="1:11" x14ac:dyDescent="0.25">
      <c r="A602" s="6">
        <v>4853153</v>
      </c>
      <c r="B602" t="str">
        <f t="shared" si="36"/>
        <v>stacjonarny</v>
      </c>
      <c r="C602">
        <f t="shared" si="37"/>
        <v>0</v>
      </c>
      <c r="D602">
        <f t="shared" si="38"/>
        <v>0</v>
      </c>
      <c r="E602" s="1">
        <v>42926</v>
      </c>
      <c r="F602" s="2">
        <v>0.5803935185185185</v>
      </c>
      <c r="G602" s="2">
        <v>0.58190972222222226</v>
      </c>
      <c r="H602" s="2">
        <f t="shared" si="39"/>
        <v>1.5162037037037557E-3</v>
      </c>
      <c r="K602" s="1"/>
    </row>
    <row r="603" spans="1:11" x14ac:dyDescent="0.25">
      <c r="A603" s="6">
        <v>2985743</v>
      </c>
      <c r="B603" t="str">
        <f t="shared" si="36"/>
        <v>stacjonarny</v>
      </c>
      <c r="C603">
        <f t="shared" si="37"/>
        <v>0</v>
      </c>
      <c r="D603">
        <f t="shared" si="38"/>
        <v>0</v>
      </c>
      <c r="E603" s="1">
        <v>42926</v>
      </c>
      <c r="F603" s="2">
        <v>0.58189814814814811</v>
      </c>
      <c r="G603" s="2">
        <v>0.59070601851851856</v>
      </c>
      <c r="H603" s="2">
        <f t="shared" si="39"/>
        <v>8.807870370370452E-3</v>
      </c>
      <c r="K603" s="1"/>
    </row>
    <row r="604" spans="1:11" x14ac:dyDescent="0.25">
      <c r="A604" s="6">
        <v>3434934</v>
      </c>
      <c r="B604" t="str">
        <f t="shared" si="36"/>
        <v>stacjonarny</v>
      </c>
      <c r="C604">
        <f t="shared" si="37"/>
        <v>0</v>
      </c>
      <c r="D604">
        <f t="shared" si="38"/>
        <v>0</v>
      </c>
      <c r="E604" s="1">
        <v>42926</v>
      </c>
      <c r="F604" s="2">
        <v>0.58254629629629628</v>
      </c>
      <c r="G604" s="2">
        <v>0.58601851851851849</v>
      </c>
      <c r="H604" s="2">
        <f t="shared" si="39"/>
        <v>3.4722222222222099E-3</v>
      </c>
      <c r="K604" s="1"/>
    </row>
    <row r="605" spans="1:11" x14ac:dyDescent="0.25">
      <c r="A605" s="6">
        <v>97596112</v>
      </c>
      <c r="B605" t="str">
        <f t="shared" si="36"/>
        <v>komorkowy</v>
      </c>
      <c r="C605">
        <f t="shared" si="37"/>
        <v>0</v>
      </c>
      <c r="D605">
        <f t="shared" si="38"/>
        <v>0</v>
      </c>
      <c r="E605" s="1">
        <v>42926</v>
      </c>
      <c r="F605" s="2">
        <v>0.58351851851851855</v>
      </c>
      <c r="G605" s="2">
        <v>0.59368055555555554</v>
      </c>
      <c r="H605" s="2">
        <f t="shared" si="39"/>
        <v>1.0162037037036997E-2</v>
      </c>
      <c r="K605" s="1"/>
    </row>
    <row r="606" spans="1:11" x14ac:dyDescent="0.25">
      <c r="A606" s="6">
        <v>1247125</v>
      </c>
      <c r="B606" t="str">
        <f t="shared" si="36"/>
        <v>stacjonarny</v>
      </c>
      <c r="C606">
        <f t="shared" si="37"/>
        <v>1</v>
      </c>
      <c r="D606">
        <f t="shared" si="38"/>
        <v>1</v>
      </c>
      <c r="E606" s="1">
        <v>42926</v>
      </c>
      <c r="F606" s="2">
        <v>0.58575231481481482</v>
      </c>
      <c r="G606" s="2">
        <v>0.5935300925925926</v>
      </c>
      <c r="H606" s="2">
        <f t="shared" si="39"/>
        <v>7.7777777777777724E-3</v>
      </c>
      <c r="K606" s="1"/>
    </row>
    <row r="607" spans="1:11" x14ac:dyDescent="0.25">
      <c r="A607" s="6">
        <v>6982652</v>
      </c>
      <c r="B607" t="str">
        <f t="shared" si="36"/>
        <v>stacjonarny</v>
      </c>
      <c r="C607">
        <f t="shared" si="37"/>
        <v>0</v>
      </c>
      <c r="D607">
        <f t="shared" si="38"/>
        <v>0</v>
      </c>
      <c r="E607" s="1">
        <v>42926</v>
      </c>
      <c r="F607" s="2">
        <v>0.58677083333333335</v>
      </c>
      <c r="G607" s="2">
        <v>0.58759259259259256</v>
      </c>
      <c r="H607" s="2">
        <f t="shared" si="39"/>
        <v>8.2175925925920268E-4</v>
      </c>
      <c r="K607" s="1"/>
    </row>
    <row r="608" spans="1:11" x14ac:dyDescent="0.25">
      <c r="A608" s="6">
        <v>11209967</v>
      </c>
      <c r="B608" t="str">
        <f t="shared" si="36"/>
        <v>komorkowy</v>
      </c>
      <c r="C608">
        <f t="shared" si="37"/>
        <v>0</v>
      </c>
      <c r="D608">
        <f t="shared" si="38"/>
        <v>0</v>
      </c>
      <c r="E608" s="1">
        <v>42926</v>
      </c>
      <c r="F608" s="2">
        <v>0.58877314814814818</v>
      </c>
      <c r="G608" s="2">
        <v>0.59027777777777779</v>
      </c>
      <c r="H608" s="2">
        <f t="shared" si="39"/>
        <v>1.5046296296296058E-3</v>
      </c>
      <c r="K608" s="1"/>
    </row>
    <row r="609" spans="1:11" x14ac:dyDescent="0.25">
      <c r="A609" s="6">
        <v>6251788</v>
      </c>
      <c r="B609" t="str">
        <f t="shared" si="36"/>
        <v>stacjonarny</v>
      </c>
      <c r="C609">
        <f t="shared" si="37"/>
        <v>0</v>
      </c>
      <c r="D609">
        <f t="shared" si="38"/>
        <v>0</v>
      </c>
      <c r="E609" s="1">
        <v>42926</v>
      </c>
      <c r="F609" s="2">
        <v>0.58910879629629631</v>
      </c>
      <c r="G609" s="2">
        <v>0.59431712962962968</v>
      </c>
      <c r="H609" s="2">
        <f t="shared" si="39"/>
        <v>5.2083333333333703E-3</v>
      </c>
      <c r="K609" s="1"/>
    </row>
    <row r="610" spans="1:11" x14ac:dyDescent="0.25">
      <c r="A610" s="6">
        <v>8679036</v>
      </c>
      <c r="B610" t="str">
        <f t="shared" si="36"/>
        <v>stacjonarny</v>
      </c>
      <c r="C610">
        <f t="shared" si="37"/>
        <v>0</v>
      </c>
      <c r="D610">
        <f t="shared" si="38"/>
        <v>0</v>
      </c>
      <c r="E610" s="1">
        <v>42926</v>
      </c>
      <c r="F610" s="2">
        <v>0.58976851851851853</v>
      </c>
      <c r="G610" s="2">
        <v>0.60074074074074069</v>
      </c>
      <c r="H610" s="2">
        <f t="shared" si="39"/>
        <v>1.0972222222222161E-2</v>
      </c>
      <c r="K610" s="1"/>
    </row>
    <row r="611" spans="1:11" x14ac:dyDescent="0.25">
      <c r="A611" s="6">
        <v>1288637</v>
      </c>
      <c r="B611" t="str">
        <f t="shared" si="36"/>
        <v>stacjonarny</v>
      </c>
      <c r="C611">
        <f t="shared" si="37"/>
        <v>1</v>
      </c>
      <c r="D611">
        <f t="shared" si="38"/>
        <v>1</v>
      </c>
      <c r="E611" s="1">
        <v>42926</v>
      </c>
      <c r="F611" s="2">
        <v>0.59277777777777774</v>
      </c>
      <c r="G611" s="2">
        <v>0.59365740740740736</v>
      </c>
      <c r="H611" s="2">
        <f t="shared" si="39"/>
        <v>8.796296296296191E-4</v>
      </c>
      <c r="K611" s="1"/>
    </row>
    <row r="612" spans="1:11" x14ac:dyDescent="0.25">
      <c r="A612" s="6">
        <v>4825302</v>
      </c>
      <c r="B612" t="str">
        <f t="shared" si="36"/>
        <v>stacjonarny</v>
      </c>
      <c r="C612">
        <f t="shared" si="37"/>
        <v>0</v>
      </c>
      <c r="D612">
        <f t="shared" si="38"/>
        <v>0</v>
      </c>
      <c r="E612" s="1">
        <v>42926</v>
      </c>
      <c r="F612" s="2">
        <v>0.59670138888888891</v>
      </c>
      <c r="G612" s="2">
        <v>0.59701388888888884</v>
      </c>
      <c r="H612" s="2">
        <f t="shared" si="39"/>
        <v>3.1249999999993783E-4</v>
      </c>
      <c r="K612" s="1"/>
    </row>
    <row r="613" spans="1:11" x14ac:dyDescent="0.25">
      <c r="A613" s="6">
        <v>5349562</v>
      </c>
      <c r="B613" t="str">
        <f t="shared" si="36"/>
        <v>stacjonarny</v>
      </c>
      <c r="C613">
        <f t="shared" si="37"/>
        <v>0</v>
      </c>
      <c r="D613">
        <f t="shared" si="38"/>
        <v>0</v>
      </c>
      <c r="E613" s="1">
        <v>42926</v>
      </c>
      <c r="F613" s="2">
        <v>0.60041666666666671</v>
      </c>
      <c r="G613" s="2">
        <v>0.6095949074074074</v>
      </c>
      <c r="H613" s="2">
        <f t="shared" si="39"/>
        <v>9.1782407407406952E-3</v>
      </c>
      <c r="K613" s="1"/>
    </row>
    <row r="614" spans="1:11" x14ac:dyDescent="0.25">
      <c r="A614" s="6">
        <v>5893512</v>
      </c>
      <c r="B614" t="str">
        <f t="shared" si="36"/>
        <v>stacjonarny</v>
      </c>
      <c r="C614">
        <f t="shared" si="37"/>
        <v>0</v>
      </c>
      <c r="D614">
        <f t="shared" si="38"/>
        <v>0</v>
      </c>
      <c r="E614" s="1">
        <v>42926</v>
      </c>
      <c r="F614" s="2">
        <v>0.60517361111111112</v>
      </c>
      <c r="G614" s="2">
        <v>0.61063657407407412</v>
      </c>
      <c r="H614" s="2">
        <f t="shared" si="39"/>
        <v>5.4629629629630028E-3</v>
      </c>
      <c r="K614" s="1"/>
    </row>
    <row r="615" spans="1:11" x14ac:dyDescent="0.25">
      <c r="A615" s="6">
        <v>7138804596</v>
      </c>
      <c r="B615" t="str">
        <f t="shared" si="36"/>
        <v>zagraniczny</v>
      </c>
      <c r="C615">
        <f t="shared" si="37"/>
        <v>0</v>
      </c>
      <c r="D615">
        <f t="shared" si="38"/>
        <v>0</v>
      </c>
      <c r="E615" s="1">
        <v>42926</v>
      </c>
      <c r="F615" s="2">
        <v>0.60578703703703707</v>
      </c>
      <c r="G615" s="2">
        <v>0.61459490740740741</v>
      </c>
      <c r="H615" s="2">
        <f t="shared" si="39"/>
        <v>8.8078703703703409E-3</v>
      </c>
      <c r="K615" s="1"/>
    </row>
    <row r="616" spans="1:11" x14ac:dyDescent="0.25">
      <c r="A616" s="6">
        <v>6468376</v>
      </c>
      <c r="B616" t="str">
        <f t="shared" si="36"/>
        <v>stacjonarny</v>
      </c>
      <c r="C616">
        <f t="shared" si="37"/>
        <v>0</v>
      </c>
      <c r="D616">
        <f t="shared" si="38"/>
        <v>0</v>
      </c>
      <c r="E616" s="1">
        <v>42926</v>
      </c>
      <c r="F616" s="2">
        <v>0.61140046296296291</v>
      </c>
      <c r="G616" s="2">
        <v>0.61952546296296296</v>
      </c>
      <c r="H616" s="2">
        <f t="shared" si="39"/>
        <v>8.1250000000000488E-3</v>
      </c>
      <c r="K616" s="1"/>
    </row>
    <row r="617" spans="1:11" x14ac:dyDescent="0.25">
      <c r="A617" s="6">
        <v>5076649</v>
      </c>
      <c r="B617" t="str">
        <f t="shared" si="36"/>
        <v>stacjonarny</v>
      </c>
      <c r="C617">
        <f t="shared" si="37"/>
        <v>0</v>
      </c>
      <c r="D617">
        <f t="shared" si="38"/>
        <v>0</v>
      </c>
      <c r="E617" s="1">
        <v>42926</v>
      </c>
      <c r="F617" s="2">
        <v>0.61699074074074078</v>
      </c>
      <c r="G617" s="2">
        <v>0.62163194444444447</v>
      </c>
      <c r="H617" s="2">
        <f t="shared" si="39"/>
        <v>4.6412037037036891E-3</v>
      </c>
      <c r="K617" s="1"/>
    </row>
    <row r="618" spans="1:11" x14ac:dyDescent="0.25">
      <c r="A618" s="6">
        <v>3494192</v>
      </c>
      <c r="B618" t="str">
        <f t="shared" si="36"/>
        <v>stacjonarny</v>
      </c>
      <c r="C618">
        <f t="shared" si="37"/>
        <v>0</v>
      </c>
      <c r="D618">
        <f t="shared" si="38"/>
        <v>0</v>
      </c>
      <c r="E618" s="1">
        <v>42926</v>
      </c>
      <c r="F618" s="2">
        <v>0.62216435185185182</v>
      </c>
      <c r="G618" s="2">
        <v>0.62291666666666667</v>
      </c>
      <c r="H618" s="2">
        <f t="shared" si="39"/>
        <v>7.523148148148584E-4</v>
      </c>
      <c r="K618" s="1"/>
    </row>
    <row r="619" spans="1:11" x14ac:dyDescent="0.25">
      <c r="A619" s="6">
        <v>8150086</v>
      </c>
      <c r="B619" t="str">
        <f t="shared" si="36"/>
        <v>stacjonarny</v>
      </c>
      <c r="C619">
        <f t="shared" si="37"/>
        <v>0</v>
      </c>
      <c r="D619">
        <f t="shared" si="38"/>
        <v>0</v>
      </c>
      <c r="E619" s="1">
        <v>42926</v>
      </c>
      <c r="F619" s="2">
        <v>0.6272685185185185</v>
      </c>
      <c r="G619" s="2">
        <v>0.63475694444444442</v>
      </c>
      <c r="H619" s="2">
        <f t="shared" si="39"/>
        <v>7.4884259259259123E-3</v>
      </c>
      <c r="K619" s="1"/>
    </row>
    <row r="620" spans="1:11" x14ac:dyDescent="0.25">
      <c r="A620" s="6">
        <v>3934931</v>
      </c>
      <c r="B620" t="str">
        <f t="shared" si="36"/>
        <v>stacjonarny</v>
      </c>
      <c r="C620">
        <f t="shared" si="37"/>
        <v>0</v>
      </c>
      <c r="D620">
        <f t="shared" si="38"/>
        <v>0</v>
      </c>
      <c r="E620" s="1">
        <v>42927</v>
      </c>
      <c r="F620" s="2">
        <v>0.3349537037037037</v>
      </c>
      <c r="G620" s="2">
        <v>0.3379861111111111</v>
      </c>
      <c r="H620" s="2">
        <f t="shared" si="39"/>
        <v>3.0324074074074003E-3</v>
      </c>
      <c r="K620" s="1"/>
    </row>
    <row r="621" spans="1:11" x14ac:dyDescent="0.25">
      <c r="A621" s="6">
        <v>2111996</v>
      </c>
      <c r="B621" t="str">
        <f t="shared" si="36"/>
        <v>stacjonarny</v>
      </c>
      <c r="C621">
        <f t="shared" si="37"/>
        <v>0</v>
      </c>
      <c r="D621">
        <f t="shared" si="38"/>
        <v>0</v>
      </c>
      <c r="E621" s="1">
        <v>42927</v>
      </c>
      <c r="F621" s="2">
        <v>0.33706018518518521</v>
      </c>
      <c r="G621" s="2">
        <v>0.33875</v>
      </c>
      <c r="H621" s="2">
        <f t="shared" si="39"/>
        <v>1.6898148148147829E-3</v>
      </c>
      <c r="K621" s="1"/>
    </row>
    <row r="622" spans="1:11" x14ac:dyDescent="0.25">
      <c r="A622" s="6">
        <v>6484436</v>
      </c>
      <c r="B622" t="str">
        <f t="shared" si="36"/>
        <v>stacjonarny</v>
      </c>
      <c r="C622">
        <f t="shared" si="37"/>
        <v>0</v>
      </c>
      <c r="D622">
        <f t="shared" si="38"/>
        <v>0</v>
      </c>
      <c r="E622" s="1">
        <v>42927</v>
      </c>
      <c r="F622" s="2">
        <v>0.34006944444444442</v>
      </c>
      <c r="G622" s="2">
        <v>0.3427546296296296</v>
      </c>
      <c r="H622" s="2">
        <f t="shared" si="39"/>
        <v>2.6851851851851793E-3</v>
      </c>
      <c r="K622" s="1"/>
    </row>
    <row r="623" spans="1:11" x14ac:dyDescent="0.25">
      <c r="A623" s="6">
        <v>97646706</v>
      </c>
      <c r="B623" t="str">
        <f t="shared" si="36"/>
        <v>komorkowy</v>
      </c>
      <c r="C623">
        <f t="shared" si="37"/>
        <v>0</v>
      </c>
      <c r="D623">
        <f t="shared" si="38"/>
        <v>0</v>
      </c>
      <c r="E623" s="1">
        <v>42927</v>
      </c>
      <c r="F623" s="2">
        <v>0.34304398148148146</v>
      </c>
      <c r="G623" s="2">
        <v>0.34310185185185182</v>
      </c>
      <c r="H623" s="2">
        <f t="shared" si="39"/>
        <v>5.7870370370360913E-5</v>
      </c>
      <c r="K623" s="1"/>
    </row>
    <row r="624" spans="1:11" x14ac:dyDescent="0.25">
      <c r="A624" s="6">
        <v>9932676</v>
      </c>
      <c r="B624" t="str">
        <f t="shared" si="36"/>
        <v>stacjonarny</v>
      </c>
      <c r="C624">
        <f t="shared" si="37"/>
        <v>0</v>
      </c>
      <c r="D624">
        <f t="shared" si="38"/>
        <v>0</v>
      </c>
      <c r="E624" s="1">
        <v>42927</v>
      </c>
      <c r="F624" s="2">
        <v>0.34778935185185184</v>
      </c>
      <c r="G624" s="2">
        <v>0.35474537037037035</v>
      </c>
      <c r="H624" s="2">
        <f t="shared" si="39"/>
        <v>6.9560185185185142E-3</v>
      </c>
      <c r="K624" s="1"/>
    </row>
    <row r="625" spans="1:11" x14ac:dyDescent="0.25">
      <c r="A625" s="6">
        <v>6062869</v>
      </c>
      <c r="B625" t="str">
        <f t="shared" si="36"/>
        <v>stacjonarny</v>
      </c>
      <c r="C625">
        <f t="shared" si="37"/>
        <v>0</v>
      </c>
      <c r="D625">
        <f t="shared" si="38"/>
        <v>0</v>
      </c>
      <c r="E625" s="1">
        <v>42927</v>
      </c>
      <c r="F625" s="2">
        <v>0.3513425925925926</v>
      </c>
      <c r="G625" s="2">
        <v>0.35505787037037034</v>
      </c>
      <c r="H625" s="2">
        <f t="shared" si="39"/>
        <v>3.7152777777777479E-3</v>
      </c>
      <c r="K625" s="1"/>
    </row>
    <row r="626" spans="1:11" x14ac:dyDescent="0.25">
      <c r="A626" s="6">
        <v>2828759</v>
      </c>
      <c r="B626" t="str">
        <f t="shared" si="36"/>
        <v>stacjonarny</v>
      </c>
      <c r="C626">
        <f t="shared" si="37"/>
        <v>0</v>
      </c>
      <c r="D626">
        <f t="shared" si="38"/>
        <v>0</v>
      </c>
      <c r="E626" s="1">
        <v>42927</v>
      </c>
      <c r="F626" s="2">
        <v>0.35575231481481484</v>
      </c>
      <c r="G626" s="2">
        <v>0.35851851851851851</v>
      </c>
      <c r="H626" s="2">
        <f t="shared" si="39"/>
        <v>2.7662037037036735E-3</v>
      </c>
      <c r="K626" s="1"/>
    </row>
    <row r="627" spans="1:11" x14ac:dyDescent="0.25">
      <c r="A627" s="6">
        <v>7215284</v>
      </c>
      <c r="B627" t="str">
        <f t="shared" si="36"/>
        <v>stacjonarny</v>
      </c>
      <c r="C627">
        <f t="shared" si="37"/>
        <v>0</v>
      </c>
      <c r="D627">
        <f t="shared" si="38"/>
        <v>0</v>
      </c>
      <c r="E627" s="1">
        <v>42927</v>
      </c>
      <c r="F627" s="2">
        <v>0.3596759259259259</v>
      </c>
      <c r="G627" s="2">
        <v>0.36363425925925924</v>
      </c>
      <c r="H627" s="2">
        <f t="shared" si="39"/>
        <v>3.9583333333333415E-3</v>
      </c>
      <c r="K627" s="1"/>
    </row>
    <row r="628" spans="1:11" x14ac:dyDescent="0.25">
      <c r="A628" s="6">
        <v>1384299</v>
      </c>
      <c r="B628" t="str">
        <f t="shared" si="36"/>
        <v>stacjonarny</v>
      </c>
      <c r="C628">
        <f t="shared" si="37"/>
        <v>0</v>
      </c>
      <c r="D628">
        <f t="shared" si="38"/>
        <v>0</v>
      </c>
      <c r="E628" s="1">
        <v>42927</v>
      </c>
      <c r="F628" s="2">
        <v>0.36203703703703705</v>
      </c>
      <c r="G628" s="2">
        <v>0.37155092592592592</v>
      </c>
      <c r="H628" s="2">
        <f t="shared" si="39"/>
        <v>9.5138888888888773E-3</v>
      </c>
      <c r="K628" s="1"/>
    </row>
    <row r="629" spans="1:11" x14ac:dyDescent="0.25">
      <c r="A629" s="6">
        <v>2486941</v>
      </c>
      <c r="B629" t="str">
        <f t="shared" si="36"/>
        <v>stacjonarny</v>
      </c>
      <c r="C629">
        <f t="shared" si="37"/>
        <v>0</v>
      </c>
      <c r="D629">
        <f t="shared" si="38"/>
        <v>0</v>
      </c>
      <c r="E629" s="1">
        <v>42927</v>
      </c>
      <c r="F629" s="2">
        <v>0.36394675925925923</v>
      </c>
      <c r="G629" s="2">
        <v>0.36422453703703705</v>
      </c>
      <c r="H629" s="2">
        <f t="shared" si="39"/>
        <v>2.777777777778212E-4</v>
      </c>
      <c r="K629" s="1"/>
    </row>
    <row r="630" spans="1:11" x14ac:dyDescent="0.25">
      <c r="A630" s="6">
        <v>6561564994</v>
      </c>
      <c r="B630" t="str">
        <f t="shared" si="36"/>
        <v>zagraniczny</v>
      </c>
      <c r="C630">
        <f t="shared" si="37"/>
        <v>0</v>
      </c>
      <c r="D630">
        <f t="shared" si="38"/>
        <v>0</v>
      </c>
      <c r="E630" s="1">
        <v>42927</v>
      </c>
      <c r="F630" s="2">
        <v>0.36930555555555555</v>
      </c>
      <c r="G630" s="2">
        <v>0.37052083333333335</v>
      </c>
      <c r="H630" s="2">
        <f t="shared" si="39"/>
        <v>1.2152777777778012E-3</v>
      </c>
      <c r="K630" s="1"/>
    </row>
    <row r="631" spans="1:11" x14ac:dyDescent="0.25">
      <c r="A631" s="6">
        <v>1207918</v>
      </c>
      <c r="B631" t="str">
        <f t="shared" si="36"/>
        <v>stacjonarny</v>
      </c>
      <c r="C631">
        <f t="shared" si="37"/>
        <v>1</v>
      </c>
      <c r="D631">
        <f t="shared" si="38"/>
        <v>1</v>
      </c>
      <c r="E631" s="1">
        <v>42927</v>
      </c>
      <c r="F631" s="2">
        <v>0.37410879629629629</v>
      </c>
      <c r="G631" s="2">
        <v>0.3767361111111111</v>
      </c>
      <c r="H631" s="2">
        <f t="shared" si="39"/>
        <v>2.6273148148148184E-3</v>
      </c>
      <c r="K631" s="1"/>
    </row>
    <row r="632" spans="1:11" x14ac:dyDescent="0.25">
      <c r="A632" s="6">
        <v>66800387</v>
      </c>
      <c r="B632" t="str">
        <f t="shared" si="36"/>
        <v>komorkowy</v>
      </c>
      <c r="C632">
        <f t="shared" si="37"/>
        <v>0</v>
      </c>
      <c r="D632">
        <f t="shared" si="38"/>
        <v>0</v>
      </c>
      <c r="E632" s="1">
        <v>42927</v>
      </c>
      <c r="F632" s="2">
        <v>0.37684027777777779</v>
      </c>
      <c r="G632" s="2">
        <v>0.38072916666666667</v>
      </c>
      <c r="H632" s="2">
        <f t="shared" si="39"/>
        <v>3.8888888888888862E-3</v>
      </c>
      <c r="K632" s="1"/>
    </row>
    <row r="633" spans="1:11" x14ac:dyDescent="0.25">
      <c r="A633" s="6">
        <v>49093359</v>
      </c>
      <c r="B633" t="str">
        <f t="shared" si="36"/>
        <v>komorkowy</v>
      </c>
      <c r="C633">
        <f t="shared" si="37"/>
        <v>0</v>
      </c>
      <c r="D633">
        <f t="shared" si="38"/>
        <v>0</v>
      </c>
      <c r="E633" s="1">
        <v>42927</v>
      </c>
      <c r="F633" s="2">
        <v>0.37695601851851851</v>
      </c>
      <c r="G633" s="2">
        <v>0.38138888888888889</v>
      </c>
      <c r="H633" s="2">
        <f t="shared" si="39"/>
        <v>4.4328703703703787E-3</v>
      </c>
      <c r="K633" s="1"/>
    </row>
    <row r="634" spans="1:11" x14ac:dyDescent="0.25">
      <c r="A634" s="6">
        <v>2252239</v>
      </c>
      <c r="B634" t="str">
        <f t="shared" si="36"/>
        <v>stacjonarny</v>
      </c>
      <c r="C634">
        <f t="shared" si="37"/>
        <v>0</v>
      </c>
      <c r="D634">
        <f t="shared" si="38"/>
        <v>0</v>
      </c>
      <c r="E634" s="1">
        <v>42927</v>
      </c>
      <c r="F634" s="2">
        <v>0.38233796296296296</v>
      </c>
      <c r="G634" s="2">
        <v>0.39034722222222223</v>
      </c>
      <c r="H634" s="2">
        <f t="shared" si="39"/>
        <v>8.0092592592592715E-3</v>
      </c>
      <c r="K634" s="1"/>
    </row>
    <row r="635" spans="1:11" x14ac:dyDescent="0.25">
      <c r="A635" s="6">
        <v>4925279</v>
      </c>
      <c r="B635" t="str">
        <f t="shared" si="36"/>
        <v>stacjonarny</v>
      </c>
      <c r="C635">
        <f t="shared" si="37"/>
        <v>0</v>
      </c>
      <c r="D635">
        <f t="shared" si="38"/>
        <v>0</v>
      </c>
      <c r="E635" s="1">
        <v>42927</v>
      </c>
      <c r="F635" s="2">
        <v>0.3850925925925926</v>
      </c>
      <c r="G635" s="2">
        <v>0.38929398148148148</v>
      </c>
      <c r="H635" s="2">
        <f t="shared" si="39"/>
        <v>4.2013888888888795E-3</v>
      </c>
      <c r="K635" s="1"/>
    </row>
    <row r="636" spans="1:11" x14ac:dyDescent="0.25">
      <c r="A636" s="6">
        <v>25459710</v>
      </c>
      <c r="B636" t="str">
        <f t="shared" si="36"/>
        <v>komorkowy</v>
      </c>
      <c r="C636">
        <f t="shared" si="37"/>
        <v>0</v>
      </c>
      <c r="D636">
        <f t="shared" si="38"/>
        <v>0</v>
      </c>
      <c r="E636" s="1">
        <v>42927</v>
      </c>
      <c r="F636" s="2">
        <v>0.38797453703703705</v>
      </c>
      <c r="G636" s="2">
        <v>0.39458333333333334</v>
      </c>
      <c r="H636" s="2">
        <f t="shared" si="39"/>
        <v>6.6087962962962932E-3</v>
      </c>
      <c r="K636" s="1"/>
    </row>
    <row r="637" spans="1:11" x14ac:dyDescent="0.25">
      <c r="A637" s="6">
        <v>3943994</v>
      </c>
      <c r="B637" t="str">
        <f t="shared" si="36"/>
        <v>stacjonarny</v>
      </c>
      <c r="C637">
        <f t="shared" si="37"/>
        <v>0</v>
      </c>
      <c r="D637">
        <f t="shared" si="38"/>
        <v>0</v>
      </c>
      <c r="E637" s="1">
        <v>42927</v>
      </c>
      <c r="F637" s="2">
        <v>0.39199074074074075</v>
      </c>
      <c r="G637" s="2">
        <v>0.39934027777777775</v>
      </c>
      <c r="H637" s="2">
        <f t="shared" si="39"/>
        <v>7.3495370370370017E-3</v>
      </c>
      <c r="K637" s="1"/>
    </row>
    <row r="638" spans="1:11" x14ac:dyDescent="0.25">
      <c r="A638" s="6">
        <v>2109147679</v>
      </c>
      <c r="B638" t="str">
        <f t="shared" si="36"/>
        <v>zagraniczny</v>
      </c>
      <c r="C638">
        <f t="shared" si="37"/>
        <v>0</v>
      </c>
      <c r="D638">
        <f t="shared" si="38"/>
        <v>0</v>
      </c>
      <c r="E638" s="1">
        <v>42927</v>
      </c>
      <c r="F638" s="2">
        <v>0.39260416666666664</v>
      </c>
      <c r="G638" s="2">
        <v>0.40322916666666669</v>
      </c>
      <c r="H638" s="2">
        <f t="shared" si="39"/>
        <v>1.0625000000000051E-2</v>
      </c>
      <c r="K638" s="1"/>
    </row>
    <row r="639" spans="1:11" x14ac:dyDescent="0.25">
      <c r="A639" s="6">
        <v>9967649</v>
      </c>
      <c r="B639" t="str">
        <f t="shared" si="36"/>
        <v>stacjonarny</v>
      </c>
      <c r="C639">
        <f t="shared" si="37"/>
        <v>0</v>
      </c>
      <c r="D639">
        <f t="shared" si="38"/>
        <v>0</v>
      </c>
      <c r="E639" s="1">
        <v>42927</v>
      </c>
      <c r="F639" s="2">
        <v>0.39659722222222221</v>
      </c>
      <c r="G639" s="2">
        <v>0.4042824074074074</v>
      </c>
      <c r="H639" s="2">
        <f t="shared" si="39"/>
        <v>7.6851851851851838E-3</v>
      </c>
      <c r="K639" s="1"/>
    </row>
    <row r="640" spans="1:11" x14ac:dyDescent="0.25">
      <c r="A640" s="6">
        <v>2947660</v>
      </c>
      <c r="B640" t="str">
        <f t="shared" si="36"/>
        <v>stacjonarny</v>
      </c>
      <c r="C640">
        <f t="shared" si="37"/>
        <v>0</v>
      </c>
      <c r="D640">
        <f t="shared" si="38"/>
        <v>0</v>
      </c>
      <c r="E640" s="1">
        <v>42927</v>
      </c>
      <c r="F640" s="2">
        <v>0.39817129629629627</v>
      </c>
      <c r="G640" s="2">
        <v>0.4045023148148148</v>
      </c>
      <c r="H640" s="2">
        <f t="shared" si="39"/>
        <v>6.3310185185185275E-3</v>
      </c>
      <c r="K640" s="1"/>
    </row>
    <row r="641" spans="1:11" x14ac:dyDescent="0.25">
      <c r="A641" s="6">
        <v>6492842</v>
      </c>
      <c r="B641" t="str">
        <f t="shared" si="36"/>
        <v>stacjonarny</v>
      </c>
      <c r="C641">
        <f t="shared" si="37"/>
        <v>0</v>
      </c>
      <c r="D641">
        <f t="shared" si="38"/>
        <v>0</v>
      </c>
      <c r="E641" s="1">
        <v>42927</v>
      </c>
      <c r="F641" s="2">
        <v>0.40379629629629632</v>
      </c>
      <c r="G641" s="2">
        <v>0.4100462962962963</v>
      </c>
      <c r="H641" s="2">
        <f t="shared" si="39"/>
        <v>6.2499999999999778E-3</v>
      </c>
      <c r="K641" s="1"/>
    </row>
    <row r="642" spans="1:11" x14ac:dyDescent="0.25">
      <c r="A642" s="6">
        <v>70730125</v>
      </c>
      <c r="B642" t="str">
        <f t="shared" ref="B642:B705" si="40">IF(LEN(A642)=7, "stacjonarny", IF(LEN(A642)=8, "komorkowy", "zagraniczny"))</f>
        <v>komorkowy</v>
      </c>
      <c r="C642">
        <f t="shared" si="37"/>
        <v>0</v>
      </c>
      <c r="D642">
        <f t="shared" si="38"/>
        <v>0</v>
      </c>
      <c r="E642" s="1">
        <v>42927</v>
      </c>
      <c r="F642" s="2">
        <v>0.40777777777777779</v>
      </c>
      <c r="G642" s="2">
        <v>0.4181597222222222</v>
      </c>
      <c r="H642" s="2">
        <f t="shared" si="39"/>
        <v>1.0381944444444402E-2</v>
      </c>
      <c r="K642" s="1"/>
    </row>
    <row r="643" spans="1:11" x14ac:dyDescent="0.25">
      <c r="A643" s="6">
        <v>4056361</v>
      </c>
      <c r="B643" t="str">
        <f t="shared" si="40"/>
        <v>stacjonarny</v>
      </c>
      <c r="C643">
        <f t="shared" ref="C643:C706" si="41">IF(LEFT(A643,2)="12",1,0)</f>
        <v>0</v>
      </c>
      <c r="D643">
        <f t="shared" ref="D643:D706" si="42">IF(AND(C643=1,B643="stacjonarny"),1,0)</f>
        <v>0</v>
      </c>
      <c r="E643" s="1">
        <v>42927</v>
      </c>
      <c r="F643" s="2">
        <v>0.41239583333333335</v>
      </c>
      <c r="G643" s="2">
        <v>0.41844907407407406</v>
      </c>
      <c r="H643" s="2">
        <f t="shared" ref="H643:H706" si="43">G643-F643</f>
        <v>6.0532407407407063E-3</v>
      </c>
      <c r="K643" s="1"/>
    </row>
    <row r="644" spans="1:11" x14ac:dyDescent="0.25">
      <c r="A644" s="6">
        <v>12721215</v>
      </c>
      <c r="B644" t="str">
        <f t="shared" si="40"/>
        <v>komorkowy</v>
      </c>
      <c r="C644">
        <f t="shared" si="41"/>
        <v>1</v>
      </c>
      <c r="D644">
        <f t="shared" si="42"/>
        <v>0</v>
      </c>
      <c r="E644" s="1">
        <v>42927</v>
      </c>
      <c r="F644" s="2">
        <v>0.41431712962962963</v>
      </c>
      <c r="G644" s="2">
        <v>0.41986111111111113</v>
      </c>
      <c r="H644" s="2">
        <f t="shared" si="43"/>
        <v>5.5439814814814969E-3</v>
      </c>
      <c r="K644" s="1"/>
    </row>
    <row r="645" spans="1:11" x14ac:dyDescent="0.25">
      <c r="A645" s="6">
        <v>4566750</v>
      </c>
      <c r="B645" t="str">
        <f t="shared" si="40"/>
        <v>stacjonarny</v>
      </c>
      <c r="C645">
        <f t="shared" si="41"/>
        <v>0</v>
      </c>
      <c r="D645">
        <f t="shared" si="42"/>
        <v>0</v>
      </c>
      <c r="E645" s="1">
        <v>42927</v>
      </c>
      <c r="F645" s="2">
        <v>0.41666666666666669</v>
      </c>
      <c r="G645" s="2">
        <v>0.42190972222222223</v>
      </c>
      <c r="H645" s="2">
        <f t="shared" si="43"/>
        <v>5.2430555555555425E-3</v>
      </c>
      <c r="K645" s="1"/>
    </row>
    <row r="646" spans="1:11" x14ac:dyDescent="0.25">
      <c r="A646" s="6">
        <v>7279106</v>
      </c>
      <c r="B646" t="str">
        <f t="shared" si="40"/>
        <v>stacjonarny</v>
      </c>
      <c r="C646">
        <f t="shared" si="41"/>
        <v>0</v>
      </c>
      <c r="D646">
        <f t="shared" si="42"/>
        <v>0</v>
      </c>
      <c r="E646" s="1">
        <v>42927</v>
      </c>
      <c r="F646" s="2">
        <v>0.41935185185185186</v>
      </c>
      <c r="G646" s="2">
        <v>0.43002314814814813</v>
      </c>
      <c r="H646" s="2">
        <f t="shared" si="43"/>
        <v>1.0671296296296262E-2</v>
      </c>
      <c r="K646" s="1"/>
    </row>
    <row r="647" spans="1:11" x14ac:dyDescent="0.25">
      <c r="A647" s="6">
        <v>3824660</v>
      </c>
      <c r="B647" t="str">
        <f t="shared" si="40"/>
        <v>stacjonarny</v>
      </c>
      <c r="C647">
        <f t="shared" si="41"/>
        <v>0</v>
      </c>
      <c r="D647">
        <f t="shared" si="42"/>
        <v>0</v>
      </c>
      <c r="E647" s="1">
        <v>42927</v>
      </c>
      <c r="F647" s="2">
        <v>0.4238425925925926</v>
      </c>
      <c r="G647" s="2">
        <v>0.4321875</v>
      </c>
      <c r="H647" s="2">
        <f t="shared" si="43"/>
        <v>8.3449074074073981E-3</v>
      </c>
      <c r="K647" s="1"/>
    </row>
    <row r="648" spans="1:11" x14ac:dyDescent="0.25">
      <c r="A648" s="6">
        <v>5815339</v>
      </c>
      <c r="B648" t="str">
        <f t="shared" si="40"/>
        <v>stacjonarny</v>
      </c>
      <c r="C648">
        <f t="shared" si="41"/>
        <v>0</v>
      </c>
      <c r="D648">
        <f t="shared" si="42"/>
        <v>0</v>
      </c>
      <c r="E648" s="1">
        <v>42927</v>
      </c>
      <c r="F648" s="2">
        <v>0.42818287037037039</v>
      </c>
      <c r="G648" s="2">
        <v>0.43273148148148149</v>
      </c>
      <c r="H648" s="2">
        <f t="shared" si="43"/>
        <v>4.5486111111111005E-3</v>
      </c>
      <c r="K648" s="1"/>
    </row>
    <row r="649" spans="1:11" x14ac:dyDescent="0.25">
      <c r="A649" s="6">
        <v>77946476</v>
      </c>
      <c r="B649" t="str">
        <f t="shared" si="40"/>
        <v>komorkowy</v>
      </c>
      <c r="C649">
        <f t="shared" si="41"/>
        <v>0</v>
      </c>
      <c r="D649">
        <f t="shared" si="42"/>
        <v>0</v>
      </c>
      <c r="E649" s="1">
        <v>42927</v>
      </c>
      <c r="F649" s="2">
        <v>0.42995370370370373</v>
      </c>
      <c r="G649" s="2">
        <v>0.43024305555555553</v>
      </c>
      <c r="H649" s="2">
        <f t="shared" si="43"/>
        <v>2.8935185185180456E-4</v>
      </c>
      <c r="K649" s="1"/>
    </row>
    <row r="650" spans="1:11" x14ac:dyDescent="0.25">
      <c r="A650" s="6">
        <v>84589848</v>
      </c>
      <c r="B650" t="str">
        <f t="shared" si="40"/>
        <v>komorkowy</v>
      </c>
      <c r="C650">
        <f t="shared" si="41"/>
        <v>0</v>
      </c>
      <c r="D650">
        <f t="shared" si="42"/>
        <v>0</v>
      </c>
      <c r="E650" s="1">
        <v>42927</v>
      </c>
      <c r="F650" s="2">
        <v>0.43539351851851854</v>
      </c>
      <c r="G650" s="2">
        <v>0.43763888888888891</v>
      </c>
      <c r="H650" s="2">
        <f t="shared" si="43"/>
        <v>2.2453703703703698E-3</v>
      </c>
      <c r="K650" s="1"/>
    </row>
    <row r="651" spans="1:11" x14ac:dyDescent="0.25">
      <c r="A651" s="6">
        <v>4501823</v>
      </c>
      <c r="B651" t="str">
        <f t="shared" si="40"/>
        <v>stacjonarny</v>
      </c>
      <c r="C651">
        <f t="shared" si="41"/>
        <v>0</v>
      </c>
      <c r="D651">
        <f t="shared" si="42"/>
        <v>0</v>
      </c>
      <c r="E651" s="1">
        <v>42927</v>
      </c>
      <c r="F651" s="2">
        <v>0.44013888888888891</v>
      </c>
      <c r="G651" s="2">
        <v>0.44690972222222225</v>
      </c>
      <c r="H651" s="2">
        <f t="shared" si="43"/>
        <v>6.770833333333337E-3</v>
      </c>
      <c r="K651" s="1"/>
    </row>
    <row r="652" spans="1:11" x14ac:dyDescent="0.25">
      <c r="A652" s="6">
        <v>38244568</v>
      </c>
      <c r="B652" t="str">
        <f t="shared" si="40"/>
        <v>komorkowy</v>
      </c>
      <c r="C652">
        <f t="shared" si="41"/>
        <v>0</v>
      </c>
      <c r="D652">
        <f t="shared" si="42"/>
        <v>0</v>
      </c>
      <c r="E652" s="1">
        <v>42927</v>
      </c>
      <c r="F652" s="2">
        <v>0.44381944444444443</v>
      </c>
      <c r="G652" s="2">
        <v>0.45199074074074075</v>
      </c>
      <c r="H652" s="2">
        <f t="shared" si="43"/>
        <v>8.1712962962963154E-3</v>
      </c>
      <c r="K652" s="1"/>
    </row>
    <row r="653" spans="1:11" x14ac:dyDescent="0.25">
      <c r="A653" s="6">
        <v>3613950</v>
      </c>
      <c r="B653" t="str">
        <f t="shared" si="40"/>
        <v>stacjonarny</v>
      </c>
      <c r="C653">
        <f t="shared" si="41"/>
        <v>0</v>
      </c>
      <c r="D653">
        <f t="shared" si="42"/>
        <v>0</v>
      </c>
      <c r="E653" s="1">
        <v>42927</v>
      </c>
      <c r="F653" s="2">
        <v>0.44657407407407407</v>
      </c>
      <c r="G653" s="2">
        <v>0.44774305555555555</v>
      </c>
      <c r="H653" s="2">
        <f t="shared" si="43"/>
        <v>1.1689814814814792E-3</v>
      </c>
      <c r="K653" s="1"/>
    </row>
    <row r="654" spans="1:11" x14ac:dyDescent="0.25">
      <c r="A654" s="6">
        <v>5750819</v>
      </c>
      <c r="B654" t="str">
        <f t="shared" si="40"/>
        <v>stacjonarny</v>
      </c>
      <c r="C654">
        <f t="shared" si="41"/>
        <v>0</v>
      </c>
      <c r="D654">
        <f t="shared" si="42"/>
        <v>0</v>
      </c>
      <c r="E654" s="1">
        <v>42927</v>
      </c>
      <c r="F654" s="2">
        <v>0.44751157407407405</v>
      </c>
      <c r="G654" s="2">
        <v>0.45284722222222223</v>
      </c>
      <c r="H654" s="2">
        <f t="shared" si="43"/>
        <v>5.3356481481481866E-3</v>
      </c>
      <c r="K654" s="1"/>
    </row>
    <row r="655" spans="1:11" x14ac:dyDescent="0.25">
      <c r="A655" s="6">
        <v>63291235</v>
      </c>
      <c r="B655" t="str">
        <f t="shared" si="40"/>
        <v>komorkowy</v>
      </c>
      <c r="C655">
        <f t="shared" si="41"/>
        <v>0</v>
      </c>
      <c r="D655">
        <f t="shared" si="42"/>
        <v>0</v>
      </c>
      <c r="E655" s="1">
        <v>42927</v>
      </c>
      <c r="F655" s="2">
        <v>0.45091435185185186</v>
      </c>
      <c r="G655" s="2">
        <v>0.45429398148148148</v>
      </c>
      <c r="H655" s="2">
        <f t="shared" si="43"/>
        <v>3.3796296296296213E-3</v>
      </c>
      <c r="K655" s="1"/>
    </row>
    <row r="656" spans="1:11" x14ac:dyDescent="0.25">
      <c r="A656" s="6">
        <v>3198725</v>
      </c>
      <c r="B656" t="str">
        <f t="shared" si="40"/>
        <v>stacjonarny</v>
      </c>
      <c r="C656">
        <f t="shared" si="41"/>
        <v>0</v>
      </c>
      <c r="D656">
        <f t="shared" si="42"/>
        <v>0</v>
      </c>
      <c r="E656" s="1">
        <v>42927</v>
      </c>
      <c r="F656" s="2">
        <v>0.45157407407407407</v>
      </c>
      <c r="G656" s="2">
        <v>0.45738425925925924</v>
      </c>
      <c r="H656" s="2">
        <f t="shared" si="43"/>
        <v>5.8101851851851682E-3</v>
      </c>
      <c r="K656" s="1"/>
    </row>
    <row r="657" spans="1:11" x14ac:dyDescent="0.25">
      <c r="A657" s="6">
        <v>6248157784</v>
      </c>
      <c r="B657" t="str">
        <f t="shared" si="40"/>
        <v>zagraniczny</v>
      </c>
      <c r="C657">
        <f t="shared" si="41"/>
        <v>0</v>
      </c>
      <c r="D657">
        <f t="shared" si="42"/>
        <v>0</v>
      </c>
      <c r="E657" s="1">
        <v>42927</v>
      </c>
      <c r="F657" s="2">
        <v>0.45475694444444442</v>
      </c>
      <c r="G657" s="2">
        <v>0.4566898148148148</v>
      </c>
      <c r="H657" s="2">
        <f t="shared" si="43"/>
        <v>1.9328703703703765E-3</v>
      </c>
      <c r="K657" s="1"/>
    </row>
    <row r="658" spans="1:11" x14ac:dyDescent="0.25">
      <c r="A658" s="6">
        <v>6607648</v>
      </c>
      <c r="B658" t="str">
        <f t="shared" si="40"/>
        <v>stacjonarny</v>
      </c>
      <c r="C658">
        <f t="shared" si="41"/>
        <v>0</v>
      </c>
      <c r="D658">
        <f t="shared" si="42"/>
        <v>0</v>
      </c>
      <c r="E658" s="1">
        <v>42927</v>
      </c>
      <c r="F658" s="2">
        <v>0.45873842592592595</v>
      </c>
      <c r="G658" s="2">
        <v>0.46986111111111112</v>
      </c>
      <c r="H658" s="2">
        <f t="shared" si="43"/>
        <v>1.1122685185185166E-2</v>
      </c>
      <c r="K658" s="1"/>
    </row>
    <row r="659" spans="1:11" x14ac:dyDescent="0.25">
      <c r="A659" s="6">
        <v>5340881</v>
      </c>
      <c r="B659" t="str">
        <f t="shared" si="40"/>
        <v>stacjonarny</v>
      </c>
      <c r="C659">
        <f t="shared" si="41"/>
        <v>0</v>
      </c>
      <c r="D659">
        <f t="shared" si="42"/>
        <v>0</v>
      </c>
      <c r="E659" s="1">
        <v>42927</v>
      </c>
      <c r="F659" s="2">
        <v>0.46413194444444444</v>
      </c>
      <c r="G659" s="2">
        <v>0.46585648148148145</v>
      </c>
      <c r="H659" s="2">
        <f t="shared" si="43"/>
        <v>1.7245370370370106E-3</v>
      </c>
      <c r="K659" s="1"/>
    </row>
    <row r="660" spans="1:11" x14ac:dyDescent="0.25">
      <c r="A660" s="6">
        <v>99162491</v>
      </c>
      <c r="B660" t="str">
        <f t="shared" si="40"/>
        <v>komorkowy</v>
      </c>
      <c r="C660">
        <f t="shared" si="41"/>
        <v>0</v>
      </c>
      <c r="D660">
        <f t="shared" si="42"/>
        <v>0</v>
      </c>
      <c r="E660" s="1">
        <v>42927</v>
      </c>
      <c r="F660" s="2">
        <v>0.46738425925925925</v>
      </c>
      <c r="G660" s="2">
        <v>0.46800925925925924</v>
      </c>
      <c r="H660" s="2">
        <f t="shared" si="43"/>
        <v>6.2499999999998668E-4</v>
      </c>
      <c r="K660" s="1"/>
    </row>
    <row r="661" spans="1:11" x14ac:dyDescent="0.25">
      <c r="A661" s="6">
        <v>3072421</v>
      </c>
      <c r="B661" t="str">
        <f t="shared" si="40"/>
        <v>stacjonarny</v>
      </c>
      <c r="C661">
        <f t="shared" si="41"/>
        <v>0</v>
      </c>
      <c r="D661">
        <f t="shared" si="42"/>
        <v>0</v>
      </c>
      <c r="E661" s="1">
        <v>42927</v>
      </c>
      <c r="F661" s="2">
        <v>0.46942129629629631</v>
      </c>
      <c r="G661" s="2">
        <v>0.47766203703703702</v>
      </c>
      <c r="H661" s="2">
        <f t="shared" si="43"/>
        <v>8.2407407407407152E-3</v>
      </c>
      <c r="K661" s="1"/>
    </row>
    <row r="662" spans="1:11" x14ac:dyDescent="0.25">
      <c r="A662" s="6">
        <v>1909553</v>
      </c>
      <c r="B662" t="str">
        <f t="shared" si="40"/>
        <v>stacjonarny</v>
      </c>
      <c r="C662">
        <f t="shared" si="41"/>
        <v>0</v>
      </c>
      <c r="D662">
        <f t="shared" si="42"/>
        <v>0</v>
      </c>
      <c r="E662" s="1">
        <v>42927</v>
      </c>
      <c r="F662" s="2">
        <v>0.47193287037037035</v>
      </c>
      <c r="G662" s="2">
        <v>0.47763888888888889</v>
      </c>
      <c r="H662" s="2">
        <f t="shared" si="43"/>
        <v>5.7060185185185408E-3</v>
      </c>
      <c r="K662" s="1"/>
    </row>
    <row r="663" spans="1:11" x14ac:dyDescent="0.25">
      <c r="A663" s="6">
        <v>62836073</v>
      </c>
      <c r="B663" t="str">
        <f t="shared" si="40"/>
        <v>komorkowy</v>
      </c>
      <c r="C663">
        <f t="shared" si="41"/>
        <v>0</v>
      </c>
      <c r="D663">
        <f t="shared" si="42"/>
        <v>0</v>
      </c>
      <c r="E663" s="1">
        <v>42927</v>
      </c>
      <c r="F663" s="2">
        <v>0.47739583333333335</v>
      </c>
      <c r="G663" s="2">
        <v>0.48168981481481482</v>
      </c>
      <c r="H663" s="2">
        <f t="shared" si="43"/>
        <v>4.2939814814814681E-3</v>
      </c>
      <c r="K663" s="1"/>
    </row>
    <row r="664" spans="1:11" x14ac:dyDescent="0.25">
      <c r="A664" s="6">
        <v>9566647</v>
      </c>
      <c r="B664" t="str">
        <f t="shared" si="40"/>
        <v>stacjonarny</v>
      </c>
      <c r="C664">
        <f t="shared" si="41"/>
        <v>0</v>
      </c>
      <c r="D664">
        <f t="shared" si="42"/>
        <v>0</v>
      </c>
      <c r="E664" s="1">
        <v>42927</v>
      </c>
      <c r="F664" s="2">
        <v>0.48005787037037034</v>
      </c>
      <c r="G664" s="2">
        <v>0.48971064814814813</v>
      </c>
      <c r="H664" s="2">
        <f t="shared" si="43"/>
        <v>9.6527777777777879E-3</v>
      </c>
      <c r="K664" s="1"/>
    </row>
    <row r="665" spans="1:11" x14ac:dyDescent="0.25">
      <c r="A665" s="6">
        <v>5833452</v>
      </c>
      <c r="B665" t="str">
        <f t="shared" si="40"/>
        <v>stacjonarny</v>
      </c>
      <c r="C665">
        <f t="shared" si="41"/>
        <v>0</v>
      </c>
      <c r="D665">
        <f t="shared" si="42"/>
        <v>0</v>
      </c>
      <c r="E665" s="1">
        <v>42927</v>
      </c>
      <c r="F665" s="2">
        <v>0.48511574074074076</v>
      </c>
      <c r="G665" s="2">
        <v>0.49502314814814813</v>
      </c>
      <c r="H665" s="2">
        <f t="shared" si="43"/>
        <v>9.9074074074073648E-3</v>
      </c>
      <c r="K665" s="1"/>
    </row>
    <row r="666" spans="1:11" x14ac:dyDescent="0.25">
      <c r="A666" s="6">
        <v>10760583</v>
      </c>
      <c r="B666" t="str">
        <f t="shared" si="40"/>
        <v>komorkowy</v>
      </c>
      <c r="C666">
        <f t="shared" si="41"/>
        <v>0</v>
      </c>
      <c r="D666">
        <f t="shared" si="42"/>
        <v>0</v>
      </c>
      <c r="E666" s="1">
        <v>42927</v>
      </c>
      <c r="F666" s="2">
        <v>0.48994212962962963</v>
      </c>
      <c r="G666" s="2">
        <v>0.4914351851851852</v>
      </c>
      <c r="H666" s="2">
        <f t="shared" si="43"/>
        <v>1.4930555555555669E-3</v>
      </c>
      <c r="K666" s="1"/>
    </row>
    <row r="667" spans="1:11" x14ac:dyDescent="0.25">
      <c r="A667" s="6">
        <v>39669014</v>
      </c>
      <c r="B667" t="str">
        <f t="shared" si="40"/>
        <v>komorkowy</v>
      </c>
      <c r="C667">
        <f t="shared" si="41"/>
        <v>0</v>
      </c>
      <c r="D667">
        <f t="shared" si="42"/>
        <v>0</v>
      </c>
      <c r="E667" s="1">
        <v>42927</v>
      </c>
      <c r="F667" s="2">
        <v>0.49035879629629631</v>
      </c>
      <c r="G667" s="2">
        <v>0.49082175925925925</v>
      </c>
      <c r="H667" s="2">
        <f t="shared" si="43"/>
        <v>4.6296296296294281E-4</v>
      </c>
      <c r="K667" s="1"/>
    </row>
    <row r="668" spans="1:11" x14ac:dyDescent="0.25">
      <c r="A668" s="6">
        <v>5147651</v>
      </c>
      <c r="B668" t="str">
        <f t="shared" si="40"/>
        <v>stacjonarny</v>
      </c>
      <c r="C668">
        <f t="shared" si="41"/>
        <v>0</v>
      </c>
      <c r="D668">
        <f t="shared" si="42"/>
        <v>0</v>
      </c>
      <c r="E668" s="1">
        <v>42927</v>
      </c>
      <c r="F668" s="2">
        <v>0.49399305555555556</v>
      </c>
      <c r="G668" s="2">
        <v>0.4959027777777778</v>
      </c>
      <c r="H668" s="2">
        <f t="shared" si="43"/>
        <v>1.9097222222222432E-3</v>
      </c>
      <c r="K668" s="1"/>
    </row>
    <row r="669" spans="1:11" x14ac:dyDescent="0.25">
      <c r="A669" s="6">
        <v>41144838</v>
      </c>
      <c r="B669" t="str">
        <f t="shared" si="40"/>
        <v>komorkowy</v>
      </c>
      <c r="C669">
        <f t="shared" si="41"/>
        <v>0</v>
      </c>
      <c r="D669">
        <f t="shared" si="42"/>
        <v>0</v>
      </c>
      <c r="E669" s="1">
        <v>42927</v>
      </c>
      <c r="F669" s="2">
        <v>0.49949074074074074</v>
      </c>
      <c r="G669" s="2">
        <v>0.50931712962962961</v>
      </c>
      <c r="H669" s="2">
        <f t="shared" si="43"/>
        <v>9.8263888888888706E-3</v>
      </c>
      <c r="K669" s="1"/>
    </row>
    <row r="670" spans="1:11" x14ac:dyDescent="0.25">
      <c r="A670" s="6">
        <v>1332513</v>
      </c>
      <c r="B670" t="str">
        <f t="shared" si="40"/>
        <v>stacjonarny</v>
      </c>
      <c r="C670">
        <f t="shared" si="41"/>
        <v>0</v>
      </c>
      <c r="D670">
        <f t="shared" si="42"/>
        <v>0</v>
      </c>
      <c r="E670" s="1">
        <v>42927</v>
      </c>
      <c r="F670" s="2">
        <v>0.50326388888888884</v>
      </c>
      <c r="G670" s="2">
        <v>0.50407407407407412</v>
      </c>
      <c r="H670" s="2">
        <f t="shared" si="43"/>
        <v>8.1018518518527483E-4</v>
      </c>
      <c r="K670" s="1"/>
    </row>
    <row r="671" spans="1:11" x14ac:dyDescent="0.25">
      <c r="A671" s="6">
        <v>7743548</v>
      </c>
      <c r="B671" t="str">
        <f t="shared" si="40"/>
        <v>stacjonarny</v>
      </c>
      <c r="C671">
        <f t="shared" si="41"/>
        <v>0</v>
      </c>
      <c r="D671">
        <f t="shared" si="42"/>
        <v>0</v>
      </c>
      <c r="E671" s="1">
        <v>42927</v>
      </c>
      <c r="F671" s="2">
        <v>0.50376157407407407</v>
      </c>
      <c r="G671" s="2">
        <v>0.50907407407407412</v>
      </c>
      <c r="H671" s="2">
        <f t="shared" si="43"/>
        <v>5.3125000000000533E-3</v>
      </c>
      <c r="K671" s="1"/>
    </row>
    <row r="672" spans="1:11" x14ac:dyDescent="0.25">
      <c r="A672" s="6">
        <v>7451541965</v>
      </c>
      <c r="B672" t="str">
        <f t="shared" si="40"/>
        <v>zagraniczny</v>
      </c>
      <c r="C672">
        <f t="shared" si="41"/>
        <v>0</v>
      </c>
      <c r="D672">
        <f t="shared" si="42"/>
        <v>0</v>
      </c>
      <c r="E672" s="1">
        <v>42927</v>
      </c>
      <c r="F672" s="2">
        <v>0.50866898148148143</v>
      </c>
      <c r="G672" s="2">
        <v>0.51324074074074078</v>
      </c>
      <c r="H672" s="2">
        <f t="shared" si="43"/>
        <v>4.5717592592593448E-3</v>
      </c>
      <c r="K672" s="1"/>
    </row>
    <row r="673" spans="1:11" x14ac:dyDescent="0.25">
      <c r="A673" s="6">
        <v>2109147679</v>
      </c>
      <c r="B673" t="str">
        <f t="shared" si="40"/>
        <v>zagraniczny</v>
      </c>
      <c r="C673">
        <f t="shared" si="41"/>
        <v>0</v>
      </c>
      <c r="D673">
        <f t="shared" si="42"/>
        <v>0</v>
      </c>
      <c r="E673" s="1">
        <v>42927</v>
      </c>
      <c r="F673" s="2">
        <v>0.51282407407407404</v>
      </c>
      <c r="G673" s="2">
        <v>0.51666666666666672</v>
      </c>
      <c r="H673" s="2">
        <f t="shared" si="43"/>
        <v>3.8425925925926752E-3</v>
      </c>
      <c r="K673" s="1"/>
    </row>
    <row r="674" spans="1:11" x14ac:dyDescent="0.25">
      <c r="A674" s="6">
        <v>5022247</v>
      </c>
      <c r="B674" t="str">
        <f t="shared" si="40"/>
        <v>stacjonarny</v>
      </c>
      <c r="C674">
        <f t="shared" si="41"/>
        <v>0</v>
      </c>
      <c r="D674">
        <f t="shared" si="42"/>
        <v>0</v>
      </c>
      <c r="E674" s="1">
        <v>42927</v>
      </c>
      <c r="F674" s="2">
        <v>0.51854166666666668</v>
      </c>
      <c r="G674" s="2">
        <v>0.52810185185185188</v>
      </c>
      <c r="H674" s="2">
        <f t="shared" si="43"/>
        <v>9.5601851851851993E-3</v>
      </c>
      <c r="K674" s="1"/>
    </row>
    <row r="675" spans="1:11" x14ac:dyDescent="0.25">
      <c r="A675" s="6">
        <v>2920581</v>
      </c>
      <c r="B675" t="str">
        <f t="shared" si="40"/>
        <v>stacjonarny</v>
      </c>
      <c r="C675">
        <f t="shared" si="41"/>
        <v>0</v>
      </c>
      <c r="D675">
        <f t="shared" si="42"/>
        <v>0</v>
      </c>
      <c r="E675" s="1">
        <v>42927</v>
      </c>
      <c r="F675" s="2">
        <v>0.52399305555555553</v>
      </c>
      <c r="G675" s="2">
        <v>0.53120370370370373</v>
      </c>
      <c r="H675" s="2">
        <f t="shared" si="43"/>
        <v>7.2106481481482021E-3</v>
      </c>
      <c r="K675" s="1"/>
    </row>
    <row r="676" spans="1:11" x14ac:dyDescent="0.25">
      <c r="A676" s="6">
        <v>7126980</v>
      </c>
      <c r="B676" t="str">
        <f t="shared" si="40"/>
        <v>stacjonarny</v>
      </c>
      <c r="C676">
        <f t="shared" si="41"/>
        <v>0</v>
      </c>
      <c r="D676">
        <f t="shared" si="42"/>
        <v>0</v>
      </c>
      <c r="E676" s="1">
        <v>42927</v>
      </c>
      <c r="F676" s="2">
        <v>0.52592592592592591</v>
      </c>
      <c r="G676" s="2">
        <v>0.53515046296296298</v>
      </c>
      <c r="H676" s="2">
        <f t="shared" si="43"/>
        <v>9.2245370370370727E-3</v>
      </c>
      <c r="K676" s="1"/>
    </row>
    <row r="677" spans="1:11" x14ac:dyDescent="0.25">
      <c r="A677" s="6">
        <v>54006070</v>
      </c>
      <c r="B677" t="str">
        <f t="shared" si="40"/>
        <v>komorkowy</v>
      </c>
      <c r="C677">
        <f t="shared" si="41"/>
        <v>0</v>
      </c>
      <c r="D677">
        <f t="shared" si="42"/>
        <v>0</v>
      </c>
      <c r="E677" s="1">
        <v>42927</v>
      </c>
      <c r="F677" s="2">
        <v>0.53164351851851854</v>
      </c>
      <c r="G677" s="2">
        <v>0.53324074074074079</v>
      </c>
      <c r="H677" s="2">
        <f t="shared" si="43"/>
        <v>1.5972222222222499E-3</v>
      </c>
      <c r="K677" s="1"/>
    </row>
    <row r="678" spans="1:11" x14ac:dyDescent="0.25">
      <c r="A678" s="6">
        <v>8672651</v>
      </c>
      <c r="B678" t="str">
        <f t="shared" si="40"/>
        <v>stacjonarny</v>
      </c>
      <c r="C678">
        <f t="shared" si="41"/>
        <v>0</v>
      </c>
      <c r="D678">
        <f t="shared" si="42"/>
        <v>0</v>
      </c>
      <c r="E678" s="1">
        <v>42927</v>
      </c>
      <c r="F678" s="2">
        <v>0.53401620370370373</v>
      </c>
      <c r="G678" s="2">
        <v>0.54462962962962957</v>
      </c>
      <c r="H678" s="2">
        <f t="shared" si="43"/>
        <v>1.0613425925925846E-2</v>
      </c>
      <c r="K678" s="1"/>
    </row>
    <row r="679" spans="1:11" x14ac:dyDescent="0.25">
      <c r="A679" s="6">
        <v>54136845</v>
      </c>
      <c r="B679" t="str">
        <f t="shared" si="40"/>
        <v>komorkowy</v>
      </c>
      <c r="C679">
        <f t="shared" si="41"/>
        <v>0</v>
      </c>
      <c r="D679">
        <f t="shared" si="42"/>
        <v>0</v>
      </c>
      <c r="E679" s="1">
        <v>42927</v>
      </c>
      <c r="F679" s="2">
        <v>0.53920138888888891</v>
      </c>
      <c r="G679" s="2">
        <v>0.54092592592592592</v>
      </c>
      <c r="H679" s="2">
        <f t="shared" si="43"/>
        <v>1.7245370370370106E-3</v>
      </c>
      <c r="K679" s="1"/>
    </row>
    <row r="680" spans="1:11" x14ac:dyDescent="0.25">
      <c r="A680" s="6">
        <v>5223970</v>
      </c>
      <c r="B680" t="str">
        <f t="shared" si="40"/>
        <v>stacjonarny</v>
      </c>
      <c r="C680">
        <f t="shared" si="41"/>
        <v>0</v>
      </c>
      <c r="D680">
        <f t="shared" si="42"/>
        <v>0</v>
      </c>
      <c r="E680" s="1">
        <v>42927</v>
      </c>
      <c r="F680" s="2">
        <v>0.53920138888888891</v>
      </c>
      <c r="G680" s="2">
        <v>0.55046296296296293</v>
      </c>
      <c r="H680" s="2">
        <f t="shared" si="43"/>
        <v>1.1261574074074021E-2</v>
      </c>
      <c r="K680" s="1"/>
    </row>
    <row r="681" spans="1:11" x14ac:dyDescent="0.25">
      <c r="A681" s="6">
        <v>4264808</v>
      </c>
      <c r="B681" t="str">
        <f t="shared" si="40"/>
        <v>stacjonarny</v>
      </c>
      <c r="C681">
        <f t="shared" si="41"/>
        <v>0</v>
      </c>
      <c r="D681">
        <f t="shared" si="42"/>
        <v>0</v>
      </c>
      <c r="E681" s="1">
        <v>42927</v>
      </c>
      <c r="F681" s="2">
        <v>0.53950231481481481</v>
      </c>
      <c r="G681" s="2">
        <v>0.55071759259259256</v>
      </c>
      <c r="H681" s="2">
        <f t="shared" si="43"/>
        <v>1.1215277777777755E-2</v>
      </c>
      <c r="K681" s="1"/>
    </row>
    <row r="682" spans="1:11" x14ac:dyDescent="0.25">
      <c r="A682" s="6">
        <v>5790304</v>
      </c>
      <c r="B682" t="str">
        <f t="shared" si="40"/>
        <v>stacjonarny</v>
      </c>
      <c r="C682">
        <f t="shared" si="41"/>
        <v>0</v>
      </c>
      <c r="D682">
        <f t="shared" si="42"/>
        <v>0</v>
      </c>
      <c r="E682" s="1">
        <v>42927</v>
      </c>
      <c r="F682" s="2">
        <v>0.539525462962963</v>
      </c>
      <c r="G682" s="2">
        <v>0.54025462962962967</v>
      </c>
      <c r="H682" s="2">
        <f t="shared" si="43"/>
        <v>7.2916666666666963E-4</v>
      </c>
      <c r="K682" s="1"/>
    </row>
    <row r="683" spans="1:11" x14ac:dyDescent="0.25">
      <c r="A683" s="6">
        <v>13484133</v>
      </c>
      <c r="B683" t="str">
        <f t="shared" si="40"/>
        <v>komorkowy</v>
      </c>
      <c r="C683">
        <f t="shared" si="41"/>
        <v>0</v>
      </c>
      <c r="D683">
        <f t="shared" si="42"/>
        <v>0</v>
      </c>
      <c r="E683" s="1">
        <v>42927</v>
      </c>
      <c r="F683" s="2">
        <v>0.54137731481481477</v>
      </c>
      <c r="G683" s="2">
        <v>0.54577546296296298</v>
      </c>
      <c r="H683" s="2">
        <f t="shared" si="43"/>
        <v>4.3981481481482065E-3</v>
      </c>
      <c r="K683" s="1"/>
    </row>
    <row r="684" spans="1:11" x14ac:dyDescent="0.25">
      <c r="A684" s="6">
        <v>6269166</v>
      </c>
      <c r="B684" t="str">
        <f t="shared" si="40"/>
        <v>stacjonarny</v>
      </c>
      <c r="C684">
        <f t="shared" si="41"/>
        <v>0</v>
      </c>
      <c r="D684">
        <f t="shared" si="42"/>
        <v>0</v>
      </c>
      <c r="E684" s="1">
        <v>42927</v>
      </c>
      <c r="F684" s="2">
        <v>0.54408564814814819</v>
      </c>
      <c r="G684" s="2">
        <v>0.55355324074074075</v>
      </c>
      <c r="H684" s="2">
        <f t="shared" si="43"/>
        <v>9.4675925925925553E-3</v>
      </c>
      <c r="K684" s="1"/>
    </row>
    <row r="685" spans="1:11" x14ac:dyDescent="0.25">
      <c r="A685" s="6">
        <v>5089019</v>
      </c>
      <c r="B685" t="str">
        <f t="shared" si="40"/>
        <v>stacjonarny</v>
      </c>
      <c r="C685">
        <f t="shared" si="41"/>
        <v>0</v>
      </c>
      <c r="D685">
        <f t="shared" si="42"/>
        <v>0</v>
      </c>
      <c r="E685" s="1">
        <v>42927</v>
      </c>
      <c r="F685" s="2">
        <v>0.54431712962962964</v>
      </c>
      <c r="G685" s="2">
        <v>0.54921296296296296</v>
      </c>
      <c r="H685" s="2">
        <f t="shared" si="43"/>
        <v>4.8958333333333215E-3</v>
      </c>
      <c r="K685" s="1"/>
    </row>
    <row r="686" spans="1:11" x14ac:dyDescent="0.25">
      <c r="A686" s="6">
        <v>6994188</v>
      </c>
      <c r="B686" t="str">
        <f t="shared" si="40"/>
        <v>stacjonarny</v>
      </c>
      <c r="C686">
        <f t="shared" si="41"/>
        <v>0</v>
      </c>
      <c r="D686">
        <f t="shared" si="42"/>
        <v>0</v>
      </c>
      <c r="E686" s="1">
        <v>42927</v>
      </c>
      <c r="F686" s="2">
        <v>0.54797453703703702</v>
      </c>
      <c r="G686" s="2">
        <v>0.55550925925925931</v>
      </c>
      <c r="H686" s="2">
        <f t="shared" si="43"/>
        <v>7.5347222222222898E-3</v>
      </c>
      <c r="K686" s="1"/>
    </row>
    <row r="687" spans="1:11" x14ac:dyDescent="0.25">
      <c r="A687" s="6">
        <v>16883712</v>
      </c>
      <c r="B687" t="str">
        <f t="shared" si="40"/>
        <v>komorkowy</v>
      </c>
      <c r="C687">
        <f t="shared" si="41"/>
        <v>0</v>
      </c>
      <c r="D687">
        <f t="shared" si="42"/>
        <v>0</v>
      </c>
      <c r="E687" s="1">
        <v>42927</v>
      </c>
      <c r="F687" s="2">
        <v>0.55070601851851853</v>
      </c>
      <c r="G687" s="2">
        <v>0.55662037037037038</v>
      </c>
      <c r="H687" s="2">
        <f t="shared" si="43"/>
        <v>5.9143518518518512E-3</v>
      </c>
      <c r="K687" s="1"/>
    </row>
    <row r="688" spans="1:11" x14ac:dyDescent="0.25">
      <c r="A688" s="6">
        <v>2781512</v>
      </c>
      <c r="B688" t="str">
        <f t="shared" si="40"/>
        <v>stacjonarny</v>
      </c>
      <c r="C688">
        <f t="shared" si="41"/>
        <v>0</v>
      </c>
      <c r="D688">
        <f t="shared" si="42"/>
        <v>0</v>
      </c>
      <c r="E688" s="1">
        <v>42927</v>
      </c>
      <c r="F688" s="2">
        <v>0.55374999999999996</v>
      </c>
      <c r="G688" s="2">
        <v>0.56312499999999999</v>
      </c>
      <c r="H688" s="2">
        <f t="shared" si="43"/>
        <v>9.3750000000000222E-3</v>
      </c>
      <c r="K688" s="1"/>
    </row>
    <row r="689" spans="1:11" x14ac:dyDescent="0.25">
      <c r="A689" s="6">
        <v>4273704</v>
      </c>
      <c r="B689" t="str">
        <f t="shared" si="40"/>
        <v>stacjonarny</v>
      </c>
      <c r="C689">
        <f t="shared" si="41"/>
        <v>0</v>
      </c>
      <c r="D689">
        <f t="shared" si="42"/>
        <v>0</v>
      </c>
      <c r="E689" s="1">
        <v>42927</v>
      </c>
      <c r="F689" s="2">
        <v>0.554224537037037</v>
      </c>
      <c r="G689" s="2">
        <v>0.56221064814814814</v>
      </c>
      <c r="H689" s="2">
        <f t="shared" si="43"/>
        <v>7.9861111111111382E-3</v>
      </c>
      <c r="K689" s="1"/>
    </row>
    <row r="690" spans="1:11" x14ac:dyDescent="0.25">
      <c r="A690" s="6">
        <v>3707498</v>
      </c>
      <c r="B690" t="str">
        <f t="shared" si="40"/>
        <v>stacjonarny</v>
      </c>
      <c r="C690">
        <f t="shared" si="41"/>
        <v>0</v>
      </c>
      <c r="D690">
        <f t="shared" si="42"/>
        <v>0</v>
      </c>
      <c r="E690" s="1">
        <v>42927</v>
      </c>
      <c r="F690" s="2">
        <v>0.55982638888888892</v>
      </c>
      <c r="G690" s="2">
        <v>0.56802083333333331</v>
      </c>
      <c r="H690" s="2">
        <f t="shared" si="43"/>
        <v>8.1944444444443931E-3</v>
      </c>
      <c r="K690" s="1"/>
    </row>
    <row r="691" spans="1:11" x14ac:dyDescent="0.25">
      <c r="A691" s="6">
        <v>3407358</v>
      </c>
      <c r="B691" t="str">
        <f t="shared" si="40"/>
        <v>stacjonarny</v>
      </c>
      <c r="C691">
        <f t="shared" si="41"/>
        <v>0</v>
      </c>
      <c r="D691">
        <f t="shared" si="42"/>
        <v>0</v>
      </c>
      <c r="E691" s="1">
        <v>42927</v>
      </c>
      <c r="F691" s="2">
        <v>0.56560185185185186</v>
      </c>
      <c r="G691" s="2">
        <v>0.56677083333333333</v>
      </c>
      <c r="H691" s="2">
        <f t="shared" si="43"/>
        <v>1.1689814814814792E-3</v>
      </c>
      <c r="K691" s="1"/>
    </row>
    <row r="692" spans="1:11" x14ac:dyDescent="0.25">
      <c r="A692" s="6">
        <v>5251861</v>
      </c>
      <c r="B692" t="str">
        <f t="shared" si="40"/>
        <v>stacjonarny</v>
      </c>
      <c r="C692">
        <f t="shared" si="41"/>
        <v>0</v>
      </c>
      <c r="D692">
        <f t="shared" si="42"/>
        <v>0</v>
      </c>
      <c r="E692" s="1">
        <v>42927</v>
      </c>
      <c r="F692" s="2">
        <v>0.56940972222222219</v>
      </c>
      <c r="G692" s="2">
        <v>0.57149305555555552</v>
      </c>
      <c r="H692" s="2">
        <f t="shared" si="43"/>
        <v>2.0833333333333259E-3</v>
      </c>
      <c r="K692" s="1"/>
    </row>
    <row r="693" spans="1:11" x14ac:dyDescent="0.25">
      <c r="A693" s="6">
        <v>7473070</v>
      </c>
      <c r="B693" t="str">
        <f t="shared" si="40"/>
        <v>stacjonarny</v>
      </c>
      <c r="C693">
        <f t="shared" si="41"/>
        <v>0</v>
      </c>
      <c r="D693">
        <f t="shared" si="42"/>
        <v>0</v>
      </c>
      <c r="E693" s="1">
        <v>42927</v>
      </c>
      <c r="F693" s="2">
        <v>0.57185185185185183</v>
      </c>
      <c r="G693" s="2">
        <v>0.58304398148148151</v>
      </c>
      <c r="H693" s="2">
        <f t="shared" si="43"/>
        <v>1.1192129629629677E-2</v>
      </c>
      <c r="K693" s="1"/>
    </row>
    <row r="694" spans="1:11" x14ac:dyDescent="0.25">
      <c r="A694" s="6">
        <v>3596504</v>
      </c>
      <c r="B694" t="str">
        <f t="shared" si="40"/>
        <v>stacjonarny</v>
      </c>
      <c r="C694">
        <f t="shared" si="41"/>
        <v>0</v>
      </c>
      <c r="D694">
        <f t="shared" si="42"/>
        <v>0</v>
      </c>
      <c r="E694" s="1">
        <v>42927</v>
      </c>
      <c r="F694" s="2">
        <v>0.57592592592592595</v>
      </c>
      <c r="G694" s="2">
        <v>0.58302083333333332</v>
      </c>
      <c r="H694" s="2">
        <f t="shared" si="43"/>
        <v>7.0949074074073692E-3</v>
      </c>
      <c r="K694" s="1"/>
    </row>
    <row r="695" spans="1:11" x14ac:dyDescent="0.25">
      <c r="A695" s="6">
        <v>9620982</v>
      </c>
      <c r="B695" t="str">
        <f t="shared" si="40"/>
        <v>stacjonarny</v>
      </c>
      <c r="C695">
        <f t="shared" si="41"/>
        <v>0</v>
      </c>
      <c r="D695">
        <f t="shared" si="42"/>
        <v>0</v>
      </c>
      <c r="E695" s="1">
        <v>42927</v>
      </c>
      <c r="F695" s="2">
        <v>0.57593749999999999</v>
      </c>
      <c r="G695" s="2">
        <v>0.58310185185185182</v>
      </c>
      <c r="H695" s="2">
        <f t="shared" si="43"/>
        <v>7.1643518518518245E-3</v>
      </c>
      <c r="K695" s="1"/>
    </row>
    <row r="696" spans="1:11" x14ac:dyDescent="0.25">
      <c r="A696" s="6">
        <v>93696449</v>
      </c>
      <c r="B696" t="str">
        <f t="shared" si="40"/>
        <v>komorkowy</v>
      </c>
      <c r="C696">
        <f t="shared" si="41"/>
        <v>0</v>
      </c>
      <c r="D696">
        <f t="shared" si="42"/>
        <v>0</v>
      </c>
      <c r="E696" s="1">
        <v>42927</v>
      </c>
      <c r="F696" s="2">
        <v>0.57939814814814816</v>
      </c>
      <c r="G696" s="2">
        <v>0.5795717592592593</v>
      </c>
      <c r="H696" s="2">
        <f t="shared" si="43"/>
        <v>1.7361111111113825E-4</v>
      </c>
      <c r="K696" s="1"/>
    </row>
    <row r="697" spans="1:11" x14ac:dyDescent="0.25">
      <c r="A697" s="6">
        <v>6833658</v>
      </c>
      <c r="B697" t="str">
        <f t="shared" si="40"/>
        <v>stacjonarny</v>
      </c>
      <c r="C697">
        <f t="shared" si="41"/>
        <v>0</v>
      </c>
      <c r="D697">
        <f t="shared" si="42"/>
        <v>0</v>
      </c>
      <c r="E697" s="1">
        <v>42927</v>
      </c>
      <c r="F697" s="2">
        <v>0.5823842592592593</v>
      </c>
      <c r="G697" s="2">
        <v>0.58479166666666671</v>
      </c>
      <c r="H697" s="2">
        <f t="shared" si="43"/>
        <v>2.4074074074074137E-3</v>
      </c>
      <c r="K697" s="1"/>
    </row>
    <row r="698" spans="1:11" x14ac:dyDescent="0.25">
      <c r="A698" s="6">
        <v>85422307</v>
      </c>
      <c r="B698" t="str">
        <f t="shared" si="40"/>
        <v>komorkowy</v>
      </c>
      <c r="C698">
        <f t="shared" si="41"/>
        <v>0</v>
      </c>
      <c r="D698">
        <f t="shared" si="42"/>
        <v>0</v>
      </c>
      <c r="E698" s="1">
        <v>42927</v>
      </c>
      <c r="F698" s="2">
        <v>0.58656249999999999</v>
      </c>
      <c r="G698" s="2">
        <v>0.59008101851851846</v>
      </c>
      <c r="H698" s="2">
        <f t="shared" si="43"/>
        <v>3.5185185185184764E-3</v>
      </c>
      <c r="K698" s="1"/>
    </row>
    <row r="699" spans="1:11" x14ac:dyDescent="0.25">
      <c r="A699" s="6">
        <v>6191682</v>
      </c>
      <c r="B699" t="str">
        <f t="shared" si="40"/>
        <v>stacjonarny</v>
      </c>
      <c r="C699">
        <f t="shared" si="41"/>
        <v>0</v>
      </c>
      <c r="D699">
        <f t="shared" si="42"/>
        <v>0</v>
      </c>
      <c r="E699" s="1">
        <v>42927</v>
      </c>
      <c r="F699" s="2">
        <v>0.58711805555555552</v>
      </c>
      <c r="G699" s="2">
        <v>0.59739583333333335</v>
      </c>
      <c r="H699" s="2">
        <f t="shared" si="43"/>
        <v>1.027777777777783E-2</v>
      </c>
      <c r="K699" s="1"/>
    </row>
    <row r="700" spans="1:11" x14ac:dyDescent="0.25">
      <c r="A700" s="6">
        <v>6461167</v>
      </c>
      <c r="B700" t="str">
        <f t="shared" si="40"/>
        <v>stacjonarny</v>
      </c>
      <c r="C700">
        <f t="shared" si="41"/>
        <v>0</v>
      </c>
      <c r="D700">
        <f t="shared" si="42"/>
        <v>0</v>
      </c>
      <c r="E700" s="1">
        <v>42927</v>
      </c>
      <c r="F700" s="2">
        <v>0.5889699074074074</v>
      </c>
      <c r="G700" s="2">
        <v>0.59409722222222228</v>
      </c>
      <c r="H700" s="2">
        <f t="shared" si="43"/>
        <v>5.1273148148148762E-3</v>
      </c>
      <c r="K700" s="1"/>
    </row>
    <row r="701" spans="1:11" x14ac:dyDescent="0.25">
      <c r="A701" s="6">
        <v>8270097</v>
      </c>
      <c r="B701" t="str">
        <f t="shared" si="40"/>
        <v>stacjonarny</v>
      </c>
      <c r="C701">
        <f t="shared" si="41"/>
        <v>0</v>
      </c>
      <c r="D701">
        <f t="shared" si="42"/>
        <v>0</v>
      </c>
      <c r="E701" s="1">
        <v>42927</v>
      </c>
      <c r="F701" s="2">
        <v>0.5900347222222222</v>
      </c>
      <c r="G701" s="2">
        <v>0.59217592592592594</v>
      </c>
      <c r="H701" s="2">
        <f t="shared" si="43"/>
        <v>2.1412037037037424E-3</v>
      </c>
      <c r="K701" s="1"/>
    </row>
    <row r="702" spans="1:11" x14ac:dyDescent="0.25">
      <c r="A702" s="6">
        <v>8982137</v>
      </c>
      <c r="B702" t="str">
        <f t="shared" si="40"/>
        <v>stacjonarny</v>
      </c>
      <c r="C702">
        <f t="shared" si="41"/>
        <v>0</v>
      </c>
      <c r="D702">
        <f t="shared" si="42"/>
        <v>0</v>
      </c>
      <c r="E702" s="1">
        <v>42927</v>
      </c>
      <c r="F702" s="2">
        <v>0.59010416666666665</v>
      </c>
      <c r="G702" s="2">
        <v>0.59864583333333332</v>
      </c>
      <c r="H702" s="2">
        <f t="shared" si="43"/>
        <v>8.5416666666666696E-3</v>
      </c>
      <c r="K702" s="1"/>
    </row>
    <row r="703" spans="1:11" x14ac:dyDescent="0.25">
      <c r="A703" s="6">
        <v>47677051</v>
      </c>
      <c r="B703" t="str">
        <f t="shared" si="40"/>
        <v>komorkowy</v>
      </c>
      <c r="C703">
        <f t="shared" si="41"/>
        <v>0</v>
      </c>
      <c r="D703">
        <f t="shared" si="42"/>
        <v>0</v>
      </c>
      <c r="E703" s="1">
        <v>42927</v>
      </c>
      <c r="F703" s="2">
        <v>0.59370370370370373</v>
      </c>
      <c r="G703" s="2">
        <v>0.60396990740740741</v>
      </c>
      <c r="H703" s="2">
        <f t="shared" si="43"/>
        <v>1.026620370370368E-2</v>
      </c>
      <c r="K703" s="1"/>
    </row>
    <row r="704" spans="1:11" x14ac:dyDescent="0.25">
      <c r="A704" s="6">
        <v>76139570</v>
      </c>
      <c r="B704" t="str">
        <f t="shared" si="40"/>
        <v>komorkowy</v>
      </c>
      <c r="C704">
        <f t="shared" si="41"/>
        <v>0</v>
      </c>
      <c r="D704">
        <f t="shared" si="42"/>
        <v>0</v>
      </c>
      <c r="E704" s="1">
        <v>42927</v>
      </c>
      <c r="F704" s="2">
        <v>0.59593750000000001</v>
      </c>
      <c r="G704" s="2">
        <v>0.6004976851851852</v>
      </c>
      <c r="H704" s="2">
        <f t="shared" si="43"/>
        <v>4.5601851851851949E-3</v>
      </c>
      <c r="K704" s="1"/>
    </row>
    <row r="705" spans="1:11" x14ac:dyDescent="0.25">
      <c r="A705" s="6">
        <v>62016185</v>
      </c>
      <c r="B705" t="str">
        <f t="shared" si="40"/>
        <v>komorkowy</v>
      </c>
      <c r="C705">
        <f t="shared" si="41"/>
        <v>0</v>
      </c>
      <c r="D705">
        <f t="shared" si="42"/>
        <v>0</v>
      </c>
      <c r="E705" s="1">
        <v>42927</v>
      </c>
      <c r="F705" s="2">
        <v>0.60037037037037033</v>
      </c>
      <c r="G705" s="2">
        <v>0.60719907407407403</v>
      </c>
      <c r="H705" s="2">
        <f t="shared" si="43"/>
        <v>6.8287037037036979E-3</v>
      </c>
      <c r="K705" s="1"/>
    </row>
    <row r="706" spans="1:11" x14ac:dyDescent="0.25">
      <c r="A706" s="6">
        <v>93696449</v>
      </c>
      <c r="B706" t="str">
        <f t="shared" ref="B706:B769" si="44">IF(LEN(A706)=7, "stacjonarny", IF(LEN(A706)=8, "komorkowy", "zagraniczny"))</f>
        <v>komorkowy</v>
      </c>
      <c r="C706">
        <f t="shared" si="41"/>
        <v>0</v>
      </c>
      <c r="D706">
        <f t="shared" si="42"/>
        <v>0</v>
      </c>
      <c r="E706" s="1">
        <v>42927</v>
      </c>
      <c r="F706" s="2">
        <v>0.60077546296296291</v>
      </c>
      <c r="G706" s="2">
        <v>0.60853009259259261</v>
      </c>
      <c r="H706" s="2">
        <f t="shared" si="43"/>
        <v>7.7546296296296946E-3</v>
      </c>
      <c r="K706" s="1"/>
    </row>
    <row r="707" spans="1:11" x14ac:dyDescent="0.25">
      <c r="A707" s="6">
        <v>7914439</v>
      </c>
      <c r="B707" t="str">
        <f t="shared" si="44"/>
        <v>stacjonarny</v>
      </c>
      <c r="C707">
        <f t="shared" ref="C707:C770" si="45">IF(LEFT(A707,2)="12",1,0)</f>
        <v>0</v>
      </c>
      <c r="D707">
        <f t="shared" ref="D707:D770" si="46">IF(AND(C707=1,B707="stacjonarny"),1,0)</f>
        <v>0</v>
      </c>
      <c r="E707" s="1">
        <v>42927</v>
      </c>
      <c r="F707" s="2">
        <v>0.60320601851851852</v>
      </c>
      <c r="G707" s="2">
        <v>0.61459490740740741</v>
      </c>
      <c r="H707" s="2">
        <f t="shared" ref="H707:H770" si="47">G707-F707</f>
        <v>1.1388888888888893E-2</v>
      </c>
      <c r="K707" s="1"/>
    </row>
    <row r="708" spans="1:11" x14ac:dyDescent="0.25">
      <c r="A708" s="6">
        <v>38047574</v>
      </c>
      <c r="B708" t="str">
        <f t="shared" si="44"/>
        <v>komorkowy</v>
      </c>
      <c r="C708">
        <f t="shared" si="45"/>
        <v>0</v>
      </c>
      <c r="D708">
        <f t="shared" si="46"/>
        <v>0</v>
      </c>
      <c r="E708" s="1">
        <v>42927</v>
      </c>
      <c r="F708" s="2">
        <v>0.60721064814814818</v>
      </c>
      <c r="G708" s="2">
        <v>0.61490740740740746</v>
      </c>
      <c r="H708" s="2">
        <f t="shared" si="47"/>
        <v>7.6967592592592782E-3</v>
      </c>
      <c r="K708" s="1"/>
    </row>
    <row r="709" spans="1:11" x14ac:dyDescent="0.25">
      <c r="A709" s="6">
        <v>3184339</v>
      </c>
      <c r="B709" t="str">
        <f t="shared" si="44"/>
        <v>stacjonarny</v>
      </c>
      <c r="C709">
        <f t="shared" si="45"/>
        <v>0</v>
      </c>
      <c r="D709">
        <f t="shared" si="46"/>
        <v>0</v>
      </c>
      <c r="E709" s="1">
        <v>42927</v>
      </c>
      <c r="F709" s="2">
        <v>0.61179398148148145</v>
      </c>
      <c r="G709" s="2">
        <v>0.61260416666666662</v>
      </c>
      <c r="H709" s="2">
        <f t="shared" si="47"/>
        <v>8.101851851851638E-4</v>
      </c>
      <c r="K709" s="1"/>
    </row>
    <row r="710" spans="1:11" x14ac:dyDescent="0.25">
      <c r="A710" s="6">
        <v>8126744698</v>
      </c>
      <c r="B710" t="str">
        <f t="shared" si="44"/>
        <v>zagraniczny</v>
      </c>
      <c r="C710">
        <f t="shared" si="45"/>
        <v>0</v>
      </c>
      <c r="D710">
        <f t="shared" si="46"/>
        <v>0</v>
      </c>
      <c r="E710" s="1">
        <v>42927</v>
      </c>
      <c r="F710" s="2">
        <v>0.61664351851851851</v>
      </c>
      <c r="G710" s="2">
        <v>0.61856481481481485</v>
      </c>
      <c r="H710" s="2">
        <f t="shared" si="47"/>
        <v>1.9212962962963376E-3</v>
      </c>
      <c r="K710" s="1"/>
    </row>
    <row r="711" spans="1:11" x14ac:dyDescent="0.25">
      <c r="A711" s="6">
        <v>52391912</v>
      </c>
      <c r="B711" t="str">
        <f t="shared" si="44"/>
        <v>komorkowy</v>
      </c>
      <c r="C711">
        <f t="shared" si="45"/>
        <v>0</v>
      </c>
      <c r="D711">
        <f t="shared" si="46"/>
        <v>0</v>
      </c>
      <c r="E711" s="1">
        <v>42927</v>
      </c>
      <c r="F711" s="2">
        <v>0.62067129629629625</v>
      </c>
      <c r="G711" s="2">
        <v>0.62475694444444441</v>
      </c>
      <c r="H711" s="2">
        <f t="shared" si="47"/>
        <v>4.0856481481481577E-3</v>
      </c>
      <c r="K711" s="1"/>
    </row>
    <row r="712" spans="1:11" x14ac:dyDescent="0.25">
      <c r="A712" s="6">
        <v>1223943</v>
      </c>
      <c r="B712" t="str">
        <f t="shared" si="44"/>
        <v>stacjonarny</v>
      </c>
      <c r="C712">
        <f t="shared" si="45"/>
        <v>1</v>
      </c>
      <c r="D712">
        <f t="shared" si="46"/>
        <v>1</v>
      </c>
      <c r="E712" s="1">
        <v>42927</v>
      </c>
      <c r="F712" s="2">
        <v>0.6252199074074074</v>
      </c>
      <c r="G712" s="2">
        <v>0.63226851851851851</v>
      </c>
      <c r="H712" s="2">
        <f t="shared" si="47"/>
        <v>7.0486111111111027E-3</v>
      </c>
      <c r="K712" s="1"/>
    </row>
    <row r="713" spans="1:11" x14ac:dyDescent="0.25">
      <c r="A713" s="6">
        <v>14201334</v>
      </c>
      <c r="B713" t="str">
        <f t="shared" si="44"/>
        <v>komorkowy</v>
      </c>
      <c r="C713">
        <f t="shared" si="45"/>
        <v>0</v>
      </c>
      <c r="D713">
        <f t="shared" si="46"/>
        <v>0</v>
      </c>
      <c r="E713" s="1">
        <v>42928</v>
      </c>
      <c r="F713" s="2">
        <v>0.33568287037037037</v>
      </c>
      <c r="G713" s="2">
        <v>0.34125</v>
      </c>
      <c r="H713" s="2">
        <f t="shared" si="47"/>
        <v>5.5671296296296302E-3</v>
      </c>
      <c r="K713" s="1"/>
    </row>
    <row r="714" spans="1:11" x14ac:dyDescent="0.25">
      <c r="A714" s="6">
        <v>1972250241</v>
      </c>
      <c r="B714" t="str">
        <f t="shared" si="44"/>
        <v>zagraniczny</v>
      </c>
      <c r="C714">
        <f t="shared" si="45"/>
        <v>0</v>
      </c>
      <c r="D714">
        <f t="shared" si="46"/>
        <v>0</v>
      </c>
      <c r="E714" s="1">
        <v>42928</v>
      </c>
      <c r="F714" s="2">
        <v>0.33716435185185184</v>
      </c>
      <c r="G714" s="2">
        <v>0.33778935185185183</v>
      </c>
      <c r="H714" s="2">
        <f t="shared" si="47"/>
        <v>6.2499999999998668E-4</v>
      </c>
      <c r="K714" s="1"/>
    </row>
    <row r="715" spans="1:11" x14ac:dyDescent="0.25">
      <c r="A715" s="6">
        <v>3028093</v>
      </c>
      <c r="B715" t="str">
        <f t="shared" si="44"/>
        <v>stacjonarny</v>
      </c>
      <c r="C715">
        <f t="shared" si="45"/>
        <v>0</v>
      </c>
      <c r="D715">
        <f t="shared" si="46"/>
        <v>0</v>
      </c>
      <c r="E715" s="1">
        <v>42928</v>
      </c>
      <c r="F715" s="2">
        <v>0.34185185185185185</v>
      </c>
      <c r="G715" s="2">
        <v>0.34375</v>
      </c>
      <c r="H715" s="2">
        <f t="shared" si="47"/>
        <v>1.8981481481481488E-3</v>
      </c>
      <c r="K715" s="1"/>
    </row>
    <row r="716" spans="1:11" x14ac:dyDescent="0.25">
      <c r="A716" s="6">
        <v>27487200</v>
      </c>
      <c r="B716" t="str">
        <f t="shared" si="44"/>
        <v>komorkowy</v>
      </c>
      <c r="C716">
        <f t="shared" si="45"/>
        <v>0</v>
      </c>
      <c r="D716">
        <f t="shared" si="46"/>
        <v>0</v>
      </c>
      <c r="E716" s="1">
        <v>42928</v>
      </c>
      <c r="F716" s="2">
        <v>0.34646990740740741</v>
      </c>
      <c r="G716" s="2">
        <v>0.3550462962962963</v>
      </c>
      <c r="H716" s="2">
        <f t="shared" si="47"/>
        <v>8.5763888888888973E-3</v>
      </c>
      <c r="K716" s="1"/>
    </row>
    <row r="717" spans="1:11" x14ac:dyDescent="0.25">
      <c r="A717" s="6">
        <v>7377702</v>
      </c>
      <c r="B717" t="str">
        <f t="shared" si="44"/>
        <v>stacjonarny</v>
      </c>
      <c r="C717">
        <f t="shared" si="45"/>
        <v>0</v>
      </c>
      <c r="D717">
        <f t="shared" si="46"/>
        <v>0</v>
      </c>
      <c r="E717" s="1">
        <v>42928</v>
      </c>
      <c r="F717" s="2">
        <v>0.34722222222222221</v>
      </c>
      <c r="G717" s="2">
        <v>0.3532986111111111</v>
      </c>
      <c r="H717" s="2">
        <f t="shared" si="47"/>
        <v>6.0763888888888951E-3</v>
      </c>
      <c r="K717" s="1"/>
    </row>
    <row r="718" spans="1:11" x14ac:dyDescent="0.25">
      <c r="A718" s="6">
        <v>9294571</v>
      </c>
      <c r="B718" t="str">
        <f t="shared" si="44"/>
        <v>stacjonarny</v>
      </c>
      <c r="C718">
        <f t="shared" si="45"/>
        <v>0</v>
      </c>
      <c r="D718">
        <f t="shared" si="46"/>
        <v>0</v>
      </c>
      <c r="E718" s="1">
        <v>42928</v>
      </c>
      <c r="F718" s="2">
        <v>0.35115740740740742</v>
      </c>
      <c r="G718" s="2">
        <v>0.35447916666666668</v>
      </c>
      <c r="H718" s="2">
        <f t="shared" si="47"/>
        <v>3.3217592592592604E-3</v>
      </c>
      <c r="K718" s="1"/>
    </row>
    <row r="719" spans="1:11" x14ac:dyDescent="0.25">
      <c r="A719" s="6">
        <v>6865106</v>
      </c>
      <c r="B719" t="str">
        <f t="shared" si="44"/>
        <v>stacjonarny</v>
      </c>
      <c r="C719">
        <f t="shared" si="45"/>
        <v>0</v>
      </c>
      <c r="D719">
        <f t="shared" si="46"/>
        <v>0</v>
      </c>
      <c r="E719" s="1">
        <v>42928</v>
      </c>
      <c r="F719" s="2">
        <v>0.35636574074074073</v>
      </c>
      <c r="G719" s="2">
        <v>0.36511574074074077</v>
      </c>
      <c r="H719" s="2">
        <f t="shared" si="47"/>
        <v>8.7500000000000355E-3</v>
      </c>
      <c r="K719" s="1"/>
    </row>
    <row r="720" spans="1:11" x14ac:dyDescent="0.25">
      <c r="A720" s="6">
        <v>62086163</v>
      </c>
      <c r="B720" t="str">
        <f t="shared" si="44"/>
        <v>komorkowy</v>
      </c>
      <c r="C720">
        <f t="shared" si="45"/>
        <v>0</v>
      </c>
      <c r="D720">
        <f t="shared" si="46"/>
        <v>0</v>
      </c>
      <c r="E720" s="1">
        <v>42928</v>
      </c>
      <c r="F720" s="2">
        <v>0.36060185185185184</v>
      </c>
      <c r="G720" s="2">
        <v>0.36312499999999998</v>
      </c>
      <c r="H720" s="2">
        <f t="shared" si="47"/>
        <v>2.5231481481481355E-3</v>
      </c>
      <c r="K720" s="1"/>
    </row>
    <row r="721" spans="1:11" x14ac:dyDescent="0.25">
      <c r="A721" s="6">
        <v>6367284</v>
      </c>
      <c r="B721" t="str">
        <f t="shared" si="44"/>
        <v>stacjonarny</v>
      </c>
      <c r="C721">
        <f t="shared" si="45"/>
        <v>0</v>
      </c>
      <c r="D721">
        <f t="shared" si="46"/>
        <v>0</v>
      </c>
      <c r="E721" s="1">
        <v>42928</v>
      </c>
      <c r="F721" s="2">
        <v>0.36519675925925926</v>
      </c>
      <c r="G721" s="2">
        <v>0.36751157407407409</v>
      </c>
      <c r="H721" s="2">
        <f t="shared" si="47"/>
        <v>2.3148148148148251E-3</v>
      </c>
      <c r="K721" s="1"/>
    </row>
    <row r="722" spans="1:11" x14ac:dyDescent="0.25">
      <c r="A722" s="6">
        <v>1811630</v>
      </c>
      <c r="B722" t="str">
        <f t="shared" si="44"/>
        <v>stacjonarny</v>
      </c>
      <c r="C722">
        <f t="shared" si="45"/>
        <v>0</v>
      </c>
      <c r="D722">
        <f t="shared" si="46"/>
        <v>0</v>
      </c>
      <c r="E722" s="1">
        <v>42928</v>
      </c>
      <c r="F722" s="2">
        <v>0.36787037037037035</v>
      </c>
      <c r="G722" s="2">
        <v>0.36855324074074075</v>
      </c>
      <c r="H722" s="2">
        <f t="shared" si="47"/>
        <v>6.828703703704031E-4</v>
      </c>
      <c r="K722" s="1"/>
    </row>
    <row r="723" spans="1:11" x14ac:dyDescent="0.25">
      <c r="A723" s="6">
        <v>9346036178</v>
      </c>
      <c r="B723" t="str">
        <f t="shared" si="44"/>
        <v>zagraniczny</v>
      </c>
      <c r="C723">
        <f t="shared" si="45"/>
        <v>0</v>
      </c>
      <c r="D723">
        <f t="shared" si="46"/>
        <v>0</v>
      </c>
      <c r="E723" s="1">
        <v>42928</v>
      </c>
      <c r="F723" s="2">
        <v>0.37017361111111113</v>
      </c>
      <c r="G723" s="2">
        <v>0.38035879629629632</v>
      </c>
      <c r="H723" s="2">
        <f t="shared" si="47"/>
        <v>1.0185185185185186E-2</v>
      </c>
      <c r="K723" s="1"/>
    </row>
    <row r="724" spans="1:11" x14ac:dyDescent="0.25">
      <c r="A724" s="6">
        <v>1138033</v>
      </c>
      <c r="B724" t="str">
        <f t="shared" si="44"/>
        <v>stacjonarny</v>
      </c>
      <c r="C724">
        <f t="shared" si="45"/>
        <v>0</v>
      </c>
      <c r="D724">
        <f t="shared" si="46"/>
        <v>0</v>
      </c>
      <c r="E724" s="1">
        <v>42928</v>
      </c>
      <c r="F724" s="2">
        <v>0.37504629629629632</v>
      </c>
      <c r="G724" s="2">
        <v>0.37731481481481483</v>
      </c>
      <c r="H724" s="2">
        <f t="shared" si="47"/>
        <v>2.2685185185185031E-3</v>
      </c>
      <c r="K724" s="1"/>
    </row>
    <row r="725" spans="1:11" x14ac:dyDescent="0.25">
      <c r="A725" s="6">
        <v>2114812</v>
      </c>
      <c r="B725" t="str">
        <f t="shared" si="44"/>
        <v>stacjonarny</v>
      </c>
      <c r="C725">
        <f t="shared" si="45"/>
        <v>0</v>
      </c>
      <c r="D725">
        <f t="shared" si="46"/>
        <v>0</v>
      </c>
      <c r="E725" s="1">
        <v>42928</v>
      </c>
      <c r="F725" s="2">
        <v>0.37615740740740738</v>
      </c>
      <c r="G725" s="2">
        <v>0.38158564814814816</v>
      </c>
      <c r="H725" s="2">
        <f t="shared" si="47"/>
        <v>5.4282407407407751E-3</v>
      </c>
      <c r="K725" s="1"/>
    </row>
    <row r="726" spans="1:11" x14ac:dyDescent="0.25">
      <c r="A726" s="6">
        <v>4195677</v>
      </c>
      <c r="B726" t="str">
        <f t="shared" si="44"/>
        <v>stacjonarny</v>
      </c>
      <c r="C726">
        <f t="shared" si="45"/>
        <v>0</v>
      </c>
      <c r="D726">
        <f t="shared" si="46"/>
        <v>0</v>
      </c>
      <c r="E726" s="1">
        <v>42928</v>
      </c>
      <c r="F726" s="2">
        <v>0.37644675925925924</v>
      </c>
      <c r="G726" s="2">
        <v>0.38192129629629629</v>
      </c>
      <c r="H726" s="2">
        <f t="shared" si="47"/>
        <v>5.4745370370370416E-3</v>
      </c>
      <c r="K726" s="1"/>
    </row>
    <row r="727" spans="1:11" x14ac:dyDescent="0.25">
      <c r="A727" s="6">
        <v>3493348</v>
      </c>
      <c r="B727" t="str">
        <f t="shared" si="44"/>
        <v>stacjonarny</v>
      </c>
      <c r="C727">
        <f t="shared" si="45"/>
        <v>0</v>
      </c>
      <c r="D727">
        <f t="shared" si="46"/>
        <v>0</v>
      </c>
      <c r="E727" s="1">
        <v>42928</v>
      </c>
      <c r="F727" s="2">
        <v>0.37934027777777779</v>
      </c>
      <c r="G727" s="2">
        <v>0.38925925925925925</v>
      </c>
      <c r="H727" s="2">
        <f t="shared" si="47"/>
        <v>9.9189814814814592E-3</v>
      </c>
      <c r="K727" s="1"/>
    </row>
    <row r="728" spans="1:11" x14ac:dyDescent="0.25">
      <c r="A728" s="6">
        <v>6005020</v>
      </c>
      <c r="B728" t="str">
        <f t="shared" si="44"/>
        <v>stacjonarny</v>
      </c>
      <c r="C728">
        <f t="shared" si="45"/>
        <v>0</v>
      </c>
      <c r="D728">
        <f t="shared" si="46"/>
        <v>0</v>
      </c>
      <c r="E728" s="1">
        <v>42928</v>
      </c>
      <c r="F728" s="2">
        <v>0.38046296296296295</v>
      </c>
      <c r="G728" s="2">
        <v>0.38739583333333333</v>
      </c>
      <c r="H728" s="2">
        <f t="shared" si="47"/>
        <v>6.9328703703703809E-3</v>
      </c>
      <c r="K728" s="1"/>
    </row>
    <row r="729" spans="1:11" x14ac:dyDescent="0.25">
      <c r="A729" s="6">
        <v>7421868</v>
      </c>
      <c r="B729" t="str">
        <f t="shared" si="44"/>
        <v>stacjonarny</v>
      </c>
      <c r="C729">
        <f t="shared" si="45"/>
        <v>0</v>
      </c>
      <c r="D729">
        <f t="shared" si="46"/>
        <v>0</v>
      </c>
      <c r="E729" s="1">
        <v>42928</v>
      </c>
      <c r="F729" s="2">
        <v>0.38292824074074072</v>
      </c>
      <c r="G729" s="2">
        <v>0.38613425925925926</v>
      </c>
      <c r="H729" s="2">
        <f t="shared" si="47"/>
        <v>3.2060185185185386E-3</v>
      </c>
      <c r="K729" s="1"/>
    </row>
    <row r="730" spans="1:11" x14ac:dyDescent="0.25">
      <c r="A730" s="6">
        <v>2227803</v>
      </c>
      <c r="B730" t="str">
        <f t="shared" si="44"/>
        <v>stacjonarny</v>
      </c>
      <c r="C730">
        <f t="shared" si="45"/>
        <v>0</v>
      </c>
      <c r="D730">
        <f t="shared" si="46"/>
        <v>0</v>
      </c>
      <c r="E730" s="1">
        <v>42928</v>
      </c>
      <c r="F730" s="2">
        <v>0.38317129629629632</v>
      </c>
      <c r="G730" s="2">
        <v>0.39157407407407407</v>
      </c>
      <c r="H730" s="2">
        <f t="shared" si="47"/>
        <v>8.402777777777759E-3</v>
      </c>
      <c r="K730" s="1"/>
    </row>
    <row r="731" spans="1:11" x14ac:dyDescent="0.25">
      <c r="A731" s="6">
        <v>4007464</v>
      </c>
      <c r="B731" t="str">
        <f t="shared" si="44"/>
        <v>stacjonarny</v>
      </c>
      <c r="C731">
        <f t="shared" si="45"/>
        <v>0</v>
      </c>
      <c r="D731">
        <f t="shared" si="46"/>
        <v>0</v>
      </c>
      <c r="E731" s="1">
        <v>42928</v>
      </c>
      <c r="F731" s="2">
        <v>0.38767361111111109</v>
      </c>
      <c r="G731" s="2">
        <v>0.38848379629629631</v>
      </c>
      <c r="H731" s="2">
        <f t="shared" si="47"/>
        <v>8.1018518518521931E-4</v>
      </c>
      <c r="K731" s="1"/>
    </row>
    <row r="732" spans="1:11" x14ac:dyDescent="0.25">
      <c r="A732" s="6">
        <v>54713807</v>
      </c>
      <c r="B732" t="str">
        <f t="shared" si="44"/>
        <v>komorkowy</v>
      </c>
      <c r="C732">
        <f t="shared" si="45"/>
        <v>0</v>
      </c>
      <c r="D732">
        <f t="shared" si="46"/>
        <v>0</v>
      </c>
      <c r="E732" s="1">
        <v>42928</v>
      </c>
      <c r="F732" s="2">
        <v>0.38968750000000002</v>
      </c>
      <c r="G732" s="2">
        <v>0.39152777777777775</v>
      </c>
      <c r="H732" s="2">
        <f t="shared" si="47"/>
        <v>1.8402777777777324E-3</v>
      </c>
      <c r="K732" s="1"/>
    </row>
    <row r="733" spans="1:11" x14ac:dyDescent="0.25">
      <c r="A733" s="6">
        <v>7097883</v>
      </c>
      <c r="B733" t="str">
        <f t="shared" si="44"/>
        <v>stacjonarny</v>
      </c>
      <c r="C733">
        <f t="shared" si="45"/>
        <v>0</v>
      </c>
      <c r="D733">
        <f t="shared" si="46"/>
        <v>0</v>
      </c>
      <c r="E733" s="1">
        <v>42928</v>
      </c>
      <c r="F733" s="2">
        <v>0.39206018518518521</v>
      </c>
      <c r="G733" s="2">
        <v>0.39436342592592594</v>
      </c>
      <c r="H733" s="2">
        <f t="shared" si="47"/>
        <v>2.3032407407407307E-3</v>
      </c>
      <c r="K733" s="1"/>
    </row>
    <row r="734" spans="1:11" x14ac:dyDescent="0.25">
      <c r="A734" s="6">
        <v>48630026</v>
      </c>
      <c r="B734" t="str">
        <f t="shared" si="44"/>
        <v>komorkowy</v>
      </c>
      <c r="C734">
        <f t="shared" si="45"/>
        <v>0</v>
      </c>
      <c r="D734">
        <f t="shared" si="46"/>
        <v>0</v>
      </c>
      <c r="E734" s="1">
        <v>42928</v>
      </c>
      <c r="F734" s="2">
        <v>0.39709490740740738</v>
      </c>
      <c r="G734" s="2">
        <v>0.40651620370370373</v>
      </c>
      <c r="H734" s="2">
        <f t="shared" si="47"/>
        <v>9.4212962962963442E-3</v>
      </c>
      <c r="K734" s="1"/>
    </row>
    <row r="735" spans="1:11" x14ac:dyDescent="0.25">
      <c r="A735" s="6">
        <v>1279245</v>
      </c>
      <c r="B735" t="str">
        <f t="shared" si="44"/>
        <v>stacjonarny</v>
      </c>
      <c r="C735">
        <f t="shared" si="45"/>
        <v>1</v>
      </c>
      <c r="D735">
        <f t="shared" si="46"/>
        <v>1</v>
      </c>
      <c r="E735" s="1">
        <v>42928</v>
      </c>
      <c r="F735" s="2">
        <v>0.40247685185185184</v>
      </c>
      <c r="G735" s="2">
        <v>0.40831018518518519</v>
      </c>
      <c r="H735" s="2">
        <f t="shared" si="47"/>
        <v>5.833333333333357E-3</v>
      </c>
      <c r="K735" s="1"/>
    </row>
    <row r="736" spans="1:11" x14ac:dyDescent="0.25">
      <c r="A736" s="6">
        <v>2571251</v>
      </c>
      <c r="B736" t="str">
        <f t="shared" si="44"/>
        <v>stacjonarny</v>
      </c>
      <c r="C736">
        <f t="shared" si="45"/>
        <v>0</v>
      </c>
      <c r="D736">
        <f t="shared" si="46"/>
        <v>0</v>
      </c>
      <c r="E736" s="1">
        <v>42928</v>
      </c>
      <c r="F736" s="2">
        <v>0.40822916666666664</v>
      </c>
      <c r="G736" s="2">
        <v>0.41586805555555556</v>
      </c>
      <c r="H736" s="2">
        <f t="shared" si="47"/>
        <v>7.6388888888889173E-3</v>
      </c>
      <c r="K736" s="1"/>
    </row>
    <row r="737" spans="1:11" x14ac:dyDescent="0.25">
      <c r="A737" s="6">
        <v>9566647</v>
      </c>
      <c r="B737" t="str">
        <f t="shared" si="44"/>
        <v>stacjonarny</v>
      </c>
      <c r="C737">
        <f t="shared" si="45"/>
        <v>0</v>
      </c>
      <c r="D737">
        <f t="shared" si="46"/>
        <v>0</v>
      </c>
      <c r="E737" s="1">
        <v>42928</v>
      </c>
      <c r="F737" s="2">
        <v>0.40881944444444446</v>
      </c>
      <c r="G737" s="2">
        <v>0.40950231481481481</v>
      </c>
      <c r="H737" s="2">
        <f t="shared" si="47"/>
        <v>6.8287037037034759E-4</v>
      </c>
      <c r="K737" s="1"/>
    </row>
    <row r="738" spans="1:11" x14ac:dyDescent="0.25">
      <c r="A738" s="6">
        <v>1454555</v>
      </c>
      <c r="B738" t="str">
        <f t="shared" si="44"/>
        <v>stacjonarny</v>
      </c>
      <c r="C738">
        <f t="shared" si="45"/>
        <v>0</v>
      </c>
      <c r="D738">
        <f t="shared" si="46"/>
        <v>0</v>
      </c>
      <c r="E738" s="1">
        <v>42928</v>
      </c>
      <c r="F738" s="2">
        <v>0.41078703703703706</v>
      </c>
      <c r="G738" s="2">
        <v>0.41078703703703706</v>
      </c>
      <c r="H738" s="2">
        <f t="shared" si="47"/>
        <v>0</v>
      </c>
      <c r="K738" s="1"/>
    </row>
    <row r="739" spans="1:11" x14ac:dyDescent="0.25">
      <c r="A739" s="6">
        <v>21996267</v>
      </c>
      <c r="B739" t="str">
        <f t="shared" si="44"/>
        <v>komorkowy</v>
      </c>
      <c r="C739">
        <f t="shared" si="45"/>
        <v>0</v>
      </c>
      <c r="D739">
        <f t="shared" si="46"/>
        <v>0</v>
      </c>
      <c r="E739" s="1">
        <v>42928</v>
      </c>
      <c r="F739" s="2">
        <v>0.41218749999999998</v>
      </c>
      <c r="G739" s="2">
        <v>0.41280092592592593</v>
      </c>
      <c r="H739" s="2">
        <f t="shared" si="47"/>
        <v>6.134259259259478E-4</v>
      </c>
      <c r="K739" s="1"/>
    </row>
    <row r="740" spans="1:11" x14ac:dyDescent="0.25">
      <c r="A740" s="6">
        <v>8429072</v>
      </c>
      <c r="B740" t="str">
        <f t="shared" si="44"/>
        <v>stacjonarny</v>
      </c>
      <c r="C740">
        <f t="shared" si="45"/>
        <v>0</v>
      </c>
      <c r="D740">
        <f t="shared" si="46"/>
        <v>0</v>
      </c>
      <c r="E740" s="1">
        <v>42928</v>
      </c>
      <c r="F740" s="2">
        <v>0.41414351851851849</v>
      </c>
      <c r="G740" s="2">
        <v>0.42015046296296299</v>
      </c>
      <c r="H740" s="2">
        <f t="shared" si="47"/>
        <v>6.0069444444444953E-3</v>
      </c>
      <c r="K740" s="1"/>
    </row>
    <row r="741" spans="1:11" x14ac:dyDescent="0.25">
      <c r="A741" s="6">
        <v>9815754</v>
      </c>
      <c r="B741" t="str">
        <f t="shared" si="44"/>
        <v>stacjonarny</v>
      </c>
      <c r="C741">
        <f t="shared" si="45"/>
        <v>0</v>
      </c>
      <c r="D741">
        <f t="shared" si="46"/>
        <v>0</v>
      </c>
      <c r="E741" s="1">
        <v>42928</v>
      </c>
      <c r="F741" s="2">
        <v>0.41853009259259261</v>
      </c>
      <c r="G741" s="2">
        <v>0.42037037037037039</v>
      </c>
      <c r="H741" s="2">
        <f t="shared" si="47"/>
        <v>1.8402777777777879E-3</v>
      </c>
      <c r="K741" s="1"/>
    </row>
    <row r="742" spans="1:11" x14ac:dyDescent="0.25">
      <c r="A742" s="6">
        <v>2434652</v>
      </c>
      <c r="B742" t="str">
        <f t="shared" si="44"/>
        <v>stacjonarny</v>
      </c>
      <c r="C742">
        <f t="shared" si="45"/>
        <v>0</v>
      </c>
      <c r="D742">
        <f t="shared" si="46"/>
        <v>0</v>
      </c>
      <c r="E742" s="1">
        <v>42928</v>
      </c>
      <c r="F742" s="2">
        <v>0.42370370370370369</v>
      </c>
      <c r="G742" s="2">
        <v>0.43412037037037038</v>
      </c>
      <c r="H742" s="2">
        <f t="shared" si="47"/>
        <v>1.0416666666666685E-2</v>
      </c>
      <c r="K742" s="1"/>
    </row>
    <row r="743" spans="1:11" x14ac:dyDescent="0.25">
      <c r="A743" s="6">
        <v>4939683</v>
      </c>
      <c r="B743" t="str">
        <f t="shared" si="44"/>
        <v>stacjonarny</v>
      </c>
      <c r="C743">
        <f t="shared" si="45"/>
        <v>0</v>
      </c>
      <c r="D743">
        <f t="shared" si="46"/>
        <v>0</v>
      </c>
      <c r="E743" s="1">
        <v>42928</v>
      </c>
      <c r="F743" s="2">
        <v>0.42650462962962965</v>
      </c>
      <c r="G743" s="2">
        <v>0.43417824074074074</v>
      </c>
      <c r="H743" s="2">
        <f t="shared" si="47"/>
        <v>7.6736111111110894E-3</v>
      </c>
      <c r="K743" s="1"/>
    </row>
    <row r="744" spans="1:11" x14ac:dyDescent="0.25">
      <c r="A744" s="6">
        <v>6821027</v>
      </c>
      <c r="B744" t="str">
        <f t="shared" si="44"/>
        <v>stacjonarny</v>
      </c>
      <c r="C744">
        <f t="shared" si="45"/>
        <v>0</v>
      </c>
      <c r="D744">
        <f t="shared" si="46"/>
        <v>0</v>
      </c>
      <c r="E744" s="1">
        <v>42928</v>
      </c>
      <c r="F744" s="2">
        <v>0.42766203703703703</v>
      </c>
      <c r="G744" s="2">
        <v>0.43533564814814812</v>
      </c>
      <c r="H744" s="2">
        <f t="shared" si="47"/>
        <v>7.6736111111110894E-3</v>
      </c>
      <c r="K744" s="1"/>
    </row>
    <row r="745" spans="1:11" x14ac:dyDescent="0.25">
      <c r="A745" s="6">
        <v>3253368</v>
      </c>
      <c r="B745" t="str">
        <f t="shared" si="44"/>
        <v>stacjonarny</v>
      </c>
      <c r="C745">
        <f t="shared" si="45"/>
        <v>0</v>
      </c>
      <c r="D745">
        <f t="shared" si="46"/>
        <v>0</v>
      </c>
      <c r="E745" s="1">
        <v>42928</v>
      </c>
      <c r="F745" s="2">
        <v>0.43041666666666667</v>
      </c>
      <c r="G745" s="2">
        <v>0.43164351851851851</v>
      </c>
      <c r="H745" s="2">
        <f t="shared" si="47"/>
        <v>1.2268518518518401E-3</v>
      </c>
      <c r="K745" s="1"/>
    </row>
    <row r="746" spans="1:11" x14ac:dyDescent="0.25">
      <c r="A746" s="6">
        <v>3505978</v>
      </c>
      <c r="B746" t="str">
        <f t="shared" si="44"/>
        <v>stacjonarny</v>
      </c>
      <c r="C746">
        <f t="shared" si="45"/>
        <v>0</v>
      </c>
      <c r="D746">
        <f t="shared" si="46"/>
        <v>0</v>
      </c>
      <c r="E746" s="1">
        <v>42928</v>
      </c>
      <c r="F746" s="2">
        <v>0.43381944444444442</v>
      </c>
      <c r="G746" s="2">
        <v>0.44515046296296296</v>
      </c>
      <c r="H746" s="2">
        <f t="shared" si="47"/>
        <v>1.1331018518518532E-2</v>
      </c>
      <c r="K746" s="1"/>
    </row>
    <row r="747" spans="1:11" x14ac:dyDescent="0.25">
      <c r="A747" s="6">
        <v>91743317</v>
      </c>
      <c r="B747" t="str">
        <f t="shared" si="44"/>
        <v>komorkowy</v>
      </c>
      <c r="C747">
        <f t="shared" si="45"/>
        <v>0</v>
      </c>
      <c r="D747">
        <f t="shared" si="46"/>
        <v>0</v>
      </c>
      <c r="E747" s="1">
        <v>42928</v>
      </c>
      <c r="F747" s="2">
        <v>0.43717592592592591</v>
      </c>
      <c r="G747" s="2">
        <v>0.44695601851851852</v>
      </c>
      <c r="H747" s="2">
        <f t="shared" si="47"/>
        <v>9.7800925925926041E-3</v>
      </c>
      <c r="K747" s="1"/>
    </row>
    <row r="748" spans="1:11" x14ac:dyDescent="0.25">
      <c r="A748" s="6">
        <v>5104536</v>
      </c>
      <c r="B748" t="str">
        <f t="shared" si="44"/>
        <v>stacjonarny</v>
      </c>
      <c r="C748">
        <f t="shared" si="45"/>
        <v>0</v>
      </c>
      <c r="D748">
        <f t="shared" si="46"/>
        <v>0</v>
      </c>
      <c r="E748" s="1">
        <v>42928</v>
      </c>
      <c r="F748" s="2">
        <v>0.44146990740740738</v>
      </c>
      <c r="G748" s="2">
        <v>0.44412037037037039</v>
      </c>
      <c r="H748" s="2">
        <f t="shared" si="47"/>
        <v>2.6504629629630072E-3</v>
      </c>
      <c r="K748" s="1"/>
    </row>
    <row r="749" spans="1:11" x14ac:dyDescent="0.25">
      <c r="A749" s="6">
        <v>7353916</v>
      </c>
      <c r="B749" t="str">
        <f t="shared" si="44"/>
        <v>stacjonarny</v>
      </c>
      <c r="C749">
        <f t="shared" si="45"/>
        <v>0</v>
      </c>
      <c r="D749">
        <f t="shared" si="46"/>
        <v>0</v>
      </c>
      <c r="E749" s="1">
        <v>42928</v>
      </c>
      <c r="F749" s="2">
        <v>0.44663194444444443</v>
      </c>
      <c r="G749" s="2">
        <v>0.45378472222222221</v>
      </c>
      <c r="H749" s="2">
        <f t="shared" si="47"/>
        <v>7.1527777777777857E-3</v>
      </c>
      <c r="K749" s="1"/>
    </row>
    <row r="750" spans="1:11" x14ac:dyDescent="0.25">
      <c r="A750" s="6">
        <v>4412771</v>
      </c>
      <c r="B750" t="str">
        <f t="shared" si="44"/>
        <v>stacjonarny</v>
      </c>
      <c r="C750">
        <f t="shared" si="45"/>
        <v>0</v>
      </c>
      <c r="D750">
        <f t="shared" si="46"/>
        <v>0</v>
      </c>
      <c r="E750" s="1">
        <v>42928</v>
      </c>
      <c r="F750" s="2">
        <v>0.44809027777777777</v>
      </c>
      <c r="G750" s="2">
        <v>0.45256944444444447</v>
      </c>
      <c r="H750" s="2">
        <f t="shared" si="47"/>
        <v>4.4791666666667007E-3</v>
      </c>
      <c r="K750" s="1"/>
    </row>
    <row r="751" spans="1:11" x14ac:dyDescent="0.25">
      <c r="A751" s="6">
        <v>6709939</v>
      </c>
      <c r="B751" t="str">
        <f t="shared" si="44"/>
        <v>stacjonarny</v>
      </c>
      <c r="C751">
        <f t="shared" si="45"/>
        <v>0</v>
      </c>
      <c r="D751">
        <f t="shared" si="46"/>
        <v>0</v>
      </c>
      <c r="E751" s="1">
        <v>42928</v>
      </c>
      <c r="F751" s="2">
        <v>0.44817129629629632</v>
      </c>
      <c r="G751" s="2">
        <v>0.4506134259259259</v>
      </c>
      <c r="H751" s="2">
        <f t="shared" si="47"/>
        <v>2.4421296296295858E-3</v>
      </c>
      <c r="K751" s="1"/>
    </row>
    <row r="752" spans="1:11" x14ac:dyDescent="0.25">
      <c r="A752" s="6">
        <v>7891185</v>
      </c>
      <c r="B752" t="str">
        <f t="shared" si="44"/>
        <v>stacjonarny</v>
      </c>
      <c r="C752">
        <f t="shared" si="45"/>
        <v>0</v>
      </c>
      <c r="D752">
        <f t="shared" si="46"/>
        <v>0</v>
      </c>
      <c r="E752" s="1">
        <v>42928</v>
      </c>
      <c r="F752" s="2">
        <v>0.45010416666666669</v>
      </c>
      <c r="G752" s="2">
        <v>0.46153935185185185</v>
      </c>
      <c r="H752" s="2">
        <f t="shared" si="47"/>
        <v>1.1435185185185159E-2</v>
      </c>
      <c r="K752" s="1"/>
    </row>
    <row r="753" spans="1:11" x14ac:dyDescent="0.25">
      <c r="A753" s="6">
        <v>90417363</v>
      </c>
      <c r="B753" t="str">
        <f t="shared" si="44"/>
        <v>komorkowy</v>
      </c>
      <c r="C753">
        <f t="shared" si="45"/>
        <v>0</v>
      </c>
      <c r="D753">
        <f t="shared" si="46"/>
        <v>0</v>
      </c>
      <c r="E753" s="1">
        <v>42928</v>
      </c>
      <c r="F753" s="2">
        <v>0.45504629629629628</v>
      </c>
      <c r="G753" s="2">
        <v>0.4607175925925926</v>
      </c>
      <c r="H753" s="2">
        <f t="shared" si="47"/>
        <v>5.6712962962963132E-3</v>
      </c>
      <c r="K753" s="1"/>
    </row>
    <row r="754" spans="1:11" x14ac:dyDescent="0.25">
      <c r="A754" s="6">
        <v>4929499</v>
      </c>
      <c r="B754" t="str">
        <f t="shared" si="44"/>
        <v>stacjonarny</v>
      </c>
      <c r="C754">
        <f t="shared" si="45"/>
        <v>0</v>
      </c>
      <c r="D754">
        <f t="shared" si="46"/>
        <v>0</v>
      </c>
      <c r="E754" s="1">
        <v>42928</v>
      </c>
      <c r="F754" s="2">
        <v>0.45673611111111112</v>
      </c>
      <c r="G754" s="2">
        <v>0.4586574074074074</v>
      </c>
      <c r="H754" s="2">
        <f t="shared" si="47"/>
        <v>1.9212962962962821E-3</v>
      </c>
      <c r="K754" s="1"/>
    </row>
    <row r="755" spans="1:11" x14ac:dyDescent="0.25">
      <c r="A755" s="6">
        <v>3824371</v>
      </c>
      <c r="B755" t="str">
        <f t="shared" si="44"/>
        <v>stacjonarny</v>
      </c>
      <c r="C755">
        <f t="shared" si="45"/>
        <v>0</v>
      </c>
      <c r="D755">
        <f t="shared" si="46"/>
        <v>0</v>
      </c>
      <c r="E755" s="1">
        <v>42928</v>
      </c>
      <c r="F755" s="2">
        <v>0.46217592592592593</v>
      </c>
      <c r="G755" s="2">
        <v>0.47150462962962963</v>
      </c>
      <c r="H755" s="2">
        <f t="shared" si="47"/>
        <v>9.3287037037037002E-3</v>
      </c>
      <c r="K755" s="1"/>
    </row>
    <row r="756" spans="1:11" x14ac:dyDescent="0.25">
      <c r="A756" s="6">
        <v>1119740</v>
      </c>
      <c r="B756" t="str">
        <f t="shared" si="44"/>
        <v>stacjonarny</v>
      </c>
      <c r="C756">
        <f t="shared" si="45"/>
        <v>0</v>
      </c>
      <c r="D756">
        <f t="shared" si="46"/>
        <v>0</v>
      </c>
      <c r="E756" s="1">
        <v>42928</v>
      </c>
      <c r="F756" s="2">
        <v>0.46663194444444445</v>
      </c>
      <c r="G756" s="2">
        <v>0.47532407407407407</v>
      </c>
      <c r="H756" s="2">
        <f t="shared" si="47"/>
        <v>8.6921296296296191E-3</v>
      </c>
      <c r="K756" s="1"/>
    </row>
    <row r="757" spans="1:11" x14ac:dyDescent="0.25">
      <c r="A757" s="6">
        <v>1219073</v>
      </c>
      <c r="B757" t="str">
        <f t="shared" si="44"/>
        <v>stacjonarny</v>
      </c>
      <c r="C757">
        <f t="shared" si="45"/>
        <v>1</v>
      </c>
      <c r="D757">
        <f t="shared" si="46"/>
        <v>1</v>
      </c>
      <c r="E757" s="1">
        <v>42928</v>
      </c>
      <c r="F757" s="2">
        <v>0.46870370370370368</v>
      </c>
      <c r="G757" s="2">
        <v>0.47320601851851851</v>
      </c>
      <c r="H757" s="2">
        <f t="shared" si="47"/>
        <v>4.502314814814834E-3</v>
      </c>
      <c r="K757" s="1"/>
    </row>
    <row r="758" spans="1:11" x14ac:dyDescent="0.25">
      <c r="A758" s="6">
        <v>87702896</v>
      </c>
      <c r="B758" t="str">
        <f t="shared" si="44"/>
        <v>komorkowy</v>
      </c>
      <c r="C758">
        <f t="shared" si="45"/>
        <v>0</v>
      </c>
      <c r="D758">
        <f t="shared" si="46"/>
        <v>0</v>
      </c>
      <c r="E758" s="1">
        <v>42928</v>
      </c>
      <c r="F758" s="2">
        <v>0.47358796296296296</v>
      </c>
      <c r="G758" s="2">
        <v>0.47878472222222224</v>
      </c>
      <c r="H758" s="2">
        <f t="shared" si="47"/>
        <v>5.196759259259276E-3</v>
      </c>
      <c r="K758" s="1"/>
    </row>
    <row r="759" spans="1:11" x14ac:dyDescent="0.25">
      <c r="A759" s="6">
        <v>94197168</v>
      </c>
      <c r="B759" t="str">
        <f t="shared" si="44"/>
        <v>komorkowy</v>
      </c>
      <c r="C759">
        <f t="shared" si="45"/>
        <v>0</v>
      </c>
      <c r="D759">
        <f t="shared" si="46"/>
        <v>0</v>
      </c>
      <c r="E759" s="1">
        <v>42928</v>
      </c>
      <c r="F759" s="2">
        <v>0.47819444444444442</v>
      </c>
      <c r="G759" s="2">
        <v>0.48442129629629632</v>
      </c>
      <c r="H759" s="2">
        <f t="shared" si="47"/>
        <v>6.2268518518519E-3</v>
      </c>
      <c r="K759" s="1"/>
    </row>
    <row r="760" spans="1:11" x14ac:dyDescent="0.25">
      <c r="A760" s="6">
        <v>8655825</v>
      </c>
      <c r="B760" t="str">
        <f t="shared" si="44"/>
        <v>stacjonarny</v>
      </c>
      <c r="C760">
        <f t="shared" si="45"/>
        <v>0</v>
      </c>
      <c r="D760">
        <f t="shared" si="46"/>
        <v>0</v>
      </c>
      <c r="E760" s="1">
        <v>42928</v>
      </c>
      <c r="F760" s="2">
        <v>0.48251157407407408</v>
      </c>
      <c r="G760" s="2">
        <v>0.48732638888888891</v>
      </c>
      <c r="H760" s="2">
        <f t="shared" si="47"/>
        <v>4.8148148148148273E-3</v>
      </c>
      <c r="K760" s="1"/>
    </row>
    <row r="761" spans="1:11" x14ac:dyDescent="0.25">
      <c r="A761" s="6">
        <v>47707639</v>
      </c>
      <c r="B761" t="str">
        <f t="shared" si="44"/>
        <v>komorkowy</v>
      </c>
      <c r="C761">
        <f t="shared" si="45"/>
        <v>0</v>
      </c>
      <c r="D761">
        <f t="shared" si="46"/>
        <v>0</v>
      </c>
      <c r="E761" s="1">
        <v>42928</v>
      </c>
      <c r="F761" s="2">
        <v>0.48827546296296298</v>
      </c>
      <c r="G761" s="2">
        <v>0.49432870370370369</v>
      </c>
      <c r="H761" s="2">
        <f t="shared" si="47"/>
        <v>6.0532407407407063E-3</v>
      </c>
      <c r="K761" s="1"/>
    </row>
    <row r="762" spans="1:11" x14ac:dyDescent="0.25">
      <c r="A762" s="6">
        <v>5029329</v>
      </c>
      <c r="B762" t="str">
        <f t="shared" si="44"/>
        <v>stacjonarny</v>
      </c>
      <c r="C762">
        <f t="shared" si="45"/>
        <v>0</v>
      </c>
      <c r="D762">
        <f t="shared" si="46"/>
        <v>0</v>
      </c>
      <c r="E762" s="1">
        <v>42928</v>
      </c>
      <c r="F762" s="2">
        <v>0.49062499999999998</v>
      </c>
      <c r="G762" s="2">
        <v>0.49535879629629631</v>
      </c>
      <c r="H762" s="2">
        <f t="shared" si="47"/>
        <v>4.7337962962963331E-3</v>
      </c>
      <c r="K762" s="1"/>
    </row>
    <row r="763" spans="1:11" x14ac:dyDescent="0.25">
      <c r="A763" s="6">
        <v>8825868</v>
      </c>
      <c r="B763" t="str">
        <f t="shared" si="44"/>
        <v>stacjonarny</v>
      </c>
      <c r="C763">
        <f t="shared" si="45"/>
        <v>0</v>
      </c>
      <c r="D763">
        <f t="shared" si="46"/>
        <v>0</v>
      </c>
      <c r="E763" s="1">
        <v>42928</v>
      </c>
      <c r="F763" s="2">
        <v>0.49552083333333335</v>
      </c>
      <c r="G763" s="2">
        <v>0.50263888888888886</v>
      </c>
      <c r="H763" s="2">
        <f t="shared" si="47"/>
        <v>7.1180555555555025E-3</v>
      </c>
      <c r="K763" s="1"/>
    </row>
    <row r="764" spans="1:11" x14ac:dyDescent="0.25">
      <c r="A764" s="6">
        <v>8461631</v>
      </c>
      <c r="B764" t="str">
        <f t="shared" si="44"/>
        <v>stacjonarny</v>
      </c>
      <c r="C764">
        <f t="shared" si="45"/>
        <v>0</v>
      </c>
      <c r="D764">
        <f t="shared" si="46"/>
        <v>0</v>
      </c>
      <c r="E764" s="1">
        <v>42928</v>
      </c>
      <c r="F764" s="2">
        <v>0.50025462962962963</v>
      </c>
      <c r="G764" s="2">
        <v>0.50344907407407402</v>
      </c>
      <c r="H764" s="2">
        <f t="shared" si="47"/>
        <v>3.1944444444443887E-3</v>
      </c>
      <c r="K764" s="1"/>
    </row>
    <row r="765" spans="1:11" x14ac:dyDescent="0.25">
      <c r="A765" s="6">
        <v>76777492</v>
      </c>
      <c r="B765" t="str">
        <f t="shared" si="44"/>
        <v>komorkowy</v>
      </c>
      <c r="C765">
        <f t="shared" si="45"/>
        <v>0</v>
      </c>
      <c r="D765">
        <f t="shared" si="46"/>
        <v>0</v>
      </c>
      <c r="E765" s="1">
        <v>42928</v>
      </c>
      <c r="F765" s="2">
        <v>0.50071759259259263</v>
      </c>
      <c r="G765" s="2">
        <v>0.5085763888888889</v>
      </c>
      <c r="H765" s="2">
        <f t="shared" si="47"/>
        <v>7.8587962962962665E-3</v>
      </c>
      <c r="K765" s="1"/>
    </row>
    <row r="766" spans="1:11" x14ac:dyDescent="0.25">
      <c r="A766" s="6">
        <v>71036125</v>
      </c>
      <c r="B766" t="str">
        <f t="shared" si="44"/>
        <v>komorkowy</v>
      </c>
      <c r="C766">
        <f t="shared" si="45"/>
        <v>0</v>
      </c>
      <c r="D766">
        <f t="shared" si="46"/>
        <v>0</v>
      </c>
      <c r="E766" s="1">
        <v>42928</v>
      </c>
      <c r="F766" s="2">
        <v>0.50597222222222227</v>
      </c>
      <c r="G766" s="2">
        <v>0.51633101851851848</v>
      </c>
      <c r="H766" s="2">
        <f t="shared" si="47"/>
        <v>1.0358796296296213E-2</v>
      </c>
      <c r="K766" s="1"/>
    </row>
    <row r="767" spans="1:11" x14ac:dyDescent="0.25">
      <c r="A767" s="6">
        <v>2989192</v>
      </c>
      <c r="B767" t="str">
        <f t="shared" si="44"/>
        <v>stacjonarny</v>
      </c>
      <c r="C767">
        <f t="shared" si="45"/>
        <v>0</v>
      </c>
      <c r="D767">
        <f t="shared" si="46"/>
        <v>0</v>
      </c>
      <c r="E767" s="1">
        <v>42928</v>
      </c>
      <c r="F767" s="2">
        <v>0.5087962962962963</v>
      </c>
      <c r="G767" s="2">
        <v>0.51349537037037041</v>
      </c>
      <c r="H767" s="2">
        <f t="shared" si="47"/>
        <v>4.6990740740741055E-3</v>
      </c>
      <c r="K767" s="1"/>
    </row>
    <row r="768" spans="1:11" x14ac:dyDescent="0.25">
      <c r="A768" s="6">
        <v>5131341</v>
      </c>
      <c r="B768" t="str">
        <f t="shared" si="44"/>
        <v>stacjonarny</v>
      </c>
      <c r="C768">
        <f t="shared" si="45"/>
        <v>0</v>
      </c>
      <c r="D768">
        <f t="shared" si="46"/>
        <v>0</v>
      </c>
      <c r="E768" s="1">
        <v>42928</v>
      </c>
      <c r="F768" s="2">
        <v>0.50974537037037038</v>
      </c>
      <c r="G768" s="2">
        <v>0.51072916666666668</v>
      </c>
      <c r="H768" s="2">
        <f t="shared" si="47"/>
        <v>9.8379629629630205E-4</v>
      </c>
      <c r="K768" s="1"/>
    </row>
    <row r="769" spans="1:11" x14ac:dyDescent="0.25">
      <c r="A769" s="6">
        <v>2826868</v>
      </c>
      <c r="B769" t="str">
        <f t="shared" si="44"/>
        <v>stacjonarny</v>
      </c>
      <c r="C769">
        <f t="shared" si="45"/>
        <v>0</v>
      </c>
      <c r="D769">
        <f t="shared" si="46"/>
        <v>0</v>
      </c>
      <c r="E769" s="1">
        <v>42928</v>
      </c>
      <c r="F769" s="2">
        <v>0.51549768518518524</v>
      </c>
      <c r="G769" s="2">
        <v>0.51550925925925928</v>
      </c>
      <c r="H769" s="2">
        <f t="shared" si="47"/>
        <v>1.1574074074038876E-5</v>
      </c>
      <c r="K769" s="1"/>
    </row>
    <row r="770" spans="1:11" x14ac:dyDescent="0.25">
      <c r="A770" s="6">
        <v>9849071</v>
      </c>
      <c r="B770" t="str">
        <f t="shared" ref="B770:B833" si="48">IF(LEN(A770)=7, "stacjonarny", IF(LEN(A770)=8, "komorkowy", "zagraniczny"))</f>
        <v>stacjonarny</v>
      </c>
      <c r="C770">
        <f t="shared" si="45"/>
        <v>0</v>
      </c>
      <c r="D770">
        <f t="shared" si="46"/>
        <v>0</v>
      </c>
      <c r="E770" s="1">
        <v>42928</v>
      </c>
      <c r="F770" s="2">
        <v>0.51561342592592596</v>
      </c>
      <c r="G770" s="2">
        <v>0.52171296296296299</v>
      </c>
      <c r="H770" s="2">
        <f t="shared" si="47"/>
        <v>6.0995370370370283E-3</v>
      </c>
      <c r="K770" s="1"/>
    </row>
    <row r="771" spans="1:11" x14ac:dyDescent="0.25">
      <c r="A771" s="6">
        <v>47025160</v>
      </c>
      <c r="B771" t="str">
        <f t="shared" si="48"/>
        <v>komorkowy</v>
      </c>
      <c r="C771">
        <f t="shared" ref="C771:C834" si="49">IF(LEFT(A771,2)="12",1,0)</f>
        <v>0</v>
      </c>
      <c r="D771">
        <f t="shared" ref="D771:D834" si="50">IF(AND(C771=1,B771="stacjonarny"),1,0)</f>
        <v>0</v>
      </c>
      <c r="E771" s="1">
        <v>42928</v>
      </c>
      <c r="F771" s="2">
        <v>0.52009259259259255</v>
      </c>
      <c r="G771" s="2">
        <v>0.52987268518518515</v>
      </c>
      <c r="H771" s="2">
        <f t="shared" ref="H771:H834" si="51">G771-F771</f>
        <v>9.7800925925926041E-3</v>
      </c>
      <c r="K771" s="1"/>
    </row>
    <row r="772" spans="1:11" x14ac:dyDescent="0.25">
      <c r="A772" s="6">
        <v>97798921</v>
      </c>
      <c r="B772" t="str">
        <f t="shared" si="48"/>
        <v>komorkowy</v>
      </c>
      <c r="C772">
        <f t="shared" si="49"/>
        <v>0</v>
      </c>
      <c r="D772">
        <f t="shared" si="50"/>
        <v>0</v>
      </c>
      <c r="E772" s="1">
        <v>42928</v>
      </c>
      <c r="F772" s="2">
        <v>0.52172453703703703</v>
      </c>
      <c r="G772" s="2">
        <v>0.52606481481481482</v>
      </c>
      <c r="H772" s="2">
        <f t="shared" si="51"/>
        <v>4.3402777777777901E-3</v>
      </c>
      <c r="K772" s="1"/>
    </row>
    <row r="773" spans="1:11" x14ac:dyDescent="0.25">
      <c r="A773" s="6">
        <v>2248131</v>
      </c>
      <c r="B773" t="str">
        <f t="shared" si="48"/>
        <v>stacjonarny</v>
      </c>
      <c r="C773">
        <f t="shared" si="49"/>
        <v>0</v>
      </c>
      <c r="D773">
        <f t="shared" si="50"/>
        <v>0</v>
      </c>
      <c r="E773" s="1">
        <v>42928</v>
      </c>
      <c r="F773" s="2">
        <v>0.52298611111111115</v>
      </c>
      <c r="G773" s="2">
        <v>0.53249999999999997</v>
      </c>
      <c r="H773" s="2">
        <f t="shared" si="51"/>
        <v>9.5138888888888218E-3</v>
      </c>
      <c r="K773" s="1"/>
    </row>
    <row r="774" spans="1:11" x14ac:dyDescent="0.25">
      <c r="A774" s="6">
        <v>1973826522</v>
      </c>
      <c r="B774" t="str">
        <f t="shared" si="48"/>
        <v>zagraniczny</v>
      </c>
      <c r="C774">
        <f t="shared" si="49"/>
        <v>0</v>
      </c>
      <c r="D774">
        <f t="shared" si="50"/>
        <v>0</v>
      </c>
      <c r="E774" s="1">
        <v>42928</v>
      </c>
      <c r="F774" s="2">
        <v>0.52342592592592596</v>
      </c>
      <c r="G774" s="2">
        <v>0.52350694444444446</v>
      </c>
      <c r="H774" s="2">
        <f t="shared" si="51"/>
        <v>8.1018518518494176E-5</v>
      </c>
      <c r="K774" s="1"/>
    </row>
    <row r="775" spans="1:11" x14ac:dyDescent="0.25">
      <c r="A775" s="6">
        <v>6293367175</v>
      </c>
      <c r="B775" t="str">
        <f t="shared" si="48"/>
        <v>zagraniczny</v>
      </c>
      <c r="C775">
        <f t="shared" si="49"/>
        <v>0</v>
      </c>
      <c r="D775">
        <f t="shared" si="50"/>
        <v>0</v>
      </c>
      <c r="E775" s="1">
        <v>42928</v>
      </c>
      <c r="F775" s="2">
        <v>0.52649305555555559</v>
      </c>
      <c r="G775" s="2">
        <v>0.53123842592592596</v>
      </c>
      <c r="H775" s="2">
        <f t="shared" si="51"/>
        <v>4.745370370370372E-3</v>
      </c>
      <c r="K775" s="1"/>
    </row>
    <row r="776" spans="1:11" x14ac:dyDescent="0.25">
      <c r="A776" s="6">
        <v>5092577</v>
      </c>
      <c r="B776" t="str">
        <f t="shared" si="48"/>
        <v>stacjonarny</v>
      </c>
      <c r="C776">
        <f t="shared" si="49"/>
        <v>0</v>
      </c>
      <c r="D776">
        <f t="shared" si="50"/>
        <v>0</v>
      </c>
      <c r="E776" s="1">
        <v>42928</v>
      </c>
      <c r="F776" s="2">
        <v>0.52834490740740736</v>
      </c>
      <c r="G776" s="2">
        <v>0.53267361111111111</v>
      </c>
      <c r="H776" s="2">
        <f t="shared" si="51"/>
        <v>4.3287037037037512E-3</v>
      </c>
      <c r="K776" s="1"/>
    </row>
    <row r="777" spans="1:11" x14ac:dyDescent="0.25">
      <c r="A777" s="6">
        <v>62086163</v>
      </c>
      <c r="B777" t="str">
        <f t="shared" si="48"/>
        <v>komorkowy</v>
      </c>
      <c r="C777">
        <f t="shared" si="49"/>
        <v>0</v>
      </c>
      <c r="D777">
        <f t="shared" si="50"/>
        <v>0</v>
      </c>
      <c r="E777" s="1">
        <v>42928</v>
      </c>
      <c r="F777" s="2">
        <v>0.53126157407407404</v>
      </c>
      <c r="G777" s="2">
        <v>0.5326157407407407</v>
      </c>
      <c r="H777" s="2">
        <f t="shared" si="51"/>
        <v>1.3541666666666563E-3</v>
      </c>
      <c r="K777" s="1"/>
    </row>
    <row r="778" spans="1:11" x14ac:dyDescent="0.25">
      <c r="A778" s="6">
        <v>4657345</v>
      </c>
      <c r="B778" t="str">
        <f t="shared" si="48"/>
        <v>stacjonarny</v>
      </c>
      <c r="C778">
        <f t="shared" si="49"/>
        <v>0</v>
      </c>
      <c r="D778">
        <f t="shared" si="50"/>
        <v>0</v>
      </c>
      <c r="E778" s="1">
        <v>42928</v>
      </c>
      <c r="F778" s="2">
        <v>0.53608796296296302</v>
      </c>
      <c r="G778" s="2">
        <v>0.53631944444444446</v>
      </c>
      <c r="H778" s="2">
        <f t="shared" si="51"/>
        <v>2.3148148148144365E-4</v>
      </c>
      <c r="K778" s="1"/>
    </row>
    <row r="779" spans="1:11" x14ac:dyDescent="0.25">
      <c r="A779" s="6">
        <v>7937998</v>
      </c>
      <c r="B779" t="str">
        <f t="shared" si="48"/>
        <v>stacjonarny</v>
      </c>
      <c r="C779">
        <f t="shared" si="49"/>
        <v>0</v>
      </c>
      <c r="D779">
        <f t="shared" si="50"/>
        <v>0</v>
      </c>
      <c r="E779" s="1">
        <v>42928</v>
      </c>
      <c r="F779" s="2">
        <v>0.53798611111111116</v>
      </c>
      <c r="G779" s="2">
        <v>0.54011574074074076</v>
      </c>
      <c r="H779" s="2">
        <f t="shared" si="51"/>
        <v>2.1296296296295925E-3</v>
      </c>
      <c r="K779" s="1"/>
    </row>
    <row r="780" spans="1:11" x14ac:dyDescent="0.25">
      <c r="A780" s="6">
        <v>7269536</v>
      </c>
      <c r="B780" t="str">
        <f t="shared" si="48"/>
        <v>stacjonarny</v>
      </c>
      <c r="C780">
        <f t="shared" si="49"/>
        <v>0</v>
      </c>
      <c r="D780">
        <f t="shared" si="50"/>
        <v>0</v>
      </c>
      <c r="E780" s="1">
        <v>42928</v>
      </c>
      <c r="F780" s="2">
        <v>0.53827546296296291</v>
      </c>
      <c r="G780" s="2">
        <v>0.54309027777777774</v>
      </c>
      <c r="H780" s="2">
        <f t="shared" si="51"/>
        <v>4.8148148148148273E-3</v>
      </c>
      <c r="K780" s="1"/>
    </row>
    <row r="781" spans="1:11" x14ac:dyDescent="0.25">
      <c r="A781" s="6">
        <v>98939809</v>
      </c>
      <c r="B781" t="str">
        <f t="shared" si="48"/>
        <v>komorkowy</v>
      </c>
      <c r="C781">
        <f t="shared" si="49"/>
        <v>0</v>
      </c>
      <c r="D781">
        <f t="shared" si="50"/>
        <v>0</v>
      </c>
      <c r="E781" s="1">
        <v>42928</v>
      </c>
      <c r="F781" s="2">
        <v>0.53873842592592591</v>
      </c>
      <c r="G781" s="2">
        <v>0.54084490740740743</v>
      </c>
      <c r="H781" s="2">
        <f t="shared" si="51"/>
        <v>2.1064814814815147E-3</v>
      </c>
      <c r="K781" s="1"/>
    </row>
    <row r="782" spans="1:11" x14ac:dyDescent="0.25">
      <c r="A782" s="6">
        <v>7766265</v>
      </c>
      <c r="B782" t="str">
        <f t="shared" si="48"/>
        <v>stacjonarny</v>
      </c>
      <c r="C782">
        <f t="shared" si="49"/>
        <v>0</v>
      </c>
      <c r="D782">
        <f t="shared" si="50"/>
        <v>0</v>
      </c>
      <c r="E782" s="1">
        <v>42928</v>
      </c>
      <c r="F782" s="2">
        <v>0.54391203703703705</v>
      </c>
      <c r="G782" s="2">
        <v>0.54538194444444443</v>
      </c>
      <c r="H782" s="2">
        <f t="shared" si="51"/>
        <v>1.4699074074073781E-3</v>
      </c>
      <c r="K782" s="1"/>
    </row>
    <row r="783" spans="1:11" x14ac:dyDescent="0.25">
      <c r="A783" s="6">
        <v>7377702</v>
      </c>
      <c r="B783" t="str">
        <f t="shared" si="48"/>
        <v>stacjonarny</v>
      </c>
      <c r="C783">
        <f t="shared" si="49"/>
        <v>0</v>
      </c>
      <c r="D783">
        <f t="shared" si="50"/>
        <v>0</v>
      </c>
      <c r="E783" s="1">
        <v>42928</v>
      </c>
      <c r="F783" s="2">
        <v>0.54689814814814819</v>
      </c>
      <c r="G783" s="2">
        <v>0.54949074074074078</v>
      </c>
      <c r="H783" s="2">
        <f t="shared" si="51"/>
        <v>2.5925925925925908E-3</v>
      </c>
      <c r="K783" s="1"/>
    </row>
    <row r="784" spans="1:11" x14ac:dyDescent="0.25">
      <c r="A784" s="6">
        <v>38244568</v>
      </c>
      <c r="B784" t="str">
        <f t="shared" si="48"/>
        <v>komorkowy</v>
      </c>
      <c r="C784">
        <f t="shared" si="49"/>
        <v>0</v>
      </c>
      <c r="D784">
        <f t="shared" si="50"/>
        <v>0</v>
      </c>
      <c r="E784" s="1">
        <v>42928</v>
      </c>
      <c r="F784" s="2">
        <v>0.54826388888888888</v>
      </c>
      <c r="G784" s="2">
        <v>0.54920138888888892</v>
      </c>
      <c r="H784" s="2">
        <f t="shared" si="51"/>
        <v>9.3750000000003553E-4</v>
      </c>
      <c r="K784" s="1"/>
    </row>
    <row r="785" spans="1:11" x14ac:dyDescent="0.25">
      <c r="A785" s="6">
        <v>5094248</v>
      </c>
      <c r="B785" t="str">
        <f t="shared" si="48"/>
        <v>stacjonarny</v>
      </c>
      <c r="C785">
        <f t="shared" si="49"/>
        <v>0</v>
      </c>
      <c r="D785">
        <f t="shared" si="50"/>
        <v>0</v>
      </c>
      <c r="E785" s="1">
        <v>42928</v>
      </c>
      <c r="F785" s="2">
        <v>0.55118055555555556</v>
      </c>
      <c r="G785" s="2">
        <v>0.56003472222222217</v>
      </c>
      <c r="H785" s="2">
        <f t="shared" si="51"/>
        <v>8.8541666666666075E-3</v>
      </c>
      <c r="K785" s="1"/>
    </row>
    <row r="786" spans="1:11" x14ac:dyDescent="0.25">
      <c r="A786" s="6">
        <v>1233459</v>
      </c>
      <c r="B786" t="str">
        <f t="shared" si="48"/>
        <v>stacjonarny</v>
      </c>
      <c r="C786">
        <f t="shared" si="49"/>
        <v>1</v>
      </c>
      <c r="D786">
        <f t="shared" si="50"/>
        <v>1</v>
      </c>
      <c r="E786" s="1">
        <v>42928</v>
      </c>
      <c r="F786" s="2">
        <v>0.55565972222222226</v>
      </c>
      <c r="G786" s="2">
        <v>0.55674768518518514</v>
      </c>
      <c r="H786" s="2">
        <f t="shared" si="51"/>
        <v>1.087962962962874E-3</v>
      </c>
      <c r="K786" s="1"/>
    </row>
    <row r="787" spans="1:11" x14ac:dyDescent="0.25">
      <c r="A787" s="6">
        <v>9398644</v>
      </c>
      <c r="B787" t="str">
        <f t="shared" si="48"/>
        <v>stacjonarny</v>
      </c>
      <c r="C787">
        <f t="shared" si="49"/>
        <v>0</v>
      </c>
      <c r="D787">
        <f t="shared" si="50"/>
        <v>0</v>
      </c>
      <c r="E787" s="1">
        <v>42928</v>
      </c>
      <c r="F787" s="2">
        <v>0.55717592592592591</v>
      </c>
      <c r="G787" s="2">
        <v>0.56753472222222223</v>
      </c>
      <c r="H787" s="2">
        <f t="shared" si="51"/>
        <v>1.0358796296296324E-2</v>
      </c>
      <c r="K787" s="1"/>
    </row>
    <row r="788" spans="1:11" x14ac:dyDescent="0.25">
      <c r="A788" s="6">
        <v>3390459</v>
      </c>
      <c r="B788" t="str">
        <f t="shared" si="48"/>
        <v>stacjonarny</v>
      </c>
      <c r="C788">
        <f t="shared" si="49"/>
        <v>0</v>
      </c>
      <c r="D788">
        <f t="shared" si="50"/>
        <v>0</v>
      </c>
      <c r="E788" s="1">
        <v>42928</v>
      </c>
      <c r="F788" s="2">
        <v>0.55869212962962966</v>
      </c>
      <c r="G788" s="2">
        <v>0.55922453703703701</v>
      </c>
      <c r="H788" s="2">
        <f t="shared" si="51"/>
        <v>5.324074074073426E-4</v>
      </c>
      <c r="K788" s="1"/>
    </row>
    <row r="789" spans="1:11" x14ac:dyDescent="0.25">
      <c r="A789" s="6">
        <v>5252835</v>
      </c>
      <c r="B789" t="str">
        <f t="shared" si="48"/>
        <v>stacjonarny</v>
      </c>
      <c r="C789">
        <f t="shared" si="49"/>
        <v>0</v>
      </c>
      <c r="D789">
        <f t="shared" si="50"/>
        <v>0</v>
      </c>
      <c r="E789" s="1">
        <v>42928</v>
      </c>
      <c r="F789" s="2">
        <v>0.55907407407407406</v>
      </c>
      <c r="G789" s="2">
        <v>0.56937499999999996</v>
      </c>
      <c r="H789" s="2">
        <f t="shared" si="51"/>
        <v>1.0300925925925908E-2</v>
      </c>
      <c r="K789" s="1"/>
    </row>
    <row r="790" spans="1:11" x14ac:dyDescent="0.25">
      <c r="A790" s="6">
        <v>15643568</v>
      </c>
      <c r="B790" t="str">
        <f t="shared" si="48"/>
        <v>komorkowy</v>
      </c>
      <c r="C790">
        <f t="shared" si="49"/>
        <v>0</v>
      </c>
      <c r="D790">
        <f t="shared" si="50"/>
        <v>0</v>
      </c>
      <c r="E790" s="1">
        <v>42928</v>
      </c>
      <c r="F790" s="2">
        <v>0.56074074074074076</v>
      </c>
      <c r="G790" s="2">
        <v>0.56283564814814813</v>
      </c>
      <c r="H790" s="2">
        <f t="shared" si="51"/>
        <v>2.0949074074073648E-3</v>
      </c>
      <c r="K790" s="1"/>
    </row>
    <row r="791" spans="1:11" x14ac:dyDescent="0.25">
      <c r="A791" s="6">
        <v>39921944</v>
      </c>
      <c r="B791" t="str">
        <f t="shared" si="48"/>
        <v>komorkowy</v>
      </c>
      <c r="C791">
        <f t="shared" si="49"/>
        <v>0</v>
      </c>
      <c r="D791">
        <f t="shared" si="50"/>
        <v>0</v>
      </c>
      <c r="E791" s="1">
        <v>42928</v>
      </c>
      <c r="F791" s="2">
        <v>0.56398148148148153</v>
      </c>
      <c r="G791" s="2">
        <v>0.57387731481481485</v>
      </c>
      <c r="H791" s="2">
        <f t="shared" si="51"/>
        <v>9.8958333333333259E-3</v>
      </c>
      <c r="K791" s="1"/>
    </row>
    <row r="792" spans="1:11" x14ac:dyDescent="0.25">
      <c r="A792" s="6">
        <v>66800387</v>
      </c>
      <c r="B792" t="str">
        <f t="shared" si="48"/>
        <v>komorkowy</v>
      </c>
      <c r="C792">
        <f t="shared" si="49"/>
        <v>0</v>
      </c>
      <c r="D792">
        <f t="shared" si="50"/>
        <v>0</v>
      </c>
      <c r="E792" s="1">
        <v>42928</v>
      </c>
      <c r="F792" s="2">
        <v>0.56509259259259259</v>
      </c>
      <c r="G792" s="2">
        <v>0.56554398148148144</v>
      </c>
      <c r="H792" s="2">
        <f t="shared" si="51"/>
        <v>4.5138888888884843E-4</v>
      </c>
      <c r="K792" s="1"/>
    </row>
    <row r="793" spans="1:11" x14ac:dyDescent="0.25">
      <c r="A793" s="6">
        <v>88664428</v>
      </c>
      <c r="B793" t="str">
        <f t="shared" si="48"/>
        <v>komorkowy</v>
      </c>
      <c r="C793">
        <f t="shared" si="49"/>
        <v>0</v>
      </c>
      <c r="D793">
        <f t="shared" si="50"/>
        <v>0</v>
      </c>
      <c r="E793" s="1">
        <v>42928</v>
      </c>
      <c r="F793" s="2">
        <v>0.56527777777777777</v>
      </c>
      <c r="G793" s="2">
        <v>0.56814814814814818</v>
      </c>
      <c r="H793" s="2">
        <f t="shared" si="51"/>
        <v>2.870370370370412E-3</v>
      </c>
      <c r="K793" s="1"/>
    </row>
    <row r="794" spans="1:11" x14ac:dyDescent="0.25">
      <c r="A794" s="6">
        <v>4111617</v>
      </c>
      <c r="B794" t="str">
        <f t="shared" si="48"/>
        <v>stacjonarny</v>
      </c>
      <c r="C794">
        <f t="shared" si="49"/>
        <v>0</v>
      </c>
      <c r="D794">
        <f t="shared" si="50"/>
        <v>0</v>
      </c>
      <c r="E794" s="1">
        <v>42928</v>
      </c>
      <c r="F794" s="2">
        <v>0.56555555555555559</v>
      </c>
      <c r="G794" s="2">
        <v>0.5697106481481482</v>
      </c>
      <c r="H794" s="2">
        <f t="shared" si="51"/>
        <v>4.155092592592613E-3</v>
      </c>
      <c r="K794" s="1"/>
    </row>
    <row r="795" spans="1:11" x14ac:dyDescent="0.25">
      <c r="A795" s="6">
        <v>9804309</v>
      </c>
      <c r="B795" t="str">
        <f t="shared" si="48"/>
        <v>stacjonarny</v>
      </c>
      <c r="C795">
        <f t="shared" si="49"/>
        <v>0</v>
      </c>
      <c r="D795">
        <f t="shared" si="50"/>
        <v>0</v>
      </c>
      <c r="E795" s="1">
        <v>42928</v>
      </c>
      <c r="F795" s="2">
        <v>0.56918981481481479</v>
      </c>
      <c r="G795" s="2">
        <v>0.5784259259259259</v>
      </c>
      <c r="H795" s="2">
        <f t="shared" si="51"/>
        <v>9.2361111111111116E-3</v>
      </c>
      <c r="K795" s="1"/>
    </row>
    <row r="796" spans="1:11" x14ac:dyDescent="0.25">
      <c r="A796" s="6">
        <v>3382728</v>
      </c>
      <c r="B796" t="str">
        <f t="shared" si="48"/>
        <v>stacjonarny</v>
      </c>
      <c r="C796">
        <f t="shared" si="49"/>
        <v>0</v>
      </c>
      <c r="D796">
        <f t="shared" si="50"/>
        <v>0</v>
      </c>
      <c r="E796" s="1">
        <v>42928</v>
      </c>
      <c r="F796" s="2">
        <v>0.56953703703703706</v>
      </c>
      <c r="G796" s="2">
        <v>0.57401620370370365</v>
      </c>
      <c r="H796" s="2">
        <f t="shared" si="51"/>
        <v>4.4791666666665897E-3</v>
      </c>
      <c r="K796" s="1"/>
    </row>
    <row r="797" spans="1:11" x14ac:dyDescent="0.25">
      <c r="A797" s="6">
        <v>9091369</v>
      </c>
      <c r="B797" t="str">
        <f t="shared" si="48"/>
        <v>stacjonarny</v>
      </c>
      <c r="C797">
        <f t="shared" si="49"/>
        <v>0</v>
      </c>
      <c r="D797">
        <f t="shared" si="50"/>
        <v>0</v>
      </c>
      <c r="E797" s="1">
        <v>42928</v>
      </c>
      <c r="F797" s="2">
        <v>0.57231481481481483</v>
      </c>
      <c r="G797" s="2">
        <v>0.57403935185185184</v>
      </c>
      <c r="H797" s="2">
        <f t="shared" si="51"/>
        <v>1.7245370370370106E-3</v>
      </c>
      <c r="K797" s="1"/>
    </row>
    <row r="798" spans="1:11" x14ac:dyDescent="0.25">
      <c r="A798" s="6">
        <v>3981821518</v>
      </c>
      <c r="B798" t="str">
        <f t="shared" si="48"/>
        <v>zagraniczny</v>
      </c>
      <c r="C798">
        <f t="shared" si="49"/>
        <v>0</v>
      </c>
      <c r="D798">
        <f t="shared" si="50"/>
        <v>0</v>
      </c>
      <c r="E798" s="1">
        <v>42928</v>
      </c>
      <c r="F798" s="2">
        <v>0.57445601851851846</v>
      </c>
      <c r="G798" s="2">
        <v>0.57703703703703701</v>
      </c>
      <c r="H798" s="2">
        <f t="shared" si="51"/>
        <v>2.5810185185185519E-3</v>
      </c>
      <c r="K798" s="1"/>
    </row>
    <row r="799" spans="1:11" x14ac:dyDescent="0.25">
      <c r="A799" s="6">
        <v>6304174</v>
      </c>
      <c r="B799" t="str">
        <f t="shared" si="48"/>
        <v>stacjonarny</v>
      </c>
      <c r="C799">
        <f t="shared" si="49"/>
        <v>0</v>
      </c>
      <c r="D799">
        <f t="shared" si="50"/>
        <v>0</v>
      </c>
      <c r="E799" s="1">
        <v>42928</v>
      </c>
      <c r="F799" s="2">
        <v>0.57445601851851846</v>
      </c>
      <c r="G799" s="2">
        <v>0.58512731481481484</v>
      </c>
      <c r="H799" s="2">
        <f t="shared" si="51"/>
        <v>1.0671296296296373E-2</v>
      </c>
      <c r="K799" s="1"/>
    </row>
    <row r="800" spans="1:11" x14ac:dyDescent="0.25">
      <c r="A800" s="6">
        <v>8233999</v>
      </c>
      <c r="B800" t="str">
        <f t="shared" si="48"/>
        <v>stacjonarny</v>
      </c>
      <c r="C800">
        <f t="shared" si="49"/>
        <v>0</v>
      </c>
      <c r="D800">
        <f t="shared" si="50"/>
        <v>0</v>
      </c>
      <c r="E800" s="1">
        <v>42928</v>
      </c>
      <c r="F800" s="2">
        <v>0.57828703703703699</v>
      </c>
      <c r="G800" s="2">
        <v>0.58834490740740741</v>
      </c>
      <c r="H800" s="2">
        <f t="shared" si="51"/>
        <v>1.0057870370370425E-2</v>
      </c>
      <c r="K800" s="1"/>
    </row>
    <row r="801" spans="1:11" x14ac:dyDescent="0.25">
      <c r="A801" s="6">
        <v>97782375</v>
      </c>
      <c r="B801" t="str">
        <f t="shared" si="48"/>
        <v>komorkowy</v>
      </c>
      <c r="C801">
        <f t="shared" si="49"/>
        <v>0</v>
      </c>
      <c r="D801">
        <f t="shared" si="50"/>
        <v>0</v>
      </c>
      <c r="E801" s="1">
        <v>42928</v>
      </c>
      <c r="F801" s="2">
        <v>0.58054398148148145</v>
      </c>
      <c r="G801" s="2">
        <v>0.58196759259259256</v>
      </c>
      <c r="H801" s="2">
        <f t="shared" si="51"/>
        <v>1.4236111111111116E-3</v>
      </c>
      <c r="K801" s="1"/>
    </row>
    <row r="802" spans="1:11" x14ac:dyDescent="0.25">
      <c r="A802" s="6">
        <v>2826868</v>
      </c>
      <c r="B802" t="str">
        <f t="shared" si="48"/>
        <v>stacjonarny</v>
      </c>
      <c r="C802">
        <f t="shared" si="49"/>
        <v>0</v>
      </c>
      <c r="D802">
        <f t="shared" si="50"/>
        <v>0</v>
      </c>
      <c r="E802" s="1">
        <v>42928</v>
      </c>
      <c r="F802" s="2">
        <v>0.58266203703703701</v>
      </c>
      <c r="G802" s="2">
        <v>0.59348379629629633</v>
      </c>
      <c r="H802" s="2">
        <f t="shared" si="51"/>
        <v>1.0821759259259323E-2</v>
      </c>
      <c r="K802" s="1"/>
    </row>
    <row r="803" spans="1:11" x14ac:dyDescent="0.25">
      <c r="A803" s="6">
        <v>93794133</v>
      </c>
      <c r="B803" t="str">
        <f t="shared" si="48"/>
        <v>komorkowy</v>
      </c>
      <c r="C803">
        <f t="shared" si="49"/>
        <v>0</v>
      </c>
      <c r="D803">
        <f t="shared" si="50"/>
        <v>0</v>
      </c>
      <c r="E803" s="1">
        <v>42928</v>
      </c>
      <c r="F803" s="2">
        <v>0.58592592592592596</v>
      </c>
      <c r="G803" s="2">
        <v>0.59038194444444447</v>
      </c>
      <c r="H803" s="2">
        <f t="shared" si="51"/>
        <v>4.4560185185185119E-3</v>
      </c>
      <c r="K803" s="1"/>
    </row>
    <row r="804" spans="1:11" x14ac:dyDescent="0.25">
      <c r="A804" s="6">
        <v>85838361</v>
      </c>
      <c r="B804" t="str">
        <f t="shared" si="48"/>
        <v>komorkowy</v>
      </c>
      <c r="C804">
        <f t="shared" si="49"/>
        <v>0</v>
      </c>
      <c r="D804">
        <f t="shared" si="50"/>
        <v>0</v>
      </c>
      <c r="E804" s="1">
        <v>42928</v>
      </c>
      <c r="F804" s="2">
        <v>0.58909722222222227</v>
      </c>
      <c r="G804" s="2">
        <v>0.5993518518518518</v>
      </c>
      <c r="H804" s="2">
        <f t="shared" si="51"/>
        <v>1.025462962962953E-2</v>
      </c>
      <c r="K804" s="1"/>
    </row>
    <row r="805" spans="1:11" x14ac:dyDescent="0.25">
      <c r="A805" s="6">
        <v>1616328</v>
      </c>
      <c r="B805" t="str">
        <f t="shared" si="48"/>
        <v>stacjonarny</v>
      </c>
      <c r="C805">
        <f t="shared" si="49"/>
        <v>0</v>
      </c>
      <c r="D805">
        <f t="shared" si="50"/>
        <v>0</v>
      </c>
      <c r="E805" s="1">
        <v>42928</v>
      </c>
      <c r="F805" s="2">
        <v>0.59354166666666663</v>
      </c>
      <c r="G805" s="2">
        <v>0.59888888888888892</v>
      </c>
      <c r="H805" s="2">
        <f t="shared" si="51"/>
        <v>5.3472222222222809E-3</v>
      </c>
      <c r="K805" s="1"/>
    </row>
    <row r="806" spans="1:11" x14ac:dyDescent="0.25">
      <c r="A806" s="6">
        <v>9773176</v>
      </c>
      <c r="B806" t="str">
        <f t="shared" si="48"/>
        <v>stacjonarny</v>
      </c>
      <c r="C806">
        <f t="shared" si="49"/>
        <v>0</v>
      </c>
      <c r="D806">
        <f t="shared" si="50"/>
        <v>0</v>
      </c>
      <c r="E806" s="1">
        <v>42928</v>
      </c>
      <c r="F806" s="2">
        <v>0.59873842592592597</v>
      </c>
      <c r="G806" s="2">
        <v>0.60127314814814814</v>
      </c>
      <c r="H806" s="2">
        <f t="shared" si="51"/>
        <v>2.5347222222221744E-3</v>
      </c>
      <c r="K806" s="1"/>
    </row>
    <row r="807" spans="1:11" x14ac:dyDescent="0.25">
      <c r="A807" s="6">
        <v>8246306</v>
      </c>
      <c r="B807" t="str">
        <f t="shared" si="48"/>
        <v>stacjonarny</v>
      </c>
      <c r="C807">
        <f t="shared" si="49"/>
        <v>0</v>
      </c>
      <c r="D807">
        <f t="shared" si="50"/>
        <v>0</v>
      </c>
      <c r="E807" s="1">
        <v>42928</v>
      </c>
      <c r="F807" s="2">
        <v>0.59928240740740746</v>
      </c>
      <c r="G807" s="2">
        <v>0.60182870370370367</v>
      </c>
      <c r="H807" s="2">
        <f t="shared" si="51"/>
        <v>2.5462962962962132E-3</v>
      </c>
      <c r="K807" s="1"/>
    </row>
    <row r="808" spans="1:11" x14ac:dyDescent="0.25">
      <c r="A808" s="6">
        <v>2412611</v>
      </c>
      <c r="B808" t="str">
        <f t="shared" si="48"/>
        <v>stacjonarny</v>
      </c>
      <c r="C808">
        <f t="shared" si="49"/>
        <v>0</v>
      </c>
      <c r="D808">
        <f t="shared" si="50"/>
        <v>0</v>
      </c>
      <c r="E808" s="1">
        <v>42928</v>
      </c>
      <c r="F808" s="2">
        <v>0.60065972222222219</v>
      </c>
      <c r="G808" s="2">
        <v>0.60902777777777772</v>
      </c>
      <c r="H808" s="2">
        <f t="shared" si="51"/>
        <v>8.3680555555555314E-3</v>
      </c>
      <c r="K808" s="1"/>
    </row>
    <row r="809" spans="1:11" x14ac:dyDescent="0.25">
      <c r="A809" s="6">
        <v>7795911</v>
      </c>
      <c r="B809" t="str">
        <f t="shared" si="48"/>
        <v>stacjonarny</v>
      </c>
      <c r="C809">
        <f t="shared" si="49"/>
        <v>0</v>
      </c>
      <c r="D809">
        <f t="shared" si="50"/>
        <v>0</v>
      </c>
      <c r="E809" s="1">
        <v>42928</v>
      </c>
      <c r="F809" s="2">
        <v>0.60528935185185184</v>
      </c>
      <c r="G809" s="2">
        <v>0.60805555555555557</v>
      </c>
      <c r="H809" s="2">
        <f t="shared" si="51"/>
        <v>2.766203703703729E-3</v>
      </c>
      <c r="K809" s="1"/>
    </row>
    <row r="810" spans="1:11" x14ac:dyDescent="0.25">
      <c r="A810" s="6">
        <v>8063487</v>
      </c>
      <c r="B810" t="str">
        <f t="shared" si="48"/>
        <v>stacjonarny</v>
      </c>
      <c r="C810">
        <f t="shared" si="49"/>
        <v>0</v>
      </c>
      <c r="D810">
        <f t="shared" si="50"/>
        <v>0</v>
      </c>
      <c r="E810" s="1">
        <v>42928</v>
      </c>
      <c r="F810" s="2">
        <v>0.61028935185185185</v>
      </c>
      <c r="G810" s="2">
        <v>0.61681712962962965</v>
      </c>
      <c r="H810" s="2">
        <f t="shared" si="51"/>
        <v>6.527777777777799E-3</v>
      </c>
      <c r="K810" s="1"/>
    </row>
    <row r="811" spans="1:11" x14ac:dyDescent="0.25">
      <c r="A811" s="6">
        <v>68677362</v>
      </c>
      <c r="B811" t="str">
        <f t="shared" si="48"/>
        <v>komorkowy</v>
      </c>
      <c r="C811">
        <f t="shared" si="49"/>
        <v>0</v>
      </c>
      <c r="D811">
        <f t="shared" si="50"/>
        <v>0</v>
      </c>
      <c r="E811" s="1">
        <v>42928</v>
      </c>
      <c r="F811" s="2">
        <v>0.61534722222222227</v>
      </c>
      <c r="G811" s="2">
        <v>0.61554398148148148</v>
      </c>
      <c r="H811" s="2">
        <f t="shared" si="51"/>
        <v>1.96759259259216E-4</v>
      </c>
      <c r="K811" s="1"/>
    </row>
    <row r="812" spans="1:11" x14ac:dyDescent="0.25">
      <c r="A812" s="6">
        <v>6766787935</v>
      </c>
      <c r="B812" t="str">
        <f t="shared" si="48"/>
        <v>zagraniczny</v>
      </c>
      <c r="C812">
        <f t="shared" si="49"/>
        <v>0</v>
      </c>
      <c r="D812">
        <f t="shared" si="50"/>
        <v>0</v>
      </c>
      <c r="E812" s="1">
        <v>42928</v>
      </c>
      <c r="F812" s="2">
        <v>0.62077546296296293</v>
      </c>
      <c r="G812" s="2">
        <v>0.62708333333333333</v>
      </c>
      <c r="H812" s="2">
        <f t="shared" si="51"/>
        <v>6.3078703703703942E-3</v>
      </c>
      <c r="K812" s="1"/>
    </row>
    <row r="813" spans="1:11" x14ac:dyDescent="0.25">
      <c r="A813" s="6">
        <v>27791497</v>
      </c>
      <c r="B813" t="str">
        <f t="shared" si="48"/>
        <v>komorkowy</v>
      </c>
      <c r="C813">
        <f t="shared" si="49"/>
        <v>0</v>
      </c>
      <c r="D813">
        <f t="shared" si="50"/>
        <v>0</v>
      </c>
      <c r="E813" s="1">
        <v>42928</v>
      </c>
      <c r="F813" s="2">
        <v>0.62372685185185184</v>
      </c>
      <c r="G813" s="2">
        <v>0.63241898148148146</v>
      </c>
      <c r="H813" s="2">
        <f t="shared" si="51"/>
        <v>8.6921296296296191E-3</v>
      </c>
      <c r="K813" s="1"/>
    </row>
    <row r="814" spans="1:11" x14ac:dyDescent="0.25">
      <c r="A814" s="6">
        <v>6158527</v>
      </c>
      <c r="B814" t="str">
        <f t="shared" si="48"/>
        <v>stacjonarny</v>
      </c>
      <c r="C814">
        <f t="shared" si="49"/>
        <v>0</v>
      </c>
      <c r="D814">
        <f t="shared" si="50"/>
        <v>0</v>
      </c>
      <c r="E814" s="1">
        <v>42928</v>
      </c>
      <c r="F814" s="2">
        <v>0.62449074074074074</v>
      </c>
      <c r="G814" s="2">
        <v>0.62653935185185183</v>
      </c>
      <c r="H814" s="2">
        <f t="shared" si="51"/>
        <v>2.0486111111110983E-3</v>
      </c>
      <c r="K814" s="1"/>
    </row>
    <row r="815" spans="1:11" x14ac:dyDescent="0.25">
      <c r="A815" s="6">
        <v>3456554</v>
      </c>
      <c r="B815" t="str">
        <f t="shared" si="48"/>
        <v>stacjonarny</v>
      </c>
      <c r="C815">
        <f t="shared" si="49"/>
        <v>0</v>
      </c>
      <c r="D815">
        <f t="shared" si="50"/>
        <v>0</v>
      </c>
      <c r="E815" s="1">
        <v>42928</v>
      </c>
      <c r="F815" s="2">
        <v>0.62615740740740744</v>
      </c>
      <c r="G815" s="2">
        <v>0.63491898148148151</v>
      </c>
      <c r="H815" s="2">
        <f t="shared" si="51"/>
        <v>8.7615740740740744E-3</v>
      </c>
      <c r="K815" s="1"/>
    </row>
    <row r="816" spans="1:11" x14ac:dyDescent="0.25">
      <c r="A816" s="6">
        <v>3437033</v>
      </c>
      <c r="B816" t="str">
        <f t="shared" si="48"/>
        <v>stacjonarny</v>
      </c>
      <c r="C816">
        <f t="shared" si="49"/>
        <v>0</v>
      </c>
      <c r="D816">
        <f t="shared" si="50"/>
        <v>0</v>
      </c>
      <c r="E816" s="1">
        <v>42929</v>
      </c>
      <c r="F816" s="2">
        <v>0.33812500000000001</v>
      </c>
      <c r="G816" s="2">
        <v>0.34457175925925926</v>
      </c>
      <c r="H816" s="2">
        <f t="shared" si="51"/>
        <v>6.4467592592592493E-3</v>
      </c>
      <c r="K816" s="1"/>
    </row>
    <row r="817" spans="1:11" x14ac:dyDescent="0.25">
      <c r="A817" s="6">
        <v>2128068</v>
      </c>
      <c r="B817" t="str">
        <f t="shared" si="48"/>
        <v>stacjonarny</v>
      </c>
      <c r="C817">
        <f t="shared" si="49"/>
        <v>0</v>
      </c>
      <c r="D817">
        <f t="shared" si="50"/>
        <v>0</v>
      </c>
      <c r="E817" s="1">
        <v>42929</v>
      </c>
      <c r="F817" s="2">
        <v>0.34258101851851852</v>
      </c>
      <c r="G817" s="2">
        <v>0.34574074074074074</v>
      </c>
      <c r="H817" s="2">
        <f t="shared" si="51"/>
        <v>3.1597222222222165E-3</v>
      </c>
      <c r="K817" s="1"/>
    </row>
    <row r="818" spans="1:11" x14ac:dyDescent="0.25">
      <c r="A818" s="6">
        <v>20679187</v>
      </c>
      <c r="B818" t="str">
        <f t="shared" si="48"/>
        <v>komorkowy</v>
      </c>
      <c r="C818">
        <f t="shared" si="49"/>
        <v>0</v>
      </c>
      <c r="D818">
        <f t="shared" si="50"/>
        <v>0</v>
      </c>
      <c r="E818" s="1">
        <v>42929</v>
      </c>
      <c r="F818" s="2">
        <v>0.34833333333333333</v>
      </c>
      <c r="G818" s="2">
        <v>0.35206018518518517</v>
      </c>
      <c r="H818" s="2">
        <f t="shared" si="51"/>
        <v>3.7268518518518423E-3</v>
      </c>
      <c r="K818" s="1"/>
    </row>
    <row r="819" spans="1:11" x14ac:dyDescent="0.25">
      <c r="A819" s="6">
        <v>9259392564</v>
      </c>
      <c r="B819" t="str">
        <f t="shared" si="48"/>
        <v>zagraniczny</v>
      </c>
      <c r="C819">
        <f t="shared" si="49"/>
        <v>0</v>
      </c>
      <c r="D819">
        <f t="shared" si="50"/>
        <v>0</v>
      </c>
      <c r="E819" s="1">
        <v>42929</v>
      </c>
      <c r="F819" s="2">
        <v>0.35311342592592593</v>
      </c>
      <c r="G819" s="2">
        <v>0.35888888888888887</v>
      </c>
      <c r="H819" s="2">
        <f t="shared" si="51"/>
        <v>5.7754629629629406E-3</v>
      </c>
      <c r="K819" s="1"/>
    </row>
    <row r="820" spans="1:11" x14ac:dyDescent="0.25">
      <c r="A820" s="6">
        <v>7852624</v>
      </c>
      <c r="B820" t="str">
        <f t="shared" si="48"/>
        <v>stacjonarny</v>
      </c>
      <c r="C820">
        <f t="shared" si="49"/>
        <v>0</v>
      </c>
      <c r="D820">
        <f t="shared" si="50"/>
        <v>0</v>
      </c>
      <c r="E820" s="1">
        <v>42929</v>
      </c>
      <c r="F820" s="2">
        <v>0.35885416666666664</v>
      </c>
      <c r="G820" s="2">
        <v>0.36913194444444447</v>
      </c>
      <c r="H820" s="2">
        <f t="shared" si="51"/>
        <v>1.027777777777783E-2</v>
      </c>
      <c r="K820" s="1"/>
    </row>
    <row r="821" spans="1:11" x14ac:dyDescent="0.25">
      <c r="A821" s="6">
        <v>8838584</v>
      </c>
      <c r="B821" t="str">
        <f t="shared" si="48"/>
        <v>stacjonarny</v>
      </c>
      <c r="C821">
        <f t="shared" si="49"/>
        <v>0</v>
      </c>
      <c r="D821">
        <f t="shared" si="50"/>
        <v>0</v>
      </c>
      <c r="E821" s="1">
        <v>42929</v>
      </c>
      <c r="F821" s="2">
        <v>0.36204861111111108</v>
      </c>
      <c r="G821" s="2">
        <v>0.37230324074074073</v>
      </c>
      <c r="H821" s="2">
        <f t="shared" si="51"/>
        <v>1.0254629629629641E-2</v>
      </c>
      <c r="K821" s="1"/>
    </row>
    <row r="822" spans="1:11" x14ac:dyDescent="0.25">
      <c r="A822" s="6">
        <v>2492731</v>
      </c>
      <c r="B822" t="str">
        <f t="shared" si="48"/>
        <v>stacjonarny</v>
      </c>
      <c r="C822">
        <f t="shared" si="49"/>
        <v>0</v>
      </c>
      <c r="D822">
        <f t="shared" si="50"/>
        <v>0</v>
      </c>
      <c r="E822" s="1">
        <v>42929</v>
      </c>
      <c r="F822" s="2">
        <v>0.36341435185185184</v>
      </c>
      <c r="G822" s="2">
        <v>0.36506944444444445</v>
      </c>
      <c r="H822" s="2">
        <f t="shared" si="51"/>
        <v>1.6550925925926108E-3</v>
      </c>
      <c r="K822" s="1"/>
    </row>
    <row r="823" spans="1:11" x14ac:dyDescent="0.25">
      <c r="A823" s="6">
        <v>8028777</v>
      </c>
      <c r="B823" t="str">
        <f t="shared" si="48"/>
        <v>stacjonarny</v>
      </c>
      <c r="C823">
        <f t="shared" si="49"/>
        <v>0</v>
      </c>
      <c r="D823">
        <f t="shared" si="50"/>
        <v>0</v>
      </c>
      <c r="E823" s="1">
        <v>42929</v>
      </c>
      <c r="F823" s="2">
        <v>0.36505787037037035</v>
      </c>
      <c r="G823" s="2">
        <v>0.37204861111111109</v>
      </c>
      <c r="H823" s="2">
        <f t="shared" si="51"/>
        <v>6.9907407407407418E-3</v>
      </c>
      <c r="K823" s="1"/>
    </row>
    <row r="824" spans="1:11" x14ac:dyDescent="0.25">
      <c r="A824" s="6">
        <v>2619219</v>
      </c>
      <c r="B824" t="str">
        <f t="shared" si="48"/>
        <v>stacjonarny</v>
      </c>
      <c r="C824">
        <f t="shared" si="49"/>
        <v>0</v>
      </c>
      <c r="D824">
        <f t="shared" si="50"/>
        <v>0</v>
      </c>
      <c r="E824" s="1">
        <v>42929</v>
      </c>
      <c r="F824" s="2">
        <v>0.36586805555555557</v>
      </c>
      <c r="G824" s="2">
        <v>0.36783564814814818</v>
      </c>
      <c r="H824" s="2">
        <f t="shared" si="51"/>
        <v>1.9675925925926041E-3</v>
      </c>
      <c r="K824" s="1"/>
    </row>
    <row r="825" spans="1:11" x14ac:dyDescent="0.25">
      <c r="A825" s="6">
        <v>2506618</v>
      </c>
      <c r="B825" t="str">
        <f t="shared" si="48"/>
        <v>stacjonarny</v>
      </c>
      <c r="C825">
        <f t="shared" si="49"/>
        <v>0</v>
      </c>
      <c r="D825">
        <f t="shared" si="50"/>
        <v>0</v>
      </c>
      <c r="E825" s="1">
        <v>42929</v>
      </c>
      <c r="F825" s="2">
        <v>0.36704861111111109</v>
      </c>
      <c r="G825" s="2">
        <v>0.37783564814814813</v>
      </c>
      <c r="H825" s="2">
        <f t="shared" si="51"/>
        <v>1.0787037037037039E-2</v>
      </c>
      <c r="K825" s="1"/>
    </row>
    <row r="826" spans="1:11" x14ac:dyDescent="0.25">
      <c r="A826" s="6">
        <v>7979313</v>
      </c>
      <c r="B826" t="str">
        <f t="shared" si="48"/>
        <v>stacjonarny</v>
      </c>
      <c r="C826">
        <f t="shared" si="49"/>
        <v>0</v>
      </c>
      <c r="D826">
        <f t="shared" si="50"/>
        <v>0</v>
      </c>
      <c r="E826" s="1">
        <v>42929</v>
      </c>
      <c r="F826" s="2">
        <v>0.37074074074074076</v>
      </c>
      <c r="G826" s="2">
        <v>0.37601851851851853</v>
      </c>
      <c r="H826" s="2">
        <f t="shared" si="51"/>
        <v>5.2777777777777701E-3</v>
      </c>
      <c r="K826" s="1"/>
    </row>
    <row r="827" spans="1:11" x14ac:dyDescent="0.25">
      <c r="A827" s="6">
        <v>23123600</v>
      </c>
      <c r="B827" t="str">
        <f t="shared" si="48"/>
        <v>komorkowy</v>
      </c>
      <c r="C827">
        <f t="shared" si="49"/>
        <v>0</v>
      </c>
      <c r="D827">
        <f t="shared" si="50"/>
        <v>0</v>
      </c>
      <c r="E827" s="1">
        <v>42929</v>
      </c>
      <c r="F827" s="2">
        <v>0.37334490740740739</v>
      </c>
      <c r="G827" s="2">
        <v>0.37408564814814815</v>
      </c>
      <c r="H827" s="2">
        <f t="shared" si="51"/>
        <v>7.4074074074076401E-4</v>
      </c>
      <c r="K827" s="1"/>
    </row>
    <row r="828" spans="1:11" x14ac:dyDescent="0.25">
      <c r="A828" s="6">
        <v>9849476</v>
      </c>
      <c r="B828" t="str">
        <f t="shared" si="48"/>
        <v>stacjonarny</v>
      </c>
      <c r="C828">
        <f t="shared" si="49"/>
        <v>0</v>
      </c>
      <c r="D828">
        <f t="shared" si="50"/>
        <v>0</v>
      </c>
      <c r="E828" s="1">
        <v>42929</v>
      </c>
      <c r="F828" s="2">
        <v>0.37653935185185183</v>
      </c>
      <c r="G828" s="2">
        <v>0.37709490740740742</v>
      </c>
      <c r="H828" s="2">
        <f t="shared" si="51"/>
        <v>5.5555555555558689E-4</v>
      </c>
      <c r="K828" s="1"/>
    </row>
    <row r="829" spans="1:11" x14ac:dyDescent="0.25">
      <c r="A829" s="6">
        <v>27410048</v>
      </c>
      <c r="B829" t="str">
        <f t="shared" si="48"/>
        <v>komorkowy</v>
      </c>
      <c r="C829">
        <f t="shared" si="49"/>
        <v>0</v>
      </c>
      <c r="D829">
        <f t="shared" si="50"/>
        <v>0</v>
      </c>
      <c r="E829" s="1">
        <v>42929</v>
      </c>
      <c r="F829" s="2">
        <v>0.37748842592592591</v>
      </c>
      <c r="G829" s="2">
        <v>0.37763888888888891</v>
      </c>
      <c r="H829" s="2">
        <f t="shared" si="51"/>
        <v>1.5046296296300499E-4</v>
      </c>
      <c r="K829" s="1"/>
    </row>
    <row r="830" spans="1:11" x14ac:dyDescent="0.25">
      <c r="A830" s="6">
        <v>6746757</v>
      </c>
      <c r="B830" t="str">
        <f t="shared" si="48"/>
        <v>stacjonarny</v>
      </c>
      <c r="C830">
        <f t="shared" si="49"/>
        <v>0</v>
      </c>
      <c r="D830">
        <f t="shared" si="50"/>
        <v>0</v>
      </c>
      <c r="E830" s="1">
        <v>42929</v>
      </c>
      <c r="F830" s="2">
        <v>0.3790162037037037</v>
      </c>
      <c r="G830" s="2">
        <v>0.38123842592592594</v>
      </c>
      <c r="H830" s="2">
        <f t="shared" si="51"/>
        <v>2.2222222222222365E-3</v>
      </c>
      <c r="K830" s="1"/>
    </row>
    <row r="831" spans="1:11" x14ac:dyDescent="0.25">
      <c r="A831" s="6">
        <v>5087066</v>
      </c>
      <c r="B831" t="str">
        <f t="shared" si="48"/>
        <v>stacjonarny</v>
      </c>
      <c r="C831">
        <f t="shared" si="49"/>
        <v>0</v>
      </c>
      <c r="D831">
        <f t="shared" si="50"/>
        <v>0</v>
      </c>
      <c r="E831" s="1">
        <v>42929</v>
      </c>
      <c r="F831" s="2">
        <v>0.38018518518518518</v>
      </c>
      <c r="G831" s="2">
        <v>0.38339120370370372</v>
      </c>
      <c r="H831" s="2">
        <f t="shared" si="51"/>
        <v>3.2060185185185386E-3</v>
      </c>
      <c r="K831" s="1"/>
    </row>
    <row r="832" spans="1:11" x14ac:dyDescent="0.25">
      <c r="A832" s="6">
        <v>9680416</v>
      </c>
      <c r="B832" t="str">
        <f t="shared" si="48"/>
        <v>stacjonarny</v>
      </c>
      <c r="C832">
        <f t="shared" si="49"/>
        <v>0</v>
      </c>
      <c r="D832">
        <f t="shared" si="50"/>
        <v>0</v>
      </c>
      <c r="E832" s="1">
        <v>42929</v>
      </c>
      <c r="F832" s="2">
        <v>0.38480324074074074</v>
      </c>
      <c r="G832" s="2">
        <v>0.39057870370370368</v>
      </c>
      <c r="H832" s="2">
        <f t="shared" si="51"/>
        <v>5.7754629629629406E-3</v>
      </c>
      <c r="K832" s="1"/>
    </row>
    <row r="833" spans="1:11" x14ac:dyDescent="0.25">
      <c r="A833" s="6">
        <v>9356216</v>
      </c>
      <c r="B833" t="str">
        <f t="shared" si="48"/>
        <v>stacjonarny</v>
      </c>
      <c r="C833">
        <f t="shared" si="49"/>
        <v>0</v>
      </c>
      <c r="D833">
        <f t="shared" si="50"/>
        <v>0</v>
      </c>
      <c r="E833" s="1">
        <v>42929</v>
      </c>
      <c r="F833" s="2">
        <v>0.38966435185185183</v>
      </c>
      <c r="G833" s="2">
        <v>0.40104166666666669</v>
      </c>
      <c r="H833" s="2">
        <f t="shared" si="51"/>
        <v>1.1377314814814854E-2</v>
      </c>
      <c r="K833" s="1"/>
    </row>
    <row r="834" spans="1:11" x14ac:dyDescent="0.25">
      <c r="A834" s="6">
        <v>7415603</v>
      </c>
      <c r="B834" t="str">
        <f t="shared" ref="B834:B897" si="52">IF(LEN(A834)=7, "stacjonarny", IF(LEN(A834)=8, "komorkowy", "zagraniczny"))</f>
        <v>stacjonarny</v>
      </c>
      <c r="C834">
        <f t="shared" si="49"/>
        <v>0</v>
      </c>
      <c r="D834">
        <f t="shared" si="50"/>
        <v>0</v>
      </c>
      <c r="E834" s="1">
        <v>42929</v>
      </c>
      <c r="F834" s="2">
        <v>0.39194444444444443</v>
      </c>
      <c r="G834" s="2">
        <v>0.39535879629629628</v>
      </c>
      <c r="H834" s="2">
        <f t="shared" si="51"/>
        <v>3.414351851851849E-3</v>
      </c>
      <c r="K834" s="1"/>
    </row>
    <row r="835" spans="1:11" x14ac:dyDescent="0.25">
      <c r="A835" s="6">
        <v>28145499</v>
      </c>
      <c r="B835" t="str">
        <f t="shared" si="52"/>
        <v>komorkowy</v>
      </c>
      <c r="C835">
        <f t="shared" ref="C835:C898" si="53">IF(LEFT(A835,2)="12",1,0)</f>
        <v>0</v>
      </c>
      <c r="D835">
        <f t="shared" ref="D835:D898" si="54">IF(AND(C835=1,B835="stacjonarny"),1,0)</f>
        <v>0</v>
      </c>
      <c r="E835" s="1">
        <v>42929</v>
      </c>
      <c r="F835" s="2">
        <v>0.3972222222222222</v>
      </c>
      <c r="G835" s="2">
        <v>0.40084490740740741</v>
      </c>
      <c r="H835" s="2">
        <f t="shared" ref="H835:H898" si="55">G835-F835</f>
        <v>3.6226851851852149E-3</v>
      </c>
      <c r="K835" s="1"/>
    </row>
    <row r="836" spans="1:11" x14ac:dyDescent="0.25">
      <c r="A836" s="6">
        <v>61527800</v>
      </c>
      <c r="B836" t="str">
        <f t="shared" si="52"/>
        <v>komorkowy</v>
      </c>
      <c r="C836">
        <f t="shared" si="53"/>
        <v>0</v>
      </c>
      <c r="D836">
        <f t="shared" si="54"/>
        <v>0</v>
      </c>
      <c r="E836" s="1">
        <v>42929</v>
      </c>
      <c r="F836" s="2">
        <v>0.39988425925925924</v>
      </c>
      <c r="G836" s="2">
        <v>0.4100462962962963</v>
      </c>
      <c r="H836" s="2">
        <f t="shared" si="55"/>
        <v>1.0162037037037053E-2</v>
      </c>
      <c r="K836" s="1"/>
    </row>
    <row r="837" spans="1:11" x14ac:dyDescent="0.25">
      <c r="A837" s="6">
        <v>4873703</v>
      </c>
      <c r="B837" t="str">
        <f t="shared" si="52"/>
        <v>stacjonarny</v>
      </c>
      <c r="C837">
        <f t="shared" si="53"/>
        <v>0</v>
      </c>
      <c r="D837">
        <f t="shared" si="54"/>
        <v>0</v>
      </c>
      <c r="E837" s="1">
        <v>42929</v>
      </c>
      <c r="F837" s="2">
        <v>0.40539351851851851</v>
      </c>
      <c r="G837" s="2">
        <v>0.4143634259259259</v>
      </c>
      <c r="H837" s="2">
        <f t="shared" si="55"/>
        <v>8.9699074074073848E-3</v>
      </c>
      <c r="K837" s="1"/>
    </row>
    <row r="838" spans="1:11" x14ac:dyDescent="0.25">
      <c r="A838" s="6">
        <v>43019885</v>
      </c>
      <c r="B838" t="str">
        <f t="shared" si="52"/>
        <v>komorkowy</v>
      </c>
      <c r="C838">
        <f t="shared" si="53"/>
        <v>0</v>
      </c>
      <c r="D838">
        <f t="shared" si="54"/>
        <v>0</v>
      </c>
      <c r="E838" s="1">
        <v>42929</v>
      </c>
      <c r="F838" s="2">
        <v>0.4064814814814815</v>
      </c>
      <c r="G838" s="2">
        <v>0.41630787037037037</v>
      </c>
      <c r="H838" s="2">
        <f t="shared" si="55"/>
        <v>9.8263888888888706E-3</v>
      </c>
      <c r="K838" s="1"/>
    </row>
    <row r="839" spans="1:11" x14ac:dyDescent="0.25">
      <c r="A839" s="6">
        <v>7388260</v>
      </c>
      <c r="B839" t="str">
        <f t="shared" si="52"/>
        <v>stacjonarny</v>
      </c>
      <c r="C839">
        <f t="shared" si="53"/>
        <v>0</v>
      </c>
      <c r="D839">
        <f t="shared" si="54"/>
        <v>0</v>
      </c>
      <c r="E839" s="1">
        <v>42929</v>
      </c>
      <c r="F839" s="2">
        <v>0.41149305555555554</v>
      </c>
      <c r="G839" s="2">
        <v>0.41928240740740741</v>
      </c>
      <c r="H839" s="2">
        <f t="shared" si="55"/>
        <v>7.7893518518518667E-3</v>
      </c>
      <c r="K839" s="1"/>
    </row>
    <row r="840" spans="1:11" x14ac:dyDescent="0.25">
      <c r="A840" s="6">
        <v>4581715</v>
      </c>
      <c r="B840" t="str">
        <f t="shared" si="52"/>
        <v>stacjonarny</v>
      </c>
      <c r="C840">
        <f t="shared" si="53"/>
        <v>0</v>
      </c>
      <c r="D840">
        <f t="shared" si="54"/>
        <v>0</v>
      </c>
      <c r="E840" s="1">
        <v>42929</v>
      </c>
      <c r="F840" s="2">
        <v>0.41172453703703704</v>
      </c>
      <c r="G840" s="2">
        <v>0.42146990740740742</v>
      </c>
      <c r="H840" s="2">
        <f t="shared" si="55"/>
        <v>9.7453703703703765E-3</v>
      </c>
      <c r="K840" s="1"/>
    </row>
    <row r="841" spans="1:11" x14ac:dyDescent="0.25">
      <c r="A841" s="6">
        <v>58420185</v>
      </c>
      <c r="B841" t="str">
        <f t="shared" si="52"/>
        <v>komorkowy</v>
      </c>
      <c r="C841">
        <f t="shared" si="53"/>
        <v>0</v>
      </c>
      <c r="D841">
        <f t="shared" si="54"/>
        <v>0</v>
      </c>
      <c r="E841" s="1">
        <v>42929</v>
      </c>
      <c r="F841" s="2">
        <v>0.41729166666666667</v>
      </c>
      <c r="G841" s="2">
        <v>0.42122685185185182</v>
      </c>
      <c r="H841" s="2">
        <f t="shared" si="55"/>
        <v>3.9351851851851527E-3</v>
      </c>
      <c r="K841" s="1"/>
    </row>
    <row r="842" spans="1:11" x14ac:dyDescent="0.25">
      <c r="A842" s="6">
        <v>45948073</v>
      </c>
      <c r="B842" t="str">
        <f t="shared" si="52"/>
        <v>komorkowy</v>
      </c>
      <c r="C842">
        <f t="shared" si="53"/>
        <v>0</v>
      </c>
      <c r="D842">
        <f t="shared" si="54"/>
        <v>0</v>
      </c>
      <c r="E842" s="1">
        <v>42929</v>
      </c>
      <c r="F842" s="2">
        <v>0.41979166666666667</v>
      </c>
      <c r="G842" s="2">
        <v>0.42586805555555557</v>
      </c>
      <c r="H842" s="2">
        <f t="shared" si="55"/>
        <v>6.0763888888888951E-3</v>
      </c>
      <c r="K842" s="1"/>
    </row>
    <row r="843" spans="1:11" x14ac:dyDescent="0.25">
      <c r="A843" s="6">
        <v>4473835</v>
      </c>
      <c r="B843" t="str">
        <f t="shared" si="52"/>
        <v>stacjonarny</v>
      </c>
      <c r="C843">
        <f t="shared" si="53"/>
        <v>0</v>
      </c>
      <c r="D843">
        <f t="shared" si="54"/>
        <v>0</v>
      </c>
      <c r="E843" s="1">
        <v>42929</v>
      </c>
      <c r="F843" s="2">
        <v>0.42091435185185183</v>
      </c>
      <c r="G843" s="2">
        <v>0.42609953703703701</v>
      </c>
      <c r="H843" s="2">
        <f t="shared" si="55"/>
        <v>5.1851851851851816E-3</v>
      </c>
      <c r="K843" s="1"/>
    </row>
    <row r="844" spans="1:11" x14ac:dyDescent="0.25">
      <c r="A844" s="6">
        <v>7739841</v>
      </c>
      <c r="B844" t="str">
        <f t="shared" si="52"/>
        <v>stacjonarny</v>
      </c>
      <c r="C844">
        <f t="shared" si="53"/>
        <v>0</v>
      </c>
      <c r="D844">
        <f t="shared" si="54"/>
        <v>0</v>
      </c>
      <c r="E844" s="1">
        <v>42929</v>
      </c>
      <c r="F844" s="2">
        <v>0.42418981481481483</v>
      </c>
      <c r="G844" s="2">
        <v>0.42598379629629629</v>
      </c>
      <c r="H844" s="2">
        <f t="shared" si="55"/>
        <v>1.7939814814814659E-3</v>
      </c>
      <c r="K844" s="1"/>
    </row>
    <row r="845" spans="1:11" x14ac:dyDescent="0.25">
      <c r="A845" s="6">
        <v>6275284312</v>
      </c>
      <c r="B845" t="str">
        <f t="shared" si="52"/>
        <v>zagraniczny</v>
      </c>
      <c r="C845">
        <f t="shared" si="53"/>
        <v>0</v>
      </c>
      <c r="D845">
        <f t="shared" si="54"/>
        <v>0</v>
      </c>
      <c r="E845" s="1">
        <v>42929</v>
      </c>
      <c r="F845" s="2">
        <v>0.4291550925925926</v>
      </c>
      <c r="G845" s="2">
        <v>0.4339351851851852</v>
      </c>
      <c r="H845" s="2">
        <f t="shared" si="55"/>
        <v>4.7800925925925997E-3</v>
      </c>
      <c r="K845" s="1"/>
    </row>
    <row r="846" spans="1:11" x14ac:dyDescent="0.25">
      <c r="A846" s="6">
        <v>1692981</v>
      </c>
      <c r="B846" t="str">
        <f t="shared" si="52"/>
        <v>stacjonarny</v>
      </c>
      <c r="C846">
        <f t="shared" si="53"/>
        <v>0</v>
      </c>
      <c r="D846">
        <f t="shared" si="54"/>
        <v>0</v>
      </c>
      <c r="E846" s="1">
        <v>42929</v>
      </c>
      <c r="F846" s="2">
        <v>0.43297453703703703</v>
      </c>
      <c r="G846" s="2">
        <v>0.43424768518518519</v>
      </c>
      <c r="H846" s="2">
        <f t="shared" si="55"/>
        <v>1.2731481481481621E-3</v>
      </c>
      <c r="K846" s="1"/>
    </row>
    <row r="847" spans="1:11" x14ac:dyDescent="0.25">
      <c r="A847" s="6">
        <v>9270571</v>
      </c>
      <c r="B847" t="str">
        <f t="shared" si="52"/>
        <v>stacjonarny</v>
      </c>
      <c r="C847">
        <f t="shared" si="53"/>
        <v>0</v>
      </c>
      <c r="D847">
        <f t="shared" si="54"/>
        <v>0</v>
      </c>
      <c r="E847" s="1">
        <v>42929</v>
      </c>
      <c r="F847" s="2">
        <v>0.43782407407407409</v>
      </c>
      <c r="G847" s="2">
        <v>0.44560185185185186</v>
      </c>
      <c r="H847" s="2">
        <f t="shared" si="55"/>
        <v>7.7777777777777724E-3</v>
      </c>
      <c r="K847" s="1"/>
    </row>
    <row r="848" spans="1:11" x14ac:dyDescent="0.25">
      <c r="A848" s="6">
        <v>6299545</v>
      </c>
      <c r="B848" t="str">
        <f t="shared" si="52"/>
        <v>stacjonarny</v>
      </c>
      <c r="C848">
        <f t="shared" si="53"/>
        <v>0</v>
      </c>
      <c r="D848">
        <f t="shared" si="54"/>
        <v>0</v>
      </c>
      <c r="E848" s="1">
        <v>42929</v>
      </c>
      <c r="F848" s="2">
        <v>0.43986111111111109</v>
      </c>
      <c r="G848" s="2">
        <v>0.44298611111111114</v>
      </c>
      <c r="H848" s="2">
        <f t="shared" si="55"/>
        <v>3.1250000000000444E-3</v>
      </c>
      <c r="K848" s="1"/>
    </row>
    <row r="849" spans="1:11" x14ac:dyDescent="0.25">
      <c r="A849" s="6">
        <v>67064385</v>
      </c>
      <c r="B849" t="str">
        <f t="shared" si="52"/>
        <v>komorkowy</v>
      </c>
      <c r="C849">
        <f t="shared" si="53"/>
        <v>0</v>
      </c>
      <c r="D849">
        <f t="shared" si="54"/>
        <v>0</v>
      </c>
      <c r="E849" s="1">
        <v>42929</v>
      </c>
      <c r="F849" s="2">
        <v>0.44278935185185186</v>
      </c>
      <c r="G849" s="2">
        <v>0.44480324074074074</v>
      </c>
      <c r="H849" s="2">
        <f t="shared" si="55"/>
        <v>2.0138888888888706E-3</v>
      </c>
      <c r="K849" s="1"/>
    </row>
    <row r="850" spans="1:11" x14ac:dyDescent="0.25">
      <c r="A850" s="6">
        <v>4062215</v>
      </c>
      <c r="B850" t="str">
        <f t="shared" si="52"/>
        <v>stacjonarny</v>
      </c>
      <c r="C850">
        <f t="shared" si="53"/>
        <v>0</v>
      </c>
      <c r="D850">
        <f t="shared" si="54"/>
        <v>0</v>
      </c>
      <c r="E850" s="1">
        <v>42929</v>
      </c>
      <c r="F850" s="2">
        <v>0.44732638888888887</v>
      </c>
      <c r="G850" s="2">
        <v>0.45466435185185183</v>
      </c>
      <c r="H850" s="2">
        <f t="shared" si="55"/>
        <v>7.3379629629629628E-3</v>
      </c>
      <c r="K850" s="1"/>
    </row>
    <row r="851" spans="1:11" x14ac:dyDescent="0.25">
      <c r="A851" s="6">
        <v>2835355</v>
      </c>
      <c r="B851" t="str">
        <f t="shared" si="52"/>
        <v>stacjonarny</v>
      </c>
      <c r="C851">
        <f t="shared" si="53"/>
        <v>0</v>
      </c>
      <c r="D851">
        <f t="shared" si="54"/>
        <v>0</v>
      </c>
      <c r="E851" s="1">
        <v>42929</v>
      </c>
      <c r="F851" s="2">
        <v>0.45131944444444444</v>
      </c>
      <c r="G851" s="2">
        <v>0.45689814814814816</v>
      </c>
      <c r="H851" s="2">
        <f t="shared" si="55"/>
        <v>5.5787037037037246E-3</v>
      </c>
      <c r="K851" s="1"/>
    </row>
    <row r="852" spans="1:11" x14ac:dyDescent="0.25">
      <c r="A852" s="6">
        <v>9283739</v>
      </c>
      <c r="B852" t="str">
        <f t="shared" si="52"/>
        <v>stacjonarny</v>
      </c>
      <c r="C852">
        <f t="shared" si="53"/>
        <v>0</v>
      </c>
      <c r="D852">
        <f t="shared" si="54"/>
        <v>0</v>
      </c>
      <c r="E852" s="1">
        <v>42929</v>
      </c>
      <c r="F852" s="2">
        <v>0.45489583333333333</v>
      </c>
      <c r="G852" s="2">
        <v>0.46451388888888889</v>
      </c>
      <c r="H852" s="2">
        <f t="shared" si="55"/>
        <v>9.6180555555555602E-3</v>
      </c>
      <c r="K852" s="1"/>
    </row>
    <row r="853" spans="1:11" x14ac:dyDescent="0.25">
      <c r="A853" s="6">
        <v>7118082</v>
      </c>
      <c r="B853" t="str">
        <f t="shared" si="52"/>
        <v>stacjonarny</v>
      </c>
      <c r="C853">
        <f t="shared" si="53"/>
        <v>0</v>
      </c>
      <c r="D853">
        <f t="shared" si="54"/>
        <v>0</v>
      </c>
      <c r="E853" s="1">
        <v>42929</v>
      </c>
      <c r="F853" s="2">
        <v>0.45682870370370371</v>
      </c>
      <c r="G853" s="2">
        <v>0.4664699074074074</v>
      </c>
      <c r="H853" s="2">
        <f t="shared" si="55"/>
        <v>9.6412037037036935E-3</v>
      </c>
      <c r="K853" s="1"/>
    </row>
    <row r="854" spans="1:11" x14ac:dyDescent="0.25">
      <c r="A854" s="6">
        <v>30178521</v>
      </c>
      <c r="B854" t="str">
        <f t="shared" si="52"/>
        <v>komorkowy</v>
      </c>
      <c r="C854">
        <f t="shared" si="53"/>
        <v>0</v>
      </c>
      <c r="D854">
        <f t="shared" si="54"/>
        <v>0</v>
      </c>
      <c r="E854" s="1">
        <v>42929</v>
      </c>
      <c r="F854" s="2">
        <v>0.45968750000000003</v>
      </c>
      <c r="G854" s="2">
        <v>0.46520833333333333</v>
      </c>
      <c r="H854" s="2">
        <f t="shared" si="55"/>
        <v>5.5208333333333082E-3</v>
      </c>
      <c r="K854" s="1"/>
    </row>
    <row r="855" spans="1:11" x14ac:dyDescent="0.25">
      <c r="A855" s="6">
        <v>5014399</v>
      </c>
      <c r="B855" t="str">
        <f t="shared" si="52"/>
        <v>stacjonarny</v>
      </c>
      <c r="C855">
        <f t="shared" si="53"/>
        <v>0</v>
      </c>
      <c r="D855">
        <f t="shared" si="54"/>
        <v>0</v>
      </c>
      <c r="E855" s="1">
        <v>42929</v>
      </c>
      <c r="F855" s="2">
        <v>0.46444444444444444</v>
      </c>
      <c r="G855" s="2">
        <v>0.46787037037037038</v>
      </c>
      <c r="H855" s="2">
        <f t="shared" si="55"/>
        <v>3.4259259259259434E-3</v>
      </c>
      <c r="K855" s="1"/>
    </row>
    <row r="856" spans="1:11" x14ac:dyDescent="0.25">
      <c r="A856" s="6">
        <v>3984696</v>
      </c>
      <c r="B856" t="str">
        <f t="shared" si="52"/>
        <v>stacjonarny</v>
      </c>
      <c r="C856">
        <f t="shared" si="53"/>
        <v>0</v>
      </c>
      <c r="D856">
        <f t="shared" si="54"/>
        <v>0</v>
      </c>
      <c r="E856" s="1">
        <v>42929</v>
      </c>
      <c r="F856" s="2">
        <v>0.46581018518518519</v>
      </c>
      <c r="G856" s="2">
        <v>0.46589120370370368</v>
      </c>
      <c r="H856" s="2">
        <f t="shared" si="55"/>
        <v>8.1018518518494176E-5</v>
      </c>
      <c r="K856" s="1"/>
    </row>
    <row r="857" spans="1:11" x14ac:dyDescent="0.25">
      <c r="A857" s="6">
        <v>53386383</v>
      </c>
      <c r="B857" t="str">
        <f t="shared" si="52"/>
        <v>komorkowy</v>
      </c>
      <c r="C857">
        <f t="shared" si="53"/>
        <v>0</v>
      </c>
      <c r="D857">
        <f t="shared" si="54"/>
        <v>0</v>
      </c>
      <c r="E857" s="1">
        <v>42929</v>
      </c>
      <c r="F857" s="2">
        <v>0.47099537037037037</v>
      </c>
      <c r="G857" s="2">
        <v>0.47175925925925927</v>
      </c>
      <c r="H857" s="2">
        <f t="shared" si="55"/>
        <v>7.6388888888889728E-4</v>
      </c>
      <c r="K857" s="1"/>
    </row>
    <row r="858" spans="1:11" x14ac:dyDescent="0.25">
      <c r="A858" s="6">
        <v>8733120283</v>
      </c>
      <c r="B858" t="str">
        <f t="shared" si="52"/>
        <v>zagraniczny</v>
      </c>
      <c r="C858">
        <f t="shared" si="53"/>
        <v>0</v>
      </c>
      <c r="D858">
        <f t="shared" si="54"/>
        <v>0</v>
      </c>
      <c r="E858" s="1">
        <v>42929</v>
      </c>
      <c r="F858" s="2">
        <v>0.47134259259259259</v>
      </c>
      <c r="G858" s="2">
        <v>0.47659722222222223</v>
      </c>
      <c r="H858" s="2">
        <f t="shared" si="55"/>
        <v>5.2546296296296369E-3</v>
      </c>
      <c r="K858" s="1"/>
    </row>
    <row r="859" spans="1:11" x14ac:dyDescent="0.25">
      <c r="A859" s="6">
        <v>6934405</v>
      </c>
      <c r="B859" t="str">
        <f t="shared" si="52"/>
        <v>stacjonarny</v>
      </c>
      <c r="C859">
        <f t="shared" si="53"/>
        <v>0</v>
      </c>
      <c r="D859">
        <f t="shared" si="54"/>
        <v>0</v>
      </c>
      <c r="E859" s="1">
        <v>42929</v>
      </c>
      <c r="F859" s="2">
        <v>0.47321759259259261</v>
      </c>
      <c r="G859" s="2">
        <v>0.48008101851851853</v>
      </c>
      <c r="H859" s="2">
        <f t="shared" si="55"/>
        <v>6.8634259259259256E-3</v>
      </c>
      <c r="K859" s="1"/>
    </row>
    <row r="860" spans="1:11" x14ac:dyDescent="0.25">
      <c r="A860" s="6">
        <v>54136845</v>
      </c>
      <c r="B860" t="str">
        <f t="shared" si="52"/>
        <v>komorkowy</v>
      </c>
      <c r="C860">
        <f t="shared" si="53"/>
        <v>0</v>
      </c>
      <c r="D860">
        <f t="shared" si="54"/>
        <v>0</v>
      </c>
      <c r="E860" s="1">
        <v>42929</v>
      </c>
      <c r="F860" s="2">
        <v>0.47890046296296296</v>
      </c>
      <c r="G860" s="2">
        <v>0.48042824074074075</v>
      </c>
      <c r="H860" s="2">
        <f t="shared" si="55"/>
        <v>1.5277777777777946E-3</v>
      </c>
      <c r="K860" s="1"/>
    </row>
    <row r="861" spans="1:11" x14ac:dyDescent="0.25">
      <c r="A861" s="6">
        <v>76310343</v>
      </c>
      <c r="B861" t="str">
        <f t="shared" si="52"/>
        <v>komorkowy</v>
      </c>
      <c r="C861">
        <f t="shared" si="53"/>
        <v>0</v>
      </c>
      <c r="D861">
        <f t="shared" si="54"/>
        <v>0</v>
      </c>
      <c r="E861" s="1">
        <v>42929</v>
      </c>
      <c r="F861" s="2">
        <v>0.48312500000000003</v>
      </c>
      <c r="G861" s="2">
        <v>0.4889236111111111</v>
      </c>
      <c r="H861" s="2">
        <f t="shared" si="55"/>
        <v>5.7986111111110739E-3</v>
      </c>
      <c r="K861" s="1"/>
    </row>
    <row r="862" spans="1:11" x14ac:dyDescent="0.25">
      <c r="A862" s="6">
        <v>9005999</v>
      </c>
      <c r="B862" t="str">
        <f t="shared" si="52"/>
        <v>stacjonarny</v>
      </c>
      <c r="C862">
        <f t="shared" si="53"/>
        <v>0</v>
      </c>
      <c r="D862">
        <f t="shared" si="54"/>
        <v>0</v>
      </c>
      <c r="E862" s="1">
        <v>42929</v>
      </c>
      <c r="F862" s="2">
        <v>0.4878587962962963</v>
      </c>
      <c r="G862" s="2">
        <v>0.49609953703703702</v>
      </c>
      <c r="H862" s="2">
        <f t="shared" si="55"/>
        <v>8.2407407407407152E-3</v>
      </c>
      <c r="K862" s="1"/>
    </row>
    <row r="863" spans="1:11" x14ac:dyDescent="0.25">
      <c r="A863" s="6">
        <v>7763451</v>
      </c>
      <c r="B863" t="str">
        <f t="shared" si="52"/>
        <v>stacjonarny</v>
      </c>
      <c r="C863">
        <f t="shared" si="53"/>
        <v>0</v>
      </c>
      <c r="D863">
        <f t="shared" si="54"/>
        <v>0</v>
      </c>
      <c r="E863" s="1">
        <v>42929</v>
      </c>
      <c r="F863" s="2">
        <v>0.4911226851851852</v>
      </c>
      <c r="G863" s="2">
        <v>0.49859953703703702</v>
      </c>
      <c r="H863" s="2">
        <f t="shared" si="55"/>
        <v>7.4768518518518179E-3</v>
      </c>
      <c r="K863" s="1"/>
    </row>
    <row r="864" spans="1:11" x14ac:dyDescent="0.25">
      <c r="A864" s="6">
        <v>3765001</v>
      </c>
      <c r="B864" t="str">
        <f t="shared" si="52"/>
        <v>stacjonarny</v>
      </c>
      <c r="C864">
        <f t="shared" si="53"/>
        <v>0</v>
      </c>
      <c r="D864">
        <f t="shared" si="54"/>
        <v>0</v>
      </c>
      <c r="E864" s="1">
        <v>42929</v>
      </c>
      <c r="F864" s="2">
        <v>0.49283564814814818</v>
      </c>
      <c r="G864" s="2">
        <v>0.50396990740740744</v>
      </c>
      <c r="H864" s="2">
        <f t="shared" si="55"/>
        <v>1.113425925925926E-2</v>
      </c>
      <c r="K864" s="1"/>
    </row>
    <row r="865" spans="1:11" x14ac:dyDescent="0.25">
      <c r="A865" s="6">
        <v>8498076</v>
      </c>
      <c r="B865" t="str">
        <f t="shared" si="52"/>
        <v>stacjonarny</v>
      </c>
      <c r="C865">
        <f t="shared" si="53"/>
        <v>0</v>
      </c>
      <c r="D865">
        <f t="shared" si="54"/>
        <v>0</v>
      </c>
      <c r="E865" s="1">
        <v>42929</v>
      </c>
      <c r="F865" s="2">
        <v>0.49493055555555554</v>
      </c>
      <c r="G865" s="2">
        <v>0.49898148148148147</v>
      </c>
      <c r="H865" s="2">
        <f t="shared" si="55"/>
        <v>4.05092592592593E-3</v>
      </c>
      <c r="K865" s="1"/>
    </row>
    <row r="866" spans="1:11" x14ac:dyDescent="0.25">
      <c r="A866" s="6">
        <v>4995171</v>
      </c>
      <c r="B866" t="str">
        <f t="shared" si="52"/>
        <v>stacjonarny</v>
      </c>
      <c r="C866">
        <f t="shared" si="53"/>
        <v>0</v>
      </c>
      <c r="D866">
        <f t="shared" si="54"/>
        <v>0</v>
      </c>
      <c r="E866" s="1">
        <v>42929</v>
      </c>
      <c r="F866" s="2">
        <v>0.5006018518518518</v>
      </c>
      <c r="G866" s="2">
        <v>0.50388888888888894</v>
      </c>
      <c r="H866" s="2">
        <f t="shared" si="55"/>
        <v>3.2870370370371438E-3</v>
      </c>
      <c r="K866" s="1"/>
    </row>
    <row r="867" spans="1:11" x14ac:dyDescent="0.25">
      <c r="A867" s="6">
        <v>8929993</v>
      </c>
      <c r="B867" t="str">
        <f t="shared" si="52"/>
        <v>stacjonarny</v>
      </c>
      <c r="C867">
        <f t="shared" si="53"/>
        <v>0</v>
      </c>
      <c r="D867">
        <f t="shared" si="54"/>
        <v>0</v>
      </c>
      <c r="E867" s="1">
        <v>42929</v>
      </c>
      <c r="F867" s="2">
        <v>0.50173611111111116</v>
      </c>
      <c r="G867" s="2">
        <v>0.50722222222222224</v>
      </c>
      <c r="H867" s="2">
        <f t="shared" si="55"/>
        <v>5.4861111111110805E-3</v>
      </c>
      <c r="K867" s="1"/>
    </row>
    <row r="868" spans="1:11" x14ac:dyDescent="0.25">
      <c r="A868" s="6">
        <v>7473804</v>
      </c>
      <c r="B868" t="str">
        <f t="shared" si="52"/>
        <v>stacjonarny</v>
      </c>
      <c r="C868">
        <f t="shared" si="53"/>
        <v>0</v>
      </c>
      <c r="D868">
        <f t="shared" si="54"/>
        <v>0</v>
      </c>
      <c r="E868" s="1">
        <v>42929</v>
      </c>
      <c r="F868" s="2">
        <v>0.50675925925925924</v>
      </c>
      <c r="G868" s="2">
        <v>0.5138194444444445</v>
      </c>
      <c r="H868" s="2">
        <f t="shared" si="55"/>
        <v>7.0601851851852526E-3</v>
      </c>
      <c r="K868" s="1"/>
    </row>
    <row r="869" spans="1:11" x14ac:dyDescent="0.25">
      <c r="A869" s="6">
        <v>1816002</v>
      </c>
      <c r="B869" t="str">
        <f t="shared" si="52"/>
        <v>stacjonarny</v>
      </c>
      <c r="C869">
        <f t="shared" si="53"/>
        <v>0</v>
      </c>
      <c r="D869">
        <f t="shared" si="54"/>
        <v>0</v>
      </c>
      <c r="E869" s="1">
        <v>42929</v>
      </c>
      <c r="F869" s="2">
        <v>0.50732638888888892</v>
      </c>
      <c r="G869" s="2">
        <v>0.51005787037037043</v>
      </c>
      <c r="H869" s="2">
        <f t="shared" si="55"/>
        <v>2.7314814814815014E-3</v>
      </c>
      <c r="K869" s="1"/>
    </row>
    <row r="870" spans="1:11" x14ac:dyDescent="0.25">
      <c r="A870" s="6">
        <v>4133182</v>
      </c>
      <c r="B870" t="str">
        <f t="shared" si="52"/>
        <v>stacjonarny</v>
      </c>
      <c r="C870">
        <f t="shared" si="53"/>
        <v>0</v>
      </c>
      <c r="D870">
        <f t="shared" si="54"/>
        <v>0</v>
      </c>
      <c r="E870" s="1">
        <v>42929</v>
      </c>
      <c r="F870" s="2">
        <v>0.51061342592592596</v>
      </c>
      <c r="G870" s="2">
        <v>0.5118287037037037</v>
      </c>
      <c r="H870" s="2">
        <f t="shared" si="55"/>
        <v>1.2152777777777457E-3</v>
      </c>
      <c r="K870" s="1"/>
    </row>
    <row r="871" spans="1:11" x14ac:dyDescent="0.25">
      <c r="A871" s="6">
        <v>63141248</v>
      </c>
      <c r="B871" t="str">
        <f t="shared" si="52"/>
        <v>komorkowy</v>
      </c>
      <c r="C871">
        <f t="shared" si="53"/>
        <v>0</v>
      </c>
      <c r="D871">
        <f t="shared" si="54"/>
        <v>0</v>
      </c>
      <c r="E871" s="1">
        <v>42929</v>
      </c>
      <c r="F871" s="2">
        <v>0.51224537037037032</v>
      </c>
      <c r="G871" s="2">
        <v>0.51730324074074074</v>
      </c>
      <c r="H871" s="2">
        <f t="shared" si="55"/>
        <v>5.0578703703704209E-3</v>
      </c>
      <c r="K871" s="1"/>
    </row>
    <row r="872" spans="1:11" x14ac:dyDescent="0.25">
      <c r="A872" s="6">
        <v>7384686</v>
      </c>
      <c r="B872" t="str">
        <f t="shared" si="52"/>
        <v>stacjonarny</v>
      </c>
      <c r="C872">
        <f t="shared" si="53"/>
        <v>0</v>
      </c>
      <c r="D872">
        <f t="shared" si="54"/>
        <v>0</v>
      </c>
      <c r="E872" s="1">
        <v>42929</v>
      </c>
      <c r="F872" s="2">
        <v>0.51616898148148149</v>
      </c>
      <c r="G872" s="2">
        <v>0.52461805555555552</v>
      </c>
      <c r="H872" s="2">
        <f t="shared" si="55"/>
        <v>8.4490740740740256E-3</v>
      </c>
      <c r="K872" s="1"/>
    </row>
    <row r="873" spans="1:11" x14ac:dyDescent="0.25">
      <c r="A873" s="6">
        <v>3150344</v>
      </c>
      <c r="B873" t="str">
        <f t="shared" si="52"/>
        <v>stacjonarny</v>
      </c>
      <c r="C873">
        <f t="shared" si="53"/>
        <v>0</v>
      </c>
      <c r="D873">
        <f t="shared" si="54"/>
        <v>0</v>
      </c>
      <c r="E873" s="1">
        <v>42929</v>
      </c>
      <c r="F873" s="2">
        <v>0.51709490740740738</v>
      </c>
      <c r="G873" s="2">
        <v>0.52684027777777775</v>
      </c>
      <c r="H873" s="2">
        <f t="shared" si="55"/>
        <v>9.7453703703703765E-3</v>
      </c>
      <c r="K873" s="1"/>
    </row>
    <row r="874" spans="1:11" x14ac:dyDescent="0.25">
      <c r="A874" s="6">
        <v>6786847</v>
      </c>
      <c r="B874" t="str">
        <f t="shared" si="52"/>
        <v>stacjonarny</v>
      </c>
      <c r="C874">
        <f t="shared" si="53"/>
        <v>0</v>
      </c>
      <c r="D874">
        <f t="shared" si="54"/>
        <v>0</v>
      </c>
      <c r="E874" s="1">
        <v>42929</v>
      </c>
      <c r="F874" s="2">
        <v>0.51986111111111111</v>
      </c>
      <c r="G874" s="2">
        <v>0.52924768518518517</v>
      </c>
      <c r="H874" s="2">
        <f t="shared" si="55"/>
        <v>9.3865740740740611E-3</v>
      </c>
      <c r="K874" s="1"/>
    </row>
    <row r="875" spans="1:11" x14ac:dyDescent="0.25">
      <c r="A875" s="6">
        <v>2947889</v>
      </c>
      <c r="B875" t="str">
        <f t="shared" si="52"/>
        <v>stacjonarny</v>
      </c>
      <c r="C875">
        <f t="shared" si="53"/>
        <v>0</v>
      </c>
      <c r="D875">
        <f t="shared" si="54"/>
        <v>0</v>
      </c>
      <c r="E875" s="1">
        <v>42929</v>
      </c>
      <c r="F875" s="2">
        <v>0.5232175925925926</v>
      </c>
      <c r="G875" s="2">
        <v>0.52965277777777775</v>
      </c>
      <c r="H875" s="2">
        <f t="shared" si="55"/>
        <v>6.4351851851851549E-3</v>
      </c>
      <c r="K875" s="1"/>
    </row>
    <row r="876" spans="1:11" x14ac:dyDescent="0.25">
      <c r="A876" s="6">
        <v>28961250</v>
      </c>
      <c r="B876" t="str">
        <f t="shared" si="52"/>
        <v>komorkowy</v>
      </c>
      <c r="C876">
        <f t="shared" si="53"/>
        <v>0</v>
      </c>
      <c r="D876">
        <f t="shared" si="54"/>
        <v>0</v>
      </c>
      <c r="E876" s="1">
        <v>42929</v>
      </c>
      <c r="F876" s="2">
        <v>0.52353009259259264</v>
      </c>
      <c r="G876" s="2">
        <v>0.53097222222222218</v>
      </c>
      <c r="H876" s="2">
        <f t="shared" si="55"/>
        <v>7.4421296296295347E-3</v>
      </c>
      <c r="K876" s="1"/>
    </row>
    <row r="877" spans="1:11" x14ac:dyDescent="0.25">
      <c r="A877" s="6">
        <v>3328479</v>
      </c>
      <c r="B877" t="str">
        <f t="shared" si="52"/>
        <v>stacjonarny</v>
      </c>
      <c r="C877">
        <f t="shared" si="53"/>
        <v>0</v>
      </c>
      <c r="D877">
        <f t="shared" si="54"/>
        <v>0</v>
      </c>
      <c r="E877" s="1">
        <v>42929</v>
      </c>
      <c r="F877" s="2">
        <v>0.52668981481481481</v>
      </c>
      <c r="G877" s="2">
        <v>0.53594907407407411</v>
      </c>
      <c r="H877" s="2">
        <f t="shared" si="55"/>
        <v>9.2592592592593004E-3</v>
      </c>
      <c r="K877" s="1"/>
    </row>
    <row r="878" spans="1:11" x14ac:dyDescent="0.25">
      <c r="A878" s="6">
        <v>61322035</v>
      </c>
      <c r="B878" t="str">
        <f t="shared" si="52"/>
        <v>komorkowy</v>
      </c>
      <c r="C878">
        <f t="shared" si="53"/>
        <v>0</v>
      </c>
      <c r="D878">
        <f t="shared" si="54"/>
        <v>0</v>
      </c>
      <c r="E878" s="1">
        <v>42929</v>
      </c>
      <c r="F878" s="2">
        <v>0.52906249999999999</v>
      </c>
      <c r="G878" s="2">
        <v>0.5294444444444445</v>
      </c>
      <c r="H878" s="2">
        <f t="shared" si="55"/>
        <v>3.8194444444450415E-4</v>
      </c>
      <c r="K878" s="1"/>
    </row>
    <row r="879" spans="1:11" x14ac:dyDescent="0.25">
      <c r="A879" s="6">
        <v>40308049</v>
      </c>
      <c r="B879" t="str">
        <f t="shared" si="52"/>
        <v>komorkowy</v>
      </c>
      <c r="C879">
        <f t="shared" si="53"/>
        <v>0</v>
      </c>
      <c r="D879">
        <f t="shared" si="54"/>
        <v>0</v>
      </c>
      <c r="E879" s="1">
        <v>42929</v>
      </c>
      <c r="F879" s="2">
        <v>0.53047453703703706</v>
      </c>
      <c r="G879" s="2">
        <v>0.53797453703703701</v>
      </c>
      <c r="H879" s="2">
        <f t="shared" si="55"/>
        <v>7.4999999999999512E-3</v>
      </c>
      <c r="K879" s="1"/>
    </row>
    <row r="880" spans="1:11" x14ac:dyDescent="0.25">
      <c r="A880" s="6">
        <v>7066778</v>
      </c>
      <c r="B880" t="str">
        <f t="shared" si="52"/>
        <v>stacjonarny</v>
      </c>
      <c r="C880">
        <f t="shared" si="53"/>
        <v>0</v>
      </c>
      <c r="D880">
        <f t="shared" si="54"/>
        <v>0</v>
      </c>
      <c r="E880" s="1">
        <v>42929</v>
      </c>
      <c r="F880" s="2">
        <v>0.53484953703703708</v>
      </c>
      <c r="G880" s="2">
        <v>0.538599537037037</v>
      </c>
      <c r="H880" s="2">
        <f t="shared" si="55"/>
        <v>3.7499999999999201E-3</v>
      </c>
      <c r="K880" s="1"/>
    </row>
    <row r="881" spans="1:11" x14ac:dyDescent="0.25">
      <c r="A881" s="6">
        <v>3434934</v>
      </c>
      <c r="B881" t="str">
        <f t="shared" si="52"/>
        <v>stacjonarny</v>
      </c>
      <c r="C881">
        <f t="shared" si="53"/>
        <v>0</v>
      </c>
      <c r="D881">
        <f t="shared" si="54"/>
        <v>0</v>
      </c>
      <c r="E881" s="1">
        <v>42929</v>
      </c>
      <c r="F881" s="2">
        <v>0.54039351851851847</v>
      </c>
      <c r="G881" s="2">
        <v>0.55039351851851848</v>
      </c>
      <c r="H881" s="2">
        <f t="shared" si="55"/>
        <v>1.0000000000000009E-2</v>
      </c>
      <c r="K881" s="1"/>
    </row>
    <row r="882" spans="1:11" x14ac:dyDescent="0.25">
      <c r="A882" s="6">
        <v>3017523</v>
      </c>
      <c r="B882" t="str">
        <f t="shared" si="52"/>
        <v>stacjonarny</v>
      </c>
      <c r="C882">
        <f t="shared" si="53"/>
        <v>0</v>
      </c>
      <c r="D882">
        <f t="shared" si="54"/>
        <v>0</v>
      </c>
      <c r="E882" s="1">
        <v>42929</v>
      </c>
      <c r="F882" s="2">
        <v>0.54342592592592598</v>
      </c>
      <c r="G882" s="2">
        <v>0.54971064814814818</v>
      </c>
      <c r="H882" s="2">
        <f t="shared" si="55"/>
        <v>6.2847222222222054E-3</v>
      </c>
      <c r="K882" s="1"/>
    </row>
    <row r="883" spans="1:11" x14ac:dyDescent="0.25">
      <c r="A883" s="6">
        <v>26699217</v>
      </c>
      <c r="B883" t="str">
        <f t="shared" si="52"/>
        <v>komorkowy</v>
      </c>
      <c r="C883">
        <f t="shared" si="53"/>
        <v>0</v>
      </c>
      <c r="D883">
        <f t="shared" si="54"/>
        <v>0</v>
      </c>
      <c r="E883" s="1">
        <v>42929</v>
      </c>
      <c r="F883" s="2">
        <v>0.5471759259259259</v>
      </c>
      <c r="G883" s="2">
        <v>0.55871527777777774</v>
      </c>
      <c r="H883" s="2">
        <f t="shared" si="55"/>
        <v>1.1539351851851842E-2</v>
      </c>
      <c r="K883" s="1"/>
    </row>
    <row r="884" spans="1:11" x14ac:dyDescent="0.25">
      <c r="A884" s="6">
        <v>3192836</v>
      </c>
      <c r="B884" t="str">
        <f t="shared" si="52"/>
        <v>stacjonarny</v>
      </c>
      <c r="C884">
        <f t="shared" si="53"/>
        <v>0</v>
      </c>
      <c r="D884">
        <f t="shared" si="54"/>
        <v>0</v>
      </c>
      <c r="E884" s="1">
        <v>42929</v>
      </c>
      <c r="F884" s="2">
        <v>0.54806712962962967</v>
      </c>
      <c r="G884" s="2">
        <v>0.54826388888888888</v>
      </c>
      <c r="H884" s="2">
        <f t="shared" si="55"/>
        <v>1.96759259259216E-4</v>
      </c>
      <c r="K884" s="1"/>
    </row>
    <row r="885" spans="1:11" x14ac:dyDescent="0.25">
      <c r="A885" s="6">
        <v>6979384</v>
      </c>
      <c r="B885" t="str">
        <f t="shared" si="52"/>
        <v>stacjonarny</v>
      </c>
      <c r="C885">
        <f t="shared" si="53"/>
        <v>0</v>
      </c>
      <c r="D885">
        <f t="shared" si="54"/>
        <v>0</v>
      </c>
      <c r="E885" s="1">
        <v>42929</v>
      </c>
      <c r="F885" s="2">
        <v>0.55315972222222221</v>
      </c>
      <c r="G885" s="2">
        <v>0.56252314814814819</v>
      </c>
      <c r="H885" s="2">
        <f t="shared" si="55"/>
        <v>9.3634259259259833E-3</v>
      </c>
      <c r="K885" s="1"/>
    </row>
    <row r="886" spans="1:11" x14ac:dyDescent="0.25">
      <c r="A886" s="6">
        <v>5277660</v>
      </c>
      <c r="B886" t="str">
        <f t="shared" si="52"/>
        <v>stacjonarny</v>
      </c>
      <c r="C886">
        <f t="shared" si="53"/>
        <v>0</v>
      </c>
      <c r="D886">
        <f t="shared" si="54"/>
        <v>0</v>
      </c>
      <c r="E886" s="1">
        <v>42929</v>
      </c>
      <c r="F886" s="2">
        <v>0.55543981481481486</v>
      </c>
      <c r="G886" s="2">
        <v>0.56340277777777781</v>
      </c>
      <c r="H886" s="2">
        <f t="shared" si="55"/>
        <v>7.9629629629629495E-3</v>
      </c>
      <c r="K886" s="1"/>
    </row>
    <row r="887" spans="1:11" x14ac:dyDescent="0.25">
      <c r="A887" s="6">
        <v>9543572</v>
      </c>
      <c r="B887" t="str">
        <f t="shared" si="52"/>
        <v>stacjonarny</v>
      </c>
      <c r="C887">
        <f t="shared" si="53"/>
        <v>0</v>
      </c>
      <c r="D887">
        <f t="shared" si="54"/>
        <v>0</v>
      </c>
      <c r="E887" s="1">
        <v>42929</v>
      </c>
      <c r="F887" s="2">
        <v>0.55556712962962962</v>
      </c>
      <c r="G887" s="2">
        <v>0.56344907407407407</v>
      </c>
      <c r="H887" s="2">
        <f t="shared" si="55"/>
        <v>7.8819444444444553E-3</v>
      </c>
      <c r="K887" s="1"/>
    </row>
    <row r="888" spans="1:11" x14ac:dyDescent="0.25">
      <c r="A888" s="6">
        <v>3984696</v>
      </c>
      <c r="B888" t="str">
        <f t="shared" si="52"/>
        <v>stacjonarny</v>
      </c>
      <c r="C888">
        <f t="shared" si="53"/>
        <v>0</v>
      </c>
      <c r="D888">
        <f t="shared" si="54"/>
        <v>0</v>
      </c>
      <c r="E888" s="1">
        <v>42929</v>
      </c>
      <c r="F888" s="2">
        <v>0.55923611111111116</v>
      </c>
      <c r="G888" s="2">
        <v>0.5665162037037037</v>
      </c>
      <c r="H888" s="2">
        <f t="shared" si="55"/>
        <v>7.2800925925925464E-3</v>
      </c>
      <c r="K888" s="1"/>
    </row>
    <row r="889" spans="1:11" x14ac:dyDescent="0.25">
      <c r="A889" s="6">
        <v>47855743</v>
      </c>
      <c r="B889" t="str">
        <f t="shared" si="52"/>
        <v>komorkowy</v>
      </c>
      <c r="C889">
        <f t="shared" si="53"/>
        <v>0</v>
      </c>
      <c r="D889">
        <f t="shared" si="54"/>
        <v>0</v>
      </c>
      <c r="E889" s="1">
        <v>42929</v>
      </c>
      <c r="F889" s="2">
        <v>0.56371527777777775</v>
      </c>
      <c r="G889" s="2">
        <v>0.57344907407407408</v>
      </c>
      <c r="H889" s="2">
        <f t="shared" si="55"/>
        <v>9.7337962962963376E-3</v>
      </c>
      <c r="K889" s="1"/>
    </row>
    <row r="890" spans="1:11" x14ac:dyDescent="0.25">
      <c r="A890" s="6">
        <v>3095218</v>
      </c>
      <c r="B890" t="str">
        <f t="shared" si="52"/>
        <v>stacjonarny</v>
      </c>
      <c r="C890">
        <f t="shared" si="53"/>
        <v>0</v>
      </c>
      <c r="D890">
        <f t="shared" si="54"/>
        <v>0</v>
      </c>
      <c r="E890" s="1">
        <v>42929</v>
      </c>
      <c r="F890" s="2">
        <v>0.56581018518518522</v>
      </c>
      <c r="G890" s="2">
        <v>0.57694444444444448</v>
      </c>
      <c r="H890" s="2">
        <f t="shared" si="55"/>
        <v>1.113425925925926E-2</v>
      </c>
      <c r="K890" s="1"/>
    </row>
    <row r="891" spans="1:11" x14ac:dyDescent="0.25">
      <c r="A891" s="6">
        <v>7933399</v>
      </c>
      <c r="B891" t="str">
        <f t="shared" si="52"/>
        <v>stacjonarny</v>
      </c>
      <c r="C891">
        <f t="shared" si="53"/>
        <v>0</v>
      </c>
      <c r="D891">
        <f t="shared" si="54"/>
        <v>0</v>
      </c>
      <c r="E891" s="1">
        <v>42929</v>
      </c>
      <c r="F891" s="2">
        <v>0.57054398148148144</v>
      </c>
      <c r="G891" s="2">
        <v>0.57388888888888889</v>
      </c>
      <c r="H891" s="2">
        <f t="shared" si="55"/>
        <v>3.3449074074074492E-3</v>
      </c>
      <c r="K891" s="1"/>
    </row>
    <row r="892" spans="1:11" x14ac:dyDescent="0.25">
      <c r="A892" s="6">
        <v>54821549</v>
      </c>
      <c r="B892" t="str">
        <f t="shared" si="52"/>
        <v>komorkowy</v>
      </c>
      <c r="C892">
        <f t="shared" si="53"/>
        <v>0</v>
      </c>
      <c r="D892">
        <f t="shared" si="54"/>
        <v>0</v>
      </c>
      <c r="E892" s="1">
        <v>42929</v>
      </c>
      <c r="F892" s="2">
        <v>0.57287037037037036</v>
      </c>
      <c r="G892" s="2">
        <v>0.57663194444444443</v>
      </c>
      <c r="H892" s="2">
        <f t="shared" si="55"/>
        <v>3.76157407407407E-3</v>
      </c>
      <c r="K892" s="1"/>
    </row>
    <row r="893" spans="1:11" x14ac:dyDescent="0.25">
      <c r="A893" s="6">
        <v>14919021</v>
      </c>
      <c r="B893" t="str">
        <f t="shared" si="52"/>
        <v>komorkowy</v>
      </c>
      <c r="C893">
        <f t="shared" si="53"/>
        <v>0</v>
      </c>
      <c r="D893">
        <f t="shared" si="54"/>
        <v>0</v>
      </c>
      <c r="E893" s="1">
        <v>42929</v>
      </c>
      <c r="F893" s="2">
        <v>0.57331018518518517</v>
      </c>
      <c r="G893" s="2">
        <v>0.57547453703703699</v>
      </c>
      <c r="H893" s="2">
        <f t="shared" si="55"/>
        <v>2.1643518518518201E-3</v>
      </c>
      <c r="K893" s="1"/>
    </row>
    <row r="894" spans="1:11" x14ac:dyDescent="0.25">
      <c r="A894" s="6">
        <v>9175377</v>
      </c>
      <c r="B894" t="str">
        <f t="shared" si="52"/>
        <v>stacjonarny</v>
      </c>
      <c r="C894">
        <f t="shared" si="53"/>
        <v>0</v>
      </c>
      <c r="D894">
        <f t="shared" si="54"/>
        <v>0</v>
      </c>
      <c r="E894" s="1">
        <v>42929</v>
      </c>
      <c r="F894" s="2">
        <v>0.57648148148148148</v>
      </c>
      <c r="G894" s="2">
        <v>0.57916666666666672</v>
      </c>
      <c r="H894" s="2">
        <f t="shared" si="55"/>
        <v>2.6851851851852349E-3</v>
      </c>
      <c r="K894" s="1"/>
    </row>
    <row r="895" spans="1:11" x14ac:dyDescent="0.25">
      <c r="A895" s="6">
        <v>3656681</v>
      </c>
      <c r="B895" t="str">
        <f t="shared" si="52"/>
        <v>stacjonarny</v>
      </c>
      <c r="C895">
        <f t="shared" si="53"/>
        <v>0</v>
      </c>
      <c r="D895">
        <f t="shared" si="54"/>
        <v>0</v>
      </c>
      <c r="E895" s="1">
        <v>42929</v>
      </c>
      <c r="F895" s="2">
        <v>0.58067129629629632</v>
      </c>
      <c r="G895" s="2">
        <v>0.59149305555555554</v>
      </c>
      <c r="H895" s="2">
        <f t="shared" si="55"/>
        <v>1.0821759259259212E-2</v>
      </c>
      <c r="K895" s="1"/>
    </row>
    <row r="896" spans="1:11" x14ac:dyDescent="0.25">
      <c r="A896" s="6">
        <v>5741700</v>
      </c>
      <c r="B896" t="str">
        <f t="shared" si="52"/>
        <v>stacjonarny</v>
      </c>
      <c r="C896">
        <f t="shared" si="53"/>
        <v>0</v>
      </c>
      <c r="D896">
        <f t="shared" si="54"/>
        <v>0</v>
      </c>
      <c r="E896" s="1">
        <v>42929</v>
      </c>
      <c r="F896" s="2">
        <v>0.58644675925925926</v>
      </c>
      <c r="G896" s="2">
        <v>0.5978472222222222</v>
      </c>
      <c r="H896" s="2">
        <f t="shared" si="55"/>
        <v>1.1400462962962932E-2</v>
      </c>
      <c r="K896" s="1"/>
    </row>
    <row r="897" spans="1:11" x14ac:dyDescent="0.25">
      <c r="A897" s="6">
        <v>18816694</v>
      </c>
      <c r="B897" t="str">
        <f t="shared" si="52"/>
        <v>komorkowy</v>
      </c>
      <c r="C897">
        <f t="shared" si="53"/>
        <v>0</v>
      </c>
      <c r="D897">
        <f t="shared" si="54"/>
        <v>0</v>
      </c>
      <c r="E897" s="1">
        <v>42929</v>
      </c>
      <c r="F897" s="2">
        <v>0.59179398148148143</v>
      </c>
      <c r="G897" s="2">
        <v>0.60054398148148147</v>
      </c>
      <c r="H897" s="2">
        <f t="shared" si="55"/>
        <v>8.7500000000000355E-3</v>
      </c>
      <c r="K897" s="1"/>
    </row>
    <row r="898" spans="1:11" x14ac:dyDescent="0.25">
      <c r="A898" s="6">
        <v>6177366</v>
      </c>
      <c r="B898" t="str">
        <f t="shared" ref="B898:B961" si="56">IF(LEN(A898)=7, "stacjonarny", IF(LEN(A898)=8, "komorkowy", "zagraniczny"))</f>
        <v>stacjonarny</v>
      </c>
      <c r="C898">
        <f t="shared" si="53"/>
        <v>0</v>
      </c>
      <c r="D898">
        <f t="shared" si="54"/>
        <v>0</v>
      </c>
      <c r="E898" s="1">
        <v>42929</v>
      </c>
      <c r="F898" s="2">
        <v>0.59266203703703701</v>
      </c>
      <c r="G898" s="2">
        <v>0.59672453703703698</v>
      </c>
      <c r="H898" s="2">
        <f t="shared" si="55"/>
        <v>4.0624999999999689E-3</v>
      </c>
      <c r="K898" s="1"/>
    </row>
    <row r="899" spans="1:11" x14ac:dyDescent="0.25">
      <c r="A899" s="6">
        <v>4221160</v>
      </c>
      <c r="B899" t="str">
        <f t="shared" si="56"/>
        <v>stacjonarny</v>
      </c>
      <c r="C899">
        <f t="shared" ref="C899:C962" si="57">IF(LEFT(A899,2)="12",1,0)</f>
        <v>0</v>
      </c>
      <c r="D899">
        <f t="shared" ref="D899:D962" si="58">IF(AND(C899=1,B899="stacjonarny"),1,0)</f>
        <v>0</v>
      </c>
      <c r="E899" s="1">
        <v>42929</v>
      </c>
      <c r="F899" s="2">
        <v>0.59437499999999999</v>
      </c>
      <c r="G899" s="2">
        <v>0.60349537037037038</v>
      </c>
      <c r="H899" s="2">
        <f t="shared" ref="H899:H962" si="59">G899-F899</f>
        <v>9.1203703703703898E-3</v>
      </c>
      <c r="K899" s="1"/>
    </row>
    <row r="900" spans="1:11" x14ac:dyDescent="0.25">
      <c r="A900" s="6">
        <v>9339774</v>
      </c>
      <c r="B900" t="str">
        <f t="shared" si="56"/>
        <v>stacjonarny</v>
      </c>
      <c r="C900">
        <f t="shared" si="57"/>
        <v>0</v>
      </c>
      <c r="D900">
        <f t="shared" si="58"/>
        <v>0</v>
      </c>
      <c r="E900" s="1">
        <v>42929</v>
      </c>
      <c r="F900" s="2">
        <v>0.59745370370370365</v>
      </c>
      <c r="G900" s="2">
        <v>0.607025462962963</v>
      </c>
      <c r="H900" s="2">
        <f t="shared" si="59"/>
        <v>9.5717592592593492E-3</v>
      </c>
      <c r="K900" s="1"/>
    </row>
    <row r="901" spans="1:11" x14ac:dyDescent="0.25">
      <c r="A901" s="6">
        <v>46255010</v>
      </c>
      <c r="B901" t="str">
        <f t="shared" si="56"/>
        <v>komorkowy</v>
      </c>
      <c r="C901">
        <f t="shared" si="57"/>
        <v>0</v>
      </c>
      <c r="D901">
        <f t="shared" si="58"/>
        <v>0</v>
      </c>
      <c r="E901" s="1">
        <v>42929</v>
      </c>
      <c r="F901" s="2">
        <v>0.60008101851851847</v>
      </c>
      <c r="G901" s="2">
        <v>0.60182870370370367</v>
      </c>
      <c r="H901" s="2">
        <f t="shared" si="59"/>
        <v>1.7476851851851993E-3</v>
      </c>
      <c r="K901" s="1"/>
    </row>
    <row r="902" spans="1:11" x14ac:dyDescent="0.25">
      <c r="A902" s="6">
        <v>91208799</v>
      </c>
      <c r="B902" t="str">
        <f t="shared" si="56"/>
        <v>komorkowy</v>
      </c>
      <c r="C902">
        <f t="shared" si="57"/>
        <v>0</v>
      </c>
      <c r="D902">
        <f t="shared" si="58"/>
        <v>0</v>
      </c>
      <c r="E902" s="1">
        <v>42929</v>
      </c>
      <c r="F902" s="2">
        <v>0.60311342592592587</v>
      </c>
      <c r="G902" s="2">
        <v>0.61048611111111106</v>
      </c>
      <c r="H902" s="2">
        <f t="shared" si="59"/>
        <v>7.3726851851851904E-3</v>
      </c>
      <c r="K902" s="1"/>
    </row>
    <row r="903" spans="1:11" x14ac:dyDescent="0.25">
      <c r="A903" s="6">
        <v>7211782</v>
      </c>
      <c r="B903" t="str">
        <f t="shared" si="56"/>
        <v>stacjonarny</v>
      </c>
      <c r="C903">
        <f t="shared" si="57"/>
        <v>0</v>
      </c>
      <c r="D903">
        <f t="shared" si="58"/>
        <v>0</v>
      </c>
      <c r="E903" s="1">
        <v>42929</v>
      </c>
      <c r="F903" s="2">
        <v>0.60773148148148148</v>
      </c>
      <c r="G903" s="2">
        <v>0.60799768518518515</v>
      </c>
      <c r="H903" s="2">
        <f t="shared" si="59"/>
        <v>2.662037037036713E-4</v>
      </c>
      <c r="K903" s="1"/>
    </row>
    <row r="904" spans="1:11" x14ac:dyDescent="0.25">
      <c r="A904" s="6">
        <v>3429335</v>
      </c>
      <c r="B904" t="str">
        <f t="shared" si="56"/>
        <v>stacjonarny</v>
      </c>
      <c r="C904">
        <f t="shared" si="57"/>
        <v>0</v>
      </c>
      <c r="D904">
        <f t="shared" si="58"/>
        <v>0</v>
      </c>
      <c r="E904" s="1">
        <v>42929</v>
      </c>
      <c r="F904" s="2">
        <v>0.61346064814814816</v>
      </c>
      <c r="G904" s="2">
        <v>0.62468749999999995</v>
      </c>
      <c r="H904" s="2">
        <f t="shared" si="59"/>
        <v>1.1226851851851793E-2</v>
      </c>
      <c r="K904" s="1"/>
    </row>
    <row r="905" spans="1:11" x14ac:dyDescent="0.25">
      <c r="A905" s="6">
        <v>3206241</v>
      </c>
      <c r="B905" t="str">
        <f t="shared" si="56"/>
        <v>stacjonarny</v>
      </c>
      <c r="C905">
        <f t="shared" si="57"/>
        <v>0</v>
      </c>
      <c r="D905">
        <f t="shared" si="58"/>
        <v>0</v>
      </c>
      <c r="E905" s="1">
        <v>42929</v>
      </c>
      <c r="F905" s="2">
        <v>0.61614583333333328</v>
      </c>
      <c r="G905" s="2">
        <v>0.62736111111111115</v>
      </c>
      <c r="H905" s="2">
        <f t="shared" si="59"/>
        <v>1.1215277777777866E-2</v>
      </c>
      <c r="K905" s="1"/>
    </row>
    <row r="906" spans="1:11" x14ac:dyDescent="0.25">
      <c r="A906" s="6">
        <v>8750670</v>
      </c>
      <c r="B906" t="str">
        <f t="shared" si="56"/>
        <v>stacjonarny</v>
      </c>
      <c r="C906">
        <f t="shared" si="57"/>
        <v>0</v>
      </c>
      <c r="D906">
        <f t="shared" si="58"/>
        <v>0</v>
      </c>
      <c r="E906" s="1">
        <v>42929</v>
      </c>
      <c r="F906" s="2">
        <v>0.61686342592592591</v>
      </c>
      <c r="G906" s="2">
        <v>0.61760416666666662</v>
      </c>
      <c r="H906" s="2">
        <f t="shared" si="59"/>
        <v>7.407407407407085E-4</v>
      </c>
      <c r="K906" s="1"/>
    </row>
    <row r="907" spans="1:11" x14ac:dyDescent="0.25">
      <c r="A907" s="6">
        <v>7792679</v>
      </c>
      <c r="B907" t="str">
        <f t="shared" si="56"/>
        <v>stacjonarny</v>
      </c>
      <c r="C907">
        <f t="shared" si="57"/>
        <v>0</v>
      </c>
      <c r="D907">
        <f t="shared" si="58"/>
        <v>0</v>
      </c>
      <c r="E907" s="1">
        <v>42929</v>
      </c>
      <c r="F907" s="2">
        <v>0.62046296296296299</v>
      </c>
      <c r="G907" s="2">
        <v>0.62071759259259263</v>
      </c>
      <c r="H907" s="2">
        <f t="shared" si="59"/>
        <v>2.5462962962963243E-4</v>
      </c>
      <c r="K907" s="1"/>
    </row>
    <row r="908" spans="1:11" x14ac:dyDescent="0.25">
      <c r="A908" s="6">
        <v>9287211</v>
      </c>
      <c r="B908" t="str">
        <f t="shared" si="56"/>
        <v>stacjonarny</v>
      </c>
      <c r="C908">
        <f t="shared" si="57"/>
        <v>0</v>
      </c>
      <c r="D908">
        <f t="shared" si="58"/>
        <v>0</v>
      </c>
      <c r="E908" s="1">
        <v>42929</v>
      </c>
      <c r="F908" s="2">
        <v>0.62178240740740742</v>
      </c>
      <c r="G908" s="2">
        <v>0.62540509259259258</v>
      </c>
      <c r="H908" s="2">
        <f t="shared" si="59"/>
        <v>3.6226851851851594E-3</v>
      </c>
      <c r="K908" s="1"/>
    </row>
    <row r="909" spans="1:11" x14ac:dyDescent="0.25">
      <c r="A909" s="6">
        <v>1997542</v>
      </c>
      <c r="B909" t="str">
        <f t="shared" si="56"/>
        <v>stacjonarny</v>
      </c>
      <c r="C909">
        <f t="shared" si="57"/>
        <v>0</v>
      </c>
      <c r="D909">
        <f t="shared" si="58"/>
        <v>0</v>
      </c>
      <c r="E909" s="1">
        <v>42929</v>
      </c>
      <c r="F909" s="2">
        <v>0.62749999999999995</v>
      </c>
      <c r="G909" s="2">
        <v>0.63146990740740738</v>
      </c>
      <c r="H909" s="2">
        <f t="shared" si="59"/>
        <v>3.9699074074074359E-3</v>
      </c>
      <c r="K909" s="1"/>
    </row>
    <row r="910" spans="1:11" x14ac:dyDescent="0.25">
      <c r="A910" s="6">
        <v>3558582</v>
      </c>
      <c r="B910" t="str">
        <f t="shared" si="56"/>
        <v>stacjonarny</v>
      </c>
      <c r="C910">
        <f t="shared" si="57"/>
        <v>0</v>
      </c>
      <c r="D910">
        <f t="shared" si="58"/>
        <v>0</v>
      </c>
      <c r="E910" s="1">
        <v>42930</v>
      </c>
      <c r="F910" s="2">
        <v>0.33658564814814818</v>
      </c>
      <c r="G910" s="2">
        <v>0.34384259259259259</v>
      </c>
      <c r="H910" s="2">
        <f t="shared" si="59"/>
        <v>7.2569444444444131E-3</v>
      </c>
      <c r="K910" s="1"/>
    </row>
    <row r="911" spans="1:11" x14ac:dyDescent="0.25">
      <c r="A911" s="6">
        <v>25240352</v>
      </c>
      <c r="B911" t="str">
        <f t="shared" si="56"/>
        <v>komorkowy</v>
      </c>
      <c r="C911">
        <f t="shared" si="57"/>
        <v>0</v>
      </c>
      <c r="D911">
        <f t="shared" si="58"/>
        <v>0</v>
      </c>
      <c r="E911" s="1">
        <v>42930</v>
      </c>
      <c r="F911" s="2">
        <v>0.3369212962962963</v>
      </c>
      <c r="G911" s="2">
        <v>0.34468749999999998</v>
      </c>
      <c r="H911" s="2">
        <f t="shared" si="59"/>
        <v>7.766203703703678E-3</v>
      </c>
      <c r="K911" s="1"/>
    </row>
    <row r="912" spans="1:11" x14ac:dyDescent="0.25">
      <c r="A912" s="6">
        <v>5829504</v>
      </c>
      <c r="B912" t="str">
        <f t="shared" si="56"/>
        <v>stacjonarny</v>
      </c>
      <c r="C912">
        <f t="shared" si="57"/>
        <v>0</v>
      </c>
      <c r="D912">
        <f t="shared" si="58"/>
        <v>0</v>
      </c>
      <c r="E912" s="1">
        <v>42930</v>
      </c>
      <c r="F912" s="2">
        <v>0.33802083333333333</v>
      </c>
      <c r="G912" s="2">
        <v>0.34233796296296298</v>
      </c>
      <c r="H912" s="2">
        <f t="shared" si="59"/>
        <v>4.3171296296296569E-3</v>
      </c>
      <c r="K912" s="1"/>
    </row>
    <row r="913" spans="1:11" x14ac:dyDescent="0.25">
      <c r="A913" s="6">
        <v>97317489</v>
      </c>
      <c r="B913" t="str">
        <f t="shared" si="56"/>
        <v>komorkowy</v>
      </c>
      <c r="C913">
        <f t="shared" si="57"/>
        <v>0</v>
      </c>
      <c r="D913">
        <f t="shared" si="58"/>
        <v>0</v>
      </c>
      <c r="E913" s="1">
        <v>42930</v>
      </c>
      <c r="F913" s="2">
        <v>0.34062500000000001</v>
      </c>
      <c r="G913" s="2">
        <v>0.34333333333333332</v>
      </c>
      <c r="H913" s="2">
        <f t="shared" si="59"/>
        <v>2.7083333333333126E-3</v>
      </c>
      <c r="K913" s="1"/>
    </row>
    <row r="914" spans="1:11" x14ac:dyDescent="0.25">
      <c r="A914" s="6">
        <v>53762222</v>
      </c>
      <c r="B914" t="str">
        <f t="shared" si="56"/>
        <v>komorkowy</v>
      </c>
      <c r="C914">
        <f t="shared" si="57"/>
        <v>0</v>
      </c>
      <c r="D914">
        <f t="shared" si="58"/>
        <v>0</v>
      </c>
      <c r="E914" s="1">
        <v>42930</v>
      </c>
      <c r="F914" s="2">
        <v>0.34262731481481479</v>
      </c>
      <c r="G914" s="2">
        <v>0.34824074074074074</v>
      </c>
      <c r="H914" s="2">
        <f t="shared" si="59"/>
        <v>5.6134259259259522E-3</v>
      </c>
      <c r="K914" s="1"/>
    </row>
    <row r="915" spans="1:11" x14ac:dyDescent="0.25">
      <c r="A915" s="6">
        <v>3363840</v>
      </c>
      <c r="B915" t="str">
        <f t="shared" si="56"/>
        <v>stacjonarny</v>
      </c>
      <c r="C915">
        <f t="shared" si="57"/>
        <v>0</v>
      </c>
      <c r="D915">
        <f t="shared" si="58"/>
        <v>0</v>
      </c>
      <c r="E915" s="1">
        <v>42930</v>
      </c>
      <c r="F915" s="2">
        <v>0.34431712962962963</v>
      </c>
      <c r="G915" s="2">
        <v>0.34605324074074073</v>
      </c>
      <c r="H915" s="2">
        <f t="shared" si="59"/>
        <v>1.7361111111111049E-3</v>
      </c>
      <c r="K915" s="1"/>
    </row>
    <row r="916" spans="1:11" x14ac:dyDescent="0.25">
      <c r="A916" s="6">
        <v>5542324</v>
      </c>
      <c r="B916" t="str">
        <f t="shared" si="56"/>
        <v>stacjonarny</v>
      </c>
      <c r="C916">
        <f t="shared" si="57"/>
        <v>0</v>
      </c>
      <c r="D916">
        <f t="shared" si="58"/>
        <v>0</v>
      </c>
      <c r="E916" s="1">
        <v>42930</v>
      </c>
      <c r="F916" s="2">
        <v>0.34528935185185183</v>
      </c>
      <c r="G916" s="2">
        <v>0.3541435185185185</v>
      </c>
      <c r="H916" s="2">
        <f t="shared" si="59"/>
        <v>8.854166666666663E-3</v>
      </c>
      <c r="K916" s="1"/>
    </row>
    <row r="917" spans="1:11" x14ac:dyDescent="0.25">
      <c r="A917" s="6">
        <v>9853612</v>
      </c>
      <c r="B917" t="str">
        <f t="shared" si="56"/>
        <v>stacjonarny</v>
      </c>
      <c r="C917">
        <f t="shared" si="57"/>
        <v>0</v>
      </c>
      <c r="D917">
        <f t="shared" si="58"/>
        <v>0</v>
      </c>
      <c r="E917" s="1">
        <v>42930</v>
      </c>
      <c r="F917" s="2">
        <v>0.34848379629629628</v>
      </c>
      <c r="G917" s="2">
        <v>0.35927083333333332</v>
      </c>
      <c r="H917" s="2">
        <f t="shared" si="59"/>
        <v>1.0787037037037039E-2</v>
      </c>
      <c r="K917" s="1"/>
    </row>
    <row r="918" spans="1:11" x14ac:dyDescent="0.25">
      <c r="A918" s="6">
        <v>5392799</v>
      </c>
      <c r="B918" t="str">
        <f t="shared" si="56"/>
        <v>stacjonarny</v>
      </c>
      <c r="C918">
        <f t="shared" si="57"/>
        <v>0</v>
      </c>
      <c r="D918">
        <f t="shared" si="58"/>
        <v>0</v>
      </c>
      <c r="E918" s="1">
        <v>42930</v>
      </c>
      <c r="F918" s="2">
        <v>0.35270833333333335</v>
      </c>
      <c r="G918" s="2">
        <v>0.36254629629629631</v>
      </c>
      <c r="H918" s="2">
        <f t="shared" si="59"/>
        <v>9.837962962962965E-3</v>
      </c>
      <c r="K918" s="1"/>
    </row>
    <row r="919" spans="1:11" x14ac:dyDescent="0.25">
      <c r="A919" s="6">
        <v>1089768</v>
      </c>
      <c r="B919" t="str">
        <f t="shared" si="56"/>
        <v>stacjonarny</v>
      </c>
      <c r="C919">
        <f t="shared" si="57"/>
        <v>0</v>
      </c>
      <c r="D919">
        <f t="shared" si="58"/>
        <v>0</v>
      </c>
      <c r="E919" s="1">
        <v>42930</v>
      </c>
      <c r="F919" s="2">
        <v>0.35497685185185185</v>
      </c>
      <c r="G919" s="2">
        <v>0.36493055555555554</v>
      </c>
      <c r="H919" s="2">
        <f t="shared" si="59"/>
        <v>9.9537037037036868E-3</v>
      </c>
      <c r="K919" s="1"/>
    </row>
    <row r="920" spans="1:11" x14ac:dyDescent="0.25">
      <c r="A920" s="6">
        <v>4274311</v>
      </c>
      <c r="B920" t="str">
        <f t="shared" si="56"/>
        <v>stacjonarny</v>
      </c>
      <c r="C920">
        <f t="shared" si="57"/>
        <v>0</v>
      </c>
      <c r="D920">
        <f t="shared" si="58"/>
        <v>0</v>
      </c>
      <c r="E920" s="1">
        <v>42930</v>
      </c>
      <c r="F920" s="2">
        <v>0.35699074074074072</v>
      </c>
      <c r="G920" s="2">
        <v>0.36554398148148148</v>
      </c>
      <c r="H920" s="2">
        <f t="shared" si="59"/>
        <v>8.553240740740764E-3</v>
      </c>
      <c r="K920" s="1"/>
    </row>
    <row r="921" spans="1:11" x14ac:dyDescent="0.25">
      <c r="A921" s="6">
        <v>8276893</v>
      </c>
      <c r="B921" t="str">
        <f t="shared" si="56"/>
        <v>stacjonarny</v>
      </c>
      <c r="C921">
        <f t="shared" si="57"/>
        <v>0</v>
      </c>
      <c r="D921">
        <f t="shared" si="58"/>
        <v>0</v>
      </c>
      <c r="E921" s="1">
        <v>42930</v>
      </c>
      <c r="F921" s="2">
        <v>0.36056712962962961</v>
      </c>
      <c r="G921" s="2">
        <v>0.36929398148148146</v>
      </c>
      <c r="H921" s="2">
        <f t="shared" si="59"/>
        <v>8.7268518518518468E-3</v>
      </c>
      <c r="K921" s="1"/>
    </row>
    <row r="922" spans="1:11" x14ac:dyDescent="0.25">
      <c r="A922" s="6">
        <v>24724114</v>
      </c>
      <c r="B922" t="str">
        <f t="shared" si="56"/>
        <v>komorkowy</v>
      </c>
      <c r="C922">
        <f t="shared" si="57"/>
        <v>0</v>
      </c>
      <c r="D922">
        <f t="shared" si="58"/>
        <v>0</v>
      </c>
      <c r="E922" s="1">
        <v>42930</v>
      </c>
      <c r="F922" s="2">
        <v>0.36212962962962963</v>
      </c>
      <c r="G922" s="2">
        <v>0.36342592592592593</v>
      </c>
      <c r="H922" s="2">
        <f t="shared" si="59"/>
        <v>1.2962962962962954E-3</v>
      </c>
      <c r="K922" s="1"/>
    </row>
    <row r="923" spans="1:11" x14ac:dyDescent="0.25">
      <c r="A923" s="6">
        <v>23580194</v>
      </c>
      <c r="B923" t="str">
        <f t="shared" si="56"/>
        <v>komorkowy</v>
      </c>
      <c r="C923">
        <f t="shared" si="57"/>
        <v>0</v>
      </c>
      <c r="D923">
        <f t="shared" si="58"/>
        <v>0</v>
      </c>
      <c r="E923" s="1">
        <v>42930</v>
      </c>
      <c r="F923" s="2">
        <v>0.36516203703703703</v>
      </c>
      <c r="G923" s="2">
        <v>0.37596064814814817</v>
      </c>
      <c r="H923" s="2">
        <f t="shared" si="59"/>
        <v>1.0798611111111134E-2</v>
      </c>
      <c r="K923" s="1"/>
    </row>
    <row r="924" spans="1:11" x14ac:dyDescent="0.25">
      <c r="A924" s="6">
        <v>1775131</v>
      </c>
      <c r="B924" t="str">
        <f t="shared" si="56"/>
        <v>stacjonarny</v>
      </c>
      <c r="C924">
        <f t="shared" si="57"/>
        <v>0</v>
      </c>
      <c r="D924">
        <f t="shared" si="58"/>
        <v>0</v>
      </c>
      <c r="E924" s="1">
        <v>42930</v>
      </c>
      <c r="F924" s="2">
        <v>0.36922453703703706</v>
      </c>
      <c r="G924" s="2">
        <v>0.36994212962962963</v>
      </c>
      <c r="H924" s="2">
        <f t="shared" si="59"/>
        <v>7.1759259259257524E-4</v>
      </c>
      <c r="K924" s="1"/>
    </row>
    <row r="925" spans="1:11" x14ac:dyDescent="0.25">
      <c r="A925" s="6">
        <v>8001915</v>
      </c>
      <c r="B925" t="str">
        <f t="shared" si="56"/>
        <v>stacjonarny</v>
      </c>
      <c r="C925">
        <f t="shared" si="57"/>
        <v>0</v>
      </c>
      <c r="D925">
        <f t="shared" si="58"/>
        <v>0</v>
      </c>
      <c r="E925" s="1">
        <v>42930</v>
      </c>
      <c r="F925" s="2">
        <v>0.3712037037037037</v>
      </c>
      <c r="G925" s="2">
        <v>0.38064814814814812</v>
      </c>
      <c r="H925" s="2">
        <f t="shared" si="59"/>
        <v>9.444444444444422E-3</v>
      </c>
      <c r="K925" s="1"/>
    </row>
    <row r="926" spans="1:11" x14ac:dyDescent="0.25">
      <c r="A926" s="6">
        <v>7508054</v>
      </c>
      <c r="B926" t="str">
        <f t="shared" si="56"/>
        <v>stacjonarny</v>
      </c>
      <c r="C926">
        <f t="shared" si="57"/>
        <v>0</v>
      </c>
      <c r="D926">
        <f t="shared" si="58"/>
        <v>0</v>
      </c>
      <c r="E926" s="1">
        <v>42930</v>
      </c>
      <c r="F926" s="2">
        <v>0.37480324074074073</v>
      </c>
      <c r="G926" s="2">
        <v>0.38201388888888888</v>
      </c>
      <c r="H926" s="2">
        <f t="shared" si="59"/>
        <v>7.2106481481481466E-3</v>
      </c>
      <c r="K926" s="1"/>
    </row>
    <row r="927" spans="1:11" x14ac:dyDescent="0.25">
      <c r="A927" s="6">
        <v>5854377</v>
      </c>
      <c r="B927" t="str">
        <f t="shared" si="56"/>
        <v>stacjonarny</v>
      </c>
      <c r="C927">
        <f t="shared" si="57"/>
        <v>0</v>
      </c>
      <c r="D927">
        <f t="shared" si="58"/>
        <v>0</v>
      </c>
      <c r="E927" s="1">
        <v>42930</v>
      </c>
      <c r="F927" s="2">
        <v>0.37506944444444446</v>
      </c>
      <c r="G927" s="2">
        <v>0.37829861111111113</v>
      </c>
      <c r="H927" s="2">
        <f t="shared" si="59"/>
        <v>3.2291666666666718E-3</v>
      </c>
      <c r="K927" s="1"/>
    </row>
    <row r="928" spans="1:11" x14ac:dyDescent="0.25">
      <c r="A928" s="6">
        <v>3478173</v>
      </c>
      <c r="B928" t="str">
        <f t="shared" si="56"/>
        <v>stacjonarny</v>
      </c>
      <c r="C928">
        <f t="shared" si="57"/>
        <v>0</v>
      </c>
      <c r="D928">
        <f t="shared" si="58"/>
        <v>0</v>
      </c>
      <c r="E928" s="1">
        <v>42930</v>
      </c>
      <c r="F928" s="2">
        <v>0.37942129629629628</v>
      </c>
      <c r="G928" s="2">
        <v>0.38388888888888889</v>
      </c>
      <c r="H928" s="2">
        <f t="shared" si="59"/>
        <v>4.4675925925926063E-3</v>
      </c>
      <c r="K928" s="1"/>
    </row>
    <row r="929" spans="1:11" x14ac:dyDescent="0.25">
      <c r="A929" s="6">
        <v>3999937</v>
      </c>
      <c r="B929" t="str">
        <f t="shared" si="56"/>
        <v>stacjonarny</v>
      </c>
      <c r="C929">
        <f t="shared" si="57"/>
        <v>0</v>
      </c>
      <c r="D929">
        <f t="shared" si="58"/>
        <v>0</v>
      </c>
      <c r="E929" s="1">
        <v>42930</v>
      </c>
      <c r="F929" s="2">
        <v>0.38447916666666665</v>
      </c>
      <c r="G929" s="2">
        <v>0.39068287037037036</v>
      </c>
      <c r="H929" s="2">
        <f t="shared" si="59"/>
        <v>6.2037037037037113E-3</v>
      </c>
      <c r="K929" s="1"/>
    </row>
    <row r="930" spans="1:11" x14ac:dyDescent="0.25">
      <c r="A930" s="6">
        <v>83559673</v>
      </c>
      <c r="B930" t="str">
        <f t="shared" si="56"/>
        <v>komorkowy</v>
      </c>
      <c r="C930">
        <f t="shared" si="57"/>
        <v>0</v>
      </c>
      <c r="D930">
        <f t="shared" si="58"/>
        <v>0</v>
      </c>
      <c r="E930" s="1">
        <v>42930</v>
      </c>
      <c r="F930" s="2">
        <v>0.38571759259259258</v>
      </c>
      <c r="G930" s="2">
        <v>0.39630787037037035</v>
      </c>
      <c r="H930" s="2">
        <f t="shared" si="59"/>
        <v>1.0590277777777768E-2</v>
      </c>
      <c r="K930" s="1"/>
    </row>
    <row r="931" spans="1:11" x14ac:dyDescent="0.25">
      <c r="A931" s="6">
        <v>1355775</v>
      </c>
      <c r="B931" t="str">
        <f t="shared" si="56"/>
        <v>stacjonarny</v>
      </c>
      <c r="C931">
        <f t="shared" si="57"/>
        <v>0</v>
      </c>
      <c r="D931">
        <f t="shared" si="58"/>
        <v>0</v>
      </c>
      <c r="E931" s="1">
        <v>42930</v>
      </c>
      <c r="F931" s="2">
        <v>0.38942129629629629</v>
      </c>
      <c r="G931" s="2">
        <v>0.39034722222222223</v>
      </c>
      <c r="H931" s="2">
        <f t="shared" si="59"/>
        <v>9.2592592592594114E-4</v>
      </c>
      <c r="K931" s="1"/>
    </row>
    <row r="932" spans="1:11" x14ac:dyDescent="0.25">
      <c r="A932" s="6">
        <v>3463982286</v>
      </c>
      <c r="B932" t="str">
        <f t="shared" si="56"/>
        <v>zagraniczny</v>
      </c>
      <c r="C932">
        <f t="shared" si="57"/>
        <v>0</v>
      </c>
      <c r="D932">
        <f t="shared" si="58"/>
        <v>0</v>
      </c>
      <c r="E932" s="1">
        <v>42930</v>
      </c>
      <c r="F932" s="2">
        <v>0.39506944444444442</v>
      </c>
      <c r="G932" s="2">
        <v>0.40261574074074075</v>
      </c>
      <c r="H932" s="2">
        <f t="shared" si="59"/>
        <v>7.5462962962963287E-3</v>
      </c>
      <c r="K932" s="1"/>
    </row>
    <row r="933" spans="1:11" x14ac:dyDescent="0.25">
      <c r="A933" s="6">
        <v>8870498</v>
      </c>
      <c r="B933" t="str">
        <f t="shared" si="56"/>
        <v>stacjonarny</v>
      </c>
      <c r="C933">
        <f t="shared" si="57"/>
        <v>0</v>
      </c>
      <c r="D933">
        <f t="shared" si="58"/>
        <v>0</v>
      </c>
      <c r="E933" s="1">
        <v>42930</v>
      </c>
      <c r="F933" s="2">
        <v>0.4001736111111111</v>
      </c>
      <c r="G933" s="2">
        <v>0.40182870370370372</v>
      </c>
      <c r="H933" s="2">
        <f t="shared" si="59"/>
        <v>1.6550925925926108E-3</v>
      </c>
      <c r="K933" s="1"/>
    </row>
    <row r="934" spans="1:11" x14ac:dyDescent="0.25">
      <c r="A934" s="6">
        <v>9894998</v>
      </c>
      <c r="B934" t="str">
        <f t="shared" si="56"/>
        <v>stacjonarny</v>
      </c>
      <c r="C934">
        <f t="shared" si="57"/>
        <v>0</v>
      </c>
      <c r="D934">
        <f t="shared" si="58"/>
        <v>0</v>
      </c>
      <c r="E934" s="1">
        <v>42930</v>
      </c>
      <c r="F934" s="2">
        <v>0.40337962962962964</v>
      </c>
      <c r="G934" s="2">
        <v>0.41137731481481482</v>
      </c>
      <c r="H934" s="2">
        <f t="shared" si="59"/>
        <v>7.9976851851851771E-3</v>
      </c>
      <c r="K934" s="1"/>
    </row>
    <row r="935" spans="1:11" x14ac:dyDescent="0.25">
      <c r="A935" s="6">
        <v>8841955</v>
      </c>
      <c r="B935" t="str">
        <f t="shared" si="56"/>
        <v>stacjonarny</v>
      </c>
      <c r="C935">
        <f t="shared" si="57"/>
        <v>0</v>
      </c>
      <c r="D935">
        <f t="shared" si="58"/>
        <v>0</v>
      </c>
      <c r="E935" s="1">
        <v>42930</v>
      </c>
      <c r="F935" s="2">
        <v>0.40635416666666668</v>
      </c>
      <c r="G935" s="2">
        <v>0.40642361111111114</v>
      </c>
      <c r="H935" s="2">
        <f t="shared" si="59"/>
        <v>6.94444444444553E-5</v>
      </c>
      <c r="K935" s="1"/>
    </row>
    <row r="936" spans="1:11" x14ac:dyDescent="0.25">
      <c r="A936" s="6">
        <v>7379567</v>
      </c>
      <c r="B936" t="str">
        <f t="shared" si="56"/>
        <v>stacjonarny</v>
      </c>
      <c r="C936">
        <f t="shared" si="57"/>
        <v>0</v>
      </c>
      <c r="D936">
        <f t="shared" si="58"/>
        <v>0</v>
      </c>
      <c r="E936" s="1">
        <v>42930</v>
      </c>
      <c r="F936" s="2">
        <v>0.4098148148148148</v>
      </c>
      <c r="G936" s="2">
        <v>0.41626157407407405</v>
      </c>
      <c r="H936" s="2">
        <f t="shared" si="59"/>
        <v>6.4467592592592493E-3</v>
      </c>
      <c r="K936" s="1"/>
    </row>
    <row r="937" spans="1:11" x14ac:dyDescent="0.25">
      <c r="A937" s="6">
        <v>2092198</v>
      </c>
      <c r="B937" t="str">
        <f t="shared" si="56"/>
        <v>stacjonarny</v>
      </c>
      <c r="C937">
        <f t="shared" si="57"/>
        <v>0</v>
      </c>
      <c r="D937">
        <f t="shared" si="58"/>
        <v>0</v>
      </c>
      <c r="E937" s="1">
        <v>42930</v>
      </c>
      <c r="F937" s="2">
        <v>0.41068287037037038</v>
      </c>
      <c r="G937" s="2">
        <v>0.41288194444444443</v>
      </c>
      <c r="H937" s="2">
        <f t="shared" si="59"/>
        <v>2.1990740740740478E-3</v>
      </c>
      <c r="K937" s="1"/>
    </row>
    <row r="938" spans="1:11" x14ac:dyDescent="0.25">
      <c r="A938" s="6">
        <v>6006309</v>
      </c>
      <c r="B938" t="str">
        <f t="shared" si="56"/>
        <v>stacjonarny</v>
      </c>
      <c r="C938">
        <f t="shared" si="57"/>
        <v>0</v>
      </c>
      <c r="D938">
        <f t="shared" si="58"/>
        <v>0</v>
      </c>
      <c r="E938" s="1">
        <v>42930</v>
      </c>
      <c r="F938" s="2">
        <v>0.41601851851851851</v>
      </c>
      <c r="G938" s="2">
        <v>0.41792824074074075</v>
      </c>
      <c r="H938" s="2">
        <f t="shared" si="59"/>
        <v>1.9097222222222432E-3</v>
      </c>
      <c r="K938" s="1"/>
    </row>
    <row r="939" spans="1:11" x14ac:dyDescent="0.25">
      <c r="A939" s="6">
        <v>6736331</v>
      </c>
      <c r="B939" t="str">
        <f t="shared" si="56"/>
        <v>stacjonarny</v>
      </c>
      <c r="C939">
        <f t="shared" si="57"/>
        <v>0</v>
      </c>
      <c r="D939">
        <f t="shared" si="58"/>
        <v>0</v>
      </c>
      <c r="E939" s="1">
        <v>42930</v>
      </c>
      <c r="F939" s="2">
        <v>0.41616898148148146</v>
      </c>
      <c r="G939" s="2">
        <v>0.42019675925925926</v>
      </c>
      <c r="H939" s="2">
        <f t="shared" si="59"/>
        <v>4.0277777777777968E-3</v>
      </c>
      <c r="K939" s="1"/>
    </row>
    <row r="940" spans="1:11" x14ac:dyDescent="0.25">
      <c r="A940" s="6">
        <v>7291318</v>
      </c>
      <c r="B940" t="str">
        <f t="shared" si="56"/>
        <v>stacjonarny</v>
      </c>
      <c r="C940">
        <f t="shared" si="57"/>
        <v>0</v>
      </c>
      <c r="D940">
        <f t="shared" si="58"/>
        <v>0</v>
      </c>
      <c r="E940" s="1">
        <v>42930</v>
      </c>
      <c r="F940" s="2">
        <v>0.41781249999999998</v>
      </c>
      <c r="G940" s="2">
        <v>0.42886574074074074</v>
      </c>
      <c r="H940" s="2">
        <f t="shared" si="59"/>
        <v>1.1053240740740766E-2</v>
      </c>
      <c r="K940" s="1"/>
    </row>
    <row r="941" spans="1:11" x14ac:dyDescent="0.25">
      <c r="A941" s="6">
        <v>30178521</v>
      </c>
      <c r="B941" t="str">
        <f t="shared" si="56"/>
        <v>komorkowy</v>
      </c>
      <c r="C941">
        <f t="shared" si="57"/>
        <v>0</v>
      </c>
      <c r="D941">
        <f t="shared" si="58"/>
        <v>0</v>
      </c>
      <c r="E941" s="1">
        <v>42930</v>
      </c>
      <c r="F941" s="2">
        <v>0.42238425925925926</v>
      </c>
      <c r="G941" s="2">
        <v>0.42388888888888887</v>
      </c>
      <c r="H941" s="2">
        <f t="shared" si="59"/>
        <v>1.5046296296296058E-3</v>
      </c>
      <c r="K941" s="1"/>
    </row>
    <row r="942" spans="1:11" x14ac:dyDescent="0.25">
      <c r="A942" s="6">
        <v>3232376</v>
      </c>
      <c r="B942" t="str">
        <f t="shared" si="56"/>
        <v>stacjonarny</v>
      </c>
      <c r="C942">
        <f t="shared" si="57"/>
        <v>0</v>
      </c>
      <c r="D942">
        <f t="shared" si="58"/>
        <v>0</v>
      </c>
      <c r="E942" s="1">
        <v>42930</v>
      </c>
      <c r="F942" s="2">
        <v>0.42584490740740738</v>
      </c>
      <c r="G942" s="2">
        <v>0.43512731481481481</v>
      </c>
      <c r="H942" s="2">
        <f t="shared" si="59"/>
        <v>9.2824074074074336E-3</v>
      </c>
      <c r="K942" s="1"/>
    </row>
    <row r="943" spans="1:11" x14ac:dyDescent="0.25">
      <c r="A943" s="6">
        <v>7536048937</v>
      </c>
      <c r="B943" t="str">
        <f t="shared" si="56"/>
        <v>zagraniczny</v>
      </c>
      <c r="C943">
        <f t="shared" si="57"/>
        <v>0</v>
      </c>
      <c r="D943">
        <f t="shared" si="58"/>
        <v>0</v>
      </c>
      <c r="E943" s="1">
        <v>42930</v>
      </c>
      <c r="F943" s="2">
        <v>0.43115740740740743</v>
      </c>
      <c r="G943" s="2">
        <v>0.43990740740740741</v>
      </c>
      <c r="H943" s="2">
        <f t="shared" si="59"/>
        <v>8.74999999999998E-3</v>
      </c>
      <c r="K943" s="1"/>
    </row>
    <row r="944" spans="1:11" x14ac:dyDescent="0.25">
      <c r="A944" s="6">
        <v>6026397</v>
      </c>
      <c r="B944" t="str">
        <f t="shared" si="56"/>
        <v>stacjonarny</v>
      </c>
      <c r="C944">
        <f t="shared" si="57"/>
        <v>0</v>
      </c>
      <c r="D944">
        <f t="shared" si="58"/>
        <v>0</v>
      </c>
      <c r="E944" s="1">
        <v>42930</v>
      </c>
      <c r="F944" s="2">
        <v>0.43362268518518521</v>
      </c>
      <c r="G944" s="2">
        <v>0.44447916666666665</v>
      </c>
      <c r="H944" s="2">
        <f t="shared" si="59"/>
        <v>1.0856481481481439E-2</v>
      </c>
      <c r="K944" s="1"/>
    </row>
    <row r="945" spans="1:11" x14ac:dyDescent="0.25">
      <c r="A945" s="6">
        <v>54821549</v>
      </c>
      <c r="B945" t="str">
        <f t="shared" si="56"/>
        <v>komorkowy</v>
      </c>
      <c r="C945">
        <f t="shared" si="57"/>
        <v>0</v>
      </c>
      <c r="D945">
        <f t="shared" si="58"/>
        <v>0</v>
      </c>
      <c r="E945" s="1">
        <v>42930</v>
      </c>
      <c r="F945" s="2">
        <v>0.43517361111111114</v>
      </c>
      <c r="G945" s="2">
        <v>0.4466087962962963</v>
      </c>
      <c r="H945" s="2">
        <f t="shared" si="59"/>
        <v>1.1435185185185159E-2</v>
      </c>
      <c r="K945" s="1"/>
    </row>
    <row r="946" spans="1:11" x14ac:dyDescent="0.25">
      <c r="A946" s="6">
        <v>4555937</v>
      </c>
      <c r="B946" t="str">
        <f t="shared" si="56"/>
        <v>stacjonarny</v>
      </c>
      <c r="C946">
        <f t="shared" si="57"/>
        <v>0</v>
      </c>
      <c r="D946">
        <f t="shared" si="58"/>
        <v>0</v>
      </c>
      <c r="E946" s="1">
        <v>42930</v>
      </c>
      <c r="F946" s="2">
        <v>0.43956018518518519</v>
      </c>
      <c r="G946" s="2">
        <v>0.44253472222222223</v>
      </c>
      <c r="H946" s="2">
        <f t="shared" si="59"/>
        <v>2.9745370370370394E-3</v>
      </c>
      <c r="K946" s="1"/>
    </row>
    <row r="947" spans="1:11" x14ac:dyDescent="0.25">
      <c r="A947" s="6">
        <v>65621292</v>
      </c>
      <c r="B947" t="str">
        <f t="shared" si="56"/>
        <v>komorkowy</v>
      </c>
      <c r="C947">
        <f t="shared" si="57"/>
        <v>0</v>
      </c>
      <c r="D947">
        <f t="shared" si="58"/>
        <v>0</v>
      </c>
      <c r="E947" s="1">
        <v>42930</v>
      </c>
      <c r="F947" s="2">
        <v>0.44060185185185186</v>
      </c>
      <c r="G947" s="2">
        <v>0.44655092592592593</v>
      </c>
      <c r="H947" s="2">
        <f t="shared" si="59"/>
        <v>5.9490740740740788E-3</v>
      </c>
      <c r="K947" s="1"/>
    </row>
    <row r="948" spans="1:11" x14ac:dyDescent="0.25">
      <c r="A948" s="6">
        <v>13898038</v>
      </c>
      <c r="B948" t="str">
        <f t="shared" si="56"/>
        <v>komorkowy</v>
      </c>
      <c r="C948">
        <f t="shared" si="57"/>
        <v>0</v>
      </c>
      <c r="D948">
        <f t="shared" si="58"/>
        <v>0</v>
      </c>
      <c r="E948" s="1">
        <v>42930</v>
      </c>
      <c r="F948" s="2">
        <v>0.44072916666666667</v>
      </c>
      <c r="G948" s="2">
        <v>0.4496412037037037</v>
      </c>
      <c r="H948" s="2">
        <f t="shared" si="59"/>
        <v>8.9120370370370239E-3</v>
      </c>
      <c r="K948" s="1"/>
    </row>
    <row r="949" spans="1:11" x14ac:dyDescent="0.25">
      <c r="A949" s="6">
        <v>6018613</v>
      </c>
      <c r="B949" t="str">
        <f t="shared" si="56"/>
        <v>stacjonarny</v>
      </c>
      <c r="C949">
        <f t="shared" si="57"/>
        <v>0</v>
      </c>
      <c r="D949">
        <f t="shared" si="58"/>
        <v>0</v>
      </c>
      <c r="E949" s="1">
        <v>42930</v>
      </c>
      <c r="F949" s="2">
        <v>0.44295138888888891</v>
      </c>
      <c r="G949" s="2">
        <v>0.44545138888888891</v>
      </c>
      <c r="H949" s="2">
        <f t="shared" si="59"/>
        <v>2.5000000000000022E-3</v>
      </c>
      <c r="K949" s="1"/>
    </row>
    <row r="950" spans="1:11" x14ac:dyDescent="0.25">
      <c r="A950" s="6">
        <v>7741751</v>
      </c>
      <c r="B950" t="str">
        <f t="shared" si="56"/>
        <v>stacjonarny</v>
      </c>
      <c r="C950">
        <f t="shared" si="57"/>
        <v>0</v>
      </c>
      <c r="D950">
        <f t="shared" si="58"/>
        <v>0</v>
      </c>
      <c r="E950" s="1">
        <v>42930</v>
      </c>
      <c r="F950" s="2">
        <v>0.4450925925925926</v>
      </c>
      <c r="G950" s="2">
        <v>0.44888888888888889</v>
      </c>
      <c r="H950" s="2">
        <f t="shared" si="59"/>
        <v>3.7962962962962976E-3</v>
      </c>
      <c r="K950" s="1"/>
    </row>
    <row r="951" spans="1:11" x14ac:dyDescent="0.25">
      <c r="A951" s="6">
        <v>5512492</v>
      </c>
      <c r="B951" t="str">
        <f t="shared" si="56"/>
        <v>stacjonarny</v>
      </c>
      <c r="C951">
        <f t="shared" si="57"/>
        <v>0</v>
      </c>
      <c r="D951">
        <f t="shared" si="58"/>
        <v>0</v>
      </c>
      <c r="E951" s="1">
        <v>42930</v>
      </c>
      <c r="F951" s="2">
        <v>0.44538194444444446</v>
      </c>
      <c r="G951" s="2">
        <v>0.4525925925925926</v>
      </c>
      <c r="H951" s="2">
        <f t="shared" si="59"/>
        <v>7.2106481481481466E-3</v>
      </c>
      <c r="K951" s="1"/>
    </row>
    <row r="952" spans="1:11" x14ac:dyDescent="0.25">
      <c r="A952" s="6">
        <v>36332723</v>
      </c>
      <c r="B952" t="str">
        <f t="shared" si="56"/>
        <v>komorkowy</v>
      </c>
      <c r="C952">
        <f t="shared" si="57"/>
        <v>0</v>
      </c>
      <c r="D952">
        <f t="shared" si="58"/>
        <v>0</v>
      </c>
      <c r="E952" s="1">
        <v>42930</v>
      </c>
      <c r="F952" s="2">
        <v>0.44593749999999999</v>
      </c>
      <c r="G952" s="2">
        <v>0.44957175925925924</v>
      </c>
      <c r="H952" s="2">
        <f t="shared" si="59"/>
        <v>3.6342592592592537E-3</v>
      </c>
      <c r="K952" s="1"/>
    </row>
    <row r="953" spans="1:11" x14ac:dyDescent="0.25">
      <c r="A953" s="6">
        <v>28961250</v>
      </c>
      <c r="B953" t="str">
        <f t="shared" si="56"/>
        <v>komorkowy</v>
      </c>
      <c r="C953">
        <f t="shared" si="57"/>
        <v>0</v>
      </c>
      <c r="D953">
        <f t="shared" si="58"/>
        <v>0</v>
      </c>
      <c r="E953" s="1">
        <v>42930</v>
      </c>
      <c r="F953" s="2">
        <v>0.4478935185185185</v>
      </c>
      <c r="G953" s="2">
        <v>0.44805555555555554</v>
      </c>
      <c r="H953" s="2">
        <f t="shared" si="59"/>
        <v>1.6203703703704386E-4</v>
      </c>
      <c r="K953" s="1"/>
    </row>
    <row r="954" spans="1:11" x14ac:dyDescent="0.25">
      <c r="A954" s="6">
        <v>96191858</v>
      </c>
      <c r="B954" t="str">
        <f t="shared" si="56"/>
        <v>komorkowy</v>
      </c>
      <c r="C954">
        <f t="shared" si="57"/>
        <v>0</v>
      </c>
      <c r="D954">
        <f t="shared" si="58"/>
        <v>0</v>
      </c>
      <c r="E954" s="1">
        <v>42930</v>
      </c>
      <c r="F954" s="2">
        <v>0.44916666666666666</v>
      </c>
      <c r="G954" s="2">
        <v>0.46023148148148146</v>
      </c>
      <c r="H954" s="2">
        <f t="shared" si="59"/>
        <v>1.1064814814814805E-2</v>
      </c>
      <c r="K954" s="1"/>
    </row>
    <row r="955" spans="1:11" x14ac:dyDescent="0.25">
      <c r="A955" s="6">
        <v>49342013</v>
      </c>
      <c r="B955" t="str">
        <f t="shared" si="56"/>
        <v>komorkowy</v>
      </c>
      <c r="C955">
        <f t="shared" si="57"/>
        <v>0</v>
      </c>
      <c r="D955">
        <f t="shared" si="58"/>
        <v>0</v>
      </c>
      <c r="E955" s="1">
        <v>42930</v>
      </c>
      <c r="F955" s="2">
        <v>0.45233796296296297</v>
      </c>
      <c r="G955" s="2">
        <v>0.45649305555555558</v>
      </c>
      <c r="H955" s="2">
        <f t="shared" si="59"/>
        <v>4.155092592592613E-3</v>
      </c>
      <c r="K955" s="1"/>
    </row>
    <row r="956" spans="1:11" x14ac:dyDescent="0.25">
      <c r="A956" s="6">
        <v>2329556</v>
      </c>
      <c r="B956" t="str">
        <f t="shared" si="56"/>
        <v>stacjonarny</v>
      </c>
      <c r="C956">
        <f t="shared" si="57"/>
        <v>0</v>
      </c>
      <c r="D956">
        <f t="shared" si="58"/>
        <v>0</v>
      </c>
      <c r="E956" s="1">
        <v>42930</v>
      </c>
      <c r="F956" s="2">
        <v>0.45667824074074076</v>
      </c>
      <c r="G956" s="2">
        <v>0.45679398148148148</v>
      </c>
      <c r="H956" s="2">
        <f t="shared" si="59"/>
        <v>1.1574074074072183E-4</v>
      </c>
      <c r="K956" s="1"/>
    </row>
    <row r="957" spans="1:11" x14ac:dyDescent="0.25">
      <c r="A957" s="6">
        <v>2969264</v>
      </c>
      <c r="B957" t="str">
        <f t="shared" si="56"/>
        <v>stacjonarny</v>
      </c>
      <c r="C957">
        <f t="shared" si="57"/>
        <v>0</v>
      </c>
      <c r="D957">
        <f t="shared" si="58"/>
        <v>0</v>
      </c>
      <c r="E957" s="1">
        <v>42930</v>
      </c>
      <c r="F957" s="2">
        <v>0.45930555555555558</v>
      </c>
      <c r="G957" s="2">
        <v>0.4634375</v>
      </c>
      <c r="H957" s="2">
        <f t="shared" si="59"/>
        <v>4.1319444444444242E-3</v>
      </c>
      <c r="K957" s="1"/>
    </row>
    <row r="958" spans="1:11" x14ac:dyDescent="0.25">
      <c r="A958" s="6">
        <v>8498683</v>
      </c>
      <c r="B958" t="str">
        <f t="shared" si="56"/>
        <v>stacjonarny</v>
      </c>
      <c r="C958">
        <f t="shared" si="57"/>
        <v>0</v>
      </c>
      <c r="D958">
        <f t="shared" si="58"/>
        <v>0</v>
      </c>
      <c r="E958" s="1">
        <v>42930</v>
      </c>
      <c r="F958" s="2">
        <v>0.45950231481481479</v>
      </c>
      <c r="G958" s="2">
        <v>0.46177083333333335</v>
      </c>
      <c r="H958" s="2">
        <f t="shared" si="59"/>
        <v>2.2685185185185586E-3</v>
      </c>
      <c r="K958" s="1"/>
    </row>
    <row r="959" spans="1:11" x14ac:dyDescent="0.25">
      <c r="A959" s="6">
        <v>2341441</v>
      </c>
      <c r="B959" t="str">
        <f t="shared" si="56"/>
        <v>stacjonarny</v>
      </c>
      <c r="C959">
        <f t="shared" si="57"/>
        <v>0</v>
      </c>
      <c r="D959">
        <f t="shared" si="58"/>
        <v>0</v>
      </c>
      <c r="E959" s="1">
        <v>42930</v>
      </c>
      <c r="F959" s="2">
        <v>0.46333333333333332</v>
      </c>
      <c r="G959" s="2">
        <v>0.46409722222222222</v>
      </c>
      <c r="H959" s="2">
        <f t="shared" si="59"/>
        <v>7.6388888888889728E-4</v>
      </c>
      <c r="K959" s="1"/>
    </row>
    <row r="960" spans="1:11" x14ac:dyDescent="0.25">
      <c r="A960" s="6">
        <v>30270334</v>
      </c>
      <c r="B960" t="str">
        <f t="shared" si="56"/>
        <v>komorkowy</v>
      </c>
      <c r="C960">
        <f t="shared" si="57"/>
        <v>0</v>
      </c>
      <c r="D960">
        <f t="shared" si="58"/>
        <v>0</v>
      </c>
      <c r="E960" s="1">
        <v>42930</v>
      </c>
      <c r="F960" s="2">
        <v>0.46587962962962964</v>
      </c>
      <c r="G960" s="2">
        <v>0.46755787037037039</v>
      </c>
      <c r="H960" s="2">
        <f t="shared" si="59"/>
        <v>1.678240740740744E-3</v>
      </c>
      <c r="K960" s="1"/>
    </row>
    <row r="961" spans="1:11" x14ac:dyDescent="0.25">
      <c r="A961" s="6">
        <v>4657345</v>
      </c>
      <c r="B961" t="str">
        <f t="shared" si="56"/>
        <v>stacjonarny</v>
      </c>
      <c r="C961">
        <f t="shared" si="57"/>
        <v>0</v>
      </c>
      <c r="D961">
        <f t="shared" si="58"/>
        <v>0</v>
      </c>
      <c r="E961" s="1">
        <v>42930</v>
      </c>
      <c r="F961" s="2">
        <v>0.46988425925925925</v>
      </c>
      <c r="G961" s="2">
        <v>0.47721064814814818</v>
      </c>
      <c r="H961" s="2">
        <f t="shared" si="59"/>
        <v>7.3263888888889239E-3</v>
      </c>
      <c r="K961" s="1"/>
    </row>
    <row r="962" spans="1:11" x14ac:dyDescent="0.25">
      <c r="A962" s="6">
        <v>2145244</v>
      </c>
      <c r="B962" t="str">
        <f t="shared" ref="B962:B1025" si="60">IF(LEN(A962)=7, "stacjonarny", IF(LEN(A962)=8, "komorkowy", "zagraniczny"))</f>
        <v>stacjonarny</v>
      </c>
      <c r="C962">
        <f t="shared" si="57"/>
        <v>0</v>
      </c>
      <c r="D962">
        <f t="shared" si="58"/>
        <v>0</v>
      </c>
      <c r="E962" s="1">
        <v>42930</v>
      </c>
      <c r="F962" s="2">
        <v>0.47028935185185183</v>
      </c>
      <c r="G962" s="2">
        <v>0.47052083333333333</v>
      </c>
      <c r="H962" s="2">
        <f t="shared" si="59"/>
        <v>2.3148148148149916E-4</v>
      </c>
      <c r="K962" s="1"/>
    </row>
    <row r="963" spans="1:11" x14ac:dyDescent="0.25">
      <c r="A963" s="6">
        <v>7627829</v>
      </c>
      <c r="B963" t="str">
        <f t="shared" si="60"/>
        <v>stacjonarny</v>
      </c>
      <c r="C963">
        <f t="shared" ref="C963:C1026" si="61">IF(LEFT(A963,2)="12",1,0)</f>
        <v>0</v>
      </c>
      <c r="D963">
        <f t="shared" ref="D963:D1026" si="62">IF(AND(C963=1,B963="stacjonarny"),1,0)</f>
        <v>0</v>
      </c>
      <c r="E963" s="1">
        <v>42930</v>
      </c>
      <c r="F963" s="2">
        <v>0.4742824074074074</v>
      </c>
      <c r="G963" s="2">
        <v>0.48538194444444444</v>
      </c>
      <c r="H963" s="2">
        <f t="shared" ref="H963:H1026" si="63">G963-F963</f>
        <v>1.1099537037037033E-2</v>
      </c>
      <c r="K963" s="1"/>
    </row>
    <row r="964" spans="1:11" x14ac:dyDescent="0.25">
      <c r="A964" s="6">
        <v>9182658</v>
      </c>
      <c r="B964" t="str">
        <f t="shared" si="60"/>
        <v>stacjonarny</v>
      </c>
      <c r="C964">
        <f t="shared" si="61"/>
        <v>0</v>
      </c>
      <c r="D964">
        <f t="shared" si="62"/>
        <v>0</v>
      </c>
      <c r="E964" s="1">
        <v>42930</v>
      </c>
      <c r="F964" s="2">
        <v>0.47594907407407405</v>
      </c>
      <c r="G964" s="2">
        <v>0.47641203703703705</v>
      </c>
      <c r="H964" s="2">
        <f t="shared" si="63"/>
        <v>4.6296296296299833E-4</v>
      </c>
      <c r="K964" s="1"/>
    </row>
    <row r="965" spans="1:11" x14ac:dyDescent="0.25">
      <c r="A965" s="6">
        <v>4191600</v>
      </c>
      <c r="B965" t="str">
        <f t="shared" si="60"/>
        <v>stacjonarny</v>
      </c>
      <c r="C965">
        <f t="shared" si="61"/>
        <v>0</v>
      </c>
      <c r="D965">
        <f t="shared" si="62"/>
        <v>0</v>
      </c>
      <c r="E965" s="1">
        <v>42930</v>
      </c>
      <c r="F965" s="2">
        <v>0.47799768518518521</v>
      </c>
      <c r="G965" s="2">
        <v>0.47905092592592591</v>
      </c>
      <c r="H965" s="2">
        <f t="shared" si="63"/>
        <v>1.0532407407407018E-3</v>
      </c>
      <c r="K965" s="1"/>
    </row>
    <row r="966" spans="1:11" x14ac:dyDescent="0.25">
      <c r="A966" s="6">
        <v>5492379</v>
      </c>
      <c r="B966" t="str">
        <f t="shared" si="60"/>
        <v>stacjonarny</v>
      </c>
      <c r="C966">
        <f t="shared" si="61"/>
        <v>0</v>
      </c>
      <c r="D966">
        <f t="shared" si="62"/>
        <v>0</v>
      </c>
      <c r="E966" s="1">
        <v>42930</v>
      </c>
      <c r="F966" s="2">
        <v>0.47825231481481484</v>
      </c>
      <c r="G966" s="2">
        <v>0.48502314814814818</v>
      </c>
      <c r="H966" s="2">
        <f t="shared" si="63"/>
        <v>6.770833333333337E-3</v>
      </c>
      <c r="K966" s="1"/>
    </row>
    <row r="967" spans="1:11" x14ac:dyDescent="0.25">
      <c r="A967" s="6">
        <v>2861766</v>
      </c>
      <c r="B967" t="str">
        <f t="shared" si="60"/>
        <v>stacjonarny</v>
      </c>
      <c r="C967">
        <f t="shared" si="61"/>
        <v>0</v>
      </c>
      <c r="D967">
        <f t="shared" si="62"/>
        <v>0</v>
      </c>
      <c r="E967" s="1">
        <v>42930</v>
      </c>
      <c r="F967" s="2">
        <v>0.48138888888888887</v>
      </c>
      <c r="G967" s="2">
        <v>0.48574074074074075</v>
      </c>
      <c r="H967" s="2">
        <f t="shared" si="63"/>
        <v>4.3518518518518845E-3</v>
      </c>
      <c r="K967" s="1"/>
    </row>
    <row r="968" spans="1:11" x14ac:dyDescent="0.25">
      <c r="A968" s="6">
        <v>1309359</v>
      </c>
      <c r="B968" t="str">
        <f t="shared" si="60"/>
        <v>stacjonarny</v>
      </c>
      <c r="C968">
        <f t="shared" si="61"/>
        <v>0</v>
      </c>
      <c r="D968">
        <f t="shared" si="62"/>
        <v>0</v>
      </c>
      <c r="E968" s="1">
        <v>42930</v>
      </c>
      <c r="F968" s="2">
        <v>0.48422453703703705</v>
      </c>
      <c r="G968" s="2">
        <v>0.48562499999999997</v>
      </c>
      <c r="H968" s="2">
        <f t="shared" si="63"/>
        <v>1.4004629629629228E-3</v>
      </c>
      <c r="K968" s="1"/>
    </row>
    <row r="969" spans="1:11" x14ac:dyDescent="0.25">
      <c r="A969" s="6">
        <v>5272270</v>
      </c>
      <c r="B969" t="str">
        <f t="shared" si="60"/>
        <v>stacjonarny</v>
      </c>
      <c r="C969">
        <f t="shared" si="61"/>
        <v>0</v>
      </c>
      <c r="D969">
        <f t="shared" si="62"/>
        <v>0</v>
      </c>
      <c r="E969" s="1">
        <v>42930</v>
      </c>
      <c r="F969" s="2">
        <v>0.48579861111111111</v>
      </c>
      <c r="G969" s="2">
        <v>0.49395833333333333</v>
      </c>
      <c r="H969" s="2">
        <f t="shared" si="63"/>
        <v>8.159722222222221E-3</v>
      </c>
      <c r="K969" s="1"/>
    </row>
    <row r="970" spans="1:11" x14ac:dyDescent="0.25">
      <c r="A970" s="6">
        <v>9266643</v>
      </c>
      <c r="B970" t="str">
        <f t="shared" si="60"/>
        <v>stacjonarny</v>
      </c>
      <c r="C970">
        <f t="shared" si="61"/>
        <v>0</v>
      </c>
      <c r="D970">
        <f t="shared" si="62"/>
        <v>0</v>
      </c>
      <c r="E970" s="1">
        <v>42930</v>
      </c>
      <c r="F970" s="2">
        <v>0.48832175925925925</v>
      </c>
      <c r="G970" s="2">
        <v>0.49005787037037035</v>
      </c>
      <c r="H970" s="2">
        <f t="shared" si="63"/>
        <v>1.7361111111111049E-3</v>
      </c>
      <c r="K970" s="1"/>
    </row>
    <row r="971" spans="1:11" x14ac:dyDescent="0.25">
      <c r="A971" s="6">
        <v>3460208</v>
      </c>
      <c r="B971" t="str">
        <f t="shared" si="60"/>
        <v>stacjonarny</v>
      </c>
      <c r="C971">
        <f t="shared" si="61"/>
        <v>0</v>
      </c>
      <c r="D971">
        <f t="shared" si="62"/>
        <v>0</v>
      </c>
      <c r="E971" s="1">
        <v>42930</v>
      </c>
      <c r="F971" s="2">
        <v>0.49302083333333335</v>
      </c>
      <c r="G971" s="2">
        <v>0.50244212962962964</v>
      </c>
      <c r="H971" s="2">
        <f t="shared" si="63"/>
        <v>9.4212962962962887E-3</v>
      </c>
      <c r="K971" s="1"/>
    </row>
    <row r="972" spans="1:11" x14ac:dyDescent="0.25">
      <c r="A972" s="6">
        <v>25545000</v>
      </c>
      <c r="B972" t="str">
        <f t="shared" si="60"/>
        <v>komorkowy</v>
      </c>
      <c r="C972">
        <f t="shared" si="61"/>
        <v>0</v>
      </c>
      <c r="D972">
        <f t="shared" si="62"/>
        <v>0</v>
      </c>
      <c r="E972" s="1">
        <v>42930</v>
      </c>
      <c r="F972" s="2">
        <v>0.4959722222222222</v>
      </c>
      <c r="G972" s="2">
        <v>0.50451388888888893</v>
      </c>
      <c r="H972" s="2">
        <f t="shared" si="63"/>
        <v>8.5416666666667251E-3</v>
      </c>
      <c r="K972" s="1"/>
    </row>
    <row r="973" spans="1:11" x14ac:dyDescent="0.25">
      <c r="A973" s="6">
        <v>1207918</v>
      </c>
      <c r="B973" t="str">
        <f t="shared" si="60"/>
        <v>stacjonarny</v>
      </c>
      <c r="C973">
        <f t="shared" si="61"/>
        <v>1</v>
      </c>
      <c r="D973">
        <f t="shared" si="62"/>
        <v>1</v>
      </c>
      <c r="E973" s="1">
        <v>42930</v>
      </c>
      <c r="F973" s="2">
        <v>0.50126157407407412</v>
      </c>
      <c r="G973" s="2">
        <v>0.51184027777777774</v>
      </c>
      <c r="H973" s="2">
        <f t="shared" si="63"/>
        <v>1.0578703703703618E-2</v>
      </c>
      <c r="K973" s="1"/>
    </row>
    <row r="974" spans="1:11" x14ac:dyDescent="0.25">
      <c r="A974" s="6">
        <v>4471828</v>
      </c>
      <c r="B974" t="str">
        <f t="shared" si="60"/>
        <v>stacjonarny</v>
      </c>
      <c r="C974">
        <f t="shared" si="61"/>
        <v>0</v>
      </c>
      <c r="D974">
        <f t="shared" si="62"/>
        <v>0</v>
      </c>
      <c r="E974" s="1">
        <v>42930</v>
      </c>
      <c r="F974" s="2">
        <v>0.50378472222222226</v>
      </c>
      <c r="G974" s="2">
        <v>0.51043981481481482</v>
      </c>
      <c r="H974" s="2">
        <f t="shared" si="63"/>
        <v>6.6550925925925597E-3</v>
      </c>
      <c r="K974" s="1"/>
    </row>
    <row r="975" spans="1:11" x14ac:dyDescent="0.25">
      <c r="A975" s="6">
        <v>6516836</v>
      </c>
      <c r="B975" t="str">
        <f t="shared" si="60"/>
        <v>stacjonarny</v>
      </c>
      <c r="C975">
        <f t="shared" si="61"/>
        <v>0</v>
      </c>
      <c r="D975">
        <f t="shared" si="62"/>
        <v>0</v>
      </c>
      <c r="E975" s="1">
        <v>42930</v>
      </c>
      <c r="F975" s="2">
        <v>0.50812500000000005</v>
      </c>
      <c r="G975" s="2">
        <v>0.50862268518518516</v>
      </c>
      <c r="H975" s="2">
        <f t="shared" si="63"/>
        <v>4.9768518518511495E-4</v>
      </c>
      <c r="K975" s="1"/>
    </row>
    <row r="976" spans="1:11" x14ac:dyDescent="0.25">
      <c r="A976" s="6">
        <v>1197931</v>
      </c>
      <c r="B976" t="str">
        <f t="shared" si="60"/>
        <v>stacjonarny</v>
      </c>
      <c r="C976">
        <f t="shared" si="61"/>
        <v>0</v>
      </c>
      <c r="D976">
        <f t="shared" si="62"/>
        <v>0</v>
      </c>
      <c r="E976" s="1">
        <v>42930</v>
      </c>
      <c r="F976" s="2">
        <v>0.51179398148148147</v>
      </c>
      <c r="G976" s="2">
        <v>0.51231481481481478</v>
      </c>
      <c r="H976" s="2">
        <f t="shared" si="63"/>
        <v>5.2083333333330373E-4</v>
      </c>
      <c r="K976" s="1"/>
    </row>
    <row r="977" spans="1:11" x14ac:dyDescent="0.25">
      <c r="A977" s="6">
        <v>8750619</v>
      </c>
      <c r="B977" t="str">
        <f t="shared" si="60"/>
        <v>stacjonarny</v>
      </c>
      <c r="C977">
        <f t="shared" si="61"/>
        <v>0</v>
      </c>
      <c r="D977">
        <f t="shared" si="62"/>
        <v>0</v>
      </c>
      <c r="E977" s="1">
        <v>42930</v>
      </c>
      <c r="F977" s="2">
        <v>0.51645833333333335</v>
      </c>
      <c r="G977" s="2">
        <v>0.51701388888888888</v>
      </c>
      <c r="H977" s="2">
        <f t="shared" si="63"/>
        <v>5.5555555555553138E-4</v>
      </c>
      <c r="K977" s="1"/>
    </row>
    <row r="978" spans="1:11" x14ac:dyDescent="0.25">
      <c r="A978" s="6">
        <v>2076719</v>
      </c>
      <c r="B978" t="str">
        <f t="shared" si="60"/>
        <v>stacjonarny</v>
      </c>
      <c r="C978">
        <f t="shared" si="61"/>
        <v>0</v>
      </c>
      <c r="D978">
        <f t="shared" si="62"/>
        <v>0</v>
      </c>
      <c r="E978" s="1">
        <v>42930</v>
      </c>
      <c r="F978" s="2">
        <v>0.52056712962962959</v>
      </c>
      <c r="G978" s="2">
        <v>0.52818287037037037</v>
      </c>
      <c r="H978" s="2">
        <f t="shared" si="63"/>
        <v>7.615740740740784E-3</v>
      </c>
      <c r="K978" s="1"/>
    </row>
    <row r="979" spans="1:11" x14ac:dyDescent="0.25">
      <c r="A979" s="6">
        <v>3131883</v>
      </c>
      <c r="B979" t="str">
        <f t="shared" si="60"/>
        <v>stacjonarny</v>
      </c>
      <c r="C979">
        <f t="shared" si="61"/>
        <v>0</v>
      </c>
      <c r="D979">
        <f t="shared" si="62"/>
        <v>0</v>
      </c>
      <c r="E979" s="1">
        <v>42930</v>
      </c>
      <c r="F979" s="2">
        <v>0.52427083333333335</v>
      </c>
      <c r="G979" s="2">
        <v>0.52818287037037037</v>
      </c>
      <c r="H979" s="2">
        <f t="shared" si="63"/>
        <v>3.9120370370370194E-3</v>
      </c>
      <c r="K979" s="1"/>
    </row>
    <row r="980" spans="1:11" x14ac:dyDescent="0.25">
      <c r="A980" s="6">
        <v>1552302</v>
      </c>
      <c r="B980" t="str">
        <f t="shared" si="60"/>
        <v>stacjonarny</v>
      </c>
      <c r="C980">
        <f t="shared" si="61"/>
        <v>0</v>
      </c>
      <c r="D980">
        <f t="shared" si="62"/>
        <v>0</v>
      </c>
      <c r="E980" s="1">
        <v>42930</v>
      </c>
      <c r="F980" s="2">
        <v>0.52953703703703703</v>
      </c>
      <c r="G980" s="2">
        <v>0.54078703703703701</v>
      </c>
      <c r="H980" s="2">
        <f t="shared" si="63"/>
        <v>1.1249999999999982E-2</v>
      </c>
      <c r="K980" s="1"/>
    </row>
    <row r="981" spans="1:11" x14ac:dyDescent="0.25">
      <c r="A981" s="6">
        <v>33708687</v>
      </c>
      <c r="B981" t="str">
        <f t="shared" si="60"/>
        <v>komorkowy</v>
      </c>
      <c r="C981">
        <f t="shared" si="61"/>
        <v>0</v>
      </c>
      <c r="D981">
        <f t="shared" si="62"/>
        <v>0</v>
      </c>
      <c r="E981" s="1">
        <v>42930</v>
      </c>
      <c r="F981" s="2">
        <v>0.53237268518518521</v>
      </c>
      <c r="G981" s="2">
        <v>0.53413194444444445</v>
      </c>
      <c r="H981" s="2">
        <f t="shared" si="63"/>
        <v>1.7592592592592382E-3</v>
      </c>
      <c r="K981" s="1"/>
    </row>
    <row r="982" spans="1:11" x14ac:dyDescent="0.25">
      <c r="A982" s="6">
        <v>23123600</v>
      </c>
      <c r="B982" t="str">
        <f t="shared" si="60"/>
        <v>komorkowy</v>
      </c>
      <c r="C982">
        <f t="shared" si="61"/>
        <v>0</v>
      </c>
      <c r="D982">
        <f t="shared" si="62"/>
        <v>0</v>
      </c>
      <c r="E982" s="1">
        <v>42930</v>
      </c>
      <c r="F982" s="2">
        <v>0.53268518518518515</v>
      </c>
      <c r="G982" s="2">
        <v>0.54135416666666669</v>
      </c>
      <c r="H982" s="2">
        <f t="shared" si="63"/>
        <v>8.6689814814815414E-3</v>
      </c>
      <c r="K982" s="1"/>
    </row>
    <row r="983" spans="1:11" x14ac:dyDescent="0.25">
      <c r="A983" s="6">
        <v>5913571</v>
      </c>
      <c r="B983" t="str">
        <f t="shared" si="60"/>
        <v>stacjonarny</v>
      </c>
      <c r="C983">
        <f t="shared" si="61"/>
        <v>0</v>
      </c>
      <c r="D983">
        <f t="shared" si="62"/>
        <v>0</v>
      </c>
      <c r="E983" s="1">
        <v>42930</v>
      </c>
      <c r="F983" s="2">
        <v>0.53740740740740744</v>
      </c>
      <c r="G983" s="2">
        <v>0.54893518518518514</v>
      </c>
      <c r="H983" s="2">
        <f t="shared" si="63"/>
        <v>1.1527777777777692E-2</v>
      </c>
      <c r="K983" s="1"/>
    </row>
    <row r="984" spans="1:11" x14ac:dyDescent="0.25">
      <c r="A984" s="6">
        <v>5790304</v>
      </c>
      <c r="B984" t="str">
        <f t="shared" si="60"/>
        <v>stacjonarny</v>
      </c>
      <c r="C984">
        <f t="shared" si="61"/>
        <v>0</v>
      </c>
      <c r="D984">
        <f t="shared" si="62"/>
        <v>0</v>
      </c>
      <c r="E984" s="1">
        <v>42930</v>
      </c>
      <c r="F984" s="2">
        <v>0.53768518518518515</v>
      </c>
      <c r="G984" s="2">
        <v>0.53770833333333334</v>
      </c>
      <c r="H984" s="2">
        <f t="shared" si="63"/>
        <v>2.3148148148188774E-5</v>
      </c>
      <c r="K984" s="1"/>
    </row>
    <row r="985" spans="1:11" x14ac:dyDescent="0.25">
      <c r="A985" s="6">
        <v>97953696</v>
      </c>
      <c r="B985" t="str">
        <f t="shared" si="60"/>
        <v>komorkowy</v>
      </c>
      <c r="C985">
        <f t="shared" si="61"/>
        <v>0</v>
      </c>
      <c r="D985">
        <f t="shared" si="62"/>
        <v>0</v>
      </c>
      <c r="E985" s="1">
        <v>42930</v>
      </c>
      <c r="F985" s="2">
        <v>0.53909722222222223</v>
      </c>
      <c r="G985" s="2">
        <v>0.54540509259259262</v>
      </c>
      <c r="H985" s="2">
        <f t="shared" si="63"/>
        <v>6.3078703703703942E-3</v>
      </c>
      <c r="K985" s="1"/>
    </row>
    <row r="986" spans="1:11" x14ac:dyDescent="0.25">
      <c r="A986" s="6">
        <v>13588783</v>
      </c>
      <c r="B986" t="str">
        <f t="shared" si="60"/>
        <v>komorkowy</v>
      </c>
      <c r="C986">
        <f t="shared" si="61"/>
        <v>0</v>
      </c>
      <c r="D986">
        <f t="shared" si="62"/>
        <v>0</v>
      </c>
      <c r="E986" s="1">
        <v>42930</v>
      </c>
      <c r="F986" s="2">
        <v>0.54118055555555555</v>
      </c>
      <c r="G986" s="2">
        <v>0.54894675925925929</v>
      </c>
      <c r="H986" s="2">
        <f t="shared" si="63"/>
        <v>7.7662037037037335E-3</v>
      </c>
      <c r="K986" s="1"/>
    </row>
    <row r="987" spans="1:11" x14ac:dyDescent="0.25">
      <c r="A987" s="6">
        <v>3300626</v>
      </c>
      <c r="B987" t="str">
        <f t="shared" si="60"/>
        <v>stacjonarny</v>
      </c>
      <c r="C987">
        <f t="shared" si="61"/>
        <v>0</v>
      </c>
      <c r="D987">
        <f t="shared" si="62"/>
        <v>0</v>
      </c>
      <c r="E987" s="1">
        <v>42930</v>
      </c>
      <c r="F987" s="2">
        <v>0.54415509259259254</v>
      </c>
      <c r="G987" s="2">
        <v>0.55156249999999996</v>
      </c>
      <c r="H987" s="2">
        <f t="shared" si="63"/>
        <v>7.4074074074074181E-3</v>
      </c>
      <c r="K987" s="1"/>
    </row>
    <row r="988" spans="1:11" x14ac:dyDescent="0.25">
      <c r="A988" s="6">
        <v>9849071</v>
      </c>
      <c r="B988" t="str">
        <f t="shared" si="60"/>
        <v>stacjonarny</v>
      </c>
      <c r="C988">
        <f t="shared" si="61"/>
        <v>0</v>
      </c>
      <c r="D988">
        <f t="shared" si="62"/>
        <v>0</v>
      </c>
      <c r="E988" s="1">
        <v>42930</v>
      </c>
      <c r="F988" s="2">
        <v>0.54498842592592589</v>
      </c>
      <c r="G988" s="2">
        <v>0.54879629629629634</v>
      </c>
      <c r="H988" s="2">
        <f t="shared" si="63"/>
        <v>3.8078703703704475E-3</v>
      </c>
      <c r="K988" s="1"/>
    </row>
    <row r="989" spans="1:11" x14ac:dyDescent="0.25">
      <c r="A989" s="6">
        <v>39697250</v>
      </c>
      <c r="B989" t="str">
        <f t="shared" si="60"/>
        <v>komorkowy</v>
      </c>
      <c r="C989">
        <f t="shared" si="61"/>
        <v>0</v>
      </c>
      <c r="D989">
        <f t="shared" si="62"/>
        <v>0</v>
      </c>
      <c r="E989" s="1">
        <v>42930</v>
      </c>
      <c r="F989" s="2">
        <v>0.54616898148148152</v>
      </c>
      <c r="G989" s="2">
        <v>0.55153935185185188</v>
      </c>
      <c r="H989" s="2">
        <f t="shared" si="63"/>
        <v>5.3703703703703587E-3</v>
      </c>
      <c r="K989" s="1"/>
    </row>
    <row r="990" spans="1:11" x14ac:dyDescent="0.25">
      <c r="A990" s="6">
        <v>3826370863</v>
      </c>
      <c r="B990" t="str">
        <f t="shared" si="60"/>
        <v>zagraniczny</v>
      </c>
      <c r="C990">
        <f t="shared" si="61"/>
        <v>0</v>
      </c>
      <c r="D990">
        <f t="shared" si="62"/>
        <v>0</v>
      </c>
      <c r="E990" s="1">
        <v>42930</v>
      </c>
      <c r="F990" s="2">
        <v>0.55155092592592592</v>
      </c>
      <c r="G990" s="2">
        <v>0.55709490740740741</v>
      </c>
      <c r="H990" s="2">
        <f t="shared" si="63"/>
        <v>5.5439814814814969E-3</v>
      </c>
      <c r="K990" s="1"/>
    </row>
    <row r="991" spans="1:11" x14ac:dyDescent="0.25">
      <c r="A991" s="6">
        <v>9088452</v>
      </c>
      <c r="B991" t="str">
        <f t="shared" si="60"/>
        <v>stacjonarny</v>
      </c>
      <c r="C991">
        <f t="shared" si="61"/>
        <v>0</v>
      </c>
      <c r="D991">
        <f t="shared" si="62"/>
        <v>0</v>
      </c>
      <c r="E991" s="1">
        <v>42930</v>
      </c>
      <c r="F991" s="2">
        <v>0.55473379629629627</v>
      </c>
      <c r="G991" s="2">
        <v>0.56253472222222223</v>
      </c>
      <c r="H991" s="2">
        <f t="shared" si="63"/>
        <v>7.8009259259259611E-3</v>
      </c>
      <c r="K991" s="1"/>
    </row>
    <row r="992" spans="1:11" x14ac:dyDescent="0.25">
      <c r="A992" s="6">
        <v>8026912</v>
      </c>
      <c r="B992" t="str">
        <f t="shared" si="60"/>
        <v>stacjonarny</v>
      </c>
      <c r="C992">
        <f t="shared" si="61"/>
        <v>0</v>
      </c>
      <c r="D992">
        <f t="shared" si="62"/>
        <v>0</v>
      </c>
      <c r="E992" s="1">
        <v>42930</v>
      </c>
      <c r="F992" s="2">
        <v>0.5561342592592593</v>
      </c>
      <c r="G992" s="2">
        <v>0.56366898148148148</v>
      </c>
      <c r="H992" s="2">
        <f t="shared" si="63"/>
        <v>7.5347222222221788E-3</v>
      </c>
      <c r="K992" s="1"/>
    </row>
    <row r="993" spans="1:11" x14ac:dyDescent="0.25">
      <c r="A993" s="6">
        <v>24290062</v>
      </c>
      <c r="B993" t="str">
        <f t="shared" si="60"/>
        <v>komorkowy</v>
      </c>
      <c r="C993">
        <f t="shared" si="61"/>
        <v>0</v>
      </c>
      <c r="D993">
        <f t="shared" si="62"/>
        <v>0</v>
      </c>
      <c r="E993" s="1">
        <v>42930</v>
      </c>
      <c r="F993" s="2">
        <v>0.56141203703703701</v>
      </c>
      <c r="G993" s="2">
        <v>0.57055555555555559</v>
      </c>
      <c r="H993" s="2">
        <f t="shared" si="63"/>
        <v>9.1435185185185786E-3</v>
      </c>
      <c r="K993" s="1"/>
    </row>
    <row r="994" spans="1:11" x14ac:dyDescent="0.25">
      <c r="A994" s="6">
        <v>6785899</v>
      </c>
      <c r="B994" t="str">
        <f t="shared" si="60"/>
        <v>stacjonarny</v>
      </c>
      <c r="C994">
        <f t="shared" si="61"/>
        <v>0</v>
      </c>
      <c r="D994">
        <f t="shared" si="62"/>
        <v>0</v>
      </c>
      <c r="E994" s="1">
        <v>42930</v>
      </c>
      <c r="F994" s="2">
        <v>0.56650462962962966</v>
      </c>
      <c r="G994" s="2">
        <v>0.57533564814814819</v>
      </c>
      <c r="H994" s="2">
        <f t="shared" si="63"/>
        <v>8.8310185185185297E-3</v>
      </c>
      <c r="K994" s="1"/>
    </row>
    <row r="995" spans="1:11" x14ac:dyDescent="0.25">
      <c r="A995" s="6">
        <v>75048005</v>
      </c>
      <c r="B995" t="str">
        <f t="shared" si="60"/>
        <v>komorkowy</v>
      </c>
      <c r="C995">
        <f t="shared" si="61"/>
        <v>0</v>
      </c>
      <c r="D995">
        <f t="shared" si="62"/>
        <v>0</v>
      </c>
      <c r="E995" s="1">
        <v>42930</v>
      </c>
      <c r="F995" s="2">
        <v>0.57197916666666671</v>
      </c>
      <c r="G995" s="2">
        <v>0.58081018518518523</v>
      </c>
      <c r="H995" s="2">
        <f t="shared" si="63"/>
        <v>8.8310185185185297E-3</v>
      </c>
      <c r="K995" s="1"/>
    </row>
    <row r="996" spans="1:11" x14ac:dyDescent="0.25">
      <c r="A996" s="6">
        <v>97459926</v>
      </c>
      <c r="B996" t="str">
        <f t="shared" si="60"/>
        <v>komorkowy</v>
      </c>
      <c r="C996">
        <f t="shared" si="61"/>
        <v>0</v>
      </c>
      <c r="D996">
        <f t="shared" si="62"/>
        <v>0</v>
      </c>
      <c r="E996" s="1">
        <v>42930</v>
      </c>
      <c r="F996" s="2">
        <v>0.57262731481481477</v>
      </c>
      <c r="G996" s="2">
        <v>0.57991898148148147</v>
      </c>
      <c r="H996" s="2">
        <f t="shared" si="63"/>
        <v>7.2916666666666963E-3</v>
      </c>
      <c r="K996" s="1"/>
    </row>
    <row r="997" spans="1:11" x14ac:dyDescent="0.25">
      <c r="A997" s="6">
        <v>9600226</v>
      </c>
      <c r="B997" t="str">
        <f t="shared" si="60"/>
        <v>stacjonarny</v>
      </c>
      <c r="C997">
        <f t="shared" si="61"/>
        <v>0</v>
      </c>
      <c r="D997">
        <f t="shared" si="62"/>
        <v>0</v>
      </c>
      <c r="E997" s="1">
        <v>42930</v>
      </c>
      <c r="F997" s="2">
        <v>0.57451388888888888</v>
      </c>
      <c r="G997" s="2">
        <v>0.57847222222222228</v>
      </c>
      <c r="H997" s="2">
        <f t="shared" si="63"/>
        <v>3.958333333333397E-3</v>
      </c>
      <c r="K997" s="1"/>
    </row>
    <row r="998" spans="1:11" x14ac:dyDescent="0.25">
      <c r="A998" s="6">
        <v>9685747</v>
      </c>
      <c r="B998" t="str">
        <f t="shared" si="60"/>
        <v>stacjonarny</v>
      </c>
      <c r="C998">
        <f t="shared" si="61"/>
        <v>0</v>
      </c>
      <c r="D998">
        <f t="shared" si="62"/>
        <v>0</v>
      </c>
      <c r="E998" s="1">
        <v>42930</v>
      </c>
      <c r="F998" s="2">
        <v>0.57810185185185181</v>
      </c>
      <c r="G998" s="2">
        <v>0.58810185185185182</v>
      </c>
      <c r="H998" s="2">
        <f t="shared" si="63"/>
        <v>1.0000000000000009E-2</v>
      </c>
      <c r="K998" s="1"/>
    </row>
    <row r="999" spans="1:11" x14ac:dyDescent="0.25">
      <c r="A999" s="6">
        <v>3178616</v>
      </c>
      <c r="B999" t="str">
        <f t="shared" si="60"/>
        <v>stacjonarny</v>
      </c>
      <c r="C999">
        <f t="shared" si="61"/>
        <v>0</v>
      </c>
      <c r="D999">
        <f t="shared" si="62"/>
        <v>0</v>
      </c>
      <c r="E999" s="1">
        <v>42930</v>
      </c>
      <c r="F999" s="2">
        <v>0.58233796296296292</v>
      </c>
      <c r="G999" s="2">
        <v>0.58734953703703707</v>
      </c>
      <c r="H999" s="2">
        <f t="shared" si="63"/>
        <v>5.0115740740741543E-3</v>
      </c>
      <c r="K999" s="1"/>
    </row>
    <row r="1000" spans="1:11" x14ac:dyDescent="0.25">
      <c r="A1000" s="6">
        <v>9979899</v>
      </c>
      <c r="B1000" t="str">
        <f t="shared" si="60"/>
        <v>stacjonarny</v>
      </c>
      <c r="C1000">
        <f t="shared" si="61"/>
        <v>0</v>
      </c>
      <c r="D1000">
        <f t="shared" si="62"/>
        <v>0</v>
      </c>
      <c r="E1000" s="1">
        <v>42930</v>
      </c>
      <c r="F1000" s="2">
        <v>0.58810185185185182</v>
      </c>
      <c r="G1000" s="2">
        <v>0.59134259259259259</v>
      </c>
      <c r="H1000" s="2">
        <f t="shared" si="63"/>
        <v>3.2407407407407662E-3</v>
      </c>
      <c r="K1000" s="1"/>
    </row>
    <row r="1001" spans="1:11" x14ac:dyDescent="0.25">
      <c r="A1001" s="6">
        <v>4575865</v>
      </c>
      <c r="B1001" t="str">
        <f t="shared" si="60"/>
        <v>stacjonarny</v>
      </c>
      <c r="C1001">
        <f t="shared" si="61"/>
        <v>0</v>
      </c>
      <c r="D1001">
        <f t="shared" si="62"/>
        <v>0</v>
      </c>
      <c r="E1001" s="1">
        <v>42930</v>
      </c>
      <c r="F1001" s="2">
        <v>0.58959490740740739</v>
      </c>
      <c r="G1001" s="2">
        <v>0.59105324074074073</v>
      </c>
      <c r="H1001" s="2">
        <f t="shared" si="63"/>
        <v>1.4583333333333393E-3</v>
      </c>
      <c r="K1001" s="1"/>
    </row>
    <row r="1002" spans="1:11" x14ac:dyDescent="0.25">
      <c r="A1002" s="6">
        <v>1808444</v>
      </c>
      <c r="B1002" t="str">
        <f t="shared" si="60"/>
        <v>stacjonarny</v>
      </c>
      <c r="C1002">
        <f t="shared" si="61"/>
        <v>0</v>
      </c>
      <c r="D1002">
        <f t="shared" si="62"/>
        <v>0</v>
      </c>
      <c r="E1002" s="1">
        <v>42930</v>
      </c>
      <c r="F1002" s="2">
        <v>0.59284722222222219</v>
      </c>
      <c r="G1002" s="2">
        <v>0.59662037037037041</v>
      </c>
      <c r="H1002" s="2">
        <f t="shared" si="63"/>
        <v>3.7731481481482199E-3</v>
      </c>
      <c r="K1002" s="1"/>
    </row>
    <row r="1003" spans="1:11" x14ac:dyDescent="0.25">
      <c r="A1003" s="6">
        <v>1649912</v>
      </c>
      <c r="B1003" t="str">
        <f t="shared" si="60"/>
        <v>stacjonarny</v>
      </c>
      <c r="C1003">
        <f t="shared" si="61"/>
        <v>0</v>
      </c>
      <c r="D1003">
        <f t="shared" si="62"/>
        <v>0</v>
      </c>
      <c r="E1003" s="1">
        <v>42930</v>
      </c>
      <c r="F1003" s="2">
        <v>0.59467592592592589</v>
      </c>
      <c r="G1003" s="2">
        <v>0.60392361111111115</v>
      </c>
      <c r="H1003" s="2">
        <f t="shared" si="63"/>
        <v>9.2476851851852615E-3</v>
      </c>
      <c r="K1003" s="1"/>
    </row>
    <row r="1004" spans="1:11" x14ac:dyDescent="0.25">
      <c r="A1004" s="6">
        <v>6128500046</v>
      </c>
      <c r="B1004" t="str">
        <f t="shared" si="60"/>
        <v>zagraniczny</v>
      </c>
      <c r="C1004">
        <f t="shared" si="61"/>
        <v>0</v>
      </c>
      <c r="D1004">
        <f t="shared" si="62"/>
        <v>0</v>
      </c>
      <c r="E1004" s="1">
        <v>42930</v>
      </c>
      <c r="F1004" s="2">
        <v>0.5981481481481481</v>
      </c>
      <c r="G1004" s="2">
        <v>0.60513888888888889</v>
      </c>
      <c r="H1004" s="2">
        <f t="shared" si="63"/>
        <v>6.9907407407407973E-3</v>
      </c>
      <c r="K1004" s="1"/>
    </row>
    <row r="1005" spans="1:11" x14ac:dyDescent="0.25">
      <c r="A1005" s="6">
        <v>6580951</v>
      </c>
      <c r="B1005" t="str">
        <f t="shared" si="60"/>
        <v>stacjonarny</v>
      </c>
      <c r="C1005">
        <f t="shared" si="61"/>
        <v>0</v>
      </c>
      <c r="D1005">
        <f t="shared" si="62"/>
        <v>0</v>
      </c>
      <c r="E1005" s="1">
        <v>42930</v>
      </c>
      <c r="F1005" s="2">
        <v>0.6001967592592593</v>
      </c>
      <c r="G1005" s="2">
        <v>0.60023148148148153</v>
      </c>
      <c r="H1005" s="2">
        <f t="shared" si="63"/>
        <v>3.472222222222765E-5</v>
      </c>
      <c r="K1005" s="1"/>
    </row>
    <row r="1006" spans="1:11" x14ac:dyDescent="0.25">
      <c r="A1006" s="6">
        <v>5536146</v>
      </c>
      <c r="B1006" t="str">
        <f t="shared" si="60"/>
        <v>stacjonarny</v>
      </c>
      <c r="C1006">
        <f t="shared" si="61"/>
        <v>0</v>
      </c>
      <c r="D1006">
        <f t="shared" si="62"/>
        <v>0</v>
      </c>
      <c r="E1006" s="1">
        <v>42930</v>
      </c>
      <c r="F1006" s="2">
        <v>0.60204861111111108</v>
      </c>
      <c r="G1006" s="2">
        <v>0.60319444444444448</v>
      </c>
      <c r="H1006" s="2">
        <f t="shared" si="63"/>
        <v>1.1458333333334014E-3</v>
      </c>
      <c r="K1006" s="1"/>
    </row>
    <row r="1007" spans="1:11" x14ac:dyDescent="0.25">
      <c r="A1007" s="6">
        <v>7396921</v>
      </c>
      <c r="B1007" t="str">
        <f t="shared" si="60"/>
        <v>stacjonarny</v>
      </c>
      <c r="C1007">
        <f t="shared" si="61"/>
        <v>0</v>
      </c>
      <c r="D1007">
        <f t="shared" si="62"/>
        <v>0</v>
      </c>
      <c r="E1007" s="1">
        <v>42930</v>
      </c>
      <c r="F1007" s="2">
        <v>0.60775462962962967</v>
      </c>
      <c r="G1007" s="2">
        <v>0.61614583333333328</v>
      </c>
      <c r="H1007" s="2">
        <f t="shared" si="63"/>
        <v>8.3912037037036091E-3</v>
      </c>
      <c r="K1007" s="1"/>
    </row>
    <row r="1008" spans="1:11" x14ac:dyDescent="0.25">
      <c r="A1008" s="6">
        <v>8331262</v>
      </c>
      <c r="B1008" t="str">
        <f t="shared" si="60"/>
        <v>stacjonarny</v>
      </c>
      <c r="C1008">
        <f t="shared" si="61"/>
        <v>0</v>
      </c>
      <c r="D1008">
        <f t="shared" si="62"/>
        <v>0</v>
      </c>
      <c r="E1008" s="1">
        <v>42930</v>
      </c>
      <c r="F1008" s="2">
        <v>0.61174768518518519</v>
      </c>
      <c r="G1008" s="2">
        <v>0.61697916666666663</v>
      </c>
      <c r="H1008" s="2">
        <f t="shared" si="63"/>
        <v>5.2314814814814481E-3</v>
      </c>
      <c r="K1008" s="1"/>
    </row>
    <row r="1009" spans="1:11" x14ac:dyDescent="0.25">
      <c r="A1009" s="6">
        <v>5146166</v>
      </c>
      <c r="B1009" t="str">
        <f t="shared" si="60"/>
        <v>stacjonarny</v>
      </c>
      <c r="C1009">
        <f t="shared" si="61"/>
        <v>0</v>
      </c>
      <c r="D1009">
        <f t="shared" si="62"/>
        <v>0</v>
      </c>
      <c r="E1009" s="1">
        <v>42930</v>
      </c>
      <c r="F1009" s="2">
        <v>0.61546296296296299</v>
      </c>
      <c r="G1009" s="2">
        <v>0.62185185185185188</v>
      </c>
      <c r="H1009" s="2">
        <f t="shared" si="63"/>
        <v>6.3888888888888884E-3</v>
      </c>
      <c r="K1009" s="1"/>
    </row>
    <row r="1010" spans="1:11" x14ac:dyDescent="0.25">
      <c r="A1010" s="6">
        <v>6729705</v>
      </c>
      <c r="B1010" t="str">
        <f t="shared" si="60"/>
        <v>stacjonarny</v>
      </c>
      <c r="C1010">
        <f t="shared" si="61"/>
        <v>0</v>
      </c>
      <c r="D1010">
        <f t="shared" si="62"/>
        <v>0</v>
      </c>
      <c r="E1010" s="1">
        <v>42930</v>
      </c>
      <c r="F1010" s="2">
        <v>0.62111111111111106</v>
      </c>
      <c r="G1010" s="2">
        <v>0.62814814814814812</v>
      </c>
      <c r="H1010" s="2">
        <f t="shared" si="63"/>
        <v>7.0370370370370638E-3</v>
      </c>
      <c r="K1010" s="1"/>
    </row>
    <row r="1011" spans="1:11" x14ac:dyDescent="0.25">
      <c r="A1011" s="6">
        <v>5372125</v>
      </c>
      <c r="B1011" t="str">
        <f t="shared" si="60"/>
        <v>stacjonarny</v>
      </c>
      <c r="C1011">
        <f t="shared" si="61"/>
        <v>0</v>
      </c>
      <c r="D1011">
        <f t="shared" si="62"/>
        <v>0</v>
      </c>
      <c r="E1011" s="1">
        <v>42930</v>
      </c>
      <c r="F1011" s="2">
        <v>0.62517361111111114</v>
      </c>
      <c r="G1011" s="2">
        <v>0.62518518518518518</v>
      </c>
      <c r="H1011" s="2">
        <f t="shared" si="63"/>
        <v>1.1574074074038876E-5</v>
      </c>
      <c r="K1011" s="1"/>
    </row>
    <row r="1012" spans="1:11" x14ac:dyDescent="0.25">
      <c r="A1012" s="6">
        <v>8870498</v>
      </c>
      <c r="B1012" t="str">
        <f t="shared" si="60"/>
        <v>stacjonarny</v>
      </c>
      <c r="C1012">
        <f t="shared" si="61"/>
        <v>0</v>
      </c>
      <c r="D1012">
        <f t="shared" si="62"/>
        <v>0</v>
      </c>
      <c r="E1012" s="1">
        <v>42933</v>
      </c>
      <c r="F1012" s="2">
        <v>0.33702546296296299</v>
      </c>
      <c r="G1012" s="2">
        <v>0.34466435185185185</v>
      </c>
      <c r="H1012" s="2">
        <f t="shared" si="63"/>
        <v>7.6388888888888618E-3</v>
      </c>
      <c r="K1012" s="1"/>
    </row>
    <row r="1013" spans="1:11" x14ac:dyDescent="0.25">
      <c r="A1013" s="6">
        <v>7880585</v>
      </c>
      <c r="B1013" t="str">
        <f t="shared" si="60"/>
        <v>stacjonarny</v>
      </c>
      <c r="C1013">
        <f t="shared" si="61"/>
        <v>0</v>
      </c>
      <c r="D1013">
        <f t="shared" si="62"/>
        <v>0</v>
      </c>
      <c r="E1013" s="1">
        <v>42933</v>
      </c>
      <c r="F1013" s="2">
        <v>0.34074074074074073</v>
      </c>
      <c r="G1013" s="2">
        <v>0.34971064814814817</v>
      </c>
      <c r="H1013" s="2">
        <f t="shared" si="63"/>
        <v>8.9699074074074403E-3</v>
      </c>
      <c r="K1013" s="1"/>
    </row>
    <row r="1014" spans="1:11" x14ac:dyDescent="0.25">
      <c r="A1014" s="6">
        <v>3652646</v>
      </c>
      <c r="B1014" t="str">
        <f t="shared" si="60"/>
        <v>stacjonarny</v>
      </c>
      <c r="C1014">
        <f t="shared" si="61"/>
        <v>0</v>
      </c>
      <c r="D1014">
        <f t="shared" si="62"/>
        <v>0</v>
      </c>
      <c r="E1014" s="1">
        <v>42933</v>
      </c>
      <c r="F1014" s="2">
        <v>0.34233796296296298</v>
      </c>
      <c r="G1014" s="2">
        <v>0.34569444444444447</v>
      </c>
      <c r="H1014" s="2">
        <f t="shared" si="63"/>
        <v>3.3564814814814881E-3</v>
      </c>
      <c r="K1014" s="1"/>
    </row>
    <row r="1015" spans="1:11" x14ac:dyDescent="0.25">
      <c r="A1015" s="6">
        <v>3691457</v>
      </c>
      <c r="B1015" t="str">
        <f t="shared" si="60"/>
        <v>stacjonarny</v>
      </c>
      <c r="C1015">
        <f t="shared" si="61"/>
        <v>0</v>
      </c>
      <c r="D1015">
        <f t="shared" si="62"/>
        <v>0</v>
      </c>
      <c r="E1015" s="1">
        <v>42933</v>
      </c>
      <c r="F1015" s="2">
        <v>0.34688657407407408</v>
      </c>
      <c r="G1015" s="2">
        <v>0.35810185185185184</v>
      </c>
      <c r="H1015" s="2">
        <f t="shared" si="63"/>
        <v>1.1215277777777755E-2</v>
      </c>
      <c r="K1015" s="1"/>
    </row>
    <row r="1016" spans="1:11" x14ac:dyDescent="0.25">
      <c r="A1016" s="6">
        <v>4344184930</v>
      </c>
      <c r="B1016" t="str">
        <f t="shared" si="60"/>
        <v>zagraniczny</v>
      </c>
      <c r="C1016">
        <f t="shared" si="61"/>
        <v>0</v>
      </c>
      <c r="D1016">
        <f t="shared" si="62"/>
        <v>0</v>
      </c>
      <c r="E1016" s="1">
        <v>42933</v>
      </c>
      <c r="F1016" s="2">
        <v>0.34866898148148145</v>
      </c>
      <c r="G1016" s="2">
        <v>0.35778935185185184</v>
      </c>
      <c r="H1016" s="2">
        <f t="shared" si="63"/>
        <v>9.1203703703703898E-3</v>
      </c>
      <c r="K1016" s="1"/>
    </row>
    <row r="1017" spans="1:11" x14ac:dyDescent="0.25">
      <c r="A1017" s="6">
        <v>5290460</v>
      </c>
      <c r="B1017" t="str">
        <f t="shared" si="60"/>
        <v>stacjonarny</v>
      </c>
      <c r="C1017">
        <f t="shared" si="61"/>
        <v>0</v>
      </c>
      <c r="D1017">
        <f t="shared" si="62"/>
        <v>0</v>
      </c>
      <c r="E1017" s="1">
        <v>42933</v>
      </c>
      <c r="F1017" s="2">
        <v>0.3525578703703704</v>
      </c>
      <c r="G1017" s="2">
        <v>0.36346064814814816</v>
      </c>
      <c r="H1017" s="2">
        <f t="shared" si="63"/>
        <v>1.0902777777777761E-2</v>
      </c>
      <c r="K1017" s="1"/>
    </row>
    <row r="1018" spans="1:11" x14ac:dyDescent="0.25">
      <c r="A1018" s="6">
        <v>6922037</v>
      </c>
      <c r="B1018" t="str">
        <f t="shared" si="60"/>
        <v>stacjonarny</v>
      </c>
      <c r="C1018">
        <f t="shared" si="61"/>
        <v>0</v>
      </c>
      <c r="D1018">
        <f t="shared" si="62"/>
        <v>0</v>
      </c>
      <c r="E1018" s="1">
        <v>42933</v>
      </c>
      <c r="F1018" s="2">
        <v>0.35569444444444442</v>
      </c>
      <c r="G1018" s="2">
        <v>0.35796296296296298</v>
      </c>
      <c r="H1018" s="2">
        <f t="shared" si="63"/>
        <v>2.2685185185185586E-3</v>
      </c>
      <c r="K1018" s="1"/>
    </row>
    <row r="1019" spans="1:11" x14ac:dyDescent="0.25">
      <c r="A1019" s="6">
        <v>7060245</v>
      </c>
      <c r="B1019" t="str">
        <f t="shared" si="60"/>
        <v>stacjonarny</v>
      </c>
      <c r="C1019">
        <f t="shared" si="61"/>
        <v>0</v>
      </c>
      <c r="D1019">
        <f t="shared" si="62"/>
        <v>0</v>
      </c>
      <c r="E1019" s="1">
        <v>42933</v>
      </c>
      <c r="F1019" s="2">
        <v>0.35920138888888886</v>
      </c>
      <c r="G1019" s="2">
        <v>0.36319444444444443</v>
      </c>
      <c r="H1019" s="2">
        <f t="shared" si="63"/>
        <v>3.9930555555555691E-3</v>
      </c>
      <c r="K1019" s="1"/>
    </row>
    <row r="1020" spans="1:11" x14ac:dyDescent="0.25">
      <c r="A1020" s="6">
        <v>5788783</v>
      </c>
      <c r="B1020" t="str">
        <f t="shared" si="60"/>
        <v>stacjonarny</v>
      </c>
      <c r="C1020">
        <f t="shared" si="61"/>
        <v>0</v>
      </c>
      <c r="D1020">
        <f t="shared" si="62"/>
        <v>0</v>
      </c>
      <c r="E1020" s="1">
        <v>42933</v>
      </c>
      <c r="F1020" s="2">
        <v>0.36114583333333333</v>
      </c>
      <c r="G1020" s="2">
        <v>0.36629629629629629</v>
      </c>
      <c r="H1020" s="2">
        <f t="shared" si="63"/>
        <v>5.1504629629629539E-3</v>
      </c>
      <c r="K1020" s="1"/>
    </row>
    <row r="1021" spans="1:11" x14ac:dyDescent="0.25">
      <c r="A1021" s="6">
        <v>8647144</v>
      </c>
      <c r="B1021" t="str">
        <f t="shared" si="60"/>
        <v>stacjonarny</v>
      </c>
      <c r="C1021">
        <f t="shared" si="61"/>
        <v>0</v>
      </c>
      <c r="D1021">
        <f t="shared" si="62"/>
        <v>0</v>
      </c>
      <c r="E1021" s="1">
        <v>42933</v>
      </c>
      <c r="F1021" s="2">
        <v>0.36208333333333331</v>
      </c>
      <c r="G1021" s="2">
        <v>0.36282407407407408</v>
      </c>
      <c r="H1021" s="2">
        <f t="shared" si="63"/>
        <v>7.4074074074076401E-4</v>
      </c>
      <c r="K1021" s="1"/>
    </row>
    <row r="1022" spans="1:11" x14ac:dyDescent="0.25">
      <c r="A1022" s="6">
        <v>24665933</v>
      </c>
      <c r="B1022" t="str">
        <f t="shared" si="60"/>
        <v>komorkowy</v>
      </c>
      <c r="C1022">
        <f t="shared" si="61"/>
        <v>0</v>
      </c>
      <c r="D1022">
        <f t="shared" si="62"/>
        <v>0</v>
      </c>
      <c r="E1022" s="1">
        <v>42933</v>
      </c>
      <c r="F1022" s="2">
        <v>0.36373842592592592</v>
      </c>
      <c r="G1022" s="2">
        <v>0.36895833333333333</v>
      </c>
      <c r="H1022" s="2">
        <f t="shared" si="63"/>
        <v>5.2199074074074092E-3</v>
      </c>
      <c r="K1022" s="1"/>
    </row>
    <row r="1023" spans="1:11" x14ac:dyDescent="0.25">
      <c r="A1023" s="6">
        <v>3326329</v>
      </c>
      <c r="B1023" t="str">
        <f t="shared" si="60"/>
        <v>stacjonarny</v>
      </c>
      <c r="C1023">
        <f t="shared" si="61"/>
        <v>0</v>
      </c>
      <c r="D1023">
        <f t="shared" si="62"/>
        <v>0</v>
      </c>
      <c r="E1023" s="1">
        <v>42933</v>
      </c>
      <c r="F1023" s="2">
        <v>0.36928240740740742</v>
      </c>
      <c r="G1023" s="2">
        <v>0.37148148148148147</v>
      </c>
      <c r="H1023" s="2">
        <f t="shared" si="63"/>
        <v>2.1990740740740478E-3</v>
      </c>
      <c r="K1023" s="1"/>
    </row>
    <row r="1024" spans="1:11" x14ac:dyDescent="0.25">
      <c r="A1024" s="6">
        <v>3478111</v>
      </c>
      <c r="B1024" t="str">
        <f t="shared" si="60"/>
        <v>stacjonarny</v>
      </c>
      <c r="C1024">
        <f t="shared" si="61"/>
        <v>0</v>
      </c>
      <c r="D1024">
        <f t="shared" si="62"/>
        <v>0</v>
      </c>
      <c r="E1024" s="1">
        <v>42933</v>
      </c>
      <c r="F1024" s="2">
        <v>0.37144675925925924</v>
      </c>
      <c r="G1024" s="2">
        <v>0.37270833333333331</v>
      </c>
      <c r="H1024" s="2">
        <f t="shared" si="63"/>
        <v>1.2615740740740677E-3</v>
      </c>
      <c r="K1024" s="1"/>
    </row>
    <row r="1025" spans="1:11" x14ac:dyDescent="0.25">
      <c r="A1025" s="6">
        <v>7937998</v>
      </c>
      <c r="B1025" t="str">
        <f t="shared" si="60"/>
        <v>stacjonarny</v>
      </c>
      <c r="C1025">
        <f t="shared" si="61"/>
        <v>0</v>
      </c>
      <c r="D1025">
        <f t="shared" si="62"/>
        <v>0</v>
      </c>
      <c r="E1025" s="1">
        <v>42933</v>
      </c>
      <c r="F1025" s="2">
        <v>0.37627314814814816</v>
      </c>
      <c r="G1025" s="2">
        <v>0.37802083333333331</v>
      </c>
      <c r="H1025" s="2">
        <f t="shared" si="63"/>
        <v>1.7476851851851438E-3</v>
      </c>
      <c r="K1025" s="1"/>
    </row>
    <row r="1026" spans="1:11" x14ac:dyDescent="0.25">
      <c r="A1026" s="6">
        <v>82239478</v>
      </c>
      <c r="B1026" t="str">
        <f t="shared" ref="B1026:B1089" si="64">IF(LEN(A1026)=7, "stacjonarny", IF(LEN(A1026)=8, "komorkowy", "zagraniczny"))</f>
        <v>komorkowy</v>
      </c>
      <c r="C1026">
        <f t="shared" si="61"/>
        <v>0</v>
      </c>
      <c r="D1026">
        <f t="shared" si="62"/>
        <v>0</v>
      </c>
      <c r="E1026" s="1">
        <v>42933</v>
      </c>
      <c r="F1026" s="2">
        <v>0.38178240740740743</v>
      </c>
      <c r="G1026" s="2">
        <v>0.38648148148148148</v>
      </c>
      <c r="H1026" s="2">
        <f t="shared" si="63"/>
        <v>4.69907407407405E-3</v>
      </c>
      <c r="K1026" s="1"/>
    </row>
    <row r="1027" spans="1:11" x14ac:dyDescent="0.25">
      <c r="A1027" s="6">
        <v>2557643</v>
      </c>
      <c r="B1027" t="str">
        <f t="shared" si="64"/>
        <v>stacjonarny</v>
      </c>
      <c r="C1027">
        <f t="shared" ref="C1027:C1090" si="65">IF(LEFT(A1027,2)="12",1,0)</f>
        <v>0</v>
      </c>
      <c r="D1027">
        <f t="shared" ref="D1027:D1090" si="66">IF(AND(C1027=1,B1027="stacjonarny"),1,0)</f>
        <v>0</v>
      </c>
      <c r="E1027" s="1">
        <v>42933</v>
      </c>
      <c r="F1027" s="2">
        <v>0.38622685185185185</v>
      </c>
      <c r="G1027" s="2">
        <v>0.38957175925925924</v>
      </c>
      <c r="H1027" s="2">
        <f t="shared" ref="H1027:H1090" si="67">G1027-F1027</f>
        <v>3.3449074074073937E-3</v>
      </c>
      <c r="K1027" s="1"/>
    </row>
    <row r="1028" spans="1:11" x14ac:dyDescent="0.25">
      <c r="A1028" s="6">
        <v>4501726</v>
      </c>
      <c r="B1028" t="str">
        <f t="shared" si="64"/>
        <v>stacjonarny</v>
      </c>
      <c r="C1028">
        <f t="shared" si="65"/>
        <v>0</v>
      </c>
      <c r="D1028">
        <f t="shared" si="66"/>
        <v>0</v>
      </c>
      <c r="E1028" s="1">
        <v>42933</v>
      </c>
      <c r="F1028" s="2">
        <v>0.38754629629629628</v>
      </c>
      <c r="G1028" s="2">
        <v>0.39260416666666664</v>
      </c>
      <c r="H1028" s="2">
        <f t="shared" si="67"/>
        <v>5.0578703703703654E-3</v>
      </c>
      <c r="K1028" s="1"/>
    </row>
    <row r="1029" spans="1:11" x14ac:dyDescent="0.25">
      <c r="A1029" s="6">
        <v>1415198</v>
      </c>
      <c r="B1029" t="str">
        <f t="shared" si="64"/>
        <v>stacjonarny</v>
      </c>
      <c r="C1029">
        <f t="shared" si="65"/>
        <v>0</v>
      </c>
      <c r="D1029">
        <f t="shared" si="66"/>
        <v>0</v>
      </c>
      <c r="E1029" s="1">
        <v>42933</v>
      </c>
      <c r="F1029" s="2">
        <v>0.38991898148148146</v>
      </c>
      <c r="G1029" s="2">
        <v>0.40072916666666669</v>
      </c>
      <c r="H1029" s="2">
        <f t="shared" si="67"/>
        <v>1.0810185185185228E-2</v>
      </c>
      <c r="K1029" s="1"/>
    </row>
    <row r="1030" spans="1:11" x14ac:dyDescent="0.25">
      <c r="A1030" s="6">
        <v>23368531</v>
      </c>
      <c r="B1030" t="str">
        <f t="shared" si="64"/>
        <v>komorkowy</v>
      </c>
      <c r="C1030">
        <f t="shared" si="65"/>
        <v>0</v>
      </c>
      <c r="D1030">
        <f t="shared" si="66"/>
        <v>0</v>
      </c>
      <c r="E1030" s="1">
        <v>42933</v>
      </c>
      <c r="F1030" s="2">
        <v>0.39103009259259258</v>
      </c>
      <c r="G1030" s="2">
        <v>0.39221064814814816</v>
      </c>
      <c r="H1030" s="2">
        <f t="shared" si="67"/>
        <v>1.1805555555555736E-3</v>
      </c>
      <c r="K1030" s="1"/>
    </row>
    <row r="1031" spans="1:11" x14ac:dyDescent="0.25">
      <c r="A1031" s="6">
        <v>5750549</v>
      </c>
      <c r="B1031" t="str">
        <f t="shared" si="64"/>
        <v>stacjonarny</v>
      </c>
      <c r="C1031">
        <f t="shared" si="65"/>
        <v>0</v>
      </c>
      <c r="D1031">
        <f t="shared" si="66"/>
        <v>0</v>
      </c>
      <c r="E1031" s="1">
        <v>42933</v>
      </c>
      <c r="F1031" s="2">
        <v>0.3948726851851852</v>
      </c>
      <c r="G1031" s="2">
        <v>0.39504629629629628</v>
      </c>
      <c r="H1031" s="2">
        <f t="shared" si="67"/>
        <v>1.7361111111108274E-4</v>
      </c>
      <c r="K1031" s="1"/>
    </row>
    <row r="1032" spans="1:11" x14ac:dyDescent="0.25">
      <c r="A1032" s="6">
        <v>3897850970</v>
      </c>
      <c r="B1032" t="str">
        <f t="shared" si="64"/>
        <v>zagraniczny</v>
      </c>
      <c r="C1032">
        <f t="shared" si="65"/>
        <v>0</v>
      </c>
      <c r="D1032">
        <f t="shared" si="66"/>
        <v>0</v>
      </c>
      <c r="E1032" s="1">
        <v>42933</v>
      </c>
      <c r="F1032" s="2">
        <v>0.3951736111111111</v>
      </c>
      <c r="G1032" s="2">
        <v>0.39697916666666666</v>
      </c>
      <c r="H1032" s="2">
        <f t="shared" si="67"/>
        <v>1.8055555555555602E-3</v>
      </c>
      <c r="K1032" s="1"/>
    </row>
    <row r="1033" spans="1:11" x14ac:dyDescent="0.25">
      <c r="A1033" s="6">
        <v>2573868</v>
      </c>
      <c r="B1033" t="str">
        <f t="shared" si="64"/>
        <v>stacjonarny</v>
      </c>
      <c r="C1033">
        <f t="shared" si="65"/>
        <v>0</v>
      </c>
      <c r="D1033">
        <f t="shared" si="66"/>
        <v>0</v>
      </c>
      <c r="E1033" s="1">
        <v>42933</v>
      </c>
      <c r="F1033" s="2">
        <v>0.39962962962962961</v>
      </c>
      <c r="G1033" s="2">
        <v>0.40937499999999999</v>
      </c>
      <c r="H1033" s="2">
        <f t="shared" si="67"/>
        <v>9.7453703703703765E-3</v>
      </c>
      <c r="K1033" s="1"/>
    </row>
    <row r="1034" spans="1:11" x14ac:dyDescent="0.25">
      <c r="A1034" s="6">
        <v>1701008</v>
      </c>
      <c r="B1034" t="str">
        <f t="shared" si="64"/>
        <v>stacjonarny</v>
      </c>
      <c r="C1034">
        <f t="shared" si="65"/>
        <v>0</v>
      </c>
      <c r="D1034">
        <f t="shared" si="66"/>
        <v>0</v>
      </c>
      <c r="E1034" s="1">
        <v>42933</v>
      </c>
      <c r="F1034" s="2">
        <v>0.40104166666666669</v>
      </c>
      <c r="G1034" s="2">
        <v>0.40837962962962965</v>
      </c>
      <c r="H1034" s="2">
        <f t="shared" si="67"/>
        <v>7.3379629629629628E-3</v>
      </c>
      <c r="K1034" s="1"/>
    </row>
    <row r="1035" spans="1:11" x14ac:dyDescent="0.25">
      <c r="A1035" s="6">
        <v>1617146</v>
      </c>
      <c r="B1035" t="str">
        <f t="shared" si="64"/>
        <v>stacjonarny</v>
      </c>
      <c r="C1035">
        <f t="shared" si="65"/>
        <v>0</v>
      </c>
      <c r="D1035">
        <f t="shared" si="66"/>
        <v>0</v>
      </c>
      <c r="E1035" s="1">
        <v>42933</v>
      </c>
      <c r="F1035" s="2">
        <v>0.40575231481481483</v>
      </c>
      <c r="G1035" s="2">
        <v>0.41274305555555557</v>
      </c>
      <c r="H1035" s="2">
        <f t="shared" si="67"/>
        <v>6.9907407407407418E-3</v>
      </c>
      <c r="K1035" s="1"/>
    </row>
    <row r="1036" spans="1:11" x14ac:dyDescent="0.25">
      <c r="A1036" s="6">
        <v>7085993</v>
      </c>
      <c r="B1036" t="str">
        <f t="shared" si="64"/>
        <v>stacjonarny</v>
      </c>
      <c r="C1036">
        <f t="shared" si="65"/>
        <v>0</v>
      </c>
      <c r="D1036">
        <f t="shared" si="66"/>
        <v>0</v>
      </c>
      <c r="E1036" s="1">
        <v>42933</v>
      </c>
      <c r="F1036" s="2">
        <v>0.40719907407407407</v>
      </c>
      <c r="G1036" s="2">
        <v>0.41578703703703701</v>
      </c>
      <c r="H1036" s="2">
        <f t="shared" si="67"/>
        <v>8.5879629629629362E-3</v>
      </c>
      <c r="K1036" s="1"/>
    </row>
    <row r="1037" spans="1:11" x14ac:dyDescent="0.25">
      <c r="A1037" s="6">
        <v>73460179</v>
      </c>
      <c r="B1037" t="str">
        <f t="shared" si="64"/>
        <v>komorkowy</v>
      </c>
      <c r="C1037">
        <f t="shared" si="65"/>
        <v>0</v>
      </c>
      <c r="D1037">
        <f t="shared" si="66"/>
        <v>0</v>
      </c>
      <c r="E1037" s="1">
        <v>42933</v>
      </c>
      <c r="F1037" s="2">
        <v>0.41060185185185183</v>
      </c>
      <c r="G1037" s="2">
        <v>0.41334490740740742</v>
      </c>
      <c r="H1037" s="2">
        <f t="shared" si="67"/>
        <v>2.7430555555555958E-3</v>
      </c>
      <c r="K1037" s="1"/>
    </row>
    <row r="1038" spans="1:11" x14ac:dyDescent="0.25">
      <c r="A1038" s="6">
        <v>5983034</v>
      </c>
      <c r="B1038" t="str">
        <f t="shared" si="64"/>
        <v>stacjonarny</v>
      </c>
      <c r="C1038">
        <f t="shared" si="65"/>
        <v>0</v>
      </c>
      <c r="D1038">
        <f t="shared" si="66"/>
        <v>0</v>
      </c>
      <c r="E1038" s="1">
        <v>42933</v>
      </c>
      <c r="F1038" s="2">
        <v>0.41253472222222221</v>
      </c>
      <c r="G1038" s="2">
        <v>0.41753472222222221</v>
      </c>
      <c r="H1038" s="2">
        <f t="shared" si="67"/>
        <v>5.0000000000000044E-3</v>
      </c>
      <c r="K1038" s="1"/>
    </row>
    <row r="1039" spans="1:11" x14ac:dyDescent="0.25">
      <c r="A1039" s="6">
        <v>16724936</v>
      </c>
      <c r="B1039" t="str">
        <f t="shared" si="64"/>
        <v>komorkowy</v>
      </c>
      <c r="C1039">
        <f t="shared" si="65"/>
        <v>0</v>
      </c>
      <c r="D1039">
        <f t="shared" si="66"/>
        <v>0</v>
      </c>
      <c r="E1039" s="1">
        <v>42933</v>
      </c>
      <c r="F1039" s="2">
        <v>0.41317129629629629</v>
      </c>
      <c r="G1039" s="2">
        <v>0.41466435185185185</v>
      </c>
      <c r="H1039" s="2">
        <f t="shared" si="67"/>
        <v>1.4930555555555669E-3</v>
      </c>
      <c r="K1039" s="1"/>
    </row>
    <row r="1040" spans="1:11" x14ac:dyDescent="0.25">
      <c r="A1040" s="6">
        <v>19343766</v>
      </c>
      <c r="B1040" t="str">
        <f t="shared" si="64"/>
        <v>komorkowy</v>
      </c>
      <c r="C1040">
        <f t="shared" si="65"/>
        <v>0</v>
      </c>
      <c r="D1040">
        <f t="shared" si="66"/>
        <v>0</v>
      </c>
      <c r="E1040" s="1">
        <v>42933</v>
      </c>
      <c r="F1040" s="2">
        <v>0.41572916666666665</v>
      </c>
      <c r="G1040" s="2">
        <v>0.41825231481481484</v>
      </c>
      <c r="H1040" s="2">
        <f t="shared" si="67"/>
        <v>2.523148148148191E-3</v>
      </c>
      <c r="K1040" s="1"/>
    </row>
    <row r="1041" spans="1:11" x14ac:dyDescent="0.25">
      <c r="A1041" s="6">
        <v>7439955</v>
      </c>
      <c r="B1041" t="str">
        <f t="shared" si="64"/>
        <v>stacjonarny</v>
      </c>
      <c r="C1041">
        <f t="shared" si="65"/>
        <v>0</v>
      </c>
      <c r="D1041">
        <f t="shared" si="66"/>
        <v>0</v>
      </c>
      <c r="E1041" s="1">
        <v>42933</v>
      </c>
      <c r="F1041" s="2">
        <v>0.41716435185185186</v>
      </c>
      <c r="G1041" s="2">
        <v>0.4284722222222222</v>
      </c>
      <c r="H1041" s="2">
        <f t="shared" si="67"/>
        <v>1.1307870370370343E-2</v>
      </c>
      <c r="K1041" s="1"/>
    </row>
    <row r="1042" spans="1:11" x14ac:dyDescent="0.25">
      <c r="A1042" s="6">
        <v>7224275</v>
      </c>
      <c r="B1042" t="str">
        <f t="shared" si="64"/>
        <v>stacjonarny</v>
      </c>
      <c r="C1042">
        <f t="shared" si="65"/>
        <v>0</v>
      </c>
      <c r="D1042">
        <f t="shared" si="66"/>
        <v>0</v>
      </c>
      <c r="E1042" s="1">
        <v>42933</v>
      </c>
      <c r="F1042" s="2">
        <v>0.41899305555555555</v>
      </c>
      <c r="G1042" s="2">
        <v>0.41968749999999999</v>
      </c>
      <c r="H1042" s="2">
        <f t="shared" si="67"/>
        <v>6.9444444444444198E-4</v>
      </c>
      <c r="K1042" s="1"/>
    </row>
    <row r="1043" spans="1:11" x14ac:dyDescent="0.25">
      <c r="A1043" s="6">
        <v>1679471</v>
      </c>
      <c r="B1043" t="str">
        <f t="shared" si="64"/>
        <v>stacjonarny</v>
      </c>
      <c r="C1043">
        <f t="shared" si="65"/>
        <v>0</v>
      </c>
      <c r="D1043">
        <f t="shared" si="66"/>
        <v>0</v>
      </c>
      <c r="E1043" s="1">
        <v>42933</v>
      </c>
      <c r="F1043" s="2">
        <v>0.42386574074074074</v>
      </c>
      <c r="G1043" s="2">
        <v>0.42885416666666665</v>
      </c>
      <c r="H1043" s="2">
        <f t="shared" si="67"/>
        <v>4.9884259259259101E-3</v>
      </c>
      <c r="K1043" s="1"/>
    </row>
    <row r="1044" spans="1:11" x14ac:dyDescent="0.25">
      <c r="A1044" s="6">
        <v>6270159</v>
      </c>
      <c r="B1044" t="str">
        <f t="shared" si="64"/>
        <v>stacjonarny</v>
      </c>
      <c r="C1044">
        <f t="shared" si="65"/>
        <v>0</v>
      </c>
      <c r="D1044">
        <f t="shared" si="66"/>
        <v>0</v>
      </c>
      <c r="E1044" s="1">
        <v>42933</v>
      </c>
      <c r="F1044" s="2">
        <v>0.42664351851851851</v>
      </c>
      <c r="G1044" s="2">
        <v>0.42697916666666669</v>
      </c>
      <c r="H1044" s="2">
        <f t="shared" si="67"/>
        <v>3.3564814814818211E-4</v>
      </c>
      <c r="K1044" s="1"/>
    </row>
    <row r="1045" spans="1:11" x14ac:dyDescent="0.25">
      <c r="A1045" s="6">
        <v>1482340</v>
      </c>
      <c r="B1045" t="str">
        <f t="shared" si="64"/>
        <v>stacjonarny</v>
      </c>
      <c r="C1045">
        <f t="shared" si="65"/>
        <v>0</v>
      </c>
      <c r="D1045">
        <f t="shared" si="66"/>
        <v>0</v>
      </c>
      <c r="E1045" s="1">
        <v>42933</v>
      </c>
      <c r="F1045" s="2">
        <v>0.42983796296296295</v>
      </c>
      <c r="G1045" s="2">
        <v>0.43975694444444446</v>
      </c>
      <c r="H1045" s="2">
        <f t="shared" si="67"/>
        <v>9.9189814814815147E-3</v>
      </c>
      <c r="K1045" s="1"/>
    </row>
    <row r="1046" spans="1:11" x14ac:dyDescent="0.25">
      <c r="A1046" s="6">
        <v>28185580</v>
      </c>
      <c r="B1046" t="str">
        <f t="shared" si="64"/>
        <v>komorkowy</v>
      </c>
      <c r="C1046">
        <f t="shared" si="65"/>
        <v>0</v>
      </c>
      <c r="D1046">
        <f t="shared" si="66"/>
        <v>0</v>
      </c>
      <c r="E1046" s="1">
        <v>42933</v>
      </c>
      <c r="F1046" s="2">
        <v>0.43086805555555557</v>
      </c>
      <c r="G1046" s="2">
        <v>0.43388888888888888</v>
      </c>
      <c r="H1046" s="2">
        <f t="shared" si="67"/>
        <v>3.0208333333333059E-3</v>
      </c>
      <c r="K1046" s="1"/>
    </row>
    <row r="1047" spans="1:11" x14ac:dyDescent="0.25">
      <c r="A1047" s="6">
        <v>4222605</v>
      </c>
      <c r="B1047" t="str">
        <f t="shared" si="64"/>
        <v>stacjonarny</v>
      </c>
      <c r="C1047">
        <f t="shared" si="65"/>
        <v>0</v>
      </c>
      <c r="D1047">
        <f t="shared" si="66"/>
        <v>0</v>
      </c>
      <c r="E1047" s="1">
        <v>42933</v>
      </c>
      <c r="F1047" s="2">
        <v>0.43375000000000002</v>
      </c>
      <c r="G1047" s="2">
        <v>0.43592592592592594</v>
      </c>
      <c r="H1047" s="2">
        <f t="shared" si="67"/>
        <v>2.1759259259259145E-3</v>
      </c>
      <c r="K1047" s="1"/>
    </row>
    <row r="1048" spans="1:11" x14ac:dyDescent="0.25">
      <c r="A1048" s="6">
        <v>6689117</v>
      </c>
      <c r="B1048" t="str">
        <f t="shared" si="64"/>
        <v>stacjonarny</v>
      </c>
      <c r="C1048">
        <f t="shared" si="65"/>
        <v>0</v>
      </c>
      <c r="D1048">
        <f t="shared" si="66"/>
        <v>0</v>
      </c>
      <c r="E1048" s="1">
        <v>42933</v>
      </c>
      <c r="F1048" s="2">
        <v>0.43546296296296294</v>
      </c>
      <c r="G1048" s="2">
        <v>0.43662037037037038</v>
      </c>
      <c r="H1048" s="2">
        <f t="shared" si="67"/>
        <v>1.1574074074074403E-3</v>
      </c>
      <c r="K1048" s="1"/>
    </row>
    <row r="1049" spans="1:11" x14ac:dyDescent="0.25">
      <c r="A1049" s="6">
        <v>3785540</v>
      </c>
      <c r="B1049" t="str">
        <f t="shared" si="64"/>
        <v>stacjonarny</v>
      </c>
      <c r="C1049">
        <f t="shared" si="65"/>
        <v>0</v>
      </c>
      <c r="D1049">
        <f t="shared" si="66"/>
        <v>0</v>
      </c>
      <c r="E1049" s="1">
        <v>42933</v>
      </c>
      <c r="F1049" s="2">
        <v>0.43569444444444444</v>
      </c>
      <c r="G1049" s="2">
        <v>0.4362037037037037</v>
      </c>
      <c r="H1049" s="2">
        <f t="shared" si="67"/>
        <v>5.0925925925926485E-4</v>
      </c>
      <c r="K1049" s="1"/>
    </row>
    <row r="1050" spans="1:11" x14ac:dyDescent="0.25">
      <c r="A1050" s="6">
        <v>6151478</v>
      </c>
      <c r="B1050" t="str">
        <f t="shared" si="64"/>
        <v>stacjonarny</v>
      </c>
      <c r="C1050">
        <f t="shared" si="65"/>
        <v>0</v>
      </c>
      <c r="D1050">
        <f t="shared" si="66"/>
        <v>0</v>
      </c>
      <c r="E1050" s="1">
        <v>42933</v>
      </c>
      <c r="F1050" s="2">
        <v>0.44103009259259257</v>
      </c>
      <c r="G1050" s="2">
        <v>0.44807870370370373</v>
      </c>
      <c r="H1050" s="2">
        <f t="shared" si="67"/>
        <v>7.0486111111111582E-3</v>
      </c>
      <c r="K1050" s="1"/>
    </row>
    <row r="1051" spans="1:11" x14ac:dyDescent="0.25">
      <c r="A1051" s="6">
        <v>9926754</v>
      </c>
      <c r="B1051" t="str">
        <f t="shared" si="64"/>
        <v>stacjonarny</v>
      </c>
      <c r="C1051">
        <f t="shared" si="65"/>
        <v>0</v>
      </c>
      <c r="D1051">
        <f t="shared" si="66"/>
        <v>0</v>
      </c>
      <c r="E1051" s="1">
        <v>42933</v>
      </c>
      <c r="F1051" s="2">
        <v>0.44421296296296298</v>
      </c>
      <c r="G1051" s="2">
        <v>0.44739583333333333</v>
      </c>
      <c r="H1051" s="2">
        <f t="shared" si="67"/>
        <v>3.1828703703703498E-3</v>
      </c>
      <c r="K1051" s="1"/>
    </row>
    <row r="1052" spans="1:11" x14ac:dyDescent="0.25">
      <c r="A1052" s="6">
        <v>89098100</v>
      </c>
      <c r="B1052" t="str">
        <f t="shared" si="64"/>
        <v>komorkowy</v>
      </c>
      <c r="C1052">
        <f t="shared" si="65"/>
        <v>0</v>
      </c>
      <c r="D1052">
        <f t="shared" si="66"/>
        <v>0</v>
      </c>
      <c r="E1052" s="1">
        <v>42933</v>
      </c>
      <c r="F1052" s="2">
        <v>0.44609953703703703</v>
      </c>
      <c r="G1052" s="2">
        <v>0.44979166666666665</v>
      </c>
      <c r="H1052" s="2">
        <f t="shared" si="67"/>
        <v>3.6921296296296147E-3</v>
      </c>
      <c r="K1052" s="1"/>
    </row>
    <row r="1053" spans="1:11" x14ac:dyDescent="0.25">
      <c r="A1053" s="6">
        <v>6460935</v>
      </c>
      <c r="B1053" t="str">
        <f t="shared" si="64"/>
        <v>stacjonarny</v>
      </c>
      <c r="C1053">
        <f t="shared" si="65"/>
        <v>0</v>
      </c>
      <c r="D1053">
        <f t="shared" si="66"/>
        <v>0</v>
      </c>
      <c r="E1053" s="1">
        <v>42933</v>
      </c>
      <c r="F1053" s="2">
        <v>0.45122685185185185</v>
      </c>
      <c r="G1053" s="2">
        <v>0.45480324074074074</v>
      </c>
      <c r="H1053" s="2">
        <f t="shared" si="67"/>
        <v>3.5763888888888928E-3</v>
      </c>
      <c r="K1053" s="1"/>
    </row>
    <row r="1054" spans="1:11" x14ac:dyDescent="0.25">
      <c r="A1054" s="6">
        <v>83559673</v>
      </c>
      <c r="B1054" t="str">
        <f t="shared" si="64"/>
        <v>komorkowy</v>
      </c>
      <c r="C1054">
        <f t="shared" si="65"/>
        <v>0</v>
      </c>
      <c r="D1054">
        <f t="shared" si="66"/>
        <v>0</v>
      </c>
      <c r="E1054" s="1">
        <v>42933</v>
      </c>
      <c r="F1054" s="2">
        <v>0.45623842592592595</v>
      </c>
      <c r="G1054" s="2">
        <v>0.46062500000000001</v>
      </c>
      <c r="H1054" s="2">
        <f t="shared" si="67"/>
        <v>4.3865740740740566E-3</v>
      </c>
      <c r="K1054" s="1"/>
    </row>
    <row r="1055" spans="1:11" x14ac:dyDescent="0.25">
      <c r="A1055" s="6">
        <v>1661633</v>
      </c>
      <c r="B1055" t="str">
        <f t="shared" si="64"/>
        <v>stacjonarny</v>
      </c>
      <c r="C1055">
        <f t="shared" si="65"/>
        <v>0</v>
      </c>
      <c r="D1055">
        <f t="shared" si="66"/>
        <v>0</v>
      </c>
      <c r="E1055" s="1">
        <v>42933</v>
      </c>
      <c r="F1055" s="2">
        <v>0.4611574074074074</v>
      </c>
      <c r="G1055" s="2">
        <v>0.46372685185185186</v>
      </c>
      <c r="H1055" s="2">
        <f t="shared" si="67"/>
        <v>2.5694444444444575E-3</v>
      </c>
      <c r="K1055" s="1"/>
    </row>
    <row r="1056" spans="1:11" x14ac:dyDescent="0.25">
      <c r="A1056" s="6">
        <v>5809293</v>
      </c>
      <c r="B1056" t="str">
        <f t="shared" si="64"/>
        <v>stacjonarny</v>
      </c>
      <c r="C1056">
        <f t="shared" si="65"/>
        <v>0</v>
      </c>
      <c r="D1056">
        <f t="shared" si="66"/>
        <v>0</v>
      </c>
      <c r="E1056" s="1">
        <v>42933</v>
      </c>
      <c r="F1056" s="2">
        <v>0.46481481481481479</v>
      </c>
      <c r="G1056" s="2">
        <v>0.47425925925925927</v>
      </c>
      <c r="H1056" s="2">
        <f t="shared" si="67"/>
        <v>9.4444444444444775E-3</v>
      </c>
      <c r="K1056" s="1"/>
    </row>
    <row r="1057" spans="1:11" x14ac:dyDescent="0.25">
      <c r="A1057" s="6">
        <v>5790304</v>
      </c>
      <c r="B1057" t="str">
        <f t="shared" si="64"/>
        <v>stacjonarny</v>
      </c>
      <c r="C1057">
        <f t="shared" si="65"/>
        <v>0</v>
      </c>
      <c r="D1057">
        <f t="shared" si="66"/>
        <v>0</v>
      </c>
      <c r="E1057" s="1">
        <v>42933</v>
      </c>
      <c r="F1057" s="2">
        <v>0.46655092592592595</v>
      </c>
      <c r="G1057" s="2">
        <v>0.47357638888888887</v>
      </c>
      <c r="H1057" s="2">
        <f t="shared" si="67"/>
        <v>7.0254629629629139E-3</v>
      </c>
      <c r="K1057" s="1"/>
    </row>
    <row r="1058" spans="1:11" x14ac:dyDescent="0.25">
      <c r="A1058" s="6">
        <v>7088840</v>
      </c>
      <c r="B1058" t="str">
        <f t="shared" si="64"/>
        <v>stacjonarny</v>
      </c>
      <c r="C1058">
        <f t="shared" si="65"/>
        <v>0</v>
      </c>
      <c r="D1058">
        <f t="shared" si="66"/>
        <v>0</v>
      </c>
      <c r="E1058" s="1">
        <v>42933</v>
      </c>
      <c r="F1058" s="2">
        <v>0.46711805555555558</v>
      </c>
      <c r="G1058" s="2">
        <v>0.47856481481481483</v>
      </c>
      <c r="H1058" s="2">
        <f t="shared" si="67"/>
        <v>1.1446759259259254E-2</v>
      </c>
      <c r="K1058" s="1"/>
    </row>
    <row r="1059" spans="1:11" x14ac:dyDescent="0.25">
      <c r="A1059" s="6">
        <v>1302112</v>
      </c>
      <c r="B1059" t="str">
        <f t="shared" si="64"/>
        <v>stacjonarny</v>
      </c>
      <c r="C1059">
        <f t="shared" si="65"/>
        <v>0</v>
      </c>
      <c r="D1059">
        <f t="shared" si="66"/>
        <v>0</v>
      </c>
      <c r="E1059" s="1">
        <v>42933</v>
      </c>
      <c r="F1059" s="2">
        <v>0.46939814814814818</v>
      </c>
      <c r="G1059" s="2">
        <v>0.47047453703703701</v>
      </c>
      <c r="H1059" s="2">
        <f t="shared" si="67"/>
        <v>1.0763888888888351E-3</v>
      </c>
      <c r="K1059" s="1"/>
    </row>
    <row r="1060" spans="1:11" x14ac:dyDescent="0.25">
      <c r="A1060" s="6">
        <v>8299537</v>
      </c>
      <c r="B1060" t="str">
        <f t="shared" si="64"/>
        <v>stacjonarny</v>
      </c>
      <c r="C1060">
        <f t="shared" si="65"/>
        <v>0</v>
      </c>
      <c r="D1060">
        <f t="shared" si="66"/>
        <v>0</v>
      </c>
      <c r="E1060" s="1">
        <v>42933</v>
      </c>
      <c r="F1060" s="2">
        <v>0.47302083333333333</v>
      </c>
      <c r="G1060" s="2">
        <v>0.47939814814814813</v>
      </c>
      <c r="H1060" s="2">
        <f t="shared" si="67"/>
        <v>6.377314814814794E-3</v>
      </c>
      <c r="K1060" s="1"/>
    </row>
    <row r="1061" spans="1:11" x14ac:dyDescent="0.25">
      <c r="A1061" s="6">
        <v>1519891</v>
      </c>
      <c r="B1061" t="str">
        <f t="shared" si="64"/>
        <v>stacjonarny</v>
      </c>
      <c r="C1061">
        <f t="shared" si="65"/>
        <v>0</v>
      </c>
      <c r="D1061">
        <f t="shared" si="66"/>
        <v>0</v>
      </c>
      <c r="E1061" s="1">
        <v>42933</v>
      </c>
      <c r="F1061" s="2">
        <v>0.47604166666666664</v>
      </c>
      <c r="G1061" s="2">
        <v>0.48714120370370373</v>
      </c>
      <c r="H1061" s="2">
        <f t="shared" si="67"/>
        <v>1.1099537037037088E-2</v>
      </c>
      <c r="K1061" s="1"/>
    </row>
    <row r="1062" spans="1:11" x14ac:dyDescent="0.25">
      <c r="A1062" s="6">
        <v>29771613</v>
      </c>
      <c r="B1062" t="str">
        <f t="shared" si="64"/>
        <v>komorkowy</v>
      </c>
      <c r="C1062">
        <f t="shared" si="65"/>
        <v>0</v>
      </c>
      <c r="D1062">
        <f t="shared" si="66"/>
        <v>0</v>
      </c>
      <c r="E1062" s="1">
        <v>42933</v>
      </c>
      <c r="F1062" s="2">
        <v>0.47706018518518517</v>
      </c>
      <c r="G1062" s="2">
        <v>0.47881944444444446</v>
      </c>
      <c r="H1062" s="2">
        <f t="shared" si="67"/>
        <v>1.7592592592592937E-3</v>
      </c>
      <c r="K1062" s="1"/>
    </row>
    <row r="1063" spans="1:11" x14ac:dyDescent="0.25">
      <c r="A1063" s="6">
        <v>9088045</v>
      </c>
      <c r="B1063" t="str">
        <f t="shared" si="64"/>
        <v>stacjonarny</v>
      </c>
      <c r="C1063">
        <f t="shared" si="65"/>
        <v>0</v>
      </c>
      <c r="D1063">
        <f t="shared" si="66"/>
        <v>0</v>
      </c>
      <c r="E1063" s="1">
        <v>42933</v>
      </c>
      <c r="F1063" s="2">
        <v>0.47714120370370372</v>
      </c>
      <c r="G1063" s="2">
        <v>0.47728009259259258</v>
      </c>
      <c r="H1063" s="2">
        <f t="shared" si="67"/>
        <v>1.3888888888885509E-4</v>
      </c>
      <c r="K1063" s="1"/>
    </row>
    <row r="1064" spans="1:11" x14ac:dyDescent="0.25">
      <c r="A1064" s="6">
        <v>59864989</v>
      </c>
      <c r="B1064" t="str">
        <f t="shared" si="64"/>
        <v>komorkowy</v>
      </c>
      <c r="C1064">
        <f t="shared" si="65"/>
        <v>0</v>
      </c>
      <c r="D1064">
        <f t="shared" si="66"/>
        <v>0</v>
      </c>
      <c r="E1064" s="1">
        <v>42933</v>
      </c>
      <c r="F1064" s="2">
        <v>0.48119212962962965</v>
      </c>
      <c r="G1064" s="2">
        <v>0.49038194444444444</v>
      </c>
      <c r="H1064" s="2">
        <f t="shared" si="67"/>
        <v>9.1898148148147896E-3</v>
      </c>
      <c r="K1064" s="1"/>
    </row>
    <row r="1065" spans="1:11" x14ac:dyDescent="0.25">
      <c r="A1065" s="6">
        <v>2741017</v>
      </c>
      <c r="B1065" t="str">
        <f t="shared" si="64"/>
        <v>stacjonarny</v>
      </c>
      <c r="C1065">
        <f t="shared" si="65"/>
        <v>0</v>
      </c>
      <c r="D1065">
        <f t="shared" si="66"/>
        <v>0</v>
      </c>
      <c r="E1065" s="1">
        <v>42933</v>
      </c>
      <c r="F1065" s="2">
        <v>0.4838425925925926</v>
      </c>
      <c r="G1065" s="2">
        <v>0.49107638888888888</v>
      </c>
      <c r="H1065" s="2">
        <f t="shared" si="67"/>
        <v>7.2337962962962798E-3</v>
      </c>
      <c r="K1065" s="1"/>
    </row>
    <row r="1066" spans="1:11" x14ac:dyDescent="0.25">
      <c r="A1066" s="6">
        <v>1092699</v>
      </c>
      <c r="B1066" t="str">
        <f t="shared" si="64"/>
        <v>stacjonarny</v>
      </c>
      <c r="C1066">
        <f t="shared" si="65"/>
        <v>0</v>
      </c>
      <c r="D1066">
        <f t="shared" si="66"/>
        <v>0</v>
      </c>
      <c r="E1066" s="1">
        <v>42933</v>
      </c>
      <c r="F1066" s="2">
        <v>0.48430555555555554</v>
      </c>
      <c r="G1066" s="2">
        <v>0.49372685185185183</v>
      </c>
      <c r="H1066" s="2">
        <f t="shared" si="67"/>
        <v>9.4212962962962887E-3</v>
      </c>
      <c r="K1066" s="1"/>
    </row>
    <row r="1067" spans="1:11" x14ac:dyDescent="0.25">
      <c r="A1067" s="6">
        <v>3284714</v>
      </c>
      <c r="B1067" t="str">
        <f t="shared" si="64"/>
        <v>stacjonarny</v>
      </c>
      <c r="C1067">
        <f t="shared" si="65"/>
        <v>0</v>
      </c>
      <c r="D1067">
        <f t="shared" si="66"/>
        <v>0</v>
      </c>
      <c r="E1067" s="1">
        <v>42933</v>
      </c>
      <c r="F1067" s="2">
        <v>0.48533564814814817</v>
      </c>
      <c r="G1067" s="2">
        <v>0.49689814814814814</v>
      </c>
      <c r="H1067" s="2">
        <f t="shared" si="67"/>
        <v>1.1562499999999976E-2</v>
      </c>
      <c r="K1067" s="1"/>
    </row>
    <row r="1068" spans="1:11" x14ac:dyDescent="0.25">
      <c r="A1068" s="6">
        <v>1822675725</v>
      </c>
      <c r="B1068" t="str">
        <f t="shared" si="64"/>
        <v>zagraniczny</v>
      </c>
      <c r="C1068">
        <f t="shared" si="65"/>
        <v>0</v>
      </c>
      <c r="D1068">
        <f t="shared" si="66"/>
        <v>0</v>
      </c>
      <c r="E1068" s="1">
        <v>42933</v>
      </c>
      <c r="F1068" s="2">
        <v>0.48542824074074076</v>
      </c>
      <c r="G1068" s="2">
        <v>0.49109953703703701</v>
      </c>
      <c r="H1068" s="2">
        <f t="shared" si="67"/>
        <v>5.6712962962962576E-3</v>
      </c>
      <c r="K1068" s="1"/>
    </row>
    <row r="1069" spans="1:11" x14ac:dyDescent="0.25">
      <c r="A1069" s="6">
        <v>9595194</v>
      </c>
      <c r="B1069" t="str">
        <f t="shared" si="64"/>
        <v>stacjonarny</v>
      </c>
      <c r="C1069">
        <f t="shared" si="65"/>
        <v>0</v>
      </c>
      <c r="D1069">
        <f t="shared" si="66"/>
        <v>0</v>
      </c>
      <c r="E1069" s="1">
        <v>42933</v>
      </c>
      <c r="F1069" s="2">
        <v>0.48833333333333334</v>
      </c>
      <c r="G1069" s="2">
        <v>0.49960648148148146</v>
      </c>
      <c r="H1069" s="2">
        <f t="shared" si="67"/>
        <v>1.1273148148148115E-2</v>
      </c>
      <c r="K1069" s="1"/>
    </row>
    <row r="1070" spans="1:11" x14ac:dyDescent="0.25">
      <c r="A1070" s="6">
        <v>5015921</v>
      </c>
      <c r="B1070" t="str">
        <f t="shared" si="64"/>
        <v>stacjonarny</v>
      </c>
      <c r="C1070">
        <f t="shared" si="65"/>
        <v>0</v>
      </c>
      <c r="D1070">
        <f t="shared" si="66"/>
        <v>0</v>
      </c>
      <c r="E1070" s="1">
        <v>42933</v>
      </c>
      <c r="F1070" s="2">
        <v>0.49362268518518521</v>
      </c>
      <c r="G1070" s="2">
        <v>0.49859953703703702</v>
      </c>
      <c r="H1070" s="2">
        <f t="shared" si="67"/>
        <v>4.9768518518518157E-3</v>
      </c>
      <c r="K1070" s="1"/>
    </row>
    <row r="1071" spans="1:11" x14ac:dyDescent="0.25">
      <c r="A1071" s="6">
        <v>1015521</v>
      </c>
      <c r="B1071" t="str">
        <f t="shared" si="64"/>
        <v>stacjonarny</v>
      </c>
      <c r="C1071">
        <f t="shared" si="65"/>
        <v>0</v>
      </c>
      <c r="D1071">
        <f t="shared" si="66"/>
        <v>0</v>
      </c>
      <c r="E1071" s="1">
        <v>42933</v>
      </c>
      <c r="F1071" s="2">
        <v>0.49658564814814815</v>
      </c>
      <c r="G1071" s="2">
        <v>0.49866898148148148</v>
      </c>
      <c r="H1071" s="2">
        <f t="shared" si="67"/>
        <v>2.0833333333333259E-3</v>
      </c>
      <c r="K1071" s="1"/>
    </row>
    <row r="1072" spans="1:11" x14ac:dyDescent="0.25">
      <c r="A1072" s="6">
        <v>4452201</v>
      </c>
      <c r="B1072" t="str">
        <f t="shared" si="64"/>
        <v>stacjonarny</v>
      </c>
      <c r="C1072">
        <f t="shared" si="65"/>
        <v>0</v>
      </c>
      <c r="D1072">
        <f t="shared" si="66"/>
        <v>0</v>
      </c>
      <c r="E1072" s="1">
        <v>42933</v>
      </c>
      <c r="F1072" s="2">
        <v>0.49760416666666668</v>
      </c>
      <c r="G1072" s="2">
        <v>0.50249999999999995</v>
      </c>
      <c r="H1072" s="2">
        <f t="shared" si="67"/>
        <v>4.895833333333266E-3</v>
      </c>
      <c r="K1072" s="1"/>
    </row>
    <row r="1073" spans="1:11" x14ac:dyDescent="0.25">
      <c r="A1073" s="6">
        <v>6801890</v>
      </c>
      <c r="B1073" t="str">
        <f t="shared" si="64"/>
        <v>stacjonarny</v>
      </c>
      <c r="C1073">
        <f t="shared" si="65"/>
        <v>0</v>
      </c>
      <c r="D1073">
        <f t="shared" si="66"/>
        <v>0</v>
      </c>
      <c r="E1073" s="1">
        <v>42933</v>
      </c>
      <c r="F1073" s="2">
        <v>0.50284722222222222</v>
      </c>
      <c r="G1073" s="2">
        <v>0.50736111111111115</v>
      </c>
      <c r="H1073" s="2">
        <f t="shared" si="67"/>
        <v>4.5138888888889284E-3</v>
      </c>
      <c r="K1073" s="1"/>
    </row>
    <row r="1074" spans="1:11" x14ac:dyDescent="0.25">
      <c r="A1074" s="6">
        <v>19638469</v>
      </c>
      <c r="B1074" t="str">
        <f t="shared" si="64"/>
        <v>komorkowy</v>
      </c>
      <c r="C1074">
        <f t="shared" si="65"/>
        <v>0</v>
      </c>
      <c r="D1074">
        <f t="shared" si="66"/>
        <v>0</v>
      </c>
      <c r="E1074" s="1">
        <v>42933</v>
      </c>
      <c r="F1074" s="2">
        <v>0.50768518518518524</v>
      </c>
      <c r="G1074" s="2">
        <v>0.51817129629629632</v>
      </c>
      <c r="H1074" s="2">
        <f t="shared" si="67"/>
        <v>1.0486111111111085E-2</v>
      </c>
      <c r="K1074" s="1"/>
    </row>
    <row r="1075" spans="1:11" x14ac:dyDescent="0.25">
      <c r="A1075" s="6">
        <v>43897696</v>
      </c>
      <c r="B1075" t="str">
        <f t="shared" si="64"/>
        <v>komorkowy</v>
      </c>
      <c r="C1075">
        <f t="shared" si="65"/>
        <v>0</v>
      </c>
      <c r="D1075">
        <f t="shared" si="66"/>
        <v>0</v>
      </c>
      <c r="E1075" s="1">
        <v>42933</v>
      </c>
      <c r="F1075" s="2">
        <v>0.51271990740740736</v>
      </c>
      <c r="G1075" s="2">
        <v>0.51616898148148149</v>
      </c>
      <c r="H1075" s="2">
        <f t="shared" si="67"/>
        <v>3.4490740740741321E-3</v>
      </c>
      <c r="K1075" s="1"/>
    </row>
    <row r="1076" spans="1:11" x14ac:dyDescent="0.25">
      <c r="A1076" s="6">
        <v>8253162</v>
      </c>
      <c r="B1076" t="str">
        <f t="shared" si="64"/>
        <v>stacjonarny</v>
      </c>
      <c r="C1076">
        <f t="shared" si="65"/>
        <v>0</v>
      </c>
      <c r="D1076">
        <f t="shared" si="66"/>
        <v>0</v>
      </c>
      <c r="E1076" s="1">
        <v>42933</v>
      </c>
      <c r="F1076" s="2">
        <v>0.51468749999999996</v>
      </c>
      <c r="G1076" s="2">
        <v>0.5204050925925926</v>
      </c>
      <c r="H1076" s="2">
        <f t="shared" si="67"/>
        <v>5.7175925925926352E-3</v>
      </c>
      <c r="K1076" s="1"/>
    </row>
    <row r="1077" spans="1:11" x14ac:dyDescent="0.25">
      <c r="A1077" s="6">
        <v>42038927</v>
      </c>
      <c r="B1077" t="str">
        <f t="shared" si="64"/>
        <v>komorkowy</v>
      </c>
      <c r="C1077">
        <f t="shared" si="65"/>
        <v>0</v>
      </c>
      <c r="D1077">
        <f t="shared" si="66"/>
        <v>0</v>
      </c>
      <c r="E1077" s="1">
        <v>42933</v>
      </c>
      <c r="F1077" s="2">
        <v>0.51894675925925926</v>
      </c>
      <c r="G1077" s="2">
        <v>0.52336805555555554</v>
      </c>
      <c r="H1077" s="2">
        <f t="shared" si="67"/>
        <v>4.4212962962962843E-3</v>
      </c>
      <c r="K1077" s="1"/>
    </row>
    <row r="1078" spans="1:11" x14ac:dyDescent="0.25">
      <c r="A1078" s="6">
        <v>5758962</v>
      </c>
      <c r="B1078" t="str">
        <f t="shared" si="64"/>
        <v>stacjonarny</v>
      </c>
      <c r="C1078">
        <f t="shared" si="65"/>
        <v>0</v>
      </c>
      <c r="D1078">
        <f t="shared" si="66"/>
        <v>0</v>
      </c>
      <c r="E1078" s="1">
        <v>42933</v>
      </c>
      <c r="F1078" s="2">
        <v>0.52460648148148148</v>
      </c>
      <c r="G1078" s="2">
        <v>0.53292824074074074</v>
      </c>
      <c r="H1078" s="2">
        <f t="shared" si="67"/>
        <v>8.3217592592592649E-3</v>
      </c>
      <c r="K1078" s="1"/>
    </row>
    <row r="1079" spans="1:11" x14ac:dyDescent="0.25">
      <c r="A1079" s="6">
        <v>77096634</v>
      </c>
      <c r="B1079" t="str">
        <f t="shared" si="64"/>
        <v>komorkowy</v>
      </c>
      <c r="C1079">
        <f t="shared" si="65"/>
        <v>0</v>
      </c>
      <c r="D1079">
        <f t="shared" si="66"/>
        <v>0</v>
      </c>
      <c r="E1079" s="1">
        <v>42933</v>
      </c>
      <c r="F1079" s="2">
        <v>0.52500000000000002</v>
      </c>
      <c r="G1079" s="2">
        <v>0.53071759259259255</v>
      </c>
      <c r="H1079" s="2">
        <f t="shared" si="67"/>
        <v>5.7175925925925242E-3</v>
      </c>
      <c r="K1079" s="1"/>
    </row>
    <row r="1080" spans="1:11" x14ac:dyDescent="0.25">
      <c r="A1080" s="6">
        <v>8041809</v>
      </c>
      <c r="B1080" t="str">
        <f t="shared" si="64"/>
        <v>stacjonarny</v>
      </c>
      <c r="C1080">
        <f t="shared" si="65"/>
        <v>0</v>
      </c>
      <c r="D1080">
        <f t="shared" si="66"/>
        <v>0</v>
      </c>
      <c r="E1080" s="1">
        <v>42933</v>
      </c>
      <c r="F1080" s="2">
        <v>0.52508101851851852</v>
      </c>
      <c r="G1080" s="2">
        <v>0.53238425925925925</v>
      </c>
      <c r="H1080" s="2">
        <f t="shared" si="67"/>
        <v>7.3032407407407351E-3</v>
      </c>
      <c r="K1080" s="1"/>
    </row>
    <row r="1081" spans="1:11" x14ac:dyDescent="0.25">
      <c r="A1081" s="6">
        <v>6735390</v>
      </c>
      <c r="B1081" t="str">
        <f t="shared" si="64"/>
        <v>stacjonarny</v>
      </c>
      <c r="C1081">
        <f t="shared" si="65"/>
        <v>0</v>
      </c>
      <c r="D1081">
        <f t="shared" si="66"/>
        <v>0</v>
      </c>
      <c r="E1081" s="1">
        <v>42933</v>
      </c>
      <c r="F1081" s="2">
        <v>0.52612268518518523</v>
      </c>
      <c r="G1081" s="2">
        <v>0.52849537037037042</v>
      </c>
      <c r="H1081" s="2">
        <f t="shared" si="67"/>
        <v>2.372685185185186E-3</v>
      </c>
      <c r="K1081" s="1"/>
    </row>
    <row r="1082" spans="1:11" x14ac:dyDescent="0.25">
      <c r="A1082" s="6">
        <v>93811207</v>
      </c>
      <c r="B1082" t="str">
        <f t="shared" si="64"/>
        <v>komorkowy</v>
      </c>
      <c r="C1082">
        <f t="shared" si="65"/>
        <v>0</v>
      </c>
      <c r="D1082">
        <f t="shared" si="66"/>
        <v>0</v>
      </c>
      <c r="E1082" s="1">
        <v>42933</v>
      </c>
      <c r="F1082" s="2">
        <v>0.52707175925925931</v>
      </c>
      <c r="G1082" s="2">
        <v>0.53460648148148149</v>
      </c>
      <c r="H1082" s="2">
        <f t="shared" si="67"/>
        <v>7.5347222222221788E-3</v>
      </c>
      <c r="K1082" s="1"/>
    </row>
    <row r="1083" spans="1:11" x14ac:dyDescent="0.25">
      <c r="A1083" s="6">
        <v>8079505</v>
      </c>
      <c r="B1083" t="str">
        <f t="shared" si="64"/>
        <v>stacjonarny</v>
      </c>
      <c r="C1083">
        <f t="shared" si="65"/>
        <v>0</v>
      </c>
      <c r="D1083">
        <f t="shared" si="66"/>
        <v>0</v>
      </c>
      <c r="E1083" s="1">
        <v>42933</v>
      </c>
      <c r="F1083" s="2">
        <v>0.52788194444444447</v>
      </c>
      <c r="G1083" s="2">
        <v>0.52908564814814818</v>
      </c>
      <c r="H1083" s="2">
        <f t="shared" si="67"/>
        <v>1.2037037037037068E-3</v>
      </c>
      <c r="K1083" s="1"/>
    </row>
    <row r="1084" spans="1:11" x14ac:dyDescent="0.25">
      <c r="A1084" s="6">
        <v>3348581</v>
      </c>
      <c r="B1084" t="str">
        <f t="shared" si="64"/>
        <v>stacjonarny</v>
      </c>
      <c r="C1084">
        <f t="shared" si="65"/>
        <v>0</v>
      </c>
      <c r="D1084">
        <f t="shared" si="66"/>
        <v>0</v>
      </c>
      <c r="E1084" s="1">
        <v>42933</v>
      </c>
      <c r="F1084" s="2">
        <v>0.53150462962962963</v>
      </c>
      <c r="G1084" s="2">
        <v>0.54208333333333336</v>
      </c>
      <c r="H1084" s="2">
        <f t="shared" si="67"/>
        <v>1.0578703703703729E-2</v>
      </c>
      <c r="K1084" s="1"/>
    </row>
    <row r="1085" spans="1:11" x14ac:dyDescent="0.25">
      <c r="A1085" s="6">
        <v>13484133</v>
      </c>
      <c r="B1085" t="str">
        <f t="shared" si="64"/>
        <v>komorkowy</v>
      </c>
      <c r="C1085">
        <f t="shared" si="65"/>
        <v>0</v>
      </c>
      <c r="D1085">
        <f t="shared" si="66"/>
        <v>0</v>
      </c>
      <c r="E1085" s="1">
        <v>42933</v>
      </c>
      <c r="F1085" s="2">
        <v>0.53174768518518523</v>
      </c>
      <c r="G1085" s="2">
        <v>0.53931712962962963</v>
      </c>
      <c r="H1085" s="2">
        <f t="shared" si="67"/>
        <v>7.5694444444444065E-3</v>
      </c>
      <c r="K1085" s="1"/>
    </row>
    <row r="1086" spans="1:11" x14ac:dyDescent="0.25">
      <c r="A1086" s="6">
        <v>3017523</v>
      </c>
      <c r="B1086" t="str">
        <f t="shared" si="64"/>
        <v>stacjonarny</v>
      </c>
      <c r="C1086">
        <f t="shared" si="65"/>
        <v>0</v>
      </c>
      <c r="D1086">
        <f t="shared" si="66"/>
        <v>0</v>
      </c>
      <c r="E1086" s="1">
        <v>42933</v>
      </c>
      <c r="F1086" s="2">
        <v>0.53241898148148148</v>
      </c>
      <c r="G1086" s="2">
        <v>0.54011574074074076</v>
      </c>
      <c r="H1086" s="2">
        <f t="shared" si="67"/>
        <v>7.6967592592592782E-3</v>
      </c>
      <c r="K1086" s="1"/>
    </row>
    <row r="1087" spans="1:11" x14ac:dyDescent="0.25">
      <c r="A1087" s="6">
        <v>5464497</v>
      </c>
      <c r="B1087" t="str">
        <f t="shared" si="64"/>
        <v>stacjonarny</v>
      </c>
      <c r="C1087">
        <f t="shared" si="65"/>
        <v>0</v>
      </c>
      <c r="D1087">
        <f t="shared" si="66"/>
        <v>0</v>
      </c>
      <c r="E1087" s="1">
        <v>42933</v>
      </c>
      <c r="F1087" s="2">
        <v>0.53608796296296302</v>
      </c>
      <c r="G1087" s="2">
        <v>0.53657407407407409</v>
      </c>
      <c r="H1087" s="2">
        <f t="shared" si="67"/>
        <v>4.8611111111107608E-4</v>
      </c>
      <c r="K1087" s="1"/>
    </row>
    <row r="1088" spans="1:11" x14ac:dyDescent="0.25">
      <c r="A1088" s="6">
        <v>5744567</v>
      </c>
      <c r="B1088" t="str">
        <f t="shared" si="64"/>
        <v>stacjonarny</v>
      </c>
      <c r="C1088">
        <f t="shared" si="65"/>
        <v>0</v>
      </c>
      <c r="D1088">
        <f t="shared" si="66"/>
        <v>0</v>
      </c>
      <c r="E1088" s="1">
        <v>42933</v>
      </c>
      <c r="F1088" s="2">
        <v>0.54048611111111111</v>
      </c>
      <c r="G1088" s="2">
        <v>0.54954861111111108</v>
      </c>
      <c r="H1088" s="2">
        <f t="shared" si="67"/>
        <v>9.0624999999999734E-3</v>
      </c>
      <c r="K1088" s="1"/>
    </row>
    <row r="1089" spans="1:11" x14ac:dyDescent="0.25">
      <c r="A1089" s="6">
        <v>5107477025</v>
      </c>
      <c r="B1089" t="str">
        <f t="shared" si="64"/>
        <v>zagraniczny</v>
      </c>
      <c r="C1089">
        <f t="shared" si="65"/>
        <v>0</v>
      </c>
      <c r="D1089">
        <f t="shared" si="66"/>
        <v>0</v>
      </c>
      <c r="E1089" s="1">
        <v>42933</v>
      </c>
      <c r="F1089" s="2">
        <v>0.54495370370370366</v>
      </c>
      <c r="G1089" s="2">
        <v>0.5471759259259259</v>
      </c>
      <c r="H1089" s="2">
        <f t="shared" si="67"/>
        <v>2.2222222222222365E-3</v>
      </c>
      <c r="K1089" s="1"/>
    </row>
    <row r="1090" spans="1:11" x14ac:dyDescent="0.25">
      <c r="A1090" s="6">
        <v>1332884</v>
      </c>
      <c r="B1090" t="str">
        <f t="shared" ref="B1090:B1153" si="68">IF(LEN(A1090)=7, "stacjonarny", IF(LEN(A1090)=8, "komorkowy", "zagraniczny"))</f>
        <v>stacjonarny</v>
      </c>
      <c r="C1090">
        <f t="shared" si="65"/>
        <v>0</v>
      </c>
      <c r="D1090">
        <f t="shared" si="66"/>
        <v>0</v>
      </c>
      <c r="E1090" s="1">
        <v>42933</v>
      </c>
      <c r="F1090" s="2">
        <v>0.546412037037037</v>
      </c>
      <c r="G1090" s="2">
        <v>0.54829861111111111</v>
      </c>
      <c r="H1090" s="2">
        <f t="shared" si="67"/>
        <v>1.8865740740741099E-3</v>
      </c>
      <c r="K1090" s="1"/>
    </row>
    <row r="1091" spans="1:11" x14ac:dyDescent="0.25">
      <c r="A1091" s="6">
        <v>38823305</v>
      </c>
      <c r="B1091" t="str">
        <f t="shared" si="68"/>
        <v>komorkowy</v>
      </c>
      <c r="C1091">
        <f t="shared" ref="C1091:C1154" si="69">IF(LEFT(A1091,2)="12",1,0)</f>
        <v>0</v>
      </c>
      <c r="D1091">
        <f t="shared" ref="D1091:D1154" si="70">IF(AND(C1091=1,B1091="stacjonarny"),1,0)</f>
        <v>0</v>
      </c>
      <c r="E1091" s="1">
        <v>42933</v>
      </c>
      <c r="F1091" s="2">
        <v>0.54907407407407405</v>
      </c>
      <c r="G1091" s="2">
        <v>0.55969907407407404</v>
      </c>
      <c r="H1091" s="2">
        <f t="shared" ref="H1091:H1154" si="71">G1091-F1091</f>
        <v>1.0624999999999996E-2</v>
      </c>
      <c r="K1091" s="1"/>
    </row>
    <row r="1092" spans="1:11" x14ac:dyDescent="0.25">
      <c r="A1092" s="6">
        <v>7160339</v>
      </c>
      <c r="B1092" t="str">
        <f t="shared" si="68"/>
        <v>stacjonarny</v>
      </c>
      <c r="C1092">
        <f t="shared" si="69"/>
        <v>0</v>
      </c>
      <c r="D1092">
        <f t="shared" si="70"/>
        <v>0</v>
      </c>
      <c r="E1092" s="1">
        <v>42933</v>
      </c>
      <c r="F1092" s="2">
        <v>0.55456018518518524</v>
      </c>
      <c r="G1092" s="2">
        <v>0.5642476851851852</v>
      </c>
      <c r="H1092" s="2">
        <f t="shared" si="71"/>
        <v>9.68749999999996E-3</v>
      </c>
      <c r="K1092" s="1"/>
    </row>
    <row r="1093" spans="1:11" x14ac:dyDescent="0.25">
      <c r="A1093" s="6">
        <v>43277353</v>
      </c>
      <c r="B1093" t="str">
        <f t="shared" si="68"/>
        <v>komorkowy</v>
      </c>
      <c r="C1093">
        <f t="shared" si="69"/>
        <v>0</v>
      </c>
      <c r="D1093">
        <f t="shared" si="70"/>
        <v>0</v>
      </c>
      <c r="E1093" s="1">
        <v>42933</v>
      </c>
      <c r="F1093" s="2">
        <v>0.55519675925925926</v>
      </c>
      <c r="G1093" s="2">
        <v>0.55809027777777775</v>
      </c>
      <c r="H1093" s="2">
        <f t="shared" si="71"/>
        <v>2.8935185185184897E-3</v>
      </c>
      <c r="K1093" s="1"/>
    </row>
    <row r="1094" spans="1:11" x14ac:dyDescent="0.25">
      <c r="A1094" s="6">
        <v>8749135</v>
      </c>
      <c r="B1094" t="str">
        <f t="shared" si="68"/>
        <v>stacjonarny</v>
      </c>
      <c r="C1094">
        <f t="shared" si="69"/>
        <v>0</v>
      </c>
      <c r="D1094">
        <f t="shared" si="70"/>
        <v>0</v>
      </c>
      <c r="E1094" s="1">
        <v>42933</v>
      </c>
      <c r="F1094" s="2">
        <v>0.56083333333333329</v>
      </c>
      <c r="G1094" s="2">
        <v>0.56415509259259256</v>
      </c>
      <c r="H1094" s="2">
        <f t="shared" si="71"/>
        <v>3.3217592592592604E-3</v>
      </c>
      <c r="K1094" s="1"/>
    </row>
    <row r="1095" spans="1:11" x14ac:dyDescent="0.25">
      <c r="A1095" s="6">
        <v>16977213</v>
      </c>
      <c r="B1095" t="str">
        <f t="shared" si="68"/>
        <v>komorkowy</v>
      </c>
      <c r="C1095">
        <f t="shared" si="69"/>
        <v>0</v>
      </c>
      <c r="D1095">
        <f t="shared" si="70"/>
        <v>0</v>
      </c>
      <c r="E1095" s="1">
        <v>42933</v>
      </c>
      <c r="F1095" s="2">
        <v>0.56462962962962959</v>
      </c>
      <c r="G1095" s="2">
        <v>0.56841435185185185</v>
      </c>
      <c r="H1095" s="2">
        <f t="shared" si="71"/>
        <v>3.7847222222222587E-3</v>
      </c>
      <c r="K1095" s="1"/>
    </row>
    <row r="1096" spans="1:11" x14ac:dyDescent="0.25">
      <c r="A1096" s="6">
        <v>13221411</v>
      </c>
      <c r="B1096" t="str">
        <f t="shared" si="68"/>
        <v>komorkowy</v>
      </c>
      <c r="C1096">
        <f t="shared" si="69"/>
        <v>0</v>
      </c>
      <c r="D1096">
        <f t="shared" si="70"/>
        <v>0</v>
      </c>
      <c r="E1096" s="1">
        <v>42933</v>
      </c>
      <c r="F1096" s="2">
        <v>0.56511574074074078</v>
      </c>
      <c r="G1096" s="2">
        <v>0.57498842592592592</v>
      </c>
      <c r="H1096" s="2">
        <f t="shared" si="71"/>
        <v>9.8726851851851372E-3</v>
      </c>
      <c r="K1096" s="1"/>
    </row>
    <row r="1097" spans="1:11" x14ac:dyDescent="0.25">
      <c r="A1097" s="6">
        <v>2653312</v>
      </c>
      <c r="B1097" t="str">
        <f t="shared" si="68"/>
        <v>stacjonarny</v>
      </c>
      <c r="C1097">
        <f t="shared" si="69"/>
        <v>0</v>
      </c>
      <c r="D1097">
        <f t="shared" si="70"/>
        <v>0</v>
      </c>
      <c r="E1097" s="1">
        <v>42933</v>
      </c>
      <c r="F1097" s="2">
        <v>0.56893518518518515</v>
      </c>
      <c r="G1097" s="2">
        <v>0.57289351851851855</v>
      </c>
      <c r="H1097" s="2">
        <f t="shared" si="71"/>
        <v>3.958333333333397E-3</v>
      </c>
      <c r="K1097" s="1"/>
    </row>
    <row r="1098" spans="1:11" x14ac:dyDescent="0.25">
      <c r="A1098" s="6">
        <v>4187727</v>
      </c>
      <c r="B1098" t="str">
        <f t="shared" si="68"/>
        <v>stacjonarny</v>
      </c>
      <c r="C1098">
        <f t="shared" si="69"/>
        <v>0</v>
      </c>
      <c r="D1098">
        <f t="shared" si="70"/>
        <v>0</v>
      </c>
      <c r="E1098" s="1">
        <v>42933</v>
      </c>
      <c r="F1098" s="2">
        <v>0.57038194444444446</v>
      </c>
      <c r="G1098" s="2">
        <v>0.57341435185185186</v>
      </c>
      <c r="H1098" s="2">
        <f t="shared" si="71"/>
        <v>3.0324074074074003E-3</v>
      </c>
      <c r="K1098" s="1"/>
    </row>
    <row r="1099" spans="1:11" x14ac:dyDescent="0.25">
      <c r="A1099" s="6">
        <v>4370146</v>
      </c>
      <c r="B1099" t="str">
        <f t="shared" si="68"/>
        <v>stacjonarny</v>
      </c>
      <c r="C1099">
        <f t="shared" si="69"/>
        <v>0</v>
      </c>
      <c r="D1099">
        <f t="shared" si="70"/>
        <v>0</v>
      </c>
      <c r="E1099" s="1">
        <v>42933</v>
      </c>
      <c r="F1099" s="2">
        <v>0.57170138888888888</v>
      </c>
      <c r="G1099" s="2">
        <v>0.58212962962962966</v>
      </c>
      <c r="H1099" s="2">
        <f t="shared" si="71"/>
        <v>1.042824074074078E-2</v>
      </c>
      <c r="K1099" s="1"/>
    </row>
    <row r="1100" spans="1:11" x14ac:dyDescent="0.25">
      <c r="A1100" s="6">
        <v>5725773</v>
      </c>
      <c r="B1100" t="str">
        <f t="shared" si="68"/>
        <v>stacjonarny</v>
      </c>
      <c r="C1100">
        <f t="shared" si="69"/>
        <v>0</v>
      </c>
      <c r="D1100">
        <f t="shared" si="70"/>
        <v>0</v>
      </c>
      <c r="E1100" s="1">
        <v>42933</v>
      </c>
      <c r="F1100" s="2">
        <v>0.57466435185185183</v>
      </c>
      <c r="G1100" s="2">
        <v>0.58538194444444447</v>
      </c>
      <c r="H1100" s="2">
        <f t="shared" si="71"/>
        <v>1.071759259259264E-2</v>
      </c>
      <c r="K1100" s="1"/>
    </row>
    <row r="1101" spans="1:11" x14ac:dyDescent="0.25">
      <c r="A1101" s="6">
        <v>6345014</v>
      </c>
      <c r="B1101" t="str">
        <f t="shared" si="68"/>
        <v>stacjonarny</v>
      </c>
      <c r="C1101">
        <f t="shared" si="69"/>
        <v>0</v>
      </c>
      <c r="D1101">
        <f t="shared" si="70"/>
        <v>0</v>
      </c>
      <c r="E1101" s="1">
        <v>42933</v>
      </c>
      <c r="F1101" s="2">
        <v>0.58010416666666664</v>
      </c>
      <c r="G1101" s="2">
        <v>0.58166666666666667</v>
      </c>
      <c r="H1101" s="2">
        <f t="shared" si="71"/>
        <v>1.5625000000000222E-3</v>
      </c>
      <c r="K1101" s="1"/>
    </row>
    <row r="1102" spans="1:11" x14ac:dyDescent="0.25">
      <c r="A1102" s="6">
        <v>7507831</v>
      </c>
      <c r="B1102" t="str">
        <f t="shared" si="68"/>
        <v>stacjonarny</v>
      </c>
      <c r="C1102">
        <f t="shared" si="69"/>
        <v>0</v>
      </c>
      <c r="D1102">
        <f t="shared" si="70"/>
        <v>0</v>
      </c>
      <c r="E1102" s="1">
        <v>42933</v>
      </c>
      <c r="F1102" s="2">
        <v>0.58545138888888892</v>
      </c>
      <c r="G1102" s="2">
        <v>0.59214120370370371</v>
      </c>
      <c r="H1102" s="2">
        <f t="shared" si="71"/>
        <v>6.6898148148147873E-3</v>
      </c>
      <c r="K1102" s="1"/>
    </row>
    <row r="1103" spans="1:11" x14ac:dyDescent="0.25">
      <c r="A1103" s="6">
        <v>1198407</v>
      </c>
      <c r="B1103" t="str">
        <f t="shared" si="68"/>
        <v>stacjonarny</v>
      </c>
      <c r="C1103">
        <f t="shared" si="69"/>
        <v>0</v>
      </c>
      <c r="D1103">
        <f t="shared" si="70"/>
        <v>0</v>
      </c>
      <c r="E1103" s="1">
        <v>42933</v>
      </c>
      <c r="F1103" s="2">
        <v>0.59004629629629635</v>
      </c>
      <c r="G1103" s="2">
        <v>0.59799768518518515</v>
      </c>
      <c r="H1103" s="2">
        <f t="shared" si="71"/>
        <v>7.9513888888887996E-3</v>
      </c>
      <c r="K1103" s="1"/>
    </row>
    <row r="1104" spans="1:11" x14ac:dyDescent="0.25">
      <c r="A1104" s="6">
        <v>4055319</v>
      </c>
      <c r="B1104" t="str">
        <f t="shared" si="68"/>
        <v>stacjonarny</v>
      </c>
      <c r="C1104">
        <f t="shared" si="69"/>
        <v>0</v>
      </c>
      <c r="D1104">
        <f t="shared" si="70"/>
        <v>0</v>
      </c>
      <c r="E1104" s="1">
        <v>42933</v>
      </c>
      <c r="F1104" s="2">
        <v>0.59471064814814811</v>
      </c>
      <c r="G1104" s="2">
        <v>0.60624999999999996</v>
      </c>
      <c r="H1104" s="2">
        <f t="shared" si="71"/>
        <v>1.1539351851851842E-2</v>
      </c>
      <c r="K1104" s="1"/>
    </row>
    <row r="1105" spans="1:11" x14ac:dyDescent="0.25">
      <c r="A1105" s="6">
        <v>70730125</v>
      </c>
      <c r="B1105" t="str">
        <f t="shared" si="68"/>
        <v>komorkowy</v>
      </c>
      <c r="C1105">
        <f t="shared" si="69"/>
        <v>0</v>
      </c>
      <c r="D1105">
        <f t="shared" si="70"/>
        <v>0</v>
      </c>
      <c r="E1105" s="1">
        <v>42933</v>
      </c>
      <c r="F1105" s="2">
        <v>0.59578703703703706</v>
      </c>
      <c r="G1105" s="2">
        <v>0.59671296296296295</v>
      </c>
      <c r="H1105" s="2">
        <f t="shared" si="71"/>
        <v>9.2592592592588563E-4</v>
      </c>
      <c r="K1105" s="1"/>
    </row>
    <row r="1106" spans="1:11" x14ac:dyDescent="0.25">
      <c r="A1106" s="6">
        <v>45158089</v>
      </c>
      <c r="B1106" t="str">
        <f t="shared" si="68"/>
        <v>komorkowy</v>
      </c>
      <c r="C1106">
        <f t="shared" si="69"/>
        <v>0</v>
      </c>
      <c r="D1106">
        <f t="shared" si="70"/>
        <v>0</v>
      </c>
      <c r="E1106" s="1">
        <v>42933</v>
      </c>
      <c r="F1106" s="2">
        <v>0.5962615740740741</v>
      </c>
      <c r="G1106" s="2">
        <v>0.59780092592592593</v>
      </c>
      <c r="H1106" s="2">
        <f t="shared" si="71"/>
        <v>1.5393518518518334E-3</v>
      </c>
      <c r="K1106" s="1"/>
    </row>
    <row r="1107" spans="1:11" x14ac:dyDescent="0.25">
      <c r="A1107" s="6">
        <v>8159631</v>
      </c>
      <c r="B1107" t="str">
        <f t="shared" si="68"/>
        <v>stacjonarny</v>
      </c>
      <c r="C1107">
        <f t="shared" si="69"/>
        <v>0</v>
      </c>
      <c r="D1107">
        <f t="shared" si="70"/>
        <v>0</v>
      </c>
      <c r="E1107" s="1">
        <v>42933</v>
      </c>
      <c r="F1107" s="2">
        <v>0.59650462962962958</v>
      </c>
      <c r="G1107" s="2">
        <v>0.60144675925925928</v>
      </c>
      <c r="H1107" s="2">
        <f t="shared" si="71"/>
        <v>4.942129629629699E-3</v>
      </c>
      <c r="K1107" s="1"/>
    </row>
    <row r="1108" spans="1:11" x14ac:dyDescent="0.25">
      <c r="A1108" s="6">
        <v>2645518</v>
      </c>
      <c r="B1108" t="str">
        <f t="shared" si="68"/>
        <v>stacjonarny</v>
      </c>
      <c r="C1108">
        <f t="shared" si="69"/>
        <v>0</v>
      </c>
      <c r="D1108">
        <f t="shared" si="70"/>
        <v>0</v>
      </c>
      <c r="E1108" s="1">
        <v>42933</v>
      </c>
      <c r="F1108" s="2">
        <v>0.60025462962962961</v>
      </c>
      <c r="G1108" s="2">
        <v>0.60699074074074078</v>
      </c>
      <c r="H1108" s="2">
        <f t="shared" si="71"/>
        <v>6.7361111111111649E-3</v>
      </c>
      <c r="K1108" s="1"/>
    </row>
    <row r="1109" spans="1:11" x14ac:dyDescent="0.25">
      <c r="A1109" s="6">
        <v>5199929</v>
      </c>
      <c r="B1109" t="str">
        <f t="shared" si="68"/>
        <v>stacjonarny</v>
      </c>
      <c r="C1109">
        <f t="shared" si="69"/>
        <v>0</v>
      </c>
      <c r="D1109">
        <f t="shared" si="70"/>
        <v>0</v>
      </c>
      <c r="E1109" s="1">
        <v>42933</v>
      </c>
      <c r="F1109" s="2">
        <v>0.60083333333333333</v>
      </c>
      <c r="G1109" s="2">
        <v>0.60971064814814813</v>
      </c>
      <c r="H1109" s="2">
        <f t="shared" si="71"/>
        <v>8.8773148148147962E-3</v>
      </c>
      <c r="K1109" s="1"/>
    </row>
    <row r="1110" spans="1:11" x14ac:dyDescent="0.25">
      <c r="A1110" s="6">
        <v>4039284</v>
      </c>
      <c r="B1110" t="str">
        <f t="shared" si="68"/>
        <v>stacjonarny</v>
      </c>
      <c r="C1110">
        <f t="shared" si="69"/>
        <v>0</v>
      </c>
      <c r="D1110">
        <f t="shared" si="70"/>
        <v>0</v>
      </c>
      <c r="E1110" s="1">
        <v>42933</v>
      </c>
      <c r="F1110" s="2">
        <v>0.6021643518518518</v>
      </c>
      <c r="G1110" s="2">
        <v>0.60636574074074079</v>
      </c>
      <c r="H1110" s="2">
        <f t="shared" si="71"/>
        <v>4.2013888888889905E-3</v>
      </c>
      <c r="K1110" s="1"/>
    </row>
    <row r="1111" spans="1:11" x14ac:dyDescent="0.25">
      <c r="A1111" s="6">
        <v>1431491</v>
      </c>
      <c r="B1111" t="str">
        <f t="shared" si="68"/>
        <v>stacjonarny</v>
      </c>
      <c r="C1111">
        <f t="shared" si="69"/>
        <v>0</v>
      </c>
      <c r="D1111">
        <f t="shared" si="70"/>
        <v>0</v>
      </c>
      <c r="E1111" s="1">
        <v>42933</v>
      </c>
      <c r="F1111" s="2">
        <v>0.60495370370370372</v>
      </c>
      <c r="G1111" s="2">
        <v>0.61153935185185182</v>
      </c>
      <c r="H1111" s="2">
        <f t="shared" si="71"/>
        <v>6.5856481481481044E-3</v>
      </c>
      <c r="K1111" s="1"/>
    </row>
    <row r="1112" spans="1:11" x14ac:dyDescent="0.25">
      <c r="A1112" s="6">
        <v>39848401</v>
      </c>
      <c r="B1112" t="str">
        <f t="shared" si="68"/>
        <v>komorkowy</v>
      </c>
      <c r="C1112">
        <f t="shared" si="69"/>
        <v>0</v>
      </c>
      <c r="D1112">
        <f t="shared" si="70"/>
        <v>0</v>
      </c>
      <c r="E1112" s="1">
        <v>42933</v>
      </c>
      <c r="F1112" s="2">
        <v>0.60783564814814817</v>
      </c>
      <c r="G1112" s="2">
        <v>0.60846064814814815</v>
      </c>
      <c r="H1112" s="2">
        <f t="shared" si="71"/>
        <v>6.2499999999998668E-4</v>
      </c>
      <c r="K1112" s="1"/>
    </row>
    <row r="1113" spans="1:11" x14ac:dyDescent="0.25">
      <c r="A1113" s="6">
        <v>9225807</v>
      </c>
      <c r="B1113" t="str">
        <f t="shared" si="68"/>
        <v>stacjonarny</v>
      </c>
      <c r="C1113">
        <f t="shared" si="69"/>
        <v>0</v>
      </c>
      <c r="D1113">
        <f t="shared" si="70"/>
        <v>0</v>
      </c>
      <c r="E1113" s="1">
        <v>42933</v>
      </c>
      <c r="F1113" s="2">
        <v>0.61261574074074077</v>
      </c>
      <c r="G1113" s="2">
        <v>0.62048611111111107</v>
      </c>
      <c r="H1113" s="2">
        <f t="shared" si="71"/>
        <v>7.8703703703703054E-3</v>
      </c>
      <c r="K1113" s="1"/>
    </row>
    <row r="1114" spans="1:11" x14ac:dyDescent="0.25">
      <c r="A1114" s="6">
        <v>7986409</v>
      </c>
      <c r="B1114" t="str">
        <f t="shared" si="68"/>
        <v>stacjonarny</v>
      </c>
      <c r="C1114">
        <f t="shared" si="69"/>
        <v>0</v>
      </c>
      <c r="D1114">
        <f t="shared" si="70"/>
        <v>0</v>
      </c>
      <c r="E1114" s="1">
        <v>42933</v>
      </c>
      <c r="F1114" s="2">
        <v>0.61473379629629632</v>
      </c>
      <c r="G1114" s="2">
        <v>0.61660879629629628</v>
      </c>
      <c r="H1114" s="2">
        <f t="shared" si="71"/>
        <v>1.87499999999996E-3</v>
      </c>
      <c r="K1114" s="1"/>
    </row>
    <row r="1115" spans="1:11" x14ac:dyDescent="0.25">
      <c r="A1115" s="6">
        <v>54554135</v>
      </c>
      <c r="B1115" t="str">
        <f t="shared" si="68"/>
        <v>komorkowy</v>
      </c>
      <c r="C1115">
        <f t="shared" si="69"/>
        <v>0</v>
      </c>
      <c r="D1115">
        <f t="shared" si="70"/>
        <v>0</v>
      </c>
      <c r="E1115" s="1">
        <v>42933</v>
      </c>
      <c r="F1115" s="2">
        <v>0.61943287037037043</v>
      </c>
      <c r="G1115" s="2">
        <v>0.62100694444444449</v>
      </c>
      <c r="H1115" s="2">
        <f t="shared" si="71"/>
        <v>1.5740740740740611E-3</v>
      </c>
      <c r="K1115" s="1"/>
    </row>
    <row r="1116" spans="1:11" x14ac:dyDescent="0.25">
      <c r="A1116" s="6">
        <v>1263080</v>
      </c>
      <c r="B1116" t="str">
        <f t="shared" si="68"/>
        <v>stacjonarny</v>
      </c>
      <c r="C1116">
        <f t="shared" si="69"/>
        <v>1</v>
      </c>
      <c r="D1116">
        <f t="shared" si="70"/>
        <v>1</v>
      </c>
      <c r="E1116" s="1">
        <v>42933</v>
      </c>
      <c r="F1116" s="2">
        <v>0.62292824074074071</v>
      </c>
      <c r="G1116" s="2">
        <v>0.63358796296296294</v>
      </c>
      <c r="H1116" s="2">
        <f t="shared" si="71"/>
        <v>1.0659722222222223E-2</v>
      </c>
      <c r="K1116" s="1"/>
    </row>
    <row r="1117" spans="1:11" x14ac:dyDescent="0.25">
      <c r="A1117" s="6">
        <v>97953696</v>
      </c>
      <c r="B1117" t="str">
        <f t="shared" si="68"/>
        <v>komorkowy</v>
      </c>
      <c r="C1117">
        <f t="shared" si="69"/>
        <v>0</v>
      </c>
      <c r="D1117">
        <f t="shared" si="70"/>
        <v>0</v>
      </c>
      <c r="E1117" s="1">
        <v>42933</v>
      </c>
      <c r="F1117" s="2">
        <v>0.62657407407407406</v>
      </c>
      <c r="G1117" s="2">
        <v>0.62818287037037035</v>
      </c>
      <c r="H1117" s="2">
        <f t="shared" si="71"/>
        <v>1.6087962962962887E-3</v>
      </c>
      <c r="K1117" s="1"/>
    </row>
    <row r="1118" spans="1:11" x14ac:dyDescent="0.25">
      <c r="A1118" s="6">
        <v>9772824</v>
      </c>
      <c r="B1118" t="str">
        <f t="shared" si="68"/>
        <v>stacjonarny</v>
      </c>
      <c r="C1118">
        <f t="shared" si="69"/>
        <v>0</v>
      </c>
      <c r="D1118">
        <f t="shared" si="70"/>
        <v>0</v>
      </c>
      <c r="E1118" s="1">
        <v>42934</v>
      </c>
      <c r="F1118" s="2">
        <v>0.33355324074074072</v>
      </c>
      <c r="G1118" s="2">
        <v>0.33859953703703705</v>
      </c>
      <c r="H1118" s="2">
        <f t="shared" si="71"/>
        <v>5.0462962962963265E-3</v>
      </c>
      <c r="K1118" s="1"/>
    </row>
    <row r="1119" spans="1:11" x14ac:dyDescent="0.25">
      <c r="A1119" s="6">
        <v>1157434</v>
      </c>
      <c r="B1119" t="str">
        <f t="shared" si="68"/>
        <v>stacjonarny</v>
      </c>
      <c r="C1119">
        <f t="shared" si="69"/>
        <v>0</v>
      </c>
      <c r="D1119">
        <f t="shared" si="70"/>
        <v>0</v>
      </c>
      <c r="E1119" s="1">
        <v>42934</v>
      </c>
      <c r="F1119" s="2">
        <v>0.33582175925925928</v>
      </c>
      <c r="G1119" s="2">
        <v>0.34681712962962963</v>
      </c>
      <c r="H1119" s="2">
        <f t="shared" si="71"/>
        <v>1.099537037037035E-2</v>
      </c>
      <c r="K1119" s="1"/>
    </row>
    <row r="1120" spans="1:11" x14ac:dyDescent="0.25">
      <c r="A1120" s="6">
        <v>8799928507</v>
      </c>
      <c r="B1120" t="str">
        <f t="shared" si="68"/>
        <v>zagraniczny</v>
      </c>
      <c r="C1120">
        <f t="shared" si="69"/>
        <v>0</v>
      </c>
      <c r="D1120">
        <f t="shared" si="70"/>
        <v>0</v>
      </c>
      <c r="E1120" s="1">
        <v>42934</v>
      </c>
      <c r="F1120" s="2">
        <v>0.34134259259259259</v>
      </c>
      <c r="G1120" s="2">
        <v>0.34931712962962963</v>
      </c>
      <c r="H1120" s="2">
        <f t="shared" si="71"/>
        <v>7.9745370370370439E-3</v>
      </c>
      <c r="K1120" s="1"/>
    </row>
    <row r="1121" spans="1:11" x14ac:dyDescent="0.25">
      <c r="A1121" s="6">
        <v>5372891</v>
      </c>
      <c r="B1121" t="str">
        <f t="shared" si="68"/>
        <v>stacjonarny</v>
      </c>
      <c r="C1121">
        <f t="shared" si="69"/>
        <v>0</v>
      </c>
      <c r="D1121">
        <f t="shared" si="70"/>
        <v>0</v>
      </c>
      <c r="E1121" s="1">
        <v>42934</v>
      </c>
      <c r="F1121" s="2">
        <v>0.34586805555555555</v>
      </c>
      <c r="G1121" s="2">
        <v>0.34684027777777776</v>
      </c>
      <c r="H1121" s="2">
        <f t="shared" si="71"/>
        <v>9.7222222222220767E-4</v>
      </c>
      <c r="K1121" s="1"/>
    </row>
    <row r="1122" spans="1:11" x14ac:dyDescent="0.25">
      <c r="A1122" s="6">
        <v>2663800</v>
      </c>
      <c r="B1122" t="str">
        <f t="shared" si="68"/>
        <v>stacjonarny</v>
      </c>
      <c r="C1122">
        <f t="shared" si="69"/>
        <v>0</v>
      </c>
      <c r="D1122">
        <f t="shared" si="70"/>
        <v>0</v>
      </c>
      <c r="E1122" s="1">
        <v>42934</v>
      </c>
      <c r="F1122" s="2">
        <v>0.35076388888888888</v>
      </c>
      <c r="G1122" s="2">
        <v>0.35863425925925924</v>
      </c>
      <c r="H1122" s="2">
        <f t="shared" si="71"/>
        <v>7.8703703703703609E-3</v>
      </c>
      <c r="K1122" s="1"/>
    </row>
    <row r="1123" spans="1:11" x14ac:dyDescent="0.25">
      <c r="A1123" s="6">
        <v>32779069</v>
      </c>
      <c r="B1123" t="str">
        <f t="shared" si="68"/>
        <v>komorkowy</v>
      </c>
      <c r="C1123">
        <f t="shared" si="69"/>
        <v>0</v>
      </c>
      <c r="D1123">
        <f t="shared" si="70"/>
        <v>0</v>
      </c>
      <c r="E1123" s="1">
        <v>42934</v>
      </c>
      <c r="F1123" s="2">
        <v>0.35430555555555554</v>
      </c>
      <c r="G1123" s="2">
        <v>0.36318287037037039</v>
      </c>
      <c r="H1123" s="2">
        <f t="shared" si="71"/>
        <v>8.8773148148148517E-3</v>
      </c>
      <c r="K1123" s="1"/>
    </row>
    <row r="1124" spans="1:11" x14ac:dyDescent="0.25">
      <c r="A1124" s="6">
        <v>8261808</v>
      </c>
      <c r="B1124" t="str">
        <f t="shared" si="68"/>
        <v>stacjonarny</v>
      </c>
      <c r="C1124">
        <f t="shared" si="69"/>
        <v>0</v>
      </c>
      <c r="D1124">
        <f t="shared" si="70"/>
        <v>0</v>
      </c>
      <c r="E1124" s="1">
        <v>42934</v>
      </c>
      <c r="F1124" s="2">
        <v>0.35718749999999999</v>
      </c>
      <c r="G1124" s="2">
        <v>0.36684027777777778</v>
      </c>
      <c r="H1124" s="2">
        <f t="shared" si="71"/>
        <v>9.6527777777777879E-3</v>
      </c>
      <c r="K1124" s="1"/>
    </row>
    <row r="1125" spans="1:11" x14ac:dyDescent="0.25">
      <c r="A1125" s="6">
        <v>7321543</v>
      </c>
      <c r="B1125" t="str">
        <f t="shared" si="68"/>
        <v>stacjonarny</v>
      </c>
      <c r="C1125">
        <f t="shared" si="69"/>
        <v>0</v>
      </c>
      <c r="D1125">
        <f t="shared" si="70"/>
        <v>0</v>
      </c>
      <c r="E1125" s="1">
        <v>42934</v>
      </c>
      <c r="F1125" s="2">
        <v>0.36151620370370369</v>
      </c>
      <c r="G1125" s="2">
        <v>0.3712037037037037</v>
      </c>
      <c r="H1125" s="2">
        <f t="shared" si="71"/>
        <v>9.6875000000000155E-3</v>
      </c>
      <c r="K1125" s="1"/>
    </row>
    <row r="1126" spans="1:11" x14ac:dyDescent="0.25">
      <c r="A1126" s="6">
        <v>7513392</v>
      </c>
      <c r="B1126" t="str">
        <f t="shared" si="68"/>
        <v>stacjonarny</v>
      </c>
      <c r="C1126">
        <f t="shared" si="69"/>
        <v>0</v>
      </c>
      <c r="D1126">
        <f t="shared" si="70"/>
        <v>0</v>
      </c>
      <c r="E1126" s="1">
        <v>42934</v>
      </c>
      <c r="F1126" s="2">
        <v>0.36421296296296296</v>
      </c>
      <c r="G1126" s="2">
        <v>0.36640046296296297</v>
      </c>
      <c r="H1126" s="2">
        <f t="shared" si="71"/>
        <v>2.1875000000000089E-3</v>
      </c>
      <c r="K1126" s="1"/>
    </row>
    <row r="1127" spans="1:11" x14ac:dyDescent="0.25">
      <c r="A1127" s="6">
        <v>77036136</v>
      </c>
      <c r="B1127" t="str">
        <f t="shared" si="68"/>
        <v>komorkowy</v>
      </c>
      <c r="C1127">
        <f t="shared" si="69"/>
        <v>0</v>
      </c>
      <c r="D1127">
        <f t="shared" si="70"/>
        <v>0</v>
      </c>
      <c r="E1127" s="1">
        <v>42934</v>
      </c>
      <c r="F1127" s="2">
        <v>0.36937500000000001</v>
      </c>
      <c r="G1127" s="2">
        <v>0.37585648148148149</v>
      </c>
      <c r="H1127" s="2">
        <f t="shared" si="71"/>
        <v>6.481481481481477E-3</v>
      </c>
      <c r="K1127" s="1"/>
    </row>
    <row r="1128" spans="1:11" x14ac:dyDescent="0.25">
      <c r="A1128" s="6">
        <v>1700508</v>
      </c>
      <c r="B1128" t="str">
        <f t="shared" si="68"/>
        <v>stacjonarny</v>
      </c>
      <c r="C1128">
        <f t="shared" si="69"/>
        <v>0</v>
      </c>
      <c r="D1128">
        <f t="shared" si="70"/>
        <v>0</v>
      </c>
      <c r="E1128" s="1">
        <v>42934</v>
      </c>
      <c r="F1128" s="2">
        <v>0.37179398148148146</v>
      </c>
      <c r="G1128" s="2">
        <v>0.3828125</v>
      </c>
      <c r="H1128" s="2">
        <f t="shared" si="71"/>
        <v>1.1018518518518539E-2</v>
      </c>
      <c r="K1128" s="1"/>
    </row>
    <row r="1129" spans="1:11" x14ac:dyDescent="0.25">
      <c r="A1129" s="6">
        <v>7872182</v>
      </c>
      <c r="B1129" t="str">
        <f t="shared" si="68"/>
        <v>stacjonarny</v>
      </c>
      <c r="C1129">
        <f t="shared" si="69"/>
        <v>0</v>
      </c>
      <c r="D1129">
        <f t="shared" si="70"/>
        <v>0</v>
      </c>
      <c r="E1129" s="1">
        <v>42934</v>
      </c>
      <c r="F1129" s="2">
        <v>0.3772800925925926</v>
      </c>
      <c r="G1129" s="2">
        <v>0.3837962962962963</v>
      </c>
      <c r="H1129" s="2">
        <f t="shared" si="71"/>
        <v>6.5162037037037046E-3</v>
      </c>
      <c r="K1129" s="1"/>
    </row>
    <row r="1130" spans="1:11" x14ac:dyDescent="0.25">
      <c r="A1130" s="6">
        <v>84513035</v>
      </c>
      <c r="B1130" t="str">
        <f t="shared" si="68"/>
        <v>komorkowy</v>
      </c>
      <c r="C1130">
        <f t="shared" si="69"/>
        <v>0</v>
      </c>
      <c r="D1130">
        <f t="shared" si="70"/>
        <v>0</v>
      </c>
      <c r="E1130" s="1">
        <v>42934</v>
      </c>
      <c r="F1130" s="2">
        <v>0.38017361111111109</v>
      </c>
      <c r="G1130" s="2">
        <v>0.38291666666666668</v>
      </c>
      <c r="H1130" s="2">
        <f t="shared" si="71"/>
        <v>2.7430555555555958E-3</v>
      </c>
      <c r="K1130" s="1"/>
    </row>
    <row r="1131" spans="1:11" x14ac:dyDescent="0.25">
      <c r="A1131" s="6">
        <v>1775586</v>
      </c>
      <c r="B1131" t="str">
        <f t="shared" si="68"/>
        <v>stacjonarny</v>
      </c>
      <c r="C1131">
        <f t="shared" si="69"/>
        <v>0</v>
      </c>
      <c r="D1131">
        <f t="shared" si="70"/>
        <v>0</v>
      </c>
      <c r="E1131" s="1">
        <v>42934</v>
      </c>
      <c r="F1131" s="2">
        <v>0.38452546296296297</v>
      </c>
      <c r="G1131" s="2">
        <v>0.38978009259259261</v>
      </c>
      <c r="H1131" s="2">
        <f t="shared" si="71"/>
        <v>5.2546296296296369E-3</v>
      </c>
      <c r="K1131" s="1"/>
    </row>
    <row r="1132" spans="1:11" x14ac:dyDescent="0.25">
      <c r="A1132" s="6">
        <v>1225082</v>
      </c>
      <c r="B1132" t="str">
        <f t="shared" si="68"/>
        <v>stacjonarny</v>
      </c>
      <c r="C1132">
        <f t="shared" si="69"/>
        <v>1</v>
      </c>
      <c r="D1132">
        <f t="shared" si="70"/>
        <v>1</v>
      </c>
      <c r="E1132" s="1">
        <v>42934</v>
      </c>
      <c r="F1132" s="2">
        <v>0.38516203703703705</v>
      </c>
      <c r="G1132" s="2">
        <v>0.38653935185185184</v>
      </c>
      <c r="H1132" s="2">
        <f t="shared" si="71"/>
        <v>1.3773148148147896E-3</v>
      </c>
      <c r="K1132" s="1"/>
    </row>
    <row r="1133" spans="1:11" x14ac:dyDescent="0.25">
      <c r="A1133" s="6">
        <v>1586675</v>
      </c>
      <c r="B1133" t="str">
        <f t="shared" si="68"/>
        <v>stacjonarny</v>
      </c>
      <c r="C1133">
        <f t="shared" si="69"/>
        <v>0</v>
      </c>
      <c r="D1133">
        <f t="shared" si="70"/>
        <v>0</v>
      </c>
      <c r="E1133" s="1">
        <v>42934</v>
      </c>
      <c r="F1133" s="2">
        <v>0.39093749999999999</v>
      </c>
      <c r="G1133" s="2">
        <v>0.39787037037037037</v>
      </c>
      <c r="H1133" s="2">
        <f t="shared" si="71"/>
        <v>6.9328703703703809E-3</v>
      </c>
      <c r="K1133" s="1"/>
    </row>
    <row r="1134" spans="1:11" x14ac:dyDescent="0.25">
      <c r="A1134" s="6">
        <v>2672229</v>
      </c>
      <c r="B1134" t="str">
        <f t="shared" si="68"/>
        <v>stacjonarny</v>
      </c>
      <c r="C1134">
        <f t="shared" si="69"/>
        <v>0</v>
      </c>
      <c r="D1134">
        <f t="shared" si="70"/>
        <v>0</v>
      </c>
      <c r="E1134" s="1">
        <v>42934</v>
      </c>
      <c r="F1134" s="2">
        <v>0.39552083333333332</v>
      </c>
      <c r="G1134" s="2">
        <v>0.4007175925925926</v>
      </c>
      <c r="H1134" s="2">
        <f t="shared" si="71"/>
        <v>5.196759259259276E-3</v>
      </c>
      <c r="K1134" s="1"/>
    </row>
    <row r="1135" spans="1:11" x14ac:dyDescent="0.25">
      <c r="A1135" s="6">
        <v>2443869</v>
      </c>
      <c r="B1135" t="str">
        <f t="shared" si="68"/>
        <v>stacjonarny</v>
      </c>
      <c r="C1135">
        <f t="shared" si="69"/>
        <v>0</v>
      </c>
      <c r="D1135">
        <f t="shared" si="70"/>
        <v>0</v>
      </c>
      <c r="E1135" s="1">
        <v>42934</v>
      </c>
      <c r="F1135" s="2">
        <v>0.39964120370370371</v>
      </c>
      <c r="G1135" s="2">
        <v>0.4074652777777778</v>
      </c>
      <c r="H1135" s="2">
        <f t="shared" si="71"/>
        <v>7.8240740740740944E-3</v>
      </c>
      <c r="K1135" s="1"/>
    </row>
    <row r="1136" spans="1:11" x14ac:dyDescent="0.25">
      <c r="A1136" s="6">
        <v>7166411</v>
      </c>
      <c r="B1136" t="str">
        <f t="shared" si="68"/>
        <v>stacjonarny</v>
      </c>
      <c r="C1136">
        <f t="shared" si="69"/>
        <v>0</v>
      </c>
      <c r="D1136">
        <f t="shared" si="70"/>
        <v>0</v>
      </c>
      <c r="E1136" s="1">
        <v>42934</v>
      </c>
      <c r="F1136" s="2">
        <v>0.40263888888888888</v>
      </c>
      <c r="G1136" s="2">
        <v>0.40846064814814814</v>
      </c>
      <c r="H1136" s="2">
        <f t="shared" si="71"/>
        <v>5.8217592592592626E-3</v>
      </c>
      <c r="K1136" s="1"/>
    </row>
    <row r="1137" spans="1:11" x14ac:dyDescent="0.25">
      <c r="A1137" s="6">
        <v>4657345</v>
      </c>
      <c r="B1137" t="str">
        <f t="shared" si="68"/>
        <v>stacjonarny</v>
      </c>
      <c r="C1137">
        <f t="shared" si="69"/>
        <v>0</v>
      </c>
      <c r="D1137">
        <f t="shared" si="70"/>
        <v>0</v>
      </c>
      <c r="E1137" s="1">
        <v>42934</v>
      </c>
      <c r="F1137" s="2">
        <v>0.40328703703703705</v>
      </c>
      <c r="G1137" s="2">
        <v>0.4140625</v>
      </c>
      <c r="H1137" s="2">
        <f t="shared" si="71"/>
        <v>1.0775462962962945E-2</v>
      </c>
      <c r="K1137" s="1"/>
    </row>
    <row r="1138" spans="1:11" x14ac:dyDescent="0.25">
      <c r="A1138" s="6">
        <v>6070329</v>
      </c>
      <c r="B1138" t="str">
        <f t="shared" si="68"/>
        <v>stacjonarny</v>
      </c>
      <c r="C1138">
        <f t="shared" si="69"/>
        <v>0</v>
      </c>
      <c r="D1138">
        <f t="shared" si="70"/>
        <v>0</v>
      </c>
      <c r="E1138" s="1">
        <v>42934</v>
      </c>
      <c r="F1138" s="2">
        <v>0.40337962962962964</v>
      </c>
      <c r="G1138" s="2">
        <v>0.41432870370370373</v>
      </c>
      <c r="H1138" s="2">
        <f t="shared" si="71"/>
        <v>1.0949074074074083E-2</v>
      </c>
      <c r="K1138" s="1"/>
    </row>
    <row r="1139" spans="1:11" x14ac:dyDescent="0.25">
      <c r="A1139" s="6">
        <v>4845362</v>
      </c>
      <c r="B1139" t="str">
        <f t="shared" si="68"/>
        <v>stacjonarny</v>
      </c>
      <c r="C1139">
        <f t="shared" si="69"/>
        <v>0</v>
      </c>
      <c r="D1139">
        <f t="shared" si="70"/>
        <v>0</v>
      </c>
      <c r="E1139" s="1">
        <v>42934</v>
      </c>
      <c r="F1139" s="2">
        <v>0.4034490740740741</v>
      </c>
      <c r="G1139" s="2">
        <v>0.40371527777777777</v>
      </c>
      <c r="H1139" s="2">
        <f t="shared" si="71"/>
        <v>2.662037037036713E-4</v>
      </c>
      <c r="K1139" s="1"/>
    </row>
    <row r="1140" spans="1:11" x14ac:dyDescent="0.25">
      <c r="A1140" s="6">
        <v>6333341</v>
      </c>
      <c r="B1140" t="str">
        <f t="shared" si="68"/>
        <v>stacjonarny</v>
      </c>
      <c r="C1140">
        <f t="shared" si="69"/>
        <v>0</v>
      </c>
      <c r="D1140">
        <f t="shared" si="70"/>
        <v>0</v>
      </c>
      <c r="E1140" s="1">
        <v>42934</v>
      </c>
      <c r="F1140" s="2">
        <v>0.40690972222222221</v>
      </c>
      <c r="G1140" s="2">
        <v>0.4103472222222222</v>
      </c>
      <c r="H1140" s="2">
        <f t="shared" si="71"/>
        <v>3.4374999999999822E-3</v>
      </c>
      <c r="K1140" s="1"/>
    </row>
    <row r="1141" spans="1:11" x14ac:dyDescent="0.25">
      <c r="A1141" s="6">
        <v>5060909</v>
      </c>
      <c r="B1141" t="str">
        <f t="shared" si="68"/>
        <v>stacjonarny</v>
      </c>
      <c r="C1141">
        <f t="shared" si="69"/>
        <v>0</v>
      </c>
      <c r="D1141">
        <f t="shared" si="70"/>
        <v>0</v>
      </c>
      <c r="E1141" s="1">
        <v>42934</v>
      </c>
      <c r="F1141" s="2">
        <v>0.40699074074074076</v>
      </c>
      <c r="G1141" s="2">
        <v>0.41368055555555555</v>
      </c>
      <c r="H1141" s="2">
        <f t="shared" si="71"/>
        <v>6.6898148148147873E-3</v>
      </c>
      <c r="K1141" s="1"/>
    </row>
    <row r="1142" spans="1:11" x14ac:dyDescent="0.25">
      <c r="A1142" s="6">
        <v>4673703944</v>
      </c>
      <c r="B1142" t="str">
        <f t="shared" si="68"/>
        <v>zagraniczny</v>
      </c>
      <c r="C1142">
        <f t="shared" si="69"/>
        <v>0</v>
      </c>
      <c r="D1142">
        <f t="shared" si="70"/>
        <v>0</v>
      </c>
      <c r="E1142" s="1">
        <v>42934</v>
      </c>
      <c r="F1142" s="2">
        <v>0.40822916666666664</v>
      </c>
      <c r="G1142" s="2">
        <v>0.41090277777777778</v>
      </c>
      <c r="H1142" s="2">
        <f t="shared" si="71"/>
        <v>2.6736111111111405E-3</v>
      </c>
      <c r="K1142" s="1"/>
    </row>
    <row r="1143" spans="1:11" x14ac:dyDescent="0.25">
      <c r="A1143" s="6">
        <v>3178616</v>
      </c>
      <c r="B1143" t="str">
        <f t="shared" si="68"/>
        <v>stacjonarny</v>
      </c>
      <c r="C1143">
        <f t="shared" si="69"/>
        <v>0</v>
      </c>
      <c r="D1143">
        <f t="shared" si="70"/>
        <v>0</v>
      </c>
      <c r="E1143" s="1">
        <v>42934</v>
      </c>
      <c r="F1143" s="2">
        <v>0.40974537037037034</v>
      </c>
      <c r="G1143" s="2">
        <v>0.41177083333333331</v>
      </c>
      <c r="H1143" s="2">
        <f t="shared" si="71"/>
        <v>2.025462962962965E-3</v>
      </c>
      <c r="K1143" s="1"/>
    </row>
    <row r="1144" spans="1:11" x14ac:dyDescent="0.25">
      <c r="A1144" s="6">
        <v>2079170589</v>
      </c>
      <c r="B1144" t="str">
        <f t="shared" si="68"/>
        <v>zagraniczny</v>
      </c>
      <c r="C1144">
        <f t="shared" si="69"/>
        <v>0</v>
      </c>
      <c r="D1144">
        <f t="shared" si="70"/>
        <v>0</v>
      </c>
      <c r="E1144" s="1">
        <v>42934</v>
      </c>
      <c r="F1144" s="2">
        <v>0.41120370370370368</v>
      </c>
      <c r="G1144" s="2">
        <v>0.41769675925925925</v>
      </c>
      <c r="H1144" s="2">
        <f t="shared" si="71"/>
        <v>6.4930555555555713E-3</v>
      </c>
      <c r="K1144" s="1"/>
    </row>
    <row r="1145" spans="1:11" x14ac:dyDescent="0.25">
      <c r="A1145" s="6">
        <v>9815754</v>
      </c>
      <c r="B1145" t="str">
        <f t="shared" si="68"/>
        <v>stacjonarny</v>
      </c>
      <c r="C1145">
        <f t="shared" si="69"/>
        <v>0</v>
      </c>
      <c r="D1145">
        <f t="shared" si="70"/>
        <v>0</v>
      </c>
      <c r="E1145" s="1">
        <v>42934</v>
      </c>
      <c r="F1145" s="2">
        <v>0.41260416666666666</v>
      </c>
      <c r="G1145" s="2">
        <v>0.41688657407407409</v>
      </c>
      <c r="H1145" s="2">
        <f t="shared" si="71"/>
        <v>4.2824074074074292E-3</v>
      </c>
      <c r="K1145" s="1"/>
    </row>
    <row r="1146" spans="1:11" x14ac:dyDescent="0.25">
      <c r="A1146" s="6">
        <v>4111617</v>
      </c>
      <c r="B1146" t="str">
        <f t="shared" si="68"/>
        <v>stacjonarny</v>
      </c>
      <c r="C1146">
        <f t="shared" si="69"/>
        <v>0</v>
      </c>
      <c r="D1146">
        <f t="shared" si="70"/>
        <v>0</v>
      </c>
      <c r="E1146" s="1">
        <v>42934</v>
      </c>
      <c r="F1146" s="2">
        <v>0.41450231481481481</v>
      </c>
      <c r="G1146" s="2">
        <v>0.41574074074074074</v>
      </c>
      <c r="H1146" s="2">
        <f t="shared" si="71"/>
        <v>1.2384259259259345E-3</v>
      </c>
      <c r="K1146" s="1"/>
    </row>
    <row r="1147" spans="1:11" x14ac:dyDescent="0.25">
      <c r="A1147" s="6">
        <v>1117628</v>
      </c>
      <c r="B1147" t="str">
        <f t="shared" si="68"/>
        <v>stacjonarny</v>
      </c>
      <c r="C1147">
        <f t="shared" si="69"/>
        <v>0</v>
      </c>
      <c r="D1147">
        <f t="shared" si="70"/>
        <v>0</v>
      </c>
      <c r="E1147" s="1">
        <v>42934</v>
      </c>
      <c r="F1147" s="2">
        <v>0.41652777777777777</v>
      </c>
      <c r="G1147" s="2">
        <v>0.42443287037037036</v>
      </c>
      <c r="H1147" s="2">
        <f t="shared" si="71"/>
        <v>7.9050925925925886E-3</v>
      </c>
      <c r="K1147" s="1"/>
    </row>
    <row r="1148" spans="1:11" x14ac:dyDescent="0.25">
      <c r="A1148" s="6">
        <v>5487496</v>
      </c>
      <c r="B1148" t="str">
        <f t="shared" si="68"/>
        <v>stacjonarny</v>
      </c>
      <c r="C1148">
        <f t="shared" si="69"/>
        <v>0</v>
      </c>
      <c r="D1148">
        <f t="shared" si="70"/>
        <v>0</v>
      </c>
      <c r="E1148" s="1">
        <v>42934</v>
      </c>
      <c r="F1148" s="2">
        <v>0.42114583333333333</v>
      </c>
      <c r="G1148" s="2">
        <v>0.4230902777777778</v>
      </c>
      <c r="H1148" s="2">
        <f t="shared" si="71"/>
        <v>1.9444444444444708E-3</v>
      </c>
      <c r="K1148" s="1"/>
    </row>
    <row r="1149" spans="1:11" x14ac:dyDescent="0.25">
      <c r="A1149" s="6">
        <v>1472682</v>
      </c>
      <c r="B1149" t="str">
        <f t="shared" si="68"/>
        <v>stacjonarny</v>
      </c>
      <c r="C1149">
        <f t="shared" si="69"/>
        <v>0</v>
      </c>
      <c r="D1149">
        <f t="shared" si="70"/>
        <v>0</v>
      </c>
      <c r="E1149" s="1">
        <v>42934</v>
      </c>
      <c r="F1149" s="2">
        <v>0.42533564814814817</v>
      </c>
      <c r="G1149" s="2">
        <v>0.43167824074074074</v>
      </c>
      <c r="H1149" s="2">
        <f t="shared" si="71"/>
        <v>6.3425925925925664E-3</v>
      </c>
      <c r="K1149" s="1"/>
    </row>
    <row r="1150" spans="1:11" x14ac:dyDescent="0.25">
      <c r="A1150" s="6">
        <v>43885630</v>
      </c>
      <c r="B1150" t="str">
        <f t="shared" si="68"/>
        <v>komorkowy</v>
      </c>
      <c r="C1150">
        <f t="shared" si="69"/>
        <v>0</v>
      </c>
      <c r="D1150">
        <f t="shared" si="70"/>
        <v>0</v>
      </c>
      <c r="E1150" s="1">
        <v>42934</v>
      </c>
      <c r="F1150" s="2">
        <v>0.42988425925925927</v>
      </c>
      <c r="G1150" s="2">
        <v>0.43424768518518519</v>
      </c>
      <c r="H1150" s="2">
        <f t="shared" si="71"/>
        <v>4.3634259259259234E-3</v>
      </c>
      <c r="K1150" s="1"/>
    </row>
    <row r="1151" spans="1:11" x14ac:dyDescent="0.25">
      <c r="A1151" s="6">
        <v>5543741</v>
      </c>
      <c r="B1151" t="str">
        <f t="shared" si="68"/>
        <v>stacjonarny</v>
      </c>
      <c r="C1151">
        <f t="shared" si="69"/>
        <v>0</v>
      </c>
      <c r="D1151">
        <f t="shared" si="70"/>
        <v>0</v>
      </c>
      <c r="E1151" s="1">
        <v>42934</v>
      </c>
      <c r="F1151" s="2">
        <v>0.42997685185185186</v>
      </c>
      <c r="G1151" s="2">
        <v>0.43590277777777775</v>
      </c>
      <c r="H1151" s="2">
        <f t="shared" si="71"/>
        <v>5.9259259259258901E-3</v>
      </c>
      <c r="K1151" s="1"/>
    </row>
    <row r="1152" spans="1:11" x14ac:dyDescent="0.25">
      <c r="A1152" s="6">
        <v>2590674</v>
      </c>
      <c r="B1152" t="str">
        <f t="shared" si="68"/>
        <v>stacjonarny</v>
      </c>
      <c r="C1152">
        <f t="shared" si="69"/>
        <v>0</v>
      </c>
      <c r="D1152">
        <f t="shared" si="70"/>
        <v>0</v>
      </c>
      <c r="E1152" s="1">
        <v>42934</v>
      </c>
      <c r="F1152" s="2">
        <v>0.43025462962962963</v>
      </c>
      <c r="G1152" s="2">
        <v>0.43677083333333333</v>
      </c>
      <c r="H1152" s="2">
        <f t="shared" si="71"/>
        <v>6.5162037037037046E-3</v>
      </c>
      <c r="K1152" s="1"/>
    </row>
    <row r="1153" spans="1:11" x14ac:dyDescent="0.25">
      <c r="A1153" s="6">
        <v>4212838</v>
      </c>
      <c r="B1153" t="str">
        <f t="shared" si="68"/>
        <v>stacjonarny</v>
      </c>
      <c r="C1153">
        <f t="shared" si="69"/>
        <v>0</v>
      </c>
      <c r="D1153">
        <f t="shared" si="70"/>
        <v>0</v>
      </c>
      <c r="E1153" s="1">
        <v>42934</v>
      </c>
      <c r="F1153" s="2">
        <v>0.43420138888888887</v>
      </c>
      <c r="G1153" s="2">
        <v>0.43973379629629628</v>
      </c>
      <c r="H1153" s="2">
        <f t="shared" si="71"/>
        <v>5.5324074074074026E-3</v>
      </c>
      <c r="K1153" s="1"/>
    </row>
    <row r="1154" spans="1:11" x14ac:dyDescent="0.25">
      <c r="A1154" s="6">
        <v>7836418</v>
      </c>
      <c r="B1154" t="str">
        <f t="shared" ref="B1154:B1217" si="72">IF(LEN(A1154)=7, "stacjonarny", IF(LEN(A1154)=8, "komorkowy", "zagraniczny"))</f>
        <v>stacjonarny</v>
      </c>
      <c r="C1154">
        <f t="shared" si="69"/>
        <v>0</v>
      </c>
      <c r="D1154">
        <f t="shared" si="70"/>
        <v>0</v>
      </c>
      <c r="E1154" s="1">
        <v>42934</v>
      </c>
      <c r="F1154" s="2">
        <v>0.4354513888888889</v>
      </c>
      <c r="G1154" s="2">
        <v>0.43745370370370368</v>
      </c>
      <c r="H1154" s="2">
        <f t="shared" si="71"/>
        <v>2.0023148148147762E-3</v>
      </c>
      <c r="K1154" s="1"/>
    </row>
    <row r="1155" spans="1:11" x14ac:dyDescent="0.25">
      <c r="A1155" s="6">
        <v>2844911</v>
      </c>
      <c r="B1155" t="str">
        <f t="shared" si="72"/>
        <v>stacjonarny</v>
      </c>
      <c r="C1155">
        <f t="shared" ref="C1155:C1218" si="73">IF(LEFT(A1155,2)="12",1,0)</f>
        <v>0</v>
      </c>
      <c r="D1155">
        <f t="shared" ref="D1155:D1218" si="74">IF(AND(C1155=1,B1155="stacjonarny"),1,0)</f>
        <v>0</v>
      </c>
      <c r="E1155" s="1">
        <v>42934</v>
      </c>
      <c r="F1155" s="2">
        <v>0.43821759259259258</v>
      </c>
      <c r="G1155" s="2">
        <v>0.44969907407407406</v>
      </c>
      <c r="H1155" s="2">
        <f t="shared" ref="H1155:H1218" si="75">G1155-F1155</f>
        <v>1.1481481481481481E-2</v>
      </c>
      <c r="K1155" s="1"/>
    </row>
    <row r="1156" spans="1:11" x14ac:dyDescent="0.25">
      <c r="A1156" s="6">
        <v>2861766</v>
      </c>
      <c r="B1156" t="str">
        <f t="shared" si="72"/>
        <v>stacjonarny</v>
      </c>
      <c r="C1156">
        <f t="shared" si="73"/>
        <v>0</v>
      </c>
      <c r="D1156">
        <f t="shared" si="74"/>
        <v>0</v>
      </c>
      <c r="E1156" s="1">
        <v>42934</v>
      </c>
      <c r="F1156" s="2">
        <v>0.4403125</v>
      </c>
      <c r="G1156" s="2">
        <v>0.4490972222222222</v>
      </c>
      <c r="H1156" s="2">
        <f t="shared" si="75"/>
        <v>8.7847222222222077E-3</v>
      </c>
      <c r="K1156" s="1"/>
    </row>
    <row r="1157" spans="1:11" x14ac:dyDescent="0.25">
      <c r="A1157" s="6">
        <v>9655946</v>
      </c>
      <c r="B1157" t="str">
        <f t="shared" si="72"/>
        <v>stacjonarny</v>
      </c>
      <c r="C1157">
        <f t="shared" si="73"/>
        <v>0</v>
      </c>
      <c r="D1157">
        <f t="shared" si="74"/>
        <v>0</v>
      </c>
      <c r="E1157" s="1">
        <v>42934</v>
      </c>
      <c r="F1157" s="2">
        <v>0.44385416666666666</v>
      </c>
      <c r="G1157" s="2">
        <v>0.45193287037037039</v>
      </c>
      <c r="H1157" s="2">
        <f t="shared" si="75"/>
        <v>8.0787037037037268E-3</v>
      </c>
      <c r="K1157" s="1"/>
    </row>
    <row r="1158" spans="1:11" x14ac:dyDescent="0.25">
      <c r="A1158" s="6">
        <v>6050570</v>
      </c>
      <c r="B1158" t="str">
        <f t="shared" si="72"/>
        <v>stacjonarny</v>
      </c>
      <c r="C1158">
        <f t="shared" si="73"/>
        <v>0</v>
      </c>
      <c r="D1158">
        <f t="shared" si="74"/>
        <v>0</v>
      </c>
      <c r="E1158" s="1">
        <v>42934</v>
      </c>
      <c r="F1158" s="2">
        <v>0.44744212962962965</v>
      </c>
      <c r="G1158" s="2">
        <v>0.45751157407407406</v>
      </c>
      <c r="H1158" s="2">
        <f t="shared" si="75"/>
        <v>1.0069444444444409E-2</v>
      </c>
      <c r="K1158" s="1"/>
    </row>
    <row r="1159" spans="1:11" x14ac:dyDescent="0.25">
      <c r="A1159" s="6">
        <v>1607422</v>
      </c>
      <c r="B1159" t="str">
        <f t="shared" si="72"/>
        <v>stacjonarny</v>
      </c>
      <c r="C1159">
        <f t="shared" si="73"/>
        <v>0</v>
      </c>
      <c r="D1159">
        <f t="shared" si="74"/>
        <v>0</v>
      </c>
      <c r="E1159" s="1">
        <v>42934</v>
      </c>
      <c r="F1159" s="2">
        <v>0.45238425925925924</v>
      </c>
      <c r="G1159" s="2">
        <v>0.45937499999999998</v>
      </c>
      <c r="H1159" s="2">
        <f t="shared" si="75"/>
        <v>6.9907407407407418E-3</v>
      </c>
      <c r="K1159" s="1"/>
    </row>
    <row r="1160" spans="1:11" x14ac:dyDescent="0.25">
      <c r="A1160" s="6">
        <v>1192412</v>
      </c>
      <c r="B1160" t="str">
        <f t="shared" si="72"/>
        <v>stacjonarny</v>
      </c>
      <c r="C1160">
        <f t="shared" si="73"/>
        <v>0</v>
      </c>
      <c r="D1160">
        <f t="shared" si="74"/>
        <v>0</v>
      </c>
      <c r="E1160" s="1">
        <v>42934</v>
      </c>
      <c r="F1160" s="2">
        <v>0.45417824074074076</v>
      </c>
      <c r="G1160" s="2">
        <v>0.46438657407407408</v>
      </c>
      <c r="H1160" s="2">
        <f t="shared" si="75"/>
        <v>1.0208333333333319E-2</v>
      </c>
      <c r="K1160" s="1"/>
    </row>
    <row r="1161" spans="1:11" x14ac:dyDescent="0.25">
      <c r="A1161" s="6">
        <v>4959551431</v>
      </c>
      <c r="B1161" t="str">
        <f t="shared" si="72"/>
        <v>zagraniczny</v>
      </c>
      <c r="C1161">
        <f t="shared" si="73"/>
        <v>0</v>
      </c>
      <c r="D1161">
        <f t="shared" si="74"/>
        <v>0</v>
      </c>
      <c r="E1161" s="1">
        <v>42934</v>
      </c>
      <c r="F1161" s="2">
        <v>0.45437499999999997</v>
      </c>
      <c r="G1161" s="2">
        <v>0.45770833333333333</v>
      </c>
      <c r="H1161" s="2">
        <f t="shared" si="75"/>
        <v>3.3333333333333548E-3</v>
      </c>
      <c r="K1161" s="1"/>
    </row>
    <row r="1162" spans="1:11" x14ac:dyDescent="0.25">
      <c r="A1162" s="6">
        <v>9808221</v>
      </c>
      <c r="B1162" t="str">
        <f t="shared" si="72"/>
        <v>stacjonarny</v>
      </c>
      <c r="C1162">
        <f t="shared" si="73"/>
        <v>0</v>
      </c>
      <c r="D1162">
        <f t="shared" si="74"/>
        <v>0</v>
      </c>
      <c r="E1162" s="1">
        <v>42934</v>
      </c>
      <c r="F1162" s="2">
        <v>0.45680555555555558</v>
      </c>
      <c r="G1162" s="2">
        <v>0.4636689814814815</v>
      </c>
      <c r="H1162" s="2">
        <f t="shared" si="75"/>
        <v>6.8634259259259256E-3</v>
      </c>
      <c r="K1162" s="1"/>
    </row>
    <row r="1163" spans="1:11" x14ac:dyDescent="0.25">
      <c r="A1163" s="6">
        <v>8672623</v>
      </c>
      <c r="B1163" t="str">
        <f t="shared" si="72"/>
        <v>stacjonarny</v>
      </c>
      <c r="C1163">
        <f t="shared" si="73"/>
        <v>0</v>
      </c>
      <c r="D1163">
        <f t="shared" si="74"/>
        <v>0</v>
      </c>
      <c r="E1163" s="1">
        <v>42934</v>
      </c>
      <c r="F1163" s="2">
        <v>0.45947916666666666</v>
      </c>
      <c r="G1163" s="2">
        <v>0.46460648148148148</v>
      </c>
      <c r="H1163" s="2">
        <f t="shared" si="75"/>
        <v>5.1273148148148207E-3</v>
      </c>
      <c r="K1163" s="1"/>
    </row>
    <row r="1164" spans="1:11" x14ac:dyDescent="0.25">
      <c r="A1164" s="6">
        <v>3862016</v>
      </c>
      <c r="B1164" t="str">
        <f t="shared" si="72"/>
        <v>stacjonarny</v>
      </c>
      <c r="C1164">
        <f t="shared" si="73"/>
        <v>0</v>
      </c>
      <c r="D1164">
        <f t="shared" si="74"/>
        <v>0</v>
      </c>
      <c r="E1164" s="1">
        <v>42934</v>
      </c>
      <c r="F1164" s="2">
        <v>0.46127314814814813</v>
      </c>
      <c r="G1164" s="2">
        <v>0.46726851851851853</v>
      </c>
      <c r="H1164" s="2">
        <f t="shared" si="75"/>
        <v>5.9953703703704009E-3</v>
      </c>
      <c r="K1164" s="1"/>
    </row>
    <row r="1165" spans="1:11" x14ac:dyDescent="0.25">
      <c r="A1165" s="6">
        <v>16580449</v>
      </c>
      <c r="B1165" t="str">
        <f t="shared" si="72"/>
        <v>komorkowy</v>
      </c>
      <c r="C1165">
        <f t="shared" si="73"/>
        <v>0</v>
      </c>
      <c r="D1165">
        <f t="shared" si="74"/>
        <v>0</v>
      </c>
      <c r="E1165" s="1">
        <v>42934</v>
      </c>
      <c r="F1165" s="2">
        <v>0.46130787037037035</v>
      </c>
      <c r="G1165" s="2">
        <v>0.47226851851851853</v>
      </c>
      <c r="H1165" s="2">
        <f t="shared" si="75"/>
        <v>1.0960648148148178E-2</v>
      </c>
      <c r="K1165" s="1"/>
    </row>
    <row r="1166" spans="1:11" x14ac:dyDescent="0.25">
      <c r="A1166" s="6">
        <v>67064385</v>
      </c>
      <c r="B1166" t="str">
        <f t="shared" si="72"/>
        <v>komorkowy</v>
      </c>
      <c r="C1166">
        <f t="shared" si="73"/>
        <v>0</v>
      </c>
      <c r="D1166">
        <f t="shared" si="74"/>
        <v>0</v>
      </c>
      <c r="E1166" s="1">
        <v>42934</v>
      </c>
      <c r="F1166" s="2">
        <v>0.46574074074074073</v>
      </c>
      <c r="G1166" s="2">
        <v>0.47495370370370371</v>
      </c>
      <c r="H1166" s="2">
        <f t="shared" si="75"/>
        <v>9.2129629629629783E-3</v>
      </c>
      <c r="K1166" s="1"/>
    </row>
    <row r="1167" spans="1:11" x14ac:dyDescent="0.25">
      <c r="A1167" s="6">
        <v>2078150</v>
      </c>
      <c r="B1167" t="str">
        <f t="shared" si="72"/>
        <v>stacjonarny</v>
      </c>
      <c r="C1167">
        <f t="shared" si="73"/>
        <v>0</v>
      </c>
      <c r="D1167">
        <f t="shared" si="74"/>
        <v>0</v>
      </c>
      <c r="E1167" s="1">
        <v>42934</v>
      </c>
      <c r="F1167" s="2">
        <v>0.46872685185185187</v>
      </c>
      <c r="G1167" s="2">
        <v>0.47244212962962961</v>
      </c>
      <c r="H1167" s="2">
        <f t="shared" si="75"/>
        <v>3.7152777777777479E-3</v>
      </c>
      <c r="K1167" s="1"/>
    </row>
    <row r="1168" spans="1:11" x14ac:dyDescent="0.25">
      <c r="A1168" s="6">
        <v>5094248</v>
      </c>
      <c r="B1168" t="str">
        <f t="shared" si="72"/>
        <v>stacjonarny</v>
      </c>
      <c r="C1168">
        <f t="shared" si="73"/>
        <v>0</v>
      </c>
      <c r="D1168">
        <f t="shared" si="74"/>
        <v>0</v>
      </c>
      <c r="E1168" s="1">
        <v>42934</v>
      </c>
      <c r="F1168" s="2">
        <v>0.47074074074074074</v>
      </c>
      <c r="G1168" s="2">
        <v>0.47409722222222223</v>
      </c>
      <c r="H1168" s="2">
        <f t="shared" si="75"/>
        <v>3.3564814814814881E-3</v>
      </c>
      <c r="K1168" s="1"/>
    </row>
    <row r="1169" spans="1:11" x14ac:dyDescent="0.25">
      <c r="A1169" s="6">
        <v>2584185</v>
      </c>
      <c r="B1169" t="str">
        <f t="shared" si="72"/>
        <v>stacjonarny</v>
      </c>
      <c r="C1169">
        <f t="shared" si="73"/>
        <v>0</v>
      </c>
      <c r="D1169">
        <f t="shared" si="74"/>
        <v>0</v>
      </c>
      <c r="E1169" s="1">
        <v>42934</v>
      </c>
      <c r="F1169" s="2">
        <v>0.47208333333333335</v>
      </c>
      <c r="G1169" s="2">
        <v>0.48284722222222221</v>
      </c>
      <c r="H1169" s="2">
        <f t="shared" si="75"/>
        <v>1.0763888888888851E-2</v>
      </c>
      <c r="K1169" s="1"/>
    </row>
    <row r="1170" spans="1:11" x14ac:dyDescent="0.25">
      <c r="A1170" s="6">
        <v>3346801494</v>
      </c>
      <c r="B1170" t="str">
        <f t="shared" si="72"/>
        <v>zagraniczny</v>
      </c>
      <c r="C1170">
        <f t="shared" si="73"/>
        <v>0</v>
      </c>
      <c r="D1170">
        <f t="shared" si="74"/>
        <v>0</v>
      </c>
      <c r="E1170" s="1">
        <v>42934</v>
      </c>
      <c r="F1170" s="2">
        <v>0.47394675925925928</v>
      </c>
      <c r="G1170" s="2">
        <v>0.48170138888888892</v>
      </c>
      <c r="H1170" s="2">
        <f t="shared" si="75"/>
        <v>7.7546296296296391E-3</v>
      </c>
      <c r="K1170" s="1"/>
    </row>
    <row r="1171" spans="1:11" x14ac:dyDescent="0.25">
      <c r="A1171" s="6">
        <v>4535172</v>
      </c>
      <c r="B1171" t="str">
        <f t="shared" si="72"/>
        <v>stacjonarny</v>
      </c>
      <c r="C1171">
        <f t="shared" si="73"/>
        <v>0</v>
      </c>
      <c r="D1171">
        <f t="shared" si="74"/>
        <v>0</v>
      </c>
      <c r="E1171" s="1">
        <v>42934</v>
      </c>
      <c r="F1171" s="2">
        <v>0.4750462962962963</v>
      </c>
      <c r="G1171" s="2">
        <v>0.47592592592592592</v>
      </c>
      <c r="H1171" s="2">
        <f t="shared" si="75"/>
        <v>8.796296296296191E-4</v>
      </c>
      <c r="K1171" s="1"/>
    </row>
    <row r="1172" spans="1:11" x14ac:dyDescent="0.25">
      <c r="A1172" s="6">
        <v>8723323</v>
      </c>
      <c r="B1172" t="str">
        <f t="shared" si="72"/>
        <v>stacjonarny</v>
      </c>
      <c r="C1172">
        <f t="shared" si="73"/>
        <v>0</v>
      </c>
      <c r="D1172">
        <f t="shared" si="74"/>
        <v>0</v>
      </c>
      <c r="E1172" s="1">
        <v>42934</v>
      </c>
      <c r="F1172" s="2">
        <v>0.47505787037037039</v>
      </c>
      <c r="G1172" s="2">
        <v>0.48318287037037039</v>
      </c>
      <c r="H1172" s="2">
        <f t="shared" si="75"/>
        <v>8.1249999999999933E-3</v>
      </c>
      <c r="K1172" s="1"/>
    </row>
    <row r="1173" spans="1:11" x14ac:dyDescent="0.25">
      <c r="A1173" s="6">
        <v>76845076</v>
      </c>
      <c r="B1173" t="str">
        <f t="shared" si="72"/>
        <v>komorkowy</v>
      </c>
      <c r="C1173">
        <f t="shared" si="73"/>
        <v>0</v>
      </c>
      <c r="D1173">
        <f t="shared" si="74"/>
        <v>0</v>
      </c>
      <c r="E1173" s="1">
        <v>42934</v>
      </c>
      <c r="F1173" s="2">
        <v>0.47949074074074072</v>
      </c>
      <c r="G1173" s="2">
        <v>0.48335648148148147</v>
      </c>
      <c r="H1173" s="2">
        <f t="shared" si="75"/>
        <v>3.8657407407407529E-3</v>
      </c>
      <c r="K1173" s="1"/>
    </row>
    <row r="1174" spans="1:11" x14ac:dyDescent="0.25">
      <c r="A1174" s="6">
        <v>12063341</v>
      </c>
      <c r="B1174" t="str">
        <f t="shared" si="72"/>
        <v>komorkowy</v>
      </c>
      <c r="C1174">
        <f t="shared" si="73"/>
        <v>1</v>
      </c>
      <c r="D1174">
        <f t="shared" si="74"/>
        <v>0</v>
      </c>
      <c r="E1174" s="1">
        <v>42934</v>
      </c>
      <c r="F1174" s="2">
        <v>0.48378472222222224</v>
      </c>
      <c r="G1174" s="2">
        <v>0.48681712962962964</v>
      </c>
      <c r="H1174" s="2">
        <f t="shared" si="75"/>
        <v>3.0324074074074003E-3</v>
      </c>
      <c r="K1174" s="1"/>
    </row>
    <row r="1175" spans="1:11" x14ac:dyDescent="0.25">
      <c r="A1175" s="6">
        <v>9866204</v>
      </c>
      <c r="B1175" t="str">
        <f t="shared" si="72"/>
        <v>stacjonarny</v>
      </c>
      <c r="C1175">
        <f t="shared" si="73"/>
        <v>0</v>
      </c>
      <c r="D1175">
        <f t="shared" si="74"/>
        <v>0</v>
      </c>
      <c r="E1175" s="1">
        <v>42934</v>
      </c>
      <c r="F1175" s="2">
        <v>0.48379629629629628</v>
      </c>
      <c r="G1175" s="2">
        <v>0.49018518518518517</v>
      </c>
      <c r="H1175" s="2">
        <f t="shared" si="75"/>
        <v>6.3888888888888884E-3</v>
      </c>
      <c r="K1175" s="1"/>
    </row>
    <row r="1176" spans="1:11" x14ac:dyDescent="0.25">
      <c r="A1176" s="6">
        <v>9364912</v>
      </c>
      <c r="B1176" t="str">
        <f t="shared" si="72"/>
        <v>stacjonarny</v>
      </c>
      <c r="C1176">
        <f t="shared" si="73"/>
        <v>0</v>
      </c>
      <c r="D1176">
        <f t="shared" si="74"/>
        <v>0</v>
      </c>
      <c r="E1176" s="1">
        <v>42934</v>
      </c>
      <c r="F1176" s="2">
        <v>0.48715277777777777</v>
      </c>
      <c r="G1176" s="2">
        <v>0.49586805555555558</v>
      </c>
      <c r="H1176" s="2">
        <f t="shared" si="75"/>
        <v>8.7152777777778079E-3</v>
      </c>
      <c r="K1176" s="1"/>
    </row>
    <row r="1177" spans="1:11" x14ac:dyDescent="0.25">
      <c r="A1177" s="6">
        <v>9975977</v>
      </c>
      <c r="B1177" t="str">
        <f t="shared" si="72"/>
        <v>stacjonarny</v>
      </c>
      <c r="C1177">
        <f t="shared" si="73"/>
        <v>0</v>
      </c>
      <c r="D1177">
        <f t="shared" si="74"/>
        <v>0</v>
      </c>
      <c r="E1177" s="1">
        <v>42934</v>
      </c>
      <c r="F1177" s="2">
        <v>0.48723379629629632</v>
      </c>
      <c r="G1177" s="2">
        <v>0.4914351851851852</v>
      </c>
      <c r="H1177" s="2">
        <f t="shared" si="75"/>
        <v>4.2013888888888795E-3</v>
      </c>
      <c r="K1177" s="1"/>
    </row>
    <row r="1178" spans="1:11" x14ac:dyDescent="0.25">
      <c r="A1178" s="6">
        <v>8802222</v>
      </c>
      <c r="B1178" t="str">
        <f t="shared" si="72"/>
        <v>stacjonarny</v>
      </c>
      <c r="C1178">
        <f t="shared" si="73"/>
        <v>0</v>
      </c>
      <c r="D1178">
        <f t="shared" si="74"/>
        <v>0</v>
      </c>
      <c r="E1178" s="1">
        <v>42934</v>
      </c>
      <c r="F1178" s="2">
        <v>0.48899305555555556</v>
      </c>
      <c r="G1178" s="2">
        <v>0.49456018518518519</v>
      </c>
      <c r="H1178" s="2">
        <f t="shared" si="75"/>
        <v>5.5671296296296302E-3</v>
      </c>
      <c r="K1178" s="1"/>
    </row>
    <row r="1179" spans="1:11" x14ac:dyDescent="0.25">
      <c r="A1179" s="6">
        <v>1552877</v>
      </c>
      <c r="B1179" t="str">
        <f t="shared" si="72"/>
        <v>stacjonarny</v>
      </c>
      <c r="C1179">
        <f t="shared" si="73"/>
        <v>0</v>
      </c>
      <c r="D1179">
        <f t="shared" si="74"/>
        <v>0</v>
      </c>
      <c r="E1179" s="1">
        <v>42934</v>
      </c>
      <c r="F1179" s="2">
        <v>0.49277777777777776</v>
      </c>
      <c r="G1179" s="2">
        <v>0.49600694444444443</v>
      </c>
      <c r="H1179" s="2">
        <f t="shared" si="75"/>
        <v>3.2291666666666718E-3</v>
      </c>
      <c r="K1179" s="1"/>
    </row>
    <row r="1180" spans="1:11" x14ac:dyDescent="0.25">
      <c r="A1180" s="6">
        <v>6516534288</v>
      </c>
      <c r="B1180" t="str">
        <f t="shared" si="72"/>
        <v>zagraniczny</v>
      </c>
      <c r="C1180">
        <f t="shared" si="73"/>
        <v>0</v>
      </c>
      <c r="D1180">
        <f t="shared" si="74"/>
        <v>0</v>
      </c>
      <c r="E1180" s="1">
        <v>42934</v>
      </c>
      <c r="F1180" s="2">
        <v>0.49465277777777777</v>
      </c>
      <c r="G1180" s="2">
        <v>0.49899305555555556</v>
      </c>
      <c r="H1180" s="2">
        <f t="shared" si="75"/>
        <v>4.3402777777777901E-3</v>
      </c>
      <c r="K1180" s="1"/>
    </row>
    <row r="1181" spans="1:11" x14ac:dyDescent="0.25">
      <c r="A1181" s="6">
        <v>68647777</v>
      </c>
      <c r="B1181" t="str">
        <f t="shared" si="72"/>
        <v>komorkowy</v>
      </c>
      <c r="C1181">
        <f t="shared" si="73"/>
        <v>0</v>
      </c>
      <c r="D1181">
        <f t="shared" si="74"/>
        <v>0</v>
      </c>
      <c r="E1181" s="1">
        <v>42934</v>
      </c>
      <c r="F1181" s="2">
        <v>0.49968750000000001</v>
      </c>
      <c r="G1181" s="2">
        <v>0.50692129629629634</v>
      </c>
      <c r="H1181" s="2">
        <f t="shared" si="75"/>
        <v>7.2337962962963354E-3</v>
      </c>
      <c r="K1181" s="1"/>
    </row>
    <row r="1182" spans="1:11" x14ac:dyDescent="0.25">
      <c r="A1182" s="6">
        <v>3360951</v>
      </c>
      <c r="B1182" t="str">
        <f t="shared" si="72"/>
        <v>stacjonarny</v>
      </c>
      <c r="C1182">
        <f t="shared" si="73"/>
        <v>0</v>
      </c>
      <c r="D1182">
        <f t="shared" si="74"/>
        <v>0</v>
      </c>
      <c r="E1182" s="1">
        <v>42934</v>
      </c>
      <c r="F1182" s="2">
        <v>0.50384259259259256</v>
      </c>
      <c r="G1182" s="2">
        <v>0.50868055555555558</v>
      </c>
      <c r="H1182" s="2">
        <f t="shared" si="75"/>
        <v>4.8379629629630161E-3</v>
      </c>
      <c r="K1182" s="1"/>
    </row>
    <row r="1183" spans="1:11" x14ac:dyDescent="0.25">
      <c r="A1183" s="6">
        <v>9127211929</v>
      </c>
      <c r="B1183" t="str">
        <f t="shared" si="72"/>
        <v>zagraniczny</v>
      </c>
      <c r="C1183">
        <f t="shared" si="73"/>
        <v>0</v>
      </c>
      <c r="D1183">
        <f t="shared" si="74"/>
        <v>0</v>
      </c>
      <c r="E1183" s="1">
        <v>42934</v>
      </c>
      <c r="F1183" s="2">
        <v>0.50648148148148153</v>
      </c>
      <c r="G1183" s="2">
        <v>0.51042824074074078</v>
      </c>
      <c r="H1183" s="2">
        <f t="shared" si="75"/>
        <v>3.9467592592592471E-3</v>
      </c>
      <c r="K1183" s="1"/>
    </row>
    <row r="1184" spans="1:11" x14ac:dyDescent="0.25">
      <c r="A1184" s="6">
        <v>9647309</v>
      </c>
      <c r="B1184" t="str">
        <f t="shared" si="72"/>
        <v>stacjonarny</v>
      </c>
      <c r="C1184">
        <f t="shared" si="73"/>
        <v>0</v>
      </c>
      <c r="D1184">
        <f t="shared" si="74"/>
        <v>0</v>
      </c>
      <c r="E1184" s="1">
        <v>42934</v>
      </c>
      <c r="F1184" s="2">
        <v>0.50979166666666664</v>
      </c>
      <c r="G1184" s="2">
        <v>0.51483796296296291</v>
      </c>
      <c r="H1184" s="2">
        <f t="shared" si="75"/>
        <v>5.046296296296271E-3</v>
      </c>
      <c r="K1184" s="1"/>
    </row>
    <row r="1185" spans="1:11" x14ac:dyDescent="0.25">
      <c r="A1185" s="6">
        <v>6024447</v>
      </c>
      <c r="B1185" t="str">
        <f t="shared" si="72"/>
        <v>stacjonarny</v>
      </c>
      <c r="C1185">
        <f t="shared" si="73"/>
        <v>0</v>
      </c>
      <c r="D1185">
        <f t="shared" si="74"/>
        <v>0</v>
      </c>
      <c r="E1185" s="1">
        <v>42934</v>
      </c>
      <c r="F1185" s="2">
        <v>0.51164351851851853</v>
      </c>
      <c r="G1185" s="2">
        <v>0.51975694444444442</v>
      </c>
      <c r="H1185" s="2">
        <f t="shared" si="75"/>
        <v>8.113425925925899E-3</v>
      </c>
      <c r="K1185" s="1"/>
    </row>
    <row r="1186" spans="1:11" x14ac:dyDescent="0.25">
      <c r="A1186" s="6">
        <v>12919749</v>
      </c>
      <c r="B1186" t="str">
        <f t="shared" si="72"/>
        <v>komorkowy</v>
      </c>
      <c r="C1186">
        <f t="shared" si="73"/>
        <v>1</v>
      </c>
      <c r="D1186">
        <f t="shared" si="74"/>
        <v>0</v>
      </c>
      <c r="E1186" s="1">
        <v>42934</v>
      </c>
      <c r="F1186" s="2">
        <v>0.5161458333333333</v>
      </c>
      <c r="G1186" s="2">
        <v>0.5222106481481481</v>
      </c>
      <c r="H1186" s="2">
        <f t="shared" si="75"/>
        <v>6.0648148148148007E-3</v>
      </c>
      <c r="K1186" s="1"/>
    </row>
    <row r="1187" spans="1:11" x14ac:dyDescent="0.25">
      <c r="A1187" s="6">
        <v>3287315</v>
      </c>
      <c r="B1187" t="str">
        <f t="shared" si="72"/>
        <v>stacjonarny</v>
      </c>
      <c r="C1187">
        <f t="shared" si="73"/>
        <v>0</v>
      </c>
      <c r="D1187">
        <f t="shared" si="74"/>
        <v>0</v>
      </c>
      <c r="E1187" s="1">
        <v>42934</v>
      </c>
      <c r="F1187" s="2">
        <v>0.51627314814814818</v>
      </c>
      <c r="G1187" s="2">
        <v>0.51844907407407403</v>
      </c>
      <c r="H1187" s="2">
        <f t="shared" si="75"/>
        <v>2.175925925925859E-3</v>
      </c>
      <c r="K1187" s="1"/>
    </row>
    <row r="1188" spans="1:11" x14ac:dyDescent="0.25">
      <c r="A1188" s="6">
        <v>9953379</v>
      </c>
      <c r="B1188" t="str">
        <f t="shared" si="72"/>
        <v>stacjonarny</v>
      </c>
      <c r="C1188">
        <f t="shared" si="73"/>
        <v>0</v>
      </c>
      <c r="D1188">
        <f t="shared" si="74"/>
        <v>0</v>
      </c>
      <c r="E1188" s="1">
        <v>42934</v>
      </c>
      <c r="F1188" s="2">
        <v>0.52061342592592597</v>
      </c>
      <c r="G1188" s="2">
        <v>0.52561342592592597</v>
      </c>
      <c r="H1188" s="2">
        <f t="shared" si="75"/>
        <v>5.0000000000000044E-3</v>
      </c>
      <c r="K1188" s="1"/>
    </row>
    <row r="1189" spans="1:11" x14ac:dyDescent="0.25">
      <c r="A1189" s="6">
        <v>97558765</v>
      </c>
      <c r="B1189" t="str">
        <f t="shared" si="72"/>
        <v>komorkowy</v>
      </c>
      <c r="C1189">
        <f t="shared" si="73"/>
        <v>0</v>
      </c>
      <c r="D1189">
        <f t="shared" si="74"/>
        <v>0</v>
      </c>
      <c r="E1189" s="1">
        <v>42934</v>
      </c>
      <c r="F1189" s="2">
        <v>0.5259490740740741</v>
      </c>
      <c r="G1189" s="2">
        <v>0.53439814814814812</v>
      </c>
      <c r="H1189" s="2">
        <f t="shared" si="75"/>
        <v>8.4490740740740256E-3</v>
      </c>
      <c r="K1189" s="1"/>
    </row>
    <row r="1190" spans="1:11" x14ac:dyDescent="0.25">
      <c r="A1190" s="6">
        <v>2722706</v>
      </c>
      <c r="B1190" t="str">
        <f t="shared" si="72"/>
        <v>stacjonarny</v>
      </c>
      <c r="C1190">
        <f t="shared" si="73"/>
        <v>0</v>
      </c>
      <c r="D1190">
        <f t="shared" si="74"/>
        <v>0</v>
      </c>
      <c r="E1190" s="1">
        <v>42934</v>
      </c>
      <c r="F1190" s="2">
        <v>0.53025462962962966</v>
      </c>
      <c r="G1190" s="2">
        <v>0.53217592592592589</v>
      </c>
      <c r="H1190" s="2">
        <f t="shared" si="75"/>
        <v>1.9212962962962266E-3</v>
      </c>
      <c r="K1190" s="1"/>
    </row>
    <row r="1191" spans="1:11" x14ac:dyDescent="0.25">
      <c r="A1191" s="6">
        <v>97876188</v>
      </c>
      <c r="B1191" t="str">
        <f t="shared" si="72"/>
        <v>komorkowy</v>
      </c>
      <c r="C1191">
        <f t="shared" si="73"/>
        <v>0</v>
      </c>
      <c r="D1191">
        <f t="shared" si="74"/>
        <v>0</v>
      </c>
      <c r="E1191" s="1">
        <v>42934</v>
      </c>
      <c r="F1191" s="2">
        <v>0.53412037037037041</v>
      </c>
      <c r="G1191" s="2">
        <v>0.53467592592592594</v>
      </c>
      <c r="H1191" s="2">
        <f t="shared" si="75"/>
        <v>5.5555555555553138E-4</v>
      </c>
      <c r="K1191" s="1"/>
    </row>
    <row r="1192" spans="1:11" x14ac:dyDescent="0.25">
      <c r="A1192" s="6">
        <v>4068728</v>
      </c>
      <c r="B1192" t="str">
        <f t="shared" si="72"/>
        <v>stacjonarny</v>
      </c>
      <c r="C1192">
        <f t="shared" si="73"/>
        <v>0</v>
      </c>
      <c r="D1192">
        <f t="shared" si="74"/>
        <v>0</v>
      </c>
      <c r="E1192" s="1">
        <v>42934</v>
      </c>
      <c r="F1192" s="2">
        <v>0.53760416666666666</v>
      </c>
      <c r="G1192" s="2">
        <v>0.546412037037037</v>
      </c>
      <c r="H1192" s="2">
        <f t="shared" si="75"/>
        <v>8.8078703703703409E-3</v>
      </c>
      <c r="K1192" s="1"/>
    </row>
    <row r="1193" spans="1:11" x14ac:dyDescent="0.25">
      <c r="A1193" s="6">
        <v>7624070</v>
      </c>
      <c r="B1193" t="str">
        <f t="shared" si="72"/>
        <v>stacjonarny</v>
      </c>
      <c r="C1193">
        <f t="shared" si="73"/>
        <v>0</v>
      </c>
      <c r="D1193">
        <f t="shared" si="74"/>
        <v>0</v>
      </c>
      <c r="E1193" s="1">
        <v>42934</v>
      </c>
      <c r="F1193" s="2">
        <v>0.54335648148148152</v>
      </c>
      <c r="G1193" s="2">
        <v>0.55396990740740737</v>
      </c>
      <c r="H1193" s="2">
        <f t="shared" si="75"/>
        <v>1.0613425925925846E-2</v>
      </c>
      <c r="K1193" s="1"/>
    </row>
    <row r="1194" spans="1:11" x14ac:dyDescent="0.25">
      <c r="A1194" s="6">
        <v>2419247</v>
      </c>
      <c r="B1194" t="str">
        <f t="shared" si="72"/>
        <v>stacjonarny</v>
      </c>
      <c r="C1194">
        <f t="shared" si="73"/>
        <v>0</v>
      </c>
      <c r="D1194">
        <f t="shared" si="74"/>
        <v>0</v>
      </c>
      <c r="E1194" s="1">
        <v>42934</v>
      </c>
      <c r="F1194" s="2">
        <v>0.54686342592592596</v>
      </c>
      <c r="G1194" s="2">
        <v>0.54782407407407407</v>
      </c>
      <c r="H1194" s="2">
        <f t="shared" si="75"/>
        <v>9.6064814814811328E-4</v>
      </c>
      <c r="K1194" s="1"/>
    </row>
    <row r="1195" spans="1:11" x14ac:dyDescent="0.25">
      <c r="A1195" s="6">
        <v>5244597</v>
      </c>
      <c r="B1195" t="str">
        <f t="shared" si="72"/>
        <v>stacjonarny</v>
      </c>
      <c r="C1195">
        <f t="shared" si="73"/>
        <v>0</v>
      </c>
      <c r="D1195">
        <f t="shared" si="74"/>
        <v>0</v>
      </c>
      <c r="E1195" s="1">
        <v>42934</v>
      </c>
      <c r="F1195" s="2">
        <v>0.55008101851851854</v>
      </c>
      <c r="G1195" s="2">
        <v>0.55730324074074078</v>
      </c>
      <c r="H1195" s="2">
        <f t="shared" si="75"/>
        <v>7.222222222222241E-3</v>
      </c>
      <c r="K1195" s="1"/>
    </row>
    <row r="1196" spans="1:11" x14ac:dyDescent="0.25">
      <c r="A1196" s="6">
        <v>2005653</v>
      </c>
      <c r="B1196" t="str">
        <f t="shared" si="72"/>
        <v>stacjonarny</v>
      </c>
      <c r="C1196">
        <f t="shared" si="73"/>
        <v>0</v>
      </c>
      <c r="D1196">
        <f t="shared" si="74"/>
        <v>0</v>
      </c>
      <c r="E1196" s="1">
        <v>42934</v>
      </c>
      <c r="F1196" s="2">
        <v>0.55039351851851848</v>
      </c>
      <c r="G1196" s="2">
        <v>0.5572569444444444</v>
      </c>
      <c r="H1196" s="2">
        <f t="shared" si="75"/>
        <v>6.8634259259259256E-3</v>
      </c>
      <c r="K1196" s="1"/>
    </row>
    <row r="1197" spans="1:11" x14ac:dyDescent="0.25">
      <c r="A1197" s="6">
        <v>7203715</v>
      </c>
      <c r="B1197" t="str">
        <f t="shared" si="72"/>
        <v>stacjonarny</v>
      </c>
      <c r="C1197">
        <f t="shared" si="73"/>
        <v>0</v>
      </c>
      <c r="D1197">
        <f t="shared" si="74"/>
        <v>0</v>
      </c>
      <c r="E1197" s="1">
        <v>42934</v>
      </c>
      <c r="F1197" s="2">
        <v>0.55447916666666663</v>
      </c>
      <c r="G1197" s="2">
        <v>0.56332175925925931</v>
      </c>
      <c r="H1197" s="2">
        <f t="shared" si="75"/>
        <v>8.8425925925926796E-3</v>
      </c>
      <c r="K1197" s="1"/>
    </row>
    <row r="1198" spans="1:11" x14ac:dyDescent="0.25">
      <c r="A1198" s="6">
        <v>4520463</v>
      </c>
      <c r="B1198" t="str">
        <f t="shared" si="72"/>
        <v>stacjonarny</v>
      </c>
      <c r="C1198">
        <f t="shared" si="73"/>
        <v>0</v>
      </c>
      <c r="D1198">
        <f t="shared" si="74"/>
        <v>0</v>
      </c>
      <c r="E1198" s="1">
        <v>42934</v>
      </c>
      <c r="F1198" s="2">
        <v>0.55645833333333339</v>
      </c>
      <c r="G1198" s="2">
        <v>0.55648148148148147</v>
      </c>
      <c r="H1198" s="2">
        <f t="shared" si="75"/>
        <v>2.3148148148077752E-5</v>
      </c>
      <c r="K1198" s="1"/>
    </row>
    <row r="1199" spans="1:11" x14ac:dyDescent="0.25">
      <c r="A1199" s="6">
        <v>4454837</v>
      </c>
      <c r="B1199" t="str">
        <f t="shared" si="72"/>
        <v>stacjonarny</v>
      </c>
      <c r="C1199">
        <f t="shared" si="73"/>
        <v>0</v>
      </c>
      <c r="D1199">
        <f t="shared" si="74"/>
        <v>0</v>
      </c>
      <c r="E1199" s="1">
        <v>42934</v>
      </c>
      <c r="F1199" s="2">
        <v>0.5621990740740741</v>
      </c>
      <c r="G1199" s="2">
        <v>0.56353009259259257</v>
      </c>
      <c r="H1199" s="2">
        <f t="shared" si="75"/>
        <v>1.3310185185184675E-3</v>
      </c>
      <c r="K1199" s="1"/>
    </row>
    <row r="1200" spans="1:11" x14ac:dyDescent="0.25">
      <c r="A1200" s="6">
        <v>6999348</v>
      </c>
      <c r="B1200" t="str">
        <f t="shared" si="72"/>
        <v>stacjonarny</v>
      </c>
      <c r="C1200">
        <f t="shared" si="73"/>
        <v>0</v>
      </c>
      <c r="D1200">
        <f t="shared" si="74"/>
        <v>0</v>
      </c>
      <c r="E1200" s="1">
        <v>42934</v>
      </c>
      <c r="F1200" s="2">
        <v>0.56714120370370369</v>
      </c>
      <c r="G1200" s="2">
        <v>0.56869212962962967</v>
      </c>
      <c r="H1200" s="2">
        <f t="shared" si="75"/>
        <v>1.5509259259259833E-3</v>
      </c>
      <c r="K1200" s="1"/>
    </row>
    <row r="1201" spans="1:11" x14ac:dyDescent="0.25">
      <c r="A1201" s="6">
        <v>90884366</v>
      </c>
      <c r="B1201" t="str">
        <f t="shared" si="72"/>
        <v>komorkowy</v>
      </c>
      <c r="C1201">
        <f t="shared" si="73"/>
        <v>0</v>
      </c>
      <c r="D1201">
        <f t="shared" si="74"/>
        <v>0</v>
      </c>
      <c r="E1201" s="1">
        <v>42934</v>
      </c>
      <c r="F1201" s="2">
        <v>0.57276620370370368</v>
      </c>
      <c r="G1201" s="2">
        <v>0.57995370370370369</v>
      </c>
      <c r="H1201" s="2">
        <f t="shared" si="75"/>
        <v>7.1875000000000133E-3</v>
      </c>
      <c r="K1201" s="1"/>
    </row>
    <row r="1202" spans="1:11" x14ac:dyDescent="0.25">
      <c r="A1202" s="6">
        <v>3121640</v>
      </c>
      <c r="B1202" t="str">
        <f t="shared" si="72"/>
        <v>stacjonarny</v>
      </c>
      <c r="C1202">
        <f t="shared" si="73"/>
        <v>0</v>
      </c>
      <c r="D1202">
        <f t="shared" si="74"/>
        <v>0</v>
      </c>
      <c r="E1202" s="1">
        <v>42934</v>
      </c>
      <c r="F1202" s="2">
        <v>0.57841435185185186</v>
      </c>
      <c r="G1202" s="2">
        <v>0.58364583333333331</v>
      </c>
      <c r="H1202" s="2">
        <f t="shared" si="75"/>
        <v>5.2314814814814481E-3</v>
      </c>
      <c r="K1202" s="1"/>
    </row>
    <row r="1203" spans="1:11" x14ac:dyDescent="0.25">
      <c r="A1203" s="6">
        <v>5912710</v>
      </c>
      <c r="B1203" t="str">
        <f t="shared" si="72"/>
        <v>stacjonarny</v>
      </c>
      <c r="C1203">
        <f t="shared" si="73"/>
        <v>0</v>
      </c>
      <c r="D1203">
        <f t="shared" si="74"/>
        <v>0</v>
      </c>
      <c r="E1203" s="1">
        <v>42934</v>
      </c>
      <c r="F1203" s="2">
        <v>0.57988425925925924</v>
      </c>
      <c r="G1203" s="2">
        <v>0.58928240740740745</v>
      </c>
      <c r="H1203" s="2">
        <f t="shared" si="75"/>
        <v>9.398148148148211E-3</v>
      </c>
      <c r="K1203" s="1"/>
    </row>
    <row r="1204" spans="1:11" x14ac:dyDescent="0.25">
      <c r="A1204" s="6">
        <v>7118082</v>
      </c>
      <c r="B1204" t="str">
        <f t="shared" si="72"/>
        <v>stacjonarny</v>
      </c>
      <c r="C1204">
        <f t="shared" si="73"/>
        <v>0</v>
      </c>
      <c r="D1204">
        <f t="shared" si="74"/>
        <v>0</v>
      </c>
      <c r="E1204" s="1">
        <v>42934</v>
      </c>
      <c r="F1204" s="2">
        <v>0.58524305555555556</v>
      </c>
      <c r="G1204" s="2">
        <v>0.591400462962963</v>
      </c>
      <c r="H1204" s="2">
        <f t="shared" si="75"/>
        <v>6.1574074074074447E-3</v>
      </c>
      <c r="K1204" s="1"/>
    </row>
    <row r="1205" spans="1:11" x14ac:dyDescent="0.25">
      <c r="A1205" s="6">
        <v>9100303</v>
      </c>
      <c r="B1205" t="str">
        <f t="shared" si="72"/>
        <v>stacjonarny</v>
      </c>
      <c r="C1205">
        <f t="shared" si="73"/>
        <v>0</v>
      </c>
      <c r="D1205">
        <f t="shared" si="74"/>
        <v>0</v>
      </c>
      <c r="E1205" s="1">
        <v>42934</v>
      </c>
      <c r="F1205" s="2">
        <v>0.58543981481481477</v>
      </c>
      <c r="G1205" s="2">
        <v>0.58929398148148149</v>
      </c>
      <c r="H1205" s="2">
        <f t="shared" si="75"/>
        <v>3.854166666666714E-3</v>
      </c>
      <c r="K1205" s="1"/>
    </row>
    <row r="1206" spans="1:11" x14ac:dyDescent="0.25">
      <c r="A1206" s="6">
        <v>25581178</v>
      </c>
      <c r="B1206" t="str">
        <f t="shared" si="72"/>
        <v>komorkowy</v>
      </c>
      <c r="C1206">
        <f t="shared" si="73"/>
        <v>0</v>
      </c>
      <c r="D1206">
        <f t="shared" si="74"/>
        <v>0</v>
      </c>
      <c r="E1206" s="1">
        <v>42934</v>
      </c>
      <c r="F1206" s="2">
        <v>0.58942129629629625</v>
      </c>
      <c r="G1206" s="2">
        <v>0.59734953703703708</v>
      </c>
      <c r="H1206" s="2">
        <f t="shared" si="75"/>
        <v>7.9282407407408328E-3</v>
      </c>
      <c r="K1206" s="1"/>
    </row>
    <row r="1207" spans="1:11" x14ac:dyDescent="0.25">
      <c r="A1207" s="6">
        <v>78976022</v>
      </c>
      <c r="B1207" t="str">
        <f t="shared" si="72"/>
        <v>komorkowy</v>
      </c>
      <c r="C1207">
        <f t="shared" si="73"/>
        <v>0</v>
      </c>
      <c r="D1207">
        <f t="shared" si="74"/>
        <v>0</v>
      </c>
      <c r="E1207" s="1">
        <v>42934</v>
      </c>
      <c r="F1207" s="2">
        <v>0.59495370370370371</v>
      </c>
      <c r="G1207" s="2">
        <v>0.5965625</v>
      </c>
      <c r="H1207" s="2">
        <f t="shared" si="75"/>
        <v>1.6087962962962887E-3</v>
      </c>
      <c r="K1207" s="1"/>
    </row>
    <row r="1208" spans="1:11" x14ac:dyDescent="0.25">
      <c r="A1208" s="6">
        <v>7781904</v>
      </c>
      <c r="B1208" t="str">
        <f t="shared" si="72"/>
        <v>stacjonarny</v>
      </c>
      <c r="C1208">
        <f t="shared" si="73"/>
        <v>0</v>
      </c>
      <c r="D1208">
        <f t="shared" si="74"/>
        <v>0</v>
      </c>
      <c r="E1208" s="1">
        <v>42934</v>
      </c>
      <c r="F1208" s="2">
        <v>0.59964120370370366</v>
      </c>
      <c r="G1208" s="2">
        <v>0.60444444444444445</v>
      </c>
      <c r="H1208" s="2">
        <f t="shared" si="75"/>
        <v>4.8032407407407884E-3</v>
      </c>
      <c r="K1208" s="1"/>
    </row>
    <row r="1209" spans="1:11" x14ac:dyDescent="0.25">
      <c r="A1209" s="6">
        <v>7473804</v>
      </c>
      <c r="B1209" t="str">
        <f t="shared" si="72"/>
        <v>stacjonarny</v>
      </c>
      <c r="C1209">
        <f t="shared" si="73"/>
        <v>0</v>
      </c>
      <c r="D1209">
        <f t="shared" si="74"/>
        <v>0</v>
      </c>
      <c r="E1209" s="1">
        <v>42934</v>
      </c>
      <c r="F1209" s="2">
        <v>0.60268518518518521</v>
      </c>
      <c r="G1209" s="2">
        <v>0.60929398148148151</v>
      </c>
      <c r="H1209" s="2">
        <f t="shared" si="75"/>
        <v>6.6087962962962932E-3</v>
      </c>
      <c r="K1209" s="1"/>
    </row>
    <row r="1210" spans="1:11" x14ac:dyDescent="0.25">
      <c r="A1210" s="6">
        <v>8474693946</v>
      </c>
      <c r="B1210" t="str">
        <f t="shared" si="72"/>
        <v>zagraniczny</v>
      </c>
      <c r="C1210">
        <f t="shared" si="73"/>
        <v>0</v>
      </c>
      <c r="D1210">
        <f t="shared" si="74"/>
        <v>0</v>
      </c>
      <c r="E1210" s="1">
        <v>42934</v>
      </c>
      <c r="F1210" s="2">
        <v>0.60423611111111108</v>
      </c>
      <c r="G1210" s="2">
        <v>0.61535879629629631</v>
      </c>
      <c r="H1210" s="2">
        <f t="shared" si="75"/>
        <v>1.1122685185185222E-2</v>
      </c>
      <c r="K1210" s="1"/>
    </row>
    <row r="1211" spans="1:11" x14ac:dyDescent="0.25">
      <c r="A1211" s="6">
        <v>8984769</v>
      </c>
      <c r="B1211" t="str">
        <f t="shared" si="72"/>
        <v>stacjonarny</v>
      </c>
      <c r="C1211">
        <f t="shared" si="73"/>
        <v>0</v>
      </c>
      <c r="D1211">
        <f t="shared" si="74"/>
        <v>0</v>
      </c>
      <c r="E1211" s="1">
        <v>42934</v>
      </c>
      <c r="F1211" s="2">
        <v>0.60932870370370373</v>
      </c>
      <c r="G1211" s="2">
        <v>0.61124999999999996</v>
      </c>
      <c r="H1211" s="2">
        <f t="shared" si="75"/>
        <v>1.9212962962962266E-3</v>
      </c>
      <c r="K1211" s="1"/>
    </row>
    <row r="1212" spans="1:11" x14ac:dyDescent="0.25">
      <c r="A1212" s="6">
        <v>40395856</v>
      </c>
      <c r="B1212" t="str">
        <f t="shared" si="72"/>
        <v>komorkowy</v>
      </c>
      <c r="C1212">
        <f t="shared" si="73"/>
        <v>0</v>
      </c>
      <c r="D1212">
        <f t="shared" si="74"/>
        <v>0</v>
      </c>
      <c r="E1212" s="1">
        <v>42934</v>
      </c>
      <c r="F1212" s="2">
        <v>0.61365740740740737</v>
      </c>
      <c r="G1212" s="2">
        <v>0.61829861111111106</v>
      </c>
      <c r="H1212" s="2">
        <f t="shared" si="75"/>
        <v>4.6412037037036891E-3</v>
      </c>
      <c r="K1212" s="1"/>
    </row>
    <row r="1213" spans="1:11" x14ac:dyDescent="0.25">
      <c r="A1213" s="6">
        <v>9728932</v>
      </c>
      <c r="B1213" t="str">
        <f t="shared" si="72"/>
        <v>stacjonarny</v>
      </c>
      <c r="C1213">
        <f t="shared" si="73"/>
        <v>0</v>
      </c>
      <c r="D1213">
        <f t="shared" si="74"/>
        <v>0</v>
      </c>
      <c r="E1213" s="1">
        <v>42934</v>
      </c>
      <c r="F1213" s="2">
        <v>0.61675925925925923</v>
      </c>
      <c r="G1213" s="2">
        <v>0.61790509259259263</v>
      </c>
      <c r="H1213" s="2">
        <f t="shared" si="75"/>
        <v>1.1458333333334014E-3</v>
      </c>
      <c r="K1213" s="1"/>
    </row>
    <row r="1214" spans="1:11" x14ac:dyDescent="0.25">
      <c r="A1214" s="6">
        <v>8135542</v>
      </c>
      <c r="B1214" t="str">
        <f t="shared" si="72"/>
        <v>stacjonarny</v>
      </c>
      <c r="C1214">
        <f t="shared" si="73"/>
        <v>0</v>
      </c>
      <c r="D1214">
        <f t="shared" si="74"/>
        <v>0</v>
      </c>
      <c r="E1214" s="1">
        <v>42934</v>
      </c>
      <c r="F1214" s="2">
        <v>0.62184027777777773</v>
      </c>
      <c r="G1214" s="2">
        <v>0.63255787037037037</v>
      </c>
      <c r="H1214" s="2">
        <f t="shared" si="75"/>
        <v>1.071759259259264E-2</v>
      </c>
      <c r="K1214" s="1"/>
    </row>
    <row r="1215" spans="1:11" x14ac:dyDescent="0.25">
      <c r="A1215" s="6">
        <v>10093488</v>
      </c>
      <c r="B1215" t="str">
        <f t="shared" si="72"/>
        <v>komorkowy</v>
      </c>
      <c r="C1215">
        <f t="shared" si="73"/>
        <v>0</v>
      </c>
      <c r="D1215">
        <f t="shared" si="74"/>
        <v>0</v>
      </c>
      <c r="E1215" s="1">
        <v>42934</v>
      </c>
      <c r="F1215" s="2">
        <v>0.62197916666666664</v>
      </c>
      <c r="G1215" s="2">
        <v>0.62238425925925922</v>
      </c>
      <c r="H1215" s="2">
        <f t="shared" si="75"/>
        <v>4.050925925925819E-4</v>
      </c>
      <c r="K1215" s="1"/>
    </row>
    <row r="1216" spans="1:11" x14ac:dyDescent="0.25">
      <c r="A1216" s="6">
        <v>4203418</v>
      </c>
      <c r="B1216" t="str">
        <f t="shared" si="72"/>
        <v>stacjonarny</v>
      </c>
      <c r="C1216">
        <f t="shared" si="73"/>
        <v>0</v>
      </c>
      <c r="D1216">
        <f t="shared" si="74"/>
        <v>0</v>
      </c>
      <c r="E1216" s="1">
        <v>42934</v>
      </c>
      <c r="F1216" s="2">
        <v>0.62556712962962968</v>
      </c>
      <c r="G1216" s="2">
        <v>0.63491898148148151</v>
      </c>
      <c r="H1216" s="2">
        <f t="shared" si="75"/>
        <v>9.3518518518518334E-3</v>
      </c>
      <c r="K1216" s="1"/>
    </row>
    <row r="1217" spans="1:11" x14ac:dyDescent="0.25">
      <c r="A1217" s="6">
        <v>2456290</v>
      </c>
      <c r="B1217" t="str">
        <f t="shared" si="72"/>
        <v>stacjonarny</v>
      </c>
      <c r="C1217">
        <f t="shared" si="73"/>
        <v>0</v>
      </c>
      <c r="D1217">
        <f t="shared" si="74"/>
        <v>0</v>
      </c>
      <c r="E1217" s="1">
        <v>42935</v>
      </c>
      <c r="F1217" s="2">
        <v>0.33592592592592591</v>
      </c>
      <c r="G1217" s="2">
        <v>0.34680555555555553</v>
      </c>
      <c r="H1217" s="2">
        <f t="shared" si="75"/>
        <v>1.0879629629629628E-2</v>
      </c>
      <c r="K1217" s="1"/>
    </row>
    <row r="1218" spans="1:11" x14ac:dyDescent="0.25">
      <c r="A1218" s="6">
        <v>27610972</v>
      </c>
      <c r="B1218" t="str">
        <f t="shared" ref="B1218:B1281" si="76">IF(LEN(A1218)=7, "stacjonarny", IF(LEN(A1218)=8, "komorkowy", "zagraniczny"))</f>
        <v>komorkowy</v>
      </c>
      <c r="C1218">
        <f t="shared" si="73"/>
        <v>0</v>
      </c>
      <c r="D1218">
        <f t="shared" si="74"/>
        <v>0</v>
      </c>
      <c r="E1218" s="1">
        <v>42935</v>
      </c>
      <c r="F1218" s="2">
        <v>0.33888888888888891</v>
      </c>
      <c r="G1218" s="2">
        <v>0.3502777777777778</v>
      </c>
      <c r="H1218" s="2">
        <f t="shared" si="75"/>
        <v>1.1388888888888893E-2</v>
      </c>
      <c r="K1218" s="1"/>
    </row>
    <row r="1219" spans="1:11" x14ac:dyDescent="0.25">
      <c r="A1219" s="6">
        <v>3073815</v>
      </c>
      <c r="B1219" t="str">
        <f t="shared" si="76"/>
        <v>stacjonarny</v>
      </c>
      <c r="C1219">
        <f t="shared" ref="C1219:C1282" si="77">IF(LEFT(A1219,2)="12",1,0)</f>
        <v>0</v>
      </c>
      <c r="D1219">
        <f t="shared" ref="D1219:D1282" si="78">IF(AND(C1219=1,B1219="stacjonarny"),1,0)</f>
        <v>0</v>
      </c>
      <c r="E1219" s="1">
        <v>42935</v>
      </c>
      <c r="F1219" s="2">
        <v>0.34309027777777779</v>
      </c>
      <c r="G1219" s="2">
        <v>0.34798611111111111</v>
      </c>
      <c r="H1219" s="2">
        <f t="shared" ref="H1219:H1282" si="79">G1219-F1219</f>
        <v>4.8958333333333215E-3</v>
      </c>
      <c r="K1219" s="1"/>
    </row>
    <row r="1220" spans="1:11" x14ac:dyDescent="0.25">
      <c r="A1220" s="6">
        <v>9776810</v>
      </c>
      <c r="B1220" t="str">
        <f t="shared" si="76"/>
        <v>stacjonarny</v>
      </c>
      <c r="C1220">
        <f t="shared" si="77"/>
        <v>0</v>
      </c>
      <c r="D1220">
        <f t="shared" si="78"/>
        <v>0</v>
      </c>
      <c r="E1220" s="1">
        <v>42935</v>
      </c>
      <c r="F1220" s="2">
        <v>0.34704861111111113</v>
      </c>
      <c r="G1220" s="2">
        <v>0.35386574074074073</v>
      </c>
      <c r="H1220" s="2">
        <f t="shared" si="79"/>
        <v>6.8171296296296036E-3</v>
      </c>
      <c r="K1220" s="1"/>
    </row>
    <row r="1221" spans="1:11" x14ac:dyDescent="0.25">
      <c r="A1221" s="6">
        <v>6763741</v>
      </c>
      <c r="B1221" t="str">
        <f t="shared" si="76"/>
        <v>stacjonarny</v>
      </c>
      <c r="C1221">
        <f t="shared" si="77"/>
        <v>0</v>
      </c>
      <c r="D1221">
        <f t="shared" si="78"/>
        <v>0</v>
      </c>
      <c r="E1221" s="1">
        <v>42935</v>
      </c>
      <c r="F1221" s="2">
        <v>0.35040509259259262</v>
      </c>
      <c r="G1221" s="2">
        <v>0.35600694444444442</v>
      </c>
      <c r="H1221" s="2">
        <f t="shared" si="79"/>
        <v>5.6018518518518023E-3</v>
      </c>
      <c r="K1221" s="1"/>
    </row>
    <row r="1222" spans="1:11" x14ac:dyDescent="0.25">
      <c r="A1222" s="6">
        <v>2309436</v>
      </c>
      <c r="B1222" t="str">
        <f t="shared" si="76"/>
        <v>stacjonarny</v>
      </c>
      <c r="C1222">
        <f t="shared" si="77"/>
        <v>0</v>
      </c>
      <c r="D1222">
        <f t="shared" si="78"/>
        <v>0</v>
      </c>
      <c r="E1222" s="1">
        <v>42935</v>
      </c>
      <c r="F1222" s="2">
        <v>0.35304398148148147</v>
      </c>
      <c r="G1222" s="2">
        <v>0.35793981481481479</v>
      </c>
      <c r="H1222" s="2">
        <f t="shared" si="79"/>
        <v>4.8958333333333215E-3</v>
      </c>
      <c r="K1222" s="1"/>
    </row>
    <row r="1223" spans="1:11" x14ac:dyDescent="0.25">
      <c r="A1223" s="6">
        <v>3131883</v>
      </c>
      <c r="B1223" t="str">
        <f t="shared" si="76"/>
        <v>stacjonarny</v>
      </c>
      <c r="C1223">
        <f t="shared" si="77"/>
        <v>0</v>
      </c>
      <c r="D1223">
        <f t="shared" si="78"/>
        <v>0</v>
      </c>
      <c r="E1223" s="1">
        <v>42935</v>
      </c>
      <c r="F1223" s="2">
        <v>0.35712962962962963</v>
      </c>
      <c r="G1223" s="2">
        <v>0.36243055555555553</v>
      </c>
      <c r="H1223" s="2">
        <f t="shared" si="79"/>
        <v>5.3009259259259034E-3</v>
      </c>
      <c r="K1223" s="1"/>
    </row>
    <row r="1224" spans="1:11" x14ac:dyDescent="0.25">
      <c r="A1224" s="6">
        <v>69001821</v>
      </c>
      <c r="B1224" t="str">
        <f t="shared" si="76"/>
        <v>komorkowy</v>
      </c>
      <c r="C1224">
        <f t="shared" si="77"/>
        <v>0</v>
      </c>
      <c r="D1224">
        <f t="shared" si="78"/>
        <v>0</v>
      </c>
      <c r="E1224" s="1">
        <v>42935</v>
      </c>
      <c r="F1224" s="2">
        <v>0.35835648148148147</v>
      </c>
      <c r="G1224" s="2">
        <v>0.36712962962962964</v>
      </c>
      <c r="H1224" s="2">
        <f t="shared" si="79"/>
        <v>8.7731481481481688E-3</v>
      </c>
      <c r="K1224" s="1"/>
    </row>
    <row r="1225" spans="1:11" x14ac:dyDescent="0.25">
      <c r="A1225" s="6">
        <v>2150051</v>
      </c>
      <c r="B1225" t="str">
        <f t="shared" si="76"/>
        <v>stacjonarny</v>
      </c>
      <c r="C1225">
        <f t="shared" si="77"/>
        <v>0</v>
      </c>
      <c r="D1225">
        <f t="shared" si="78"/>
        <v>0</v>
      </c>
      <c r="E1225" s="1">
        <v>42935</v>
      </c>
      <c r="F1225" s="2">
        <v>0.36310185185185184</v>
      </c>
      <c r="G1225" s="2">
        <v>0.36723379629629632</v>
      </c>
      <c r="H1225" s="2">
        <f t="shared" si="79"/>
        <v>4.1319444444444797E-3</v>
      </c>
      <c r="K1225" s="1"/>
    </row>
    <row r="1226" spans="1:11" x14ac:dyDescent="0.25">
      <c r="A1226" s="6">
        <v>9967523741</v>
      </c>
      <c r="B1226" t="str">
        <f t="shared" si="76"/>
        <v>zagraniczny</v>
      </c>
      <c r="C1226">
        <f t="shared" si="77"/>
        <v>0</v>
      </c>
      <c r="D1226">
        <f t="shared" si="78"/>
        <v>0</v>
      </c>
      <c r="E1226" s="1">
        <v>42935</v>
      </c>
      <c r="F1226" s="2">
        <v>0.36886574074074074</v>
      </c>
      <c r="G1226" s="2">
        <v>0.37324074074074076</v>
      </c>
      <c r="H1226" s="2">
        <f t="shared" si="79"/>
        <v>4.3750000000000178E-3</v>
      </c>
      <c r="K1226" s="1"/>
    </row>
    <row r="1227" spans="1:11" x14ac:dyDescent="0.25">
      <c r="A1227" s="6">
        <v>23300236</v>
      </c>
      <c r="B1227" t="str">
        <f t="shared" si="76"/>
        <v>komorkowy</v>
      </c>
      <c r="C1227">
        <f t="shared" si="77"/>
        <v>0</v>
      </c>
      <c r="D1227">
        <f t="shared" si="78"/>
        <v>0</v>
      </c>
      <c r="E1227" s="1">
        <v>42935</v>
      </c>
      <c r="F1227" s="2">
        <v>0.37094907407407407</v>
      </c>
      <c r="G1227" s="2">
        <v>0.37517361111111114</v>
      </c>
      <c r="H1227" s="2">
        <f t="shared" si="79"/>
        <v>4.2245370370370683E-3</v>
      </c>
      <c r="K1227" s="1"/>
    </row>
    <row r="1228" spans="1:11" x14ac:dyDescent="0.25">
      <c r="A1228" s="6">
        <v>4714815</v>
      </c>
      <c r="B1228" t="str">
        <f t="shared" si="76"/>
        <v>stacjonarny</v>
      </c>
      <c r="C1228">
        <f t="shared" si="77"/>
        <v>0</v>
      </c>
      <c r="D1228">
        <f t="shared" si="78"/>
        <v>0</v>
      </c>
      <c r="E1228" s="1">
        <v>42935</v>
      </c>
      <c r="F1228" s="2">
        <v>0.37484953703703705</v>
      </c>
      <c r="G1228" s="2">
        <v>0.38143518518518521</v>
      </c>
      <c r="H1228" s="2">
        <f t="shared" si="79"/>
        <v>6.5856481481481599E-3</v>
      </c>
      <c r="K1228" s="1"/>
    </row>
    <row r="1229" spans="1:11" x14ac:dyDescent="0.25">
      <c r="A1229" s="6">
        <v>80038636</v>
      </c>
      <c r="B1229" t="str">
        <f t="shared" si="76"/>
        <v>komorkowy</v>
      </c>
      <c r="C1229">
        <f t="shared" si="77"/>
        <v>0</v>
      </c>
      <c r="D1229">
        <f t="shared" si="78"/>
        <v>0</v>
      </c>
      <c r="E1229" s="1">
        <v>42935</v>
      </c>
      <c r="F1229" s="2">
        <v>0.38028935185185186</v>
      </c>
      <c r="G1229" s="2">
        <v>0.38239583333333332</v>
      </c>
      <c r="H1229" s="2">
        <f t="shared" si="79"/>
        <v>2.1064814814814592E-3</v>
      </c>
      <c r="K1229" s="1"/>
    </row>
    <row r="1230" spans="1:11" x14ac:dyDescent="0.25">
      <c r="A1230" s="6">
        <v>47596793</v>
      </c>
      <c r="B1230" t="str">
        <f t="shared" si="76"/>
        <v>komorkowy</v>
      </c>
      <c r="C1230">
        <f t="shared" si="77"/>
        <v>0</v>
      </c>
      <c r="D1230">
        <f t="shared" si="78"/>
        <v>0</v>
      </c>
      <c r="E1230" s="1">
        <v>42935</v>
      </c>
      <c r="F1230" s="2">
        <v>0.38059027777777776</v>
      </c>
      <c r="G1230" s="2">
        <v>0.38280092592592591</v>
      </c>
      <c r="H1230" s="2">
        <f t="shared" si="79"/>
        <v>2.2106481481481421E-3</v>
      </c>
      <c r="K1230" s="1"/>
    </row>
    <row r="1231" spans="1:11" x14ac:dyDescent="0.25">
      <c r="A1231" s="6">
        <v>6574044</v>
      </c>
      <c r="B1231" t="str">
        <f t="shared" si="76"/>
        <v>stacjonarny</v>
      </c>
      <c r="C1231">
        <f t="shared" si="77"/>
        <v>0</v>
      </c>
      <c r="D1231">
        <f t="shared" si="78"/>
        <v>0</v>
      </c>
      <c r="E1231" s="1">
        <v>42935</v>
      </c>
      <c r="F1231" s="2">
        <v>0.38173611111111111</v>
      </c>
      <c r="G1231" s="2">
        <v>0.38915509259259257</v>
      </c>
      <c r="H1231" s="2">
        <f t="shared" si="79"/>
        <v>7.418981481481457E-3</v>
      </c>
      <c r="K1231" s="1"/>
    </row>
    <row r="1232" spans="1:11" x14ac:dyDescent="0.25">
      <c r="A1232" s="6">
        <v>9475290</v>
      </c>
      <c r="B1232" t="str">
        <f t="shared" si="76"/>
        <v>stacjonarny</v>
      </c>
      <c r="C1232">
        <f t="shared" si="77"/>
        <v>0</v>
      </c>
      <c r="D1232">
        <f t="shared" si="78"/>
        <v>0</v>
      </c>
      <c r="E1232" s="1">
        <v>42935</v>
      </c>
      <c r="F1232" s="2">
        <v>0.38512731481481483</v>
      </c>
      <c r="G1232" s="2">
        <v>0.3947222222222222</v>
      </c>
      <c r="H1232" s="2">
        <f t="shared" si="79"/>
        <v>9.5949074074073715E-3</v>
      </c>
      <c r="K1232" s="1"/>
    </row>
    <row r="1233" spans="1:11" x14ac:dyDescent="0.25">
      <c r="A1233" s="6">
        <v>4458725</v>
      </c>
      <c r="B1233" t="str">
        <f t="shared" si="76"/>
        <v>stacjonarny</v>
      </c>
      <c r="C1233">
        <f t="shared" si="77"/>
        <v>0</v>
      </c>
      <c r="D1233">
        <f t="shared" si="78"/>
        <v>0</v>
      </c>
      <c r="E1233" s="1">
        <v>42935</v>
      </c>
      <c r="F1233" s="2">
        <v>0.38533564814814814</v>
      </c>
      <c r="G1233" s="2">
        <v>0.39521990740740742</v>
      </c>
      <c r="H1233" s="2">
        <f t="shared" si="79"/>
        <v>9.8842592592592871E-3</v>
      </c>
      <c r="K1233" s="1"/>
    </row>
    <row r="1234" spans="1:11" x14ac:dyDescent="0.25">
      <c r="A1234" s="6">
        <v>4785864</v>
      </c>
      <c r="B1234" t="str">
        <f t="shared" si="76"/>
        <v>stacjonarny</v>
      </c>
      <c r="C1234">
        <f t="shared" si="77"/>
        <v>0</v>
      </c>
      <c r="D1234">
        <f t="shared" si="78"/>
        <v>0</v>
      </c>
      <c r="E1234" s="1">
        <v>42935</v>
      </c>
      <c r="F1234" s="2">
        <v>0.38833333333333331</v>
      </c>
      <c r="G1234" s="2">
        <v>0.39069444444444446</v>
      </c>
      <c r="H1234" s="2">
        <f t="shared" si="79"/>
        <v>2.3611111111111471E-3</v>
      </c>
      <c r="K1234" s="1"/>
    </row>
    <row r="1235" spans="1:11" x14ac:dyDescent="0.25">
      <c r="A1235" s="6">
        <v>3109039</v>
      </c>
      <c r="B1235" t="str">
        <f t="shared" si="76"/>
        <v>stacjonarny</v>
      </c>
      <c r="C1235">
        <f t="shared" si="77"/>
        <v>0</v>
      </c>
      <c r="D1235">
        <f t="shared" si="78"/>
        <v>0</v>
      </c>
      <c r="E1235" s="1">
        <v>42935</v>
      </c>
      <c r="F1235" s="2">
        <v>0.38979166666666665</v>
      </c>
      <c r="G1235" s="2">
        <v>0.39171296296296299</v>
      </c>
      <c r="H1235" s="2">
        <f t="shared" si="79"/>
        <v>1.9212962962963376E-3</v>
      </c>
      <c r="K1235" s="1"/>
    </row>
    <row r="1236" spans="1:11" x14ac:dyDescent="0.25">
      <c r="A1236" s="6">
        <v>7340326</v>
      </c>
      <c r="B1236" t="str">
        <f t="shared" si="76"/>
        <v>stacjonarny</v>
      </c>
      <c r="C1236">
        <f t="shared" si="77"/>
        <v>0</v>
      </c>
      <c r="D1236">
        <f t="shared" si="78"/>
        <v>0</v>
      </c>
      <c r="E1236" s="1">
        <v>42935</v>
      </c>
      <c r="F1236" s="2">
        <v>0.3898611111111111</v>
      </c>
      <c r="G1236" s="2">
        <v>0.39067129629629632</v>
      </c>
      <c r="H1236" s="2">
        <f t="shared" si="79"/>
        <v>8.1018518518521931E-4</v>
      </c>
      <c r="K1236" s="1"/>
    </row>
    <row r="1237" spans="1:11" x14ac:dyDescent="0.25">
      <c r="A1237" s="6">
        <v>7865428</v>
      </c>
      <c r="B1237" t="str">
        <f t="shared" si="76"/>
        <v>stacjonarny</v>
      </c>
      <c r="C1237">
        <f t="shared" si="77"/>
        <v>0</v>
      </c>
      <c r="D1237">
        <f t="shared" si="78"/>
        <v>0</v>
      </c>
      <c r="E1237" s="1">
        <v>42935</v>
      </c>
      <c r="F1237" s="2">
        <v>0.3941898148148148</v>
      </c>
      <c r="G1237" s="2">
        <v>0.40530092592592593</v>
      </c>
      <c r="H1237" s="2">
        <f t="shared" si="79"/>
        <v>1.1111111111111127E-2</v>
      </c>
      <c r="K1237" s="1"/>
    </row>
    <row r="1238" spans="1:11" x14ac:dyDescent="0.25">
      <c r="A1238" s="6">
        <v>1467591</v>
      </c>
      <c r="B1238" t="str">
        <f t="shared" si="76"/>
        <v>stacjonarny</v>
      </c>
      <c r="C1238">
        <f t="shared" si="77"/>
        <v>0</v>
      </c>
      <c r="D1238">
        <f t="shared" si="78"/>
        <v>0</v>
      </c>
      <c r="E1238" s="1">
        <v>42935</v>
      </c>
      <c r="F1238" s="2">
        <v>0.39607638888888891</v>
      </c>
      <c r="G1238" s="2">
        <v>0.40442129629629631</v>
      </c>
      <c r="H1238" s="2">
        <f t="shared" si="79"/>
        <v>8.3449074074073981E-3</v>
      </c>
      <c r="K1238" s="1"/>
    </row>
    <row r="1239" spans="1:11" x14ac:dyDescent="0.25">
      <c r="A1239" s="6">
        <v>2475157</v>
      </c>
      <c r="B1239" t="str">
        <f t="shared" si="76"/>
        <v>stacjonarny</v>
      </c>
      <c r="C1239">
        <f t="shared" si="77"/>
        <v>0</v>
      </c>
      <c r="D1239">
        <f t="shared" si="78"/>
        <v>0</v>
      </c>
      <c r="E1239" s="1">
        <v>42935</v>
      </c>
      <c r="F1239" s="2">
        <v>0.39937499999999998</v>
      </c>
      <c r="G1239" s="2">
        <v>0.40332175925925928</v>
      </c>
      <c r="H1239" s="2">
        <f t="shared" si="79"/>
        <v>3.9467592592593026E-3</v>
      </c>
      <c r="K1239" s="1"/>
    </row>
    <row r="1240" spans="1:11" x14ac:dyDescent="0.25">
      <c r="A1240" s="6">
        <v>6023049</v>
      </c>
      <c r="B1240" t="str">
        <f t="shared" si="76"/>
        <v>stacjonarny</v>
      </c>
      <c r="C1240">
        <f t="shared" si="77"/>
        <v>0</v>
      </c>
      <c r="D1240">
        <f t="shared" si="78"/>
        <v>0</v>
      </c>
      <c r="E1240" s="1">
        <v>42935</v>
      </c>
      <c r="F1240" s="2">
        <v>0.39959490740740738</v>
      </c>
      <c r="G1240" s="2">
        <v>0.41099537037037037</v>
      </c>
      <c r="H1240" s="2">
        <f t="shared" si="79"/>
        <v>1.1400462962962987E-2</v>
      </c>
      <c r="K1240" s="1"/>
    </row>
    <row r="1241" spans="1:11" x14ac:dyDescent="0.25">
      <c r="A1241" s="6">
        <v>39210366</v>
      </c>
      <c r="B1241" t="str">
        <f t="shared" si="76"/>
        <v>komorkowy</v>
      </c>
      <c r="C1241">
        <f t="shared" si="77"/>
        <v>0</v>
      </c>
      <c r="D1241">
        <f t="shared" si="78"/>
        <v>0</v>
      </c>
      <c r="E1241" s="1">
        <v>42935</v>
      </c>
      <c r="F1241" s="2">
        <v>0.40234953703703702</v>
      </c>
      <c r="G1241" s="2">
        <v>0.40469907407407407</v>
      </c>
      <c r="H1241" s="2">
        <f t="shared" si="79"/>
        <v>2.3495370370370527E-3</v>
      </c>
      <c r="K1241" s="1"/>
    </row>
    <row r="1242" spans="1:11" x14ac:dyDescent="0.25">
      <c r="A1242" s="6">
        <v>90880011</v>
      </c>
      <c r="B1242" t="str">
        <f t="shared" si="76"/>
        <v>komorkowy</v>
      </c>
      <c r="C1242">
        <f t="shared" si="77"/>
        <v>0</v>
      </c>
      <c r="D1242">
        <f t="shared" si="78"/>
        <v>0</v>
      </c>
      <c r="E1242" s="1">
        <v>42935</v>
      </c>
      <c r="F1242" s="2">
        <v>0.40743055555555557</v>
      </c>
      <c r="G1242" s="2">
        <v>0.41255787037037039</v>
      </c>
      <c r="H1242" s="2">
        <f t="shared" si="79"/>
        <v>5.1273148148148207E-3</v>
      </c>
      <c r="K1242" s="1"/>
    </row>
    <row r="1243" spans="1:11" x14ac:dyDescent="0.25">
      <c r="A1243" s="6">
        <v>4469748</v>
      </c>
      <c r="B1243" t="str">
        <f t="shared" si="76"/>
        <v>stacjonarny</v>
      </c>
      <c r="C1243">
        <f t="shared" si="77"/>
        <v>0</v>
      </c>
      <c r="D1243">
        <f t="shared" si="78"/>
        <v>0</v>
      </c>
      <c r="E1243" s="1">
        <v>42935</v>
      </c>
      <c r="F1243" s="2">
        <v>0.41121527777777778</v>
      </c>
      <c r="G1243" s="2">
        <v>0.41483796296296294</v>
      </c>
      <c r="H1243" s="2">
        <f t="shared" si="79"/>
        <v>3.6226851851851594E-3</v>
      </c>
      <c r="K1243" s="1"/>
    </row>
    <row r="1244" spans="1:11" x14ac:dyDescent="0.25">
      <c r="A1244" s="6">
        <v>3931739393</v>
      </c>
      <c r="B1244" t="str">
        <f t="shared" si="76"/>
        <v>zagraniczny</v>
      </c>
      <c r="C1244">
        <f t="shared" si="77"/>
        <v>0</v>
      </c>
      <c r="D1244">
        <f t="shared" si="78"/>
        <v>0</v>
      </c>
      <c r="E1244" s="1">
        <v>42935</v>
      </c>
      <c r="F1244" s="2">
        <v>0.4127662037037037</v>
      </c>
      <c r="G1244" s="2">
        <v>0.42182870370370368</v>
      </c>
      <c r="H1244" s="2">
        <f t="shared" si="79"/>
        <v>9.0624999999999734E-3</v>
      </c>
      <c r="K1244" s="1"/>
    </row>
    <row r="1245" spans="1:11" x14ac:dyDescent="0.25">
      <c r="A1245" s="6">
        <v>4079013</v>
      </c>
      <c r="B1245" t="str">
        <f t="shared" si="76"/>
        <v>stacjonarny</v>
      </c>
      <c r="C1245">
        <f t="shared" si="77"/>
        <v>0</v>
      </c>
      <c r="D1245">
        <f t="shared" si="78"/>
        <v>0</v>
      </c>
      <c r="E1245" s="1">
        <v>42935</v>
      </c>
      <c r="F1245" s="2">
        <v>0.41616898148148146</v>
      </c>
      <c r="G1245" s="2">
        <v>0.41717592592592595</v>
      </c>
      <c r="H1245" s="2">
        <f t="shared" si="79"/>
        <v>1.0069444444444908E-3</v>
      </c>
      <c r="K1245" s="1"/>
    </row>
    <row r="1246" spans="1:11" x14ac:dyDescent="0.25">
      <c r="A1246" s="6">
        <v>7751076</v>
      </c>
      <c r="B1246" t="str">
        <f t="shared" si="76"/>
        <v>stacjonarny</v>
      </c>
      <c r="C1246">
        <f t="shared" si="77"/>
        <v>0</v>
      </c>
      <c r="D1246">
        <f t="shared" si="78"/>
        <v>0</v>
      </c>
      <c r="E1246" s="1">
        <v>42935</v>
      </c>
      <c r="F1246" s="2">
        <v>0.41996527777777776</v>
      </c>
      <c r="G1246" s="2">
        <v>0.42766203703703703</v>
      </c>
      <c r="H1246" s="2">
        <f t="shared" si="79"/>
        <v>7.6967592592592782E-3</v>
      </c>
      <c r="K1246" s="1"/>
    </row>
    <row r="1247" spans="1:11" x14ac:dyDescent="0.25">
      <c r="A1247" s="6">
        <v>27684909</v>
      </c>
      <c r="B1247" t="str">
        <f t="shared" si="76"/>
        <v>komorkowy</v>
      </c>
      <c r="C1247">
        <f t="shared" si="77"/>
        <v>0</v>
      </c>
      <c r="D1247">
        <f t="shared" si="78"/>
        <v>0</v>
      </c>
      <c r="E1247" s="1">
        <v>42935</v>
      </c>
      <c r="F1247" s="2">
        <v>0.42166666666666669</v>
      </c>
      <c r="G1247" s="2">
        <v>0.43111111111111111</v>
      </c>
      <c r="H1247" s="2">
        <f t="shared" si="79"/>
        <v>9.444444444444422E-3</v>
      </c>
      <c r="K1247" s="1"/>
    </row>
    <row r="1248" spans="1:11" x14ac:dyDescent="0.25">
      <c r="A1248" s="6">
        <v>1588418</v>
      </c>
      <c r="B1248" t="str">
        <f t="shared" si="76"/>
        <v>stacjonarny</v>
      </c>
      <c r="C1248">
        <f t="shared" si="77"/>
        <v>0</v>
      </c>
      <c r="D1248">
        <f t="shared" si="78"/>
        <v>0</v>
      </c>
      <c r="E1248" s="1">
        <v>42935</v>
      </c>
      <c r="F1248" s="2">
        <v>0.42422453703703705</v>
      </c>
      <c r="G1248" s="2">
        <v>0.43512731481481481</v>
      </c>
      <c r="H1248" s="2">
        <f t="shared" si="79"/>
        <v>1.0902777777777761E-2</v>
      </c>
      <c r="K1248" s="1"/>
    </row>
    <row r="1249" spans="1:11" x14ac:dyDescent="0.25">
      <c r="A1249" s="6">
        <v>5333653356</v>
      </c>
      <c r="B1249" t="str">
        <f t="shared" si="76"/>
        <v>zagraniczny</v>
      </c>
      <c r="C1249">
        <f t="shared" si="77"/>
        <v>0</v>
      </c>
      <c r="D1249">
        <f t="shared" si="78"/>
        <v>0</v>
      </c>
      <c r="E1249" s="1">
        <v>42935</v>
      </c>
      <c r="F1249" s="2">
        <v>0.42684027777777778</v>
      </c>
      <c r="G1249" s="2">
        <v>0.43207175925925928</v>
      </c>
      <c r="H1249" s="2">
        <f t="shared" si="79"/>
        <v>5.2314814814815036E-3</v>
      </c>
      <c r="K1249" s="1"/>
    </row>
    <row r="1250" spans="1:11" x14ac:dyDescent="0.25">
      <c r="A1250" s="6">
        <v>6305758</v>
      </c>
      <c r="B1250" t="str">
        <f t="shared" si="76"/>
        <v>stacjonarny</v>
      </c>
      <c r="C1250">
        <f t="shared" si="77"/>
        <v>0</v>
      </c>
      <c r="D1250">
        <f t="shared" si="78"/>
        <v>0</v>
      </c>
      <c r="E1250" s="1">
        <v>42935</v>
      </c>
      <c r="F1250" s="2">
        <v>0.42912037037037037</v>
      </c>
      <c r="G1250" s="2">
        <v>0.43425925925925923</v>
      </c>
      <c r="H1250" s="2">
        <f t="shared" si="79"/>
        <v>5.1388888888888595E-3</v>
      </c>
      <c r="K1250" s="1"/>
    </row>
    <row r="1251" spans="1:11" x14ac:dyDescent="0.25">
      <c r="A1251" s="6">
        <v>45373038</v>
      </c>
      <c r="B1251" t="str">
        <f t="shared" si="76"/>
        <v>komorkowy</v>
      </c>
      <c r="C1251">
        <f t="shared" si="77"/>
        <v>0</v>
      </c>
      <c r="D1251">
        <f t="shared" si="78"/>
        <v>0</v>
      </c>
      <c r="E1251" s="1">
        <v>42935</v>
      </c>
      <c r="F1251" s="2">
        <v>0.43180555555555555</v>
      </c>
      <c r="G1251" s="2">
        <v>0.44175925925925924</v>
      </c>
      <c r="H1251" s="2">
        <f t="shared" si="79"/>
        <v>9.9537037037036868E-3</v>
      </c>
      <c r="K1251" s="1"/>
    </row>
    <row r="1252" spans="1:11" x14ac:dyDescent="0.25">
      <c r="A1252" s="6">
        <v>7589993</v>
      </c>
      <c r="B1252" t="str">
        <f t="shared" si="76"/>
        <v>stacjonarny</v>
      </c>
      <c r="C1252">
        <f t="shared" si="77"/>
        <v>0</v>
      </c>
      <c r="D1252">
        <f t="shared" si="78"/>
        <v>0</v>
      </c>
      <c r="E1252" s="1">
        <v>42935</v>
      </c>
      <c r="F1252" s="2">
        <v>0.43185185185185188</v>
      </c>
      <c r="G1252" s="2">
        <v>0.4382638888888889</v>
      </c>
      <c r="H1252" s="2">
        <f t="shared" si="79"/>
        <v>6.4120370370370217E-3</v>
      </c>
      <c r="K1252" s="1"/>
    </row>
    <row r="1253" spans="1:11" x14ac:dyDescent="0.25">
      <c r="A1253" s="6">
        <v>5588421</v>
      </c>
      <c r="B1253" t="str">
        <f t="shared" si="76"/>
        <v>stacjonarny</v>
      </c>
      <c r="C1253">
        <f t="shared" si="77"/>
        <v>0</v>
      </c>
      <c r="D1253">
        <f t="shared" si="78"/>
        <v>0</v>
      </c>
      <c r="E1253" s="1">
        <v>42935</v>
      </c>
      <c r="F1253" s="2">
        <v>0.43365740740740738</v>
      </c>
      <c r="G1253" s="2">
        <v>0.43964120370370369</v>
      </c>
      <c r="H1253" s="2">
        <f t="shared" si="79"/>
        <v>5.9837962962963065E-3</v>
      </c>
      <c r="K1253" s="1"/>
    </row>
    <row r="1254" spans="1:11" x14ac:dyDescent="0.25">
      <c r="A1254" s="6">
        <v>9662407</v>
      </c>
      <c r="B1254" t="str">
        <f t="shared" si="76"/>
        <v>stacjonarny</v>
      </c>
      <c r="C1254">
        <f t="shared" si="77"/>
        <v>0</v>
      </c>
      <c r="D1254">
        <f t="shared" si="78"/>
        <v>0</v>
      </c>
      <c r="E1254" s="1">
        <v>42935</v>
      </c>
      <c r="F1254" s="2">
        <v>0.43509259259259259</v>
      </c>
      <c r="G1254" s="2">
        <v>0.44364583333333335</v>
      </c>
      <c r="H1254" s="2">
        <f t="shared" si="79"/>
        <v>8.553240740740764E-3</v>
      </c>
      <c r="K1254" s="1"/>
    </row>
    <row r="1255" spans="1:11" x14ac:dyDescent="0.25">
      <c r="A1255" s="6">
        <v>3422062</v>
      </c>
      <c r="B1255" t="str">
        <f t="shared" si="76"/>
        <v>stacjonarny</v>
      </c>
      <c r="C1255">
        <f t="shared" si="77"/>
        <v>0</v>
      </c>
      <c r="D1255">
        <f t="shared" si="78"/>
        <v>0</v>
      </c>
      <c r="E1255" s="1">
        <v>42935</v>
      </c>
      <c r="F1255" s="2">
        <v>0.43734953703703705</v>
      </c>
      <c r="G1255" s="2">
        <v>0.44071759259259258</v>
      </c>
      <c r="H1255" s="2">
        <f t="shared" si="79"/>
        <v>3.3680555555555269E-3</v>
      </c>
      <c r="K1255" s="1"/>
    </row>
    <row r="1256" spans="1:11" x14ac:dyDescent="0.25">
      <c r="A1256" s="6">
        <v>9305031</v>
      </c>
      <c r="B1256" t="str">
        <f t="shared" si="76"/>
        <v>stacjonarny</v>
      </c>
      <c r="C1256">
        <f t="shared" si="77"/>
        <v>0</v>
      </c>
      <c r="D1256">
        <f t="shared" si="78"/>
        <v>0</v>
      </c>
      <c r="E1256" s="1">
        <v>42935</v>
      </c>
      <c r="F1256" s="2">
        <v>0.43827546296296294</v>
      </c>
      <c r="G1256" s="2">
        <v>0.44968750000000002</v>
      </c>
      <c r="H1256" s="2">
        <f t="shared" si="79"/>
        <v>1.1412037037037082E-2</v>
      </c>
      <c r="K1256" s="1"/>
    </row>
    <row r="1257" spans="1:11" x14ac:dyDescent="0.25">
      <c r="A1257" s="6">
        <v>4911005</v>
      </c>
      <c r="B1257" t="str">
        <f t="shared" si="76"/>
        <v>stacjonarny</v>
      </c>
      <c r="C1257">
        <f t="shared" si="77"/>
        <v>0</v>
      </c>
      <c r="D1257">
        <f t="shared" si="78"/>
        <v>0</v>
      </c>
      <c r="E1257" s="1">
        <v>42935</v>
      </c>
      <c r="F1257" s="2">
        <v>0.44305555555555554</v>
      </c>
      <c r="G1257" s="2">
        <v>0.45006944444444447</v>
      </c>
      <c r="H1257" s="2">
        <f t="shared" si="79"/>
        <v>7.0138888888889306E-3</v>
      </c>
      <c r="K1257" s="1"/>
    </row>
    <row r="1258" spans="1:11" x14ac:dyDescent="0.25">
      <c r="A1258" s="6">
        <v>1391272</v>
      </c>
      <c r="B1258" t="str">
        <f t="shared" si="76"/>
        <v>stacjonarny</v>
      </c>
      <c r="C1258">
        <f t="shared" si="77"/>
        <v>0</v>
      </c>
      <c r="D1258">
        <f t="shared" si="78"/>
        <v>0</v>
      </c>
      <c r="E1258" s="1">
        <v>42935</v>
      </c>
      <c r="F1258" s="2">
        <v>0.44664351851851852</v>
      </c>
      <c r="G1258" s="2">
        <v>0.45725694444444442</v>
      </c>
      <c r="H1258" s="2">
        <f t="shared" si="79"/>
        <v>1.0613425925925901E-2</v>
      </c>
      <c r="K1258" s="1"/>
    </row>
    <row r="1259" spans="1:11" x14ac:dyDescent="0.25">
      <c r="A1259" s="6">
        <v>5027404</v>
      </c>
      <c r="B1259" t="str">
        <f t="shared" si="76"/>
        <v>stacjonarny</v>
      </c>
      <c r="C1259">
        <f t="shared" si="77"/>
        <v>0</v>
      </c>
      <c r="D1259">
        <f t="shared" si="78"/>
        <v>0</v>
      </c>
      <c r="E1259" s="1">
        <v>42935</v>
      </c>
      <c r="F1259" s="2">
        <v>0.45211805555555556</v>
      </c>
      <c r="G1259" s="2">
        <v>0.4598726851851852</v>
      </c>
      <c r="H1259" s="2">
        <f t="shared" si="79"/>
        <v>7.7546296296296391E-3</v>
      </c>
      <c r="K1259" s="1"/>
    </row>
    <row r="1260" spans="1:11" x14ac:dyDescent="0.25">
      <c r="A1260" s="6">
        <v>38244568</v>
      </c>
      <c r="B1260" t="str">
        <f t="shared" si="76"/>
        <v>komorkowy</v>
      </c>
      <c r="C1260">
        <f t="shared" si="77"/>
        <v>0</v>
      </c>
      <c r="D1260">
        <f t="shared" si="78"/>
        <v>0</v>
      </c>
      <c r="E1260" s="1">
        <v>42935</v>
      </c>
      <c r="F1260" s="2">
        <v>0.45768518518518519</v>
      </c>
      <c r="G1260" s="2">
        <v>0.45837962962962964</v>
      </c>
      <c r="H1260" s="2">
        <f t="shared" si="79"/>
        <v>6.9444444444444198E-4</v>
      </c>
      <c r="K1260" s="1"/>
    </row>
    <row r="1261" spans="1:11" x14ac:dyDescent="0.25">
      <c r="A1261" s="6">
        <v>64900068</v>
      </c>
      <c r="B1261" t="str">
        <f t="shared" si="76"/>
        <v>komorkowy</v>
      </c>
      <c r="C1261">
        <f t="shared" si="77"/>
        <v>0</v>
      </c>
      <c r="D1261">
        <f t="shared" si="78"/>
        <v>0</v>
      </c>
      <c r="E1261" s="1">
        <v>42935</v>
      </c>
      <c r="F1261" s="2">
        <v>0.46217592592592593</v>
      </c>
      <c r="G1261" s="2">
        <v>0.46263888888888888</v>
      </c>
      <c r="H1261" s="2">
        <f t="shared" si="79"/>
        <v>4.6296296296294281E-4</v>
      </c>
      <c r="K1261" s="1"/>
    </row>
    <row r="1262" spans="1:11" x14ac:dyDescent="0.25">
      <c r="A1262" s="6">
        <v>45015009</v>
      </c>
      <c r="B1262" t="str">
        <f t="shared" si="76"/>
        <v>komorkowy</v>
      </c>
      <c r="C1262">
        <f t="shared" si="77"/>
        <v>0</v>
      </c>
      <c r="D1262">
        <f t="shared" si="78"/>
        <v>0</v>
      </c>
      <c r="E1262" s="1">
        <v>42935</v>
      </c>
      <c r="F1262" s="2">
        <v>0.46546296296296297</v>
      </c>
      <c r="G1262" s="2">
        <v>0.4740509259259259</v>
      </c>
      <c r="H1262" s="2">
        <f t="shared" si="79"/>
        <v>8.5879629629629362E-3</v>
      </c>
      <c r="K1262" s="1"/>
    </row>
    <row r="1263" spans="1:11" x14ac:dyDescent="0.25">
      <c r="A1263" s="6">
        <v>20424852</v>
      </c>
      <c r="B1263" t="str">
        <f t="shared" si="76"/>
        <v>komorkowy</v>
      </c>
      <c r="C1263">
        <f t="shared" si="77"/>
        <v>0</v>
      </c>
      <c r="D1263">
        <f t="shared" si="78"/>
        <v>0</v>
      </c>
      <c r="E1263" s="1">
        <v>42935</v>
      </c>
      <c r="F1263" s="2">
        <v>0.46773148148148147</v>
      </c>
      <c r="G1263" s="2">
        <v>0.47054398148148147</v>
      </c>
      <c r="H1263" s="2">
        <f t="shared" si="79"/>
        <v>2.8124999999999956E-3</v>
      </c>
      <c r="K1263" s="1"/>
    </row>
    <row r="1264" spans="1:11" x14ac:dyDescent="0.25">
      <c r="A1264" s="6">
        <v>4471203</v>
      </c>
      <c r="B1264" t="str">
        <f t="shared" si="76"/>
        <v>stacjonarny</v>
      </c>
      <c r="C1264">
        <f t="shared" si="77"/>
        <v>0</v>
      </c>
      <c r="D1264">
        <f t="shared" si="78"/>
        <v>0</v>
      </c>
      <c r="E1264" s="1">
        <v>42935</v>
      </c>
      <c r="F1264" s="2">
        <v>0.47298611111111111</v>
      </c>
      <c r="G1264" s="2">
        <v>0.48247685185185185</v>
      </c>
      <c r="H1264" s="2">
        <f t="shared" si="79"/>
        <v>9.490740740740744E-3</v>
      </c>
      <c r="K1264" s="1"/>
    </row>
    <row r="1265" spans="1:11" x14ac:dyDescent="0.25">
      <c r="A1265" s="6">
        <v>8250018</v>
      </c>
      <c r="B1265" t="str">
        <f t="shared" si="76"/>
        <v>stacjonarny</v>
      </c>
      <c r="C1265">
        <f t="shared" si="77"/>
        <v>0</v>
      </c>
      <c r="D1265">
        <f t="shared" si="78"/>
        <v>0</v>
      </c>
      <c r="E1265" s="1">
        <v>42935</v>
      </c>
      <c r="F1265" s="2">
        <v>0.47843750000000002</v>
      </c>
      <c r="G1265" s="2">
        <v>0.48951388888888892</v>
      </c>
      <c r="H1265" s="2">
        <f t="shared" si="79"/>
        <v>1.1076388888888899E-2</v>
      </c>
      <c r="K1265" s="1"/>
    </row>
    <row r="1266" spans="1:11" x14ac:dyDescent="0.25">
      <c r="A1266" s="6">
        <v>1161028310</v>
      </c>
      <c r="B1266" t="str">
        <f t="shared" si="76"/>
        <v>zagraniczny</v>
      </c>
      <c r="C1266">
        <f t="shared" si="77"/>
        <v>0</v>
      </c>
      <c r="D1266">
        <f t="shared" si="78"/>
        <v>0</v>
      </c>
      <c r="E1266" s="1">
        <v>42935</v>
      </c>
      <c r="F1266" s="2">
        <v>0.47843750000000002</v>
      </c>
      <c r="G1266" s="2">
        <v>0.48879629629629628</v>
      </c>
      <c r="H1266" s="2">
        <f t="shared" si="79"/>
        <v>1.0358796296296269E-2</v>
      </c>
      <c r="K1266" s="1"/>
    </row>
    <row r="1267" spans="1:11" x14ac:dyDescent="0.25">
      <c r="A1267" s="6">
        <v>66465215</v>
      </c>
      <c r="B1267" t="str">
        <f t="shared" si="76"/>
        <v>komorkowy</v>
      </c>
      <c r="C1267">
        <f t="shared" si="77"/>
        <v>0</v>
      </c>
      <c r="D1267">
        <f t="shared" si="78"/>
        <v>0</v>
      </c>
      <c r="E1267" s="1">
        <v>42935</v>
      </c>
      <c r="F1267" s="2">
        <v>0.48381944444444447</v>
      </c>
      <c r="G1267" s="2">
        <v>0.49505787037037036</v>
      </c>
      <c r="H1267" s="2">
        <f t="shared" si="79"/>
        <v>1.1238425925925888E-2</v>
      </c>
      <c r="K1267" s="1"/>
    </row>
    <row r="1268" spans="1:11" x14ac:dyDescent="0.25">
      <c r="A1268" s="6">
        <v>6386788</v>
      </c>
      <c r="B1268" t="str">
        <f t="shared" si="76"/>
        <v>stacjonarny</v>
      </c>
      <c r="C1268">
        <f t="shared" si="77"/>
        <v>0</v>
      </c>
      <c r="D1268">
        <f t="shared" si="78"/>
        <v>0</v>
      </c>
      <c r="E1268" s="1">
        <v>42935</v>
      </c>
      <c r="F1268" s="2">
        <v>0.48822916666666666</v>
      </c>
      <c r="G1268" s="2">
        <v>0.49540509259259258</v>
      </c>
      <c r="H1268" s="2">
        <f t="shared" si="79"/>
        <v>7.1759259259259189E-3</v>
      </c>
      <c r="K1268" s="1"/>
    </row>
    <row r="1269" spans="1:11" x14ac:dyDescent="0.25">
      <c r="A1269" s="6">
        <v>3589291</v>
      </c>
      <c r="B1269" t="str">
        <f t="shared" si="76"/>
        <v>stacjonarny</v>
      </c>
      <c r="C1269">
        <f t="shared" si="77"/>
        <v>0</v>
      </c>
      <c r="D1269">
        <f t="shared" si="78"/>
        <v>0</v>
      </c>
      <c r="E1269" s="1">
        <v>42935</v>
      </c>
      <c r="F1269" s="2">
        <v>0.4896064814814815</v>
      </c>
      <c r="G1269" s="2">
        <v>0.49828703703703703</v>
      </c>
      <c r="H1269" s="2">
        <f t="shared" si="79"/>
        <v>8.6805555555555247E-3</v>
      </c>
      <c r="K1269" s="1"/>
    </row>
    <row r="1270" spans="1:11" x14ac:dyDescent="0.25">
      <c r="A1270" s="6">
        <v>9254070</v>
      </c>
      <c r="B1270" t="str">
        <f t="shared" si="76"/>
        <v>stacjonarny</v>
      </c>
      <c r="C1270">
        <f t="shared" si="77"/>
        <v>0</v>
      </c>
      <c r="D1270">
        <f t="shared" si="78"/>
        <v>0</v>
      </c>
      <c r="E1270" s="1">
        <v>42935</v>
      </c>
      <c r="F1270" s="2">
        <v>0.49270833333333336</v>
      </c>
      <c r="G1270" s="2">
        <v>0.49774305555555554</v>
      </c>
      <c r="H1270" s="2">
        <f t="shared" si="79"/>
        <v>5.0347222222221766E-3</v>
      </c>
      <c r="K1270" s="1"/>
    </row>
    <row r="1271" spans="1:11" x14ac:dyDescent="0.25">
      <c r="A1271" s="6">
        <v>6337931</v>
      </c>
      <c r="B1271" t="str">
        <f t="shared" si="76"/>
        <v>stacjonarny</v>
      </c>
      <c r="C1271">
        <f t="shared" si="77"/>
        <v>0</v>
      </c>
      <c r="D1271">
        <f t="shared" si="78"/>
        <v>0</v>
      </c>
      <c r="E1271" s="1">
        <v>42935</v>
      </c>
      <c r="F1271" s="2">
        <v>0.49625000000000002</v>
      </c>
      <c r="G1271" s="2">
        <v>0.5058449074074074</v>
      </c>
      <c r="H1271" s="2">
        <f t="shared" si="79"/>
        <v>9.5949074074073715E-3</v>
      </c>
      <c r="K1271" s="1"/>
    </row>
    <row r="1272" spans="1:11" x14ac:dyDescent="0.25">
      <c r="A1272" s="6">
        <v>3563037</v>
      </c>
      <c r="B1272" t="str">
        <f t="shared" si="76"/>
        <v>stacjonarny</v>
      </c>
      <c r="C1272">
        <f t="shared" si="77"/>
        <v>0</v>
      </c>
      <c r="D1272">
        <f t="shared" si="78"/>
        <v>0</v>
      </c>
      <c r="E1272" s="1">
        <v>42935</v>
      </c>
      <c r="F1272" s="2">
        <v>0.50173611111111116</v>
      </c>
      <c r="G1272" s="2">
        <v>0.5130555555555556</v>
      </c>
      <c r="H1272" s="2">
        <f t="shared" si="79"/>
        <v>1.1319444444444438E-2</v>
      </c>
      <c r="K1272" s="1"/>
    </row>
    <row r="1273" spans="1:11" x14ac:dyDescent="0.25">
      <c r="A1273" s="6">
        <v>2302227</v>
      </c>
      <c r="B1273" t="str">
        <f t="shared" si="76"/>
        <v>stacjonarny</v>
      </c>
      <c r="C1273">
        <f t="shared" si="77"/>
        <v>0</v>
      </c>
      <c r="D1273">
        <f t="shared" si="78"/>
        <v>0</v>
      </c>
      <c r="E1273" s="1">
        <v>42935</v>
      </c>
      <c r="F1273" s="2">
        <v>0.50219907407407405</v>
      </c>
      <c r="G1273" s="2">
        <v>0.50804398148148144</v>
      </c>
      <c r="H1273" s="2">
        <f t="shared" si="79"/>
        <v>5.8449074074073959E-3</v>
      </c>
      <c r="K1273" s="1"/>
    </row>
    <row r="1274" spans="1:11" x14ac:dyDescent="0.25">
      <c r="A1274" s="6">
        <v>24454566</v>
      </c>
      <c r="B1274" t="str">
        <f t="shared" si="76"/>
        <v>komorkowy</v>
      </c>
      <c r="C1274">
        <f t="shared" si="77"/>
        <v>0</v>
      </c>
      <c r="D1274">
        <f t="shared" si="78"/>
        <v>0</v>
      </c>
      <c r="E1274" s="1">
        <v>42935</v>
      </c>
      <c r="F1274" s="2">
        <v>0.50749999999999995</v>
      </c>
      <c r="G1274" s="2">
        <v>0.51290509259259254</v>
      </c>
      <c r="H1274" s="2">
        <f t="shared" si="79"/>
        <v>5.4050925925925863E-3</v>
      </c>
      <c r="K1274" s="1"/>
    </row>
    <row r="1275" spans="1:11" x14ac:dyDescent="0.25">
      <c r="A1275" s="6">
        <v>6551880</v>
      </c>
      <c r="B1275" t="str">
        <f t="shared" si="76"/>
        <v>stacjonarny</v>
      </c>
      <c r="C1275">
        <f t="shared" si="77"/>
        <v>0</v>
      </c>
      <c r="D1275">
        <f t="shared" si="78"/>
        <v>0</v>
      </c>
      <c r="E1275" s="1">
        <v>42935</v>
      </c>
      <c r="F1275" s="2">
        <v>0.50756944444444441</v>
      </c>
      <c r="G1275" s="2">
        <v>0.51126157407407402</v>
      </c>
      <c r="H1275" s="2">
        <f t="shared" si="79"/>
        <v>3.6921296296296147E-3</v>
      </c>
      <c r="K1275" s="1"/>
    </row>
    <row r="1276" spans="1:11" x14ac:dyDescent="0.25">
      <c r="A1276" s="6">
        <v>6616163</v>
      </c>
      <c r="B1276" t="str">
        <f t="shared" si="76"/>
        <v>stacjonarny</v>
      </c>
      <c r="C1276">
        <f t="shared" si="77"/>
        <v>0</v>
      </c>
      <c r="D1276">
        <f t="shared" si="78"/>
        <v>0</v>
      </c>
      <c r="E1276" s="1">
        <v>42935</v>
      </c>
      <c r="F1276" s="2">
        <v>0.51325231481481481</v>
      </c>
      <c r="G1276" s="2">
        <v>0.51627314814814818</v>
      </c>
      <c r="H1276" s="2">
        <f t="shared" si="79"/>
        <v>3.0208333333333615E-3</v>
      </c>
      <c r="K1276" s="1"/>
    </row>
    <row r="1277" spans="1:11" x14ac:dyDescent="0.25">
      <c r="A1277" s="6">
        <v>96381896</v>
      </c>
      <c r="B1277" t="str">
        <f t="shared" si="76"/>
        <v>komorkowy</v>
      </c>
      <c r="C1277">
        <f t="shared" si="77"/>
        <v>0</v>
      </c>
      <c r="D1277">
        <f t="shared" si="78"/>
        <v>0</v>
      </c>
      <c r="E1277" s="1">
        <v>42935</v>
      </c>
      <c r="F1277" s="2">
        <v>0.5173726851851852</v>
      </c>
      <c r="G1277" s="2">
        <v>0.52055555555555555</v>
      </c>
      <c r="H1277" s="2">
        <f t="shared" si="79"/>
        <v>3.1828703703703498E-3</v>
      </c>
      <c r="K1277" s="1"/>
    </row>
    <row r="1278" spans="1:11" x14ac:dyDescent="0.25">
      <c r="A1278" s="6">
        <v>6892980</v>
      </c>
      <c r="B1278" t="str">
        <f t="shared" si="76"/>
        <v>stacjonarny</v>
      </c>
      <c r="C1278">
        <f t="shared" si="77"/>
        <v>0</v>
      </c>
      <c r="D1278">
        <f t="shared" si="78"/>
        <v>0</v>
      </c>
      <c r="E1278" s="1">
        <v>42935</v>
      </c>
      <c r="F1278" s="2">
        <v>0.52288194444444447</v>
      </c>
      <c r="G1278" s="2">
        <v>0.52722222222222226</v>
      </c>
      <c r="H1278" s="2">
        <f t="shared" si="79"/>
        <v>4.3402777777777901E-3</v>
      </c>
      <c r="K1278" s="1"/>
    </row>
    <row r="1279" spans="1:11" x14ac:dyDescent="0.25">
      <c r="A1279" s="6">
        <v>5341697748</v>
      </c>
      <c r="B1279" t="str">
        <f t="shared" si="76"/>
        <v>zagraniczny</v>
      </c>
      <c r="C1279">
        <f t="shared" si="77"/>
        <v>0</v>
      </c>
      <c r="D1279">
        <f t="shared" si="78"/>
        <v>0</v>
      </c>
      <c r="E1279" s="1">
        <v>42935</v>
      </c>
      <c r="F1279" s="2">
        <v>0.52349537037037042</v>
      </c>
      <c r="G1279" s="2">
        <v>0.53362268518518519</v>
      </c>
      <c r="H1279" s="2">
        <f t="shared" si="79"/>
        <v>1.012731481481477E-2</v>
      </c>
      <c r="K1279" s="1"/>
    </row>
    <row r="1280" spans="1:11" x14ac:dyDescent="0.25">
      <c r="A1280" s="6">
        <v>52064221</v>
      </c>
      <c r="B1280" t="str">
        <f t="shared" si="76"/>
        <v>komorkowy</v>
      </c>
      <c r="C1280">
        <f t="shared" si="77"/>
        <v>0</v>
      </c>
      <c r="D1280">
        <f t="shared" si="78"/>
        <v>0</v>
      </c>
      <c r="E1280" s="1">
        <v>42935</v>
      </c>
      <c r="F1280" s="2">
        <v>0.52766203703703707</v>
      </c>
      <c r="G1280" s="2">
        <v>0.53917824074074072</v>
      </c>
      <c r="H1280" s="2">
        <f t="shared" si="79"/>
        <v>1.1516203703703654E-2</v>
      </c>
      <c r="K1280" s="1"/>
    </row>
    <row r="1281" spans="1:11" x14ac:dyDescent="0.25">
      <c r="A1281" s="6">
        <v>5111892302</v>
      </c>
      <c r="B1281" t="str">
        <f t="shared" si="76"/>
        <v>zagraniczny</v>
      </c>
      <c r="C1281">
        <f t="shared" si="77"/>
        <v>0</v>
      </c>
      <c r="D1281">
        <f t="shared" si="78"/>
        <v>0</v>
      </c>
      <c r="E1281" s="1">
        <v>42935</v>
      </c>
      <c r="F1281" s="2">
        <v>0.53209490740740739</v>
      </c>
      <c r="G1281" s="2">
        <v>0.53931712962962963</v>
      </c>
      <c r="H1281" s="2">
        <f t="shared" si="79"/>
        <v>7.222222222222241E-3</v>
      </c>
      <c r="K1281" s="1"/>
    </row>
    <row r="1282" spans="1:11" x14ac:dyDescent="0.25">
      <c r="A1282" s="6">
        <v>7571642</v>
      </c>
      <c r="B1282" t="str">
        <f t="shared" ref="B1282:B1345" si="80">IF(LEN(A1282)=7, "stacjonarny", IF(LEN(A1282)=8, "komorkowy", "zagraniczny"))</f>
        <v>stacjonarny</v>
      </c>
      <c r="C1282">
        <f t="shared" si="77"/>
        <v>0</v>
      </c>
      <c r="D1282">
        <f t="shared" si="78"/>
        <v>0</v>
      </c>
      <c r="E1282" s="1">
        <v>42935</v>
      </c>
      <c r="F1282" s="2">
        <v>0.53540509259259261</v>
      </c>
      <c r="G1282" s="2">
        <v>0.53540509259259261</v>
      </c>
      <c r="H1282" s="2">
        <f t="shared" si="79"/>
        <v>0</v>
      </c>
      <c r="K1282" s="1"/>
    </row>
    <row r="1283" spans="1:11" x14ac:dyDescent="0.25">
      <c r="A1283" s="6">
        <v>9570286</v>
      </c>
      <c r="B1283" t="str">
        <f t="shared" si="80"/>
        <v>stacjonarny</v>
      </c>
      <c r="C1283">
        <f t="shared" ref="C1283:C1346" si="81">IF(LEFT(A1283,2)="12",1,0)</f>
        <v>0</v>
      </c>
      <c r="D1283">
        <f t="shared" ref="D1283:D1346" si="82">IF(AND(C1283=1,B1283="stacjonarny"),1,0)</f>
        <v>0</v>
      </c>
      <c r="E1283" s="1">
        <v>42935</v>
      </c>
      <c r="F1283" s="2">
        <v>0.53594907407407411</v>
      </c>
      <c r="G1283" s="2">
        <v>0.54584490740740743</v>
      </c>
      <c r="H1283" s="2">
        <f t="shared" ref="H1283:H1346" si="83">G1283-F1283</f>
        <v>9.8958333333333259E-3</v>
      </c>
      <c r="K1283" s="1"/>
    </row>
    <row r="1284" spans="1:11" x14ac:dyDescent="0.25">
      <c r="A1284" s="6">
        <v>7632647</v>
      </c>
      <c r="B1284" t="str">
        <f t="shared" si="80"/>
        <v>stacjonarny</v>
      </c>
      <c r="C1284">
        <f t="shared" si="81"/>
        <v>0</v>
      </c>
      <c r="D1284">
        <f t="shared" si="82"/>
        <v>0</v>
      </c>
      <c r="E1284" s="1">
        <v>42935</v>
      </c>
      <c r="F1284" s="2">
        <v>0.54052083333333334</v>
      </c>
      <c r="G1284" s="2">
        <v>0.54195601851851849</v>
      </c>
      <c r="H1284" s="2">
        <f t="shared" si="83"/>
        <v>1.4351851851851505E-3</v>
      </c>
      <c r="K1284" s="1"/>
    </row>
    <row r="1285" spans="1:11" x14ac:dyDescent="0.25">
      <c r="A1285" s="6">
        <v>3437033</v>
      </c>
      <c r="B1285" t="str">
        <f t="shared" si="80"/>
        <v>stacjonarny</v>
      </c>
      <c r="C1285">
        <f t="shared" si="81"/>
        <v>0</v>
      </c>
      <c r="D1285">
        <f t="shared" si="82"/>
        <v>0</v>
      </c>
      <c r="E1285" s="1">
        <v>42935</v>
      </c>
      <c r="F1285" s="2">
        <v>0.54439814814814813</v>
      </c>
      <c r="G1285" s="2">
        <v>0.54800925925925925</v>
      </c>
      <c r="H1285" s="2">
        <f t="shared" si="83"/>
        <v>3.6111111111111205E-3</v>
      </c>
      <c r="K1285" s="1"/>
    </row>
    <row r="1286" spans="1:11" x14ac:dyDescent="0.25">
      <c r="A1286" s="6">
        <v>81575080</v>
      </c>
      <c r="B1286" t="str">
        <f t="shared" si="80"/>
        <v>komorkowy</v>
      </c>
      <c r="C1286">
        <f t="shared" si="81"/>
        <v>0</v>
      </c>
      <c r="D1286">
        <f t="shared" si="82"/>
        <v>0</v>
      </c>
      <c r="E1286" s="1">
        <v>42935</v>
      </c>
      <c r="F1286" s="2">
        <v>0.54996527777777782</v>
      </c>
      <c r="G1286" s="2">
        <v>0.55228009259259259</v>
      </c>
      <c r="H1286" s="2">
        <f t="shared" si="83"/>
        <v>2.3148148148147696E-3</v>
      </c>
      <c r="K1286" s="1"/>
    </row>
    <row r="1287" spans="1:11" x14ac:dyDescent="0.25">
      <c r="A1287" s="6">
        <v>7677384</v>
      </c>
      <c r="B1287" t="str">
        <f t="shared" si="80"/>
        <v>stacjonarny</v>
      </c>
      <c r="C1287">
        <f t="shared" si="81"/>
        <v>0</v>
      </c>
      <c r="D1287">
        <f t="shared" si="82"/>
        <v>0</v>
      </c>
      <c r="E1287" s="1">
        <v>42935</v>
      </c>
      <c r="F1287" s="2">
        <v>0.55121527777777779</v>
      </c>
      <c r="G1287" s="2">
        <v>0.55539351851851848</v>
      </c>
      <c r="H1287" s="2">
        <f t="shared" si="83"/>
        <v>4.1782407407406907E-3</v>
      </c>
      <c r="K1287" s="1"/>
    </row>
    <row r="1288" spans="1:11" x14ac:dyDescent="0.25">
      <c r="A1288" s="6">
        <v>6194112</v>
      </c>
      <c r="B1288" t="str">
        <f t="shared" si="80"/>
        <v>stacjonarny</v>
      </c>
      <c r="C1288">
        <f t="shared" si="81"/>
        <v>0</v>
      </c>
      <c r="D1288">
        <f t="shared" si="82"/>
        <v>0</v>
      </c>
      <c r="E1288" s="1">
        <v>42935</v>
      </c>
      <c r="F1288" s="2">
        <v>0.55174768518518513</v>
      </c>
      <c r="G1288" s="2">
        <v>0.5575</v>
      </c>
      <c r="H1288" s="2">
        <f t="shared" si="83"/>
        <v>5.7523148148148628E-3</v>
      </c>
      <c r="K1288" s="1"/>
    </row>
    <row r="1289" spans="1:11" x14ac:dyDescent="0.25">
      <c r="A1289" s="6">
        <v>67913744</v>
      </c>
      <c r="B1289" t="str">
        <f t="shared" si="80"/>
        <v>komorkowy</v>
      </c>
      <c r="C1289">
        <f t="shared" si="81"/>
        <v>0</v>
      </c>
      <c r="D1289">
        <f t="shared" si="82"/>
        <v>0</v>
      </c>
      <c r="E1289" s="1">
        <v>42935</v>
      </c>
      <c r="F1289" s="2">
        <v>0.55387731481481484</v>
      </c>
      <c r="G1289" s="2">
        <v>0.5645486111111111</v>
      </c>
      <c r="H1289" s="2">
        <f t="shared" si="83"/>
        <v>1.0671296296296262E-2</v>
      </c>
      <c r="K1289" s="1"/>
    </row>
    <row r="1290" spans="1:11" x14ac:dyDescent="0.25">
      <c r="A1290" s="6">
        <v>9418587</v>
      </c>
      <c r="B1290" t="str">
        <f t="shared" si="80"/>
        <v>stacjonarny</v>
      </c>
      <c r="C1290">
        <f t="shared" si="81"/>
        <v>0</v>
      </c>
      <c r="D1290">
        <f t="shared" si="82"/>
        <v>0</v>
      </c>
      <c r="E1290" s="1">
        <v>42935</v>
      </c>
      <c r="F1290" s="2">
        <v>0.5591666666666667</v>
      </c>
      <c r="G1290" s="2">
        <v>0.56074074074074076</v>
      </c>
      <c r="H1290" s="2">
        <f t="shared" si="83"/>
        <v>1.5740740740740611E-3</v>
      </c>
      <c r="K1290" s="1"/>
    </row>
    <row r="1291" spans="1:11" x14ac:dyDescent="0.25">
      <c r="A1291" s="6">
        <v>3273221616</v>
      </c>
      <c r="B1291" t="str">
        <f t="shared" si="80"/>
        <v>zagraniczny</v>
      </c>
      <c r="C1291">
        <f t="shared" si="81"/>
        <v>0</v>
      </c>
      <c r="D1291">
        <f t="shared" si="82"/>
        <v>0</v>
      </c>
      <c r="E1291" s="1">
        <v>42935</v>
      </c>
      <c r="F1291" s="2">
        <v>0.56276620370370367</v>
      </c>
      <c r="G1291" s="2">
        <v>0.56792824074074078</v>
      </c>
      <c r="H1291" s="2">
        <f t="shared" si="83"/>
        <v>5.1620370370371038E-3</v>
      </c>
      <c r="K1291" s="1"/>
    </row>
    <row r="1292" spans="1:11" x14ac:dyDescent="0.25">
      <c r="A1292" s="6">
        <v>7364500</v>
      </c>
      <c r="B1292" t="str">
        <f t="shared" si="80"/>
        <v>stacjonarny</v>
      </c>
      <c r="C1292">
        <f t="shared" si="81"/>
        <v>0</v>
      </c>
      <c r="D1292">
        <f t="shared" si="82"/>
        <v>0</v>
      </c>
      <c r="E1292" s="1">
        <v>42935</v>
      </c>
      <c r="F1292" s="2">
        <v>0.5682638888888889</v>
      </c>
      <c r="G1292" s="2">
        <v>0.57974537037037033</v>
      </c>
      <c r="H1292" s="2">
        <f t="shared" si="83"/>
        <v>1.1481481481481426E-2</v>
      </c>
      <c r="K1292" s="1"/>
    </row>
    <row r="1293" spans="1:11" x14ac:dyDescent="0.25">
      <c r="A1293" s="6">
        <v>69273048</v>
      </c>
      <c r="B1293" t="str">
        <f t="shared" si="80"/>
        <v>komorkowy</v>
      </c>
      <c r="C1293">
        <f t="shared" si="81"/>
        <v>0</v>
      </c>
      <c r="D1293">
        <f t="shared" si="82"/>
        <v>0</v>
      </c>
      <c r="E1293" s="1">
        <v>42935</v>
      </c>
      <c r="F1293" s="2">
        <v>0.56847222222222227</v>
      </c>
      <c r="G1293" s="2">
        <v>0.57787037037037037</v>
      </c>
      <c r="H1293" s="2">
        <f t="shared" si="83"/>
        <v>9.3981481481481E-3</v>
      </c>
      <c r="K1293" s="1"/>
    </row>
    <row r="1294" spans="1:11" x14ac:dyDescent="0.25">
      <c r="A1294" s="6">
        <v>1345591</v>
      </c>
      <c r="B1294" t="str">
        <f t="shared" si="80"/>
        <v>stacjonarny</v>
      </c>
      <c r="C1294">
        <f t="shared" si="81"/>
        <v>0</v>
      </c>
      <c r="D1294">
        <f t="shared" si="82"/>
        <v>0</v>
      </c>
      <c r="E1294" s="1">
        <v>42935</v>
      </c>
      <c r="F1294" s="2">
        <v>0.5703125</v>
      </c>
      <c r="G1294" s="2">
        <v>0.57703703703703701</v>
      </c>
      <c r="H1294" s="2">
        <f t="shared" si="83"/>
        <v>6.724537037037015E-3</v>
      </c>
      <c r="K1294" s="1"/>
    </row>
    <row r="1295" spans="1:11" x14ac:dyDescent="0.25">
      <c r="A1295" s="6">
        <v>13674393</v>
      </c>
      <c r="B1295" t="str">
        <f t="shared" si="80"/>
        <v>komorkowy</v>
      </c>
      <c r="C1295">
        <f t="shared" si="81"/>
        <v>0</v>
      </c>
      <c r="D1295">
        <f t="shared" si="82"/>
        <v>0</v>
      </c>
      <c r="E1295" s="1">
        <v>42935</v>
      </c>
      <c r="F1295" s="2">
        <v>0.57313657407407403</v>
      </c>
      <c r="G1295" s="2">
        <v>0.57559027777777783</v>
      </c>
      <c r="H1295" s="2">
        <f t="shared" si="83"/>
        <v>2.4537037037037912E-3</v>
      </c>
      <c r="K1295" s="1"/>
    </row>
    <row r="1296" spans="1:11" x14ac:dyDescent="0.25">
      <c r="A1296" s="6">
        <v>5273579381</v>
      </c>
      <c r="B1296" t="str">
        <f t="shared" si="80"/>
        <v>zagraniczny</v>
      </c>
      <c r="C1296">
        <f t="shared" si="81"/>
        <v>0</v>
      </c>
      <c r="D1296">
        <f t="shared" si="82"/>
        <v>0</v>
      </c>
      <c r="E1296" s="1">
        <v>42935</v>
      </c>
      <c r="F1296" s="2">
        <v>0.57525462962962959</v>
      </c>
      <c r="G1296" s="2">
        <v>0.58087962962962958</v>
      </c>
      <c r="H1296" s="2">
        <f t="shared" si="83"/>
        <v>5.6249999999999911E-3</v>
      </c>
      <c r="K1296" s="1"/>
    </row>
    <row r="1297" spans="1:11" x14ac:dyDescent="0.25">
      <c r="A1297" s="6">
        <v>5790304</v>
      </c>
      <c r="B1297" t="str">
        <f t="shared" si="80"/>
        <v>stacjonarny</v>
      </c>
      <c r="C1297">
        <f t="shared" si="81"/>
        <v>0</v>
      </c>
      <c r="D1297">
        <f t="shared" si="82"/>
        <v>0</v>
      </c>
      <c r="E1297" s="1">
        <v>42935</v>
      </c>
      <c r="F1297" s="2">
        <v>0.57974537037037033</v>
      </c>
      <c r="G1297" s="2">
        <v>0.58975694444444449</v>
      </c>
      <c r="H1297" s="2">
        <f t="shared" si="83"/>
        <v>1.0011574074074159E-2</v>
      </c>
      <c r="K1297" s="1"/>
    </row>
    <row r="1298" spans="1:11" x14ac:dyDescent="0.25">
      <c r="A1298" s="6">
        <v>6551880</v>
      </c>
      <c r="B1298" t="str">
        <f t="shared" si="80"/>
        <v>stacjonarny</v>
      </c>
      <c r="C1298">
        <f t="shared" si="81"/>
        <v>0</v>
      </c>
      <c r="D1298">
        <f t="shared" si="82"/>
        <v>0</v>
      </c>
      <c r="E1298" s="1">
        <v>42935</v>
      </c>
      <c r="F1298" s="2">
        <v>0.58071759259259259</v>
      </c>
      <c r="G1298" s="2">
        <v>0.59002314814814816</v>
      </c>
      <c r="H1298" s="2">
        <f t="shared" si="83"/>
        <v>9.3055555555555669E-3</v>
      </c>
      <c r="K1298" s="1"/>
    </row>
    <row r="1299" spans="1:11" x14ac:dyDescent="0.25">
      <c r="A1299" s="6">
        <v>2873323</v>
      </c>
      <c r="B1299" t="str">
        <f t="shared" si="80"/>
        <v>stacjonarny</v>
      </c>
      <c r="C1299">
        <f t="shared" si="81"/>
        <v>0</v>
      </c>
      <c r="D1299">
        <f t="shared" si="82"/>
        <v>0</v>
      </c>
      <c r="E1299" s="1">
        <v>42935</v>
      </c>
      <c r="F1299" s="2">
        <v>0.58622685185185186</v>
      </c>
      <c r="G1299" s="2">
        <v>0.5921643518518519</v>
      </c>
      <c r="H1299" s="2">
        <f t="shared" si="83"/>
        <v>5.93750000000004E-3</v>
      </c>
      <c r="K1299" s="1"/>
    </row>
    <row r="1300" spans="1:11" x14ac:dyDescent="0.25">
      <c r="A1300" s="6">
        <v>2733008</v>
      </c>
      <c r="B1300" t="str">
        <f t="shared" si="80"/>
        <v>stacjonarny</v>
      </c>
      <c r="C1300">
        <f t="shared" si="81"/>
        <v>0</v>
      </c>
      <c r="D1300">
        <f t="shared" si="82"/>
        <v>0</v>
      </c>
      <c r="E1300" s="1">
        <v>42935</v>
      </c>
      <c r="F1300" s="2">
        <v>0.5879861111111111</v>
      </c>
      <c r="G1300" s="2">
        <v>0.59103009259259254</v>
      </c>
      <c r="H1300" s="2">
        <f t="shared" si="83"/>
        <v>3.0439814814814392E-3</v>
      </c>
      <c r="K1300" s="1"/>
    </row>
    <row r="1301" spans="1:11" x14ac:dyDescent="0.25">
      <c r="A1301" s="6">
        <v>7292887</v>
      </c>
      <c r="B1301" t="str">
        <f t="shared" si="80"/>
        <v>stacjonarny</v>
      </c>
      <c r="C1301">
        <f t="shared" si="81"/>
        <v>0</v>
      </c>
      <c r="D1301">
        <f t="shared" si="82"/>
        <v>0</v>
      </c>
      <c r="E1301" s="1">
        <v>42935</v>
      </c>
      <c r="F1301" s="2">
        <v>0.58810185185185182</v>
      </c>
      <c r="G1301" s="2">
        <v>0.59202546296296299</v>
      </c>
      <c r="H1301" s="2">
        <f t="shared" si="83"/>
        <v>3.9236111111111693E-3</v>
      </c>
      <c r="K1301" s="1"/>
    </row>
    <row r="1302" spans="1:11" x14ac:dyDescent="0.25">
      <c r="A1302" s="6">
        <v>6855900</v>
      </c>
      <c r="B1302" t="str">
        <f t="shared" si="80"/>
        <v>stacjonarny</v>
      </c>
      <c r="C1302">
        <f t="shared" si="81"/>
        <v>0</v>
      </c>
      <c r="D1302">
        <f t="shared" si="82"/>
        <v>0</v>
      </c>
      <c r="E1302" s="1">
        <v>42935</v>
      </c>
      <c r="F1302" s="2">
        <v>0.59090277777777778</v>
      </c>
      <c r="G1302" s="2">
        <v>0.5923842592592593</v>
      </c>
      <c r="H1302" s="2">
        <f t="shared" si="83"/>
        <v>1.481481481481528E-3</v>
      </c>
      <c r="K1302" s="1"/>
    </row>
    <row r="1303" spans="1:11" x14ac:dyDescent="0.25">
      <c r="A1303" s="6">
        <v>2402827</v>
      </c>
      <c r="B1303" t="str">
        <f t="shared" si="80"/>
        <v>stacjonarny</v>
      </c>
      <c r="C1303">
        <f t="shared" si="81"/>
        <v>0</v>
      </c>
      <c r="D1303">
        <f t="shared" si="82"/>
        <v>0</v>
      </c>
      <c r="E1303" s="1">
        <v>42935</v>
      </c>
      <c r="F1303" s="2">
        <v>0.59659722222222222</v>
      </c>
      <c r="G1303" s="2">
        <v>0.60329861111111116</v>
      </c>
      <c r="H1303" s="2">
        <f t="shared" si="83"/>
        <v>6.7013888888889372E-3</v>
      </c>
      <c r="K1303" s="1"/>
    </row>
    <row r="1304" spans="1:11" x14ac:dyDescent="0.25">
      <c r="A1304" s="6">
        <v>6510330</v>
      </c>
      <c r="B1304" t="str">
        <f t="shared" si="80"/>
        <v>stacjonarny</v>
      </c>
      <c r="C1304">
        <f t="shared" si="81"/>
        <v>0</v>
      </c>
      <c r="D1304">
        <f t="shared" si="82"/>
        <v>0</v>
      </c>
      <c r="E1304" s="1">
        <v>42935</v>
      </c>
      <c r="F1304" s="2">
        <v>0.5971643518518519</v>
      </c>
      <c r="G1304" s="2">
        <v>0.60538194444444449</v>
      </c>
      <c r="H1304" s="2">
        <f t="shared" si="83"/>
        <v>8.2175925925925819E-3</v>
      </c>
      <c r="K1304" s="1"/>
    </row>
    <row r="1305" spans="1:11" x14ac:dyDescent="0.25">
      <c r="A1305" s="6">
        <v>9773176</v>
      </c>
      <c r="B1305" t="str">
        <f t="shared" si="80"/>
        <v>stacjonarny</v>
      </c>
      <c r="C1305">
        <f t="shared" si="81"/>
        <v>0</v>
      </c>
      <c r="D1305">
        <f t="shared" si="82"/>
        <v>0</v>
      </c>
      <c r="E1305" s="1">
        <v>42935</v>
      </c>
      <c r="F1305" s="2">
        <v>0.59719907407407402</v>
      </c>
      <c r="G1305" s="2">
        <v>0.60488425925925926</v>
      </c>
      <c r="H1305" s="2">
        <f t="shared" si="83"/>
        <v>7.6851851851852393E-3</v>
      </c>
      <c r="K1305" s="1"/>
    </row>
    <row r="1306" spans="1:11" x14ac:dyDescent="0.25">
      <c r="A1306" s="6">
        <v>4065787</v>
      </c>
      <c r="B1306" t="str">
        <f t="shared" si="80"/>
        <v>stacjonarny</v>
      </c>
      <c r="C1306">
        <f t="shared" si="81"/>
        <v>0</v>
      </c>
      <c r="D1306">
        <f t="shared" si="82"/>
        <v>0</v>
      </c>
      <c r="E1306" s="1">
        <v>42935</v>
      </c>
      <c r="F1306" s="2">
        <v>0.6021643518518518</v>
      </c>
      <c r="G1306" s="2">
        <v>0.61331018518518521</v>
      </c>
      <c r="H1306" s="2">
        <f t="shared" si="83"/>
        <v>1.114583333333341E-2</v>
      </c>
      <c r="K1306" s="1"/>
    </row>
    <row r="1307" spans="1:11" x14ac:dyDescent="0.25">
      <c r="A1307" s="6">
        <v>4303543625</v>
      </c>
      <c r="B1307" t="str">
        <f t="shared" si="80"/>
        <v>zagraniczny</v>
      </c>
      <c r="C1307">
        <f t="shared" si="81"/>
        <v>0</v>
      </c>
      <c r="D1307">
        <f t="shared" si="82"/>
        <v>0</v>
      </c>
      <c r="E1307" s="1">
        <v>42935</v>
      </c>
      <c r="F1307" s="2">
        <v>0.60291666666666666</v>
      </c>
      <c r="G1307" s="2">
        <v>0.61086805555555557</v>
      </c>
      <c r="H1307" s="2">
        <f t="shared" si="83"/>
        <v>7.9513888888889106E-3</v>
      </c>
      <c r="K1307" s="1"/>
    </row>
    <row r="1308" spans="1:11" x14ac:dyDescent="0.25">
      <c r="A1308" s="6">
        <v>3858766</v>
      </c>
      <c r="B1308" t="str">
        <f t="shared" si="80"/>
        <v>stacjonarny</v>
      </c>
      <c r="C1308">
        <f t="shared" si="81"/>
        <v>0</v>
      </c>
      <c r="D1308">
        <f t="shared" si="82"/>
        <v>0</v>
      </c>
      <c r="E1308" s="1">
        <v>42935</v>
      </c>
      <c r="F1308" s="2">
        <v>0.60624999999999996</v>
      </c>
      <c r="G1308" s="2">
        <v>0.6083912037037037</v>
      </c>
      <c r="H1308" s="2">
        <f t="shared" si="83"/>
        <v>2.1412037037037424E-3</v>
      </c>
      <c r="K1308" s="1"/>
    </row>
    <row r="1309" spans="1:11" x14ac:dyDescent="0.25">
      <c r="A1309" s="6">
        <v>41852472</v>
      </c>
      <c r="B1309" t="str">
        <f t="shared" si="80"/>
        <v>komorkowy</v>
      </c>
      <c r="C1309">
        <f t="shared" si="81"/>
        <v>0</v>
      </c>
      <c r="D1309">
        <f t="shared" si="82"/>
        <v>0</v>
      </c>
      <c r="E1309" s="1">
        <v>42935</v>
      </c>
      <c r="F1309" s="2">
        <v>0.60868055555555556</v>
      </c>
      <c r="G1309" s="2">
        <v>0.61019675925925931</v>
      </c>
      <c r="H1309" s="2">
        <f t="shared" si="83"/>
        <v>1.5162037037037557E-3</v>
      </c>
      <c r="K1309" s="1"/>
    </row>
    <row r="1310" spans="1:11" x14ac:dyDescent="0.25">
      <c r="A1310" s="6">
        <v>25574074</v>
      </c>
      <c r="B1310" t="str">
        <f t="shared" si="80"/>
        <v>komorkowy</v>
      </c>
      <c r="C1310">
        <f t="shared" si="81"/>
        <v>0</v>
      </c>
      <c r="D1310">
        <f t="shared" si="82"/>
        <v>0</v>
      </c>
      <c r="E1310" s="1">
        <v>42935</v>
      </c>
      <c r="F1310" s="2">
        <v>0.61081018518518515</v>
      </c>
      <c r="G1310" s="2">
        <v>0.62118055555555551</v>
      </c>
      <c r="H1310" s="2">
        <f t="shared" si="83"/>
        <v>1.0370370370370363E-2</v>
      </c>
      <c r="K1310" s="1"/>
    </row>
    <row r="1311" spans="1:11" x14ac:dyDescent="0.25">
      <c r="A1311" s="6">
        <v>8690793</v>
      </c>
      <c r="B1311" t="str">
        <f t="shared" si="80"/>
        <v>stacjonarny</v>
      </c>
      <c r="C1311">
        <f t="shared" si="81"/>
        <v>0</v>
      </c>
      <c r="D1311">
        <f t="shared" si="82"/>
        <v>0</v>
      </c>
      <c r="E1311" s="1">
        <v>42935</v>
      </c>
      <c r="F1311" s="2">
        <v>0.61207175925925927</v>
      </c>
      <c r="G1311" s="2">
        <v>0.61613425925925924</v>
      </c>
      <c r="H1311" s="2">
        <f t="shared" si="83"/>
        <v>4.0624999999999689E-3</v>
      </c>
      <c r="K1311" s="1"/>
    </row>
    <row r="1312" spans="1:11" x14ac:dyDescent="0.25">
      <c r="A1312" s="6">
        <v>8487003</v>
      </c>
      <c r="B1312" t="str">
        <f t="shared" si="80"/>
        <v>stacjonarny</v>
      </c>
      <c r="C1312">
        <f t="shared" si="81"/>
        <v>0</v>
      </c>
      <c r="D1312">
        <f t="shared" si="82"/>
        <v>0</v>
      </c>
      <c r="E1312" s="1">
        <v>42935</v>
      </c>
      <c r="F1312" s="2">
        <v>0.61648148148148152</v>
      </c>
      <c r="G1312" s="2">
        <v>0.62589120370370366</v>
      </c>
      <c r="H1312" s="2">
        <f t="shared" si="83"/>
        <v>9.4097222222221388E-3</v>
      </c>
      <c r="K1312" s="1"/>
    </row>
    <row r="1313" spans="1:11" x14ac:dyDescent="0.25">
      <c r="A1313" s="6">
        <v>50583407</v>
      </c>
      <c r="B1313" t="str">
        <f t="shared" si="80"/>
        <v>komorkowy</v>
      </c>
      <c r="C1313">
        <f t="shared" si="81"/>
        <v>0</v>
      </c>
      <c r="D1313">
        <f t="shared" si="82"/>
        <v>0</v>
      </c>
      <c r="E1313" s="1">
        <v>42935</v>
      </c>
      <c r="F1313" s="2">
        <v>0.62137731481481484</v>
      </c>
      <c r="G1313" s="2">
        <v>0.63218750000000001</v>
      </c>
      <c r="H1313" s="2">
        <f t="shared" si="83"/>
        <v>1.0810185185185173E-2</v>
      </c>
      <c r="K1313" s="1"/>
    </row>
    <row r="1314" spans="1:11" x14ac:dyDescent="0.25">
      <c r="A1314" s="6">
        <v>4983193</v>
      </c>
      <c r="B1314" t="str">
        <f t="shared" si="80"/>
        <v>stacjonarny</v>
      </c>
      <c r="C1314">
        <f t="shared" si="81"/>
        <v>0</v>
      </c>
      <c r="D1314">
        <f t="shared" si="82"/>
        <v>0</v>
      </c>
      <c r="E1314" s="1">
        <v>42935</v>
      </c>
      <c r="F1314" s="2">
        <v>0.62288194444444445</v>
      </c>
      <c r="G1314" s="2">
        <v>0.63325231481481481</v>
      </c>
      <c r="H1314" s="2">
        <f t="shared" si="83"/>
        <v>1.0370370370370363E-2</v>
      </c>
      <c r="K1314" s="1"/>
    </row>
    <row r="1315" spans="1:11" x14ac:dyDescent="0.25">
      <c r="A1315" s="6">
        <v>1316116</v>
      </c>
      <c r="B1315" t="str">
        <f t="shared" si="80"/>
        <v>stacjonarny</v>
      </c>
      <c r="C1315">
        <f t="shared" si="81"/>
        <v>0</v>
      </c>
      <c r="D1315">
        <f t="shared" si="82"/>
        <v>0</v>
      </c>
      <c r="E1315" s="1">
        <v>42935</v>
      </c>
      <c r="F1315" s="2">
        <v>0.62394675925925924</v>
      </c>
      <c r="G1315" s="2">
        <v>0.62461805555555561</v>
      </c>
      <c r="H1315" s="2">
        <f t="shared" si="83"/>
        <v>6.7129629629636423E-4</v>
      </c>
      <c r="K1315" s="1"/>
    </row>
    <row r="1316" spans="1:11" x14ac:dyDescent="0.25">
      <c r="A1316" s="6">
        <v>5696056</v>
      </c>
      <c r="B1316" t="str">
        <f t="shared" si="80"/>
        <v>stacjonarny</v>
      </c>
      <c r="C1316">
        <f t="shared" si="81"/>
        <v>0</v>
      </c>
      <c r="D1316">
        <f t="shared" si="82"/>
        <v>0</v>
      </c>
      <c r="E1316" s="1">
        <v>42935</v>
      </c>
      <c r="F1316" s="2">
        <v>0.62967592592592592</v>
      </c>
      <c r="G1316" s="2">
        <v>0.63277777777777777</v>
      </c>
      <c r="H1316" s="2">
        <f t="shared" si="83"/>
        <v>3.1018518518518556E-3</v>
      </c>
      <c r="K1316" s="1"/>
    </row>
    <row r="1317" spans="1:11" x14ac:dyDescent="0.25">
      <c r="A1317" s="6">
        <v>3574623</v>
      </c>
      <c r="B1317" t="str">
        <f t="shared" si="80"/>
        <v>stacjonarny</v>
      </c>
      <c r="C1317">
        <f t="shared" si="81"/>
        <v>0</v>
      </c>
      <c r="D1317">
        <f t="shared" si="82"/>
        <v>0</v>
      </c>
      <c r="E1317" s="1">
        <v>42936</v>
      </c>
      <c r="F1317" s="2">
        <v>0.33447916666666666</v>
      </c>
      <c r="G1317" s="2">
        <v>0.33721064814814816</v>
      </c>
      <c r="H1317" s="2">
        <f t="shared" si="83"/>
        <v>2.7314814814815014E-3</v>
      </c>
      <c r="K1317" s="1"/>
    </row>
    <row r="1318" spans="1:11" x14ac:dyDescent="0.25">
      <c r="A1318" s="6">
        <v>71218936</v>
      </c>
      <c r="B1318" t="str">
        <f t="shared" si="80"/>
        <v>komorkowy</v>
      </c>
      <c r="C1318">
        <f t="shared" si="81"/>
        <v>0</v>
      </c>
      <c r="D1318">
        <f t="shared" si="82"/>
        <v>0</v>
      </c>
      <c r="E1318" s="1">
        <v>42936</v>
      </c>
      <c r="F1318" s="2">
        <v>0.34012731481481484</v>
      </c>
      <c r="G1318" s="2">
        <v>0.34192129629629631</v>
      </c>
      <c r="H1318" s="2">
        <f t="shared" si="83"/>
        <v>1.7939814814814659E-3</v>
      </c>
      <c r="K1318" s="1"/>
    </row>
    <row r="1319" spans="1:11" x14ac:dyDescent="0.25">
      <c r="A1319" s="6">
        <v>55621633</v>
      </c>
      <c r="B1319" t="str">
        <f t="shared" si="80"/>
        <v>komorkowy</v>
      </c>
      <c r="C1319">
        <f t="shared" si="81"/>
        <v>0</v>
      </c>
      <c r="D1319">
        <f t="shared" si="82"/>
        <v>0</v>
      </c>
      <c r="E1319" s="1">
        <v>42936</v>
      </c>
      <c r="F1319" s="2">
        <v>0.34114583333333331</v>
      </c>
      <c r="G1319" s="2">
        <v>0.3525578703703704</v>
      </c>
      <c r="H1319" s="2">
        <f t="shared" si="83"/>
        <v>1.1412037037037082E-2</v>
      </c>
      <c r="K1319" s="1"/>
    </row>
    <row r="1320" spans="1:11" x14ac:dyDescent="0.25">
      <c r="A1320" s="6">
        <v>1898174</v>
      </c>
      <c r="B1320" t="str">
        <f t="shared" si="80"/>
        <v>stacjonarny</v>
      </c>
      <c r="C1320">
        <f t="shared" si="81"/>
        <v>0</v>
      </c>
      <c r="D1320">
        <f t="shared" si="82"/>
        <v>0</v>
      </c>
      <c r="E1320" s="1">
        <v>42936</v>
      </c>
      <c r="F1320" s="2">
        <v>0.34371527777777777</v>
      </c>
      <c r="G1320" s="2">
        <v>0.34609953703703705</v>
      </c>
      <c r="H1320" s="2">
        <f t="shared" si="83"/>
        <v>2.3842592592592804E-3</v>
      </c>
      <c r="K1320" s="1"/>
    </row>
    <row r="1321" spans="1:11" x14ac:dyDescent="0.25">
      <c r="A1321" s="6">
        <v>4844054</v>
      </c>
      <c r="B1321" t="str">
        <f t="shared" si="80"/>
        <v>stacjonarny</v>
      </c>
      <c r="C1321">
        <f t="shared" si="81"/>
        <v>0</v>
      </c>
      <c r="D1321">
        <f t="shared" si="82"/>
        <v>0</v>
      </c>
      <c r="E1321" s="1">
        <v>42936</v>
      </c>
      <c r="F1321" s="2">
        <v>0.34857638888888887</v>
      </c>
      <c r="G1321" s="2">
        <v>0.34998842592592594</v>
      </c>
      <c r="H1321" s="2">
        <f t="shared" si="83"/>
        <v>1.4120370370370727E-3</v>
      </c>
      <c r="K1321" s="1"/>
    </row>
    <row r="1322" spans="1:11" x14ac:dyDescent="0.25">
      <c r="A1322" s="6">
        <v>7701901</v>
      </c>
      <c r="B1322" t="str">
        <f t="shared" si="80"/>
        <v>stacjonarny</v>
      </c>
      <c r="C1322">
        <f t="shared" si="81"/>
        <v>0</v>
      </c>
      <c r="D1322">
        <f t="shared" si="82"/>
        <v>0</v>
      </c>
      <c r="E1322" s="1">
        <v>42936</v>
      </c>
      <c r="F1322" s="2">
        <v>0.3533101851851852</v>
      </c>
      <c r="G1322" s="2">
        <v>0.3555787037037037</v>
      </c>
      <c r="H1322" s="2">
        <f t="shared" si="83"/>
        <v>2.2685185185185031E-3</v>
      </c>
      <c r="K1322" s="1"/>
    </row>
    <row r="1323" spans="1:11" x14ac:dyDescent="0.25">
      <c r="A1323" s="6">
        <v>5900664</v>
      </c>
      <c r="B1323" t="str">
        <f t="shared" si="80"/>
        <v>stacjonarny</v>
      </c>
      <c r="C1323">
        <f t="shared" si="81"/>
        <v>0</v>
      </c>
      <c r="D1323">
        <f t="shared" si="82"/>
        <v>0</v>
      </c>
      <c r="E1323" s="1">
        <v>42936</v>
      </c>
      <c r="F1323" s="2">
        <v>0.3558912037037037</v>
      </c>
      <c r="G1323" s="2">
        <v>0.36550925925925926</v>
      </c>
      <c r="H1323" s="2">
        <f t="shared" si="83"/>
        <v>9.6180555555555602E-3</v>
      </c>
      <c r="K1323" s="1"/>
    </row>
    <row r="1324" spans="1:11" x14ac:dyDescent="0.25">
      <c r="A1324" s="6">
        <v>4698731</v>
      </c>
      <c r="B1324" t="str">
        <f t="shared" si="80"/>
        <v>stacjonarny</v>
      </c>
      <c r="C1324">
        <f t="shared" si="81"/>
        <v>0</v>
      </c>
      <c r="D1324">
        <f t="shared" si="82"/>
        <v>0</v>
      </c>
      <c r="E1324" s="1">
        <v>42936</v>
      </c>
      <c r="F1324" s="2">
        <v>0.35894675925925928</v>
      </c>
      <c r="G1324" s="2">
        <v>0.3689351851851852</v>
      </c>
      <c r="H1324" s="2">
        <f t="shared" si="83"/>
        <v>9.9884259259259145E-3</v>
      </c>
      <c r="K1324" s="1"/>
    </row>
    <row r="1325" spans="1:11" x14ac:dyDescent="0.25">
      <c r="A1325" s="6">
        <v>4606501</v>
      </c>
      <c r="B1325" t="str">
        <f t="shared" si="80"/>
        <v>stacjonarny</v>
      </c>
      <c r="C1325">
        <f t="shared" si="81"/>
        <v>0</v>
      </c>
      <c r="D1325">
        <f t="shared" si="82"/>
        <v>0</v>
      </c>
      <c r="E1325" s="1">
        <v>42936</v>
      </c>
      <c r="F1325" s="2">
        <v>0.36222222222222222</v>
      </c>
      <c r="G1325" s="2">
        <v>0.36548611111111112</v>
      </c>
      <c r="H1325" s="2">
        <f t="shared" si="83"/>
        <v>3.2638888888888995E-3</v>
      </c>
      <c r="K1325" s="1"/>
    </row>
    <row r="1326" spans="1:11" x14ac:dyDescent="0.25">
      <c r="A1326" s="6">
        <v>3851940</v>
      </c>
      <c r="B1326" t="str">
        <f t="shared" si="80"/>
        <v>stacjonarny</v>
      </c>
      <c r="C1326">
        <f t="shared" si="81"/>
        <v>0</v>
      </c>
      <c r="D1326">
        <f t="shared" si="82"/>
        <v>0</v>
      </c>
      <c r="E1326" s="1">
        <v>42936</v>
      </c>
      <c r="F1326" s="2">
        <v>0.36473379629629632</v>
      </c>
      <c r="G1326" s="2">
        <v>0.36630787037037038</v>
      </c>
      <c r="H1326" s="2">
        <f t="shared" si="83"/>
        <v>1.5740740740740611E-3</v>
      </c>
      <c r="K1326" s="1"/>
    </row>
    <row r="1327" spans="1:11" x14ac:dyDescent="0.25">
      <c r="A1327" s="6">
        <v>7972076</v>
      </c>
      <c r="B1327" t="str">
        <f t="shared" si="80"/>
        <v>stacjonarny</v>
      </c>
      <c r="C1327">
        <f t="shared" si="81"/>
        <v>0</v>
      </c>
      <c r="D1327">
        <f t="shared" si="82"/>
        <v>0</v>
      </c>
      <c r="E1327" s="1">
        <v>42936</v>
      </c>
      <c r="F1327" s="2">
        <v>0.37011574074074072</v>
      </c>
      <c r="G1327" s="2">
        <v>0.37928240740740743</v>
      </c>
      <c r="H1327" s="2">
        <f t="shared" si="83"/>
        <v>9.1666666666667118E-3</v>
      </c>
      <c r="K1327" s="1"/>
    </row>
    <row r="1328" spans="1:11" x14ac:dyDescent="0.25">
      <c r="A1328" s="6">
        <v>1911796</v>
      </c>
      <c r="B1328" t="str">
        <f t="shared" si="80"/>
        <v>stacjonarny</v>
      </c>
      <c r="C1328">
        <f t="shared" si="81"/>
        <v>0</v>
      </c>
      <c r="D1328">
        <f t="shared" si="82"/>
        <v>0</v>
      </c>
      <c r="E1328" s="1">
        <v>42936</v>
      </c>
      <c r="F1328" s="2">
        <v>0.37506944444444446</v>
      </c>
      <c r="G1328" s="2">
        <v>0.38142361111111112</v>
      </c>
      <c r="H1328" s="2">
        <f t="shared" si="83"/>
        <v>6.3541666666666607E-3</v>
      </c>
      <c r="K1328" s="1"/>
    </row>
    <row r="1329" spans="1:11" x14ac:dyDescent="0.25">
      <c r="A1329" s="6">
        <v>7362963</v>
      </c>
      <c r="B1329" t="str">
        <f t="shared" si="80"/>
        <v>stacjonarny</v>
      </c>
      <c r="C1329">
        <f t="shared" si="81"/>
        <v>0</v>
      </c>
      <c r="D1329">
        <f t="shared" si="82"/>
        <v>0</v>
      </c>
      <c r="E1329" s="1">
        <v>42936</v>
      </c>
      <c r="F1329" s="2">
        <v>0.37658564814814816</v>
      </c>
      <c r="G1329" s="2">
        <v>0.37936342592592592</v>
      </c>
      <c r="H1329" s="2">
        <f t="shared" si="83"/>
        <v>2.7777777777777679E-3</v>
      </c>
      <c r="K1329" s="1"/>
    </row>
    <row r="1330" spans="1:11" x14ac:dyDescent="0.25">
      <c r="A1330" s="6">
        <v>24290062</v>
      </c>
      <c r="B1330" t="str">
        <f t="shared" si="80"/>
        <v>komorkowy</v>
      </c>
      <c r="C1330">
        <f t="shared" si="81"/>
        <v>0</v>
      </c>
      <c r="D1330">
        <f t="shared" si="82"/>
        <v>0</v>
      </c>
      <c r="E1330" s="1">
        <v>42936</v>
      </c>
      <c r="F1330" s="2">
        <v>0.38047453703703704</v>
      </c>
      <c r="G1330" s="2">
        <v>0.39142361111111112</v>
      </c>
      <c r="H1330" s="2">
        <f t="shared" si="83"/>
        <v>1.0949074074074083E-2</v>
      </c>
      <c r="K1330" s="1"/>
    </row>
    <row r="1331" spans="1:11" x14ac:dyDescent="0.25">
      <c r="A1331" s="6">
        <v>3086185</v>
      </c>
      <c r="B1331" t="str">
        <f t="shared" si="80"/>
        <v>stacjonarny</v>
      </c>
      <c r="C1331">
        <f t="shared" si="81"/>
        <v>0</v>
      </c>
      <c r="D1331">
        <f t="shared" si="82"/>
        <v>0</v>
      </c>
      <c r="E1331" s="1">
        <v>42936</v>
      </c>
      <c r="F1331" s="2">
        <v>0.38394675925925925</v>
      </c>
      <c r="G1331" s="2">
        <v>0.39547453703703705</v>
      </c>
      <c r="H1331" s="2">
        <f t="shared" si="83"/>
        <v>1.1527777777777803E-2</v>
      </c>
      <c r="K1331" s="1"/>
    </row>
    <row r="1332" spans="1:11" x14ac:dyDescent="0.25">
      <c r="A1332" s="6">
        <v>7622819</v>
      </c>
      <c r="B1332" t="str">
        <f t="shared" si="80"/>
        <v>stacjonarny</v>
      </c>
      <c r="C1332">
        <f t="shared" si="81"/>
        <v>0</v>
      </c>
      <c r="D1332">
        <f t="shared" si="82"/>
        <v>0</v>
      </c>
      <c r="E1332" s="1">
        <v>42936</v>
      </c>
      <c r="F1332" s="2">
        <v>0.38599537037037035</v>
      </c>
      <c r="G1332" s="2">
        <v>0.39438657407407407</v>
      </c>
      <c r="H1332" s="2">
        <f t="shared" si="83"/>
        <v>8.3912037037037202E-3</v>
      </c>
      <c r="K1332" s="1"/>
    </row>
    <row r="1333" spans="1:11" x14ac:dyDescent="0.25">
      <c r="A1333" s="6">
        <v>5610335</v>
      </c>
      <c r="B1333" t="str">
        <f t="shared" si="80"/>
        <v>stacjonarny</v>
      </c>
      <c r="C1333">
        <f t="shared" si="81"/>
        <v>0</v>
      </c>
      <c r="D1333">
        <f t="shared" si="82"/>
        <v>0</v>
      </c>
      <c r="E1333" s="1">
        <v>42936</v>
      </c>
      <c r="F1333" s="2">
        <v>0.39055555555555554</v>
      </c>
      <c r="G1333" s="2">
        <v>0.39101851851851854</v>
      </c>
      <c r="H1333" s="2">
        <f t="shared" si="83"/>
        <v>4.6296296296299833E-4</v>
      </c>
      <c r="K1333" s="1"/>
    </row>
    <row r="1334" spans="1:11" x14ac:dyDescent="0.25">
      <c r="A1334" s="6">
        <v>97953696</v>
      </c>
      <c r="B1334" t="str">
        <f t="shared" si="80"/>
        <v>komorkowy</v>
      </c>
      <c r="C1334">
        <f t="shared" si="81"/>
        <v>0</v>
      </c>
      <c r="D1334">
        <f t="shared" si="82"/>
        <v>0</v>
      </c>
      <c r="E1334" s="1">
        <v>42936</v>
      </c>
      <c r="F1334" s="2">
        <v>0.39373842592592595</v>
      </c>
      <c r="G1334" s="2">
        <v>0.40292824074074074</v>
      </c>
      <c r="H1334" s="2">
        <f t="shared" si="83"/>
        <v>9.1898148148147896E-3</v>
      </c>
      <c r="K1334" s="1"/>
    </row>
    <row r="1335" spans="1:11" x14ac:dyDescent="0.25">
      <c r="A1335" s="6">
        <v>7432767</v>
      </c>
      <c r="B1335" t="str">
        <f t="shared" si="80"/>
        <v>stacjonarny</v>
      </c>
      <c r="C1335">
        <f t="shared" si="81"/>
        <v>0</v>
      </c>
      <c r="D1335">
        <f t="shared" si="82"/>
        <v>0</v>
      </c>
      <c r="E1335" s="1">
        <v>42936</v>
      </c>
      <c r="F1335" s="2">
        <v>0.39446759259259262</v>
      </c>
      <c r="G1335" s="2">
        <v>0.39841435185185187</v>
      </c>
      <c r="H1335" s="2">
        <f t="shared" si="83"/>
        <v>3.9467592592592471E-3</v>
      </c>
      <c r="K1335" s="1"/>
    </row>
    <row r="1336" spans="1:11" x14ac:dyDescent="0.25">
      <c r="A1336" s="6">
        <v>2089993</v>
      </c>
      <c r="B1336" t="str">
        <f t="shared" si="80"/>
        <v>stacjonarny</v>
      </c>
      <c r="C1336">
        <f t="shared" si="81"/>
        <v>0</v>
      </c>
      <c r="D1336">
        <f t="shared" si="82"/>
        <v>0</v>
      </c>
      <c r="E1336" s="1">
        <v>42936</v>
      </c>
      <c r="F1336" s="2">
        <v>0.39810185185185187</v>
      </c>
      <c r="G1336" s="2">
        <v>0.39876157407407409</v>
      </c>
      <c r="H1336" s="2">
        <f t="shared" si="83"/>
        <v>6.5972222222221433E-4</v>
      </c>
      <c r="K1336" s="1"/>
    </row>
    <row r="1337" spans="1:11" x14ac:dyDescent="0.25">
      <c r="A1337" s="6">
        <v>2635121</v>
      </c>
      <c r="B1337" t="str">
        <f t="shared" si="80"/>
        <v>stacjonarny</v>
      </c>
      <c r="C1337">
        <f t="shared" si="81"/>
        <v>0</v>
      </c>
      <c r="D1337">
        <f t="shared" si="82"/>
        <v>0</v>
      </c>
      <c r="E1337" s="1">
        <v>42936</v>
      </c>
      <c r="F1337" s="2">
        <v>0.39906249999999999</v>
      </c>
      <c r="G1337" s="2">
        <v>0.40487268518518521</v>
      </c>
      <c r="H1337" s="2">
        <f t="shared" si="83"/>
        <v>5.8101851851852238E-3</v>
      </c>
      <c r="K1337" s="1"/>
    </row>
    <row r="1338" spans="1:11" x14ac:dyDescent="0.25">
      <c r="A1338" s="6">
        <v>6725216</v>
      </c>
      <c r="B1338" t="str">
        <f t="shared" si="80"/>
        <v>stacjonarny</v>
      </c>
      <c r="C1338">
        <f t="shared" si="81"/>
        <v>0</v>
      </c>
      <c r="D1338">
        <f t="shared" si="82"/>
        <v>0</v>
      </c>
      <c r="E1338" s="1">
        <v>42936</v>
      </c>
      <c r="F1338" s="2">
        <v>0.40190972222222221</v>
      </c>
      <c r="G1338" s="2">
        <v>0.40715277777777775</v>
      </c>
      <c r="H1338" s="2">
        <f t="shared" si="83"/>
        <v>5.2430555555555425E-3</v>
      </c>
      <c r="K1338" s="1"/>
    </row>
    <row r="1339" spans="1:11" x14ac:dyDescent="0.25">
      <c r="A1339" s="6">
        <v>6530661</v>
      </c>
      <c r="B1339" t="str">
        <f t="shared" si="80"/>
        <v>stacjonarny</v>
      </c>
      <c r="C1339">
        <f t="shared" si="81"/>
        <v>0</v>
      </c>
      <c r="D1339">
        <f t="shared" si="82"/>
        <v>0</v>
      </c>
      <c r="E1339" s="1">
        <v>42936</v>
      </c>
      <c r="F1339" s="2">
        <v>0.40709490740740739</v>
      </c>
      <c r="G1339" s="2">
        <v>0.40795138888888888</v>
      </c>
      <c r="H1339" s="2">
        <f t="shared" si="83"/>
        <v>8.5648148148148584E-4</v>
      </c>
      <c r="K1339" s="1"/>
    </row>
    <row r="1340" spans="1:11" x14ac:dyDescent="0.25">
      <c r="A1340" s="6">
        <v>8691743</v>
      </c>
      <c r="B1340" t="str">
        <f t="shared" si="80"/>
        <v>stacjonarny</v>
      </c>
      <c r="C1340">
        <f t="shared" si="81"/>
        <v>0</v>
      </c>
      <c r="D1340">
        <f t="shared" si="82"/>
        <v>0</v>
      </c>
      <c r="E1340" s="1">
        <v>42936</v>
      </c>
      <c r="F1340" s="2">
        <v>0.41228009259259257</v>
      </c>
      <c r="G1340" s="2">
        <v>0.42214120370370373</v>
      </c>
      <c r="H1340" s="2">
        <f t="shared" si="83"/>
        <v>9.8611111111111538E-3</v>
      </c>
      <c r="K1340" s="1"/>
    </row>
    <row r="1341" spans="1:11" x14ac:dyDescent="0.25">
      <c r="A1341" s="6">
        <v>2771511</v>
      </c>
      <c r="B1341" t="str">
        <f t="shared" si="80"/>
        <v>stacjonarny</v>
      </c>
      <c r="C1341">
        <f t="shared" si="81"/>
        <v>0</v>
      </c>
      <c r="D1341">
        <f t="shared" si="82"/>
        <v>0</v>
      </c>
      <c r="E1341" s="1">
        <v>42936</v>
      </c>
      <c r="F1341" s="2">
        <v>0.41271990740740738</v>
      </c>
      <c r="G1341" s="2">
        <v>0.41487268518518516</v>
      </c>
      <c r="H1341" s="2">
        <f t="shared" si="83"/>
        <v>2.1527777777777812E-3</v>
      </c>
      <c r="K1341" s="1"/>
    </row>
    <row r="1342" spans="1:11" x14ac:dyDescent="0.25">
      <c r="A1342" s="6">
        <v>7471152</v>
      </c>
      <c r="B1342" t="str">
        <f t="shared" si="80"/>
        <v>stacjonarny</v>
      </c>
      <c r="C1342">
        <f t="shared" si="81"/>
        <v>0</v>
      </c>
      <c r="D1342">
        <f t="shared" si="82"/>
        <v>0</v>
      </c>
      <c r="E1342" s="1">
        <v>42936</v>
      </c>
      <c r="F1342" s="2">
        <v>0.41456018518518517</v>
      </c>
      <c r="G1342" s="2">
        <v>0.41495370370370371</v>
      </c>
      <c r="H1342" s="2">
        <f t="shared" si="83"/>
        <v>3.9351851851854303E-4</v>
      </c>
      <c r="K1342" s="1"/>
    </row>
    <row r="1343" spans="1:11" x14ac:dyDescent="0.25">
      <c r="A1343" s="6">
        <v>89691426</v>
      </c>
      <c r="B1343" t="str">
        <f t="shared" si="80"/>
        <v>komorkowy</v>
      </c>
      <c r="C1343">
        <f t="shared" si="81"/>
        <v>0</v>
      </c>
      <c r="D1343">
        <f t="shared" si="82"/>
        <v>0</v>
      </c>
      <c r="E1343" s="1">
        <v>42936</v>
      </c>
      <c r="F1343" s="2">
        <v>0.41677083333333331</v>
      </c>
      <c r="G1343" s="2">
        <v>0.42192129629629632</v>
      </c>
      <c r="H1343" s="2">
        <f t="shared" si="83"/>
        <v>5.1504629629630094E-3</v>
      </c>
      <c r="K1343" s="1"/>
    </row>
    <row r="1344" spans="1:11" x14ac:dyDescent="0.25">
      <c r="A1344" s="6">
        <v>5305478</v>
      </c>
      <c r="B1344" t="str">
        <f t="shared" si="80"/>
        <v>stacjonarny</v>
      </c>
      <c r="C1344">
        <f t="shared" si="81"/>
        <v>0</v>
      </c>
      <c r="D1344">
        <f t="shared" si="82"/>
        <v>0</v>
      </c>
      <c r="E1344" s="1">
        <v>42936</v>
      </c>
      <c r="F1344" s="2">
        <v>0.41980324074074077</v>
      </c>
      <c r="G1344" s="2">
        <v>0.42957175925925928</v>
      </c>
      <c r="H1344" s="2">
        <f t="shared" si="83"/>
        <v>9.7685185185185097E-3</v>
      </c>
      <c r="K1344" s="1"/>
    </row>
    <row r="1345" spans="1:11" x14ac:dyDescent="0.25">
      <c r="A1345" s="6">
        <v>4305632</v>
      </c>
      <c r="B1345" t="str">
        <f t="shared" si="80"/>
        <v>stacjonarny</v>
      </c>
      <c r="C1345">
        <f t="shared" si="81"/>
        <v>0</v>
      </c>
      <c r="D1345">
        <f t="shared" si="82"/>
        <v>0</v>
      </c>
      <c r="E1345" s="1">
        <v>42936</v>
      </c>
      <c r="F1345" s="2">
        <v>0.42534722222222221</v>
      </c>
      <c r="G1345" s="2">
        <v>0.43634259259259262</v>
      </c>
      <c r="H1345" s="2">
        <f t="shared" si="83"/>
        <v>1.0995370370370405E-2</v>
      </c>
      <c r="K1345" s="1"/>
    </row>
    <row r="1346" spans="1:11" x14ac:dyDescent="0.25">
      <c r="A1346" s="6">
        <v>9526179</v>
      </c>
      <c r="B1346" t="str">
        <f t="shared" ref="B1346:B1409" si="84">IF(LEN(A1346)=7, "stacjonarny", IF(LEN(A1346)=8, "komorkowy", "zagraniczny"))</f>
        <v>stacjonarny</v>
      </c>
      <c r="C1346">
        <f t="shared" si="81"/>
        <v>0</v>
      </c>
      <c r="D1346">
        <f t="shared" si="82"/>
        <v>0</v>
      </c>
      <c r="E1346" s="1">
        <v>42936</v>
      </c>
      <c r="F1346" s="2">
        <v>0.42761574074074077</v>
      </c>
      <c r="G1346" s="2">
        <v>0.4314236111111111</v>
      </c>
      <c r="H1346" s="2">
        <f t="shared" si="83"/>
        <v>3.8078703703703365E-3</v>
      </c>
      <c r="K1346" s="1"/>
    </row>
    <row r="1347" spans="1:11" x14ac:dyDescent="0.25">
      <c r="A1347" s="6">
        <v>1268336</v>
      </c>
      <c r="B1347" t="str">
        <f t="shared" si="84"/>
        <v>stacjonarny</v>
      </c>
      <c r="C1347">
        <f t="shared" ref="C1347:C1410" si="85">IF(LEFT(A1347,2)="12",1,0)</f>
        <v>1</v>
      </c>
      <c r="D1347">
        <f t="shared" ref="D1347:D1410" si="86">IF(AND(C1347=1,B1347="stacjonarny"),1,0)</f>
        <v>1</v>
      </c>
      <c r="E1347" s="1">
        <v>42936</v>
      </c>
      <c r="F1347" s="2">
        <v>0.43172453703703706</v>
      </c>
      <c r="G1347" s="2">
        <v>0.44153935185185184</v>
      </c>
      <c r="H1347" s="2">
        <f t="shared" ref="H1347:H1410" si="87">G1347-F1347</f>
        <v>9.8148148148147762E-3</v>
      </c>
      <c r="K1347" s="1"/>
    </row>
    <row r="1348" spans="1:11" x14ac:dyDescent="0.25">
      <c r="A1348" s="6">
        <v>7288626</v>
      </c>
      <c r="B1348" t="str">
        <f t="shared" si="84"/>
        <v>stacjonarny</v>
      </c>
      <c r="C1348">
        <f t="shared" si="85"/>
        <v>0</v>
      </c>
      <c r="D1348">
        <f t="shared" si="86"/>
        <v>0</v>
      </c>
      <c r="E1348" s="1">
        <v>42936</v>
      </c>
      <c r="F1348" s="2">
        <v>0.43606481481481479</v>
      </c>
      <c r="G1348" s="2">
        <v>0.44609953703703703</v>
      </c>
      <c r="H1348" s="2">
        <f t="shared" si="87"/>
        <v>1.0034722222222237E-2</v>
      </c>
      <c r="K1348" s="1"/>
    </row>
    <row r="1349" spans="1:11" x14ac:dyDescent="0.25">
      <c r="A1349" s="6">
        <v>53117702</v>
      </c>
      <c r="B1349" t="str">
        <f t="shared" si="84"/>
        <v>komorkowy</v>
      </c>
      <c r="C1349">
        <f t="shared" si="85"/>
        <v>0</v>
      </c>
      <c r="D1349">
        <f t="shared" si="86"/>
        <v>0</v>
      </c>
      <c r="E1349" s="1">
        <v>42936</v>
      </c>
      <c r="F1349" s="2">
        <v>0.44170138888888888</v>
      </c>
      <c r="G1349" s="2">
        <v>0.44903935185185184</v>
      </c>
      <c r="H1349" s="2">
        <f t="shared" si="87"/>
        <v>7.3379629629629628E-3</v>
      </c>
      <c r="K1349" s="1"/>
    </row>
    <row r="1350" spans="1:11" x14ac:dyDescent="0.25">
      <c r="A1350" s="6">
        <v>10201038</v>
      </c>
      <c r="B1350" t="str">
        <f t="shared" si="84"/>
        <v>komorkowy</v>
      </c>
      <c r="C1350">
        <f t="shared" si="85"/>
        <v>0</v>
      </c>
      <c r="D1350">
        <f t="shared" si="86"/>
        <v>0</v>
      </c>
      <c r="E1350" s="1">
        <v>42936</v>
      </c>
      <c r="F1350" s="2">
        <v>0.44615740740740739</v>
      </c>
      <c r="G1350" s="2">
        <v>0.45019675925925928</v>
      </c>
      <c r="H1350" s="2">
        <f t="shared" si="87"/>
        <v>4.0393518518518912E-3</v>
      </c>
      <c r="K1350" s="1"/>
    </row>
    <row r="1351" spans="1:11" x14ac:dyDescent="0.25">
      <c r="A1351" s="6">
        <v>4738129</v>
      </c>
      <c r="B1351" t="str">
        <f t="shared" si="84"/>
        <v>stacjonarny</v>
      </c>
      <c r="C1351">
        <f t="shared" si="85"/>
        <v>0</v>
      </c>
      <c r="D1351">
        <f t="shared" si="86"/>
        <v>0</v>
      </c>
      <c r="E1351" s="1">
        <v>42936</v>
      </c>
      <c r="F1351" s="2">
        <v>0.4503935185185185</v>
      </c>
      <c r="G1351" s="2">
        <v>0.46037037037037037</v>
      </c>
      <c r="H1351" s="2">
        <f t="shared" si="87"/>
        <v>9.9768518518518756E-3</v>
      </c>
      <c r="K1351" s="1"/>
    </row>
    <row r="1352" spans="1:11" x14ac:dyDescent="0.25">
      <c r="A1352" s="6">
        <v>3153023</v>
      </c>
      <c r="B1352" t="str">
        <f t="shared" si="84"/>
        <v>stacjonarny</v>
      </c>
      <c r="C1352">
        <f t="shared" si="85"/>
        <v>0</v>
      </c>
      <c r="D1352">
        <f t="shared" si="86"/>
        <v>0</v>
      </c>
      <c r="E1352" s="1">
        <v>42936</v>
      </c>
      <c r="F1352" s="2">
        <v>0.45503472222222224</v>
      </c>
      <c r="G1352" s="2">
        <v>0.45876157407407409</v>
      </c>
      <c r="H1352" s="2">
        <f t="shared" si="87"/>
        <v>3.7268518518518423E-3</v>
      </c>
      <c r="K1352" s="1"/>
    </row>
    <row r="1353" spans="1:11" x14ac:dyDescent="0.25">
      <c r="A1353" s="6">
        <v>1747389</v>
      </c>
      <c r="B1353" t="str">
        <f t="shared" si="84"/>
        <v>stacjonarny</v>
      </c>
      <c r="C1353">
        <f t="shared" si="85"/>
        <v>0</v>
      </c>
      <c r="D1353">
        <f t="shared" si="86"/>
        <v>0</v>
      </c>
      <c r="E1353" s="1">
        <v>42936</v>
      </c>
      <c r="F1353" s="2">
        <v>0.45795138888888887</v>
      </c>
      <c r="G1353" s="2">
        <v>0.46004629629629629</v>
      </c>
      <c r="H1353" s="2">
        <f t="shared" si="87"/>
        <v>2.0949074074074203E-3</v>
      </c>
      <c r="K1353" s="1"/>
    </row>
    <row r="1354" spans="1:11" x14ac:dyDescent="0.25">
      <c r="A1354" s="6">
        <v>5526425146</v>
      </c>
      <c r="B1354" t="str">
        <f t="shared" si="84"/>
        <v>zagraniczny</v>
      </c>
      <c r="C1354">
        <f t="shared" si="85"/>
        <v>0</v>
      </c>
      <c r="D1354">
        <f t="shared" si="86"/>
        <v>0</v>
      </c>
      <c r="E1354" s="1">
        <v>42936</v>
      </c>
      <c r="F1354" s="2">
        <v>0.46164351851851854</v>
      </c>
      <c r="G1354" s="2">
        <v>0.46197916666666666</v>
      </c>
      <c r="H1354" s="2">
        <f t="shared" si="87"/>
        <v>3.356481481481266E-4</v>
      </c>
      <c r="K1354" s="1"/>
    </row>
    <row r="1355" spans="1:11" x14ac:dyDescent="0.25">
      <c r="A1355" s="6">
        <v>93050839</v>
      </c>
      <c r="B1355" t="str">
        <f t="shared" si="84"/>
        <v>komorkowy</v>
      </c>
      <c r="C1355">
        <f t="shared" si="85"/>
        <v>0</v>
      </c>
      <c r="D1355">
        <f t="shared" si="86"/>
        <v>0</v>
      </c>
      <c r="E1355" s="1">
        <v>42936</v>
      </c>
      <c r="F1355" s="2">
        <v>0.46225694444444443</v>
      </c>
      <c r="G1355" s="2">
        <v>0.46591435185185187</v>
      </c>
      <c r="H1355" s="2">
        <f t="shared" si="87"/>
        <v>3.6574074074074425E-3</v>
      </c>
      <c r="K1355" s="1"/>
    </row>
    <row r="1356" spans="1:11" x14ac:dyDescent="0.25">
      <c r="A1356" s="6">
        <v>1288318920</v>
      </c>
      <c r="B1356" t="str">
        <f t="shared" si="84"/>
        <v>zagraniczny</v>
      </c>
      <c r="C1356">
        <f t="shared" si="85"/>
        <v>1</v>
      </c>
      <c r="D1356">
        <f t="shared" si="86"/>
        <v>0</v>
      </c>
      <c r="E1356" s="1">
        <v>42936</v>
      </c>
      <c r="F1356" s="2">
        <v>0.46606481481481482</v>
      </c>
      <c r="G1356" s="2">
        <v>0.47375</v>
      </c>
      <c r="H1356" s="2">
        <f t="shared" si="87"/>
        <v>7.6851851851851838E-3</v>
      </c>
      <c r="K1356" s="1"/>
    </row>
    <row r="1357" spans="1:11" x14ac:dyDescent="0.25">
      <c r="A1357" s="6">
        <v>5613566</v>
      </c>
      <c r="B1357" t="str">
        <f t="shared" si="84"/>
        <v>stacjonarny</v>
      </c>
      <c r="C1357">
        <f t="shared" si="85"/>
        <v>0</v>
      </c>
      <c r="D1357">
        <f t="shared" si="86"/>
        <v>0</v>
      </c>
      <c r="E1357" s="1">
        <v>42936</v>
      </c>
      <c r="F1357" s="2">
        <v>0.47105324074074073</v>
      </c>
      <c r="G1357" s="2">
        <v>0.47146990740740741</v>
      </c>
      <c r="H1357" s="2">
        <f t="shared" si="87"/>
        <v>4.1666666666667629E-4</v>
      </c>
      <c r="K1357" s="1"/>
    </row>
    <row r="1358" spans="1:11" x14ac:dyDescent="0.25">
      <c r="A1358" s="6">
        <v>2406196</v>
      </c>
      <c r="B1358" t="str">
        <f t="shared" si="84"/>
        <v>stacjonarny</v>
      </c>
      <c r="C1358">
        <f t="shared" si="85"/>
        <v>0</v>
      </c>
      <c r="D1358">
        <f t="shared" si="86"/>
        <v>0</v>
      </c>
      <c r="E1358" s="1">
        <v>42936</v>
      </c>
      <c r="F1358" s="2">
        <v>0.47244212962962961</v>
      </c>
      <c r="G1358" s="2">
        <v>0.48127314814814814</v>
      </c>
      <c r="H1358" s="2">
        <f t="shared" si="87"/>
        <v>8.8310185185185297E-3</v>
      </c>
      <c r="K1358" s="1"/>
    </row>
    <row r="1359" spans="1:11" x14ac:dyDescent="0.25">
      <c r="A1359" s="6">
        <v>9046365</v>
      </c>
      <c r="B1359" t="str">
        <f t="shared" si="84"/>
        <v>stacjonarny</v>
      </c>
      <c r="C1359">
        <f t="shared" si="85"/>
        <v>0</v>
      </c>
      <c r="D1359">
        <f t="shared" si="86"/>
        <v>0</v>
      </c>
      <c r="E1359" s="1">
        <v>42936</v>
      </c>
      <c r="F1359" s="2">
        <v>0.47531250000000003</v>
      </c>
      <c r="G1359" s="2">
        <v>0.47684027777777777</v>
      </c>
      <c r="H1359" s="2">
        <f t="shared" si="87"/>
        <v>1.527777777777739E-3</v>
      </c>
      <c r="K1359" s="1"/>
    </row>
    <row r="1360" spans="1:11" x14ac:dyDescent="0.25">
      <c r="A1360" s="6">
        <v>5019634</v>
      </c>
      <c r="B1360" t="str">
        <f t="shared" si="84"/>
        <v>stacjonarny</v>
      </c>
      <c r="C1360">
        <f t="shared" si="85"/>
        <v>0</v>
      </c>
      <c r="D1360">
        <f t="shared" si="86"/>
        <v>0</v>
      </c>
      <c r="E1360" s="1">
        <v>42936</v>
      </c>
      <c r="F1360" s="2">
        <v>0.48032407407407407</v>
      </c>
      <c r="G1360" s="2">
        <v>0.4916550925925926</v>
      </c>
      <c r="H1360" s="2">
        <f t="shared" si="87"/>
        <v>1.1331018518518532E-2</v>
      </c>
      <c r="K1360" s="1"/>
    </row>
    <row r="1361" spans="1:11" x14ac:dyDescent="0.25">
      <c r="A1361" s="6">
        <v>90993861</v>
      </c>
      <c r="B1361" t="str">
        <f t="shared" si="84"/>
        <v>komorkowy</v>
      </c>
      <c r="C1361">
        <f t="shared" si="85"/>
        <v>0</v>
      </c>
      <c r="D1361">
        <f t="shared" si="86"/>
        <v>0</v>
      </c>
      <c r="E1361" s="1">
        <v>42936</v>
      </c>
      <c r="F1361" s="2">
        <v>0.48280092592592594</v>
      </c>
      <c r="G1361" s="2">
        <v>0.48798611111111112</v>
      </c>
      <c r="H1361" s="2">
        <f t="shared" si="87"/>
        <v>5.1851851851851816E-3</v>
      </c>
      <c r="K1361" s="1"/>
    </row>
    <row r="1362" spans="1:11" x14ac:dyDescent="0.25">
      <c r="A1362" s="6">
        <v>4034491</v>
      </c>
      <c r="B1362" t="str">
        <f t="shared" si="84"/>
        <v>stacjonarny</v>
      </c>
      <c r="C1362">
        <f t="shared" si="85"/>
        <v>0</v>
      </c>
      <c r="D1362">
        <f t="shared" si="86"/>
        <v>0</v>
      </c>
      <c r="E1362" s="1">
        <v>42936</v>
      </c>
      <c r="F1362" s="2">
        <v>0.48813657407407407</v>
      </c>
      <c r="G1362" s="2">
        <v>0.49116898148148147</v>
      </c>
      <c r="H1362" s="2">
        <f t="shared" si="87"/>
        <v>3.0324074074074003E-3</v>
      </c>
      <c r="K1362" s="1"/>
    </row>
    <row r="1363" spans="1:11" x14ac:dyDescent="0.25">
      <c r="A1363" s="6">
        <v>57395204</v>
      </c>
      <c r="B1363" t="str">
        <f t="shared" si="84"/>
        <v>komorkowy</v>
      </c>
      <c r="C1363">
        <f t="shared" si="85"/>
        <v>0</v>
      </c>
      <c r="D1363">
        <f t="shared" si="86"/>
        <v>0</v>
      </c>
      <c r="E1363" s="1">
        <v>42936</v>
      </c>
      <c r="F1363" s="2">
        <v>0.49015046296296294</v>
      </c>
      <c r="G1363" s="2">
        <v>0.49456018518518519</v>
      </c>
      <c r="H1363" s="2">
        <f t="shared" si="87"/>
        <v>4.4097222222222454E-3</v>
      </c>
      <c r="K1363" s="1"/>
    </row>
    <row r="1364" spans="1:11" x14ac:dyDescent="0.25">
      <c r="A1364" s="6">
        <v>9156106</v>
      </c>
      <c r="B1364" t="str">
        <f t="shared" si="84"/>
        <v>stacjonarny</v>
      </c>
      <c r="C1364">
        <f t="shared" si="85"/>
        <v>0</v>
      </c>
      <c r="D1364">
        <f t="shared" si="86"/>
        <v>0</v>
      </c>
      <c r="E1364" s="1">
        <v>42936</v>
      </c>
      <c r="F1364" s="2">
        <v>0.49103009259259262</v>
      </c>
      <c r="G1364" s="2">
        <v>0.4937037037037037</v>
      </c>
      <c r="H1364" s="2">
        <f t="shared" si="87"/>
        <v>2.673611111111085E-3</v>
      </c>
      <c r="K1364" s="1"/>
    </row>
    <row r="1365" spans="1:11" x14ac:dyDescent="0.25">
      <c r="A1365" s="6">
        <v>7076463</v>
      </c>
      <c r="B1365" t="str">
        <f t="shared" si="84"/>
        <v>stacjonarny</v>
      </c>
      <c r="C1365">
        <f t="shared" si="85"/>
        <v>0</v>
      </c>
      <c r="D1365">
        <f t="shared" si="86"/>
        <v>0</v>
      </c>
      <c r="E1365" s="1">
        <v>42936</v>
      </c>
      <c r="F1365" s="2">
        <v>0.49519675925925927</v>
      </c>
      <c r="G1365" s="2">
        <v>0.49532407407407408</v>
      </c>
      <c r="H1365" s="2">
        <f t="shared" si="87"/>
        <v>1.2731481481481621E-4</v>
      </c>
      <c r="K1365" s="1"/>
    </row>
    <row r="1366" spans="1:11" x14ac:dyDescent="0.25">
      <c r="A1366" s="6">
        <v>3136675</v>
      </c>
      <c r="B1366" t="str">
        <f t="shared" si="84"/>
        <v>stacjonarny</v>
      </c>
      <c r="C1366">
        <f t="shared" si="85"/>
        <v>0</v>
      </c>
      <c r="D1366">
        <f t="shared" si="86"/>
        <v>0</v>
      </c>
      <c r="E1366" s="1">
        <v>42936</v>
      </c>
      <c r="F1366" s="2">
        <v>0.49833333333333335</v>
      </c>
      <c r="G1366" s="2">
        <v>0.50942129629629629</v>
      </c>
      <c r="H1366" s="2">
        <f t="shared" si="87"/>
        <v>1.1087962962962938E-2</v>
      </c>
      <c r="K1366" s="1"/>
    </row>
    <row r="1367" spans="1:11" x14ac:dyDescent="0.25">
      <c r="A1367" s="6">
        <v>7826456</v>
      </c>
      <c r="B1367" t="str">
        <f t="shared" si="84"/>
        <v>stacjonarny</v>
      </c>
      <c r="C1367">
        <f t="shared" si="85"/>
        <v>0</v>
      </c>
      <c r="D1367">
        <f t="shared" si="86"/>
        <v>0</v>
      </c>
      <c r="E1367" s="1">
        <v>42936</v>
      </c>
      <c r="F1367" s="2">
        <v>0.50298611111111113</v>
      </c>
      <c r="G1367" s="2">
        <v>0.50312500000000004</v>
      </c>
      <c r="H1367" s="2">
        <f t="shared" si="87"/>
        <v>1.388888888889106E-4</v>
      </c>
      <c r="K1367" s="1"/>
    </row>
    <row r="1368" spans="1:11" x14ac:dyDescent="0.25">
      <c r="A1368" s="6">
        <v>4094662</v>
      </c>
      <c r="B1368" t="str">
        <f t="shared" si="84"/>
        <v>stacjonarny</v>
      </c>
      <c r="C1368">
        <f t="shared" si="85"/>
        <v>0</v>
      </c>
      <c r="D1368">
        <f t="shared" si="86"/>
        <v>0</v>
      </c>
      <c r="E1368" s="1">
        <v>42936</v>
      </c>
      <c r="F1368" s="2">
        <v>0.50581018518518517</v>
      </c>
      <c r="G1368" s="2">
        <v>0.51442129629629629</v>
      </c>
      <c r="H1368" s="2">
        <f t="shared" si="87"/>
        <v>8.6111111111111249E-3</v>
      </c>
      <c r="K1368" s="1"/>
    </row>
    <row r="1369" spans="1:11" x14ac:dyDescent="0.25">
      <c r="A1369" s="6">
        <v>3134379</v>
      </c>
      <c r="B1369" t="str">
        <f t="shared" si="84"/>
        <v>stacjonarny</v>
      </c>
      <c r="C1369">
        <f t="shared" si="85"/>
        <v>0</v>
      </c>
      <c r="D1369">
        <f t="shared" si="86"/>
        <v>0</v>
      </c>
      <c r="E1369" s="1">
        <v>42936</v>
      </c>
      <c r="F1369" s="2">
        <v>0.508275462962963</v>
      </c>
      <c r="G1369" s="2">
        <v>0.51652777777777781</v>
      </c>
      <c r="H1369" s="2">
        <f t="shared" si="87"/>
        <v>8.2523148148148096E-3</v>
      </c>
      <c r="K1369" s="1"/>
    </row>
    <row r="1370" spans="1:11" x14ac:dyDescent="0.25">
      <c r="A1370" s="6">
        <v>1119016</v>
      </c>
      <c r="B1370" t="str">
        <f t="shared" si="84"/>
        <v>stacjonarny</v>
      </c>
      <c r="C1370">
        <f t="shared" si="85"/>
        <v>0</v>
      </c>
      <c r="D1370">
        <f t="shared" si="86"/>
        <v>0</v>
      </c>
      <c r="E1370" s="1">
        <v>42936</v>
      </c>
      <c r="F1370" s="2">
        <v>0.50880787037037034</v>
      </c>
      <c r="G1370" s="2">
        <v>0.51409722222222221</v>
      </c>
      <c r="H1370" s="2">
        <f t="shared" si="87"/>
        <v>5.2893518518518645E-3</v>
      </c>
      <c r="K1370" s="1"/>
    </row>
    <row r="1371" spans="1:11" x14ac:dyDescent="0.25">
      <c r="A1371" s="6">
        <v>3539762</v>
      </c>
      <c r="B1371" t="str">
        <f t="shared" si="84"/>
        <v>stacjonarny</v>
      </c>
      <c r="C1371">
        <f t="shared" si="85"/>
        <v>0</v>
      </c>
      <c r="D1371">
        <f t="shared" si="86"/>
        <v>0</v>
      </c>
      <c r="E1371" s="1">
        <v>42936</v>
      </c>
      <c r="F1371" s="2">
        <v>0.51028935185185187</v>
      </c>
      <c r="G1371" s="2">
        <v>0.52089120370370368</v>
      </c>
      <c r="H1371" s="2">
        <f t="shared" si="87"/>
        <v>1.0601851851851807E-2</v>
      </c>
      <c r="K1371" s="1"/>
    </row>
    <row r="1372" spans="1:11" x14ac:dyDescent="0.25">
      <c r="A1372" s="6">
        <v>28601187</v>
      </c>
      <c r="B1372" t="str">
        <f t="shared" si="84"/>
        <v>komorkowy</v>
      </c>
      <c r="C1372">
        <f t="shared" si="85"/>
        <v>0</v>
      </c>
      <c r="D1372">
        <f t="shared" si="86"/>
        <v>0</v>
      </c>
      <c r="E1372" s="1">
        <v>42936</v>
      </c>
      <c r="F1372" s="2">
        <v>0.51511574074074074</v>
      </c>
      <c r="G1372" s="2">
        <v>0.51787037037037043</v>
      </c>
      <c r="H1372" s="2">
        <f t="shared" si="87"/>
        <v>2.7546296296296902E-3</v>
      </c>
      <c r="K1372" s="1"/>
    </row>
    <row r="1373" spans="1:11" x14ac:dyDescent="0.25">
      <c r="A1373" s="6">
        <v>2841969</v>
      </c>
      <c r="B1373" t="str">
        <f t="shared" si="84"/>
        <v>stacjonarny</v>
      </c>
      <c r="C1373">
        <f t="shared" si="85"/>
        <v>0</v>
      </c>
      <c r="D1373">
        <f t="shared" si="86"/>
        <v>0</v>
      </c>
      <c r="E1373" s="1">
        <v>42936</v>
      </c>
      <c r="F1373" s="2">
        <v>0.51512731481481477</v>
      </c>
      <c r="G1373" s="2">
        <v>0.51556712962962958</v>
      </c>
      <c r="H1373" s="2">
        <f t="shared" si="87"/>
        <v>4.3981481481480955E-4</v>
      </c>
      <c r="K1373" s="1"/>
    </row>
    <row r="1374" spans="1:11" x14ac:dyDescent="0.25">
      <c r="A1374" s="6">
        <v>57957786</v>
      </c>
      <c r="B1374" t="str">
        <f t="shared" si="84"/>
        <v>komorkowy</v>
      </c>
      <c r="C1374">
        <f t="shared" si="85"/>
        <v>0</v>
      </c>
      <c r="D1374">
        <f t="shared" si="86"/>
        <v>0</v>
      </c>
      <c r="E1374" s="1">
        <v>42936</v>
      </c>
      <c r="F1374" s="2">
        <v>0.51928240740740739</v>
      </c>
      <c r="G1374" s="2">
        <v>0.53030092592592593</v>
      </c>
      <c r="H1374" s="2">
        <f t="shared" si="87"/>
        <v>1.1018518518518539E-2</v>
      </c>
      <c r="K1374" s="1"/>
    </row>
    <row r="1375" spans="1:11" x14ac:dyDescent="0.25">
      <c r="A1375" s="6">
        <v>6068132</v>
      </c>
      <c r="B1375" t="str">
        <f t="shared" si="84"/>
        <v>stacjonarny</v>
      </c>
      <c r="C1375">
        <f t="shared" si="85"/>
        <v>0</v>
      </c>
      <c r="D1375">
        <f t="shared" si="86"/>
        <v>0</v>
      </c>
      <c r="E1375" s="1">
        <v>42936</v>
      </c>
      <c r="F1375" s="2">
        <v>0.52225694444444448</v>
      </c>
      <c r="G1375" s="2">
        <v>0.5236574074074074</v>
      </c>
      <c r="H1375" s="2">
        <f t="shared" si="87"/>
        <v>1.4004629629629228E-3</v>
      </c>
      <c r="K1375" s="1"/>
    </row>
    <row r="1376" spans="1:11" x14ac:dyDescent="0.25">
      <c r="A1376" s="6">
        <v>8195842</v>
      </c>
      <c r="B1376" t="str">
        <f t="shared" si="84"/>
        <v>stacjonarny</v>
      </c>
      <c r="C1376">
        <f t="shared" si="85"/>
        <v>0</v>
      </c>
      <c r="D1376">
        <f t="shared" si="86"/>
        <v>0</v>
      </c>
      <c r="E1376" s="1">
        <v>42936</v>
      </c>
      <c r="F1376" s="2">
        <v>0.52240740740740743</v>
      </c>
      <c r="G1376" s="2">
        <v>0.53074074074074074</v>
      </c>
      <c r="H1376" s="2">
        <f t="shared" si="87"/>
        <v>8.3333333333333037E-3</v>
      </c>
      <c r="K1376" s="1"/>
    </row>
    <row r="1377" spans="1:11" x14ac:dyDescent="0.25">
      <c r="A1377" s="6">
        <v>98737794</v>
      </c>
      <c r="B1377" t="str">
        <f t="shared" si="84"/>
        <v>komorkowy</v>
      </c>
      <c r="C1377">
        <f t="shared" si="85"/>
        <v>0</v>
      </c>
      <c r="D1377">
        <f t="shared" si="86"/>
        <v>0</v>
      </c>
      <c r="E1377" s="1">
        <v>42936</v>
      </c>
      <c r="F1377" s="2">
        <v>0.52379629629629632</v>
      </c>
      <c r="G1377" s="2">
        <v>0.52883101851851855</v>
      </c>
      <c r="H1377" s="2">
        <f t="shared" si="87"/>
        <v>5.0347222222222321E-3</v>
      </c>
      <c r="K1377" s="1"/>
    </row>
    <row r="1378" spans="1:11" x14ac:dyDescent="0.25">
      <c r="A1378" s="6">
        <v>6523054</v>
      </c>
      <c r="B1378" t="str">
        <f t="shared" si="84"/>
        <v>stacjonarny</v>
      </c>
      <c r="C1378">
        <f t="shared" si="85"/>
        <v>0</v>
      </c>
      <c r="D1378">
        <f t="shared" si="86"/>
        <v>0</v>
      </c>
      <c r="E1378" s="1">
        <v>42936</v>
      </c>
      <c r="F1378" s="2">
        <v>0.52813657407407411</v>
      </c>
      <c r="G1378" s="2">
        <v>0.53877314814814814</v>
      </c>
      <c r="H1378" s="2">
        <f t="shared" si="87"/>
        <v>1.0636574074074034E-2</v>
      </c>
      <c r="K1378" s="1"/>
    </row>
    <row r="1379" spans="1:11" x14ac:dyDescent="0.25">
      <c r="A1379" s="6">
        <v>26895957</v>
      </c>
      <c r="B1379" t="str">
        <f t="shared" si="84"/>
        <v>komorkowy</v>
      </c>
      <c r="C1379">
        <f t="shared" si="85"/>
        <v>0</v>
      </c>
      <c r="D1379">
        <f t="shared" si="86"/>
        <v>0</v>
      </c>
      <c r="E1379" s="1">
        <v>42936</v>
      </c>
      <c r="F1379" s="2">
        <v>0.53083333333333338</v>
      </c>
      <c r="G1379" s="2">
        <v>0.53511574074074075</v>
      </c>
      <c r="H1379" s="2">
        <f t="shared" si="87"/>
        <v>4.2824074074073737E-3</v>
      </c>
      <c r="K1379" s="1"/>
    </row>
    <row r="1380" spans="1:11" x14ac:dyDescent="0.25">
      <c r="A1380" s="6">
        <v>5254694</v>
      </c>
      <c r="B1380" t="str">
        <f t="shared" si="84"/>
        <v>stacjonarny</v>
      </c>
      <c r="C1380">
        <f t="shared" si="85"/>
        <v>0</v>
      </c>
      <c r="D1380">
        <f t="shared" si="86"/>
        <v>0</v>
      </c>
      <c r="E1380" s="1">
        <v>42936</v>
      </c>
      <c r="F1380" s="2">
        <v>0.5330555555555555</v>
      </c>
      <c r="G1380" s="2">
        <v>0.54049768518518515</v>
      </c>
      <c r="H1380" s="2">
        <f t="shared" si="87"/>
        <v>7.4421296296296457E-3</v>
      </c>
      <c r="K1380" s="1"/>
    </row>
    <row r="1381" spans="1:11" x14ac:dyDescent="0.25">
      <c r="A1381" s="6">
        <v>3979680</v>
      </c>
      <c r="B1381" t="str">
        <f t="shared" si="84"/>
        <v>stacjonarny</v>
      </c>
      <c r="C1381">
        <f t="shared" si="85"/>
        <v>0</v>
      </c>
      <c r="D1381">
        <f t="shared" si="86"/>
        <v>0</v>
      </c>
      <c r="E1381" s="1">
        <v>42936</v>
      </c>
      <c r="F1381" s="2">
        <v>0.53820601851851857</v>
      </c>
      <c r="G1381" s="2">
        <v>0.54369212962962965</v>
      </c>
      <c r="H1381" s="2">
        <f t="shared" si="87"/>
        <v>5.4861111111110805E-3</v>
      </c>
      <c r="K1381" s="1"/>
    </row>
    <row r="1382" spans="1:11" x14ac:dyDescent="0.25">
      <c r="A1382" s="6">
        <v>96424596</v>
      </c>
      <c r="B1382" t="str">
        <f t="shared" si="84"/>
        <v>komorkowy</v>
      </c>
      <c r="C1382">
        <f t="shared" si="85"/>
        <v>0</v>
      </c>
      <c r="D1382">
        <f t="shared" si="86"/>
        <v>0</v>
      </c>
      <c r="E1382" s="1">
        <v>42936</v>
      </c>
      <c r="F1382" s="2">
        <v>0.53964120370370372</v>
      </c>
      <c r="G1382" s="2">
        <v>0.54423611111111114</v>
      </c>
      <c r="H1382" s="2">
        <f t="shared" si="87"/>
        <v>4.5949074074074225E-3</v>
      </c>
      <c r="K1382" s="1"/>
    </row>
    <row r="1383" spans="1:11" x14ac:dyDescent="0.25">
      <c r="A1383" s="6">
        <v>4923459</v>
      </c>
      <c r="B1383" t="str">
        <f t="shared" si="84"/>
        <v>stacjonarny</v>
      </c>
      <c r="C1383">
        <f t="shared" si="85"/>
        <v>0</v>
      </c>
      <c r="D1383">
        <f t="shared" si="86"/>
        <v>0</v>
      </c>
      <c r="E1383" s="1">
        <v>42936</v>
      </c>
      <c r="F1383" s="2">
        <v>0.54450231481481481</v>
      </c>
      <c r="G1383" s="2">
        <v>0.55406250000000001</v>
      </c>
      <c r="H1383" s="2">
        <f t="shared" si="87"/>
        <v>9.5601851851851993E-3</v>
      </c>
      <c r="K1383" s="1"/>
    </row>
    <row r="1384" spans="1:11" x14ac:dyDescent="0.25">
      <c r="A1384" s="6">
        <v>6719542</v>
      </c>
      <c r="B1384" t="str">
        <f t="shared" si="84"/>
        <v>stacjonarny</v>
      </c>
      <c r="C1384">
        <f t="shared" si="85"/>
        <v>0</v>
      </c>
      <c r="D1384">
        <f t="shared" si="86"/>
        <v>0</v>
      </c>
      <c r="E1384" s="1">
        <v>42936</v>
      </c>
      <c r="F1384" s="2">
        <v>0.54556712962962961</v>
      </c>
      <c r="G1384" s="2">
        <v>0.54894675925925929</v>
      </c>
      <c r="H1384" s="2">
        <f t="shared" si="87"/>
        <v>3.3796296296296768E-3</v>
      </c>
      <c r="K1384" s="1"/>
    </row>
    <row r="1385" spans="1:11" x14ac:dyDescent="0.25">
      <c r="A1385" s="6">
        <v>81218024</v>
      </c>
      <c r="B1385" t="str">
        <f t="shared" si="84"/>
        <v>komorkowy</v>
      </c>
      <c r="C1385">
        <f t="shared" si="85"/>
        <v>0</v>
      </c>
      <c r="D1385">
        <f t="shared" si="86"/>
        <v>0</v>
      </c>
      <c r="E1385" s="1">
        <v>42936</v>
      </c>
      <c r="F1385" s="2">
        <v>0.54946759259259259</v>
      </c>
      <c r="G1385" s="2">
        <v>0.55583333333333329</v>
      </c>
      <c r="H1385" s="2">
        <f t="shared" si="87"/>
        <v>6.3657407407406996E-3</v>
      </c>
      <c r="K1385" s="1"/>
    </row>
    <row r="1386" spans="1:11" x14ac:dyDescent="0.25">
      <c r="A1386" s="6">
        <v>6552755</v>
      </c>
      <c r="B1386" t="str">
        <f t="shared" si="84"/>
        <v>stacjonarny</v>
      </c>
      <c r="C1386">
        <f t="shared" si="85"/>
        <v>0</v>
      </c>
      <c r="D1386">
        <f t="shared" si="86"/>
        <v>0</v>
      </c>
      <c r="E1386" s="1">
        <v>42936</v>
      </c>
      <c r="F1386" s="2">
        <v>0.55306712962962967</v>
      </c>
      <c r="G1386" s="2">
        <v>0.56304398148148149</v>
      </c>
      <c r="H1386" s="2">
        <f t="shared" si="87"/>
        <v>9.9768518518518201E-3</v>
      </c>
      <c r="K1386" s="1"/>
    </row>
    <row r="1387" spans="1:11" x14ac:dyDescent="0.25">
      <c r="A1387" s="6">
        <v>44017210</v>
      </c>
      <c r="B1387" t="str">
        <f t="shared" si="84"/>
        <v>komorkowy</v>
      </c>
      <c r="C1387">
        <f t="shared" si="85"/>
        <v>0</v>
      </c>
      <c r="D1387">
        <f t="shared" si="86"/>
        <v>0</v>
      </c>
      <c r="E1387" s="1">
        <v>42936</v>
      </c>
      <c r="F1387" s="2">
        <v>0.55476851851851849</v>
      </c>
      <c r="G1387" s="2">
        <v>0.56596064814814817</v>
      </c>
      <c r="H1387" s="2">
        <f t="shared" si="87"/>
        <v>1.1192129629629677E-2</v>
      </c>
      <c r="K1387" s="1"/>
    </row>
    <row r="1388" spans="1:11" x14ac:dyDescent="0.25">
      <c r="A1388" s="6">
        <v>8679036</v>
      </c>
      <c r="B1388" t="str">
        <f t="shared" si="84"/>
        <v>stacjonarny</v>
      </c>
      <c r="C1388">
        <f t="shared" si="85"/>
        <v>0</v>
      </c>
      <c r="D1388">
        <f t="shared" si="86"/>
        <v>0</v>
      </c>
      <c r="E1388" s="1">
        <v>42936</v>
      </c>
      <c r="F1388" s="2">
        <v>0.55827546296296293</v>
      </c>
      <c r="G1388" s="2">
        <v>0.55864583333333329</v>
      </c>
      <c r="H1388" s="2">
        <f t="shared" si="87"/>
        <v>3.7037037037035425E-4</v>
      </c>
      <c r="K1388" s="1"/>
    </row>
    <row r="1389" spans="1:11" x14ac:dyDescent="0.25">
      <c r="A1389" s="6">
        <v>64733982</v>
      </c>
      <c r="B1389" t="str">
        <f t="shared" si="84"/>
        <v>komorkowy</v>
      </c>
      <c r="C1389">
        <f t="shared" si="85"/>
        <v>0</v>
      </c>
      <c r="D1389">
        <f t="shared" si="86"/>
        <v>0</v>
      </c>
      <c r="E1389" s="1">
        <v>42936</v>
      </c>
      <c r="F1389" s="2">
        <v>0.56180555555555556</v>
      </c>
      <c r="G1389" s="2">
        <v>0.56400462962962961</v>
      </c>
      <c r="H1389" s="2">
        <f t="shared" si="87"/>
        <v>2.1990740740740478E-3</v>
      </c>
      <c r="K1389" s="1"/>
    </row>
    <row r="1390" spans="1:11" x14ac:dyDescent="0.25">
      <c r="A1390" s="6">
        <v>2289072</v>
      </c>
      <c r="B1390" t="str">
        <f t="shared" si="84"/>
        <v>stacjonarny</v>
      </c>
      <c r="C1390">
        <f t="shared" si="85"/>
        <v>0</v>
      </c>
      <c r="D1390">
        <f t="shared" si="86"/>
        <v>0</v>
      </c>
      <c r="E1390" s="1">
        <v>42936</v>
      </c>
      <c r="F1390" s="2">
        <v>0.56320601851851848</v>
      </c>
      <c r="G1390" s="2">
        <v>0.57020833333333332</v>
      </c>
      <c r="H1390" s="2">
        <f t="shared" si="87"/>
        <v>7.0023148148148362E-3</v>
      </c>
      <c r="K1390" s="1"/>
    </row>
    <row r="1391" spans="1:11" x14ac:dyDescent="0.25">
      <c r="A1391" s="6">
        <v>71730854</v>
      </c>
      <c r="B1391" t="str">
        <f t="shared" si="84"/>
        <v>komorkowy</v>
      </c>
      <c r="C1391">
        <f t="shared" si="85"/>
        <v>0</v>
      </c>
      <c r="D1391">
        <f t="shared" si="86"/>
        <v>0</v>
      </c>
      <c r="E1391" s="1">
        <v>42936</v>
      </c>
      <c r="F1391" s="2">
        <v>0.56537037037037041</v>
      </c>
      <c r="G1391" s="2">
        <v>0.57611111111111113</v>
      </c>
      <c r="H1391" s="2">
        <f t="shared" si="87"/>
        <v>1.0740740740740717E-2</v>
      </c>
      <c r="K1391" s="1"/>
    </row>
    <row r="1392" spans="1:11" x14ac:dyDescent="0.25">
      <c r="A1392" s="6">
        <v>3757504</v>
      </c>
      <c r="B1392" t="str">
        <f t="shared" si="84"/>
        <v>stacjonarny</v>
      </c>
      <c r="C1392">
        <f t="shared" si="85"/>
        <v>0</v>
      </c>
      <c r="D1392">
        <f t="shared" si="86"/>
        <v>0</v>
      </c>
      <c r="E1392" s="1">
        <v>42936</v>
      </c>
      <c r="F1392" s="2">
        <v>0.57105324074074071</v>
      </c>
      <c r="G1392" s="2">
        <v>0.57465277777777779</v>
      </c>
      <c r="H1392" s="2">
        <f t="shared" si="87"/>
        <v>3.5995370370370816E-3</v>
      </c>
      <c r="K1392" s="1"/>
    </row>
    <row r="1393" spans="1:11" x14ac:dyDescent="0.25">
      <c r="A1393" s="6">
        <v>8501225</v>
      </c>
      <c r="B1393" t="str">
        <f t="shared" si="84"/>
        <v>stacjonarny</v>
      </c>
      <c r="C1393">
        <f t="shared" si="85"/>
        <v>0</v>
      </c>
      <c r="D1393">
        <f t="shared" si="86"/>
        <v>0</v>
      </c>
      <c r="E1393" s="1">
        <v>42936</v>
      </c>
      <c r="F1393" s="2">
        <v>0.57517361111111109</v>
      </c>
      <c r="G1393" s="2">
        <v>0.57784722222222218</v>
      </c>
      <c r="H1393" s="2">
        <f t="shared" si="87"/>
        <v>2.673611111111085E-3</v>
      </c>
      <c r="K1393" s="1"/>
    </row>
    <row r="1394" spans="1:11" x14ac:dyDescent="0.25">
      <c r="A1394" s="6">
        <v>3704193</v>
      </c>
      <c r="B1394" t="str">
        <f t="shared" si="84"/>
        <v>stacjonarny</v>
      </c>
      <c r="C1394">
        <f t="shared" si="85"/>
        <v>0</v>
      </c>
      <c r="D1394">
        <f t="shared" si="86"/>
        <v>0</v>
      </c>
      <c r="E1394" s="1">
        <v>42936</v>
      </c>
      <c r="F1394" s="2">
        <v>0.57671296296296293</v>
      </c>
      <c r="G1394" s="2">
        <v>0.58539351851851851</v>
      </c>
      <c r="H1394" s="2">
        <f t="shared" si="87"/>
        <v>8.6805555555555802E-3</v>
      </c>
      <c r="K1394" s="1"/>
    </row>
    <row r="1395" spans="1:11" x14ac:dyDescent="0.25">
      <c r="A1395" s="6">
        <v>4577789</v>
      </c>
      <c r="B1395" t="str">
        <f t="shared" si="84"/>
        <v>stacjonarny</v>
      </c>
      <c r="C1395">
        <f t="shared" si="85"/>
        <v>0</v>
      </c>
      <c r="D1395">
        <f t="shared" si="86"/>
        <v>0</v>
      </c>
      <c r="E1395" s="1">
        <v>42936</v>
      </c>
      <c r="F1395" s="2">
        <v>0.57781249999999995</v>
      </c>
      <c r="G1395" s="2">
        <v>0.57953703703703707</v>
      </c>
      <c r="H1395" s="2">
        <f t="shared" si="87"/>
        <v>1.7245370370371216E-3</v>
      </c>
      <c r="K1395" s="1"/>
    </row>
    <row r="1396" spans="1:11" x14ac:dyDescent="0.25">
      <c r="A1396" s="6">
        <v>5730350</v>
      </c>
      <c r="B1396" t="str">
        <f t="shared" si="84"/>
        <v>stacjonarny</v>
      </c>
      <c r="C1396">
        <f t="shared" si="85"/>
        <v>0</v>
      </c>
      <c r="D1396">
        <f t="shared" si="86"/>
        <v>0</v>
      </c>
      <c r="E1396" s="1">
        <v>42936</v>
      </c>
      <c r="F1396" s="2">
        <v>0.58206018518518521</v>
      </c>
      <c r="G1396" s="2">
        <v>0.59037037037037032</v>
      </c>
      <c r="H1396" s="2">
        <f t="shared" si="87"/>
        <v>8.310185185185115E-3</v>
      </c>
      <c r="K1396" s="1"/>
    </row>
    <row r="1397" spans="1:11" x14ac:dyDescent="0.25">
      <c r="A1397" s="6">
        <v>8953850</v>
      </c>
      <c r="B1397" t="str">
        <f t="shared" si="84"/>
        <v>stacjonarny</v>
      </c>
      <c r="C1397">
        <f t="shared" si="85"/>
        <v>0</v>
      </c>
      <c r="D1397">
        <f t="shared" si="86"/>
        <v>0</v>
      </c>
      <c r="E1397" s="1">
        <v>42936</v>
      </c>
      <c r="F1397" s="2">
        <v>0.58328703703703699</v>
      </c>
      <c r="G1397" s="2">
        <v>0.5920023148148148</v>
      </c>
      <c r="H1397" s="2">
        <f t="shared" si="87"/>
        <v>8.7152777777778079E-3</v>
      </c>
      <c r="K1397" s="1"/>
    </row>
    <row r="1398" spans="1:11" x14ac:dyDescent="0.25">
      <c r="A1398" s="6">
        <v>3109133</v>
      </c>
      <c r="B1398" t="str">
        <f t="shared" si="84"/>
        <v>stacjonarny</v>
      </c>
      <c r="C1398">
        <f t="shared" si="85"/>
        <v>0</v>
      </c>
      <c r="D1398">
        <f t="shared" si="86"/>
        <v>0</v>
      </c>
      <c r="E1398" s="1">
        <v>42936</v>
      </c>
      <c r="F1398" s="2">
        <v>0.58564814814814814</v>
      </c>
      <c r="G1398" s="2">
        <v>0.58964120370370365</v>
      </c>
      <c r="H1398" s="2">
        <f t="shared" si="87"/>
        <v>3.9930555555555136E-3</v>
      </c>
      <c r="K1398" s="1"/>
    </row>
    <row r="1399" spans="1:11" x14ac:dyDescent="0.25">
      <c r="A1399" s="6">
        <v>3382699</v>
      </c>
      <c r="B1399" t="str">
        <f t="shared" si="84"/>
        <v>stacjonarny</v>
      </c>
      <c r="C1399">
        <f t="shared" si="85"/>
        <v>0</v>
      </c>
      <c r="D1399">
        <f t="shared" si="86"/>
        <v>0</v>
      </c>
      <c r="E1399" s="1">
        <v>42936</v>
      </c>
      <c r="F1399" s="2">
        <v>0.59053240740740742</v>
      </c>
      <c r="G1399" s="2">
        <v>0.59318287037037032</v>
      </c>
      <c r="H1399" s="2">
        <f t="shared" si="87"/>
        <v>2.6504629629628962E-3</v>
      </c>
      <c r="K1399" s="1"/>
    </row>
    <row r="1400" spans="1:11" x14ac:dyDescent="0.25">
      <c r="A1400" s="6">
        <v>9132555</v>
      </c>
      <c r="B1400" t="str">
        <f t="shared" si="84"/>
        <v>stacjonarny</v>
      </c>
      <c r="C1400">
        <f t="shared" si="85"/>
        <v>0</v>
      </c>
      <c r="D1400">
        <f t="shared" si="86"/>
        <v>0</v>
      </c>
      <c r="E1400" s="1">
        <v>42936</v>
      </c>
      <c r="F1400" s="2">
        <v>0.59621527777777783</v>
      </c>
      <c r="G1400" s="2">
        <v>0.59906250000000005</v>
      </c>
      <c r="H1400" s="2">
        <f t="shared" si="87"/>
        <v>2.8472222222222232E-3</v>
      </c>
      <c r="K1400" s="1"/>
    </row>
    <row r="1401" spans="1:11" x14ac:dyDescent="0.25">
      <c r="A1401" s="6">
        <v>5016981</v>
      </c>
      <c r="B1401" t="str">
        <f t="shared" si="84"/>
        <v>stacjonarny</v>
      </c>
      <c r="C1401">
        <f t="shared" si="85"/>
        <v>0</v>
      </c>
      <c r="D1401">
        <f t="shared" si="86"/>
        <v>0</v>
      </c>
      <c r="E1401" s="1">
        <v>42936</v>
      </c>
      <c r="F1401" s="2">
        <v>0.59693287037037035</v>
      </c>
      <c r="G1401" s="2">
        <v>0.59743055555555558</v>
      </c>
      <c r="H1401" s="2">
        <f t="shared" si="87"/>
        <v>4.9768518518522598E-4</v>
      </c>
      <c r="K1401" s="1"/>
    </row>
    <row r="1402" spans="1:11" x14ac:dyDescent="0.25">
      <c r="A1402" s="6">
        <v>1294973</v>
      </c>
      <c r="B1402" t="str">
        <f t="shared" si="84"/>
        <v>stacjonarny</v>
      </c>
      <c r="C1402">
        <f t="shared" si="85"/>
        <v>1</v>
      </c>
      <c r="D1402">
        <f t="shared" si="86"/>
        <v>1</v>
      </c>
      <c r="E1402" s="1">
        <v>42936</v>
      </c>
      <c r="F1402" s="2">
        <v>0.59783564814814816</v>
      </c>
      <c r="G1402" s="2">
        <v>0.60715277777777776</v>
      </c>
      <c r="H1402" s="2">
        <f t="shared" si="87"/>
        <v>9.3171296296296058E-3</v>
      </c>
      <c r="K1402" s="1"/>
    </row>
    <row r="1403" spans="1:11" x14ac:dyDescent="0.25">
      <c r="A1403" s="6">
        <v>7769531</v>
      </c>
      <c r="B1403" t="str">
        <f t="shared" si="84"/>
        <v>stacjonarny</v>
      </c>
      <c r="C1403">
        <f t="shared" si="85"/>
        <v>0</v>
      </c>
      <c r="D1403">
        <f t="shared" si="86"/>
        <v>0</v>
      </c>
      <c r="E1403" s="1">
        <v>42936</v>
      </c>
      <c r="F1403" s="2">
        <v>0.60048611111111116</v>
      </c>
      <c r="G1403" s="2">
        <v>0.60371527777777778</v>
      </c>
      <c r="H1403" s="2">
        <f t="shared" si="87"/>
        <v>3.2291666666666163E-3</v>
      </c>
      <c r="K1403" s="1"/>
    </row>
    <row r="1404" spans="1:11" x14ac:dyDescent="0.25">
      <c r="A1404" s="6">
        <v>1068000</v>
      </c>
      <c r="B1404" t="str">
        <f t="shared" si="84"/>
        <v>stacjonarny</v>
      </c>
      <c r="C1404">
        <f t="shared" si="85"/>
        <v>0</v>
      </c>
      <c r="D1404">
        <f t="shared" si="86"/>
        <v>0</v>
      </c>
      <c r="E1404" s="1">
        <v>42936</v>
      </c>
      <c r="F1404" s="2">
        <v>0.60251157407407407</v>
      </c>
      <c r="G1404" s="2">
        <v>0.60608796296296297</v>
      </c>
      <c r="H1404" s="2">
        <f t="shared" si="87"/>
        <v>3.5763888888888928E-3</v>
      </c>
      <c r="K1404" s="1"/>
    </row>
    <row r="1405" spans="1:11" x14ac:dyDescent="0.25">
      <c r="A1405" s="6">
        <v>1467591</v>
      </c>
      <c r="B1405" t="str">
        <f t="shared" si="84"/>
        <v>stacjonarny</v>
      </c>
      <c r="C1405">
        <f t="shared" si="85"/>
        <v>0</v>
      </c>
      <c r="D1405">
        <f t="shared" si="86"/>
        <v>0</v>
      </c>
      <c r="E1405" s="1">
        <v>42936</v>
      </c>
      <c r="F1405" s="2">
        <v>0.60277777777777775</v>
      </c>
      <c r="G1405" s="2">
        <v>0.61222222222222222</v>
      </c>
      <c r="H1405" s="2">
        <f t="shared" si="87"/>
        <v>9.4444444444444775E-3</v>
      </c>
      <c r="K1405" s="1"/>
    </row>
    <row r="1406" spans="1:11" x14ac:dyDescent="0.25">
      <c r="A1406" s="6">
        <v>5980925</v>
      </c>
      <c r="B1406" t="str">
        <f t="shared" si="84"/>
        <v>stacjonarny</v>
      </c>
      <c r="C1406">
        <f t="shared" si="85"/>
        <v>0</v>
      </c>
      <c r="D1406">
        <f t="shared" si="86"/>
        <v>0</v>
      </c>
      <c r="E1406" s="1">
        <v>42936</v>
      </c>
      <c r="F1406" s="2">
        <v>0.60282407407407412</v>
      </c>
      <c r="G1406" s="2">
        <v>0.61041666666666672</v>
      </c>
      <c r="H1406" s="2">
        <f t="shared" si="87"/>
        <v>7.5925925925925952E-3</v>
      </c>
      <c r="K1406" s="1"/>
    </row>
    <row r="1407" spans="1:11" x14ac:dyDescent="0.25">
      <c r="A1407" s="6">
        <v>9905075</v>
      </c>
      <c r="B1407" t="str">
        <f t="shared" si="84"/>
        <v>stacjonarny</v>
      </c>
      <c r="C1407">
        <f t="shared" si="85"/>
        <v>0</v>
      </c>
      <c r="D1407">
        <f t="shared" si="86"/>
        <v>0</v>
      </c>
      <c r="E1407" s="1">
        <v>42936</v>
      </c>
      <c r="F1407" s="2">
        <v>0.60693287037037036</v>
      </c>
      <c r="G1407" s="2">
        <v>0.61001157407407403</v>
      </c>
      <c r="H1407" s="2">
        <f t="shared" si="87"/>
        <v>3.0787037037036669E-3</v>
      </c>
      <c r="K1407" s="1"/>
    </row>
    <row r="1408" spans="1:11" x14ac:dyDescent="0.25">
      <c r="A1408" s="6">
        <v>1043289</v>
      </c>
      <c r="B1408" t="str">
        <f t="shared" si="84"/>
        <v>stacjonarny</v>
      </c>
      <c r="C1408">
        <f t="shared" si="85"/>
        <v>0</v>
      </c>
      <c r="D1408">
        <f t="shared" si="86"/>
        <v>0</v>
      </c>
      <c r="E1408" s="1">
        <v>42936</v>
      </c>
      <c r="F1408" s="2">
        <v>0.60990740740740745</v>
      </c>
      <c r="G1408" s="2">
        <v>0.61383101851851851</v>
      </c>
      <c r="H1408" s="2">
        <f t="shared" si="87"/>
        <v>3.9236111111110583E-3</v>
      </c>
      <c r="K1408" s="1"/>
    </row>
    <row r="1409" spans="1:11" x14ac:dyDescent="0.25">
      <c r="A1409" s="6">
        <v>8252939</v>
      </c>
      <c r="B1409" t="str">
        <f t="shared" si="84"/>
        <v>stacjonarny</v>
      </c>
      <c r="C1409">
        <f t="shared" si="85"/>
        <v>0</v>
      </c>
      <c r="D1409">
        <f t="shared" si="86"/>
        <v>0</v>
      </c>
      <c r="E1409" s="1">
        <v>42936</v>
      </c>
      <c r="F1409" s="2">
        <v>0.61320601851851853</v>
      </c>
      <c r="G1409" s="2">
        <v>0.62115740740740744</v>
      </c>
      <c r="H1409" s="2">
        <f t="shared" si="87"/>
        <v>7.9513888888889106E-3</v>
      </c>
      <c r="K1409" s="1"/>
    </row>
    <row r="1410" spans="1:11" x14ac:dyDescent="0.25">
      <c r="A1410" s="6">
        <v>67748426</v>
      </c>
      <c r="B1410" t="str">
        <f t="shared" ref="B1410:B1473" si="88">IF(LEN(A1410)=7, "stacjonarny", IF(LEN(A1410)=8, "komorkowy", "zagraniczny"))</f>
        <v>komorkowy</v>
      </c>
      <c r="C1410">
        <f t="shared" si="85"/>
        <v>0</v>
      </c>
      <c r="D1410">
        <f t="shared" si="86"/>
        <v>0</v>
      </c>
      <c r="E1410" s="1">
        <v>42936</v>
      </c>
      <c r="F1410" s="2">
        <v>0.61535879629629631</v>
      </c>
      <c r="G1410" s="2">
        <v>0.62503472222222223</v>
      </c>
      <c r="H1410" s="2">
        <f t="shared" si="87"/>
        <v>9.6759259259259212E-3</v>
      </c>
      <c r="K1410" s="1"/>
    </row>
    <row r="1411" spans="1:11" x14ac:dyDescent="0.25">
      <c r="A1411" s="6">
        <v>4376637</v>
      </c>
      <c r="B1411" t="str">
        <f t="shared" si="88"/>
        <v>stacjonarny</v>
      </c>
      <c r="C1411">
        <f t="shared" ref="C1411:C1474" si="89">IF(LEFT(A1411,2)="12",1,0)</f>
        <v>0</v>
      </c>
      <c r="D1411">
        <f t="shared" ref="D1411:D1474" si="90">IF(AND(C1411=1,B1411="stacjonarny"),1,0)</f>
        <v>0</v>
      </c>
      <c r="E1411" s="1">
        <v>42936</v>
      </c>
      <c r="F1411" s="2">
        <v>0.61559027777777775</v>
      </c>
      <c r="G1411" s="2">
        <v>0.62532407407407409</v>
      </c>
      <c r="H1411" s="2">
        <f t="shared" ref="H1411:H1474" si="91">G1411-F1411</f>
        <v>9.7337962962963376E-3</v>
      </c>
      <c r="K1411" s="1"/>
    </row>
    <row r="1412" spans="1:11" x14ac:dyDescent="0.25">
      <c r="A1412" s="6">
        <v>6426011</v>
      </c>
      <c r="B1412" t="str">
        <f t="shared" si="88"/>
        <v>stacjonarny</v>
      </c>
      <c r="C1412">
        <f t="shared" si="89"/>
        <v>0</v>
      </c>
      <c r="D1412">
        <f t="shared" si="90"/>
        <v>0</v>
      </c>
      <c r="E1412" s="1">
        <v>42936</v>
      </c>
      <c r="F1412" s="2">
        <v>0.62078703703703708</v>
      </c>
      <c r="G1412" s="2">
        <v>0.62863425925925931</v>
      </c>
      <c r="H1412" s="2">
        <f t="shared" si="91"/>
        <v>7.8472222222222276E-3</v>
      </c>
      <c r="K1412" s="1"/>
    </row>
    <row r="1413" spans="1:11" x14ac:dyDescent="0.25">
      <c r="A1413" s="6">
        <v>9137235</v>
      </c>
      <c r="B1413" t="str">
        <f t="shared" si="88"/>
        <v>stacjonarny</v>
      </c>
      <c r="C1413">
        <f t="shared" si="89"/>
        <v>0</v>
      </c>
      <c r="D1413">
        <f t="shared" si="90"/>
        <v>0</v>
      </c>
      <c r="E1413" s="1">
        <v>42936</v>
      </c>
      <c r="F1413" s="2">
        <v>0.62524305555555559</v>
      </c>
      <c r="G1413" s="2">
        <v>0.62846064814814817</v>
      </c>
      <c r="H1413" s="2">
        <f t="shared" si="91"/>
        <v>3.2175925925925775E-3</v>
      </c>
      <c r="K1413" s="1"/>
    </row>
    <row r="1414" spans="1:11" x14ac:dyDescent="0.25">
      <c r="A1414" s="6">
        <v>6735390</v>
      </c>
      <c r="B1414" t="str">
        <f t="shared" si="88"/>
        <v>stacjonarny</v>
      </c>
      <c r="C1414">
        <f t="shared" si="89"/>
        <v>0</v>
      </c>
      <c r="D1414">
        <f t="shared" si="90"/>
        <v>0</v>
      </c>
      <c r="E1414" s="1">
        <v>42937</v>
      </c>
      <c r="F1414" s="2">
        <v>0.33421296296296299</v>
      </c>
      <c r="G1414" s="2">
        <v>0.33674768518518516</v>
      </c>
      <c r="H1414" s="2">
        <f t="shared" si="91"/>
        <v>2.5347222222221744E-3</v>
      </c>
      <c r="K1414" s="1"/>
    </row>
    <row r="1415" spans="1:11" x14ac:dyDescent="0.25">
      <c r="A1415" s="6">
        <v>7151490</v>
      </c>
      <c r="B1415" t="str">
        <f t="shared" si="88"/>
        <v>stacjonarny</v>
      </c>
      <c r="C1415">
        <f t="shared" si="89"/>
        <v>0</v>
      </c>
      <c r="D1415">
        <f t="shared" si="90"/>
        <v>0</v>
      </c>
      <c r="E1415" s="1">
        <v>42937</v>
      </c>
      <c r="F1415" s="2">
        <v>0.33513888888888888</v>
      </c>
      <c r="G1415" s="2">
        <v>0.33787037037037038</v>
      </c>
      <c r="H1415" s="2">
        <f t="shared" si="91"/>
        <v>2.7314814814815014E-3</v>
      </c>
      <c r="K1415" s="1"/>
    </row>
    <row r="1416" spans="1:11" x14ac:dyDescent="0.25">
      <c r="A1416" s="6">
        <v>5138547</v>
      </c>
      <c r="B1416" t="str">
        <f t="shared" si="88"/>
        <v>stacjonarny</v>
      </c>
      <c r="C1416">
        <f t="shared" si="89"/>
        <v>0</v>
      </c>
      <c r="D1416">
        <f t="shared" si="90"/>
        <v>0</v>
      </c>
      <c r="E1416" s="1">
        <v>42937</v>
      </c>
      <c r="F1416" s="2">
        <v>0.33642361111111113</v>
      </c>
      <c r="G1416" s="2">
        <v>0.33778935185185183</v>
      </c>
      <c r="H1416" s="2">
        <f t="shared" si="91"/>
        <v>1.3657407407406952E-3</v>
      </c>
      <c r="K1416" s="1"/>
    </row>
    <row r="1417" spans="1:11" x14ac:dyDescent="0.25">
      <c r="A1417" s="6">
        <v>79212542</v>
      </c>
      <c r="B1417" t="str">
        <f t="shared" si="88"/>
        <v>komorkowy</v>
      </c>
      <c r="C1417">
        <f t="shared" si="89"/>
        <v>0</v>
      </c>
      <c r="D1417">
        <f t="shared" si="90"/>
        <v>0</v>
      </c>
      <c r="E1417" s="1">
        <v>42937</v>
      </c>
      <c r="F1417" s="2">
        <v>0.34157407407407409</v>
      </c>
      <c r="G1417" s="2">
        <v>0.34684027777777776</v>
      </c>
      <c r="H1417" s="2">
        <f t="shared" si="91"/>
        <v>5.2662037037036757E-3</v>
      </c>
      <c r="K1417" s="1"/>
    </row>
    <row r="1418" spans="1:11" x14ac:dyDescent="0.25">
      <c r="A1418" s="6">
        <v>1507196</v>
      </c>
      <c r="B1418" t="str">
        <f t="shared" si="88"/>
        <v>stacjonarny</v>
      </c>
      <c r="C1418">
        <f t="shared" si="89"/>
        <v>0</v>
      </c>
      <c r="D1418">
        <f t="shared" si="90"/>
        <v>0</v>
      </c>
      <c r="E1418" s="1">
        <v>42937</v>
      </c>
      <c r="F1418" s="2">
        <v>0.34197916666666667</v>
      </c>
      <c r="G1418" s="2">
        <v>0.3460300925925926</v>
      </c>
      <c r="H1418" s="2">
        <f t="shared" si="91"/>
        <v>4.05092592592593E-3</v>
      </c>
      <c r="K1418" s="1"/>
    </row>
    <row r="1419" spans="1:11" x14ac:dyDescent="0.25">
      <c r="A1419" s="6">
        <v>8362094</v>
      </c>
      <c r="B1419" t="str">
        <f t="shared" si="88"/>
        <v>stacjonarny</v>
      </c>
      <c r="C1419">
        <f t="shared" si="89"/>
        <v>0</v>
      </c>
      <c r="D1419">
        <f t="shared" si="90"/>
        <v>0</v>
      </c>
      <c r="E1419" s="1">
        <v>42937</v>
      </c>
      <c r="F1419" s="2">
        <v>0.34567129629629628</v>
      </c>
      <c r="G1419" s="2">
        <v>0.34745370370370371</v>
      </c>
      <c r="H1419" s="2">
        <f t="shared" si="91"/>
        <v>1.782407407407427E-3</v>
      </c>
      <c r="K1419" s="1"/>
    </row>
    <row r="1420" spans="1:11" x14ac:dyDescent="0.25">
      <c r="A1420" s="6">
        <v>5379981</v>
      </c>
      <c r="B1420" t="str">
        <f t="shared" si="88"/>
        <v>stacjonarny</v>
      </c>
      <c r="C1420">
        <f t="shared" si="89"/>
        <v>0</v>
      </c>
      <c r="D1420">
        <f t="shared" si="90"/>
        <v>0</v>
      </c>
      <c r="E1420" s="1">
        <v>42937</v>
      </c>
      <c r="F1420" s="2">
        <v>0.34690972222222222</v>
      </c>
      <c r="G1420" s="2">
        <v>0.35206018518518517</v>
      </c>
      <c r="H1420" s="2">
        <f t="shared" si="91"/>
        <v>5.1504629629629539E-3</v>
      </c>
      <c r="K1420" s="1"/>
    </row>
    <row r="1421" spans="1:11" x14ac:dyDescent="0.25">
      <c r="A1421" s="6">
        <v>4960672</v>
      </c>
      <c r="B1421" t="str">
        <f t="shared" si="88"/>
        <v>stacjonarny</v>
      </c>
      <c r="C1421">
        <f t="shared" si="89"/>
        <v>0</v>
      </c>
      <c r="D1421">
        <f t="shared" si="90"/>
        <v>0</v>
      </c>
      <c r="E1421" s="1">
        <v>42937</v>
      </c>
      <c r="F1421" s="2">
        <v>0.34745370370370371</v>
      </c>
      <c r="G1421" s="2">
        <v>0.3526273148148148</v>
      </c>
      <c r="H1421" s="2">
        <f t="shared" si="91"/>
        <v>5.1736111111110872E-3</v>
      </c>
      <c r="K1421" s="1"/>
    </row>
    <row r="1422" spans="1:11" x14ac:dyDescent="0.25">
      <c r="A1422" s="6">
        <v>9052582</v>
      </c>
      <c r="B1422" t="str">
        <f t="shared" si="88"/>
        <v>stacjonarny</v>
      </c>
      <c r="C1422">
        <f t="shared" si="89"/>
        <v>0</v>
      </c>
      <c r="D1422">
        <f t="shared" si="90"/>
        <v>0</v>
      </c>
      <c r="E1422" s="1">
        <v>42937</v>
      </c>
      <c r="F1422" s="2">
        <v>0.34961805555555553</v>
      </c>
      <c r="G1422" s="2">
        <v>0.3535300925925926</v>
      </c>
      <c r="H1422" s="2">
        <f t="shared" si="91"/>
        <v>3.9120370370370749E-3</v>
      </c>
      <c r="K1422" s="1"/>
    </row>
    <row r="1423" spans="1:11" x14ac:dyDescent="0.25">
      <c r="A1423" s="6">
        <v>2054346</v>
      </c>
      <c r="B1423" t="str">
        <f t="shared" si="88"/>
        <v>stacjonarny</v>
      </c>
      <c r="C1423">
        <f t="shared" si="89"/>
        <v>0</v>
      </c>
      <c r="D1423">
        <f t="shared" si="90"/>
        <v>0</v>
      </c>
      <c r="E1423" s="1">
        <v>42937</v>
      </c>
      <c r="F1423" s="2">
        <v>0.35003472222222221</v>
      </c>
      <c r="G1423" s="2">
        <v>0.35540509259259262</v>
      </c>
      <c r="H1423" s="2">
        <f t="shared" si="91"/>
        <v>5.3703703703704142E-3</v>
      </c>
      <c r="K1423" s="1"/>
    </row>
    <row r="1424" spans="1:11" x14ac:dyDescent="0.25">
      <c r="A1424" s="6">
        <v>6070136</v>
      </c>
      <c r="B1424" t="str">
        <f t="shared" si="88"/>
        <v>stacjonarny</v>
      </c>
      <c r="C1424">
        <f t="shared" si="89"/>
        <v>0</v>
      </c>
      <c r="D1424">
        <f t="shared" si="90"/>
        <v>0</v>
      </c>
      <c r="E1424" s="1">
        <v>42937</v>
      </c>
      <c r="F1424" s="2">
        <v>0.3515625</v>
      </c>
      <c r="G1424" s="2">
        <v>0.35299768518518521</v>
      </c>
      <c r="H1424" s="2">
        <f t="shared" si="91"/>
        <v>1.435185185185206E-3</v>
      </c>
      <c r="K1424" s="1"/>
    </row>
    <row r="1425" spans="1:11" x14ac:dyDescent="0.25">
      <c r="A1425" s="6">
        <v>3086185</v>
      </c>
      <c r="B1425" t="str">
        <f t="shared" si="88"/>
        <v>stacjonarny</v>
      </c>
      <c r="C1425">
        <f t="shared" si="89"/>
        <v>0</v>
      </c>
      <c r="D1425">
        <f t="shared" si="90"/>
        <v>0</v>
      </c>
      <c r="E1425" s="1">
        <v>42937</v>
      </c>
      <c r="F1425" s="2">
        <v>0.35401620370370368</v>
      </c>
      <c r="G1425" s="2">
        <v>0.35944444444444446</v>
      </c>
      <c r="H1425" s="2">
        <f t="shared" si="91"/>
        <v>5.4282407407407751E-3</v>
      </c>
      <c r="K1425" s="1"/>
    </row>
    <row r="1426" spans="1:11" x14ac:dyDescent="0.25">
      <c r="A1426" s="6">
        <v>6949463</v>
      </c>
      <c r="B1426" t="str">
        <f t="shared" si="88"/>
        <v>stacjonarny</v>
      </c>
      <c r="C1426">
        <f t="shared" si="89"/>
        <v>0</v>
      </c>
      <c r="D1426">
        <f t="shared" si="90"/>
        <v>0</v>
      </c>
      <c r="E1426" s="1">
        <v>42937</v>
      </c>
      <c r="F1426" s="2">
        <v>0.35912037037037037</v>
      </c>
      <c r="G1426" s="2">
        <v>0.36318287037037039</v>
      </c>
      <c r="H1426" s="2">
        <f t="shared" si="91"/>
        <v>4.0625000000000244E-3</v>
      </c>
      <c r="K1426" s="1"/>
    </row>
    <row r="1427" spans="1:11" x14ac:dyDescent="0.25">
      <c r="A1427" s="6">
        <v>1626862</v>
      </c>
      <c r="B1427" t="str">
        <f t="shared" si="88"/>
        <v>stacjonarny</v>
      </c>
      <c r="C1427">
        <f t="shared" si="89"/>
        <v>0</v>
      </c>
      <c r="D1427">
        <f t="shared" si="90"/>
        <v>0</v>
      </c>
      <c r="E1427" s="1">
        <v>42937</v>
      </c>
      <c r="F1427" s="2">
        <v>0.36155092592592591</v>
      </c>
      <c r="G1427" s="2">
        <v>0.36355324074074075</v>
      </c>
      <c r="H1427" s="2">
        <f t="shared" si="91"/>
        <v>2.0023148148148318E-3</v>
      </c>
      <c r="K1427" s="1"/>
    </row>
    <row r="1428" spans="1:11" x14ac:dyDescent="0.25">
      <c r="A1428" s="6">
        <v>99905503</v>
      </c>
      <c r="B1428" t="str">
        <f t="shared" si="88"/>
        <v>komorkowy</v>
      </c>
      <c r="C1428">
        <f t="shared" si="89"/>
        <v>0</v>
      </c>
      <c r="D1428">
        <f t="shared" si="90"/>
        <v>0</v>
      </c>
      <c r="E1428" s="1">
        <v>42937</v>
      </c>
      <c r="F1428" s="2">
        <v>0.36631944444444442</v>
      </c>
      <c r="G1428" s="2">
        <v>0.37376157407407407</v>
      </c>
      <c r="H1428" s="2">
        <f t="shared" si="91"/>
        <v>7.4421296296296457E-3</v>
      </c>
      <c r="K1428" s="1"/>
    </row>
    <row r="1429" spans="1:11" x14ac:dyDescent="0.25">
      <c r="A1429" s="6">
        <v>2753778</v>
      </c>
      <c r="B1429" t="str">
        <f t="shared" si="88"/>
        <v>stacjonarny</v>
      </c>
      <c r="C1429">
        <f t="shared" si="89"/>
        <v>0</v>
      </c>
      <c r="D1429">
        <f t="shared" si="90"/>
        <v>0</v>
      </c>
      <c r="E1429" s="1">
        <v>42937</v>
      </c>
      <c r="F1429" s="2">
        <v>0.37133101851851852</v>
      </c>
      <c r="G1429" s="2">
        <v>0.38075231481481481</v>
      </c>
      <c r="H1429" s="2">
        <f t="shared" si="91"/>
        <v>9.4212962962962887E-3</v>
      </c>
      <c r="K1429" s="1"/>
    </row>
    <row r="1430" spans="1:11" x14ac:dyDescent="0.25">
      <c r="A1430" s="6">
        <v>3508755</v>
      </c>
      <c r="B1430" t="str">
        <f t="shared" si="88"/>
        <v>stacjonarny</v>
      </c>
      <c r="C1430">
        <f t="shared" si="89"/>
        <v>0</v>
      </c>
      <c r="D1430">
        <f t="shared" si="90"/>
        <v>0</v>
      </c>
      <c r="E1430" s="1">
        <v>42937</v>
      </c>
      <c r="F1430" s="2">
        <v>0.37569444444444444</v>
      </c>
      <c r="G1430" s="2">
        <v>0.38611111111111113</v>
      </c>
      <c r="H1430" s="2">
        <f t="shared" si="91"/>
        <v>1.0416666666666685E-2</v>
      </c>
      <c r="K1430" s="1"/>
    </row>
    <row r="1431" spans="1:11" x14ac:dyDescent="0.25">
      <c r="A1431" s="6">
        <v>14783929</v>
      </c>
      <c r="B1431" t="str">
        <f t="shared" si="88"/>
        <v>komorkowy</v>
      </c>
      <c r="C1431">
        <f t="shared" si="89"/>
        <v>0</v>
      </c>
      <c r="D1431">
        <f t="shared" si="90"/>
        <v>0</v>
      </c>
      <c r="E1431" s="1">
        <v>42937</v>
      </c>
      <c r="F1431" s="2">
        <v>0.37891203703703702</v>
      </c>
      <c r="G1431" s="2">
        <v>0.38443287037037038</v>
      </c>
      <c r="H1431" s="2">
        <f t="shared" si="91"/>
        <v>5.5208333333333637E-3</v>
      </c>
      <c r="K1431" s="1"/>
    </row>
    <row r="1432" spans="1:11" x14ac:dyDescent="0.25">
      <c r="A1432" s="6">
        <v>1409543</v>
      </c>
      <c r="B1432" t="str">
        <f t="shared" si="88"/>
        <v>stacjonarny</v>
      </c>
      <c r="C1432">
        <f t="shared" si="89"/>
        <v>0</v>
      </c>
      <c r="D1432">
        <f t="shared" si="90"/>
        <v>0</v>
      </c>
      <c r="E1432" s="1">
        <v>42937</v>
      </c>
      <c r="F1432" s="2">
        <v>0.38086805555555553</v>
      </c>
      <c r="G1432" s="2">
        <v>0.38918981481481479</v>
      </c>
      <c r="H1432" s="2">
        <f t="shared" si="91"/>
        <v>8.3217592592592649E-3</v>
      </c>
      <c r="K1432" s="1"/>
    </row>
    <row r="1433" spans="1:11" x14ac:dyDescent="0.25">
      <c r="A1433" s="6">
        <v>6891636</v>
      </c>
      <c r="B1433" t="str">
        <f t="shared" si="88"/>
        <v>stacjonarny</v>
      </c>
      <c r="C1433">
        <f t="shared" si="89"/>
        <v>0</v>
      </c>
      <c r="D1433">
        <f t="shared" si="90"/>
        <v>0</v>
      </c>
      <c r="E1433" s="1">
        <v>42937</v>
      </c>
      <c r="F1433" s="2">
        <v>0.38633101851851853</v>
      </c>
      <c r="G1433" s="2">
        <v>0.38923611111111112</v>
      </c>
      <c r="H1433" s="2">
        <f t="shared" si="91"/>
        <v>2.9050925925925841E-3</v>
      </c>
      <c r="K1433" s="1"/>
    </row>
    <row r="1434" spans="1:11" x14ac:dyDescent="0.25">
      <c r="A1434" s="6">
        <v>8541151</v>
      </c>
      <c r="B1434" t="str">
        <f t="shared" si="88"/>
        <v>stacjonarny</v>
      </c>
      <c r="C1434">
        <f t="shared" si="89"/>
        <v>0</v>
      </c>
      <c r="D1434">
        <f t="shared" si="90"/>
        <v>0</v>
      </c>
      <c r="E1434" s="1">
        <v>42937</v>
      </c>
      <c r="F1434" s="2">
        <v>0.38848379629629631</v>
      </c>
      <c r="G1434" s="2">
        <v>0.39874999999999999</v>
      </c>
      <c r="H1434" s="2">
        <f t="shared" si="91"/>
        <v>1.026620370370368E-2</v>
      </c>
      <c r="K1434" s="1"/>
    </row>
    <row r="1435" spans="1:11" x14ac:dyDescent="0.25">
      <c r="A1435" s="6">
        <v>8322802</v>
      </c>
      <c r="B1435" t="str">
        <f t="shared" si="88"/>
        <v>stacjonarny</v>
      </c>
      <c r="C1435">
        <f t="shared" si="89"/>
        <v>0</v>
      </c>
      <c r="D1435">
        <f t="shared" si="90"/>
        <v>0</v>
      </c>
      <c r="E1435" s="1">
        <v>42937</v>
      </c>
      <c r="F1435" s="2">
        <v>0.39089120370370373</v>
      </c>
      <c r="G1435" s="2">
        <v>0.39620370370370372</v>
      </c>
      <c r="H1435" s="2">
        <f t="shared" si="91"/>
        <v>5.3124999999999978E-3</v>
      </c>
      <c r="K1435" s="1"/>
    </row>
    <row r="1436" spans="1:11" x14ac:dyDescent="0.25">
      <c r="A1436" s="6">
        <v>30678431</v>
      </c>
      <c r="B1436" t="str">
        <f t="shared" si="88"/>
        <v>komorkowy</v>
      </c>
      <c r="C1436">
        <f t="shared" si="89"/>
        <v>0</v>
      </c>
      <c r="D1436">
        <f t="shared" si="90"/>
        <v>0</v>
      </c>
      <c r="E1436" s="1">
        <v>42937</v>
      </c>
      <c r="F1436" s="2">
        <v>0.39469907407407406</v>
      </c>
      <c r="G1436" s="2">
        <v>0.40141203703703704</v>
      </c>
      <c r="H1436" s="2">
        <f t="shared" si="91"/>
        <v>6.7129629629629761E-3</v>
      </c>
      <c r="K1436" s="1"/>
    </row>
    <row r="1437" spans="1:11" x14ac:dyDescent="0.25">
      <c r="A1437" s="6">
        <v>41837828</v>
      </c>
      <c r="B1437" t="str">
        <f t="shared" si="88"/>
        <v>komorkowy</v>
      </c>
      <c r="C1437">
        <f t="shared" si="89"/>
        <v>0</v>
      </c>
      <c r="D1437">
        <f t="shared" si="90"/>
        <v>0</v>
      </c>
      <c r="E1437" s="1">
        <v>42937</v>
      </c>
      <c r="F1437" s="2">
        <v>0.39953703703703702</v>
      </c>
      <c r="G1437" s="2">
        <v>0.40038194444444447</v>
      </c>
      <c r="H1437" s="2">
        <f t="shared" si="91"/>
        <v>8.4490740740744696E-4</v>
      </c>
      <c r="K1437" s="1"/>
    </row>
    <row r="1438" spans="1:11" x14ac:dyDescent="0.25">
      <c r="A1438" s="6">
        <v>13639748</v>
      </c>
      <c r="B1438" t="str">
        <f t="shared" si="88"/>
        <v>komorkowy</v>
      </c>
      <c r="C1438">
        <f t="shared" si="89"/>
        <v>0</v>
      </c>
      <c r="D1438">
        <f t="shared" si="90"/>
        <v>0</v>
      </c>
      <c r="E1438" s="1">
        <v>42937</v>
      </c>
      <c r="F1438" s="2">
        <v>0.40379629629629632</v>
      </c>
      <c r="G1438" s="2">
        <v>0.40822916666666664</v>
      </c>
      <c r="H1438" s="2">
        <f t="shared" si="91"/>
        <v>4.4328703703703232E-3</v>
      </c>
      <c r="K1438" s="1"/>
    </row>
    <row r="1439" spans="1:11" x14ac:dyDescent="0.25">
      <c r="A1439" s="6">
        <v>8972366</v>
      </c>
      <c r="B1439" t="str">
        <f t="shared" si="88"/>
        <v>stacjonarny</v>
      </c>
      <c r="C1439">
        <f t="shared" si="89"/>
        <v>0</v>
      </c>
      <c r="D1439">
        <f t="shared" si="90"/>
        <v>0</v>
      </c>
      <c r="E1439" s="1">
        <v>42937</v>
      </c>
      <c r="F1439" s="2">
        <v>0.40462962962962962</v>
      </c>
      <c r="G1439" s="2">
        <v>0.40875</v>
      </c>
      <c r="H1439" s="2">
        <f t="shared" si="91"/>
        <v>4.1203703703703853E-3</v>
      </c>
      <c r="K1439" s="1"/>
    </row>
    <row r="1440" spans="1:11" x14ac:dyDescent="0.25">
      <c r="A1440" s="6">
        <v>5233531</v>
      </c>
      <c r="B1440" t="str">
        <f t="shared" si="88"/>
        <v>stacjonarny</v>
      </c>
      <c r="C1440">
        <f t="shared" si="89"/>
        <v>0</v>
      </c>
      <c r="D1440">
        <f t="shared" si="90"/>
        <v>0</v>
      </c>
      <c r="E1440" s="1">
        <v>42937</v>
      </c>
      <c r="F1440" s="2">
        <v>0.40465277777777775</v>
      </c>
      <c r="G1440" s="2">
        <v>0.40887731481481482</v>
      </c>
      <c r="H1440" s="2">
        <f t="shared" si="91"/>
        <v>4.2245370370370683E-3</v>
      </c>
      <c r="K1440" s="1"/>
    </row>
    <row r="1441" spans="1:11" x14ac:dyDescent="0.25">
      <c r="A1441" s="6">
        <v>3691176</v>
      </c>
      <c r="B1441" t="str">
        <f t="shared" si="88"/>
        <v>stacjonarny</v>
      </c>
      <c r="C1441">
        <f t="shared" si="89"/>
        <v>0</v>
      </c>
      <c r="D1441">
        <f t="shared" si="90"/>
        <v>0</v>
      </c>
      <c r="E1441" s="1">
        <v>42937</v>
      </c>
      <c r="F1441" s="2">
        <v>0.40505787037037039</v>
      </c>
      <c r="G1441" s="2">
        <v>0.40561342592592592</v>
      </c>
      <c r="H1441" s="2">
        <f t="shared" si="91"/>
        <v>5.5555555555553138E-4</v>
      </c>
      <c r="K1441" s="1"/>
    </row>
    <row r="1442" spans="1:11" x14ac:dyDescent="0.25">
      <c r="A1442" s="6">
        <v>66377806</v>
      </c>
      <c r="B1442" t="str">
        <f t="shared" si="88"/>
        <v>komorkowy</v>
      </c>
      <c r="C1442">
        <f t="shared" si="89"/>
        <v>0</v>
      </c>
      <c r="D1442">
        <f t="shared" si="90"/>
        <v>0</v>
      </c>
      <c r="E1442" s="1">
        <v>42937</v>
      </c>
      <c r="F1442" s="2">
        <v>0.40694444444444444</v>
      </c>
      <c r="G1442" s="2">
        <v>0.40991898148148148</v>
      </c>
      <c r="H1442" s="2">
        <f t="shared" si="91"/>
        <v>2.9745370370370394E-3</v>
      </c>
      <c r="K1442" s="1"/>
    </row>
    <row r="1443" spans="1:11" x14ac:dyDescent="0.25">
      <c r="A1443" s="6">
        <v>6357818</v>
      </c>
      <c r="B1443" t="str">
        <f t="shared" si="88"/>
        <v>stacjonarny</v>
      </c>
      <c r="C1443">
        <f t="shared" si="89"/>
        <v>0</v>
      </c>
      <c r="D1443">
        <f t="shared" si="90"/>
        <v>0</v>
      </c>
      <c r="E1443" s="1">
        <v>42937</v>
      </c>
      <c r="F1443" s="2">
        <v>0.41228009259259257</v>
      </c>
      <c r="G1443" s="2">
        <v>0.41648148148148151</v>
      </c>
      <c r="H1443" s="2">
        <f t="shared" si="91"/>
        <v>4.201388888888935E-3</v>
      </c>
      <c r="K1443" s="1"/>
    </row>
    <row r="1444" spans="1:11" x14ac:dyDescent="0.25">
      <c r="A1444" s="6">
        <v>7123731</v>
      </c>
      <c r="B1444" t="str">
        <f t="shared" si="88"/>
        <v>stacjonarny</v>
      </c>
      <c r="C1444">
        <f t="shared" si="89"/>
        <v>0</v>
      </c>
      <c r="D1444">
        <f t="shared" si="90"/>
        <v>0</v>
      </c>
      <c r="E1444" s="1">
        <v>42937</v>
      </c>
      <c r="F1444" s="2">
        <v>0.41494212962962962</v>
      </c>
      <c r="G1444" s="2">
        <v>0.41641203703703705</v>
      </c>
      <c r="H1444" s="2">
        <f t="shared" si="91"/>
        <v>1.4699074074074336E-3</v>
      </c>
      <c r="K1444" s="1"/>
    </row>
    <row r="1445" spans="1:11" x14ac:dyDescent="0.25">
      <c r="A1445" s="6">
        <v>91907883</v>
      </c>
      <c r="B1445" t="str">
        <f t="shared" si="88"/>
        <v>komorkowy</v>
      </c>
      <c r="C1445">
        <f t="shared" si="89"/>
        <v>0</v>
      </c>
      <c r="D1445">
        <f t="shared" si="90"/>
        <v>0</v>
      </c>
      <c r="E1445" s="1">
        <v>42937</v>
      </c>
      <c r="F1445" s="2">
        <v>0.42054398148148148</v>
      </c>
      <c r="G1445" s="2">
        <v>0.42721064814814813</v>
      </c>
      <c r="H1445" s="2">
        <f t="shared" si="91"/>
        <v>6.6666666666666541E-3</v>
      </c>
      <c r="K1445" s="1"/>
    </row>
    <row r="1446" spans="1:11" x14ac:dyDescent="0.25">
      <c r="A1446" s="6">
        <v>69734527</v>
      </c>
      <c r="B1446" t="str">
        <f t="shared" si="88"/>
        <v>komorkowy</v>
      </c>
      <c r="C1446">
        <f t="shared" si="89"/>
        <v>0</v>
      </c>
      <c r="D1446">
        <f t="shared" si="90"/>
        <v>0</v>
      </c>
      <c r="E1446" s="1">
        <v>42937</v>
      </c>
      <c r="F1446" s="2">
        <v>0.42084490740740743</v>
      </c>
      <c r="G1446" s="2">
        <v>0.43167824074074074</v>
      </c>
      <c r="H1446" s="2">
        <f t="shared" si="91"/>
        <v>1.0833333333333306E-2</v>
      </c>
      <c r="K1446" s="1"/>
    </row>
    <row r="1447" spans="1:11" x14ac:dyDescent="0.25">
      <c r="A1447" s="6">
        <v>7536096</v>
      </c>
      <c r="B1447" t="str">
        <f t="shared" si="88"/>
        <v>stacjonarny</v>
      </c>
      <c r="C1447">
        <f t="shared" si="89"/>
        <v>0</v>
      </c>
      <c r="D1447">
        <f t="shared" si="90"/>
        <v>0</v>
      </c>
      <c r="E1447" s="1">
        <v>42937</v>
      </c>
      <c r="F1447" s="2">
        <v>0.42357638888888888</v>
      </c>
      <c r="G1447" s="2">
        <v>0.4322685185185185</v>
      </c>
      <c r="H1447" s="2">
        <f t="shared" si="91"/>
        <v>8.6921296296296191E-3</v>
      </c>
      <c r="K1447" s="1"/>
    </row>
    <row r="1448" spans="1:11" x14ac:dyDescent="0.25">
      <c r="A1448" s="6">
        <v>60158843</v>
      </c>
      <c r="B1448" t="str">
        <f t="shared" si="88"/>
        <v>komorkowy</v>
      </c>
      <c r="C1448">
        <f t="shared" si="89"/>
        <v>0</v>
      </c>
      <c r="D1448">
        <f t="shared" si="90"/>
        <v>0</v>
      </c>
      <c r="E1448" s="1">
        <v>42937</v>
      </c>
      <c r="F1448" s="2">
        <v>0.42814814814814817</v>
      </c>
      <c r="G1448" s="2">
        <v>0.43784722222222222</v>
      </c>
      <c r="H1448" s="2">
        <f t="shared" si="91"/>
        <v>9.6990740740740544E-3</v>
      </c>
      <c r="K1448" s="1"/>
    </row>
    <row r="1449" spans="1:11" x14ac:dyDescent="0.25">
      <c r="A1449" s="6">
        <v>6942059</v>
      </c>
      <c r="B1449" t="str">
        <f t="shared" si="88"/>
        <v>stacjonarny</v>
      </c>
      <c r="C1449">
        <f t="shared" si="89"/>
        <v>0</v>
      </c>
      <c r="D1449">
        <f t="shared" si="90"/>
        <v>0</v>
      </c>
      <c r="E1449" s="1">
        <v>42937</v>
      </c>
      <c r="F1449" s="2">
        <v>0.43002314814814813</v>
      </c>
      <c r="G1449" s="2">
        <v>0.43030092592592595</v>
      </c>
      <c r="H1449" s="2">
        <f t="shared" si="91"/>
        <v>2.777777777778212E-4</v>
      </c>
      <c r="K1449" s="1"/>
    </row>
    <row r="1450" spans="1:11" x14ac:dyDescent="0.25">
      <c r="A1450" s="6">
        <v>28282891</v>
      </c>
      <c r="B1450" t="str">
        <f t="shared" si="88"/>
        <v>komorkowy</v>
      </c>
      <c r="C1450">
        <f t="shared" si="89"/>
        <v>0</v>
      </c>
      <c r="D1450">
        <f t="shared" si="90"/>
        <v>0</v>
      </c>
      <c r="E1450" s="1">
        <v>42937</v>
      </c>
      <c r="F1450" s="2">
        <v>0.4307523148148148</v>
      </c>
      <c r="G1450" s="2">
        <v>0.4412847222222222</v>
      </c>
      <c r="H1450" s="2">
        <f t="shared" si="91"/>
        <v>1.0532407407407407E-2</v>
      </c>
      <c r="K1450" s="1"/>
    </row>
    <row r="1451" spans="1:11" x14ac:dyDescent="0.25">
      <c r="A1451" s="6">
        <v>1617146</v>
      </c>
      <c r="B1451" t="str">
        <f t="shared" si="88"/>
        <v>stacjonarny</v>
      </c>
      <c r="C1451">
        <f t="shared" si="89"/>
        <v>0</v>
      </c>
      <c r="D1451">
        <f t="shared" si="90"/>
        <v>0</v>
      </c>
      <c r="E1451" s="1">
        <v>42937</v>
      </c>
      <c r="F1451" s="2">
        <v>0.43400462962962966</v>
      </c>
      <c r="G1451" s="2">
        <v>0.44041666666666668</v>
      </c>
      <c r="H1451" s="2">
        <f t="shared" si="91"/>
        <v>6.4120370370370217E-3</v>
      </c>
      <c r="K1451" s="1"/>
    </row>
    <row r="1452" spans="1:11" x14ac:dyDescent="0.25">
      <c r="A1452" s="6">
        <v>2186880</v>
      </c>
      <c r="B1452" t="str">
        <f t="shared" si="88"/>
        <v>stacjonarny</v>
      </c>
      <c r="C1452">
        <f t="shared" si="89"/>
        <v>0</v>
      </c>
      <c r="D1452">
        <f t="shared" si="90"/>
        <v>0</v>
      </c>
      <c r="E1452" s="1">
        <v>42937</v>
      </c>
      <c r="F1452" s="2">
        <v>0.43582175925925926</v>
      </c>
      <c r="G1452" s="2">
        <v>0.44550925925925927</v>
      </c>
      <c r="H1452" s="2">
        <f t="shared" si="91"/>
        <v>9.6875000000000155E-3</v>
      </c>
      <c r="K1452" s="1"/>
    </row>
    <row r="1453" spans="1:11" x14ac:dyDescent="0.25">
      <c r="A1453" s="6">
        <v>92461001</v>
      </c>
      <c r="B1453" t="str">
        <f t="shared" si="88"/>
        <v>komorkowy</v>
      </c>
      <c r="C1453">
        <f t="shared" si="89"/>
        <v>0</v>
      </c>
      <c r="D1453">
        <f t="shared" si="90"/>
        <v>0</v>
      </c>
      <c r="E1453" s="1">
        <v>42937</v>
      </c>
      <c r="F1453" s="2">
        <v>0.43730324074074073</v>
      </c>
      <c r="G1453" s="2">
        <v>0.44869212962962962</v>
      </c>
      <c r="H1453" s="2">
        <f t="shared" si="91"/>
        <v>1.1388888888888893E-2</v>
      </c>
      <c r="K1453" s="1"/>
    </row>
    <row r="1454" spans="1:11" x14ac:dyDescent="0.25">
      <c r="A1454" s="6">
        <v>4657345</v>
      </c>
      <c r="B1454" t="str">
        <f t="shared" si="88"/>
        <v>stacjonarny</v>
      </c>
      <c r="C1454">
        <f t="shared" si="89"/>
        <v>0</v>
      </c>
      <c r="D1454">
        <f t="shared" si="90"/>
        <v>0</v>
      </c>
      <c r="E1454" s="1">
        <v>42937</v>
      </c>
      <c r="F1454" s="2">
        <v>0.44291666666666668</v>
      </c>
      <c r="G1454" s="2">
        <v>0.45256944444444447</v>
      </c>
      <c r="H1454" s="2">
        <f t="shared" si="91"/>
        <v>9.6527777777777879E-3</v>
      </c>
      <c r="K1454" s="1"/>
    </row>
    <row r="1455" spans="1:11" x14ac:dyDescent="0.25">
      <c r="A1455" s="6">
        <v>16775888</v>
      </c>
      <c r="B1455" t="str">
        <f t="shared" si="88"/>
        <v>komorkowy</v>
      </c>
      <c r="C1455">
        <f t="shared" si="89"/>
        <v>0</v>
      </c>
      <c r="D1455">
        <f t="shared" si="90"/>
        <v>0</v>
      </c>
      <c r="E1455" s="1">
        <v>42937</v>
      </c>
      <c r="F1455" s="2">
        <v>0.4478240740740741</v>
      </c>
      <c r="G1455" s="2">
        <v>0.45548611111111109</v>
      </c>
      <c r="H1455" s="2">
        <f t="shared" si="91"/>
        <v>7.662037037036995E-3</v>
      </c>
      <c r="K1455" s="1"/>
    </row>
    <row r="1456" spans="1:11" x14ac:dyDescent="0.25">
      <c r="A1456" s="6">
        <v>97953696</v>
      </c>
      <c r="B1456" t="str">
        <f t="shared" si="88"/>
        <v>komorkowy</v>
      </c>
      <c r="C1456">
        <f t="shared" si="89"/>
        <v>0</v>
      </c>
      <c r="D1456">
        <f t="shared" si="90"/>
        <v>0</v>
      </c>
      <c r="E1456" s="1">
        <v>42937</v>
      </c>
      <c r="F1456" s="2">
        <v>0.45187500000000003</v>
      </c>
      <c r="G1456" s="2">
        <v>0.45925925925925926</v>
      </c>
      <c r="H1456" s="2">
        <f t="shared" si="91"/>
        <v>7.3842592592592293E-3</v>
      </c>
      <c r="K1456" s="1"/>
    </row>
    <row r="1457" spans="1:11" x14ac:dyDescent="0.25">
      <c r="A1457" s="6">
        <v>1166111</v>
      </c>
      <c r="B1457" t="str">
        <f t="shared" si="88"/>
        <v>stacjonarny</v>
      </c>
      <c r="C1457">
        <f t="shared" si="89"/>
        <v>0</v>
      </c>
      <c r="D1457">
        <f t="shared" si="90"/>
        <v>0</v>
      </c>
      <c r="E1457" s="1">
        <v>42937</v>
      </c>
      <c r="F1457" s="2">
        <v>0.45458333333333334</v>
      </c>
      <c r="G1457" s="2">
        <v>0.46295138888888887</v>
      </c>
      <c r="H1457" s="2">
        <f t="shared" si="91"/>
        <v>8.3680555555555314E-3</v>
      </c>
      <c r="K1457" s="1"/>
    </row>
    <row r="1458" spans="1:11" x14ac:dyDescent="0.25">
      <c r="A1458" s="6">
        <v>91907883</v>
      </c>
      <c r="B1458" t="str">
        <f t="shared" si="88"/>
        <v>komorkowy</v>
      </c>
      <c r="C1458">
        <f t="shared" si="89"/>
        <v>0</v>
      </c>
      <c r="D1458">
        <f t="shared" si="90"/>
        <v>0</v>
      </c>
      <c r="E1458" s="1">
        <v>42937</v>
      </c>
      <c r="F1458" s="2">
        <v>0.45689814814814816</v>
      </c>
      <c r="G1458" s="2">
        <v>0.4574537037037037</v>
      </c>
      <c r="H1458" s="2">
        <f t="shared" si="91"/>
        <v>5.5555555555553138E-4</v>
      </c>
      <c r="K1458" s="1"/>
    </row>
    <row r="1459" spans="1:11" x14ac:dyDescent="0.25">
      <c r="A1459" s="6">
        <v>9225043</v>
      </c>
      <c r="B1459" t="str">
        <f t="shared" si="88"/>
        <v>stacjonarny</v>
      </c>
      <c r="C1459">
        <f t="shared" si="89"/>
        <v>0</v>
      </c>
      <c r="D1459">
        <f t="shared" si="90"/>
        <v>0</v>
      </c>
      <c r="E1459" s="1">
        <v>42937</v>
      </c>
      <c r="F1459" s="2">
        <v>0.4612384259259259</v>
      </c>
      <c r="G1459" s="2">
        <v>0.46285879629629628</v>
      </c>
      <c r="H1459" s="2">
        <f t="shared" si="91"/>
        <v>1.6203703703703831E-3</v>
      </c>
      <c r="K1459" s="1"/>
    </row>
    <row r="1460" spans="1:11" x14ac:dyDescent="0.25">
      <c r="A1460" s="6">
        <v>6408952</v>
      </c>
      <c r="B1460" t="str">
        <f t="shared" si="88"/>
        <v>stacjonarny</v>
      </c>
      <c r="C1460">
        <f t="shared" si="89"/>
        <v>0</v>
      </c>
      <c r="D1460">
        <f t="shared" si="90"/>
        <v>0</v>
      </c>
      <c r="E1460" s="1">
        <v>42937</v>
      </c>
      <c r="F1460" s="2">
        <v>0.46553240740740742</v>
      </c>
      <c r="G1460" s="2">
        <v>0.47234953703703703</v>
      </c>
      <c r="H1460" s="2">
        <f t="shared" si="91"/>
        <v>6.8171296296296036E-3</v>
      </c>
      <c r="K1460" s="1"/>
    </row>
    <row r="1461" spans="1:11" x14ac:dyDescent="0.25">
      <c r="A1461" s="6">
        <v>81010250</v>
      </c>
      <c r="B1461" t="str">
        <f t="shared" si="88"/>
        <v>komorkowy</v>
      </c>
      <c r="C1461">
        <f t="shared" si="89"/>
        <v>0</v>
      </c>
      <c r="D1461">
        <f t="shared" si="90"/>
        <v>0</v>
      </c>
      <c r="E1461" s="1">
        <v>42937</v>
      </c>
      <c r="F1461" s="2">
        <v>0.47075231481481483</v>
      </c>
      <c r="G1461" s="2">
        <v>0.47239583333333335</v>
      </c>
      <c r="H1461" s="2">
        <f t="shared" si="91"/>
        <v>1.6435185185185164E-3</v>
      </c>
      <c r="K1461" s="1"/>
    </row>
    <row r="1462" spans="1:11" x14ac:dyDescent="0.25">
      <c r="A1462" s="6">
        <v>8596442</v>
      </c>
      <c r="B1462" t="str">
        <f t="shared" si="88"/>
        <v>stacjonarny</v>
      </c>
      <c r="C1462">
        <f t="shared" si="89"/>
        <v>0</v>
      </c>
      <c r="D1462">
        <f t="shared" si="90"/>
        <v>0</v>
      </c>
      <c r="E1462" s="1">
        <v>42937</v>
      </c>
      <c r="F1462" s="2">
        <v>0.47105324074074073</v>
      </c>
      <c r="G1462" s="2">
        <v>0.48011574074074076</v>
      </c>
      <c r="H1462" s="2">
        <f t="shared" si="91"/>
        <v>9.0625000000000289E-3</v>
      </c>
      <c r="K1462" s="1"/>
    </row>
    <row r="1463" spans="1:11" x14ac:dyDescent="0.25">
      <c r="A1463" s="6">
        <v>79890857</v>
      </c>
      <c r="B1463" t="str">
        <f t="shared" si="88"/>
        <v>komorkowy</v>
      </c>
      <c r="C1463">
        <f t="shared" si="89"/>
        <v>0</v>
      </c>
      <c r="D1463">
        <f t="shared" si="90"/>
        <v>0</v>
      </c>
      <c r="E1463" s="1">
        <v>42937</v>
      </c>
      <c r="F1463" s="2">
        <v>0.47285879629629629</v>
      </c>
      <c r="G1463" s="2">
        <v>0.47846064814814815</v>
      </c>
      <c r="H1463" s="2">
        <f t="shared" si="91"/>
        <v>5.6018518518518579E-3</v>
      </c>
      <c r="K1463" s="1"/>
    </row>
    <row r="1464" spans="1:11" x14ac:dyDescent="0.25">
      <c r="A1464" s="6">
        <v>3804078</v>
      </c>
      <c r="B1464" t="str">
        <f t="shared" si="88"/>
        <v>stacjonarny</v>
      </c>
      <c r="C1464">
        <f t="shared" si="89"/>
        <v>0</v>
      </c>
      <c r="D1464">
        <f t="shared" si="90"/>
        <v>0</v>
      </c>
      <c r="E1464" s="1">
        <v>42937</v>
      </c>
      <c r="F1464" s="2">
        <v>0.4729976851851852</v>
      </c>
      <c r="G1464" s="2">
        <v>0.48243055555555553</v>
      </c>
      <c r="H1464" s="2">
        <f t="shared" si="91"/>
        <v>9.4328703703703276E-3</v>
      </c>
      <c r="K1464" s="1"/>
    </row>
    <row r="1465" spans="1:11" x14ac:dyDescent="0.25">
      <c r="A1465" s="6">
        <v>6312012</v>
      </c>
      <c r="B1465" t="str">
        <f t="shared" si="88"/>
        <v>stacjonarny</v>
      </c>
      <c r="C1465">
        <f t="shared" si="89"/>
        <v>0</v>
      </c>
      <c r="D1465">
        <f t="shared" si="90"/>
        <v>0</v>
      </c>
      <c r="E1465" s="1">
        <v>42937</v>
      </c>
      <c r="F1465" s="2">
        <v>0.47697916666666668</v>
      </c>
      <c r="G1465" s="2">
        <v>0.48678240740740741</v>
      </c>
      <c r="H1465" s="2">
        <f t="shared" si="91"/>
        <v>9.8032407407407374E-3</v>
      </c>
      <c r="K1465" s="1"/>
    </row>
    <row r="1466" spans="1:11" x14ac:dyDescent="0.25">
      <c r="A1466" s="6">
        <v>7322741</v>
      </c>
      <c r="B1466" t="str">
        <f t="shared" si="88"/>
        <v>stacjonarny</v>
      </c>
      <c r="C1466">
        <f t="shared" si="89"/>
        <v>0</v>
      </c>
      <c r="D1466">
        <f t="shared" si="90"/>
        <v>0</v>
      </c>
      <c r="E1466" s="1">
        <v>42937</v>
      </c>
      <c r="F1466" s="2">
        <v>0.47833333333333333</v>
      </c>
      <c r="G1466" s="2">
        <v>0.48989583333333331</v>
      </c>
      <c r="H1466" s="2">
        <f t="shared" si="91"/>
        <v>1.1562499999999976E-2</v>
      </c>
      <c r="K1466" s="1"/>
    </row>
    <row r="1467" spans="1:11" x14ac:dyDescent="0.25">
      <c r="A1467" s="6">
        <v>2354992</v>
      </c>
      <c r="B1467" t="str">
        <f t="shared" si="88"/>
        <v>stacjonarny</v>
      </c>
      <c r="C1467">
        <f t="shared" si="89"/>
        <v>0</v>
      </c>
      <c r="D1467">
        <f t="shared" si="90"/>
        <v>0</v>
      </c>
      <c r="E1467" s="1">
        <v>42937</v>
      </c>
      <c r="F1467" s="2">
        <v>0.4828587962962963</v>
      </c>
      <c r="G1467" s="2">
        <v>0.48295138888888889</v>
      </c>
      <c r="H1467" s="2">
        <f t="shared" si="91"/>
        <v>9.2592592592588563E-5</v>
      </c>
      <c r="K1467" s="1"/>
    </row>
    <row r="1468" spans="1:11" x14ac:dyDescent="0.25">
      <c r="A1468" s="6">
        <v>1766133</v>
      </c>
      <c r="B1468" t="str">
        <f t="shared" si="88"/>
        <v>stacjonarny</v>
      </c>
      <c r="C1468">
        <f t="shared" si="89"/>
        <v>0</v>
      </c>
      <c r="D1468">
        <f t="shared" si="90"/>
        <v>0</v>
      </c>
      <c r="E1468" s="1">
        <v>42937</v>
      </c>
      <c r="F1468" s="2">
        <v>0.48439814814814813</v>
      </c>
      <c r="G1468" s="2">
        <v>0.4878587962962963</v>
      </c>
      <c r="H1468" s="2">
        <f t="shared" si="91"/>
        <v>3.460648148148171E-3</v>
      </c>
      <c r="K1468" s="1"/>
    </row>
    <row r="1469" spans="1:11" x14ac:dyDescent="0.25">
      <c r="A1469" s="6">
        <v>2922327</v>
      </c>
      <c r="B1469" t="str">
        <f t="shared" si="88"/>
        <v>stacjonarny</v>
      </c>
      <c r="C1469">
        <f t="shared" si="89"/>
        <v>0</v>
      </c>
      <c r="D1469">
        <f t="shared" si="90"/>
        <v>0</v>
      </c>
      <c r="E1469" s="1">
        <v>42937</v>
      </c>
      <c r="F1469" s="2">
        <v>0.48690972222222223</v>
      </c>
      <c r="G1469" s="2">
        <v>0.49665509259259261</v>
      </c>
      <c r="H1469" s="2">
        <f t="shared" si="91"/>
        <v>9.7453703703703765E-3</v>
      </c>
      <c r="K1469" s="1"/>
    </row>
    <row r="1470" spans="1:11" x14ac:dyDescent="0.25">
      <c r="A1470" s="6">
        <v>8679036</v>
      </c>
      <c r="B1470" t="str">
        <f t="shared" si="88"/>
        <v>stacjonarny</v>
      </c>
      <c r="C1470">
        <f t="shared" si="89"/>
        <v>0</v>
      </c>
      <c r="D1470">
        <f t="shared" si="90"/>
        <v>0</v>
      </c>
      <c r="E1470" s="1">
        <v>42937</v>
      </c>
      <c r="F1470" s="2">
        <v>0.4924189814814815</v>
      </c>
      <c r="G1470" s="2">
        <v>0.49381944444444442</v>
      </c>
      <c r="H1470" s="2">
        <f t="shared" si="91"/>
        <v>1.4004629629629228E-3</v>
      </c>
      <c r="K1470" s="1"/>
    </row>
    <row r="1471" spans="1:11" x14ac:dyDescent="0.25">
      <c r="A1471" s="6">
        <v>1469705</v>
      </c>
      <c r="B1471" t="str">
        <f t="shared" si="88"/>
        <v>stacjonarny</v>
      </c>
      <c r="C1471">
        <f t="shared" si="89"/>
        <v>0</v>
      </c>
      <c r="D1471">
        <f t="shared" si="90"/>
        <v>0</v>
      </c>
      <c r="E1471" s="1">
        <v>42937</v>
      </c>
      <c r="F1471" s="2">
        <v>0.49327546296296299</v>
      </c>
      <c r="G1471" s="2">
        <v>0.50351851851851848</v>
      </c>
      <c r="H1471" s="2">
        <f t="shared" si="91"/>
        <v>1.0243055555555491E-2</v>
      </c>
      <c r="K1471" s="1"/>
    </row>
    <row r="1472" spans="1:11" x14ac:dyDescent="0.25">
      <c r="A1472" s="6">
        <v>8079505</v>
      </c>
      <c r="B1472" t="str">
        <f t="shared" si="88"/>
        <v>stacjonarny</v>
      </c>
      <c r="C1472">
        <f t="shared" si="89"/>
        <v>0</v>
      </c>
      <c r="D1472">
        <f t="shared" si="90"/>
        <v>0</v>
      </c>
      <c r="E1472" s="1">
        <v>42937</v>
      </c>
      <c r="F1472" s="2">
        <v>0.49811342592592595</v>
      </c>
      <c r="G1472" s="2">
        <v>0.5065277777777778</v>
      </c>
      <c r="H1472" s="2">
        <f t="shared" si="91"/>
        <v>8.4143518518518534E-3</v>
      </c>
      <c r="K1472" s="1"/>
    </row>
    <row r="1473" spans="1:11" x14ac:dyDescent="0.25">
      <c r="A1473" s="6">
        <v>4661635</v>
      </c>
      <c r="B1473" t="str">
        <f t="shared" si="88"/>
        <v>stacjonarny</v>
      </c>
      <c r="C1473">
        <f t="shared" si="89"/>
        <v>0</v>
      </c>
      <c r="D1473">
        <f t="shared" si="90"/>
        <v>0</v>
      </c>
      <c r="E1473" s="1">
        <v>42937</v>
      </c>
      <c r="F1473" s="2">
        <v>0.50016203703703699</v>
      </c>
      <c r="G1473" s="2">
        <v>0.50506944444444446</v>
      </c>
      <c r="H1473" s="2">
        <f t="shared" si="91"/>
        <v>4.9074074074074714E-3</v>
      </c>
      <c r="K1473" s="1"/>
    </row>
    <row r="1474" spans="1:11" x14ac:dyDescent="0.25">
      <c r="A1474" s="6">
        <v>4497624</v>
      </c>
      <c r="B1474" t="str">
        <f t="shared" ref="B1474:B1537" si="92">IF(LEN(A1474)=7, "stacjonarny", IF(LEN(A1474)=8, "komorkowy", "zagraniczny"))</f>
        <v>stacjonarny</v>
      </c>
      <c r="C1474">
        <f t="shared" si="89"/>
        <v>0</v>
      </c>
      <c r="D1474">
        <f t="shared" si="90"/>
        <v>0</v>
      </c>
      <c r="E1474" s="1">
        <v>42937</v>
      </c>
      <c r="F1474" s="2">
        <v>0.50284722222222222</v>
      </c>
      <c r="G1474" s="2">
        <v>0.51432870370370365</v>
      </c>
      <c r="H1474" s="2">
        <f t="shared" si="91"/>
        <v>1.1481481481481426E-2</v>
      </c>
      <c r="K1474" s="1"/>
    </row>
    <row r="1475" spans="1:11" x14ac:dyDescent="0.25">
      <c r="A1475" s="6">
        <v>52468382</v>
      </c>
      <c r="B1475" t="str">
        <f t="shared" si="92"/>
        <v>komorkowy</v>
      </c>
      <c r="C1475">
        <f t="shared" ref="C1475:C1538" si="93">IF(LEFT(A1475,2)="12",1,0)</f>
        <v>0</v>
      </c>
      <c r="D1475">
        <f t="shared" ref="D1475:D1538" si="94">IF(AND(C1475=1,B1475="stacjonarny"),1,0)</f>
        <v>0</v>
      </c>
      <c r="E1475" s="1">
        <v>42937</v>
      </c>
      <c r="F1475" s="2">
        <v>0.50840277777777776</v>
      </c>
      <c r="G1475" s="2">
        <v>0.50968749999999996</v>
      </c>
      <c r="H1475" s="2">
        <f t="shared" ref="H1475:H1538" si="95">G1475-F1475</f>
        <v>1.284722222222201E-3</v>
      </c>
      <c r="K1475" s="1"/>
    </row>
    <row r="1476" spans="1:11" x14ac:dyDescent="0.25">
      <c r="A1476" s="6">
        <v>5687077</v>
      </c>
      <c r="B1476" t="str">
        <f t="shared" si="92"/>
        <v>stacjonarny</v>
      </c>
      <c r="C1476">
        <f t="shared" si="93"/>
        <v>0</v>
      </c>
      <c r="D1476">
        <f t="shared" si="94"/>
        <v>0</v>
      </c>
      <c r="E1476" s="1">
        <v>42937</v>
      </c>
      <c r="F1476" s="2">
        <v>0.51200231481481484</v>
      </c>
      <c r="G1476" s="2">
        <v>0.52253472222222219</v>
      </c>
      <c r="H1476" s="2">
        <f t="shared" si="95"/>
        <v>1.0532407407407351E-2</v>
      </c>
      <c r="K1476" s="1"/>
    </row>
    <row r="1477" spans="1:11" x14ac:dyDescent="0.25">
      <c r="A1477" s="6">
        <v>3914070</v>
      </c>
      <c r="B1477" t="str">
        <f t="shared" si="92"/>
        <v>stacjonarny</v>
      </c>
      <c r="C1477">
        <f t="shared" si="93"/>
        <v>0</v>
      </c>
      <c r="D1477">
        <f t="shared" si="94"/>
        <v>0</v>
      </c>
      <c r="E1477" s="1">
        <v>42937</v>
      </c>
      <c r="F1477" s="2">
        <v>0.51249999999999996</v>
      </c>
      <c r="G1477" s="2">
        <v>0.51405092592592594</v>
      </c>
      <c r="H1477" s="2">
        <f t="shared" si="95"/>
        <v>1.5509259259259833E-3</v>
      </c>
      <c r="K1477" s="1"/>
    </row>
    <row r="1478" spans="1:11" x14ac:dyDescent="0.25">
      <c r="A1478" s="6">
        <v>84684423</v>
      </c>
      <c r="B1478" t="str">
        <f t="shared" si="92"/>
        <v>komorkowy</v>
      </c>
      <c r="C1478">
        <f t="shared" si="93"/>
        <v>0</v>
      </c>
      <c r="D1478">
        <f t="shared" si="94"/>
        <v>0</v>
      </c>
      <c r="E1478" s="1">
        <v>42937</v>
      </c>
      <c r="F1478" s="2">
        <v>0.51520833333333338</v>
      </c>
      <c r="G1478" s="2">
        <v>0.51918981481481485</v>
      </c>
      <c r="H1478" s="2">
        <f t="shared" si="95"/>
        <v>3.9814814814814747E-3</v>
      </c>
      <c r="K1478" s="1"/>
    </row>
    <row r="1479" spans="1:11" x14ac:dyDescent="0.25">
      <c r="A1479" s="6">
        <v>6493406</v>
      </c>
      <c r="B1479" t="str">
        <f t="shared" si="92"/>
        <v>stacjonarny</v>
      </c>
      <c r="C1479">
        <f t="shared" si="93"/>
        <v>0</v>
      </c>
      <c r="D1479">
        <f t="shared" si="94"/>
        <v>0</v>
      </c>
      <c r="E1479" s="1">
        <v>42937</v>
      </c>
      <c r="F1479" s="2">
        <v>0.51936342592592588</v>
      </c>
      <c r="G1479" s="2">
        <v>0.52559027777777778</v>
      </c>
      <c r="H1479" s="2">
        <f t="shared" si="95"/>
        <v>6.2268518518519E-3</v>
      </c>
      <c r="K1479" s="1"/>
    </row>
    <row r="1480" spans="1:11" x14ac:dyDescent="0.25">
      <c r="A1480" s="6">
        <v>1563816</v>
      </c>
      <c r="B1480" t="str">
        <f t="shared" si="92"/>
        <v>stacjonarny</v>
      </c>
      <c r="C1480">
        <f t="shared" si="93"/>
        <v>0</v>
      </c>
      <c r="D1480">
        <f t="shared" si="94"/>
        <v>0</v>
      </c>
      <c r="E1480" s="1">
        <v>42937</v>
      </c>
      <c r="F1480" s="2">
        <v>0.52243055555555551</v>
      </c>
      <c r="G1480" s="2">
        <v>0.52681712962962968</v>
      </c>
      <c r="H1480" s="2">
        <f t="shared" si="95"/>
        <v>4.3865740740741677E-3</v>
      </c>
      <c r="K1480" s="1"/>
    </row>
    <row r="1481" spans="1:11" x14ac:dyDescent="0.25">
      <c r="A1481" s="6">
        <v>7779935</v>
      </c>
      <c r="B1481" t="str">
        <f t="shared" si="92"/>
        <v>stacjonarny</v>
      </c>
      <c r="C1481">
        <f t="shared" si="93"/>
        <v>0</v>
      </c>
      <c r="D1481">
        <f t="shared" si="94"/>
        <v>0</v>
      </c>
      <c r="E1481" s="1">
        <v>42937</v>
      </c>
      <c r="F1481" s="2">
        <v>0.52469907407407412</v>
      </c>
      <c r="G1481" s="2">
        <v>0.53218750000000004</v>
      </c>
      <c r="H1481" s="2">
        <f t="shared" si="95"/>
        <v>7.4884259259259123E-3</v>
      </c>
      <c r="K1481" s="1"/>
    </row>
    <row r="1482" spans="1:11" x14ac:dyDescent="0.25">
      <c r="A1482" s="6">
        <v>4429479</v>
      </c>
      <c r="B1482" t="str">
        <f t="shared" si="92"/>
        <v>stacjonarny</v>
      </c>
      <c r="C1482">
        <f t="shared" si="93"/>
        <v>0</v>
      </c>
      <c r="D1482">
        <f t="shared" si="94"/>
        <v>0</v>
      </c>
      <c r="E1482" s="1">
        <v>42937</v>
      </c>
      <c r="F1482" s="2">
        <v>0.52749999999999997</v>
      </c>
      <c r="G1482" s="2">
        <v>0.53034722222222219</v>
      </c>
      <c r="H1482" s="2">
        <f t="shared" si="95"/>
        <v>2.8472222222222232E-3</v>
      </c>
      <c r="K1482" s="1"/>
    </row>
    <row r="1483" spans="1:11" x14ac:dyDescent="0.25">
      <c r="A1483" s="6">
        <v>2963652</v>
      </c>
      <c r="B1483" t="str">
        <f t="shared" si="92"/>
        <v>stacjonarny</v>
      </c>
      <c r="C1483">
        <f t="shared" si="93"/>
        <v>0</v>
      </c>
      <c r="D1483">
        <f t="shared" si="94"/>
        <v>0</v>
      </c>
      <c r="E1483" s="1">
        <v>42937</v>
      </c>
      <c r="F1483" s="2">
        <v>0.53240740740740744</v>
      </c>
      <c r="G1483" s="2">
        <v>0.53785879629629629</v>
      </c>
      <c r="H1483" s="2">
        <f t="shared" si="95"/>
        <v>5.4513888888888529E-3</v>
      </c>
      <c r="K1483" s="1"/>
    </row>
    <row r="1484" spans="1:11" x14ac:dyDescent="0.25">
      <c r="A1484" s="6">
        <v>91032395</v>
      </c>
      <c r="B1484" t="str">
        <f t="shared" si="92"/>
        <v>komorkowy</v>
      </c>
      <c r="C1484">
        <f t="shared" si="93"/>
        <v>0</v>
      </c>
      <c r="D1484">
        <f t="shared" si="94"/>
        <v>0</v>
      </c>
      <c r="E1484" s="1">
        <v>42937</v>
      </c>
      <c r="F1484" s="2">
        <v>0.53811342592592593</v>
      </c>
      <c r="G1484" s="2">
        <v>0.54365740740740742</v>
      </c>
      <c r="H1484" s="2">
        <f t="shared" si="95"/>
        <v>5.5439814814814969E-3</v>
      </c>
      <c r="K1484" s="1"/>
    </row>
    <row r="1485" spans="1:11" x14ac:dyDescent="0.25">
      <c r="A1485" s="6">
        <v>6999348</v>
      </c>
      <c r="B1485" t="str">
        <f t="shared" si="92"/>
        <v>stacjonarny</v>
      </c>
      <c r="C1485">
        <f t="shared" si="93"/>
        <v>0</v>
      </c>
      <c r="D1485">
        <f t="shared" si="94"/>
        <v>0</v>
      </c>
      <c r="E1485" s="1">
        <v>42937</v>
      </c>
      <c r="F1485" s="2">
        <v>0.53831018518518514</v>
      </c>
      <c r="G1485" s="2">
        <v>0.53998842592592589</v>
      </c>
      <c r="H1485" s="2">
        <f t="shared" si="95"/>
        <v>1.678240740740744E-3</v>
      </c>
      <c r="K1485" s="1"/>
    </row>
    <row r="1486" spans="1:11" x14ac:dyDescent="0.25">
      <c r="A1486" s="6">
        <v>4424322</v>
      </c>
      <c r="B1486" t="str">
        <f t="shared" si="92"/>
        <v>stacjonarny</v>
      </c>
      <c r="C1486">
        <f t="shared" si="93"/>
        <v>0</v>
      </c>
      <c r="D1486">
        <f t="shared" si="94"/>
        <v>0</v>
      </c>
      <c r="E1486" s="1">
        <v>42937</v>
      </c>
      <c r="F1486" s="2">
        <v>0.54233796296296299</v>
      </c>
      <c r="G1486" s="2">
        <v>0.55148148148148146</v>
      </c>
      <c r="H1486" s="2">
        <f t="shared" si="95"/>
        <v>9.1435185185184675E-3</v>
      </c>
      <c r="K1486" s="1"/>
    </row>
    <row r="1487" spans="1:11" x14ac:dyDescent="0.25">
      <c r="A1487" s="6">
        <v>9500083</v>
      </c>
      <c r="B1487" t="str">
        <f t="shared" si="92"/>
        <v>stacjonarny</v>
      </c>
      <c r="C1487">
        <f t="shared" si="93"/>
        <v>0</v>
      </c>
      <c r="D1487">
        <f t="shared" si="94"/>
        <v>0</v>
      </c>
      <c r="E1487" s="1">
        <v>42937</v>
      </c>
      <c r="F1487" s="2">
        <v>0.54631944444444447</v>
      </c>
      <c r="G1487" s="2">
        <v>0.55652777777777773</v>
      </c>
      <c r="H1487" s="2">
        <f t="shared" si="95"/>
        <v>1.0208333333333264E-2</v>
      </c>
      <c r="K1487" s="1"/>
    </row>
    <row r="1488" spans="1:11" x14ac:dyDescent="0.25">
      <c r="A1488" s="6">
        <v>2912297</v>
      </c>
      <c r="B1488" t="str">
        <f t="shared" si="92"/>
        <v>stacjonarny</v>
      </c>
      <c r="C1488">
        <f t="shared" si="93"/>
        <v>0</v>
      </c>
      <c r="D1488">
        <f t="shared" si="94"/>
        <v>0</v>
      </c>
      <c r="E1488" s="1">
        <v>42937</v>
      </c>
      <c r="F1488" s="2">
        <v>0.54761574074074071</v>
      </c>
      <c r="G1488" s="2">
        <v>0.55443287037037037</v>
      </c>
      <c r="H1488" s="2">
        <f t="shared" si="95"/>
        <v>6.8171296296296591E-3</v>
      </c>
      <c r="K1488" s="1"/>
    </row>
    <row r="1489" spans="1:11" x14ac:dyDescent="0.25">
      <c r="A1489" s="6">
        <v>4303945</v>
      </c>
      <c r="B1489" t="str">
        <f t="shared" si="92"/>
        <v>stacjonarny</v>
      </c>
      <c r="C1489">
        <f t="shared" si="93"/>
        <v>0</v>
      </c>
      <c r="D1489">
        <f t="shared" si="94"/>
        <v>0</v>
      </c>
      <c r="E1489" s="1">
        <v>42937</v>
      </c>
      <c r="F1489" s="2">
        <v>0.54953703703703705</v>
      </c>
      <c r="G1489" s="2">
        <v>0.55783564814814812</v>
      </c>
      <c r="H1489" s="2">
        <f t="shared" si="95"/>
        <v>8.2986111111110761E-3</v>
      </c>
      <c r="K1489" s="1"/>
    </row>
    <row r="1490" spans="1:11" x14ac:dyDescent="0.25">
      <c r="A1490" s="6">
        <v>3264546470</v>
      </c>
      <c r="B1490" t="str">
        <f t="shared" si="92"/>
        <v>zagraniczny</v>
      </c>
      <c r="C1490">
        <f t="shared" si="93"/>
        <v>0</v>
      </c>
      <c r="D1490">
        <f t="shared" si="94"/>
        <v>0</v>
      </c>
      <c r="E1490" s="1">
        <v>42937</v>
      </c>
      <c r="F1490" s="2">
        <v>0.55311342592592594</v>
      </c>
      <c r="G1490" s="2">
        <v>0.55469907407407404</v>
      </c>
      <c r="H1490" s="2">
        <f t="shared" si="95"/>
        <v>1.5856481481481E-3</v>
      </c>
      <c r="K1490" s="1"/>
    </row>
    <row r="1491" spans="1:11" x14ac:dyDescent="0.25">
      <c r="A1491" s="6">
        <v>7275091</v>
      </c>
      <c r="B1491" t="str">
        <f t="shared" si="92"/>
        <v>stacjonarny</v>
      </c>
      <c r="C1491">
        <f t="shared" si="93"/>
        <v>0</v>
      </c>
      <c r="D1491">
        <f t="shared" si="94"/>
        <v>0</v>
      </c>
      <c r="E1491" s="1">
        <v>42937</v>
      </c>
      <c r="F1491" s="2">
        <v>0.55652777777777773</v>
      </c>
      <c r="G1491" s="2">
        <v>0.56657407407407412</v>
      </c>
      <c r="H1491" s="2">
        <f t="shared" si="95"/>
        <v>1.0046296296296386E-2</v>
      </c>
      <c r="K1491" s="1"/>
    </row>
    <row r="1492" spans="1:11" x14ac:dyDescent="0.25">
      <c r="A1492" s="6">
        <v>9021766</v>
      </c>
      <c r="B1492" t="str">
        <f t="shared" si="92"/>
        <v>stacjonarny</v>
      </c>
      <c r="C1492">
        <f t="shared" si="93"/>
        <v>0</v>
      </c>
      <c r="D1492">
        <f t="shared" si="94"/>
        <v>0</v>
      </c>
      <c r="E1492" s="1">
        <v>42937</v>
      </c>
      <c r="F1492" s="2">
        <v>0.5575</v>
      </c>
      <c r="G1492" s="2">
        <v>0.56418981481481478</v>
      </c>
      <c r="H1492" s="2">
        <f t="shared" si="95"/>
        <v>6.6898148148147873E-3</v>
      </c>
      <c r="K1492" s="1"/>
    </row>
    <row r="1493" spans="1:11" x14ac:dyDescent="0.25">
      <c r="A1493" s="6">
        <v>1500342</v>
      </c>
      <c r="B1493" t="str">
        <f t="shared" si="92"/>
        <v>stacjonarny</v>
      </c>
      <c r="C1493">
        <f t="shared" si="93"/>
        <v>0</v>
      </c>
      <c r="D1493">
        <f t="shared" si="94"/>
        <v>0</v>
      </c>
      <c r="E1493" s="1">
        <v>42937</v>
      </c>
      <c r="F1493" s="2">
        <v>0.56297453703703704</v>
      </c>
      <c r="G1493" s="2">
        <v>0.56752314814814819</v>
      </c>
      <c r="H1493" s="2">
        <f t="shared" si="95"/>
        <v>4.548611111111156E-3</v>
      </c>
      <c r="K1493" s="1"/>
    </row>
    <row r="1494" spans="1:11" x14ac:dyDescent="0.25">
      <c r="A1494" s="6">
        <v>7295667</v>
      </c>
      <c r="B1494" t="str">
        <f t="shared" si="92"/>
        <v>stacjonarny</v>
      </c>
      <c r="C1494">
        <f t="shared" si="93"/>
        <v>0</v>
      </c>
      <c r="D1494">
        <f t="shared" si="94"/>
        <v>0</v>
      </c>
      <c r="E1494" s="1">
        <v>42937</v>
      </c>
      <c r="F1494" s="2">
        <v>0.56578703703703703</v>
      </c>
      <c r="G1494" s="2">
        <v>0.57518518518518513</v>
      </c>
      <c r="H1494" s="2">
        <f t="shared" si="95"/>
        <v>9.3981481481481E-3</v>
      </c>
      <c r="K1494" s="1"/>
    </row>
    <row r="1495" spans="1:11" x14ac:dyDescent="0.25">
      <c r="A1495" s="6">
        <v>5512237</v>
      </c>
      <c r="B1495" t="str">
        <f t="shared" si="92"/>
        <v>stacjonarny</v>
      </c>
      <c r="C1495">
        <f t="shared" si="93"/>
        <v>0</v>
      </c>
      <c r="D1495">
        <f t="shared" si="94"/>
        <v>0</v>
      </c>
      <c r="E1495" s="1">
        <v>42937</v>
      </c>
      <c r="F1495" s="2">
        <v>0.5713773148148148</v>
      </c>
      <c r="G1495" s="2">
        <v>0.58107638888888891</v>
      </c>
      <c r="H1495" s="2">
        <f t="shared" si="95"/>
        <v>9.6990740740741099E-3</v>
      </c>
      <c r="K1495" s="1"/>
    </row>
    <row r="1496" spans="1:11" x14ac:dyDescent="0.25">
      <c r="A1496" s="6">
        <v>22266436</v>
      </c>
      <c r="B1496" t="str">
        <f t="shared" si="92"/>
        <v>komorkowy</v>
      </c>
      <c r="C1496">
        <f t="shared" si="93"/>
        <v>0</v>
      </c>
      <c r="D1496">
        <f t="shared" si="94"/>
        <v>0</v>
      </c>
      <c r="E1496" s="1">
        <v>42937</v>
      </c>
      <c r="F1496" s="2">
        <v>0.57549768518518518</v>
      </c>
      <c r="G1496" s="2">
        <v>0.57925925925925925</v>
      </c>
      <c r="H1496" s="2">
        <f t="shared" si="95"/>
        <v>3.76157407407407E-3</v>
      </c>
      <c r="K1496" s="1"/>
    </row>
    <row r="1497" spans="1:11" x14ac:dyDescent="0.25">
      <c r="A1497" s="6">
        <v>60885211</v>
      </c>
      <c r="B1497" t="str">
        <f t="shared" si="92"/>
        <v>komorkowy</v>
      </c>
      <c r="C1497">
        <f t="shared" si="93"/>
        <v>0</v>
      </c>
      <c r="D1497">
        <f t="shared" si="94"/>
        <v>0</v>
      </c>
      <c r="E1497" s="1">
        <v>42937</v>
      </c>
      <c r="F1497" s="2">
        <v>0.57828703703703699</v>
      </c>
      <c r="G1497" s="2">
        <v>0.58940972222222221</v>
      </c>
      <c r="H1497" s="2">
        <f t="shared" si="95"/>
        <v>1.1122685185185222E-2</v>
      </c>
      <c r="K1497" s="1"/>
    </row>
    <row r="1498" spans="1:11" x14ac:dyDescent="0.25">
      <c r="A1498" s="6">
        <v>4379415</v>
      </c>
      <c r="B1498" t="str">
        <f t="shared" si="92"/>
        <v>stacjonarny</v>
      </c>
      <c r="C1498">
        <f t="shared" si="93"/>
        <v>0</v>
      </c>
      <c r="D1498">
        <f t="shared" si="94"/>
        <v>0</v>
      </c>
      <c r="E1498" s="1">
        <v>42937</v>
      </c>
      <c r="F1498" s="2">
        <v>0.57983796296296297</v>
      </c>
      <c r="G1498" s="2">
        <v>0.58756944444444448</v>
      </c>
      <c r="H1498" s="2">
        <f t="shared" si="95"/>
        <v>7.7314814814815058E-3</v>
      </c>
      <c r="K1498" s="1"/>
    </row>
    <row r="1499" spans="1:11" x14ac:dyDescent="0.25">
      <c r="A1499" s="6">
        <v>22747425</v>
      </c>
      <c r="B1499" t="str">
        <f t="shared" si="92"/>
        <v>komorkowy</v>
      </c>
      <c r="C1499">
        <f t="shared" si="93"/>
        <v>0</v>
      </c>
      <c r="D1499">
        <f t="shared" si="94"/>
        <v>0</v>
      </c>
      <c r="E1499" s="1">
        <v>42937</v>
      </c>
      <c r="F1499" s="2">
        <v>0.58520833333333333</v>
      </c>
      <c r="G1499" s="2">
        <v>0.59646990740740746</v>
      </c>
      <c r="H1499" s="2">
        <f t="shared" si="95"/>
        <v>1.1261574074074132E-2</v>
      </c>
      <c r="K1499" s="1"/>
    </row>
    <row r="1500" spans="1:11" x14ac:dyDescent="0.25">
      <c r="A1500" s="6">
        <v>3858766</v>
      </c>
      <c r="B1500" t="str">
        <f t="shared" si="92"/>
        <v>stacjonarny</v>
      </c>
      <c r="C1500">
        <f t="shared" si="93"/>
        <v>0</v>
      </c>
      <c r="D1500">
        <f t="shared" si="94"/>
        <v>0</v>
      </c>
      <c r="E1500" s="1">
        <v>42937</v>
      </c>
      <c r="F1500" s="2">
        <v>0.59026620370370375</v>
      </c>
      <c r="G1500" s="2">
        <v>0.59652777777777777</v>
      </c>
      <c r="H1500" s="2">
        <f t="shared" si="95"/>
        <v>6.2615740740740167E-3</v>
      </c>
      <c r="K1500" s="1"/>
    </row>
    <row r="1501" spans="1:11" x14ac:dyDescent="0.25">
      <c r="A1501" s="6">
        <v>6231537</v>
      </c>
      <c r="B1501" t="str">
        <f t="shared" si="92"/>
        <v>stacjonarny</v>
      </c>
      <c r="C1501">
        <f t="shared" si="93"/>
        <v>0</v>
      </c>
      <c r="D1501">
        <f t="shared" si="94"/>
        <v>0</v>
      </c>
      <c r="E1501" s="1">
        <v>42937</v>
      </c>
      <c r="F1501" s="2">
        <v>0.59401620370370367</v>
      </c>
      <c r="G1501" s="2">
        <v>0.60012731481481485</v>
      </c>
      <c r="H1501" s="2">
        <f t="shared" si="95"/>
        <v>6.1111111111111782E-3</v>
      </c>
      <c r="K1501" s="1"/>
    </row>
    <row r="1502" spans="1:11" x14ac:dyDescent="0.25">
      <c r="A1502" s="6">
        <v>1296262</v>
      </c>
      <c r="B1502" t="str">
        <f t="shared" si="92"/>
        <v>stacjonarny</v>
      </c>
      <c r="C1502">
        <f t="shared" si="93"/>
        <v>1</v>
      </c>
      <c r="D1502">
        <f t="shared" si="94"/>
        <v>1</v>
      </c>
      <c r="E1502" s="1">
        <v>42937</v>
      </c>
      <c r="F1502" s="2">
        <v>0.59712962962962968</v>
      </c>
      <c r="G1502" s="2">
        <v>0.6026273148148148</v>
      </c>
      <c r="H1502" s="2">
        <f t="shared" si="95"/>
        <v>5.4976851851851194E-3</v>
      </c>
      <c r="K1502" s="1"/>
    </row>
    <row r="1503" spans="1:11" x14ac:dyDescent="0.25">
      <c r="A1503" s="6">
        <v>6175467</v>
      </c>
      <c r="B1503" t="str">
        <f t="shared" si="92"/>
        <v>stacjonarny</v>
      </c>
      <c r="C1503">
        <f t="shared" si="93"/>
        <v>0</v>
      </c>
      <c r="D1503">
        <f t="shared" si="94"/>
        <v>0</v>
      </c>
      <c r="E1503" s="1">
        <v>42937</v>
      </c>
      <c r="F1503" s="2">
        <v>0.60185185185185186</v>
      </c>
      <c r="G1503" s="2">
        <v>0.61021990740740739</v>
      </c>
      <c r="H1503" s="2">
        <f t="shared" si="95"/>
        <v>8.3680555555555314E-3</v>
      </c>
      <c r="K1503" s="1"/>
    </row>
    <row r="1504" spans="1:11" x14ac:dyDescent="0.25">
      <c r="A1504" s="6">
        <v>6434255</v>
      </c>
      <c r="B1504" t="str">
        <f t="shared" si="92"/>
        <v>stacjonarny</v>
      </c>
      <c r="C1504">
        <f t="shared" si="93"/>
        <v>0</v>
      </c>
      <c r="D1504">
        <f t="shared" si="94"/>
        <v>0</v>
      </c>
      <c r="E1504" s="1">
        <v>42937</v>
      </c>
      <c r="F1504" s="2">
        <v>0.60196759259259258</v>
      </c>
      <c r="G1504" s="2">
        <v>0.60356481481481483</v>
      </c>
      <c r="H1504" s="2">
        <f t="shared" si="95"/>
        <v>1.5972222222222499E-3</v>
      </c>
      <c r="K1504" s="1"/>
    </row>
    <row r="1505" spans="1:11" x14ac:dyDescent="0.25">
      <c r="A1505" s="6">
        <v>2723614</v>
      </c>
      <c r="B1505" t="str">
        <f t="shared" si="92"/>
        <v>stacjonarny</v>
      </c>
      <c r="C1505">
        <f t="shared" si="93"/>
        <v>0</v>
      </c>
      <c r="D1505">
        <f t="shared" si="94"/>
        <v>0</v>
      </c>
      <c r="E1505" s="1">
        <v>42937</v>
      </c>
      <c r="F1505" s="2">
        <v>0.60465277777777782</v>
      </c>
      <c r="G1505" s="2">
        <v>0.60886574074074074</v>
      </c>
      <c r="H1505" s="2">
        <f t="shared" si="95"/>
        <v>4.2129629629629184E-3</v>
      </c>
      <c r="K1505" s="1"/>
    </row>
    <row r="1506" spans="1:11" x14ac:dyDescent="0.25">
      <c r="A1506" s="6">
        <v>92326393</v>
      </c>
      <c r="B1506" t="str">
        <f t="shared" si="92"/>
        <v>komorkowy</v>
      </c>
      <c r="C1506">
        <f t="shared" si="93"/>
        <v>0</v>
      </c>
      <c r="D1506">
        <f t="shared" si="94"/>
        <v>0</v>
      </c>
      <c r="E1506" s="1">
        <v>42937</v>
      </c>
      <c r="F1506" s="2">
        <v>0.60782407407407413</v>
      </c>
      <c r="G1506" s="2">
        <v>0.61331018518518521</v>
      </c>
      <c r="H1506" s="2">
        <f t="shared" si="95"/>
        <v>5.4861111111110805E-3</v>
      </c>
      <c r="K1506" s="1"/>
    </row>
    <row r="1507" spans="1:11" x14ac:dyDescent="0.25">
      <c r="A1507" s="6">
        <v>5039266</v>
      </c>
      <c r="B1507" t="str">
        <f t="shared" si="92"/>
        <v>stacjonarny</v>
      </c>
      <c r="C1507">
        <f t="shared" si="93"/>
        <v>0</v>
      </c>
      <c r="D1507">
        <f t="shared" si="94"/>
        <v>0</v>
      </c>
      <c r="E1507" s="1">
        <v>42937</v>
      </c>
      <c r="F1507" s="2">
        <v>0.6121875</v>
      </c>
      <c r="G1507" s="2">
        <v>0.6181712962962963</v>
      </c>
      <c r="H1507" s="2">
        <f t="shared" si="95"/>
        <v>5.9837962962963065E-3</v>
      </c>
      <c r="K1507" s="1"/>
    </row>
    <row r="1508" spans="1:11" x14ac:dyDescent="0.25">
      <c r="A1508" s="6">
        <v>3861280</v>
      </c>
      <c r="B1508" t="str">
        <f t="shared" si="92"/>
        <v>stacjonarny</v>
      </c>
      <c r="C1508">
        <f t="shared" si="93"/>
        <v>0</v>
      </c>
      <c r="D1508">
        <f t="shared" si="94"/>
        <v>0</v>
      </c>
      <c r="E1508" s="1">
        <v>42937</v>
      </c>
      <c r="F1508" s="2">
        <v>0.6147569444444444</v>
      </c>
      <c r="G1508" s="2">
        <v>0.62420138888888888</v>
      </c>
      <c r="H1508" s="2">
        <f t="shared" si="95"/>
        <v>9.4444444444444775E-3</v>
      </c>
      <c r="K1508" s="1"/>
    </row>
    <row r="1509" spans="1:11" x14ac:dyDescent="0.25">
      <c r="A1509" s="6">
        <v>3982833</v>
      </c>
      <c r="B1509" t="str">
        <f t="shared" si="92"/>
        <v>stacjonarny</v>
      </c>
      <c r="C1509">
        <f t="shared" si="93"/>
        <v>0</v>
      </c>
      <c r="D1509">
        <f t="shared" si="94"/>
        <v>0</v>
      </c>
      <c r="E1509" s="1">
        <v>42937</v>
      </c>
      <c r="F1509" s="2">
        <v>0.61690972222222218</v>
      </c>
      <c r="G1509" s="2">
        <v>0.62290509259259264</v>
      </c>
      <c r="H1509" s="2">
        <f t="shared" si="95"/>
        <v>5.9953703703704564E-3</v>
      </c>
      <c r="K1509" s="1"/>
    </row>
    <row r="1510" spans="1:11" x14ac:dyDescent="0.25">
      <c r="A1510" s="6">
        <v>5835972</v>
      </c>
      <c r="B1510" t="str">
        <f t="shared" si="92"/>
        <v>stacjonarny</v>
      </c>
      <c r="C1510">
        <f t="shared" si="93"/>
        <v>0</v>
      </c>
      <c r="D1510">
        <f t="shared" si="94"/>
        <v>0</v>
      </c>
      <c r="E1510" s="1">
        <v>42937</v>
      </c>
      <c r="F1510" s="2">
        <v>0.6206828703703704</v>
      </c>
      <c r="G1510" s="2">
        <v>0.62291666666666667</v>
      </c>
      <c r="H1510" s="2">
        <f t="shared" si="95"/>
        <v>2.2337962962962754E-3</v>
      </c>
      <c r="K1510" s="1"/>
    </row>
    <row r="1511" spans="1:11" x14ac:dyDescent="0.25">
      <c r="A1511" s="6">
        <v>98382147</v>
      </c>
      <c r="B1511" t="str">
        <f t="shared" si="92"/>
        <v>komorkowy</v>
      </c>
      <c r="C1511">
        <f t="shared" si="93"/>
        <v>0</v>
      </c>
      <c r="D1511">
        <f t="shared" si="94"/>
        <v>0</v>
      </c>
      <c r="E1511" s="1">
        <v>42937</v>
      </c>
      <c r="F1511" s="2">
        <v>0.62484953703703705</v>
      </c>
      <c r="G1511" s="2">
        <v>0.62848379629629625</v>
      </c>
      <c r="H1511" s="2">
        <f t="shared" si="95"/>
        <v>3.6342592592591982E-3</v>
      </c>
      <c r="K1511" s="1"/>
    </row>
    <row r="1512" spans="1:11" x14ac:dyDescent="0.25">
      <c r="A1512" s="6">
        <v>9427353</v>
      </c>
      <c r="B1512" t="str">
        <f t="shared" si="92"/>
        <v>stacjonarny</v>
      </c>
      <c r="C1512">
        <f t="shared" si="93"/>
        <v>0</v>
      </c>
      <c r="D1512">
        <f t="shared" si="94"/>
        <v>0</v>
      </c>
      <c r="E1512" s="1">
        <v>42937</v>
      </c>
      <c r="F1512" s="2">
        <v>0.62612268518518521</v>
      </c>
      <c r="G1512" s="2">
        <v>0.62835648148148149</v>
      </c>
      <c r="H1512" s="2">
        <f t="shared" si="95"/>
        <v>2.2337962962962754E-3</v>
      </c>
      <c r="K1512" s="1"/>
    </row>
    <row r="1513" spans="1:11" x14ac:dyDescent="0.25">
      <c r="A1513" s="6">
        <v>11274735</v>
      </c>
      <c r="B1513" t="str">
        <f t="shared" si="92"/>
        <v>komorkowy</v>
      </c>
      <c r="C1513">
        <f t="shared" si="93"/>
        <v>0</v>
      </c>
      <c r="D1513">
        <f t="shared" si="94"/>
        <v>0</v>
      </c>
      <c r="E1513" s="1">
        <v>42940</v>
      </c>
      <c r="F1513" s="2">
        <v>0.33624999999999999</v>
      </c>
      <c r="G1513" s="2">
        <v>0.34670138888888891</v>
      </c>
      <c r="H1513" s="2">
        <f t="shared" si="95"/>
        <v>1.0451388888888913E-2</v>
      </c>
      <c r="K1513" s="1"/>
    </row>
    <row r="1514" spans="1:11" x14ac:dyDescent="0.25">
      <c r="A1514" s="6">
        <v>9727873</v>
      </c>
      <c r="B1514" t="str">
        <f t="shared" si="92"/>
        <v>stacjonarny</v>
      </c>
      <c r="C1514">
        <f t="shared" si="93"/>
        <v>0</v>
      </c>
      <c r="D1514">
        <f t="shared" si="94"/>
        <v>0</v>
      </c>
      <c r="E1514" s="1">
        <v>42940</v>
      </c>
      <c r="F1514" s="2">
        <v>0.33728009259259262</v>
      </c>
      <c r="G1514" s="2">
        <v>0.34291666666666665</v>
      </c>
      <c r="H1514" s="2">
        <f t="shared" si="95"/>
        <v>5.63657407407403E-3</v>
      </c>
      <c r="K1514" s="1"/>
    </row>
    <row r="1515" spans="1:11" x14ac:dyDescent="0.25">
      <c r="A1515" s="6">
        <v>4804872</v>
      </c>
      <c r="B1515" t="str">
        <f t="shared" si="92"/>
        <v>stacjonarny</v>
      </c>
      <c r="C1515">
        <f t="shared" si="93"/>
        <v>0</v>
      </c>
      <c r="D1515">
        <f t="shared" si="94"/>
        <v>0</v>
      </c>
      <c r="E1515" s="1">
        <v>42940</v>
      </c>
      <c r="F1515" s="2">
        <v>0.3402662037037037</v>
      </c>
      <c r="G1515" s="2">
        <v>0.34250000000000003</v>
      </c>
      <c r="H1515" s="2">
        <f t="shared" si="95"/>
        <v>2.2337962962963309E-3</v>
      </c>
      <c r="K1515" s="1"/>
    </row>
    <row r="1516" spans="1:11" x14ac:dyDescent="0.25">
      <c r="A1516" s="6">
        <v>22583033</v>
      </c>
      <c r="B1516" t="str">
        <f t="shared" si="92"/>
        <v>komorkowy</v>
      </c>
      <c r="C1516">
        <f t="shared" si="93"/>
        <v>0</v>
      </c>
      <c r="D1516">
        <f t="shared" si="94"/>
        <v>0</v>
      </c>
      <c r="E1516" s="1">
        <v>42940</v>
      </c>
      <c r="F1516" s="2">
        <v>0.34495370370370371</v>
      </c>
      <c r="G1516" s="2">
        <v>0.3467824074074074</v>
      </c>
      <c r="H1516" s="2">
        <f t="shared" si="95"/>
        <v>1.8287037037036935E-3</v>
      </c>
      <c r="K1516" s="1"/>
    </row>
    <row r="1517" spans="1:11" x14ac:dyDescent="0.25">
      <c r="A1517" s="6">
        <v>4056070</v>
      </c>
      <c r="B1517" t="str">
        <f t="shared" si="92"/>
        <v>stacjonarny</v>
      </c>
      <c r="C1517">
        <f t="shared" si="93"/>
        <v>0</v>
      </c>
      <c r="D1517">
        <f t="shared" si="94"/>
        <v>0</v>
      </c>
      <c r="E1517" s="1">
        <v>42940</v>
      </c>
      <c r="F1517" s="2">
        <v>0.3480787037037037</v>
      </c>
      <c r="G1517" s="2">
        <v>0.35413194444444446</v>
      </c>
      <c r="H1517" s="2">
        <f t="shared" si="95"/>
        <v>6.0532407407407618E-3</v>
      </c>
      <c r="K1517" s="1"/>
    </row>
    <row r="1518" spans="1:11" x14ac:dyDescent="0.25">
      <c r="A1518" s="6">
        <v>2701816</v>
      </c>
      <c r="B1518" t="str">
        <f t="shared" si="92"/>
        <v>stacjonarny</v>
      </c>
      <c r="C1518">
        <f t="shared" si="93"/>
        <v>0</v>
      </c>
      <c r="D1518">
        <f t="shared" si="94"/>
        <v>0</v>
      </c>
      <c r="E1518" s="1">
        <v>42940</v>
      </c>
      <c r="F1518" s="2">
        <v>0.34879629629629627</v>
      </c>
      <c r="G1518" s="2">
        <v>0.35699074074074072</v>
      </c>
      <c r="H1518" s="2">
        <f t="shared" si="95"/>
        <v>8.1944444444444486E-3</v>
      </c>
      <c r="K1518" s="1"/>
    </row>
    <row r="1519" spans="1:11" x14ac:dyDescent="0.25">
      <c r="A1519" s="6">
        <v>20735440</v>
      </c>
      <c r="B1519" t="str">
        <f t="shared" si="92"/>
        <v>komorkowy</v>
      </c>
      <c r="C1519">
        <f t="shared" si="93"/>
        <v>0</v>
      </c>
      <c r="D1519">
        <f t="shared" si="94"/>
        <v>0</v>
      </c>
      <c r="E1519" s="1">
        <v>42940</v>
      </c>
      <c r="F1519" s="2">
        <v>0.35041666666666665</v>
      </c>
      <c r="G1519" s="2">
        <v>0.35834490740740743</v>
      </c>
      <c r="H1519" s="2">
        <f t="shared" si="95"/>
        <v>7.9282407407407773E-3</v>
      </c>
      <c r="K1519" s="1"/>
    </row>
    <row r="1520" spans="1:11" x14ac:dyDescent="0.25">
      <c r="A1520" s="6">
        <v>9076015</v>
      </c>
      <c r="B1520" t="str">
        <f t="shared" si="92"/>
        <v>stacjonarny</v>
      </c>
      <c r="C1520">
        <f t="shared" si="93"/>
        <v>0</v>
      </c>
      <c r="D1520">
        <f t="shared" si="94"/>
        <v>0</v>
      </c>
      <c r="E1520" s="1">
        <v>42940</v>
      </c>
      <c r="F1520" s="2">
        <v>0.35129629629629627</v>
      </c>
      <c r="G1520" s="2">
        <v>0.35626157407407405</v>
      </c>
      <c r="H1520" s="2">
        <f t="shared" si="95"/>
        <v>4.9652777777777768E-3</v>
      </c>
      <c r="K1520" s="1"/>
    </row>
    <row r="1521" spans="1:11" x14ac:dyDescent="0.25">
      <c r="A1521" s="6">
        <v>11070759</v>
      </c>
      <c r="B1521" t="str">
        <f t="shared" si="92"/>
        <v>komorkowy</v>
      </c>
      <c r="C1521">
        <f t="shared" si="93"/>
        <v>0</v>
      </c>
      <c r="D1521">
        <f t="shared" si="94"/>
        <v>0</v>
      </c>
      <c r="E1521" s="1">
        <v>42940</v>
      </c>
      <c r="F1521" s="2">
        <v>0.35653935185185187</v>
      </c>
      <c r="G1521" s="2">
        <v>0.35864583333333333</v>
      </c>
      <c r="H1521" s="2">
        <f t="shared" si="95"/>
        <v>2.1064814814814592E-3</v>
      </c>
      <c r="K1521" s="1"/>
    </row>
    <row r="1522" spans="1:11" x14ac:dyDescent="0.25">
      <c r="A1522" s="6">
        <v>22176115</v>
      </c>
      <c r="B1522" t="str">
        <f t="shared" si="92"/>
        <v>komorkowy</v>
      </c>
      <c r="C1522">
        <f t="shared" si="93"/>
        <v>0</v>
      </c>
      <c r="D1522">
        <f t="shared" si="94"/>
        <v>0</v>
      </c>
      <c r="E1522" s="1">
        <v>42940</v>
      </c>
      <c r="F1522" s="2">
        <v>0.35991898148148149</v>
      </c>
      <c r="G1522" s="2">
        <v>0.36880787037037038</v>
      </c>
      <c r="H1522" s="2">
        <f t="shared" si="95"/>
        <v>8.8888888888888906E-3</v>
      </c>
      <c r="K1522" s="1"/>
    </row>
    <row r="1523" spans="1:11" x14ac:dyDescent="0.25">
      <c r="A1523" s="6">
        <v>7456918</v>
      </c>
      <c r="B1523" t="str">
        <f t="shared" si="92"/>
        <v>stacjonarny</v>
      </c>
      <c r="C1523">
        <f t="shared" si="93"/>
        <v>0</v>
      </c>
      <c r="D1523">
        <f t="shared" si="94"/>
        <v>0</v>
      </c>
      <c r="E1523" s="1">
        <v>42940</v>
      </c>
      <c r="F1523" s="2">
        <v>0.36061342592592593</v>
      </c>
      <c r="G1523" s="2">
        <v>0.36667824074074074</v>
      </c>
      <c r="H1523" s="2">
        <f t="shared" si="95"/>
        <v>6.0648148148148007E-3</v>
      </c>
      <c r="K1523" s="1"/>
    </row>
    <row r="1524" spans="1:11" x14ac:dyDescent="0.25">
      <c r="A1524" s="6">
        <v>6896787</v>
      </c>
      <c r="B1524" t="str">
        <f t="shared" si="92"/>
        <v>stacjonarny</v>
      </c>
      <c r="C1524">
        <f t="shared" si="93"/>
        <v>0</v>
      </c>
      <c r="D1524">
        <f t="shared" si="94"/>
        <v>0</v>
      </c>
      <c r="E1524" s="1">
        <v>42940</v>
      </c>
      <c r="F1524" s="2">
        <v>0.36243055555555553</v>
      </c>
      <c r="G1524" s="2">
        <v>0.36993055555555554</v>
      </c>
      <c r="H1524" s="2">
        <f t="shared" si="95"/>
        <v>7.5000000000000067E-3</v>
      </c>
      <c r="K1524" s="1"/>
    </row>
    <row r="1525" spans="1:11" x14ac:dyDescent="0.25">
      <c r="A1525" s="6">
        <v>6561564994</v>
      </c>
      <c r="B1525" t="str">
        <f t="shared" si="92"/>
        <v>zagraniczny</v>
      </c>
      <c r="C1525">
        <f t="shared" si="93"/>
        <v>0</v>
      </c>
      <c r="D1525">
        <f t="shared" si="94"/>
        <v>0</v>
      </c>
      <c r="E1525" s="1">
        <v>42940</v>
      </c>
      <c r="F1525" s="2">
        <v>0.36334490740740738</v>
      </c>
      <c r="G1525" s="2">
        <v>0.3696875</v>
      </c>
      <c r="H1525" s="2">
        <f t="shared" si="95"/>
        <v>6.3425925925926219E-3</v>
      </c>
      <c r="K1525" s="1"/>
    </row>
    <row r="1526" spans="1:11" x14ac:dyDescent="0.25">
      <c r="A1526" s="6">
        <v>8414788</v>
      </c>
      <c r="B1526" t="str">
        <f t="shared" si="92"/>
        <v>stacjonarny</v>
      </c>
      <c r="C1526">
        <f t="shared" si="93"/>
        <v>0</v>
      </c>
      <c r="D1526">
        <f t="shared" si="94"/>
        <v>0</v>
      </c>
      <c r="E1526" s="1">
        <v>42940</v>
      </c>
      <c r="F1526" s="2">
        <v>0.36887731481481484</v>
      </c>
      <c r="G1526" s="2">
        <v>0.37443287037037037</v>
      </c>
      <c r="H1526" s="2">
        <f t="shared" si="95"/>
        <v>5.5555555555555358E-3</v>
      </c>
      <c r="K1526" s="1"/>
    </row>
    <row r="1527" spans="1:11" x14ac:dyDescent="0.25">
      <c r="A1527" s="6">
        <v>7896629</v>
      </c>
      <c r="B1527" t="str">
        <f t="shared" si="92"/>
        <v>stacjonarny</v>
      </c>
      <c r="C1527">
        <f t="shared" si="93"/>
        <v>0</v>
      </c>
      <c r="D1527">
        <f t="shared" si="94"/>
        <v>0</v>
      </c>
      <c r="E1527" s="1">
        <v>42940</v>
      </c>
      <c r="F1527" s="2">
        <v>0.37025462962962963</v>
      </c>
      <c r="G1527" s="2">
        <v>0.3785648148148148</v>
      </c>
      <c r="H1527" s="2">
        <f t="shared" si="95"/>
        <v>8.3101851851851705E-3</v>
      </c>
      <c r="K1527" s="1"/>
    </row>
    <row r="1528" spans="1:11" x14ac:dyDescent="0.25">
      <c r="A1528" s="6">
        <v>5970183</v>
      </c>
      <c r="B1528" t="str">
        <f t="shared" si="92"/>
        <v>stacjonarny</v>
      </c>
      <c r="C1528">
        <f t="shared" si="93"/>
        <v>0</v>
      </c>
      <c r="D1528">
        <f t="shared" si="94"/>
        <v>0</v>
      </c>
      <c r="E1528" s="1">
        <v>42940</v>
      </c>
      <c r="F1528" s="2">
        <v>0.37150462962962966</v>
      </c>
      <c r="G1528" s="2">
        <v>0.37246527777777777</v>
      </c>
      <c r="H1528" s="2">
        <f t="shared" si="95"/>
        <v>9.6064814814811328E-4</v>
      </c>
      <c r="K1528" s="1"/>
    </row>
    <row r="1529" spans="1:11" x14ac:dyDescent="0.25">
      <c r="A1529" s="6">
        <v>57891628</v>
      </c>
      <c r="B1529" t="str">
        <f t="shared" si="92"/>
        <v>komorkowy</v>
      </c>
      <c r="C1529">
        <f t="shared" si="93"/>
        <v>0</v>
      </c>
      <c r="D1529">
        <f t="shared" si="94"/>
        <v>0</v>
      </c>
      <c r="E1529" s="1">
        <v>42940</v>
      </c>
      <c r="F1529" s="2">
        <v>0.37296296296296294</v>
      </c>
      <c r="G1529" s="2">
        <v>0.38413194444444443</v>
      </c>
      <c r="H1529" s="2">
        <f t="shared" si="95"/>
        <v>1.1168981481481488E-2</v>
      </c>
      <c r="K1529" s="1"/>
    </row>
    <row r="1530" spans="1:11" x14ac:dyDescent="0.25">
      <c r="A1530" s="6">
        <v>53378457</v>
      </c>
      <c r="B1530" t="str">
        <f t="shared" si="92"/>
        <v>komorkowy</v>
      </c>
      <c r="C1530">
        <f t="shared" si="93"/>
        <v>0</v>
      </c>
      <c r="D1530">
        <f t="shared" si="94"/>
        <v>0</v>
      </c>
      <c r="E1530" s="1">
        <v>42940</v>
      </c>
      <c r="F1530" s="2">
        <v>0.3777314814814815</v>
      </c>
      <c r="G1530" s="2">
        <v>0.38680555555555557</v>
      </c>
      <c r="H1530" s="2">
        <f t="shared" si="95"/>
        <v>9.0740740740740677E-3</v>
      </c>
      <c r="K1530" s="1"/>
    </row>
    <row r="1531" spans="1:11" x14ac:dyDescent="0.25">
      <c r="A1531" s="6">
        <v>88666908</v>
      </c>
      <c r="B1531" t="str">
        <f t="shared" si="92"/>
        <v>komorkowy</v>
      </c>
      <c r="C1531">
        <f t="shared" si="93"/>
        <v>0</v>
      </c>
      <c r="D1531">
        <f t="shared" si="94"/>
        <v>0</v>
      </c>
      <c r="E1531" s="1">
        <v>42940</v>
      </c>
      <c r="F1531" s="2">
        <v>0.37983796296296296</v>
      </c>
      <c r="G1531" s="2">
        <v>0.38929398148148148</v>
      </c>
      <c r="H1531" s="2">
        <f t="shared" si="95"/>
        <v>9.4560185185185164E-3</v>
      </c>
      <c r="K1531" s="1"/>
    </row>
    <row r="1532" spans="1:11" x14ac:dyDescent="0.25">
      <c r="A1532" s="6">
        <v>9279730</v>
      </c>
      <c r="B1532" t="str">
        <f t="shared" si="92"/>
        <v>stacjonarny</v>
      </c>
      <c r="C1532">
        <f t="shared" si="93"/>
        <v>0</v>
      </c>
      <c r="D1532">
        <f t="shared" si="94"/>
        <v>0</v>
      </c>
      <c r="E1532" s="1">
        <v>42940</v>
      </c>
      <c r="F1532" s="2">
        <v>0.38046296296296295</v>
      </c>
      <c r="G1532" s="2">
        <v>0.38836805555555554</v>
      </c>
      <c r="H1532" s="2">
        <f t="shared" si="95"/>
        <v>7.9050925925925886E-3</v>
      </c>
      <c r="K1532" s="1"/>
    </row>
    <row r="1533" spans="1:11" x14ac:dyDescent="0.25">
      <c r="A1533" s="6">
        <v>2928766</v>
      </c>
      <c r="B1533" t="str">
        <f t="shared" si="92"/>
        <v>stacjonarny</v>
      </c>
      <c r="C1533">
        <f t="shared" si="93"/>
        <v>0</v>
      </c>
      <c r="D1533">
        <f t="shared" si="94"/>
        <v>0</v>
      </c>
      <c r="E1533" s="1">
        <v>42940</v>
      </c>
      <c r="F1533" s="2">
        <v>0.38156250000000003</v>
      </c>
      <c r="G1533" s="2">
        <v>0.3893402777777778</v>
      </c>
      <c r="H1533" s="2">
        <f t="shared" si="95"/>
        <v>7.7777777777777724E-3</v>
      </c>
      <c r="K1533" s="1"/>
    </row>
    <row r="1534" spans="1:11" x14ac:dyDescent="0.25">
      <c r="A1534" s="6">
        <v>4334364</v>
      </c>
      <c r="B1534" t="str">
        <f t="shared" si="92"/>
        <v>stacjonarny</v>
      </c>
      <c r="C1534">
        <f t="shared" si="93"/>
        <v>0</v>
      </c>
      <c r="D1534">
        <f t="shared" si="94"/>
        <v>0</v>
      </c>
      <c r="E1534" s="1">
        <v>42940</v>
      </c>
      <c r="F1534" s="2">
        <v>0.3837962962962963</v>
      </c>
      <c r="G1534" s="2">
        <v>0.39385416666666667</v>
      </c>
      <c r="H1534" s="2">
        <f t="shared" si="95"/>
        <v>1.005787037037037E-2</v>
      </c>
      <c r="K1534" s="1"/>
    </row>
    <row r="1535" spans="1:11" x14ac:dyDescent="0.25">
      <c r="A1535" s="6">
        <v>8405292</v>
      </c>
      <c r="B1535" t="str">
        <f t="shared" si="92"/>
        <v>stacjonarny</v>
      </c>
      <c r="C1535">
        <f t="shared" si="93"/>
        <v>0</v>
      </c>
      <c r="D1535">
        <f t="shared" si="94"/>
        <v>0</v>
      </c>
      <c r="E1535" s="1">
        <v>42940</v>
      </c>
      <c r="F1535" s="2">
        <v>0.38635416666666667</v>
      </c>
      <c r="G1535" s="2">
        <v>0.39378472222222222</v>
      </c>
      <c r="H1535" s="2">
        <f t="shared" si="95"/>
        <v>7.4305555555555514E-3</v>
      </c>
      <c r="K1535" s="1"/>
    </row>
    <row r="1536" spans="1:11" x14ac:dyDescent="0.25">
      <c r="A1536" s="6">
        <v>9870841</v>
      </c>
      <c r="B1536" t="str">
        <f t="shared" si="92"/>
        <v>stacjonarny</v>
      </c>
      <c r="C1536">
        <f t="shared" si="93"/>
        <v>0</v>
      </c>
      <c r="D1536">
        <f t="shared" si="94"/>
        <v>0</v>
      </c>
      <c r="E1536" s="1">
        <v>42940</v>
      </c>
      <c r="F1536" s="2">
        <v>0.39209490740740743</v>
      </c>
      <c r="G1536" s="2">
        <v>0.39672453703703703</v>
      </c>
      <c r="H1536" s="2">
        <f t="shared" si="95"/>
        <v>4.6296296296295947E-3</v>
      </c>
      <c r="K1536" s="1"/>
    </row>
    <row r="1537" spans="1:11" x14ac:dyDescent="0.25">
      <c r="A1537" s="6">
        <v>9722484</v>
      </c>
      <c r="B1537" t="str">
        <f t="shared" si="92"/>
        <v>stacjonarny</v>
      </c>
      <c r="C1537">
        <f t="shared" si="93"/>
        <v>0</v>
      </c>
      <c r="D1537">
        <f t="shared" si="94"/>
        <v>0</v>
      </c>
      <c r="E1537" s="1">
        <v>42940</v>
      </c>
      <c r="F1537" s="2">
        <v>0.39383101851851854</v>
      </c>
      <c r="G1537" s="2">
        <v>0.39630787037037035</v>
      </c>
      <c r="H1537" s="2">
        <f t="shared" si="95"/>
        <v>2.4768518518518134E-3</v>
      </c>
      <c r="K1537" s="1"/>
    </row>
    <row r="1538" spans="1:11" x14ac:dyDescent="0.25">
      <c r="A1538" s="6">
        <v>1159432</v>
      </c>
      <c r="B1538" t="str">
        <f t="shared" ref="B1538:B1601" si="96">IF(LEN(A1538)=7, "stacjonarny", IF(LEN(A1538)=8, "komorkowy", "zagraniczny"))</f>
        <v>stacjonarny</v>
      </c>
      <c r="C1538">
        <f t="shared" si="93"/>
        <v>0</v>
      </c>
      <c r="D1538">
        <f t="shared" si="94"/>
        <v>0</v>
      </c>
      <c r="E1538" s="1">
        <v>42940</v>
      </c>
      <c r="F1538" s="2">
        <v>0.39391203703703703</v>
      </c>
      <c r="G1538" s="2">
        <v>0.39478009259259261</v>
      </c>
      <c r="H1538" s="2">
        <f t="shared" si="95"/>
        <v>8.6805555555558023E-4</v>
      </c>
      <c r="K1538" s="1"/>
    </row>
    <row r="1539" spans="1:11" x14ac:dyDescent="0.25">
      <c r="A1539" s="6">
        <v>25194612</v>
      </c>
      <c r="B1539" t="str">
        <f t="shared" si="96"/>
        <v>komorkowy</v>
      </c>
      <c r="C1539">
        <f t="shared" ref="C1539:C1602" si="97">IF(LEFT(A1539,2)="12",1,0)</f>
        <v>0</v>
      </c>
      <c r="D1539">
        <f t="shared" ref="D1539:D1602" si="98">IF(AND(C1539=1,B1539="stacjonarny"),1,0)</f>
        <v>0</v>
      </c>
      <c r="E1539" s="1">
        <v>42940</v>
      </c>
      <c r="F1539" s="2">
        <v>0.39516203703703706</v>
      </c>
      <c r="G1539" s="2">
        <v>0.4057986111111111</v>
      </c>
      <c r="H1539" s="2">
        <f t="shared" ref="H1539:H1602" si="99">G1539-F1539</f>
        <v>1.0636574074074034E-2</v>
      </c>
      <c r="K1539" s="1"/>
    </row>
    <row r="1540" spans="1:11" x14ac:dyDescent="0.25">
      <c r="A1540" s="6">
        <v>1117628</v>
      </c>
      <c r="B1540" t="str">
        <f t="shared" si="96"/>
        <v>stacjonarny</v>
      </c>
      <c r="C1540">
        <f t="shared" si="97"/>
        <v>0</v>
      </c>
      <c r="D1540">
        <f t="shared" si="98"/>
        <v>0</v>
      </c>
      <c r="E1540" s="1">
        <v>42940</v>
      </c>
      <c r="F1540" s="2">
        <v>0.39614583333333331</v>
      </c>
      <c r="G1540" s="2">
        <v>0.39976851851851852</v>
      </c>
      <c r="H1540" s="2">
        <f t="shared" si="99"/>
        <v>3.6226851851852149E-3</v>
      </c>
      <c r="K1540" s="1"/>
    </row>
    <row r="1541" spans="1:11" x14ac:dyDescent="0.25">
      <c r="A1541" s="6">
        <v>3624713</v>
      </c>
      <c r="B1541" t="str">
        <f t="shared" si="96"/>
        <v>stacjonarny</v>
      </c>
      <c r="C1541">
        <f t="shared" si="97"/>
        <v>0</v>
      </c>
      <c r="D1541">
        <f t="shared" si="98"/>
        <v>0</v>
      </c>
      <c r="E1541" s="1">
        <v>42940</v>
      </c>
      <c r="F1541" s="2">
        <v>0.39864583333333331</v>
      </c>
      <c r="G1541" s="2">
        <v>0.40440972222222221</v>
      </c>
      <c r="H1541" s="2">
        <f t="shared" si="99"/>
        <v>5.7638888888889017E-3</v>
      </c>
      <c r="K1541" s="1"/>
    </row>
    <row r="1542" spans="1:11" x14ac:dyDescent="0.25">
      <c r="A1542" s="6">
        <v>5616210</v>
      </c>
      <c r="B1542" t="str">
        <f t="shared" si="96"/>
        <v>stacjonarny</v>
      </c>
      <c r="C1542">
        <f t="shared" si="97"/>
        <v>0</v>
      </c>
      <c r="D1542">
        <f t="shared" si="98"/>
        <v>0</v>
      </c>
      <c r="E1542" s="1">
        <v>42940</v>
      </c>
      <c r="F1542" s="2">
        <v>0.39956018518518521</v>
      </c>
      <c r="G1542" s="2">
        <v>0.40803240740740743</v>
      </c>
      <c r="H1542" s="2">
        <f t="shared" si="99"/>
        <v>8.4722222222222143E-3</v>
      </c>
      <c r="K1542" s="1"/>
    </row>
    <row r="1543" spans="1:11" x14ac:dyDescent="0.25">
      <c r="A1543" s="6">
        <v>6772052</v>
      </c>
      <c r="B1543" t="str">
        <f t="shared" si="96"/>
        <v>stacjonarny</v>
      </c>
      <c r="C1543">
        <f t="shared" si="97"/>
        <v>0</v>
      </c>
      <c r="D1543">
        <f t="shared" si="98"/>
        <v>0</v>
      </c>
      <c r="E1543" s="1">
        <v>42940</v>
      </c>
      <c r="F1543" s="2">
        <v>0.40263888888888888</v>
      </c>
      <c r="G1543" s="2">
        <v>0.40825231481481483</v>
      </c>
      <c r="H1543" s="2">
        <f t="shared" si="99"/>
        <v>5.6134259259259522E-3</v>
      </c>
      <c r="K1543" s="1"/>
    </row>
    <row r="1544" spans="1:11" x14ac:dyDescent="0.25">
      <c r="A1544" s="6">
        <v>3305212</v>
      </c>
      <c r="B1544" t="str">
        <f t="shared" si="96"/>
        <v>stacjonarny</v>
      </c>
      <c r="C1544">
        <f t="shared" si="97"/>
        <v>0</v>
      </c>
      <c r="D1544">
        <f t="shared" si="98"/>
        <v>0</v>
      </c>
      <c r="E1544" s="1">
        <v>42940</v>
      </c>
      <c r="F1544" s="2">
        <v>0.40641203703703704</v>
      </c>
      <c r="G1544" s="2">
        <v>0.41187499999999999</v>
      </c>
      <c r="H1544" s="2">
        <f t="shared" si="99"/>
        <v>5.4629629629629473E-3</v>
      </c>
      <c r="K1544" s="1"/>
    </row>
    <row r="1545" spans="1:11" x14ac:dyDescent="0.25">
      <c r="A1545" s="6">
        <v>72701808</v>
      </c>
      <c r="B1545" t="str">
        <f t="shared" si="96"/>
        <v>komorkowy</v>
      </c>
      <c r="C1545">
        <f t="shared" si="97"/>
        <v>0</v>
      </c>
      <c r="D1545">
        <f t="shared" si="98"/>
        <v>0</v>
      </c>
      <c r="E1545" s="1">
        <v>42940</v>
      </c>
      <c r="F1545" s="2">
        <v>0.40930555555555553</v>
      </c>
      <c r="G1545" s="2">
        <v>0.41968749999999999</v>
      </c>
      <c r="H1545" s="2">
        <f t="shared" si="99"/>
        <v>1.0381944444444458E-2</v>
      </c>
      <c r="K1545" s="1"/>
    </row>
    <row r="1546" spans="1:11" x14ac:dyDescent="0.25">
      <c r="A1546" s="6">
        <v>4285095</v>
      </c>
      <c r="B1546" t="str">
        <f t="shared" si="96"/>
        <v>stacjonarny</v>
      </c>
      <c r="C1546">
        <f t="shared" si="97"/>
        <v>0</v>
      </c>
      <c r="D1546">
        <f t="shared" si="98"/>
        <v>0</v>
      </c>
      <c r="E1546" s="1">
        <v>42940</v>
      </c>
      <c r="F1546" s="2">
        <v>0.41351851851851851</v>
      </c>
      <c r="G1546" s="2">
        <v>0.41790509259259262</v>
      </c>
      <c r="H1546" s="2">
        <f t="shared" si="99"/>
        <v>4.3865740740741122E-3</v>
      </c>
      <c r="K1546" s="1"/>
    </row>
    <row r="1547" spans="1:11" x14ac:dyDescent="0.25">
      <c r="A1547" s="6">
        <v>2585298</v>
      </c>
      <c r="B1547" t="str">
        <f t="shared" si="96"/>
        <v>stacjonarny</v>
      </c>
      <c r="C1547">
        <f t="shared" si="97"/>
        <v>0</v>
      </c>
      <c r="D1547">
        <f t="shared" si="98"/>
        <v>0</v>
      </c>
      <c r="E1547" s="1">
        <v>42940</v>
      </c>
      <c r="F1547" s="2">
        <v>0.41853009259259261</v>
      </c>
      <c r="G1547" s="2">
        <v>0.42252314814814818</v>
      </c>
      <c r="H1547" s="2">
        <f t="shared" si="99"/>
        <v>3.9930555555555691E-3</v>
      </c>
      <c r="K1547" s="1"/>
    </row>
    <row r="1548" spans="1:11" x14ac:dyDescent="0.25">
      <c r="A1548" s="6">
        <v>2947035</v>
      </c>
      <c r="B1548" t="str">
        <f t="shared" si="96"/>
        <v>stacjonarny</v>
      </c>
      <c r="C1548">
        <f t="shared" si="97"/>
        <v>0</v>
      </c>
      <c r="D1548">
        <f t="shared" si="98"/>
        <v>0</v>
      </c>
      <c r="E1548" s="1">
        <v>42940</v>
      </c>
      <c r="F1548" s="2">
        <v>0.42241898148148149</v>
      </c>
      <c r="G1548" s="2">
        <v>0.42863425925925924</v>
      </c>
      <c r="H1548" s="2">
        <f t="shared" si="99"/>
        <v>6.2152777777777501E-3</v>
      </c>
      <c r="K1548" s="1"/>
    </row>
    <row r="1549" spans="1:11" x14ac:dyDescent="0.25">
      <c r="A1549" s="6">
        <v>6615729</v>
      </c>
      <c r="B1549" t="str">
        <f t="shared" si="96"/>
        <v>stacjonarny</v>
      </c>
      <c r="C1549">
        <f t="shared" si="97"/>
        <v>0</v>
      </c>
      <c r="D1549">
        <f t="shared" si="98"/>
        <v>0</v>
      </c>
      <c r="E1549" s="1">
        <v>42940</v>
      </c>
      <c r="F1549" s="2">
        <v>0.42561342592592594</v>
      </c>
      <c r="G1549" s="2">
        <v>0.42799768518518516</v>
      </c>
      <c r="H1549" s="2">
        <f t="shared" si="99"/>
        <v>2.3842592592592249E-3</v>
      </c>
      <c r="K1549" s="1"/>
    </row>
    <row r="1550" spans="1:11" x14ac:dyDescent="0.25">
      <c r="A1550" s="6">
        <v>2135609</v>
      </c>
      <c r="B1550" t="str">
        <f t="shared" si="96"/>
        <v>stacjonarny</v>
      </c>
      <c r="C1550">
        <f t="shared" si="97"/>
        <v>0</v>
      </c>
      <c r="D1550">
        <f t="shared" si="98"/>
        <v>0</v>
      </c>
      <c r="E1550" s="1">
        <v>42940</v>
      </c>
      <c r="F1550" s="2">
        <v>0.42563657407407407</v>
      </c>
      <c r="G1550" s="2">
        <v>0.42670138888888887</v>
      </c>
      <c r="H1550" s="2">
        <f t="shared" si="99"/>
        <v>1.0648148148147962E-3</v>
      </c>
      <c r="K1550" s="1"/>
    </row>
    <row r="1551" spans="1:11" x14ac:dyDescent="0.25">
      <c r="A1551" s="6">
        <v>2697566</v>
      </c>
      <c r="B1551" t="str">
        <f t="shared" si="96"/>
        <v>stacjonarny</v>
      </c>
      <c r="C1551">
        <f t="shared" si="97"/>
        <v>0</v>
      </c>
      <c r="D1551">
        <f t="shared" si="98"/>
        <v>0</v>
      </c>
      <c r="E1551" s="1">
        <v>42940</v>
      </c>
      <c r="F1551" s="2">
        <v>0.42951388888888886</v>
      </c>
      <c r="G1551" s="2">
        <v>0.44059027777777776</v>
      </c>
      <c r="H1551" s="2">
        <f t="shared" si="99"/>
        <v>1.1076388888888899E-2</v>
      </c>
      <c r="K1551" s="1"/>
    </row>
    <row r="1552" spans="1:11" x14ac:dyDescent="0.25">
      <c r="A1552" s="6">
        <v>2569721</v>
      </c>
      <c r="B1552" t="str">
        <f t="shared" si="96"/>
        <v>stacjonarny</v>
      </c>
      <c r="C1552">
        <f t="shared" si="97"/>
        <v>0</v>
      </c>
      <c r="D1552">
        <f t="shared" si="98"/>
        <v>0</v>
      </c>
      <c r="E1552" s="1">
        <v>42940</v>
      </c>
      <c r="F1552" s="2">
        <v>0.43133101851851852</v>
      </c>
      <c r="G1552" s="2">
        <v>0.43762731481481482</v>
      </c>
      <c r="H1552" s="2">
        <f t="shared" si="99"/>
        <v>6.2962962962962998E-3</v>
      </c>
      <c r="K1552" s="1"/>
    </row>
    <row r="1553" spans="1:11" x14ac:dyDescent="0.25">
      <c r="A1553" s="6">
        <v>96375379</v>
      </c>
      <c r="B1553" t="str">
        <f t="shared" si="96"/>
        <v>komorkowy</v>
      </c>
      <c r="C1553">
        <f t="shared" si="97"/>
        <v>0</v>
      </c>
      <c r="D1553">
        <f t="shared" si="98"/>
        <v>0</v>
      </c>
      <c r="E1553" s="1">
        <v>42940</v>
      </c>
      <c r="F1553" s="2">
        <v>0.43637731481481479</v>
      </c>
      <c r="G1553" s="2">
        <v>0.44526620370370368</v>
      </c>
      <c r="H1553" s="2">
        <f t="shared" si="99"/>
        <v>8.8888888888888906E-3</v>
      </c>
      <c r="K1553" s="1"/>
    </row>
    <row r="1554" spans="1:11" x14ac:dyDescent="0.25">
      <c r="A1554" s="6">
        <v>3968528766</v>
      </c>
      <c r="B1554" t="str">
        <f t="shared" si="96"/>
        <v>zagraniczny</v>
      </c>
      <c r="C1554">
        <f t="shared" si="97"/>
        <v>0</v>
      </c>
      <c r="D1554">
        <f t="shared" si="98"/>
        <v>0</v>
      </c>
      <c r="E1554" s="1">
        <v>42940</v>
      </c>
      <c r="F1554" s="2">
        <v>0.44081018518518517</v>
      </c>
      <c r="G1554" s="2">
        <v>0.44767361111111109</v>
      </c>
      <c r="H1554" s="2">
        <f t="shared" si="99"/>
        <v>6.8634259259259256E-3</v>
      </c>
      <c r="K1554" s="1"/>
    </row>
    <row r="1555" spans="1:11" x14ac:dyDescent="0.25">
      <c r="A1555" s="6">
        <v>8133585</v>
      </c>
      <c r="B1555" t="str">
        <f t="shared" si="96"/>
        <v>stacjonarny</v>
      </c>
      <c r="C1555">
        <f t="shared" si="97"/>
        <v>0</v>
      </c>
      <c r="D1555">
        <f t="shared" si="98"/>
        <v>0</v>
      </c>
      <c r="E1555" s="1">
        <v>42940</v>
      </c>
      <c r="F1555" s="2">
        <v>0.44185185185185183</v>
      </c>
      <c r="G1555" s="2">
        <v>0.44634259259259257</v>
      </c>
      <c r="H1555" s="2">
        <f t="shared" si="99"/>
        <v>4.4907407407407396E-3</v>
      </c>
      <c r="K1555" s="1"/>
    </row>
    <row r="1556" spans="1:11" x14ac:dyDescent="0.25">
      <c r="A1556" s="6">
        <v>45232967</v>
      </c>
      <c r="B1556" t="str">
        <f t="shared" si="96"/>
        <v>komorkowy</v>
      </c>
      <c r="C1556">
        <f t="shared" si="97"/>
        <v>0</v>
      </c>
      <c r="D1556">
        <f t="shared" si="98"/>
        <v>0</v>
      </c>
      <c r="E1556" s="1">
        <v>42940</v>
      </c>
      <c r="F1556" s="2">
        <v>0.4462962962962963</v>
      </c>
      <c r="G1556" s="2">
        <v>0.44753472222222224</v>
      </c>
      <c r="H1556" s="2">
        <f t="shared" si="99"/>
        <v>1.2384259259259345E-3</v>
      </c>
      <c r="K1556" s="1"/>
    </row>
    <row r="1557" spans="1:11" x14ac:dyDescent="0.25">
      <c r="A1557" s="6">
        <v>8900603</v>
      </c>
      <c r="B1557" t="str">
        <f t="shared" si="96"/>
        <v>stacjonarny</v>
      </c>
      <c r="C1557">
        <f t="shared" si="97"/>
        <v>0</v>
      </c>
      <c r="D1557">
        <f t="shared" si="98"/>
        <v>0</v>
      </c>
      <c r="E1557" s="1">
        <v>42940</v>
      </c>
      <c r="F1557" s="2">
        <v>0.44680555555555557</v>
      </c>
      <c r="G1557" s="2">
        <v>0.45518518518518519</v>
      </c>
      <c r="H1557" s="2">
        <f t="shared" si="99"/>
        <v>8.3796296296296258E-3</v>
      </c>
      <c r="K1557" s="1"/>
    </row>
    <row r="1558" spans="1:11" x14ac:dyDescent="0.25">
      <c r="A1558" s="6">
        <v>9413315</v>
      </c>
      <c r="B1558" t="str">
        <f t="shared" si="96"/>
        <v>stacjonarny</v>
      </c>
      <c r="C1558">
        <f t="shared" si="97"/>
        <v>0</v>
      </c>
      <c r="D1558">
        <f t="shared" si="98"/>
        <v>0</v>
      </c>
      <c r="E1558" s="1">
        <v>42940</v>
      </c>
      <c r="F1558" s="2">
        <v>0.4490277777777778</v>
      </c>
      <c r="G1558" s="2">
        <v>0.45984953703703701</v>
      </c>
      <c r="H1558" s="2">
        <f t="shared" si="99"/>
        <v>1.0821759259259212E-2</v>
      </c>
      <c r="K1558" s="1"/>
    </row>
    <row r="1559" spans="1:11" x14ac:dyDescent="0.25">
      <c r="A1559" s="6">
        <v>9781981</v>
      </c>
      <c r="B1559" t="str">
        <f t="shared" si="96"/>
        <v>stacjonarny</v>
      </c>
      <c r="C1559">
        <f t="shared" si="97"/>
        <v>0</v>
      </c>
      <c r="D1559">
        <f t="shared" si="98"/>
        <v>0</v>
      </c>
      <c r="E1559" s="1">
        <v>42940</v>
      </c>
      <c r="F1559" s="2">
        <v>0.45392361111111112</v>
      </c>
      <c r="G1559" s="2">
        <v>0.4582060185185185</v>
      </c>
      <c r="H1559" s="2">
        <f t="shared" si="99"/>
        <v>4.2824074074073737E-3</v>
      </c>
      <c r="K1559" s="1"/>
    </row>
    <row r="1560" spans="1:11" x14ac:dyDescent="0.25">
      <c r="A1560" s="6">
        <v>9527543</v>
      </c>
      <c r="B1560" t="str">
        <f t="shared" si="96"/>
        <v>stacjonarny</v>
      </c>
      <c r="C1560">
        <f t="shared" si="97"/>
        <v>0</v>
      </c>
      <c r="D1560">
        <f t="shared" si="98"/>
        <v>0</v>
      </c>
      <c r="E1560" s="1">
        <v>42940</v>
      </c>
      <c r="F1560" s="2">
        <v>0.45481481481481484</v>
      </c>
      <c r="G1560" s="2">
        <v>0.45863425925925927</v>
      </c>
      <c r="H1560" s="2">
        <f t="shared" si="99"/>
        <v>3.8194444444444309E-3</v>
      </c>
      <c r="K1560" s="1"/>
    </row>
    <row r="1561" spans="1:11" x14ac:dyDescent="0.25">
      <c r="A1561" s="6">
        <v>91626903</v>
      </c>
      <c r="B1561" t="str">
        <f t="shared" si="96"/>
        <v>komorkowy</v>
      </c>
      <c r="C1561">
        <f t="shared" si="97"/>
        <v>0</v>
      </c>
      <c r="D1561">
        <f t="shared" si="98"/>
        <v>0</v>
      </c>
      <c r="E1561" s="1">
        <v>42940</v>
      </c>
      <c r="F1561" s="2">
        <v>0.45930555555555558</v>
      </c>
      <c r="G1561" s="2">
        <v>0.46885416666666668</v>
      </c>
      <c r="H1561" s="2">
        <f t="shared" si="99"/>
        <v>9.5486111111111049E-3</v>
      </c>
      <c r="K1561" s="1"/>
    </row>
    <row r="1562" spans="1:11" x14ac:dyDescent="0.25">
      <c r="A1562" s="6">
        <v>1475008</v>
      </c>
      <c r="B1562" t="str">
        <f t="shared" si="96"/>
        <v>stacjonarny</v>
      </c>
      <c r="C1562">
        <f t="shared" si="97"/>
        <v>0</v>
      </c>
      <c r="D1562">
        <f t="shared" si="98"/>
        <v>0</v>
      </c>
      <c r="E1562" s="1">
        <v>42940</v>
      </c>
      <c r="F1562" s="2">
        <v>0.46489583333333334</v>
      </c>
      <c r="G1562" s="2">
        <v>0.47530092592592593</v>
      </c>
      <c r="H1562" s="2">
        <f t="shared" si="99"/>
        <v>1.0405092592592591E-2</v>
      </c>
      <c r="K1562" s="1"/>
    </row>
    <row r="1563" spans="1:11" x14ac:dyDescent="0.25">
      <c r="A1563" s="6">
        <v>4767842</v>
      </c>
      <c r="B1563" t="str">
        <f t="shared" si="96"/>
        <v>stacjonarny</v>
      </c>
      <c r="C1563">
        <f t="shared" si="97"/>
        <v>0</v>
      </c>
      <c r="D1563">
        <f t="shared" si="98"/>
        <v>0</v>
      </c>
      <c r="E1563" s="1">
        <v>42940</v>
      </c>
      <c r="F1563" s="2">
        <v>0.46971064814814817</v>
      </c>
      <c r="G1563" s="2">
        <v>0.47116898148148151</v>
      </c>
      <c r="H1563" s="2">
        <f t="shared" si="99"/>
        <v>1.4583333333333393E-3</v>
      </c>
      <c r="K1563" s="1"/>
    </row>
    <row r="1564" spans="1:11" x14ac:dyDescent="0.25">
      <c r="A1564" s="6">
        <v>64586869</v>
      </c>
      <c r="B1564" t="str">
        <f t="shared" si="96"/>
        <v>komorkowy</v>
      </c>
      <c r="C1564">
        <f t="shared" si="97"/>
        <v>0</v>
      </c>
      <c r="D1564">
        <f t="shared" si="98"/>
        <v>0</v>
      </c>
      <c r="E1564" s="1">
        <v>42940</v>
      </c>
      <c r="F1564" s="2">
        <v>0.47188657407407408</v>
      </c>
      <c r="G1564" s="2">
        <v>0.47260416666666666</v>
      </c>
      <c r="H1564" s="2">
        <f t="shared" si="99"/>
        <v>7.1759259259257524E-4</v>
      </c>
      <c r="K1564" s="1"/>
    </row>
    <row r="1565" spans="1:11" x14ac:dyDescent="0.25">
      <c r="A1565" s="6">
        <v>7066389</v>
      </c>
      <c r="B1565" t="str">
        <f t="shared" si="96"/>
        <v>stacjonarny</v>
      </c>
      <c r="C1565">
        <f t="shared" si="97"/>
        <v>0</v>
      </c>
      <c r="D1565">
        <f t="shared" si="98"/>
        <v>0</v>
      </c>
      <c r="E1565" s="1">
        <v>42940</v>
      </c>
      <c r="F1565" s="2">
        <v>0.47590277777777779</v>
      </c>
      <c r="G1565" s="2">
        <v>0.47621527777777778</v>
      </c>
      <c r="H1565" s="2">
        <f t="shared" si="99"/>
        <v>3.1249999999999334E-4</v>
      </c>
      <c r="K1565" s="1"/>
    </row>
    <row r="1566" spans="1:11" x14ac:dyDescent="0.25">
      <c r="A1566" s="6">
        <v>28791070</v>
      </c>
      <c r="B1566" t="str">
        <f t="shared" si="96"/>
        <v>komorkowy</v>
      </c>
      <c r="C1566">
        <f t="shared" si="97"/>
        <v>0</v>
      </c>
      <c r="D1566">
        <f t="shared" si="98"/>
        <v>0</v>
      </c>
      <c r="E1566" s="1">
        <v>42940</v>
      </c>
      <c r="F1566" s="2">
        <v>0.48082175925925924</v>
      </c>
      <c r="G1566" s="2">
        <v>0.49135416666666665</v>
      </c>
      <c r="H1566" s="2">
        <f t="shared" si="99"/>
        <v>1.0532407407407407E-2</v>
      </c>
      <c r="K1566" s="1"/>
    </row>
    <row r="1567" spans="1:11" x14ac:dyDescent="0.25">
      <c r="A1567" s="6">
        <v>5094248</v>
      </c>
      <c r="B1567" t="str">
        <f t="shared" si="96"/>
        <v>stacjonarny</v>
      </c>
      <c r="C1567">
        <f t="shared" si="97"/>
        <v>0</v>
      </c>
      <c r="D1567">
        <f t="shared" si="98"/>
        <v>0</v>
      </c>
      <c r="E1567" s="1">
        <v>42940</v>
      </c>
      <c r="F1567" s="2">
        <v>0.48358796296296297</v>
      </c>
      <c r="G1567" s="2">
        <v>0.48965277777777777</v>
      </c>
      <c r="H1567" s="2">
        <f t="shared" si="99"/>
        <v>6.0648148148148007E-3</v>
      </c>
      <c r="K1567" s="1"/>
    </row>
    <row r="1568" spans="1:11" x14ac:dyDescent="0.25">
      <c r="A1568" s="6">
        <v>44882393</v>
      </c>
      <c r="B1568" t="str">
        <f t="shared" si="96"/>
        <v>komorkowy</v>
      </c>
      <c r="C1568">
        <f t="shared" si="97"/>
        <v>0</v>
      </c>
      <c r="D1568">
        <f t="shared" si="98"/>
        <v>0</v>
      </c>
      <c r="E1568" s="1">
        <v>42940</v>
      </c>
      <c r="F1568" s="2">
        <v>0.4866550925925926</v>
      </c>
      <c r="G1568" s="2">
        <v>0.49528935185185186</v>
      </c>
      <c r="H1568" s="2">
        <f t="shared" si="99"/>
        <v>8.6342592592592582E-3</v>
      </c>
      <c r="K1568" s="1"/>
    </row>
    <row r="1569" spans="1:11" x14ac:dyDescent="0.25">
      <c r="A1569" s="6">
        <v>29391132</v>
      </c>
      <c r="B1569" t="str">
        <f t="shared" si="96"/>
        <v>komorkowy</v>
      </c>
      <c r="C1569">
        <f t="shared" si="97"/>
        <v>0</v>
      </c>
      <c r="D1569">
        <f t="shared" si="98"/>
        <v>0</v>
      </c>
      <c r="E1569" s="1">
        <v>42940</v>
      </c>
      <c r="F1569" s="2">
        <v>0.48770833333333335</v>
      </c>
      <c r="G1569" s="2">
        <v>0.49613425925925925</v>
      </c>
      <c r="H1569" s="2">
        <f t="shared" si="99"/>
        <v>8.4259259259258923E-3</v>
      </c>
      <c r="K1569" s="1"/>
    </row>
    <row r="1570" spans="1:11" x14ac:dyDescent="0.25">
      <c r="A1570" s="6">
        <v>9892639</v>
      </c>
      <c r="B1570" t="str">
        <f t="shared" si="96"/>
        <v>stacjonarny</v>
      </c>
      <c r="C1570">
        <f t="shared" si="97"/>
        <v>0</v>
      </c>
      <c r="D1570">
        <f t="shared" si="98"/>
        <v>0</v>
      </c>
      <c r="E1570" s="1">
        <v>42940</v>
      </c>
      <c r="F1570" s="2">
        <v>0.48836805555555557</v>
      </c>
      <c r="G1570" s="2">
        <v>0.48893518518518519</v>
      </c>
      <c r="H1570" s="2">
        <f t="shared" si="99"/>
        <v>5.6712962962962576E-4</v>
      </c>
      <c r="K1570" s="1"/>
    </row>
    <row r="1571" spans="1:11" x14ac:dyDescent="0.25">
      <c r="A1571" s="6">
        <v>3979295</v>
      </c>
      <c r="B1571" t="str">
        <f t="shared" si="96"/>
        <v>stacjonarny</v>
      </c>
      <c r="C1571">
        <f t="shared" si="97"/>
        <v>0</v>
      </c>
      <c r="D1571">
        <f t="shared" si="98"/>
        <v>0</v>
      </c>
      <c r="E1571" s="1">
        <v>42940</v>
      </c>
      <c r="F1571" s="2">
        <v>0.49062499999999998</v>
      </c>
      <c r="G1571" s="2">
        <v>0.49767361111111114</v>
      </c>
      <c r="H1571" s="2">
        <f t="shared" si="99"/>
        <v>7.0486111111111582E-3</v>
      </c>
      <c r="K1571" s="1"/>
    </row>
    <row r="1572" spans="1:11" x14ac:dyDescent="0.25">
      <c r="A1572" s="6">
        <v>8471219</v>
      </c>
      <c r="B1572" t="str">
        <f t="shared" si="96"/>
        <v>stacjonarny</v>
      </c>
      <c r="C1572">
        <f t="shared" si="97"/>
        <v>0</v>
      </c>
      <c r="D1572">
        <f t="shared" si="98"/>
        <v>0</v>
      </c>
      <c r="E1572" s="1">
        <v>42940</v>
      </c>
      <c r="F1572" s="2">
        <v>0.49229166666666668</v>
      </c>
      <c r="G1572" s="2">
        <v>0.49554398148148149</v>
      </c>
      <c r="H1572" s="2">
        <f t="shared" si="99"/>
        <v>3.2523148148148051E-3</v>
      </c>
      <c r="K1572" s="1"/>
    </row>
    <row r="1573" spans="1:11" x14ac:dyDescent="0.25">
      <c r="A1573" s="6">
        <v>5631380</v>
      </c>
      <c r="B1573" t="str">
        <f t="shared" si="96"/>
        <v>stacjonarny</v>
      </c>
      <c r="C1573">
        <f t="shared" si="97"/>
        <v>0</v>
      </c>
      <c r="D1573">
        <f t="shared" si="98"/>
        <v>0</v>
      </c>
      <c r="E1573" s="1">
        <v>42940</v>
      </c>
      <c r="F1573" s="2">
        <v>0.49274305555555553</v>
      </c>
      <c r="G1573" s="2">
        <v>0.50315972222222227</v>
      </c>
      <c r="H1573" s="2">
        <f t="shared" si="99"/>
        <v>1.0416666666666741E-2</v>
      </c>
      <c r="K1573" s="1"/>
    </row>
    <row r="1574" spans="1:11" x14ac:dyDescent="0.25">
      <c r="A1574" s="6">
        <v>6309138</v>
      </c>
      <c r="B1574" t="str">
        <f t="shared" si="96"/>
        <v>stacjonarny</v>
      </c>
      <c r="C1574">
        <f t="shared" si="97"/>
        <v>0</v>
      </c>
      <c r="D1574">
        <f t="shared" si="98"/>
        <v>0</v>
      </c>
      <c r="E1574" s="1">
        <v>42940</v>
      </c>
      <c r="F1574" s="2">
        <v>0.49416666666666664</v>
      </c>
      <c r="G1574" s="2">
        <v>0.49465277777777777</v>
      </c>
      <c r="H1574" s="2">
        <f t="shared" si="99"/>
        <v>4.8611111111113159E-4</v>
      </c>
      <c r="K1574" s="1"/>
    </row>
    <row r="1575" spans="1:11" x14ac:dyDescent="0.25">
      <c r="A1575" s="6">
        <v>72287838</v>
      </c>
      <c r="B1575" t="str">
        <f t="shared" si="96"/>
        <v>komorkowy</v>
      </c>
      <c r="C1575">
        <f t="shared" si="97"/>
        <v>0</v>
      </c>
      <c r="D1575">
        <f t="shared" si="98"/>
        <v>0</v>
      </c>
      <c r="E1575" s="1">
        <v>42940</v>
      </c>
      <c r="F1575" s="2">
        <v>0.49633101851851852</v>
      </c>
      <c r="G1575" s="2">
        <v>0.50209490740740736</v>
      </c>
      <c r="H1575" s="2">
        <f t="shared" si="99"/>
        <v>5.7638888888888462E-3</v>
      </c>
      <c r="K1575" s="1"/>
    </row>
    <row r="1576" spans="1:11" x14ac:dyDescent="0.25">
      <c r="A1576" s="6">
        <v>2515441</v>
      </c>
      <c r="B1576" t="str">
        <f t="shared" si="96"/>
        <v>stacjonarny</v>
      </c>
      <c r="C1576">
        <f t="shared" si="97"/>
        <v>0</v>
      </c>
      <c r="D1576">
        <f t="shared" si="98"/>
        <v>0</v>
      </c>
      <c r="E1576" s="1">
        <v>42940</v>
      </c>
      <c r="F1576" s="2">
        <v>0.49857638888888889</v>
      </c>
      <c r="G1576" s="2">
        <v>0.50195601851851857</v>
      </c>
      <c r="H1576" s="2">
        <f t="shared" si="99"/>
        <v>3.3796296296296768E-3</v>
      </c>
      <c r="K1576" s="1"/>
    </row>
    <row r="1577" spans="1:11" x14ac:dyDescent="0.25">
      <c r="A1577" s="6">
        <v>8056387</v>
      </c>
      <c r="B1577" t="str">
        <f t="shared" si="96"/>
        <v>stacjonarny</v>
      </c>
      <c r="C1577">
        <f t="shared" si="97"/>
        <v>0</v>
      </c>
      <c r="D1577">
        <f t="shared" si="98"/>
        <v>0</v>
      </c>
      <c r="E1577" s="1">
        <v>42940</v>
      </c>
      <c r="F1577" s="2">
        <v>0.50306712962962963</v>
      </c>
      <c r="G1577" s="2">
        <v>0.51333333333333331</v>
      </c>
      <c r="H1577" s="2">
        <f t="shared" si="99"/>
        <v>1.026620370370368E-2</v>
      </c>
      <c r="K1577" s="1"/>
    </row>
    <row r="1578" spans="1:11" x14ac:dyDescent="0.25">
      <c r="A1578" s="6">
        <v>5489867</v>
      </c>
      <c r="B1578" t="str">
        <f t="shared" si="96"/>
        <v>stacjonarny</v>
      </c>
      <c r="C1578">
        <f t="shared" si="97"/>
        <v>0</v>
      </c>
      <c r="D1578">
        <f t="shared" si="98"/>
        <v>0</v>
      </c>
      <c r="E1578" s="1">
        <v>42940</v>
      </c>
      <c r="F1578" s="2">
        <v>0.50583333333333336</v>
      </c>
      <c r="G1578" s="2">
        <v>0.51407407407407413</v>
      </c>
      <c r="H1578" s="2">
        <f t="shared" si="99"/>
        <v>8.2407407407407707E-3</v>
      </c>
      <c r="K1578" s="1"/>
    </row>
    <row r="1579" spans="1:11" x14ac:dyDescent="0.25">
      <c r="A1579" s="6">
        <v>5528648</v>
      </c>
      <c r="B1579" t="str">
        <f t="shared" si="96"/>
        <v>stacjonarny</v>
      </c>
      <c r="C1579">
        <f t="shared" si="97"/>
        <v>0</v>
      </c>
      <c r="D1579">
        <f t="shared" si="98"/>
        <v>0</v>
      </c>
      <c r="E1579" s="1">
        <v>42940</v>
      </c>
      <c r="F1579" s="2">
        <v>0.50611111111111107</v>
      </c>
      <c r="G1579" s="2">
        <v>0.51354166666666667</v>
      </c>
      <c r="H1579" s="2">
        <f t="shared" si="99"/>
        <v>7.4305555555556069E-3</v>
      </c>
      <c r="K1579" s="1"/>
    </row>
    <row r="1580" spans="1:11" x14ac:dyDescent="0.25">
      <c r="A1580" s="6">
        <v>4293872</v>
      </c>
      <c r="B1580" t="str">
        <f t="shared" si="96"/>
        <v>stacjonarny</v>
      </c>
      <c r="C1580">
        <f t="shared" si="97"/>
        <v>0</v>
      </c>
      <c r="D1580">
        <f t="shared" si="98"/>
        <v>0</v>
      </c>
      <c r="E1580" s="1">
        <v>42940</v>
      </c>
      <c r="F1580" s="2">
        <v>0.50714120370370375</v>
      </c>
      <c r="G1580" s="2">
        <v>0.51232638888888893</v>
      </c>
      <c r="H1580" s="2">
        <f t="shared" si="99"/>
        <v>5.1851851851851816E-3</v>
      </c>
      <c r="K1580" s="1"/>
    </row>
    <row r="1581" spans="1:11" x14ac:dyDescent="0.25">
      <c r="A1581" s="6">
        <v>99625946</v>
      </c>
      <c r="B1581" t="str">
        <f t="shared" si="96"/>
        <v>komorkowy</v>
      </c>
      <c r="C1581">
        <f t="shared" si="97"/>
        <v>0</v>
      </c>
      <c r="D1581">
        <f t="shared" si="98"/>
        <v>0</v>
      </c>
      <c r="E1581" s="1">
        <v>42940</v>
      </c>
      <c r="F1581" s="2">
        <v>0.51270833333333332</v>
      </c>
      <c r="G1581" s="2">
        <v>0.52407407407407403</v>
      </c>
      <c r="H1581" s="2">
        <f t="shared" si="99"/>
        <v>1.1365740740740704E-2</v>
      </c>
      <c r="K1581" s="1"/>
    </row>
    <row r="1582" spans="1:11" x14ac:dyDescent="0.25">
      <c r="A1582" s="6">
        <v>9827875</v>
      </c>
      <c r="B1582" t="str">
        <f t="shared" si="96"/>
        <v>stacjonarny</v>
      </c>
      <c r="C1582">
        <f t="shared" si="97"/>
        <v>0</v>
      </c>
      <c r="D1582">
        <f t="shared" si="98"/>
        <v>0</v>
      </c>
      <c r="E1582" s="1">
        <v>42940</v>
      </c>
      <c r="F1582" s="2">
        <v>0.51512731481481477</v>
      </c>
      <c r="G1582" s="2">
        <v>0.51954861111111106</v>
      </c>
      <c r="H1582" s="2">
        <f t="shared" si="99"/>
        <v>4.4212962962962843E-3</v>
      </c>
      <c r="K1582" s="1"/>
    </row>
    <row r="1583" spans="1:11" x14ac:dyDescent="0.25">
      <c r="A1583" s="6">
        <v>40120881</v>
      </c>
      <c r="B1583" t="str">
        <f t="shared" si="96"/>
        <v>komorkowy</v>
      </c>
      <c r="C1583">
        <f t="shared" si="97"/>
        <v>0</v>
      </c>
      <c r="D1583">
        <f t="shared" si="98"/>
        <v>0</v>
      </c>
      <c r="E1583" s="1">
        <v>42940</v>
      </c>
      <c r="F1583" s="2">
        <v>0.51746527777777773</v>
      </c>
      <c r="G1583" s="2">
        <v>0.52686342592592594</v>
      </c>
      <c r="H1583" s="2">
        <f t="shared" si="99"/>
        <v>9.398148148148211E-3</v>
      </c>
      <c r="K1583" s="1"/>
    </row>
    <row r="1584" spans="1:11" x14ac:dyDescent="0.25">
      <c r="A1584" s="6">
        <v>42373338</v>
      </c>
      <c r="B1584" t="str">
        <f t="shared" si="96"/>
        <v>komorkowy</v>
      </c>
      <c r="C1584">
        <f t="shared" si="97"/>
        <v>0</v>
      </c>
      <c r="D1584">
        <f t="shared" si="98"/>
        <v>0</v>
      </c>
      <c r="E1584" s="1">
        <v>42940</v>
      </c>
      <c r="F1584" s="2">
        <v>0.51962962962962966</v>
      </c>
      <c r="G1584" s="2">
        <v>0.53030092592592593</v>
      </c>
      <c r="H1584" s="2">
        <f t="shared" si="99"/>
        <v>1.0671296296296262E-2</v>
      </c>
      <c r="K1584" s="1"/>
    </row>
    <row r="1585" spans="1:11" x14ac:dyDescent="0.25">
      <c r="A1585" s="6">
        <v>39697250</v>
      </c>
      <c r="B1585" t="str">
        <f t="shared" si="96"/>
        <v>komorkowy</v>
      </c>
      <c r="C1585">
        <f t="shared" si="97"/>
        <v>0</v>
      </c>
      <c r="D1585">
        <f t="shared" si="98"/>
        <v>0</v>
      </c>
      <c r="E1585" s="1">
        <v>42940</v>
      </c>
      <c r="F1585" s="2">
        <v>0.52520833333333339</v>
      </c>
      <c r="G1585" s="2">
        <v>0.52866898148148145</v>
      </c>
      <c r="H1585" s="2">
        <f t="shared" si="99"/>
        <v>3.46064814814806E-3</v>
      </c>
      <c r="K1585" s="1"/>
    </row>
    <row r="1586" spans="1:11" x14ac:dyDescent="0.25">
      <c r="A1586" s="6">
        <v>55464931</v>
      </c>
      <c r="B1586" t="str">
        <f t="shared" si="96"/>
        <v>komorkowy</v>
      </c>
      <c r="C1586">
        <f t="shared" si="97"/>
        <v>0</v>
      </c>
      <c r="D1586">
        <f t="shared" si="98"/>
        <v>0</v>
      </c>
      <c r="E1586" s="1">
        <v>42940</v>
      </c>
      <c r="F1586" s="2">
        <v>0.5285185185185185</v>
      </c>
      <c r="G1586" s="2">
        <v>0.53349537037037043</v>
      </c>
      <c r="H1586" s="2">
        <f t="shared" si="99"/>
        <v>4.9768518518519267E-3</v>
      </c>
      <c r="K1586" s="1"/>
    </row>
    <row r="1587" spans="1:11" x14ac:dyDescent="0.25">
      <c r="A1587" s="6">
        <v>3616291</v>
      </c>
      <c r="B1587" t="str">
        <f t="shared" si="96"/>
        <v>stacjonarny</v>
      </c>
      <c r="C1587">
        <f t="shared" si="97"/>
        <v>0</v>
      </c>
      <c r="D1587">
        <f t="shared" si="98"/>
        <v>0</v>
      </c>
      <c r="E1587" s="1">
        <v>42940</v>
      </c>
      <c r="F1587" s="2">
        <v>0.53403935185185181</v>
      </c>
      <c r="G1587" s="2">
        <v>0.54538194444444443</v>
      </c>
      <c r="H1587" s="2">
        <f t="shared" si="99"/>
        <v>1.1342592592592626E-2</v>
      </c>
      <c r="K1587" s="1"/>
    </row>
    <row r="1588" spans="1:11" x14ac:dyDescent="0.25">
      <c r="A1588" s="6">
        <v>3473734</v>
      </c>
      <c r="B1588" t="str">
        <f t="shared" si="96"/>
        <v>stacjonarny</v>
      </c>
      <c r="C1588">
        <f t="shared" si="97"/>
        <v>0</v>
      </c>
      <c r="D1588">
        <f t="shared" si="98"/>
        <v>0</v>
      </c>
      <c r="E1588" s="1">
        <v>42940</v>
      </c>
      <c r="F1588" s="2">
        <v>0.53949074074074077</v>
      </c>
      <c r="G1588" s="2">
        <v>0.54844907407407406</v>
      </c>
      <c r="H1588" s="2">
        <f t="shared" si="99"/>
        <v>8.9583333333332904E-3</v>
      </c>
      <c r="K1588" s="1"/>
    </row>
    <row r="1589" spans="1:11" x14ac:dyDescent="0.25">
      <c r="A1589" s="6">
        <v>63492662</v>
      </c>
      <c r="B1589" t="str">
        <f t="shared" si="96"/>
        <v>komorkowy</v>
      </c>
      <c r="C1589">
        <f t="shared" si="97"/>
        <v>0</v>
      </c>
      <c r="D1589">
        <f t="shared" si="98"/>
        <v>0</v>
      </c>
      <c r="E1589" s="1">
        <v>42940</v>
      </c>
      <c r="F1589" s="2">
        <v>0.54060185185185183</v>
      </c>
      <c r="G1589" s="2">
        <v>0.54240740740740745</v>
      </c>
      <c r="H1589" s="2">
        <f t="shared" si="99"/>
        <v>1.8055555555556158E-3</v>
      </c>
      <c r="K1589" s="1"/>
    </row>
    <row r="1590" spans="1:11" x14ac:dyDescent="0.25">
      <c r="A1590" s="6">
        <v>2104331</v>
      </c>
      <c r="B1590" t="str">
        <f t="shared" si="96"/>
        <v>stacjonarny</v>
      </c>
      <c r="C1590">
        <f t="shared" si="97"/>
        <v>0</v>
      </c>
      <c r="D1590">
        <f t="shared" si="98"/>
        <v>0</v>
      </c>
      <c r="E1590" s="1">
        <v>42940</v>
      </c>
      <c r="F1590" s="2">
        <v>0.54410879629629627</v>
      </c>
      <c r="G1590" s="2">
        <v>0.55207175925925922</v>
      </c>
      <c r="H1590" s="2">
        <f t="shared" si="99"/>
        <v>7.9629629629629495E-3</v>
      </c>
      <c r="K1590" s="1"/>
    </row>
    <row r="1591" spans="1:11" x14ac:dyDescent="0.25">
      <c r="A1591" s="6">
        <v>9555643</v>
      </c>
      <c r="B1591" t="str">
        <f t="shared" si="96"/>
        <v>stacjonarny</v>
      </c>
      <c r="C1591">
        <f t="shared" si="97"/>
        <v>0</v>
      </c>
      <c r="D1591">
        <f t="shared" si="98"/>
        <v>0</v>
      </c>
      <c r="E1591" s="1">
        <v>42940</v>
      </c>
      <c r="F1591" s="2">
        <v>0.54478009259259264</v>
      </c>
      <c r="G1591" s="2">
        <v>0.55106481481481484</v>
      </c>
      <c r="H1591" s="2">
        <f t="shared" si="99"/>
        <v>6.2847222222222054E-3</v>
      </c>
      <c r="K1591" s="1"/>
    </row>
    <row r="1592" spans="1:11" x14ac:dyDescent="0.25">
      <c r="A1592" s="6">
        <v>5220235</v>
      </c>
      <c r="B1592" t="str">
        <f t="shared" si="96"/>
        <v>stacjonarny</v>
      </c>
      <c r="C1592">
        <f t="shared" si="97"/>
        <v>0</v>
      </c>
      <c r="D1592">
        <f t="shared" si="98"/>
        <v>0</v>
      </c>
      <c r="E1592" s="1">
        <v>42940</v>
      </c>
      <c r="F1592" s="2">
        <v>0.54741898148148149</v>
      </c>
      <c r="G1592" s="2">
        <v>0.54915509259259254</v>
      </c>
      <c r="H1592" s="2">
        <f t="shared" si="99"/>
        <v>1.7361111111110494E-3</v>
      </c>
      <c r="K1592" s="1"/>
    </row>
    <row r="1593" spans="1:11" x14ac:dyDescent="0.25">
      <c r="A1593" s="6">
        <v>26254490</v>
      </c>
      <c r="B1593" t="str">
        <f t="shared" si="96"/>
        <v>komorkowy</v>
      </c>
      <c r="C1593">
        <f t="shared" si="97"/>
        <v>0</v>
      </c>
      <c r="D1593">
        <f t="shared" si="98"/>
        <v>0</v>
      </c>
      <c r="E1593" s="1">
        <v>42940</v>
      </c>
      <c r="F1593" s="2">
        <v>0.54773148148148143</v>
      </c>
      <c r="G1593" s="2">
        <v>0.55074074074074075</v>
      </c>
      <c r="H1593" s="2">
        <f t="shared" si="99"/>
        <v>3.0092592592593226E-3</v>
      </c>
      <c r="K1593" s="1"/>
    </row>
    <row r="1594" spans="1:11" x14ac:dyDescent="0.25">
      <c r="A1594" s="6">
        <v>26463662</v>
      </c>
      <c r="B1594" t="str">
        <f t="shared" si="96"/>
        <v>komorkowy</v>
      </c>
      <c r="C1594">
        <f t="shared" si="97"/>
        <v>0</v>
      </c>
      <c r="D1594">
        <f t="shared" si="98"/>
        <v>0</v>
      </c>
      <c r="E1594" s="1">
        <v>42940</v>
      </c>
      <c r="F1594" s="2">
        <v>0.55153935185185188</v>
      </c>
      <c r="G1594" s="2">
        <v>0.56090277777777775</v>
      </c>
      <c r="H1594" s="2">
        <f t="shared" si="99"/>
        <v>9.3634259259258723E-3</v>
      </c>
      <c r="K1594" s="1"/>
    </row>
    <row r="1595" spans="1:11" x14ac:dyDescent="0.25">
      <c r="A1595" s="6">
        <v>2853860</v>
      </c>
      <c r="B1595" t="str">
        <f t="shared" si="96"/>
        <v>stacjonarny</v>
      </c>
      <c r="C1595">
        <f t="shared" si="97"/>
        <v>0</v>
      </c>
      <c r="D1595">
        <f t="shared" si="98"/>
        <v>0</v>
      </c>
      <c r="E1595" s="1">
        <v>42940</v>
      </c>
      <c r="F1595" s="2">
        <v>0.55491898148148144</v>
      </c>
      <c r="G1595" s="2">
        <v>0.55787037037037035</v>
      </c>
      <c r="H1595" s="2">
        <f t="shared" si="99"/>
        <v>2.9513888888889062E-3</v>
      </c>
      <c r="K1595" s="1"/>
    </row>
    <row r="1596" spans="1:11" x14ac:dyDescent="0.25">
      <c r="A1596" s="6">
        <v>1829028</v>
      </c>
      <c r="B1596" t="str">
        <f t="shared" si="96"/>
        <v>stacjonarny</v>
      </c>
      <c r="C1596">
        <f t="shared" si="97"/>
        <v>0</v>
      </c>
      <c r="D1596">
        <f t="shared" si="98"/>
        <v>0</v>
      </c>
      <c r="E1596" s="1">
        <v>42940</v>
      </c>
      <c r="F1596" s="2">
        <v>0.5602893518518518</v>
      </c>
      <c r="G1596" s="2">
        <v>0.57128472222222226</v>
      </c>
      <c r="H1596" s="2">
        <f t="shared" si="99"/>
        <v>1.0995370370370461E-2</v>
      </c>
      <c r="K1596" s="1"/>
    </row>
    <row r="1597" spans="1:11" x14ac:dyDescent="0.25">
      <c r="A1597" s="6">
        <v>1365581</v>
      </c>
      <c r="B1597" t="str">
        <f t="shared" si="96"/>
        <v>stacjonarny</v>
      </c>
      <c r="C1597">
        <f t="shared" si="97"/>
        <v>0</v>
      </c>
      <c r="D1597">
        <f t="shared" si="98"/>
        <v>0</v>
      </c>
      <c r="E1597" s="1">
        <v>42940</v>
      </c>
      <c r="F1597" s="2">
        <v>0.56196759259259255</v>
      </c>
      <c r="G1597" s="2">
        <v>0.57019675925925928</v>
      </c>
      <c r="H1597" s="2">
        <f t="shared" si="99"/>
        <v>8.2291666666667318E-3</v>
      </c>
      <c r="K1597" s="1"/>
    </row>
    <row r="1598" spans="1:11" x14ac:dyDescent="0.25">
      <c r="A1598" s="6">
        <v>66800387</v>
      </c>
      <c r="B1598" t="str">
        <f t="shared" si="96"/>
        <v>komorkowy</v>
      </c>
      <c r="C1598">
        <f t="shared" si="97"/>
        <v>0</v>
      </c>
      <c r="D1598">
        <f t="shared" si="98"/>
        <v>0</v>
      </c>
      <c r="E1598" s="1">
        <v>42940</v>
      </c>
      <c r="F1598" s="2">
        <v>0.5634837962962963</v>
      </c>
      <c r="G1598" s="2">
        <v>0.56763888888888892</v>
      </c>
      <c r="H1598" s="2">
        <f t="shared" si="99"/>
        <v>4.155092592592613E-3</v>
      </c>
      <c r="K1598" s="1"/>
    </row>
    <row r="1599" spans="1:11" x14ac:dyDescent="0.25">
      <c r="A1599" s="6">
        <v>9282666</v>
      </c>
      <c r="B1599" t="str">
        <f t="shared" si="96"/>
        <v>stacjonarny</v>
      </c>
      <c r="C1599">
        <f t="shared" si="97"/>
        <v>0</v>
      </c>
      <c r="D1599">
        <f t="shared" si="98"/>
        <v>0</v>
      </c>
      <c r="E1599" s="1">
        <v>42940</v>
      </c>
      <c r="F1599" s="2">
        <v>0.56879629629629624</v>
      </c>
      <c r="G1599" s="2">
        <v>0.56934027777777774</v>
      </c>
      <c r="H1599" s="2">
        <f t="shared" si="99"/>
        <v>5.439814814814925E-4</v>
      </c>
      <c r="K1599" s="1"/>
    </row>
    <row r="1600" spans="1:11" x14ac:dyDescent="0.25">
      <c r="A1600" s="6">
        <v>7994769</v>
      </c>
      <c r="B1600" t="str">
        <f t="shared" si="96"/>
        <v>stacjonarny</v>
      </c>
      <c r="C1600">
        <f t="shared" si="97"/>
        <v>0</v>
      </c>
      <c r="D1600">
        <f t="shared" si="98"/>
        <v>0</v>
      </c>
      <c r="E1600" s="1">
        <v>42940</v>
      </c>
      <c r="F1600" s="2">
        <v>0.56980324074074074</v>
      </c>
      <c r="G1600" s="2">
        <v>0.57826388888888891</v>
      </c>
      <c r="H1600" s="2">
        <f t="shared" si="99"/>
        <v>8.4606481481481755E-3</v>
      </c>
      <c r="K1600" s="1"/>
    </row>
    <row r="1601" spans="1:11" x14ac:dyDescent="0.25">
      <c r="A1601" s="6">
        <v>3638038</v>
      </c>
      <c r="B1601" t="str">
        <f t="shared" si="96"/>
        <v>stacjonarny</v>
      </c>
      <c r="C1601">
        <f t="shared" si="97"/>
        <v>0</v>
      </c>
      <c r="D1601">
        <f t="shared" si="98"/>
        <v>0</v>
      </c>
      <c r="E1601" s="1">
        <v>42940</v>
      </c>
      <c r="F1601" s="2">
        <v>0.57262731481481477</v>
      </c>
      <c r="G1601" s="2">
        <v>0.57846064814814813</v>
      </c>
      <c r="H1601" s="2">
        <f t="shared" si="99"/>
        <v>5.833333333333357E-3</v>
      </c>
      <c r="K1601" s="1"/>
    </row>
    <row r="1602" spans="1:11" x14ac:dyDescent="0.25">
      <c r="A1602" s="6">
        <v>5221005</v>
      </c>
      <c r="B1602" t="str">
        <f t="shared" ref="B1602:B1665" si="100">IF(LEN(A1602)=7, "stacjonarny", IF(LEN(A1602)=8, "komorkowy", "zagraniczny"))</f>
        <v>stacjonarny</v>
      </c>
      <c r="C1602">
        <f t="shared" si="97"/>
        <v>0</v>
      </c>
      <c r="D1602">
        <f t="shared" si="98"/>
        <v>0</v>
      </c>
      <c r="E1602" s="1">
        <v>42940</v>
      </c>
      <c r="F1602" s="2">
        <v>0.57321759259259264</v>
      </c>
      <c r="G1602" s="2">
        <v>0.57461805555555556</v>
      </c>
      <c r="H1602" s="2">
        <f t="shared" si="99"/>
        <v>1.4004629629629228E-3</v>
      </c>
      <c r="K1602" s="1"/>
    </row>
    <row r="1603" spans="1:11" x14ac:dyDescent="0.25">
      <c r="A1603" s="6">
        <v>3150344</v>
      </c>
      <c r="B1603" t="str">
        <f t="shared" si="100"/>
        <v>stacjonarny</v>
      </c>
      <c r="C1603">
        <f t="shared" ref="C1603:C1666" si="101">IF(LEFT(A1603,2)="12",1,0)</f>
        <v>0</v>
      </c>
      <c r="D1603">
        <f t="shared" ref="D1603:D1666" si="102">IF(AND(C1603=1,B1603="stacjonarny"),1,0)</f>
        <v>0</v>
      </c>
      <c r="E1603" s="1">
        <v>42940</v>
      </c>
      <c r="F1603" s="2">
        <v>0.57322916666666668</v>
      </c>
      <c r="G1603" s="2">
        <v>0.58089120370370373</v>
      </c>
      <c r="H1603" s="2">
        <f t="shared" ref="H1603:H1666" si="103">G1603-F1603</f>
        <v>7.6620370370370505E-3</v>
      </c>
      <c r="K1603" s="1"/>
    </row>
    <row r="1604" spans="1:11" x14ac:dyDescent="0.25">
      <c r="A1604" s="6">
        <v>2780765</v>
      </c>
      <c r="B1604" t="str">
        <f t="shared" si="100"/>
        <v>stacjonarny</v>
      </c>
      <c r="C1604">
        <f t="shared" si="101"/>
        <v>0</v>
      </c>
      <c r="D1604">
        <f t="shared" si="102"/>
        <v>0</v>
      </c>
      <c r="E1604" s="1">
        <v>42940</v>
      </c>
      <c r="F1604" s="2">
        <v>0.57582175925925927</v>
      </c>
      <c r="G1604" s="2">
        <v>0.57693287037037033</v>
      </c>
      <c r="H1604" s="2">
        <f t="shared" si="103"/>
        <v>1.1111111111110628E-3</v>
      </c>
      <c r="K1604" s="1"/>
    </row>
    <row r="1605" spans="1:11" x14ac:dyDescent="0.25">
      <c r="A1605" s="6">
        <v>3720500</v>
      </c>
      <c r="B1605" t="str">
        <f t="shared" si="100"/>
        <v>stacjonarny</v>
      </c>
      <c r="C1605">
        <f t="shared" si="101"/>
        <v>0</v>
      </c>
      <c r="D1605">
        <f t="shared" si="102"/>
        <v>0</v>
      </c>
      <c r="E1605" s="1">
        <v>42940</v>
      </c>
      <c r="F1605" s="2">
        <v>0.57660879629629624</v>
      </c>
      <c r="G1605" s="2">
        <v>0.58250000000000002</v>
      </c>
      <c r="H1605" s="2">
        <f t="shared" si="103"/>
        <v>5.8912037037037734E-3</v>
      </c>
      <c r="K1605" s="1"/>
    </row>
    <row r="1606" spans="1:11" x14ac:dyDescent="0.25">
      <c r="A1606" s="6">
        <v>89419064</v>
      </c>
      <c r="B1606" t="str">
        <f t="shared" si="100"/>
        <v>komorkowy</v>
      </c>
      <c r="C1606">
        <f t="shared" si="101"/>
        <v>0</v>
      </c>
      <c r="D1606">
        <f t="shared" si="102"/>
        <v>0</v>
      </c>
      <c r="E1606" s="1">
        <v>42940</v>
      </c>
      <c r="F1606" s="2">
        <v>0.57850694444444439</v>
      </c>
      <c r="G1606" s="2">
        <v>0.58456018518518515</v>
      </c>
      <c r="H1606" s="2">
        <f t="shared" si="103"/>
        <v>6.0532407407407618E-3</v>
      </c>
      <c r="K1606" s="1"/>
    </row>
    <row r="1607" spans="1:11" x14ac:dyDescent="0.25">
      <c r="A1607" s="6">
        <v>9961121</v>
      </c>
      <c r="B1607" t="str">
        <f t="shared" si="100"/>
        <v>stacjonarny</v>
      </c>
      <c r="C1607">
        <f t="shared" si="101"/>
        <v>0</v>
      </c>
      <c r="D1607">
        <f t="shared" si="102"/>
        <v>0</v>
      </c>
      <c r="E1607" s="1">
        <v>42940</v>
      </c>
      <c r="F1607" s="2">
        <v>0.58304398148148151</v>
      </c>
      <c r="G1607" s="2">
        <v>0.58518518518518514</v>
      </c>
      <c r="H1607" s="2">
        <f t="shared" si="103"/>
        <v>2.1412037037036313E-3</v>
      </c>
      <c r="K1607" s="1"/>
    </row>
    <row r="1608" spans="1:11" x14ac:dyDescent="0.25">
      <c r="A1608" s="6">
        <v>5303411</v>
      </c>
      <c r="B1608" t="str">
        <f t="shared" si="100"/>
        <v>stacjonarny</v>
      </c>
      <c r="C1608">
        <f t="shared" si="101"/>
        <v>0</v>
      </c>
      <c r="D1608">
        <f t="shared" si="102"/>
        <v>0</v>
      </c>
      <c r="E1608" s="1">
        <v>42940</v>
      </c>
      <c r="F1608" s="2">
        <v>0.58652777777777776</v>
      </c>
      <c r="G1608" s="2">
        <v>0.5917824074074074</v>
      </c>
      <c r="H1608" s="2">
        <f t="shared" si="103"/>
        <v>5.2546296296296369E-3</v>
      </c>
      <c r="K1608" s="1"/>
    </row>
    <row r="1609" spans="1:11" x14ac:dyDescent="0.25">
      <c r="A1609" s="6">
        <v>4657345</v>
      </c>
      <c r="B1609" t="str">
        <f t="shared" si="100"/>
        <v>stacjonarny</v>
      </c>
      <c r="C1609">
        <f t="shared" si="101"/>
        <v>0</v>
      </c>
      <c r="D1609">
        <f t="shared" si="102"/>
        <v>0</v>
      </c>
      <c r="E1609" s="1">
        <v>42940</v>
      </c>
      <c r="F1609" s="2">
        <v>0.58981481481481479</v>
      </c>
      <c r="G1609" s="2">
        <v>0.59037037037037032</v>
      </c>
      <c r="H1609" s="2">
        <f t="shared" si="103"/>
        <v>5.5555555555553138E-4</v>
      </c>
      <c r="K1609" s="1"/>
    </row>
    <row r="1610" spans="1:11" x14ac:dyDescent="0.25">
      <c r="A1610" s="6">
        <v>5850216</v>
      </c>
      <c r="B1610" t="str">
        <f t="shared" si="100"/>
        <v>stacjonarny</v>
      </c>
      <c r="C1610">
        <f t="shared" si="101"/>
        <v>0</v>
      </c>
      <c r="D1610">
        <f t="shared" si="102"/>
        <v>0</v>
      </c>
      <c r="E1610" s="1">
        <v>42940</v>
      </c>
      <c r="F1610" s="2">
        <v>0.59325231481481477</v>
      </c>
      <c r="G1610" s="2">
        <v>0.59866898148148151</v>
      </c>
      <c r="H1610" s="2">
        <f t="shared" si="103"/>
        <v>5.4166666666667362E-3</v>
      </c>
      <c r="K1610" s="1"/>
    </row>
    <row r="1611" spans="1:11" x14ac:dyDescent="0.25">
      <c r="A1611" s="6">
        <v>4927402</v>
      </c>
      <c r="B1611" t="str">
        <f t="shared" si="100"/>
        <v>stacjonarny</v>
      </c>
      <c r="C1611">
        <f t="shared" si="101"/>
        <v>0</v>
      </c>
      <c r="D1611">
        <f t="shared" si="102"/>
        <v>0</v>
      </c>
      <c r="E1611" s="1">
        <v>42940</v>
      </c>
      <c r="F1611" s="2">
        <v>0.59351851851851856</v>
      </c>
      <c r="G1611" s="2">
        <v>0.60163194444444446</v>
      </c>
      <c r="H1611" s="2">
        <f t="shared" si="103"/>
        <v>8.113425925925899E-3</v>
      </c>
      <c r="K1611" s="1"/>
    </row>
    <row r="1612" spans="1:11" x14ac:dyDescent="0.25">
      <c r="A1612" s="6">
        <v>60113139</v>
      </c>
      <c r="B1612" t="str">
        <f t="shared" si="100"/>
        <v>komorkowy</v>
      </c>
      <c r="C1612">
        <f t="shared" si="101"/>
        <v>0</v>
      </c>
      <c r="D1612">
        <f t="shared" si="102"/>
        <v>0</v>
      </c>
      <c r="E1612" s="1">
        <v>42940</v>
      </c>
      <c r="F1612" s="2">
        <v>0.59663194444444445</v>
      </c>
      <c r="G1612" s="2">
        <v>0.60359953703703706</v>
      </c>
      <c r="H1612" s="2">
        <f t="shared" si="103"/>
        <v>6.9675925925926085E-3</v>
      </c>
      <c r="K1612" s="1"/>
    </row>
    <row r="1613" spans="1:11" x14ac:dyDescent="0.25">
      <c r="A1613" s="6">
        <v>2644526</v>
      </c>
      <c r="B1613" t="str">
        <f t="shared" si="100"/>
        <v>stacjonarny</v>
      </c>
      <c r="C1613">
        <f t="shared" si="101"/>
        <v>0</v>
      </c>
      <c r="D1613">
        <f t="shared" si="102"/>
        <v>0</v>
      </c>
      <c r="E1613" s="1">
        <v>42940</v>
      </c>
      <c r="F1613" s="2">
        <v>0.59864583333333332</v>
      </c>
      <c r="G1613" s="2">
        <v>0.6056597222222222</v>
      </c>
      <c r="H1613" s="2">
        <f t="shared" si="103"/>
        <v>7.0138888888888751E-3</v>
      </c>
      <c r="K1613" s="1"/>
    </row>
    <row r="1614" spans="1:11" x14ac:dyDescent="0.25">
      <c r="A1614" s="6">
        <v>7226610</v>
      </c>
      <c r="B1614" t="str">
        <f t="shared" si="100"/>
        <v>stacjonarny</v>
      </c>
      <c r="C1614">
        <f t="shared" si="101"/>
        <v>0</v>
      </c>
      <c r="D1614">
        <f t="shared" si="102"/>
        <v>0</v>
      </c>
      <c r="E1614" s="1">
        <v>42940</v>
      </c>
      <c r="F1614" s="2">
        <v>0.6005787037037037</v>
      </c>
      <c r="G1614" s="2">
        <v>0.6107407407407407</v>
      </c>
      <c r="H1614" s="2">
        <f t="shared" si="103"/>
        <v>1.0162037037036997E-2</v>
      </c>
      <c r="K1614" s="1"/>
    </row>
    <row r="1615" spans="1:11" x14ac:dyDescent="0.25">
      <c r="A1615" s="6">
        <v>9328179</v>
      </c>
      <c r="B1615" t="str">
        <f t="shared" si="100"/>
        <v>stacjonarny</v>
      </c>
      <c r="C1615">
        <f t="shared" si="101"/>
        <v>0</v>
      </c>
      <c r="D1615">
        <f t="shared" si="102"/>
        <v>0</v>
      </c>
      <c r="E1615" s="1">
        <v>42940</v>
      </c>
      <c r="F1615" s="2">
        <v>0.60211805555555553</v>
      </c>
      <c r="G1615" s="2">
        <v>0.60282407407407412</v>
      </c>
      <c r="H1615" s="2">
        <f t="shared" si="103"/>
        <v>7.0601851851859188E-4</v>
      </c>
      <c r="K1615" s="1"/>
    </row>
    <row r="1616" spans="1:11" x14ac:dyDescent="0.25">
      <c r="A1616" s="6">
        <v>7457716</v>
      </c>
      <c r="B1616" t="str">
        <f t="shared" si="100"/>
        <v>stacjonarny</v>
      </c>
      <c r="C1616">
        <f t="shared" si="101"/>
        <v>0</v>
      </c>
      <c r="D1616">
        <f t="shared" si="102"/>
        <v>0</v>
      </c>
      <c r="E1616" s="1">
        <v>42940</v>
      </c>
      <c r="F1616" s="2">
        <v>0.6068634259259259</v>
      </c>
      <c r="G1616" s="2">
        <v>0.61152777777777778</v>
      </c>
      <c r="H1616" s="2">
        <f t="shared" si="103"/>
        <v>4.6643518518518778E-3</v>
      </c>
      <c r="K1616" s="1"/>
    </row>
    <row r="1617" spans="1:11" x14ac:dyDescent="0.25">
      <c r="A1617" s="6">
        <v>1739364</v>
      </c>
      <c r="B1617" t="str">
        <f t="shared" si="100"/>
        <v>stacjonarny</v>
      </c>
      <c r="C1617">
        <f t="shared" si="101"/>
        <v>0</v>
      </c>
      <c r="D1617">
        <f t="shared" si="102"/>
        <v>0</v>
      </c>
      <c r="E1617" s="1">
        <v>42940</v>
      </c>
      <c r="F1617" s="2">
        <v>0.61100694444444448</v>
      </c>
      <c r="G1617" s="2">
        <v>0.62071759259259263</v>
      </c>
      <c r="H1617" s="2">
        <f t="shared" si="103"/>
        <v>9.7106481481481488E-3</v>
      </c>
      <c r="K1617" s="1"/>
    </row>
    <row r="1618" spans="1:11" x14ac:dyDescent="0.25">
      <c r="A1618" s="6">
        <v>1677537</v>
      </c>
      <c r="B1618" t="str">
        <f t="shared" si="100"/>
        <v>stacjonarny</v>
      </c>
      <c r="C1618">
        <f t="shared" si="101"/>
        <v>0</v>
      </c>
      <c r="D1618">
        <f t="shared" si="102"/>
        <v>0</v>
      </c>
      <c r="E1618" s="1">
        <v>42940</v>
      </c>
      <c r="F1618" s="2">
        <v>0.61471064814814813</v>
      </c>
      <c r="G1618" s="2">
        <v>0.62232638888888892</v>
      </c>
      <c r="H1618" s="2">
        <f t="shared" si="103"/>
        <v>7.615740740740784E-3</v>
      </c>
      <c r="K1618" s="1"/>
    </row>
    <row r="1619" spans="1:11" x14ac:dyDescent="0.25">
      <c r="A1619" s="6">
        <v>55614678</v>
      </c>
      <c r="B1619" t="str">
        <f t="shared" si="100"/>
        <v>komorkowy</v>
      </c>
      <c r="C1619">
        <f t="shared" si="101"/>
        <v>0</v>
      </c>
      <c r="D1619">
        <f t="shared" si="102"/>
        <v>0</v>
      </c>
      <c r="E1619" s="1">
        <v>42940</v>
      </c>
      <c r="F1619" s="2">
        <v>0.61826388888888884</v>
      </c>
      <c r="G1619" s="2">
        <v>0.62091435185185184</v>
      </c>
      <c r="H1619" s="2">
        <f t="shared" si="103"/>
        <v>2.6504629629630072E-3</v>
      </c>
      <c r="K1619" s="1"/>
    </row>
    <row r="1620" spans="1:11" x14ac:dyDescent="0.25">
      <c r="A1620" s="6">
        <v>4272221</v>
      </c>
      <c r="B1620" t="str">
        <f t="shared" si="100"/>
        <v>stacjonarny</v>
      </c>
      <c r="C1620">
        <f t="shared" si="101"/>
        <v>0</v>
      </c>
      <c r="D1620">
        <f t="shared" si="102"/>
        <v>0</v>
      </c>
      <c r="E1620" s="1">
        <v>42940</v>
      </c>
      <c r="F1620" s="2">
        <v>0.62152777777777779</v>
      </c>
      <c r="G1620" s="2">
        <v>0.62572916666666667</v>
      </c>
      <c r="H1620" s="2">
        <f t="shared" si="103"/>
        <v>4.2013888888888795E-3</v>
      </c>
      <c r="K1620" s="1"/>
    </row>
    <row r="1621" spans="1:11" x14ac:dyDescent="0.25">
      <c r="A1621" s="6">
        <v>1740380</v>
      </c>
      <c r="B1621" t="str">
        <f t="shared" si="100"/>
        <v>stacjonarny</v>
      </c>
      <c r="C1621">
        <f t="shared" si="101"/>
        <v>0</v>
      </c>
      <c r="D1621">
        <f t="shared" si="102"/>
        <v>0</v>
      </c>
      <c r="E1621" s="1">
        <v>42940</v>
      </c>
      <c r="F1621" s="2">
        <v>0.62605324074074076</v>
      </c>
      <c r="G1621" s="2">
        <v>0.63655092592592588</v>
      </c>
      <c r="H1621" s="2">
        <f t="shared" si="103"/>
        <v>1.0497685185185124E-2</v>
      </c>
      <c r="K1621" s="1"/>
    </row>
    <row r="1622" spans="1:11" x14ac:dyDescent="0.25">
      <c r="A1622" s="6">
        <v>6005355</v>
      </c>
      <c r="B1622" t="str">
        <f t="shared" si="100"/>
        <v>stacjonarny</v>
      </c>
      <c r="C1622">
        <f t="shared" si="101"/>
        <v>0</v>
      </c>
      <c r="D1622">
        <f t="shared" si="102"/>
        <v>0</v>
      </c>
      <c r="E1622" s="1">
        <v>42941</v>
      </c>
      <c r="F1622" s="2">
        <v>0.33688657407407407</v>
      </c>
      <c r="G1622" s="2">
        <v>0.34452546296296294</v>
      </c>
      <c r="H1622" s="2">
        <f t="shared" si="103"/>
        <v>7.6388888888888618E-3</v>
      </c>
      <c r="K1622" s="1"/>
    </row>
    <row r="1623" spans="1:11" x14ac:dyDescent="0.25">
      <c r="A1623" s="6">
        <v>2400590</v>
      </c>
      <c r="B1623" t="str">
        <f t="shared" si="100"/>
        <v>stacjonarny</v>
      </c>
      <c r="C1623">
        <f t="shared" si="101"/>
        <v>0</v>
      </c>
      <c r="D1623">
        <f t="shared" si="102"/>
        <v>0</v>
      </c>
      <c r="E1623" s="1">
        <v>42941</v>
      </c>
      <c r="F1623" s="2">
        <v>0.34145833333333331</v>
      </c>
      <c r="G1623" s="2">
        <v>0.34645833333333331</v>
      </c>
      <c r="H1623" s="2">
        <f t="shared" si="103"/>
        <v>5.0000000000000044E-3</v>
      </c>
      <c r="K1623" s="1"/>
    </row>
    <row r="1624" spans="1:11" x14ac:dyDescent="0.25">
      <c r="A1624" s="6">
        <v>7918038</v>
      </c>
      <c r="B1624" t="str">
        <f t="shared" si="100"/>
        <v>stacjonarny</v>
      </c>
      <c r="C1624">
        <f t="shared" si="101"/>
        <v>0</v>
      </c>
      <c r="D1624">
        <f t="shared" si="102"/>
        <v>0</v>
      </c>
      <c r="E1624" s="1">
        <v>42941</v>
      </c>
      <c r="F1624" s="2">
        <v>0.34278935185185183</v>
      </c>
      <c r="G1624" s="2">
        <v>0.34370370370370368</v>
      </c>
      <c r="H1624" s="2">
        <f t="shared" si="103"/>
        <v>9.1435185185184675E-4</v>
      </c>
      <c r="K1624" s="1"/>
    </row>
    <row r="1625" spans="1:11" x14ac:dyDescent="0.25">
      <c r="A1625" s="6">
        <v>7969038</v>
      </c>
      <c r="B1625" t="str">
        <f t="shared" si="100"/>
        <v>stacjonarny</v>
      </c>
      <c r="C1625">
        <f t="shared" si="101"/>
        <v>0</v>
      </c>
      <c r="D1625">
        <f t="shared" si="102"/>
        <v>0</v>
      </c>
      <c r="E1625" s="1">
        <v>42941</v>
      </c>
      <c r="F1625" s="2">
        <v>0.34605324074074073</v>
      </c>
      <c r="G1625" s="2">
        <v>0.35744212962962962</v>
      </c>
      <c r="H1625" s="2">
        <f t="shared" si="103"/>
        <v>1.1388888888888893E-2</v>
      </c>
      <c r="K1625" s="1"/>
    </row>
    <row r="1626" spans="1:11" x14ac:dyDescent="0.25">
      <c r="A1626" s="6">
        <v>5833452</v>
      </c>
      <c r="B1626" t="str">
        <f t="shared" si="100"/>
        <v>stacjonarny</v>
      </c>
      <c r="C1626">
        <f t="shared" si="101"/>
        <v>0</v>
      </c>
      <c r="D1626">
        <f t="shared" si="102"/>
        <v>0</v>
      </c>
      <c r="E1626" s="1">
        <v>42941</v>
      </c>
      <c r="F1626" s="2">
        <v>0.34989583333333335</v>
      </c>
      <c r="G1626" s="2">
        <v>0.35214120370370372</v>
      </c>
      <c r="H1626" s="2">
        <f t="shared" si="103"/>
        <v>2.2453703703703698E-3</v>
      </c>
      <c r="K1626" s="1"/>
    </row>
    <row r="1627" spans="1:11" x14ac:dyDescent="0.25">
      <c r="A1627" s="6">
        <v>11425383</v>
      </c>
      <c r="B1627" t="str">
        <f t="shared" si="100"/>
        <v>komorkowy</v>
      </c>
      <c r="C1627">
        <f t="shared" si="101"/>
        <v>0</v>
      </c>
      <c r="D1627">
        <f t="shared" si="102"/>
        <v>0</v>
      </c>
      <c r="E1627" s="1">
        <v>42941</v>
      </c>
      <c r="F1627" s="2">
        <v>0.35267361111111112</v>
      </c>
      <c r="G1627" s="2">
        <v>0.36171296296296296</v>
      </c>
      <c r="H1627" s="2">
        <f t="shared" si="103"/>
        <v>9.0393518518518401E-3</v>
      </c>
      <c r="K1627" s="1"/>
    </row>
    <row r="1628" spans="1:11" x14ac:dyDescent="0.25">
      <c r="A1628" s="6">
        <v>2900584</v>
      </c>
      <c r="B1628" t="str">
        <f t="shared" si="100"/>
        <v>stacjonarny</v>
      </c>
      <c r="C1628">
        <f t="shared" si="101"/>
        <v>0</v>
      </c>
      <c r="D1628">
        <f t="shared" si="102"/>
        <v>0</v>
      </c>
      <c r="E1628" s="1">
        <v>42941</v>
      </c>
      <c r="F1628" s="2">
        <v>0.35335648148148147</v>
      </c>
      <c r="G1628" s="2">
        <v>0.36329861111111111</v>
      </c>
      <c r="H1628" s="2">
        <f t="shared" si="103"/>
        <v>9.942129629629648E-3</v>
      </c>
      <c r="K1628" s="1"/>
    </row>
    <row r="1629" spans="1:11" x14ac:dyDescent="0.25">
      <c r="A1629" s="6">
        <v>77705897</v>
      </c>
      <c r="B1629" t="str">
        <f t="shared" si="100"/>
        <v>komorkowy</v>
      </c>
      <c r="C1629">
        <f t="shared" si="101"/>
        <v>0</v>
      </c>
      <c r="D1629">
        <f t="shared" si="102"/>
        <v>0</v>
      </c>
      <c r="E1629" s="1">
        <v>42941</v>
      </c>
      <c r="F1629" s="2">
        <v>0.35603009259259261</v>
      </c>
      <c r="G1629" s="2">
        <v>0.35928240740740741</v>
      </c>
      <c r="H1629" s="2">
        <f t="shared" si="103"/>
        <v>3.2523148148148051E-3</v>
      </c>
      <c r="K1629" s="1"/>
    </row>
    <row r="1630" spans="1:11" x14ac:dyDescent="0.25">
      <c r="A1630" s="6">
        <v>48497496</v>
      </c>
      <c r="B1630" t="str">
        <f t="shared" si="100"/>
        <v>komorkowy</v>
      </c>
      <c r="C1630">
        <f t="shared" si="101"/>
        <v>0</v>
      </c>
      <c r="D1630">
        <f t="shared" si="102"/>
        <v>0</v>
      </c>
      <c r="E1630" s="1">
        <v>42941</v>
      </c>
      <c r="F1630" s="2">
        <v>0.35881944444444447</v>
      </c>
      <c r="G1630" s="2">
        <v>0.36379629629629628</v>
      </c>
      <c r="H1630" s="2">
        <f t="shared" si="103"/>
        <v>4.9768518518518157E-3</v>
      </c>
      <c r="K1630" s="1"/>
    </row>
    <row r="1631" spans="1:11" x14ac:dyDescent="0.25">
      <c r="A1631" s="6">
        <v>98695684</v>
      </c>
      <c r="B1631" t="str">
        <f t="shared" si="100"/>
        <v>komorkowy</v>
      </c>
      <c r="C1631">
        <f t="shared" si="101"/>
        <v>0</v>
      </c>
      <c r="D1631">
        <f t="shared" si="102"/>
        <v>0</v>
      </c>
      <c r="E1631" s="1">
        <v>42941</v>
      </c>
      <c r="F1631" s="2">
        <v>0.3634722222222222</v>
      </c>
      <c r="G1631" s="2">
        <v>0.37498842592592591</v>
      </c>
      <c r="H1631" s="2">
        <f t="shared" si="103"/>
        <v>1.1516203703703709E-2</v>
      </c>
      <c r="K1631" s="1"/>
    </row>
    <row r="1632" spans="1:11" x14ac:dyDescent="0.25">
      <c r="A1632" s="6">
        <v>7712618</v>
      </c>
      <c r="B1632" t="str">
        <f t="shared" si="100"/>
        <v>stacjonarny</v>
      </c>
      <c r="C1632">
        <f t="shared" si="101"/>
        <v>0</v>
      </c>
      <c r="D1632">
        <f t="shared" si="102"/>
        <v>0</v>
      </c>
      <c r="E1632" s="1">
        <v>42941</v>
      </c>
      <c r="F1632" s="2">
        <v>0.36773148148148149</v>
      </c>
      <c r="G1632" s="2">
        <v>0.37118055555555557</v>
      </c>
      <c r="H1632" s="2">
        <f t="shared" si="103"/>
        <v>3.4490740740740766E-3</v>
      </c>
      <c r="K1632" s="1"/>
    </row>
    <row r="1633" spans="1:11" x14ac:dyDescent="0.25">
      <c r="A1633" s="6">
        <v>8872311</v>
      </c>
      <c r="B1633" t="str">
        <f t="shared" si="100"/>
        <v>stacjonarny</v>
      </c>
      <c r="C1633">
        <f t="shared" si="101"/>
        <v>0</v>
      </c>
      <c r="D1633">
        <f t="shared" si="102"/>
        <v>0</v>
      </c>
      <c r="E1633" s="1">
        <v>42941</v>
      </c>
      <c r="F1633" s="2">
        <v>0.36854166666666666</v>
      </c>
      <c r="G1633" s="2">
        <v>0.37072916666666667</v>
      </c>
      <c r="H1633" s="2">
        <f t="shared" si="103"/>
        <v>2.1875000000000089E-3</v>
      </c>
      <c r="K1633" s="1"/>
    </row>
    <row r="1634" spans="1:11" x14ac:dyDescent="0.25">
      <c r="A1634" s="6">
        <v>6056372</v>
      </c>
      <c r="B1634" t="str">
        <f t="shared" si="100"/>
        <v>stacjonarny</v>
      </c>
      <c r="C1634">
        <f t="shared" si="101"/>
        <v>0</v>
      </c>
      <c r="D1634">
        <f t="shared" si="102"/>
        <v>0</v>
      </c>
      <c r="E1634" s="1">
        <v>42941</v>
      </c>
      <c r="F1634" s="2">
        <v>0.36930555555555555</v>
      </c>
      <c r="G1634" s="2">
        <v>0.37615740740740738</v>
      </c>
      <c r="H1634" s="2">
        <f t="shared" si="103"/>
        <v>6.8518518518518312E-3</v>
      </c>
      <c r="K1634" s="1"/>
    </row>
    <row r="1635" spans="1:11" x14ac:dyDescent="0.25">
      <c r="A1635" s="6">
        <v>8936656</v>
      </c>
      <c r="B1635" t="str">
        <f t="shared" si="100"/>
        <v>stacjonarny</v>
      </c>
      <c r="C1635">
        <f t="shared" si="101"/>
        <v>0</v>
      </c>
      <c r="D1635">
        <f t="shared" si="102"/>
        <v>0</v>
      </c>
      <c r="E1635" s="1">
        <v>42941</v>
      </c>
      <c r="F1635" s="2">
        <v>0.37222222222222223</v>
      </c>
      <c r="G1635" s="2">
        <v>0.37883101851851853</v>
      </c>
      <c r="H1635" s="2">
        <f t="shared" si="103"/>
        <v>6.6087962962962932E-3</v>
      </c>
      <c r="K1635" s="1"/>
    </row>
    <row r="1636" spans="1:11" x14ac:dyDescent="0.25">
      <c r="A1636" s="6">
        <v>22966872</v>
      </c>
      <c r="B1636" t="str">
        <f t="shared" si="100"/>
        <v>komorkowy</v>
      </c>
      <c r="C1636">
        <f t="shared" si="101"/>
        <v>0</v>
      </c>
      <c r="D1636">
        <f t="shared" si="102"/>
        <v>0</v>
      </c>
      <c r="E1636" s="1">
        <v>42941</v>
      </c>
      <c r="F1636" s="2">
        <v>0.37277777777777776</v>
      </c>
      <c r="G1636" s="2">
        <v>0.37791666666666668</v>
      </c>
      <c r="H1636" s="2">
        <f t="shared" si="103"/>
        <v>5.138888888888915E-3</v>
      </c>
      <c r="K1636" s="1"/>
    </row>
    <row r="1637" spans="1:11" x14ac:dyDescent="0.25">
      <c r="A1637" s="6">
        <v>3908162</v>
      </c>
      <c r="B1637" t="str">
        <f t="shared" si="100"/>
        <v>stacjonarny</v>
      </c>
      <c r="C1637">
        <f t="shared" si="101"/>
        <v>0</v>
      </c>
      <c r="D1637">
        <f t="shared" si="102"/>
        <v>0</v>
      </c>
      <c r="E1637" s="1">
        <v>42941</v>
      </c>
      <c r="F1637" s="2">
        <v>0.37805555555555553</v>
      </c>
      <c r="G1637" s="2">
        <v>0.38770833333333332</v>
      </c>
      <c r="H1637" s="2">
        <f t="shared" si="103"/>
        <v>9.6527777777777879E-3</v>
      </c>
      <c r="K1637" s="1"/>
    </row>
    <row r="1638" spans="1:11" x14ac:dyDescent="0.25">
      <c r="A1638" s="6">
        <v>20485333</v>
      </c>
      <c r="B1638" t="str">
        <f t="shared" si="100"/>
        <v>komorkowy</v>
      </c>
      <c r="C1638">
        <f t="shared" si="101"/>
        <v>0</v>
      </c>
      <c r="D1638">
        <f t="shared" si="102"/>
        <v>0</v>
      </c>
      <c r="E1638" s="1">
        <v>42941</v>
      </c>
      <c r="F1638" s="2">
        <v>0.38230324074074074</v>
      </c>
      <c r="G1638" s="2">
        <v>0.39293981481481483</v>
      </c>
      <c r="H1638" s="2">
        <f t="shared" si="103"/>
        <v>1.063657407407409E-2</v>
      </c>
      <c r="K1638" s="1"/>
    </row>
    <row r="1639" spans="1:11" x14ac:dyDescent="0.25">
      <c r="A1639" s="6">
        <v>78709747</v>
      </c>
      <c r="B1639" t="str">
        <f t="shared" si="100"/>
        <v>komorkowy</v>
      </c>
      <c r="C1639">
        <f t="shared" si="101"/>
        <v>0</v>
      </c>
      <c r="D1639">
        <f t="shared" si="102"/>
        <v>0</v>
      </c>
      <c r="E1639" s="1">
        <v>42941</v>
      </c>
      <c r="F1639" s="2">
        <v>0.38638888888888889</v>
      </c>
      <c r="G1639" s="2">
        <v>0.38983796296296297</v>
      </c>
      <c r="H1639" s="2">
        <f t="shared" si="103"/>
        <v>3.4490740740740766E-3</v>
      </c>
      <c r="K1639" s="1"/>
    </row>
    <row r="1640" spans="1:11" x14ac:dyDescent="0.25">
      <c r="A1640" s="6">
        <v>1859884</v>
      </c>
      <c r="B1640" t="str">
        <f t="shared" si="100"/>
        <v>stacjonarny</v>
      </c>
      <c r="C1640">
        <f t="shared" si="101"/>
        <v>0</v>
      </c>
      <c r="D1640">
        <f t="shared" si="102"/>
        <v>0</v>
      </c>
      <c r="E1640" s="1">
        <v>42941</v>
      </c>
      <c r="F1640" s="2">
        <v>0.38668981481481479</v>
      </c>
      <c r="G1640" s="2">
        <v>0.3913773148148148</v>
      </c>
      <c r="H1640" s="2">
        <f t="shared" si="103"/>
        <v>4.6875000000000111E-3</v>
      </c>
      <c r="K1640" s="1"/>
    </row>
    <row r="1641" spans="1:11" x14ac:dyDescent="0.25">
      <c r="A1641" s="6">
        <v>2866546</v>
      </c>
      <c r="B1641" t="str">
        <f t="shared" si="100"/>
        <v>stacjonarny</v>
      </c>
      <c r="C1641">
        <f t="shared" si="101"/>
        <v>0</v>
      </c>
      <c r="D1641">
        <f t="shared" si="102"/>
        <v>0</v>
      </c>
      <c r="E1641" s="1">
        <v>42941</v>
      </c>
      <c r="F1641" s="2">
        <v>0.39038194444444446</v>
      </c>
      <c r="G1641" s="2">
        <v>0.39797453703703706</v>
      </c>
      <c r="H1641" s="2">
        <f t="shared" si="103"/>
        <v>7.5925925925925952E-3</v>
      </c>
      <c r="K1641" s="1"/>
    </row>
    <row r="1642" spans="1:11" x14ac:dyDescent="0.25">
      <c r="A1642" s="6">
        <v>23715237</v>
      </c>
      <c r="B1642" t="str">
        <f t="shared" si="100"/>
        <v>komorkowy</v>
      </c>
      <c r="C1642">
        <f t="shared" si="101"/>
        <v>0</v>
      </c>
      <c r="D1642">
        <f t="shared" si="102"/>
        <v>0</v>
      </c>
      <c r="E1642" s="1">
        <v>42941</v>
      </c>
      <c r="F1642" s="2">
        <v>0.39152777777777775</v>
      </c>
      <c r="G1642" s="2">
        <v>0.39559027777777778</v>
      </c>
      <c r="H1642" s="2">
        <f t="shared" si="103"/>
        <v>4.0625000000000244E-3</v>
      </c>
      <c r="K1642" s="1"/>
    </row>
    <row r="1643" spans="1:11" x14ac:dyDescent="0.25">
      <c r="A1643" s="6">
        <v>6013508</v>
      </c>
      <c r="B1643" t="str">
        <f t="shared" si="100"/>
        <v>stacjonarny</v>
      </c>
      <c r="C1643">
        <f t="shared" si="101"/>
        <v>0</v>
      </c>
      <c r="D1643">
        <f t="shared" si="102"/>
        <v>0</v>
      </c>
      <c r="E1643" s="1">
        <v>42941</v>
      </c>
      <c r="F1643" s="2">
        <v>0.39195601851851852</v>
      </c>
      <c r="G1643" s="2">
        <v>0.39401620370370372</v>
      </c>
      <c r="H1643" s="2">
        <f t="shared" si="103"/>
        <v>2.0601851851851927E-3</v>
      </c>
      <c r="K1643" s="1"/>
    </row>
    <row r="1644" spans="1:11" x14ac:dyDescent="0.25">
      <c r="A1644" s="6">
        <v>6175467</v>
      </c>
      <c r="B1644" t="str">
        <f t="shared" si="100"/>
        <v>stacjonarny</v>
      </c>
      <c r="C1644">
        <f t="shared" si="101"/>
        <v>0</v>
      </c>
      <c r="D1644">
        <f t="shared" si="102"/>
        <v>0</v>
      </c>
      <c r="E1644" s="1">
        <v>42941</v>
      </c>
      <c r="F1644" s="2">
        <v>0.39753472222222225</v>
      </c>
      <c r="G1644" s="2">
        <v>0.40424768518518517</v>
      </c>
      <c r="H1644" s="2">
        <f t="shared" si="103"/>
        <v>6.7129629629629206E-3</v>
      </c>
      <c r="K1644" s="1"/>
    </row>
    <row r="1645" spans="1:11" x14ac:dyDescent="0.25">
      <c r="A1645" s="6">
        <v>22416837</v>
      </c>
      <c r="B1645" t="str">
        <f t="shared" si="100"/>
        <v>komorkowy</v>
      </c>
      <c r="C1645">
        <f t="shared" si="101"/>
        <v>0</v>
      </c>
      <c r="D1645">
        <f t="shared" si="102"/>
        <v>0</v>
      </c>
      <c r="E1645" s="1">
        <v>42941</v>
      </c>
      <c r="F1645" s="2">
        <v>0.39881944444444445</v>
      </c>
      <c r="G1645" s="2">
        <v>0.40244212962962961</v>
      </c>
      <c r="H1645" s="2">
        <f t="shared" si="103"/>
        <v>3.6226851851851594E-3</v>
      </c>
      <c r="K1645" s="1"/>
    </row>
    <row r="1646" spans="1:11" x14ac:dyDescent="0.25">
      <c r="A1646" s="6">
        <v>9065927</v>
      </c>
      <c r="B1646" t="str">
        <f t="shared" si="100"/>
        <v>stacjonarny</v>
      </c>
      <c r="C1646">
        <f t="shared" si="101"/>
        <v>0</v>
      </c>
      <c r="D1646">
        <f t="shared" si="102"/>
        <v>0</v>
      </c>
      <c r="E1646" s="1">
        <v>42941</v>
      </c>
      <c r="F1646" s="2">
        <v>0.3991898148148148</v>
      </c>
      <c r="G1646" s="2">
        <v>0.40934027777777776</v>
      </c>
      <c r="H1646" s="2">
        <f t="shared" si="103"/>
        <v>1.0150462962962958E-2</v>
      </c>
      <c r="K1646" s="1"/>
    </row>
    <row r="1647" spans="1:11" x14ac:dyDescent="0.25">
      <c r="A1647" s="6">
        <v>8849918</v>
      </c>
      <c r="B1647" t="str">
        <f t="shared" si="100"/>
        <v>stacjonarny</v>
      </c>
      <c r="C1647">
        <f t="shared" si="101"/>
        <v>0</v>
      </c>
      <c r="D1647">
        <f t="shared" si="102"/>
        <v>0</v>
      </c>
      <c r="E1647" s="1">
        <v>42941</v>
      </c>
      <c r="F1647" s="2">
        <v>0.40263888888888888</v>
      </c>
      <c r="G1647" s="2">
        <v>0.40636574074074072</v>
      </c>
      <c r="H1647" s="2">
        <f t="shared" si="103"/>
        <v>3.7268518518518423E-3</v>
      </c>
      <c r="K1647" s="1"/>
    </row>
    <row r="1648" spans="1:11" x14ac:dyDescent="0.25">
      <c r="A1648" s="6">
        <v>8250018</v>
      </c>
      <c r="B1648" t="str">
        <f t="shared" si="100"/>
        <v>stacjonarny</v>
      </c>
      <c r="C1648">
        <f t="shared" si="101"/>
        <v>0</v>
      </c>
      <c r="D1648">
        <f t="shared" si="102"/>
        <v>0</v>
      </c>
      <c r="E1648" s="1">
        <v>42941</v>
      </c>
      <c r="F1648" s="2">
        <v>0.40552083333333333</v>
      </c>
      <c r="G1648" s="2">
        <v>0.41104166666666669</v>
      </c>
      <c r="H1648" s="2">
        <f t="shared" si="103"/>
        <v>5.5208333333333637E-3</v>
      </c>
      <c r="K1648" s="1"/>
    </row>
    <row r="1649" spans="1:11" x14ac:dyDescent="0.25">
      <c r="A1649" s="6">
        <v>20349502</v>
      </c>
      <c r="B1649" t="str">
        <f t="shared" si="100"/>
        <v>komorkowy</v>
      </c>
      <c r="C1649">
        <f t="shared" si="101"/>
        <v>0</v>
      </c>
      <c r="D1649">
        <f t="shared" si="102"/>
        <v>0</v>
      </c>
      <c r="E1649" s="1">
        <v>42941</v>
      </c>
      <c r="F1649" s="2">
        <v>0.40979166666666667</v>
      </c>
      <c r="G1649" s="2">
        <v>0.41252314814814817</v>
      </c>
      <c r="H1649" s="2">
        <f t="shared" si="103"/>
        <v>2.7314814814815014E-3</v>
      </c>
      <c r="K1649" s="1"/>
    </row>
    <row r="1650" spans="1:11" x14ac:dyDescent="0.25">
      <c r="A1650" s="6">
        <v>9894723</v>
      </c>
      <c r="B1650" t="str">
        <f t="shared" si="100"/>
        <v>stacjonarny</v>
      </c>
      <c r="C1650">
        <f t="shared" si="101"/>
        <v>0</v>
      </c>
      <c r="D1650">
        <f t="shared" si="102"/>
        <v>0</v>
      </c>
      <c r="E1650" s="1">
        <v>42941</v>
      </c>
      <c r="F1650" s="2">
        <v>0.40988425925925925</v>
      </c>
      <c r="G1650" s="2">
        <v>0.41157407407407409</v>
      </c>
      <c r="H1650" s="2">
        <f t="shared" si="103"/>
        <v>1.6898148148148384E-3</v>
      </c>
      <c r="K1650" s="1"/>
    </row>
    <row r="1651" spans="1:11" x14ac:dyDescent="0.25">
      <c r="A1651" s="6">
        <v>9458504</v>
      </c>
      <c r="B1651" t="str">
        <f t="shared" si="100"/>
        <v>stacjonarny</v>
      </c>
      <c r="C1651">
        <f t="shared" si="101"/>
        <v>0</v>
      </c>
      <c r="D1651">
        <f t="shared" si="102"/>
        <v>0</v>
      </c>
      <c r="E1651" s="1">
        <v>42941</v>
      </c>
      <c r="F1651" s="2">
        <v>0.41054398148148147</v>
      </c>
      <c r="G1651" s="2">
        <v>0.41620370370370369</v>
      </c>
      <c r="H1651" s="2">
        <f t="shared" si="103"/>
        <v>5.6597222222222188E-3</v>
      </c>
      <c r="K1651" s="1"/>
    </row>
    <row r="1652" spans="1:11" x14ac:dyDescent="0.25">
      <c r="A1652" s="6">
        <v>6741642</v>
      </c>
      <c r="B1652" t="str">
        <f t="shared" si="100"/>
        <v>stacjonarny</v>
      </c>
      <c r="C1652">
        <f t="shared" si="101"/>
        <v>0</v>
      </c>
      <c r="D1652">
        <f t="shared" si="102"/>
        <v>0</v>
      </c>
      <c r="E1652" s="1">
        <v>42941</v>
      </c>
      <c r="F1652" s="2">
        <v>0.41449074074074072</v>
      </c>
      <c r="G1652" s="2">
        <v>0.42371527777777779</v>
      </c>
      <c r="H1652" s="2">
        <f t="shared" si="103"/>
        <v>9.2245370370370727E-3</v>
      </c>
      <c r="K1652" s="1"/>
    </row>
    <row r="1653" spans="1:11" x14ac:dyDescent="0.25">
      <c r="A1653" s="6">
        <v>4824710</v>
      </c>
      <c r="B1653" t="str">
        <f t="shared" si="100"/>
        <v>stacjonarny</v>
      </c>
      <c r="C1653">
        <f t="shared" si="101"/>
        <v>0</v>
      </c>
      <c r="D1653">
        <f t="shared" si="102"/>
        <v>0</v>
      </c>
      <c r="E1653" s="1">
        <v>42941</v>
      </c>
      <c r="F1653" s="2">
        <v>0.42008101851851853</v>
      </c>
      <c r="G1653" s="2">
        <v>0.4206597222222222</v>
      </c>
      <c r="H1653" s="2">
        <f t="shared" si="103"/>
        <v>5.7870370370366464E-4</v>
      </c>
      <c r="K1653" s="1"/>
    </row>
    <row r="1654" spans="1:11" x14ac:dyDescent="0.25">
      <c r="A1654" s="6">
        <v>6465122</v>
      </c>
      <c r="B1654" t="str">
        <f t="shared" si="100"/>
        <v>stacjonarny</v>
      </c>
      <c r="C1654">
        <f t="shared" si="101"/>
        <v>0</v>
      </c>
      <c r="D1654">
        <f t="shared" si="102"/>
        <v>0</v>
      </c>
      <c r="E1654" s="1">
        <v>42941</v>
      </c>
      <c r="F1654" s="2">
        <v>0.42188657407407409</v>
      </c>
      <c r="G1654" s="2">
        <v>0.43138888888888888</v>
      </c>
      <c r="H1654" s="2">
        <f t="shared" si="103"/>
        <v>9.5023148148147829E-3</v>
      </c>
      <c r="K1654" s="1"/>
    </row>
    <row r="1655" spans="1:11" x14ac:dyDescent="0.25">
      <c r="A1655" s="6">
        <v>6940373</v>
      </c>
      <c r="B1655" t="str">
        <f t="shared" si="100"/>
        <v>stacjonarny</v>
      </c>
      <c r="C1655">
        <f t="shared" si="101"/>
        <v>0</v>
      </c>
      <c r="D1655">
        <f t="shared" si="102"/>
        <v>0</v>
      </c>
      <c r="E1655" s="1">
        <v>42941</v>
      </c>
      <c r="F1655" s="2">
        <v>0.42711805555555554</v>
      </c>
      <c r="G1655" s="2">
        <v>0.43450231481481483</v>
      </c>
      <c r="H1655" s="2">
        <f t="shared" si="103"/>
        <v>7.3842592592592848E-3</v>
      </c>
      <c r="K1655" s="1"/>
    </row>
    <row r="1656" spans="1:11" x14ac:dyDescent="0.25">
      <c r="A1656" s="6">
        <v>81613163</v>
      </c>
      <c r="B1656" t="str">
        <f t="shared" si="100"/>
        <v>komorkowy</v>
      </c>
      <c r="C1656">
        <f t="shared" si="101"/>
        <v>0</v>
      </c>
      <c r="D1656">
        <f t="shared" si="102"/>
        <v>0</v>
      </c>
      <c r="E1656" s="1">
        <v>42941</v>
      </c>
      <c r="F1656" s="2">
        <v>0.43004629629629632</v>
      </c>
      <c r="G1656" s="2">
        <v>0.43855324074074076</v>
      </c>
      <c r="H1656" s="2">
        <f t="shared" si="103"/>
        <v>8.506944444444442E-3</v>
      </c>
      <c r="K1656" s="1"/>
    </row>
    <row r="1657" spans="1:11" x14ac:dyDescent="0.25">
      <c r="A1657" s="6">
        <v>9894998</v>
      </c>
      <c r="B1657" t="str">
        <f t="shared" si="100"/>
        <v>stacjonarny</v>
      </c>
      <c r="C1657">
        <f t="shared" si="101"/>
        <v>0</v>
      </c>
      <c r="D1657">
        <f t="shared" si="102"/>
        <v>0</v>
      </c>
      <c r="E1657" s="1">
        <v>42941</v>
      </c>
      <c r="F1657" s="2">
        <v>0.4344675925925926</v>
      </c>
      <c r="G1657" s="2">
        <v>0.44442129629629629</v>
      </c>
      <c r="H1657" s="2">
        <f t="shared" si="103"/>
        <v>9.9537037037036868E-3</v>
      </c>
      <c r="K1657" s="1"/>
    </row>
    <row r="1658" spans="1:11" x14ac:dyDescent="0.25">
      <c r="A1658" s="6">
        <v>7663988</v>
      </c>
      <c r="B1658" t="str">
        <f t="shared" si="100"/>
        <v>stacjonarny</v>
      </c>
      <c r="C1658">
        <f t="shared" si="101"/>
        <v>0</v>
      </c>
      <c r="D1658">
        <f t="shared" si="102"/>
        <v>0</v>
      </c>
      <c r="E1658" s="1">
        <v>42941</v>
      </c>
      <c r="F1658" s="2">
        <v>0.43884259259259262</v>
      </c>
      <c r="G1658" s="2">
        <v>0.44464120370370369</v>
      </c>
      <c r="H1658" s="2">
        <f t="shared" si="103"/>
        <v>5.7986111111110739E-3</v>
      </c>
      <c r="K1658" s="1"/>
    </row>
    <row r="1659" spans="1:11" x14ac:dyDescent="0.25">
      <c r="A1659" s="6">
        <v>29555837</v>
      </c>
      <c r="B1659" t="str">
        <f t="shared" si="100"/>
        <v>komorkowy</v>
      </c>
      <c r="C1659">
        <f t="shared" si="101"/>
        <v>0</v>
      </c>
      <c r="D1659">
        <f t="shared" si="102"/>
        <v>0</v>
      </c>
      <c r="E1659" s="1">
        <v>42941</v>
      </c>
      <c r="F1659" s="2">
        <v>0.44231481481481483</v>
      </c>
      <c r="G1659" s="2">
        <v>0.45185185185185184</v>
      </c>
      <c r="H1659" s="2">
        <f t="shared" si="103"/>
        <v>9.5370370370370106E-3</v>
      </c>
      <c r="K1659" s="1"/>
    </row>
    <row r="1660" spans="1:11" x14ac:dyDescent="0.25">
      <c r="A1660" s="6">
        <v>6890486</v>
      </c>
      <c r="B1660" t="str">
        <f t="shared" si="100"/>
        <v>stacjonarny</v>
      </c>
      <c r="C1660">
        <f t="shared" si="101"/>
        <v>0</v>
      </c>
      <c r="D1660">
        <f t="shared" si="102"/>
        <v>0</v>
      </c>
      <c r="E1660" s="1">
        <v>42941</v>
      </c>
      <c r="F1660" s="2">
        <v>0.44594907407407408</v>
      </c>
      <c r="G1660" s="2">
        <v>0.45099537037037035</v>
      </c>
      <c r="H1660" s="2">
        <f t="shared" si="103"/>
        <v>5.046296296296271E-3</v>
      </c>
      <c r="K1660" s="1"/>
    </row>
    <row r="1661" spans="1:11" x14ac:dyDescent="0.25">
      <c r="A1661" s="6">
        <v>1992079</v>
      </c>
      <c r="B1661" t="str">
        <f t="shared" si="100"/>
        <v>stacjonarny</v>
      </c>
      <c r="C1661">
        <f t="shared" si="101"/>
        <v>0</v>
      </c>
      <c r="D1661">
        <f t="shared" si="102"/>
        <v>0</v>
      </c>
      <c r="E1661" s="1">
        <v>42941</v>
      </c>
      <c r="F1661" s="2">
        <v>0.45004629629629628</v>
      </c>
      <c r="G1661" s="2">
        <v>0.45568287037037036</v>
      </c>
      <c r="H1661" s="2">
        <f t="shared" si="103"/>
        <v>5.6365740740740855E-3</v>
      </c>
      <c r="K1661" s="1"/>
    </row>
    <row r="1662" spans="1:11" x14ac:dyDescent="0.25">
      <c r="A1662" s="6">
        <v>7599611</v>
      </c>
      <c r="B1662" t="str">
        <f t="shared" si="100"/>
        <v>stacjonarny</v>
      </c>
      <c r="C1662">
        <f t="shared" si="101"/>
        <v>0</v>
      </c>
      <c r="D1662">
        <f t="shared" si="102"/>
        <v>0</v>
      </c>
      <c r="E1662" s="1">
        <v>42941</v>
      </c>
      <c r="F1662" s="2">
        <v>0.45217592592592593</v>
      </c>
      <c r="G1662" s="2">
        <v>0.4568402777777778</v>
      </c>
      <c r="H1662" s="2">
        <f t="shared" si="103"/>
        <v>4.6643518518518778E-3</v>
      </c>
      <c r="K1662" s="1"/>
    </row>
    <row r="1663" spans="1:11" x14ac:dyDescent="0.25">
      <c r="A1663" s="6">
        <v>1418351</v>
      </c>
      <c r="B1663" t="str">
        <f t="shared" si="100"/>
        <v>stacjonarny</v>
      </c>
      <c r="C1663">
        <f t="shared" si="101"/>
        <v>0</v>
      </c>
      <c r="D1663">
        <f t="shared" si="102"/>
        <v>0</v>
      </c>
      <c r="E1663" s="1">
        <v>42941</v>
      </c>
      <c r="F1663" s="2">
        <v>0.45377314814814818</v>
      </c>
      <c r="G1663" s="2">
        <v>0.45409722222222221</v>
      </c>
      <c r="H1663" s="2">
        <f t="shared" si="103"/>
        <v>3.2407407407403221E-4</v>
      </c>
      <c r="K1663" s="1"/>
    </row>
    <row r="1664" spans="1:11" x14ac:dyDescent="0.25">
      <c r="A1664" s="6">
        <v>5883714</v>
      </c>
      <c r="B1664" t="str">
        <f t="shared" si="100"/>
        <v>stacjonarny</v>
      </c>
      <c r="C1664">
        <f t="shared" si="101"/>
        <v>0</v>
      </c>
      <c r="D1664">
        <f t="shared" si="102"/>
        <v>0</v>
      </c>
      <c r="E1664" s="1">
        <v>42941</v>
      </c>
      <c r="F1664" s="2">
        <v>0.45886574074074077</v>
      </c>
      <c r="G1664" s="2">
        <v>0.46630787037037036</v>
      </c>
      <c r="H1664" s="2">
        <f t="shared" si="103"/>
        <v>7.4421296296295902E-3</v>
      </c>
      <c r="K1664" s="1"/>
    </row>
    <row r="1665" spans="1:11" x14ac:dyDescent="0.25">
      <c r="A1665" s="6">
        <v>1457083</v>
      </c>
      <c r="B1665" t="str">
        <f t="shared" si="100"/>
        <v>stacjonarny</v>
      </c>
      <c r="C1665">
        <f t="shared" si="101"/>
        <v>0</v>
      </c>
      <c r="D1665">
        <f t="shared" si="102"/>
        <v>0</v>
      </c>
      <c r="E1665" s="1">
        <v>42941</v>
      </c>
      <c r="F1665" s="2">
        <v>0.46381944444444445</v>
      </c>
      <c r="G1665" s="2">
        <v>0.47520833333333334</v>
      </c>
      <c r="H1665" s="2">
        <f t="shared" si="103"/>
        <v>1.1388888888888893E-2</v>
      </c>
      <c r="K1665" s="1"/>
    </row>
    <row r="1666" spans="1:11" x14ac:dyDescent="0.25">
      <c r="A1666" s="6">
        <v>9948096</v>
      </c>
      <c r="B1666" t="str">
        <f t="shared" ref="B1666:B1729" si="104">IF(LEN(A1666)=7, "stacjonarny", IF(LEN(A1666)=8, "komorkowy", "zagraniczny"))</f>
        <v>stacjonarny</v>
      </c>
      <c r="C1666">
        <f t="shared" si="101"/>
        <v>0</v>
      </c>
      <c r="D1666">
        <f t="shared" si="102"/>
        <v>0</v>
      </c>
      <c r="E1666" s="1">
        <v>42941</v>
      </c>
      <c r="F1666" s="2">
        <v>0.46564814814814814</v>
      </c>
      <c r="G1666" s="2">
        <v>0.47028935185185183</v>
      </c>
      <c r="H1666" s="2">
        <f t="shared" si="103"/>
        <v>4.6412037037036891E-3</v>
      </c>
      <c r="K1666" s="1"/>
    </row>
    <row r="1667" spans="1:11" x14ac:dyDescent="0.25">
      <c r="A1667" s="6">
        <v>2567031</v>
      </c>
      <c r="B1667" t="str">
        <f t="shared" si="104"/>
        <v>stacjonarny</v>
      </c>
      <c r="C1667">
        <f t="shared" ref="C1667:C1730" si="105">IF(LEFT(A1667,2)="12",1,0)</f>
        <v>0</v>
      </c>
      <c r="D1667">
        <f t="shared" ref="D1667:D1730" si="106">IF(AND(C1667=1,B1667="stacjonarny"),1,0)</f>
        <v>0</v>
      </c>
      <c r="E1667" s="1">
        <v>42941</v>
      </c>
      <c r="F1667" s="2">
        <v>0.47077546296296297</v>
      </c>
      <c r="G1667" s="2">
        <v>0.47538194444444443</v>
      </c>
      <c r="H1667" s="2">
        <f t="shared" ref="H1667:H1730" si="107">G1667-F1667</f>
        <v>4.6064814814814614E-3</v>
      </c>
      <c r="K1667" s="1"/>
    </row>
    <row r="1668" spans="1:11" x14ac:dyDescent="0.25">
      <c r="A1668" s="6">
        <v>5952625</v>
      </c>
      <c r="B1668" t="str">
        <f t="shared" si="104"/>
        <v>stacjonarny</v>
      </c>
      <c r="C1668">
        <f t="shared" si="105"/>
        <v>0</v>
      </c>
      <c r="D1668">
        <f t="shared" si="106"/>
        <v>0</v>
      </c>
      <c r="E1668" s="1">
        <v>42941</v>
      </c>
      <c r="F1668" s="2">
        <v>0.4729976851851852</v>
      </c>
      <c r="G1668" s="2">
        <v>0.47553240740740743</v>
      </c>
      <c r="H1668" s="2">
        <f t="shared" si="107"/>
        <v>2.5347222222222299E-3</v>
      </c>
      <c r="K1668" s="1"/>
    </row>
    <row r="1669" spans="1:11" x14ac:dyDescent="0.25">
      <c r="A1669" s="6">
        <v>8284495</v>
      </c>
      <c r="B1669" t="str">
        <f t="shared" si="104"/>
        <v>stacjonarny</v>
      </c>
      <c r="C1669">
        <f t="shared" si="105"/>
        <v>0</v>
      </c>
      <c r="D1669">
        <f t="shared" si="106"/>
        <v>0</v>
      </c>
      <c r="E1669" s="1">
        <v>42941</v>
      </c>
      <c r="F1669" s="2">
        <v>0.47385416666666669</v>
      </c>
      <c r="G1669" s="2">
        <v>0.47505787037037039</v>
      </c>
      <c r="H1669" s="2">
        <f t="shared" si="107"/>
        <v>1.2037037037037068E-3</v>
      </c>
      <c r="K1669" s="1"/>
    </row>
    <row r="1670" spans="1:11" x14ac:dyDescent="0.25">
      <c r="A1670" s="6">
        <v>5354141</v>
      </c>
      <c r="B1670" t="str">
        <f t="shared" si="104"/>
        <v>stacjonarny</v>
      </c>
      <c r="C1670">
        <f t="shared" si="105"/>
        <v>0</v>
      </c>
      <c r="D1670">
        <f t="shared" si="106"/>
        <v>0</v>
      </c>
      <c r="E1670" s="1">
        <v>42941</v>
      </c>
      <c r="F1670" s="2">
        <v>0.47591435185185182</v>
      </c>
      <c r="G1670" s="2">
        <v>0.47734953703703703</v>
      </c>
      <c r="H1670" s="2">
        <f t="shared" si="107"/>
        <v>1.435185185185206E-3</v>
      </c>
      <c r="K1670" s="1"/>
    </row>
    <row r="1671" spans="1:11" x14ac:dyDescent="0.25">
      <c r="A1671" s="6">
        <v>5713477</v>
      </c>
      <c r="B1671" t="str">
        <f t="shared" si="104"/>
        <v>stacjonarny</v>
      </c>
      <c r="C1671">
        <f t="shared" si="105"/>
        <v>0</v>
      </c>
      <c r="D1671">
        <f t="shared" si="106"/>
        <v>0</v>
      </c>
      <c r="E1671" s="1">
        <v>42941</v>
      </c>
      <c r="F1671" s="2">
        <v>0.4770138888888889</v>
      </c>
      <c r="G1671" s="2">
        <v>0.48685185185185187</v>
      </c>
      <c r="H1671" s="2">
        <f t="shared" si="107"/>
        <v>9.837962962962965E-3</v>
      </c>
      <c r="K1671" s="1"/>
    </row>
    <row r="1672" spans="1:11" x14ac:dyDescent="0.25">
      <c r="A1672" s="6">
        <v>6865322</v>
      </c>
      <c r="B1672" t="str">
        <f t="shared" si="104"/>
        <v>stacjonarny</v>
      </c>
      <c r="C1672">
        <f t="shared" si="105"/>
        <v>0</v>
      </c>
      <c r="D1672">
        <f t="shared" si="106"/>
        <v>0</v>
      </c>
      <c r="E1672" s="1">
        <v>42941</v>
      </c>
      <c r="F1672" s="2">
        <v>0.47781249999999997</v>
      </c>
      <c r="G1672" s="2">
        <v>0.48425925925925928</v>
      </c>
      <c r="H1672" s="2">
        <f t="shared" si="107"/>
        <v>6.4467592592593048E-3</v>
      </c>
      <c r="K1672" s="1"/>
    </row>
    <row r="1673" spans="1:11" x14ac:dyDescent="0.25">
      <c r="A1673" s="6">
        <v>9007177570</v>
      </c>
      <c r="B1673" t="str">
        <f t="shared" si="104"/>
        <v>zagraniczny</v>
      </c>
      <c r="C1673">
        <f t="shared" si="105"/>
        <v>0</v>
      </c>
      <c r="D1673">
        <f t="shared" si="106"/>
        <v>0</v>
      </c>
      <c r="E1673" s="1">
        <v>42941</v>
      </c>
      <c r="F1673" s="2">
        <v>0.47957175925925927</v>
      </c>
      <c r="G1673" s="2">
        <v>0.48254629629629631</v>
      </c>
      <c r="H1673" s="2">
        <f t="shared" si="107"/>
        <v>2.9745370370370394E-3</v>
      </c>
      <c r="K1673" s="1"/>
    </row>
    <row r="1674" spans="1:11" x14ac:dyDescent="0.25">
      <c r="A1674" s="6">
        <v>49920930</v>
      </c>
      <c r="B1674" t="str">
        <f t="shared" si="104"/>
        <v>komorkowy</v>
      </c>
      <c r="C1674">
        <f t="shared" si="105"/>
        <v>0</v>
      </c>
      <c r="D1674">
        <f t="shared" si="106"/>
        <v>0</v>
      </c>
      <c r="E1674" s="1">
        <v>42941</v>
      </c>
      <c r="F1674" s="2">
        <v>0.48457175925925927</v>
      </c>
      <c r="G1674" s="2">
        <v>0.48851851851851852</v>
      </c>
      <c r="H1674" s="2">
        <f t="shared" si="107"/>
        <v>3.9467592592592471E-3</v>
      </c>
      <c r="K1674" s="1"/>
    </row>
    <row r="1675" spans="1:11" x14ac:dyDescent="0.25">
      <c r="A1675" s="6">
        <v>3624713</v>
      </c>
      <c r="B1675" t="str">
        <f t="shared" si="104"/>
        <v>stacjonarny</v>
      </c>
      <c r="C1675">
        <f t="shared" si="105"/>
        <v>0</v>
      </c>
      <c r="D1675">
        <f t="shared" si="106"/>
        <v>0</v>
      </c>
      <c r="E1675" s="1">
        <v>42941</v>
      </c>
      <c r="F1675" s="2">
        <v>0.48563657407407407</v>
      </c>
      <c r="G1675" s="2">
        <v>0.49687500000000001</v>
      </c>
      <c r="H1675" s="2">
        <f t="shared" si="107"/>
        <v>1.1238425925925943E-2</v>
      </c>
      <c r="K1675" s="1"/>
    </row>
    <row r="1676" spans="1:11" x14ac:dyDescent="0.25">
      <c r="A1676" s="6">
        <v>39848401</v>
      </c>
      <c r="B1676" t="str">
        <f t="shared" si="104"/>
        <v>komorkowy</v>
      </c>
      <c r="C1676">
        <f t="shared" si="105"/>
        <v>0</v>
      </c>
      <c r="D1676">
        <f t="shared" si="106"/>
        <v>0</v>
      </c>
      <c r="E1676" s="1">
        <v>42941</v>
      </c>
      <c r="F1676" s="2">
        <v>0.48615740740740743</v>
      </c>
      <c r="G1676" s="2">
        <v>0.49478009259259259</v>
      </c>
      <c r="H1676" s="2">
        <f t="shared" si="107"/>
        <v>8.6226851851851638E-3</v>
      </c>
      <c r="K1676" s="1"/>
    </row>
    <row r="1677" spans="1:11" x14ac:dyDescent="0.25">
      <c r="A1677" s="6">
        <v>4131448</v>
      </c>
      <c r="B1677" t="str">
        <f t="shared" si="104"/>
        <v>stacjonarny</v>
      </c>
      <c r="C1677">
        <f t="shared" si="105"/>
        <v>0</v>
      </c>
      <c r="D1677">
        <f t="shared" si="106"/>
        <v>0</v>
      </c>
      <c r="E1677" s="1">
        <v>42941</v>
      </c>
      <c r="F1677" s="2">
        <v>0.48975694444444445</v>
      </c>
      <c r="G1677" s="2">
        <v>0.49530092592592595</v>
      </c>
      <c r="H1677" s="2">
        <f t="shared" si="107"/>
        <v>5.5439814814814969E-3</v>
      </c>
      <c r="K1677" s="1"/>
    </row>
    <row r="1678" spans="1:11" x14ac:dyDescent="0.25">
      <c r="A1678" s="6">
        <v>2239958</v>
      </c>
      <c r="B1678" t="str">
        <f t="shared" si="104"/>
        <v>stacjonarny</v>
      </c>
      <c r="C1678">
        <f t="shared" si="105"/>
        <v>0</v>
      </c>
      <c r="D1678">
        <f t="shared" si="106"/>
        <v>0</v>
      </c>
      <c r="E1678" s="1">
        <v>42941</v>
      </c>
      <c r="F1678" s="2">
        <v>0.49523148148148149</v>
      </c>
      <c r="G1678" s="2">
        <v>0.49962962962962965</v>
      </c>
      <c r="H1678" s="2">
        <f t="shared" si="107"/>
        <v>4.398148148148151E-3</v>
      </c>
      <c r="K1678" s="1"/>
    </row>
    <row r="1679" spans="1:11" x14ac:dyDescent="0.25">
      <c r="A1679" s="6">
        <v>3680149</v>
      </c>
      <c r="B1679" t="str">
        <f t="shared" si="104"/>
        <v>stacjonarny</v>
      </c>
      <c r="C1679">
        <f t="shared" si="105"/>
        <v>0</v>
      </c>
      <c r="D1679">
        <f t="shared" si="106"/>
        <v>0</v>
      </c>
      <c r="E1679" s="1">
        <v>42941</v>
      </c>
      <c r="F1679" s="2">
        <v>0.49556712962962962</v>
      </c>
      <c r="G1679" s="2">
        <v>0.49927083333333333</v>
      </c>
      <c r="H1679" s="2">
        <f t="shared" si="107"/>
        <v>3.703703703703709E-3</v>
      </c>
      <c r="K1679" s="1"/>
    </row>
    <row r="1680" spans="1:11" x14ac:dyDescent="0.25">
      <c r="A1680" s="6">
        <v>3654212</v>
      </c>
      <c r="B1680" t="str">
        <f t="shared" si="104"/>
        <v>stacjonarny</v>
      </c>
      <c r="C1680">
        <f t="shared" si="105"/>
        <v>0</v>
      </c>
      <c r="D1680">
        <f t="shared" si="106"/>
        <v>0</v>
      </c>
      <c r="E1680" s="1">
        <v>42941</v>
      </c>
      <c r="F1680" s="2">
        <v>0.49739583333333331</v>
      </c>
      <c r="G1680" s="2">
        <v>0.49787037037037035</v>
      </c>
      <c r="H1680" s="2">
        <f t="shared" si="107"/>
        <v>4.745370370370372E-4</v>
      </c>
      <c r="K1680" s="1"/>
    </row>
    <row r="1681" spans="1:11" x14ac:dyDescent="0.25">
      <c r="A1681" s="6">
        <v>3192053</v>
      </c>
      <c r="B1681" t="str">
        <f t="shared" si="104"/>
        <v>stacjonarny</v>
      </c>
      <c r="C1681">
        <f t="shared" si="105"/>
        <v>0</v>
      </c>
      <c r="D1681">
        <f t="shared" si="106"/>
        <v>0</v>
      </c>
      <c r="E1681" s="1">
        <v>42941</v>
      </c>
      <c r="F1681" s="2">
        <v>0.49796296296296294</v>
      </c>
      <c r="G1681" s="2">
        <v>0.5053009259259259</v>
      </c>
      <c r="H1681" s="2">
        <f t="shared" si="107"/>
        <v>7.3379629629629628E-3</v>
      </c>
      <c r="K1681" s="1"/>
    </row>
    <row r="1682" spans="1:11" x14ac:dyDescent="0.25">
      <c r="A1682" s="6">
        <v>2355456</v>
      </c>
      <c r="B1682" t="str">
        <f t="shared" si="104"/>
        <v>stacjonarny</v>
      </c>
      <c r="C1682">
        <f t="shared" si="105"/>
        <v>0</v>
      </c>
      <c r="D1682">
        <f t="shared" si="106"/>
        <v>0</v>
      </c>
      <c r="E1682" s="1">
        <v>42941</v>
      </c>
      <c r="F1682" s="2">
        <v>0.50027777777777782</v>
      </c>
      <c r="G1682" s="2">
        <v>0.50983796296296291</v>
      </c>
      <c r="H1682" s="2">
        <f t="shared" si="107"/>
        <v>9.5601851851850883E-3</v>
      </c>
      <c r="K1682" s="1"/>
    </row>
    <row r="1683" spans="1:11" x14ac:dyDescent="0.25">
      <c r="A1683" s="6">
        <v>64932677</v>
      </c>
      <c r="B1683" t="str">
        <f t="shared" si="104"/>
        <v>komorkowy</v>
      </c>
      <c r="C1683">
        <f t="shared" si="105"/>
        <v>0</v>
      </c>
      <c r="D1683">
        <f t="shared" si="106"/>
        <v>0</v>
      </c>
      <c r="E1683" s="1">
        <v>42941</v>
      </c>
      <c r="F1683" s="2">
        <v>0.50436342592592598</v>
      </c>
      <c r="G1683" s="2">
        <v>0.51339120370370372</v>
      </c>
      <c r="H1683" s="2">
        <f t="shared" si="107"/>
        <v>9.0277777777777457E-3</v>
      </c>
      <c r="K1683" s="1"/>
    </row>
    <row r="1684" spans="1:11" x14ac:dyDescent="0.25">
      <c r="A1684" s="6">
        <v>9419117</v>
      </c>
      <c r="B1684" t="str">
        <f t="shared" si="104"/>
        <v>stacjonarny</v>
      </c>
      <c r="C1684">
        <f t="shared" si="105"/>
        <v>0</v>
      </c>
      <c r="D1684">
        <f t="shared" si="106"/>
        <v>0</v>
      </c>
      <c r="E1684" s="1">
        <v>42941</v>
      </c>
      <c r="F1684" s="2">
        <v>0.50545138888888885</v>
      </c>
      <c r="G1684" s="2">
        <v>0.50761574074074078</v>
      </c>
      <c r="H1684" s="2">
        <f t="shared" si="107"/>
        <v>2.1643518518519311E-3</v>
      </c>
      <c r="K1684" s="1"/>
    </row>
    <row r="1685" spans="1:11" x14ac:dyDescent="0.25">
      <c r="A1685" s="6">
        <v>2509631</v>
      </c>
      <c r="B1685" t="str">
        <f t="shared" si="104"/>
        <v>stacjonarny</v>
      </c>
      <c r="C1685">
        <f t="shared" si="105"/>
        <v>0</v>
      </c>
      <c r="D1685">
        <f t="shared" si="106"/>
        <v>0</v>
      </c>
      <c r="E1685" s="1">
        <v>42941</v>
      </c>
      <c r="F1685" s="2">
        <v>0.51025462962962964</v>
      </c>
      <c r="G1685" s="2">
        <v>0.52134259259259264</v>
      </c>
      <c r="H1685" s="2">
        <f t="shared" si="107"/>
        <v>1.1087962962962994E-2</v>
      </c>
      <c r="K1685" s="1"/>
    </row>
    <row r="1686" spans="1:11" x14ac:dyDescent="0.25">
      <c r="A1686" s="6">
        <v>4505950</v>
      </c>
      <c r="B1686" t="str">
        <f t="shared" si="104"/>
        <v>stacjonarny</v>
      </c>
      <c r="C1686">
        <f t="shared" si="105"/>
        <v>0</v>
      </c>
      <c r="D1686">
        <f t="shared" si="106"/>
        <v>0</v>
      </c>
      <c r="E1686" s="1">
        <v>42941</v>
      </c>
      <c r="F1686" s="2">
        <v>0.51373842592592589</v>
      </c>
      <c r="G1686" s="2">
        <v>0.52304398148148146</v>
      </c>
      <c r="H1686" s="2">
        <f t="shared" si="107"/>
        <v>9.3055555555555669E-3</v>
      </c>
      <c r="K1686" s="1"/>
    </row>
    <row r="1687" spans="1:11" x14ac:dyDescent="0.25">
      <c r="A1687" s="6">
        <v>39663331</v>
      </c>
      <c r="B1687" t="str">
        <f t="shared" si="104"/>
        <v>komorkowy</v>
      </c>
      <c r="C1687">
        <f t="shared" si="105"/>
        <v>0</v>
      </c>
      <c r="D1687">
        <f t="shared" si="106"/>
        <v>0</v>
      </c>
      <c r="E1687" s="1">
        <v>42941</v>
      </c>
      <c r="F1687" s="2">
        <v>0.51447916666666671</v>
      </c>
      <c r="G1687" s="2">
        <v>0.51800925925925922</v>
      </c>
      <c r="H1687" s="2">
        <f t="shared" si="107"/>
        <v>3.5300925925925153E-3</v>
      </c>
      <c r="K1687" s="1"/>
    </row>
    <row r="1688" spans="1:11" x14ac:dyDescent="0.25">
      <c r="A1688" s="6">
        <v>73350537</v>
      </c>
      <c r="B1688" t="str">
        <f t="shared" si="104"/>
        <v>komorkowy</v>
      </c>
      <c r="C1688">
        <f t="shared" si="105"/>
        <v>0</v>
      </c>
      <c r="D1688">
        <f t="shared" si="106"/>
        <v>0</v>
      </c>
      <c r="E1688" s="1">
        <v>42941</v>
      </c>
      <c r="F1688" s="2">
        <v>0.51847222222222222</v>
      </c>
      <c r="G1688" s="2">
        <v>0.5267708333333333</v>
      </c>
      <c r="H1688" s="2">
        <f t="shared" si="107"/>
        <v>8.2986111111110761E-3</v>
      </c>
      <c r="K1688" s="1"/>
    </row>
    <row r="1689" spans="1:11" x14ac:dyDescent="0.25">
      <c r="A1689" s="6">
        <v>36929553</v>
      </c>
      <c r="B1689" t="str">
        <f t="shared" si="104"/>
        <v>komorkowy</v>
      </c>
      <c r="C1689">
        <f t="shared" si="105"/>
        <v>0</v>
      </c>
      <c r="D1689">
        <f t="shared" si="106"/>
        <v>0</v>
      </c>
      <c r="E1689" s="1">
        <v>42941</v>
      </c>
      <c r="F1689" s="2">
        <v>0.52155092592592589</v>
      </c>
      <c r="G1689" s="2">
        <v>0.52667824074074077</v>
      </c>
      <c r="H1689" s="2">
        <f t="shared" si="107"/>
        <v>5.1273148148148762E-3</v>
      </c>
      <c r="K1689" s="1"/>
    </row>
    <row r="1690" spans="1:11" x14ac:dyDescent="0.25">
      <c r="A1690" s="6">
        <v>74135093</v>
      </c>
      <c r="B1690" t="str">
        <f t="shared" si="104"/>
        <v>komorkowy</v>
      </c>
      <c r="C1690">
        <f t="shared" si="105"/>
        <v>0</v>
      </c>
      <c r="D1690">
        <f t="shared" si="106"/>
        <v>0</v>
      </c>
      <c r="E1690" s="1">
        <v>42941</v>
      </c>
      <c r="F1690" s="2">
        <v>0.52232638888888894</v>
      </c>
      <c r="G1690" s="2">
        <v>0.52666666666666662</v>
      </c>
      <c r="H1690" s="2">
        <f t="shared" si="107"/>
        <v>4.3402777777776791E-3</v>
      </c>
      <c r="K1690" s="1"/>
    </row>
    <row r="1691" spans="1:11" x14ac:dyDescent="0.25">
      <c r="A1691" s="6">
        <v>3505978</v>
      </c>
      <c r="B1691" t="str">
        <f t="shared" si="104"/>
        <v>stacjonarny</v>
      </c>
      <c r="C1691">
        <f t="shared" si="105"/>
        <v>0</v>
      </c>
      <c r="D1691">
        <f t="shared" si="106"/>
        <v>0</v>
      </c>
      <c r="E1691" s="1">
        <v>42941</v>
      </c>
      <c r="F1691" s="2">
        <v>0.52393518518518523</v>
      </c>
      <c r="G1691" s="2">
        <v>0.53479166666666667</v>
      </c>
      <c r="H1691" s="2">
        <f t="shared" si="107"/>
        <v>1.0856481481481439E-2</v>
      </c>
      <c r="K1691" s="1"/>
    </row>
    <row r="1692" spans="1:11" x14ac:dyDescent="0.25">
      <c r="A1692" s="6">
        <v>4483996</v>
      </c>
      <c r="B1692" t="str">
        <f t="shared" si="104"/>
        <v>stacjonarny</v>
      </c>
      <c r="C1692">
        <f t="shared" si="105"/>
        <v>0</v>
      </c>
      <c r="D1692">
        <f t="shared" si="106"/>
        <v>0</v>
      </c>
      <c r="E1692" s="1">
        <v>42941</v>
      </c>
      <c r="F1692" s="2">
        <v>0.52584490740740741</v>
      </c>
      <c r="G1692" s="2">
        <v>0.53660879629629632</v>
      </c>
      <c r="H1692" s="2">
        <f t="shared" si="107"/>
        <v>1.0763888888888906E-2</v>
      </c>
      <c r="K1692" s="1"/>
    </row>
    <row r="1693" spans="1:11" x14ac:dyDescent="0.25">
      <c r="A1693" s="6">
        <v>6264844</v>
      </c>
      <c r="B1693" t="str">
        <f t="shared" si="104"/>
        <v>stacjonarny</v>
      </c>
      <c r="C1693">
        <f t="shared" si="105"/>
        <v>0</v>
      </c>
      <c r="D1693">
        <f t="shared" si="106"/>
        <v>0</v>
      </c>
      <c r="E1693" s="1">
        <v>42941</v>
      </c>
      <c r="F1693" s="2">
        <v>0.52655092592592589</v>
      </c>
      <c r="G1693" s="2">
        <v>0.52703703703703708</v>
      </c>
      <c r="H1693" s="2">
        <f t="shared" si="107"/>
        <v>4.861111111111871E-4</v>
      </c>
      <c r="K1693" s="1"/>
    </row>
    <row r="1694" spans="1:11" x14ac:dyDescent="0.25">
      <c r="A1694" s="6">
        <v>92127966</v>
      </c>
      <c r="B1694" t="str">
        <f t="shared" si="104"/>
        <v>komorkowy</v>
      </c>
      <c r="C1694">
        <f t="shared" si="105"/>
        <v>0</v>
      </c>
      <c r="D1694">
        <f t="shared" si="106"/>
        <v>0</v>
      </c>
      <c r="E1694" s="1">
        <v>42941</v>
      </c>
      <c r="F1694" s="2">
        <v>0.5317708333333333</v>
      </c>
      <c r="G1694" s="2">
        <v>0.53724537037037035</v>
      </c>
      <c r="H1694" s="2">
        <f t="shared" si="107"/>
        <v>5.4745370370370416E-3</v>
      </c>
      <c r="K1694" s="1"/>
    </row>
    <row r="1695" spans="1:11" x14ac:dyDescent="0.25">
      <c r="A1695" s="6">
        <v>7353916</v>
      </c>
      <c r="B1695" t="str">
        <f t="shared" si="104"/>
        <v>stacjonarny</v>
      </c>
      <c r="C1695">
        <f t="shared" si="105"/>
        <v>0</v>
      </c>
      <c r="D1695">
        <f t="shared" si="106"/>
        <v>0</v>
      </c>
      <c r="E1695" s="1">
        <v>42941</v>
      </c>
      <c r="F1695" s="2">
        <v>0.53456018518518522</v>
      </c>
      <c r="G1695" s="2">
        <v>0.53718750000000004</v>
      </c>
      <c r="H1695" s="2">
        <f t="shared" si="107"/>
        <v>2.6273148148148184E-3</v>
      </c>
      <c r="K1695" s="1"/>
    </row>
    <row r="1696" spans="1:11" x14ac:dyDescent="0.25">
      <c r="A1696" s="6">
        <v>5440420</v>
      </c>
      <c r="B1696" t="str">
        <f t="shared" si="104"/>
        <v>stacjonarny</v>
      </c>
      <c r="C1696">
        <f t="shared" si="105"/>
        <v>0</v>
      </c>
      <c r="D1696">
        <f t="shared" si="106"/>
        <v>0</v>
      </c>
      <c r="E1696" s="1">
        <v>42941</v>
      </c>
      <c r="F1696" s="2">
        <v>0.53535879629629635</v>
      </c>
      <c r="G1696" s="2">
        <v>0.54219907407407408</v>
      </c>
      <c r="H1696" s="2">
        <f t="shared" si="107"/>
        <v>6.8402777777777368E-3</v>
      </c>
      <c r="K1696" s="1"/>
    </row>
    <row r="1697" spans="1:11" x14ac:dyDescent="0.25">
      <c r="A1697" s="6">
        <v>8840288</v>
      </c>
      <c r="B1697" t="str">
        <f t="shared" si="104"/>
        <v>stacjonarny</v>
      </c>
      <c r="C1697">
        <f t="shared" si="105"/>
        <v>0</v>
      </c>
      <c r="D1697">
        <f t="shared" si="106"/>
        <v>0</v>
      </c>
      <c r="E1697" s="1">
        <v>42941</v>
      </c>
      <c r="F1697" s="2">
        <v>0.53964120370370372</v>
      </c>
      <c r="G1697" s="2">
        <v>0.54101851851851857</v>
      </c>
      <c r="H1697" s="2">
        <f t="shared" si="107"/>
        <v>1.3773148148148451E-3</v>
      </c>
      <c r="K1697" s="1"/>
    </row>
    <row r="1698" spans="1:11" x14ac:dyDescent="0.25">
      <c r="A1698" s="6">
        <v>9007177570</v>
      </c>
      <c r="B1698" t="str">
        <f t="shared" si="104"/>
        <v>zagraniczny</v>
      </c>
      <c r="C1698">
        <f t="shared" si="105"/>
        <v>0</v>
      </c>
      <c r="D1698">
        <f t="shared" si="106"/>
        <v>0</v>
      </c>
      <c r="E1698" s="1">
        <v>42941</v>
      </c>
      <c r="F1698" s="2">
        <v>0.54324074074074069</v>
      </c>
      <c r="G1698" s="2">
        <v>0.54956018518518523</v>
      </c>
      <c r="H1698" s="2">
        <f t="shared" si="107"/>
        <v>6.3194444444445441E-3</v>
      </c>
      <c r="K1698" s="1"/>
    </row>
    <row r="1699" spans="1:11" x14ac:dyDescent="0.25">
      <c r="A1699" s="6">
        <v>24850212</v>
      </c>
      <c r="B1699" t="str">
        <f t="shared" si="104"/>
        <v>komorkowy</v>
      </c>
      <c r="C1699">
        <f t="shared" si="105"/>
        <v>0</v>
      </c>
      <c r="D1699">
        <f t="shared" si="106"/>
        <v>0</v>
      </c>
      <c r="E1699" s="1">
        <v>42941</v>
      </c>
      <c r="F1699" s="2">
        <v>0.54350694444444447</v>
      </c>
      <c r="G1699" s="2">
        <v>0.54767361111111112</v>
      </c>
      <c r="H1699" s="2">
        <f t="shared" si="107"/>
        <v>4.1666666666666519E-3</v>
      </c>
      <c r="K1699" s="1"/>
    </row>
    <row r="1700" spans="1:11" x14ac:dyDescent="0.25">
      <c r="A1700" s="6">
        <v>7857206</v>
      </c>
      <c r="B1700" t="str">
        <f t="shared" si="104"/>
        <v>stacjonarny</v>
      </c>
      <c r="C1700">
        <f t="shared" si="105"/>
        <v>0</v>
      </c>
      <c r="D1700">
        <f t="shared" si="106"/>
        <v>0</v>
      </c>
      <c r="E1700" s="1">
        <v>42941</v>
      </c>
      <c r="F1700" s="2">
        <v>0.54858796296296297</v>
      </c>
      <c r="G1700" s="2">
        <v>0.55077546296296298</v>
      </c>
      <c r="H1700" s="2">
        <f t="shared" si="107"/>
        <v>2.1875000000000089E-3</v>
      </c>
      <c r="K1700" s="1"/>
    </row>
    <row r="1701" spans="1:11" x14ac:dyDescent="0.25">
      <c r="A1701" s="6">
        <v>9007177570</v>
      </c>
      <c r="B1701" t="str">
        <f t="shared" si="104"/>
        <v>zagraniczny</v>
      </c>
      <c r="C1701">
        <f t="shared" si="105"/>
        <v>0</v>
      </c>
      <c r="D1701">
        <f t="shared" si="106"/>
        <v>0</v>
      </c>
      <c r="E1701" s="1">
        <v>42941</v>
      </c>
      <c r="F1701" s="2">
        <v>0.5519560185185185</v>
      </c>
      <c r="G1701" s="2">
        <v>0.55625000000000002</v>
      </c>
      <c r="H1701" s="2">
        <f t="shared" si="107"/>
        <v>4.2939814814815236E-3</v>
      </c>
      <c r="K1701" s="1"/>
    </row>
    <row r="1702" spans="1:11" x14ac:dyDescent="0.25">
      <c r="A1702" s="6">
        <v>96375379</v>
      </c>
      <c r="B1702" t="str">
        <f t="shared" si="104"/>
        <v>komorkowy</v>
      </c>
      <c r="C1702">
        <f t="shared" si="105"/>
        <v>0</v>
      </c>
      <c r="D1702">
        <f t="shared" si="106"/>
        <v>0</v>
      </c>
      <c r="E1702" s="1">
        <v>42941</v>
      </c>
      <c r="F1702" s="2">
        <v>0.55320601851851847</v>
      </c>
      <c r="G1702" s="2">
        <v>0.55569444444444449</v>
      </c>
      <c r="H1702" s="2">
        <f t="shared" si="107"/>
        <v>2.4884259259260189E-3</v>
      </c>
      <c r="K1702" s="1"/>
    </row>
    <row r="1703" spans="1:11" x14ac:dyDescent="0.25">
      <c r="A1703" s="6">
        <v>6146223</v>
      </c>
      <c r="B1703" t="str">
        <f t="shared" si="104"/>
        <v>stacjonarny</v>
      </c>
      <c r="C1703">
        <f t="shared" si="105"/>
        <v>0</v>
      </c>
      <c r="D1703">
        <f t="shared" si="106"/>
        <v>0</v>
      </c>
      <c r="E1703" s="1">
        <v>42941</v>
      </c>
      <c r="F1703" s="2">
        <v>0.55517361111111108</v>
      </c>
      <c r="G1703" s="2">
        <v>0.56013888888888885</v>
      </c>
      <c r="H1703" s="2">
        <f t="shared" si="107"/>
        <v>4.9652777777777768E-3</v>
      </c>
      <c r="K1703" s="1"/>
    </row>
    <row r="1704" spans="1:11" x14ac:dyDescent="0.25">
      <c r="A1704" s="6">
        <v>7119239917</v>
      </c>
      <c r="B1704" t="str">
        <f t="shared" si="104"/>
        <v>zagraniczny</v>
      </c>
      <c r="C1704">
        <f t="shared" si="105"/>
        <v>0</v>
      </c>
      <c r="D1704">
        <f t="shared" si="106"/>
        <v>0</v>
      </c>
      <c r="E1704" s="1">
        <v>42941</v>
      </c>
      <c r="F1704" s="2">
        <v>0.56033564814814818</v>
      </c>
      <c r="G1704" s="2">
        <v>0.56570601851851854</v>
      </c>
      <c r="H1704" s="2">
        <f t="shared" si="107"/>
        <v>5.3703703703703587E-3</v>
      </c>
      <c r="K1704" s="1"/>
    </row>
    <row r="1705" spans="1:11" x14ac:dyDescent="0.25">
      <c r="A1705" s="6">
        <v>8622421</v>
      </c>
      <c r="B1705" t="str">
        <f t="shared" si="104"/>
        <v>stacjonarny</v>
      </c>
      <c r="C1705">
        <f t="shared" si="105"/>
        <v>0</v>
      </c>
      <c r="D1705">
        <f t="shared" si="106"/>
        <v>0</v>
      </c>
      <c r="E1705" s="1">
        <v>42941</v>
      </c>
      <c r="F1705" s="2">
        <v>0.56459490740740736</v>
      </c>
      <c r="G1705" s="2">
        <v>0.56638888888888894</v>
      </c>
      <c r="H1705" s="2">
        <f t="shared" si="107"/>
        <v>1.7939814814815769E-3</v>
      </c>
      <c r="K1705" s="1"/>
    </row>
    <row r="1706" spans="1:11" x14ac:dyDescent="0.25">
      <c r="A1706" s="6">
        <v>2304726</v>
      </c>
      <c r="B1706" t="str">
        <f t="shared" si="104"/>
        <v>stacjonarny</v>
      </c>
      <c r="C1706">
        <f t="shared" si="105"/>
        <v>0</v>
      </c>
      <c r="D1706">
        <f t="shared" si="106"/>
        <v>0</v>
      </c>
      <c r="E1706" s="1">
        <v>42941</v>
      </c>
      <c r="F1706" s="2">
        <v>0.56620370370370365</v>
      </c>
      <c r="G1706" s="2">
        <v>0.57226851851851857</v>
      </c>
      <c r="H1706" s="2">
        <f t="shared" si="107"/>
        <v>6.0648148148149117E-3</v>
      </c>
      <c r="K1706" s="1"/>
    </row>
    <row r="1707" spans="1:11" x14ac:dyDescent="0.25">
      <c r="A1707" s="6">
        <v>9183185</v>
      </c>
      <c r="B1707" t="str">
        <f t="shared" si="104"/>
        <v>stacjonarny</v>
      </c>
      <c r="C1707">
        <f t="shared" si="105"/>
        <v>0</v>
      </c>
      <c r="D1707">
        <f t="shared" si="106"/>
        <v>0</v>
      </c>
      <c r="E1707" s="1">
        <v>42941</v>
      </c>
      <c r="F1707" s="2">
        <v>0.56643518518518521</v>
      </c>
      <c r="G1707" s="2">
        <v>0.5687268518518519</v>
      </c>
      <c r="H1707" s="2">
        <f t="shared" si="107"/>
        <v>2.2916666666666918E-3</v>
      </c>
      <c r="K1707" s="1"/>
    </row>
    <row r="1708" spans="1:11" x14ac:dyDescent="0.25">
      <c r="A1708" s="6">
        <v>2185216</v>
      </c>
      <c r="B1708" t="str">
        <f t="shared" si="104"/>
        <v>stacjonarny</v>
      </c>
      <c r="C1708">
        <f t="shared" si="105"/>
        <v>0</v>
      </c>
      <c r="D1708">
        <f t="shared" si="106"/>
        <v>0</v>
      </c>
      <c r="E1708" s="1">
        <v>42941</v>
      </c>
      <c r="F1708" s="2">
        <v>0.56959490740740737</v>
      </c>
      <c r="G1708" s="2">
        <v>0.57927083333333329</v>
      </c>
      <c r="H1708" s="2">
        <f t="shared" si="107"/>
        <v>9.6759259259259212E-3</v>
      </c>
      <c r="K1708" s="1"/>
    </row>
    <row r="1709" spans="1:11" x14ac:dyDescent="0.25">
      <c r="A1709" s="6">
        <v>9664191</v>
      </c>
      <c r="B1709" t="str">
        <f t="shared" si="104"/>
        <v>stacjonarny</v>
      </c>
      <c r="C1709">
        <f t="shared" si="105"/>
        <v>0</v>
      </c>
      <c r="D1709">
        <f t="shared" si="106"/>
        <v>0</v>
      </c>
      <c r="E1709" s="1">
        <v>42941</v>
      </c>
      <c r="F1709" s="2">
        <v>0.56974537037037032</v>
      </c>
      <c r="G1709" s="2">
        <v>0.57015046296296301</v>
      </c>
      <c r="H1709" s="2">
        <f t="shared" si="107"/>
        <v>4.0509259259269292E-4</v>
      </c>
      <c r="K1709" s="1"/>
    </row>
    <row r="1710" spans="1:11" x14ac:dyDescent="0.25">
      <c r="A1710" s="6">
        <v>8743781</v>
      </c>
      <c r="B1710" t="str">
        <f t="shared" si="104"/>
        <v>stacjonarny</v>
      </c>
      <c r="C1710">
        <f t="shared" si="105"/>
        <v>0</v>
      </c>
      <c r="D1710">
        <f t="shared" si="106"/>
        <v>0</v>
      </c>
      <c r="E1710" s="1">
        <v>42941</v>
      </c>
      <c r="F1710" s="2">
        <v>0.57284722222222217</v>
      </c>
      <c r="G1710" s="2">
        <v>0.58149305555555553</v>
      </c>
      <c r="H1710" s="2">
        <f t="shared" si="107"/>
        <v>8.6458333333333526E-3</v>
      </c>
      <c r="K1710" s="1"/>
    </row>
    <row r="1711" spans="1:11" x14ac:dyDescent="0.25">
      <c r="A1711" s="6">
        <v>97997759</v>
      </c>
      <c r="B1711" t="str">
        <f t="shared" si="104"/>
        <v>komorkowy</v>
      </c>
      <c r="C1711">
        <f t="shared" si="105"/>
        <v>0</v>
      </c>
      <c r="D1711">
        <f t="shared" si="106"/>
        <v>0</v>
      </c>
      <c r="E1711" s="1">
        <v>42941</v>
      </c>
      <c r="F1711" s="2">
        <v>0.57335648148148144</v>
      </c>
      <c r="G1711" s="2">
        <v>0.5735069444444445</v>
      </c>
      <c r="H1711" s="2">
        <f t="shared" si="107"/>
        <v>1.504629629630605E-4</v>
      </c>
      <c r="K1711" s="1"/>
    </row>
    <row r="1712" spans="1:11" x14ac:dyDescent="0.25">
      <c r="A1712" s="6">
        <v>4100331</v>
      </c>
      <c r="B1712" t="str">
        <f t="shared" si="104"/>
        <v>stacjonarny</v>
      </c>
      <c r="C1712">
        <f t="shared" si="105"/>
        <v>0</v>
      </c>
      <c r="D1712">
        <f t="shared" si="106"/>
        <v>0</v>
      </c>
      <c r="E1712" s="1">
        <v>42941</v>
      </c>
      <c r="F1712" s="2">
        <v>0.57863425925925926</v>
      </c>
      <c r="G1712" s="2">
        <v>0.58030092592592597</v>
      </c>
      <c r="H1712" s="2">
        <f t="shared" si="107"/>
        <v>1.6666666666667052E-3</v>
      </c>
      <c r="K1712" s="1"/>
    </row>
    <row r="1713" spans="1:11" x14ac:dyDescent="0.25">
      <c r="A1713" s="6">
        <v>7215284</v>
      </c>
      <c r="B1713" t="str">
        <f t="shared" si="104"/>
        <v>stacjonarny</v>
      </c>
      <c r="C1713">
        <f t="shared" si="105"/>
        <v>0</v>
      </c>
      <c r="D1713">
        <f t="shared" si="106"/>
        <v>0</v>
      </c>
      <c r="E1713" s="1">
        <v>42941</v>
      </c>
      <c r="F1713" s="2">
        <v>0.57974537037037033</v>
      </c>
      <c r="G1713" s="2">
        <v>0.59083333333333332</v>
      </c>
      <c r="H1713" s="2">
        <f t="shared" si="107"/>
        <v>1.1087962962962994E-2</v>
      </c>
      <c r="K1713" s="1"/>
    </row>
    <row r="1714" spans="1:11" x14ac:dyDescent="0.25">
      <c r="A1714" s="6">
        <v>9474267</v>
      </c>
      <c r="B1714" t="str">
        <f t="shared" si="104"/>
        <v>stacjonarny</v>
      </c>
      <c r="C1714">
        <f t="shared" si="105"/>
        <v>0</v>
      </c>
      <c r="D1714">
        <f t="shared" si="106"/>
        <v>0</v>
      </c>
      <c r="E1714" s="1">
        <v>42941</v>
      </c>
      <c r="F1714" s="2">
        <v>0.58423611111111107</v>
      </c>
      <c r="G1714" s="2">
        <v>0.59392361111111114</v>
      </c>
      <c r="H1714" s="2">
        <f t="shared" si="107"/>
        <v>9.6875000000000711E-3</v>
      </c>
      <c r="K1714" s="1"/>
    </row>
    <row r="1715" spans="1:11" x14ac:dyDescent="0.25">
      <c r="A1715" s="6">
        <v>3200206</v>
      </c>
      <c r="B1715" t="str">
        <f t="shared" si="104"/>
        <v>stacjonarny</v>
      </c>
      <c r="C1715">
        <f t="shared" si="105"/>
        <v>0</v>
      </c>
      <c r="D1715">
        <f t="shared" si="106"/>
        <v>0</v>
      </c>
      <c r="E1715" s="1">
        <v>42941</v>
      </c>
      <c r="F1715" s="2">
        <v>0.58784722222222219</v>
      </c>
      <c r="G1715" s="2">
        <v>0.59894675925925922</v>
      </c>
      <c r="H1715" s="2">
        <f t="shared" si="107"/>
        <v>1.1099537037037033E-2</v>
      </c>
      <c r="K1715" s="1"/>
    </row>
    <row r="1716" spans="1:11" x14ac:dyDescent="0.25">
      <c r="A1716" s="6">
        <v>72014227</v>
      </c>
      <c r="B1716" t="str">
        <f t="shared" si="104"/>
        <v>komorkowy</v>
      </c>
      <c r="C1716">
        <f t="shared" si="105"/>
        <v>0</v>
      </c>
      <c r="D1716">
        <f t="shared" si="106"/>
        <v>0</v>
      </c>
      <c r="E1716" s="1">
        <v>42941</v>
      </c>
      <c r="F1716" s="2">
        <v>0.58899305555555559</v>
      </c>
      <c r="G1716" s="2">
        <v>0.59116898148148145</v>
      </c>
      <c r="H1716" s="2">
        <f t="shared" si="107"/>
        <v>2.175925925925859E-3</v>
      </c>
      <c r="K1716" s="1"/>
    </row>
    <row r="1717" spans="1:11" x14ac:dyDescent="0.25">
      <c r="A1717" s="6">
        <v>3976931</v>
      </c>
      <c r="B1717" t="str">
        <f t="shared" si="104"/>
        <v>stacjonarny</v>
      </c>
      <c r="C1717">
        <f t="shared" si="105"/>
        <v>0</v>
      </c>
      <c r="D1717">
        <f t="shared" si="106"/>
        <v>0</v>
      </c>
      <c r="E1717" s="1">
        <v>42941</v>
      </c>
      <c r="F1717" s="2">
        <v>0.59350694444444441</v>
      </c>
      <c r="G1717" s="2">
        <v>0.59811342592592598</v>
      </c>
      <c r="H1717" s="2">
        <f t="shared" si="107"/>
        <v>4.6064814814815724E-3</v>
      </c>
      <c r="K1717" s="1"/>
    </row>
    <row r="1718" spans="1:11" x14ac:dyDescent="0.25">
      <c r="A1718" s="6">
        <v>6717763</v>
      </c>
      <c r="B1718" t="str">
        <f t="shared" si="104"/>
        <v>stacjonarny</v>
      </c>
      <c r="C1718">
        <f t="shared" si="105"/>
        <v>0</v>
      </c>
      <c r="D1718">
        <f t="shared" si="106"/>
        <v>0</v>
      </c>
      <c r="E1718" s="1">
        <v>42941</v>
      </c>
      <c r="F1718" s="2">
        <v>0.596099537037037</v>
      </c>
      <c r="G1718" s="2">
        <v>0.60069444444444442</v>
      </c>
      <c r="H1718" s="2">
        <f t="shared" si="107"/>
        <v>4.5949074074074225E-3</v>
      </c>
      <c r="K1718" s="1"/>
    </row>
    <row r="1719" spans="1:11" x14ac:dyDescent="0.25">
      <c r="A1719" s="6">
        <v>2117176</v>
      </c>
      <c r="B1719" t="str">
        <f t="shared" si="104"/>
        <v>stacjonarny</v>
      </c>
      <c r="C1719">
        <f t="shared" si="105"/>
        <v>0</v>
      </c>
      <c r="D1719">
        <f t="shared" si="106"/>
        <v>0</v>
      </c>
      <c r="E1719" s="1">
        <v>42941</v>
      </c>
      <c r="F1719" s="2">
        <v>0.5995138888888889</v>
      </c>
      <c r="G1719" s="2">
        <v>0.60322916666666671</v>
      </c>
      <c r="H1719" s="2">
        <f t="shared" si="107"/>
        <v>3.7152777777778034E-3</v>
      </c>
      <c r="K1719" s="1"/>
    </row>
    <row r="1720" spans="1:11" x14ac:dyDescent="0.25">
      <c r="A1720" s="6">
        <v>67688044</v>
      </c>
      <c r="B1720" t="str">
        <f t="shared" si="104"/>
        <v>komorkowy</v>
      </c>
      <c r="C1720">
        <f t="shared" si="105"/>
        <v>0</v>
      </c>
      <c r="D1720">
        <f t="shared" si="106"/>
        <v>0</v>
      </c>
      <c r="E1720" s="1">
        <v>42941</v>
      </c>
      <c r="F1720" s="2">
        <v>0.60341435185185188</v>
      </c>
      <c r="G1720" s="2">
        <v>0.60423611111111108</v>
      </c>
      <c r="H1720" s="2">
        <f t="shared" si="107"/>
        <v>8.2175925925920268E-4</v>
      </c>
      <c r="K1720" s="1"/>
    </row>
    <row r="1721" spans="1:11" x14ac:dyDescent="0.25">
      <c r="A1721" s="6">
        <v>3824371</v>
      </c>
      <c r="B1721" t="str">
        <f t="shared" si="104"/>
        <v>stacjonarny</v>
      </c>
      <c r="C1721">
        <f t="shared" si="105"/>
        <v>0</v>
      </c>
      <c r="D1721">
        <f t="shared" si="106"/>
        <v>0</v>
      </c>
      <c r="E1721" s="1">
        <v>42941</v>
      </c>
      <c r="F1721" s="2">
        <v>0.60442129629629626</v>
      </c>
      <c r="G1721" s="2">
        <v>0.61266203703703703</v>
      </c>
      <c r="H1721" s="2">
        <f t="shared" si="107"/>
        <v>8.2407407407407707E-3</v>
      </c>
      <c r="K1721" s="1"/>
    </row>
    <row r="1722" spans="1:11" x14ac:dyDescent="0.25">
      <c r="A1722" s="6">
        <v>3025855</v>
      </c>
      <c r="B1722" t="str">
        <f t="shared" si="104"/>
        <v>stacjonarny</v>
      </c>
      <c r="C1722">
        <f t="shared" si="105"/>
        <v>0</v>
      </c>
      <c r="D1722">
        <f t="shared" si="106"/>
        <v>0</v>
      </c>
      <c r="E1722" s="1">
        <v>42941</v>
      </c>
      <c r="F1722" s="2">
        <v>0.60601851851851851</v>
      </c>
      <c r="G1722" s="2">
        <v>0.60782407407407413</v>
      </c>
      <c r="H1722" s="2">
        <f t="shared" si="107"/>
        <v>1.8055555555556158E-3</v>
      </c>
      <c r="K1722" s="1"/>
    </row>
    <row r="1723" spans="1:11" x14ac:dyDescent="0.25">
      <c r="A1723" s="6">
        <v>8773356</v>
      </c>
      <c r="B1723" t="str">
        <f t="shared" si="104"/>
        <v>stacjonarny</v>
      </c>
      <c r="C1723">
        <f t="shared" si="105"/>
        <v>0</v>
      </c>
      <c r="D1723">
        <f t="shared" si="106"/>
        <v>0</v>
      </c>
      <c r="E1723" s="1">
        <v>42941</v>
      </c>
      <c r="F1723" s="2">
        <v>0.60879629629629628</v>
      </c>
      <c r="G1723" s="2">
        <v>0.61106481481481478</v>
      </c>
      <c r="H1723" s="2">
        <f t="shared" si="107"/>
        <v>2.2685185185185031E-3</v>
      </c>
      <c r="K1723" s="1"/>
    </row>
    <row r="1724" spans="1:11" x14ac:dyDescent="0.25">
      <c r="A1724" s="6">
        <v>1211446</v>
      </c>
      <c r="B1724" t="str">
        <f t="shared" si="104"/>
        <v>stacjonarny</v>
      </c>
      <c r="C1724">
        <f t="shared" si="105"/>
        <v>1</v>
      </c>
      <c r="D1724">
        <f t="shared" si="106"/>
        <v>1</v>
      </c>
      <c r="E1724" s="1">
        <v>42941</v>
      </c>
      <c r="F1724" s="2">
        <v>0.61202546296296301</v>
      </c>
      <c r="G1724" s="2">
        <v>0.62135416666666665</v>
      </c>
      <c r="H1724" s="2">
        <f t="shared" si="107"/>
        <v>9.3287037037036447E-3</v>
      </c>
      <c r="K1724" s="1"/>
    </row>
    <row r="1725" spans="1:11" x14ac:dyDescent="0.25">
      <c r="A1725" s="6">
        <v>3607585</v>
      </c>
      <c r="B1725" t="str">
        <f t="shared" si="104"/>
        <v>stacjonarny</v>
      </c>
      <c r="C1725">
        <f t="shared" si="105"/>
        <v>0</v>
      </c>
      <c r="D1725">
        <f t="shared" si="106"/>
        <v>0</v>
      </c>
      <c r="E1725" s="1">
        <v>42941</v>
      </c>
      <c r="F1725" s="2">
        <v>0.61460648148148145</v>
      </c>
      <c r="G1725" s="2">
        <v>0.62116898148148147</v>
      </c>
      <c r="H1725" s="2">
        <f t="shared" si="107"/>
        <v>6.5625000000000266E-3</v>
      </c>
      <c r="K1725" s="1"/>
    </row>
    <row r="1726" spans="1:11" x14ac:dyDescent="0.25">
      <c r="A1726" s="6">
        <v>5492379</v>
      </c>
      <c r="B1726" t="str">
        <f t="shared" si="104"/>
        <v>stacjonarny</v>
      </c>
      <c r="C1726">
        <f t="shared" si="105"/>
        <v>0</v>
      </c>
      <c r="D1726">
        <f t="shared" si="106"/>
        <v>0</v>
      </c>
      <c r="E1726" s="1">
        <v>42941</v>
      </c>
      <c r="F1726" s="2">
        <v>0.61895833333333339</v>
      </c>
      <c r="G1726" s="2">
        <v>0.61971064814814814</v>
      </c>
      <c r="H1726" s="2">
        <f t="shared" si="107"/>
        <v>7.5231481481474738E-4</v>
      </c>
      <c r="K1726" s="1"/>
    </row>
    <row r="1727" spans="1:11" x14ac:dyDescent="0.25">
      <c r="A1727" s="6">
        <v>84589848</v>
      </c>
      <c r="B1727" t="str">
        <f t="shared" si="104"/>
        <v>komorkowy</v>
      </c>
      <c r="C1727">
        <f t="shared" si="105"/>
        <v>0</v>
      </c>
      <c r="D1727">
        <f t="shared" si="106"/>
        <v>0</v>
      </c>
      <c r="E1727" s="1">
        <v>42941</v>
      </c>
      <c r="F1727" s="2">
        <v>0.61971064814814814</v>
      </c>
      <c r="G1727" s="2">
        <v>0.62334490740740744</v>
      </c>
      <c r="H1727" s="2">
        <f t="shared" si="107"/>
        <v>3.6342592592593093E-3</v>
      </c>
      <c r="K1727" s="1"/>
    </row>
    <row r="1728" spans="1:11" x14ac:dyDescent="0.25">
      <c r="A1728" s="6">
        <v>7622848</v>
      </c>
      <c r="B1728" t="str">
        <f t="shared" si="104"/>
        <v>stacjonarny</v>
      </c>
      <c r="C1728">
        <f t="shared" si="105"/>
        <v>0</v>
      </c>
      <c r="D1728">
        <f t="shared" si="106"/>
        <v>0</v>
      </c>
      <c r="E1728" s="1">
        <v>42941</v>
      </c>
      <c r="F1728" s="2">
        <v>0.62008101851851849</v>
      </c>
      <c r="G1728" s="2">
        <v>0.62776620370370373</v>
      </c>
      <c r="H1728" s="2">
        <f t="shared" si="107"/>
        <v>7.6851851851852393E-3</v>
      </c>
      <c r="K1728" s="1"/>
    </row>
    <row r="1729" spans="1:11" x14ac:dyDescent="0.25">
      <c r="A1729" s="6">
        <v>7883595</v>
      </c>
      <c r="B1729" t="str">
        <f t="shared" si="104"/>
        <v>stacjonarny</v>
      </c>
      <c r="C1729">
        <f t="shared" si="105"/>
        <v>0</v>
      </c>
      <c r="D1729">
        <f t="shared" si="106"/>
        <v>0</v>
      </c>
      <c r="E1729" s="1">
        <v>42941</v>
      </c>
      <c r="F1729" s="2">
        <v>0.62149305555555556</v>
      </c>
      <c r="G1729" s="2">
        <v>0.624537037037037</v>
      </c>
      <c r="H1729" s="2">
        <f t="shared" si="107"/>
        <v>3.0439814814814392E-3</v>
      </c>
      <c r="K1729" s="1"/>
    </row>
    <row r="1730" spans="1:11" x14ac:dyDescent="0.25">
      <c r="A1730" s="6">
        <v>4804872</v>
      </c>
      <c r="B1730" t="str">
        <f t="shared" ref="B1730:B1793" si="108">IF(LEN(A1730)=7, "stacjonarny", IF(LEN(A1730)=8, "komorkowy", "zagraniczny"))</f>
        <v>stacjonarny</v>
      </c>
      <c r="C1730">
        <f t="shared" si="105"/>
        <v>0</v>
      </c>
      <c r="D1730">
        <f t="shared" si="106"/>
        <v>0</v>
      </c>
      <c r="E1730" s="1">
        <v>42941</v>
      </c>
      <c r="F1730" s="2">
        <v>0.62472222222222218</v>
      </c>
      <c r="G1730" s="2">
        <v>0.6360069444444445</v>
      </c>
      <c r="H1730" s="2">
        <f t="shared" si="107"/>
        <v>1.1284722222222321E-2</v>
      </c>
      <c r="K1730" s="1"/>
    </row>
    <row r="1731" spans="1:11" x14ac:dyDescent="0.25">
      <c r="A1731" s="6">
        <v>61812355</v>
      </c>
      <c r="B1731" t="str">
        <f t="shared" si="108"/>
        <v>komorkowy</v>
      </c>
      <c r="C1731">
        <f t="shared" ref="C1731:C1794" si="109">IF(LEFT(A1731,2)="12",1,0)</f>
        <v>0</v>
      </c>
      <c r="D1731">
        <f t="shared" ref="D1731:D1794" si="110">IF(AND(C1731=1,B1731="stacjonarny"),1,0)</f>
        <v>0</v>
      </c>
      <c r="E1731" s="1">
        <v>42941</v>
      </c>
      <c r="F1731" s="2">
        <v>0.6292592592592593</v>
      </c>
      <c r="G1731" s="2">
        <v>0.63806712962962964</v>
      </c>
      <c r="H1731" s="2">
        <f t="shared" ref="H1731:H1794" si="111">G1731-F1731</f>
        <v>8.8078703703703409E-3</v>
      </c>
      <c r="K1731" s="1"/>
    </row>
    <row r="1732" spans="1:11" x14ac:dyDescent="0.25">
      <c r="A1732" s="6">
        <v>6493766</v>
      </c>
      <c r="B1732" t="str">
        <f t="shared" si="108"/>
        <v>stacjonarny</v>
      </c>
      <c r="C1732">
        <f t="shared" si="109"/>
        <v>0</v>
      </c>
      <c r="D1732">
        <f t="shared" si="110"/>
        <v>0</v>
      </c>
      <c r="E1732" s="1">
        <v>42942</v>
      </c>
      <c r="F1732" s="2">
        <v>0.33584490740740741</v>
      </c>
      <c r="G1732" s="2">
        <v>0.33677083333333335</v>
      </c>
      <c r="H1732" s="2">
        <f t="shared" si="111"/>
        <v>9.2592592592594114E-4</v>
      </c>
      <c r="K1732" s="1"/>
    </row>
    <row r="1733" spans="1:11" x14ac:dyDescent="0.25">
      <c r="A1733" s="6">
        <v>4965118</v>
      </c>
      <c r="B1733" t="str">
        <f t="shared" si="108"/>
        <v>stacjonarny</v>
      </c>
      <c r="C1733">
        <f t="shared" si="109"/>
        <v>0</v>
      </c>
      <c r="D1733">
        <f t="shared" si="110"/>
        <v>0</v>
      </c>
      <c r="E1733" s="1">
        <v>42942</v>
      </c>
      <c r="F1733" s="2">
        <v>0.33710648148148148</v>
      </c>
      <c r="G1733" s="2">
        <v>0.34759259259259262</v>
      </c>
      <c r="H1733" s="2">
        <f t="shared" si="111"/>
        <v>1.048611111111114E-2</v>
      </c>
      <c r="K1733" s="1"/>
    </row>
    <row r="1734" spans="1:11" x14ac:dyDescent="0.25">
      <c r="A1734" s="6">
        <v>7973476</v>
      </c>
      <c r="B1734" t="str">
        <f t="shared" si="108"/>
        <v>stacjonarny</v>
      </c>
      <c r="C1734">
        <f t="shared" si="109"/>
        <v>0</v>
      </c>
      <c r="D1734">
        <f t="shared" si="110"/>
        <v>0</v>
      </c>
      <c r="E1734" s="1">
        <v>42942</v>
      </c>
      <c r="F1734" s="2">
        <v>0.34250000000000003</v>
      </c>
      <c r="G1734" s="2">
        <v>0.35003472222222221</v>
      </c>
      <c r="H1734" s="2">
        <f t="shared" si="111"/>
        <v>7.5347222222221788E-3</v>
      </c>
      <c r="K1734" s="1"/>
    </row>
    <row r="1735" spans="1:11" x14ac:dyDescent="0.25">
      <c r="A1735" s="6">
        <v>6642574</v>
      </c>
      <c r="B1735" t="str">
        <f t="shared" si="108"/>
        <v>stacjonarny</v>
      </c>
      <c r="C1735">
        <f t="shared" si="109"/>
        <v>0</v>
      </c>
      <c r="D1735">
        <f t="shared" si="110"/>
        <v>0</v>
      </c>
      <c r="E1735" s="1">
        <v>42942</v>
      </c>
      <c r="F1735" s="2">
        <v>0.34575231481481483</v>
      </c>
      <c r="G1735" s="2">
        <v>0.35645833333333332</v>
      </c>
      <c r="H1735" s="2">
        <f t="shared" si="111"/>
        <v>1.070601851851849E-2</v>
      </c>
      <c r="K1735" s="1"/>
    </row>
    <row r="1736" spans="1:11" x14ac:dyDescent="0.25">
      <c r="A1736" s="6">
        <v>2325155</v>
      </c>
      <c r="B1736" t="str">
        <f t="shared" si="108"/>
        <v>stacjonarny</v>
      </c>
      <c r="C1736">
        <f t="shared" si="109"/>
        <v>0</v>
      </c>
      <c r="D1736">
        <f t="shared" si="110"/>
        <v>0</v>
      </c>
      <c r="E1736" s="1">
        <v>42942</v>
      </c>
      <c r="F1736" s="2">
        <v>0.34759259259259262</v>
      </c>
      <c r="G1736" s="2">
        <v>0.35511574074074076</v>
      </c>
      <c r="H1736" s="2">
        <f t="shared" si="111"/>
        <v>7.5231481481481399E-3</v>
      </c>
      <c r="K1736" s="1"/>
    </row>
    <row r="1737" spans="1:11" x14ac:dyDescent="0.25">
      <c r="A1737" s="6">
        <v>1340323</v>
      </c>
      <c r="B1737" t="str">
        <f t="shared" si="108"/>
        <v>stacjonarny</v>
      </c>
      <c r="C1737">
        <f t="shared" si="109"/>
        <v>0</v>
      </c>
      <c r="D1737">
        <f t="shared" si="110"/>
        <v>0</v>
      </c>
      <c r="E1737" s="1">
        <v>42942</v>
      </c>
      <c r="F1737" s="2">
        <v>0.34994212962962962</v>
      </c>
      <c r="G1737" s="2">
        <v>0.35781249999999998</v>
      </c>
      <c r="H1737" s="2">
        <f t="shared" si="111"/>
        <v>7.8703703703703609E-3</v>
      </c>
      <c r="K1737" s="1"/>
    </row>
    <row r="1738" spans="1:11" x14ac:dyDescent="0.25">
      <c r="A1738" s="6">
        <v>8957203</v>
      </c>
      <c r="B1738" t="str">
        <f t="shared" si="108"/>
        <v>stacjonarny</v>
      </c>
      <c r="C1738">
        <f t="shared" si="109"/>
        <v>0</v>
      </c>
      <c r="D1738">
        <f t="shared" si="110"/>
        <v>0</v>
      </c>
      <c r="E1738" s="1">
        <v>42942</v>
      </c>
      <c r="F1738" s="2">
        <v>0.35454861111111113</v>
      </c>
      <c r="G1738" s="2">
        <v>0.3629398148148148</v>
      </c>
      <c r="H1738" s="2">
        <f t="shared" si="111"/>
        <v>8.3912037037036646E-3</v>
      </c>
      <c r="K1738" s="1"/>
    </row>
    <row r="1739" spans="1:11" x14ac:dyDescent="0.25">
      <c r="A1739" s="6">
        <v>8276893</v>
      </c>
      <c r="B1739" t="str">
        <f t="shared" si="108"/>
        <v>stacjonarny</v>
      </c>
      <c r="C1739">
        <f t="shared" si="109"/>
        <v>0</v>
      </c>
      <c r="D1739">
        <f t="shared" si="110"/>
        <v>0</v>
      </c>
      <c r="E1739" s="1">
        <v>42942</v>
      </c>
      <c r="F1739" s="2">
        <v>0.3590740740740741</v>
      </c>
      <c r="G1739" s="2">
        <v>0.36600694444444443</v>
      </c>
      <c r="H1739" s="2">
        <f t="shared" si="111"/>
        <v>6.9328703703703254E-3</v>
      </c>
      <c r="K1739" s="1"/>
    </row>
    <row r="1740" spans="1:11" x14ac:dyDescent="0.25">
      <c r="A1740" s="6">
        <v>7894591002</v>
      </c>
      <c r="B1740" t="str">
        <f t="shared" si="108"/>
        <v>zagraniczny</v>
      </c>
      <c r="C1740">
        <f t="shared" si="109"/>
        <v>0</v>
      </c>
      <c r="D1740">
        <f t="shared" si="110"/>
        <v>0</v>
      </c>
      <c r="E1740" s="1">
        <v>42942</v>
      </c>
      <c r="F1740" s="2">
        <v>0.36476851851851849</v>
      </c>
      <c r="G1740" s="2">
        <v>0.37505787037037036</v>
      </c>
      <c r="H1740" s="2">
        <f t="shared" si="111"/>
        <v>1.0289351851851869E-2</v>
      </c>
      <c r="K1740" s="1"/>
    </row>
    <row r="1741" spans="1:11" x14ac:dyDescent="0.25">
      <c r="A1741" s="6">
        <v>26891502</v>
      </c>
      <c r="B1741" t="str">
        <f t="shared" si="108"/>
        <v>komorkowy</v>
      </c>
      <c r="C1741">
        <f t="shared" si="109"/>
        <v>0</v>
      </c>
      <c r="D1741">
        <f t="shared" si="110"/>
        <v>0</v>
      </c>
      <c r="E1741" s="1">
        <v>42942</v>
      </c>
      <c r="F1741" s="2">
        <v>0.3697685185185185</v>
      </c>
      <c r="G1741" s="2">
        <v>0.37656250000000002</v>
      </c>
      <c r="H1741" s="2">
        <f t="shared" si="111"/>
        <v>6.7939814814815258E-3</v>
      </c>
      <c r="K1741" s="1"/>
    </row>
    <row r="1742" spans="1:11" x14ac:dyDescent="0.25">
      <c r="A1742" s="6">
        <v>71021004</v>
      </c>
      <c r="B1742" t="str">
        <f t="shared" si="108"/>
        <v>komorkowy</v>
      </c>
      <c r="C1742">
        <f t="shared" si="109"/>
        <v>0</v>
      </c>
      <c r="D1742">
        <f t="shared" si="110"/>
        <v>0</v>
      </c>
      <c r="E1742" s="1">
        <v>42942</v>
      </c>
      <c r="F1742" s="2">
        <v>0.37305555555555553</v>
      </c>
      <c r="G1742" s="2">
        <v>0.38090277777777776</v>
      </c>
      <c r="H1742" s="2">
        <f t="shared" si="111"/>
        <v>7.8472222222222276E-3</v>
      </c>
      <c r="K1742" s="1"/>
    </row>
    <row r="1743" spans="1:11" x14ac:dyDescent="0.25">
      <c r="A1743" s="6">
        <v>17314583</v>
      </c>
      <c r="B1743" t="str">
        <f t="shared" si="108"/>
        <v>komorkowy</v>
      </c>
      <c r="C1743">
        <f t="shared" si="109"/>
        <v>0</v>
      </c>
      <c r="D1743">
        <f t="shared" si="110"/>
        <v>0</v>
      </c>
      <c r="E1743" s="1">
        <v>42942</v>
      </c>
      <c r="F1743" s="2">
        <v>0.37843749999999998</v>
      </c>
      <c r="G1743" s="2">
        <v>0.38879629629629631</v>
      </c>
      <c r="H1743" s="2">
        <f t="shared" si="111"/>
        <v>1.0358796296296324E-2</v>
      </c>
      <c r="K1743" s="1"/>
    </row>
    <row r="1744" spans="1:11" x14ac:dyDescent="0.25">
      <c r="A1744" s="6">
        <v>3972159</v>
      </c>
      <c r="B1744" t="str">
        <f t="shared" si="108"/>
        <v>stacjonarny</v>
      </c>
      <c r="C1744">
        <f t="shared" si="109"/>
        <v>0</v>
      </c>
      <c r="D1744">
        <f t="shared" si="110"/>
        <v>0</v>
      </c>
      <c r="E1744" s="1">
        <v>42942</v>
      </c>
      <c r="F1744" s="2">
        <v>0.37895833333333334</v>
      </c>
      <c r="G1744" s="2">
        <v>0.38263888888888886</v>
      </c>
      <c r="H1744" s="2">
        <f t="shared" si="111"/>
        <v>3.6805555555555203E-3</v>
      </c>
      <c r="K1744" s="1"/>
    </row>
    <row r="1745" spans="1:11" x14ac:dyDescent="0.25">
      <c r="A1745" s="6">
        <v>94989369</v>
      </c>
      <c r="B1745" t="str">
        <f t="shared" si="108"/>
        <v>komorkowy</v>
      </c>
      <c r="C1745">
        <f t="shared" si="109"/>
        <v>0</v>
      </c>
      <c r="D1745">
        <f t="shared" si="110"/>
        <v>0</v>
      </c>
      <c r="E1745" s="1">
        <v>42942</v>
      </c>
      <c r="F1745" s="2">
        <v>0.37965277777777778</v>
      </c>
      <c r="G1745" s="2">
        <v>0.39068287037037036</v>
      </c>
      <c r="H1745" s="2">
        <f t="shared" si="111"/>
        <v>1.1030092592592577E-2</v>
      </c>
      <c r="K1745" s="1"/>
    </row>
    <row r="1746" spans="1:11" x14ac:dyDescent="0.25">
      <c r="A1746" s="6">
        <v>4857453</v>
      </c>
      <c r="B1746" t="str">
        <f t="shared" si="108"/>
        <v>stacjonarny</v>
      </c>
      <c r="C1746">
        <f t="shared" si="109"/>
        <v>0</v>
      </c>
      <c r="D1746">
        <f t="shared" si="110"/>
        <v>0</v>
      </c>
      <c r="E1746" s="1">
        <v>42942</v>
      </c>
      <c r="F1746" s="2">
        <v>0.38013888888888892</v>
      </c>
      <c r="G1746" s="2">
        <v>0.385625</v>
      </c>
      <c r="H1746" s="2">
        <f t="shared" si="111"/>
        <v>5.4861111111110805E-3</v>
      </c>
      <c r="K1746" s="1"/>
    </row>
    <row r="1747" spans="1:11" x14ac:dyDescent="0.25">
      <c r="A1747" s="6">
        <v>7980513</v>
      </c>
      <c r="B1747" t="str">
        <f t="shared" si="108"/>
        <v>stacjonarny</v>
      </c>
      <c r="C1747">
        <f t="shared" si="109"/>
        <v>0</v>
      </c>
      <c r="D1747">
        <f t="shared" si="110"/>
        <v>0</v>
      </c>
      <c r="E1747" s="1">
        <v>42942</v>
      </c>
      <c r="F1747" s="2">
        <v>0.38197916666666665</v>
      </c>
      <c r="G1747" s="2">
        <v>0.38288194444444446</v>
      </c>
      <c r="H1747" s="2">
        <f t="shared" si="111"/>
        <v>9.0277777777780788E-4</v>
      </c>
      <c r="K1747" s="1"/>
    </row>
    <row r="1748" spans="1:11" x14ac:dyDescent="0.25">
      <c r="A1748" s="6">
        <v>6896175</v>
      </c>
      <c r="B1748" t="str">
        <f t="shared" si="108"/>
        <v>stacjonarny</v>
      </c>
      <c r="C1748">
        <f t="shared" si="109"/>
        <v>0</v>
      </c>
      <c r="D1748">
        <f t="shared" si="110"/>
        <v>0</v>
      </c>
      <c r="E1748" s="1">
        <v>42942</v>
      </c>
      <c r="F1748" s="2">
        <v>0.38309027777777777</v>
      </c>
      <c r="G1748" s="2">
        <v>0.38425925925925924</v>
      </c>
      <c r="H1748" s="2">
        <f t="shared" si="111"/>
        <v>1.1689814814814792E-3</v>
      </c>
      <c r="K1748" s="1"/>
    </row>
    <row r="1749" spans="1:11" x14ac:dyDescent="0.25">
      <c r="A1749" s="6">
        <v>1689993</v>
      </c>
      <c r="B1749" t="str">
        <f t="shared" si="108"/>
        <v>stacjonarny</v>
      </c>
      <c r="C1749">
        <f t="shared" si="109"/>
        <v>0</v>
      </c>
      <c r="D1749">
        <f t="shared" si="110"/>
        <v>0</v>
      </c>
      <c r="E1749" s="1">
        <v>42942</v>
      </c>
      <c r="F1749" s="2">
        <v>0.38337962962962963</v>
      </c>
      <c r="G1749" s="2">
        <v>0.38748842592592592</v>
      </c>
      <c r="H1749" s="2">
        <f t="shared" si="111"/>
        <v>4.108796296296291E-3</v>
      </c>
      <c r="K1749" s="1"/>
    </row>
    <row r="1750" spans="1:11" x14ac:dyDescent="0.25">
      <c r="A1750" s="6">
        <v>1183006</v>
      </c>
      <c r="B1750" t="str">
        <f t="shared" si="108"/>
        <v>stacjonarny</v>
      </c>
      <c r="C1750">
        <f t="shared" si="109"/>
        <v>0</v>
      </c>
      <c r="D1750">
        <f t="shared" si="110"/>
        <v>0</v>
      </c>
      <c r="E1750" s="1">
        <v>42942</v>
      </c>
      <c r="F1750" s="2">
        <v>0.38601851851851854</v>
      </c>
      <c r="G1750" s="2">
        <v>0.39283564814814814</v>
      </c>
      <c r="H1750" s="2">
        <f t="shared" si="111"/>
        <v>6.8171296296296036E-3</v>
      </c>
      <c r="K1750" s="1"/>
    </row>
    <row r="1751" spans="1:11" x14ac:dyDescent="0.25">
      <c r="A1751" s="6">
        <v>9446278</v>
      </c>
      <c r="B1751" t="str">
        <f t="shared" si="108"/>
        <v>stacjonarny</v>
      </c>
      <c r="C1751">
        <f t="shared" si="109"/>
        <v>0</v>
      </c>
      <c r="D1751">
        <f t="shared" si="110"/>
        <v>0</v>
      </c>
      <c r="E1751" s="1">
        <v>42942</v>
      </c>
      <c r="F1751" s="2">
        <v>0.38871527777777776</v>
      </c>
      <c r="G1751" s="2">
        <v>0.38982638888888888</v>
      </c>
      <c r="H1751" s="2">
        <f t="shared" si="111"/>
        <v>1.1111111111111183E-3</v>
      </c>
      <c r="K1751" s="1"/>
    </row>
    <row r="1752" spans="1:11" x14ac:dyDescent="0.25">
      <c r="A1752" s="6">
        <v>2445944</v>
      </c>
      <c r="B1752" t="str">
        <f t="shared" si="108"/>
        <v>stacjonarny</v>
      </c>
      <c r="C1752">
        <f t="shared" si="109"/>
        <v>0</v>
      </c>
      <c r="D1752">
        <f t="shared" si="110"/>
        <v>0</v>
      </c>
      <c r="E1752" s="1">
        <v>42942</v>
      </c>
      <c r="F1752" s="2">
        <v>0.3895601851851852</v>
      </c>
      <c r="G1752" s="2">
        <v>0.39548611111111109</v>
      </c>
      <c r="H1752" s="2">
        <f t="shared" si="111"/>
        <v>5.9259259259258901E-3</v>
      </c>
      <c r="K1752" s="1"/>
    </row>
    <row r="1753" spans="1:11" x14ac:dyDescent="0.25">
      <c r="A1753" s="6">
        <v>4404713</v>
      </c>
      <c r="B1753" t="str">
        <f t="shared" si="108"/>
        <v>stacjonarny</v>
      </c>
      <c r="C1753">
        <f t="shared" si="109"/>
        <v>0</v>
      </c>
      <c r="D1753">
        <f t="shared" si="110"/>
        <v>0</v>
      </c>
      <c r="E1753" s="1">
        <v>42942</v>
      </c>
      <c r="F1753" s="2">
        <v>0.39533564814814814</v>
      </c>
      <c r="G1753" s="2">
        <v>0.39599537037037036</v>
      </c>
      <c r="H1753" s="2">
        <f t="shared" si="111"/>
        <v>6.5972222222221433E-4</v>
      </c>
      <c r="K1753" s="1"/>
    </row>
    <row r="1754" spans="1:11" x14ac:dyDescent="0.25">
      <c r="A1754" s="6">
        <v>6495153</v>
      </c>
      <c r="B1754" t="str">
        <f t="shared" si="108"/>
        <v>stacjonarny</v>
      </c>
      <c r="C1754">
        <f t="shared" si="109"/>
        <v>0</v>
      </c>
      <c r="D1754">
        <f t="shared" si="110"/>
        <v>0</v>
      </c>
      <c r="E1754" s="1">
        <v>42942</v>
      </c>
      <c r="F1754" s="2">
        <v>0.4001736111111111</v>
      </c>
      <c r="G1754" s="2">
        <v>0.40406249999999999</v>
      </c>
      <c r="H1754" s="2">
        <f t="shared" si="111"/>
        <v>3.8888888888888862E-3</v>
      </c>
      <c r="K1754" s="1"/>
    </row>
    <row r="1755" spans="1:11" x14ac:dyDescent="0.25">
      <c r="A1755" s="6">
        <v>2684831</v>
      </c>
      <c r="B1755" t="str">
        <f t="shared" si="108"/>
        <v>stacjonarny</v>
      </c>
      <c r="C1755">
        <f t="shared" si="109"/>
        <v>0</v>
      </c>
      <c r="D1755">
        <f t="shared" si="110"/>
        <v>0</v>
      </c>
      <c r="E1755" s="1">
        <v>42942</v>
      </c>
      <c r="F1755" s="2">
        <v>0.40130787037037036</v>
      </c>
      <c r="G1755" s="2">
        <v>0.40658564814814813</v>
      </c>
      <c r="H1755" s="2">
        <f t="shared" si="111"/>
        <v>5.2777777777777701E-3</v>
      </c>
      <c r="K1755" s="1"/>
    </row>
    <row r="1756" spans="1:11" x14ac:dyDescent="0.25">
      <c r="A1756" s="6">
        <v>8748493</v>
      </c>
      <c r="B1756" t="str">
        <f t="shared" si="108"/>
        <v>stacjonarny</v>
      </c>
      <c r="C1756">
        <f t="shared" si="109"/>
        <v>0</v>
      </c>
      <c r="D1756">
        <f t="shared" si="110"/>
        <v>0</v>
      </c>
      <c r="E1756" s="1">
        <v>42942</v>
      </c>
      <c r="F1756" s="2">
        <v>0.40415509259259258</v>
      </c>
      <c r="G1756" s="2">
        <v>0.40443287037037035</v>
      </c>
      <c r="H1756" s="2">
        <f t="shared" si="111"/>
        <v>2.7777777777776569E-4</v>
      </c>
      <c r="K1756" s="1"/>
    </row>
    <row r="1757" spans="1:11" x14ac:dyDescent="0.25">
      <c r="A1757" s="6">
        <v>7230252</v>
      </c>
      <c r="B1757" t="str">
        <f t="shared" si="108"/>
        <v>stacjonarny</v>
      </c>
      <c r="C1757">
        <f t="shared" si="109"/>
        <v>0</v>
      </c>
      <c r="D1757">
        <f t="shared" si="110"/>
        <v>0</v>
      </c>
      <c r="E1757" s="1">
        <v>42942</v>
      </c>
      <c r="F1757" s="2">
        <v>0.40771990740740743</v>
      </c>
      <c r="G1757" s="2">
        <v>0.41290509259259262</v>
      </c>
      <c r="H1757" s="2">
        <f t="shared" si="111"/>
        <v>5.1851851851851816E-3</v>
      </c>
      <c r="K1757" s="1"/>
    </row>
    <row r="1758" spans="1:11" x14ac:dyDescent="0.25">
      <c r="A1758" s="6">
        <v>5082463</v>
      </c>
      <c r="B1758" t="str">
        <f t="shared" si="108"/>
        <v>stacjonarny</v>
      </c>
      <c r="C1758">
        <f t="shared" si="109"/>
        <v>0</v>
      </c>
      <c r="D1758">
        <f t="shared" si="110"/>
        <v>0</v>
      </c>
      <c r="E1758" s="1">
        <v>42942</v>
      </c>
      <c r="F1758" s="2">
        <v>0.41269675925925925</v>
      </c>
      <c r="G1758" s="2">
        <v>0.42046296296296298</v>
      </c>
      <c r="H1758" s="2">
        <f t="shared" si="111"/>
        <v>7.7662037037037335E-3</v>
      </c>
      <c r="K1758" s="1"/>
    </row>
    <row r="1759" spans="1:11" x14ac:dyDescent="0.25">
      <c r="A1759" s="6">
        <v>1830054</v>
      </c>
      <c r="B1759" t="str">
        <f t="shared" si="108"/>
        <v>stacjonarny</v>
      </c>
      <c r="C1759">
        <f t="shared" si="109"/>
        <v>0</v>
      </c>
      <c r="D1759">
        <f t="shared" si="110"/>
        <v>0</v>
      </c>
      <c r="E1759" s="1">
        <v>42942</v>
      </c>
      <c r="F1759" s="2">
        <v>0.41390046296296296</v>
      </c>
      <c r="G1759" s="2">
        <v>0.42016203703703703</v>
      </c>
      <c r="H1759" s="2">
        <f t="shared" si="111"/>
        <v>6.2615740740740722E-3</v>
      </c>
      <c r="K1759" s="1"/>
    </row>
    <row r="1760" spans="1:11" x14ac:dyDescent="0.25">
      <c r="A1760" s="6">
        <v>5223970</v>
      </c>
      <c r="B1760" t="str">
        <f t="shared" si="108"/>
        <v>stacjonarny</v>
      </c>
      <c r="C1760">
        <f t="shared" si="109"/>
        <v>0</v>
      </c>
      <c r="D1760">
        <f t="shared" si="110"/>
        <v>0</v>
      </c>
      <c r="E1760" s="1">
        <v>42942</v>
      </c>
      <c r="F1760" s="2">
        <v>0.41413194444444446</v>
      </c>
      <c r="G1760" s="2">
        <v>0.41684027777777777</v>
      </c>
      <c r="H1760" s="2">
        <f t="shared" si="111"/>
        <v>2.7083333333333126E-3</v>
      </c>
      <c r="K1760" s="1"/>
    </row>
    <row r="1761" spans="1:11" x14ac:dyDescent="0.25">
      <c r="A1761" s="6">
        <v>8369071681</v>
      </c>
      <c r="B1761" t="str">
        <f t="shared" si="108"/>
        <v>zagraniczny</v>
      </c>
      <c r="C1761">
        <f t="shared" si="109"/>
        <v>0</v>
      </c>
      <c r="D1761">
        <f t="shared" si="110"/>
        <v>0</v>
      </c>
      <c r="E1761" s="1">
        <v>42942</v>
      </c>
      <c r="F1761" s="2">
        <v>0.41935185185185186</v>
      </c>
      <c r="G1761" s="2">
        <v>0.42133101851851851</v>
      </c>
      <c r="H1761" s="2">
        <f t="shared" si="111"/>
        <v>1.979166666666643E-3</v>
      </c>
      <c r="K1761" s="1"/>
    </row>
    <row r="1762" spans="1:11" x14ac:dyDescent="0.25">
      <c r="A1762" s="6">
        <v>5582631</v>
      </c>
      <c r="B1762" t="str">
        <f t="shared" si="108"/>
        <v>stacjonarny</v>
      </c>
      <c r="C1762">
        <f t="shared" si="109"/>
        <v>0</v>
      </c>
      <c r="D1762">
        <f t="shared" si="110"/>
        <v>0</v>
      </c>
      <c r="E1762" s="1">
        <v>42942</v>
      </c>
      <c r="F1762" s="2">
        <v>0.42229166666666668</v>
      </c>
      <c r="G1762" s="2">
        <v>0.42271990740740739</v>
      </c>
      <c r="H1762" s="2">
        <f t="shared" si="111"/>
        <v>4.2824074074071516E-4</v>
      </c>
      <c r="K1762" s="1"/>
    </row>
    <row r="1763" spans="1:11" x14ac:dyDescent="0.25">
      <c r="A1763" s="6">
        <v>68043713</v>
      </c>
      <c r="B1763" t="str">
        <f t="shared" si="108"/>
        <v>komorkowy</v>
      </c>
      <c r="C1763">
        <f t="shared" si="109"/>
        <v>0</v>
      </c>
      <c r="D1763">
        <f t="shared" si="110"/>
        <v>0</v>
      </c>
      <c r="E1763" s="1">
        <v>42942</v>
      </c>
      <c r="F1763" s="2">
        <v>0.42366898148148147</v>
      </c>
      <c r="G1763" s="2">
        <v>0.42792824074074076</v>
      </c>
      <c r="H1763" s="2">
        <f t="shared" si="111"/>
        <v>4.2592592592592959E-3</v>
      </c>
      <c r="K1763" s="1"/>
    </row>
    <row r="1764" spans="1:11" x14ac:dyDescent="0.25">
      <c r="A1764" s="6">
        <v>89263578</v>
      </c>
      <c r="B1764" t="str">
        <f t="shared" si="108"/>
        <v>komorkowy</v>
      </c>
      <c r="C1764">
        <f t="shared" si="109"/>
        <v>0</v>
      </c>
      <c r="D1764">
        <f t="shared" si="110"/>
        <v>0</v>
      </c>
      <c r="E1764" s="1">
        <v>42942</v>
      </c>
      <c r="F1764" s="2">
        <v>0.42912037037037037</v>
      </c>
      <c r="G1764" s="2">
        <v>0.43753472222222223</v>
      </c>
      <c r="H1764" s="2">
        <f t="shared" si="111"/>
        <v>8.4143518518518534E-3</v>
      </c>
      <c r="K1764" s="1"/>
    </row>
    <row r="1765" spans="1:11" x14ac:dyDescent="0.25">
      <c r="A1765" s="6">
        <v>7511410</v>
      </c>
      <c r="B1765" t="str">
        <f t="shared" si="108"/>
        <v>stacjonarny</v>
      </c>
      <c r="C1765">
        <f t="shared" si="109"/>
        <v>0</v>
      </c>
      <c r="D1765">
        <f t="shared" si="110"/>
        <v>0</v>
      </c>
      <c r="E1765" s="1">
        <v>42942</v>
      </c>
      <c r="F1765" s="2">
        <v>0.43304398148148149</v>
      </c>
      <c r="G1765" s="2">
        <v>0.43761574074074072</v>
      </c>
      <c r="H1765" s="2">
        <f t="shared" si="111"/>
        <v>4.5717592592592338E-3</v>
      </c>
      <c r="K1765" s="1"/>
    </row>
    <row r="1766" spans="1:11" x14ac:dyDescent="0.25">
      <c r="A1766" s="6">
        <v>2128803</v>
      </c>
      <c r="B1766" t="str">
        <f t="shared" si="108"/>
        <v>stacjonarny</v>
      </c>
      <c r="C1766">
        <f t="shared" si="109"/>
        <v>0</v>
      </c>
      <c r="D1766">
        <f t="shared" si="110"/>
        <v>0</v>
      </c>
      <c r="E1766" s="1">
        <v>42942</v>
      </c>
      <c r="F1766" s="2">
        <v>0.43815972222222221</v>
      </c>
      <c r="G1766" s="2">
        <v>0.44572916666666668</v>
      </c>
      <c r="H1766" s="2">
        <f t="shared" si="111"/>
        <v>7.569444444444462E-3</v>
      </c>
      <c r="K1766" s="1"/>
    </row>
    <row r="1767" spans="1:11" x14ac:dyDescent="0.25">
      <c r="A1767" s="6">
        <v>3135285</v>
      </c>
      <c r="B1767" t="str">
        <f t="shared" si="108"/>
        <v>stacjonarny</v>
      </c>
      <c r="C1767">
        <f t="shared" si="109"/>
        <v>0</v>
      </c>
      <c r="D1767">
        <f t="shared" si="110"/>
        <v>0</v>
      </c>
      <c r="E1767" s="1">
        <v>42942</v>
      </c>
      <c r="F1767" s="2">
        <v>0.43896990740740743</v>
      </c>
      <c r="G1767" s="2">
        <v>0.44863425925925926</v>
      </c>
      <c r="H1767" s="2">
        <f t="shared" si="111"/>
        <v>9.6643518518518268E-3</v>
      </c>
      <c r="K1767" s="1"/>
    </row>
    <row r="1768" spans="1:11" x14ac:dyDescent="0.25">
      <c r="A1768" s="6">
        <v>5231877</v>
      </c>
      <c r="B1768" t="str">
        <f t="shared" si="108"/>
        <v>stacjonarny</v>
      </c>
      <c r="C1768">
        <f t="shared" si="109"/>
        <v>0</v>
      </c>
      <c r="D1768">
        <f t="shared" si="110"/>
        <v>0</v>
      </c>
      <c r="E1768" s="1">
        <v>42942</v>
      </c>
      <c r="F1768" s="2">
        <v>0.44265046296296295</v>
      </c>
      <c r="G1768" s="2">
        <v>0.45337962962962963</v>
      </c>
      <c r="H1768" s="2">
        <f t="shared" si="111"/>
        <v>1.0729166666666679E-2</v>
      </c>
      <c r="K1768" s="1"/>
    </row>
    <row r="1769" spans="1:11" x14ac:dyDescent="0.25">
      <c r="A1769" s="6">
        <v>98391891</v>
      </c>
      <c r="B1769" t="str">
        <f t="shared" si="108"/>
        <v>komorkowy</v>
      </c>
      <c r="C1769">
        <f t="shared" si="109"/>
        <v>0</v>
      </c>
      <c r="D1769">
        <f t="shared" si="110"/>
        <v>0</v>
      </c>
      <c r="E1769" s="1">
        <v>42942</v>
      </c>
      <c r="F1769" s="2">
        <v>0.44289351851851849</v>
      </c>
      <c r="G1769" s="2">
        <v>0.44364583333333335</v>
      </c>
      <c r="H1769" s="2">
        <f t="shared" si="111"/>
        <v>7.523148148148584E-4</v>
      </c>
      <c r="K1769" s="1"/>
    </row>
    <row r="1770" spans="1:11" x14ac:dyDescent="0.25">
      <c r="A1770" s="6">
        <v>9865524</v>
      </c>
      <c r="B1770" t="str">
        <f t="shared" si="108"/>
        <v>stacjonarny</v>
      </c>
      <c r="C1770">
        <f t="shared" si="109"/>
        <v>0</v>
      </c>
      <c r="D1770">
        <f t="shared" si="110"/>
        <v>0</v>
      </c>
      <c r="E1770" s="1">
        <v>42942</v>
      </c>
      <c r="F1770" s="2">
        <v>0.44298611111111114</v>
      </c>
      <c r="G1770" s="2">
        <v>0.45023148148148145</v>
      </c>
      <c r="H1770" s="2">
        <f t="shared" si="111"/>
        <v>7.2453703703703187E-3</v>
      </c>
      <c r="K1770" s="1"/>
    </row>
    <row r="1771" spans="1:11" x14ac:dyDescent="0.25">
      <c r="A1771" s="6">
        <v>7988607</v>
      </c>
      <c r="B1771" t="str">
        <f t="shared" si="108"/>
        <v>stacjonarny</v>
      </c>
      <c r="C1771">
        <f t="shared" si="109"/>
        <v>0</v>
      </c>
      <c r="D1771">
        <f t="shared" si="110"/>
        <v>0</v>
      </c>
      <c r="E1771" s="1">
        <v>42942</v>
      </c>
      <c r="F1771" s="2">
        <v>0.44300925925925927</v>
      </c>
      <c r="G1771" s="2">
        <v>0.4513773148148148</v>
      </c>
      <c r="H1771" s="2">
        <f t="shared" si="111"/>
        <v>8.3680555555555314E-3</v>
      </c>
      <c r="K1771" s="1"/>
    </row>
    <row r="1772" spans="1:11" x14ac:dyDescent="0.25">
      <c r="A1772" s="6">
        <v>4599598</v>
      </c>
      <c r="B1772" t="str">
        <f t="shared" si="108"/>
        <v>stacjonarny</v>
      </c>
      <c r="C1772">
        <f t="shared" si="109"/>
        <v>0</v>
      </c>
      <c r="D1772">
        <f t="shared" si="110"/>
        <v>0</v>
      </c>
      <c r="E1772" s="1">
        <v>42942</v>
      </c>
      <c r="F1772" s="2">
        <v>0.44710648148148147</v>
      </c>
      <c r="G1772" s="2">
        <v>0.45658564814814817</v>
      </c>
      <c r="H1772" s="2">
        <f t="shared" si="111"/>
        <v>9.4791666666667052E-3</v>
      </c>
      <c r="K1772" s="1"/>
    </row>
    <row r="1773" spans="1:11" x14ac:dyDescent="0.25">
      <c r="A1773" s="6">
        <v>59984179</v>
      </c>
      <c r="B1773" t="str">
        <f t="shared" si="108"/>
        <v>komorkowy</v>
      </c>
      <c r="C1773">
        <f t="shared" si="109"/>
        <v>0</v>
      </c>
      <c r="D1773">
        <f t="shared" si="110"/>
        <v>0</v>
      </c>
      <c r="E1773" s="1">
        <v>42942</v>
      </c>
      <c r="F1773" s="2">
        <v>0.44815972222222222</v>
      </c>
      <c r="G1773" s="2">
        <v>0.45435185185185184</v>
      </c>
      <c r="H1773" s="2">
        <f t="shared" si="111"/>
        <v>6.1921296296296169E-3</v>
      </c>
      <c r="K1773" s="1"/>
    </row>
    <row r="1774" spans="1:11" x14ac:dyDescent="0.25">
      <c r="A1774" s="6">
        <v>9763924</v>
      </c>
      <c r="B1774" t="str">
        <f t="shared" si="108"/>
        <v>stacjonarny</v>
      </c>
      <c r="C1774">
        <f t="shared" si="109"/>
        <v>0</v>
      </c>
      <c r="D1774">
        <f t="shared" si="110"/>
        <v>0</v>
      </c>
      <c r="E1774" s="1">
        <v>42942</v>
      </c>
      <c r="F1774" s="2">
        <v>0.44972222222222225</v>
      </c>
      <c r="G1774" s="2">
        <v>0.45559027777777777</v>
      </c>
      <c r="H1774" s="2">
        <f t="shared" si="111"/>
        <v>5.8680555555555292E-3</v>
      </c>
      <c r="K1774" s="1"/>
    </row>
    <row r="1775" spans="1:11" x14ac:dyDescent="0.25">
      <c r="A1775" s="6">
        <v>1531672</v>
      </c>
      <c r="B1775" t="str">
        <f t="shared" si="108"/>
        <v>stacjonarny</v>
      </c>
      <c r="C1775">
        <f t="shared" si="109"/>
        <v>0</v>
      </c>
      <c r="D1775">
        <f t="shared" si="110"/>
        <v>0</v>
      </c>
      <c r="E1775" s="1">
        <v>42942</v>
      </c>
      <c r="F1775" s="2">
        <v>0.45021990740740742</v>
      </c>
      <c r="G1775" s="2">
        <v>0.46079861111111109</v>
      </c>
      <c r="H1775" s="2">
        <f t="shared" si="111"/>
        <v>1.0578703703703674E-2</v>
      </c>
      <c r="K1775" s="1"/>
    </row>
    <row r="1776" spans="1:11" x14ac:dyDescent="0.25">
      <c r="A1776" s="6">
        <v>59723258</v>
      </c>
      <c r="B1776" t="str">
        <f t="shared" si="108"/>
        <v>komorkowy</v>
      </c>
      <c r="C1776">
        <f t="shared" si="109"/>
        <v>0</v>
      </c>
      <c r="D1776">
        <f t="shared" si="110"/>
        <v>0</v>
      </c>
      <c r="E1776" s="1">
        <v>42942</v>
      </c>
      <c r="F1776" s="2">
        <v>0.4503125</v>
      </c>
      <c r="G1776" s="2">
        <v>0.4601736111111111</v>
      </c>
      <c r="H1776" s="2">
        <f t="shared" si="111"/>
        <v>9.8611111111110983E-3</v>
      </c>
      <c r="K1776" s="1"/>
    </row>
    <row r="1777" spans="1:11" x14ac:dyDescent="0.25">
      <c r="A1777" s="6">
        <v>6878722</v>
      </c>
      <c r="B1777" t="str">
        <f t="shared" si="108"/>
        <v>stacjonarny</v>
      </c>
      <c r="C1777">
        <f t="shared" si="109"/>
        <v>0</v>
      </c>
      <c r="D1777">
        <f t="shared" si="110"/>
        <v>0</v>
      </c>
      <c r="E1777" s="1">
        <v>42942</v>
      </c>
      <c r="F1777" s="2">
        <v>0.45333333333333331</v>
      </c>
      <c r="G1777" s="2">
        <v>0.45443287037037039</v>
      </c>
      <c r="H1777" s="2">
        <f t="shared" si="111"/>
        <v>1.0995370370370794E-3</v>
      </c>
      <c r="K1777" s="1"/>
    </row>
    <row r="1778" spans="1:11" x14ac:dyDescent="0.25">
      <c r="A1778" s="6">
        <v>49278984</v>
      </c>
      <c r="B1778" t="str">
        <f t="shared" si="108"/>
        <v>komorkowy</v>
      </c>
      <c r="C1778">
        <f t="shared" si="109"/>
        <v>0</v>
      </c>
      <c r="D1778">
        <f t="shared" si="110"/>
        <v>0</v>
      </c>
      <c r="E1778" s="1">
        <v>42942</v>
      </c>
      <c r="F1778" s="2">
        <v>0.45531250000000001</v>
      </c>
      <c r="G1778" s="2">
        <v>0.45717592592592593</v>
      </c>
      <c r="H1778" s="2">
        <f t="shared" si="111"/>
        <v>1.8634259259259212E-3</v>
      </c>
      <c r="K1778" s="1"/>
    </row>
    <row r="1779" spans="1:11" x14ac:dyDescent="0.25">
      <c r="A1779" s="6">
        <v>5672312</v>
      </c>
      <c r="B1779" t="str">
        <f t="shared" si="108"/>
        <v>stacjonarny</v>
      </c>
      <c r="C1779">
        <f t="shared" si="109"/>
        <v>0</v>
      </c>
      <c r="D1779">
        <f t="shared" si="110"/>
        <v>0</v>
      </c>
      <c r="E1779" s="1">
        <v>42942</v>
      </c>
      <c r="F1779" s="2">
        <v>0.45554398148148151</v>
      </c>
      <c r="G1779" s="2">
        <v>0.45913194444444444</v>
      </c>
      <c r="H1779" s="2">
        <f t="shared" si="111"/>
        <v>3.5879629629629317E-3</v>
      </c>
      <c r="K1779" s="1"/>
    </row>
    <row r="1780" spans="1:11" x14ac:dyDescent="0.25">
      <c r="A1780" s="6">
        <v>9716545</v>
      </c>
      <c r="B1780" t="str">
        <f t="shared" si="108"/>
        <v>stacjonarny</v>
      </c>
      <c r="C1780">
        <f t="shared" si="109"/>
        <v>0</v>
      </c>
      <c r="D1780">
        <f t="shared" si="110"/>
        <v>0</v>
      </c>
      <c r="E1780" s="1">
        <v>42942</v>
      </c>
      <c r="F1780" s="2">
        <v>0.45726851851851852</v>
      </c>
      <c r="G1780" s="2">
        <v>0.46751157407407407</v>
      </c>
      <c r="H1780" s="2">
        <f t="shared" si="111"/>
        <v>1.0243055555555547E-2</v>
      </c>
      <c r="K1780" s="1"/>
    </row>
    <row r="1781" spans="1:11" x14ac:dyDescent="0.25">
      <c r="A1781" s="6">
        <v>97953696</v>
      </c>
      <c r="B1781" t="str">
        <f t="shared" si="108"/>
        <v>komorkowy</v>
      </c>
      <c r="C1781">
        <f t="shared" si="109"/>
        <v>0</v>
      </c>
      <c r="D1781">
        <f t="shared" si="110"/>
        <v>0</v>
      </c>
      <c r="E1781" s="1">
        <v>42942</v>
      </c>
      <c r="F1781" s="2">
        <v>0.46297453703703706</v>
      </c>
      <c r="G1781" s="2">
        <v>0.47129629629629627</v>
      </c>
      <c r="H1781" s="2">
        <f t="shared" si="111"/>
        <v>8.3217592592592093E-3</v>
      </c>
      <c r="K1781" s="1"/>
    </row>
    <row r="1782" spans="1:11" x14ac:dyDescent="0.25">
      <c r="A1782" s="6">
        <v>18636086</v>
      </c>
      <c r="B1782" t="str">
        <f t="shared" si="108"/>
        <v>komorkowy</v>
      </c>
      <c r="C1782">
        <f t="shared" si="109"/>
        <v>0</v>
      </c>
      <c r="D1782">
        <f t="shared" si="110"/>
        <v>0</v>
      </c>
      <c r="E1782" s="1">
        <v>42942</v>
      </c>
      <c r="F1782" s="2">
        <v>0.46431712962962962</v>
      </c>
      <c r="G1782" s="2">
        <v>0.47060185185185183</v>
      </c>
      <c r="H1782" s="2">
        <f t="shared" si="111"/>
        <v>6.2847222222222054E-3</v>
      </c>
      <c r="K1782" s="1"/>
    </row>
    <row r="1783" spans="1:11" x14ac:dyDescent="0.25">
      <c r="A1783" s="6">
        <v>2071691</v>
      </c>
      <c r="B1783" t="str">
        <f t="shared" si="108"/>
        <v>stacjonarny</v>
      </c>
      <c r="C1783">
        <f t="shared" si="109"/>
        <v>0</v>
      </c>
      <c r="D1783">
        <f t="shared" si="110"/>
        <v>0</v>
      </c>
      <c r="E1783" s="1">
        <v>42942</v>
      </c>
      <c r="F1783" s="2">
        <v>0.46703703703703703</v>
      </c>
      <c r="G1783" s="2">
        <v>0.47262731481481479</v>
      </c>
      <c r="H1783" s="2">
        <f t="shared" si="111"/>
        <v>5.5902777777777635E-3</v>
      </c>
      <c r="K1783" s="1"/>
    </row>
    <row r="1784" spans="1:11" x14ac:dyDescent="0.25">
      <c r="A1784" s="6">
        <v>8023179</v>
      </c>
      <c r="B1784" t="str">
        <f t="shared" si="108"/>
        <v>stacjonarny</v>
      </c>
      <c r="C1784">
        <f t="shared" si="109"/>
        <v>0</v>
      </c>
      <c r="D1784">
        <f t="shared" si="110"/>
        <v>0</v>
      </c>
      <c r="E1784" s="1">
        <v>42942</v>
      </c>
      <c r="F1784" s="2">
        <v>0.46703703703703703</v>
      </c>
      <c r="G1784" s="2">
        <v>0.47568287037037038</v>
      </c>
      <c r="H1784" s="2">
        <f t="shared" si="111"/>
        <v>8.6458333333333526E-3</v>
      </c>
      <c r="K1784" s="1"/>
    </row>
    <row r="1785" spans="1:11" x14ac:dyDescent="0.25">
      <c r="A1785" s="6">
        <v>3533421</v>
      </c>
      <c r="B1785" t="str">
        <f t="shared" si="108"/>
        <v>stacjonarny</v>
      </c>
      <c r="C1785">
        <f t="shared" si="109"/>
        <v>0</v>
      </c>
      <c r="D1785">
        <f t="shared" si="110"/>
        <v>0</v>
      </c>
      <c r="E1785" s="1">
        <v>42942</v>
      </c>
      <c r="F1785" s="2">
        <v>0.47266203703703702</v>
      </c>
      <c r="G1785" s="2">
        <v>0.48297453703703702</v>
      </c>
      <c r="H1785" s="2">
        <f t="shared" si="111"/>
        <v>1.0312500000000002E-2</v>
      </c>
      <c r="K1785" s="1"/>
    </row>
    <row r="1786" spans="1:11" x14ac:dyDescent="0.25">
      <c r="A1786" s="6">
        <v>1160932</v>
      </c>
      <c r="B1786" t="str">
        <f t="shared" si="108"/>
        <v>stacjonarny</v>
      </c>
      <c r="C1786">
        <f t="shared" si="109"/>
        <v>0</v>
      </c>
      <c r="D1786">
        <f t="shared" si="110"/>
        <v>0</v>
      </c>
      <c r="E1786" s="1">
        <v>42942</v>
      </c>
      <c r="F1786" s="2">
        <v>0.47515046296296298</v>
      </c>
      <c r="G1786" s="2">
        <v>0.47552083333333334</v>
      </c>
      <c r="H1786" s="2">
        <f t="shared" si="111"/>
        <v>3.7037037037035425E-4</v>
      </c>
      <c r="K1786" s="1"/>
    </row>
    <row r="1787" spans="1:11" x14ac:dyDescent="0.25">
      <c r="A1787" s="6">
        <v>6320579</v>
      </c>
      <c r="B1787" t="str">
        <f t="shared" si="108"/>
        <v>stacjonarny</v>
      </c>
      <c r="C1787">
        <f t="shared" si="109"/>
        <v>0</v>
      </c>
      <c r="D1787">
        <f t="shared" si="110"/>
        <v>0</v>
      </c>
      <c r="E1787" s="1">
        <v>42942</v>
      </c>
      <c r="F1787" s="2">
        <v>0.48082175925925924</v>
      </c>
      <c r="G1787" s="2">
        <v>0.48585648148148147</v>
      </c>
      <c r="H1787" s="2">
        <f t="shared" si="111"/>
        <v>5.0347222222222321E-3</v>
      </c>
      <c r="K1787" s="1"/>
    </row>
    <row r="1788" spans="1:11" x14ac:dyDescent="0.25">
      <c r="A1788" s="6">
        <v>6021417</v>
      </c>
      <c r="B1788" t="str">
        <f t="shared" si="108"/>
        <v>stacjonarny</v>
      </c>
      <c r="C1788">
        <f t="shared" si="109"/>
        <v>0</v>
      </c>
      <c r="D1788">
        <f t="shared" si="110"/>
        <v>0</v>
      </c>
      <c r="E1788" s="1">
        <v>42942</v>
      </c>
      <c r="F1788" s="2">
        <v>0.48534722222222221</v>
      </c>
      <c r="G1788" s="2">
        <v>0.48814814814814816</v>
      </c>
      <c r="H1788" s="2">
        <f t="shared" si="111"/>
        <v>2.8009259259259567E-3</v>
      </c>
      <c r="K1788" s="1"/>
    </row>
    <row r="1789" spans="1:11" x14ac:dyDescent="0.25">
      <c r="A1789" s="6">
        <v>3638658</v>
      </c>
      <c r="B1789" t="str">
        <f t="shared" si="108"/>
        <v>stacjonarny</v>
      </c>
      <c r="C1789">
        <f t="shared" si="109"/>
        <v>0</v>
      </c>
      <c r="D1789">
        <f t="shared" si="110"/>
        <v>0</v>
      </c>
      <c r="E1789" s="1">
        <v>42942</v>
      </c>
      <c r="F1789" s="2">
        <v>0.48700231481481482</v>
      </c>
      <c r="G1789" s="2">
        <v>0.49305555555555558</v>
      </c>
      <c r="H1789" s="2">
        <f t="shared" si="111"/>
        <v>6.0532407407407618E-3</v>
      </c>
      <c r="K1789" s="1"/>
    </row>
    <row r="1790" spans="1:11" x14ac:dyDescent="0.25">
      <c r="A1790" s="6">
        <v>7595348</v>
      </c>
      <c r="B1790" t="str">
        <f t="shared" si="108"/>
        <v>stacjonarny</v>
      </c>
      <c r="C1790">
        <f t="shared" si="109"/>
        <v>0</v>
      </c>
      <c r="D1790">
        <f t="shared" si="110"/>
        <v>0</v>
      </c>
      <c r="E1790" s="1">
        <v>42942</v>
      </c>
      <c r="F1790" s="2">
        <v>0.48849537037037039</v>
      </c>
      <c r="G1790" s="2">
        <v>0.49665509259259261</v>
      </c>
      <c r="H1790" s="2">
        <f t="shared" si="111"/>
        <v>8.159722222222221E-3</v>
      </c>
      <c r="K1790" s="1"/>
    </row>
    <row r="1791" spans="1:11" x14ac:dyDescent="0.25">
      <c r="A1791" s="6">
        <v>6637746981</v>
      </c>
      <c r="B1791" t="str">
        <f t="shared" si="108"/>
        <v>zagraniczny</v>
      </c>
      <c r="C1791">
        <f t="shared" si="109"/>
        <v>0</v>
      </c>
      <c r="D1791">
        <f t="shared" si="110"/>
        <v>0</v>
      </c>
      <c r="E1791" s="1">
        <v>42942</v>
      </c>
      <c r="F1791" s="2">
        <v>0.49020833333333336</v>
      </c>
      <c r="G1791" s="2">
        <v>0.49932870370370369</v>
      </c>
      <c r="H1791" s="2">
        <f t="shared" si="111"/>
        <v>9.1203703703703343E-3</v>
      </c>
      <c r="K1791" s="1"/>
    </row>
    <row r="1792" spans="1:11" x14ac:dyDescent="0.25">
      <c r="A1792" s="6">
        <v>8501947</v>
      </c>
      <c r="B1792" t="str">
        <f t="shared" si="108"/>
        <v>stacjonarny</v>
      </c>
      <c r="C1792">
        <f t="shared" si="109"/>
        <v>0</v>
      </c>
      <c r="D1792">
        <f t="shared" si="110"/>
        <v>0</v>
      </c>
      <c r="E1792" s="1">
        <v>42942</v>
      </c>
      <c r="F1792" s="2">
        <v>0.49135416666666665</v>
      </c>
      <c r="G1792" s="2">
        <v>0.49472222222222223</v>
      </c>
      <c r="H1792" s="2">
        <f t="shared" si="111"/>
        <v>3.3680555555555824E-3</v>
      </c>
      <c r="K1792" s="1"/>
    </row>
    <row r="1793" spans="1:11" x14ac:dyDescent="0.25">
      <c r="A1793" s="6">
        <v>85666950</v>
      </c>
      <c r="B1793" t="str">
        <f t="shared" si="108"/>
        <v>komorkowy</v>
      </c>
      <c r="C1793">
        <f t="shared" si="109"/>
        <v>0</v>
      </c>
      <c r="D1793">
        <f t="shared" si="110"/>
        <v>0</v>
      </c>
      <c r="E1793" s="1">
        <v>42942</v>
      </c>
      <c r="F1793" s="2">
        <v>0.49417824074074074</v>
      </c>
      <c r="G1793" s="2">
        <v>0.50312500000000004</v>
      </c>
      <c r="H1793" s="2">
        <f t="shared" si="111"/>
        <v>8.946759259259307E-3</v>
      </c>
      <c r="K1793" s="1"/>
    </row>
    <row r="1794" spans="1:11" x14ac:dyDescent="0.25">
      <c r="A1794" s="6">
        <v>72289518</v>
      </c>
      <c r="B1794" t="str">
        <f t="shared" ref="B1794:B1857" si="112">IF(LEN(A1794)=7, "stacjonarny", IF(LEN(A1794)=8, "komorkowy", "zagraniczny"))</f>
        <v>komorkowy</v>
      </c>
      <c r="C1794">
        <f t="shared" si="109"/>
        <v>0</v>
      </c>
      <c r="D1794">
        <f t="shared" si="110"/>
        <v>0</v>
      </c>
      <c r="E1794" s="1">
        <v>42942</v>
      </c>
      <c r="F1794" s="2">
        <v>0.49541666666666667</v>
      </c>
      <c r="G1794" s="2">
        <v>0.49947916666666664</v>
      </c>
      <c r="H1794" s="2">
        <f t="shared" si="111"/>
        <v>4.0624999999999689E-3</v>
      </c>
      <c r="K1794" s="1"/>
    </row>
    <row r="1795" spans="1:11" x14ac:dyDescent="0.25">
      <c r="A1795" s="6">
        <v>4419123</v>
      </c>
      <c r="B1795" t="str">
        <f t="shared" si="112"/>
        <v>stacjonarny</v>
      </c>
      <c r="C1795">
        <f t="shared" ref="C1795:C1858" si="113">IF(LEFT(A1795,2)="12",1,0)</f>
        <v>0</v>
      </c>
      <c r="D1795">
        <f t="shared" ref="D1795:D1858" si="114">IF(AND(C1795=1,B1795="stacjonarny"),1,0)</f>
        <v>0</v>
      </c>
      <c r="E1795" s="1">
        <v>42942</v>
      </c>
      <c r="F1795" s="2">
        <v>0.49952546296296296</v>
      </c>
      <c r="G1795" s="2">
        <v>0.50207175925925929</v>
      </c>
      <c r="H1795" s="2">
        <f t="shared" ref="H1795:H1858" si="115">G1795-F1795</f>
        <v>2.5462962962963243E-3</v>
      </c>
      <c r="K1795" s="1"/>
    </row>
    <row r="1796" spans="1:11" x14ac:dyDescent="0.25">
      <c r="A1796" s="6">
        <v>75645195</v>
      </c>
      <c r="B1796" t="str">
        <f t="shared" si="112"/>
        <v>komorkowy</v>
      </c>
      <c r="C1796">
        <f t="shared" si="113"/>
        <v>0</v>
      </c>
      <c r="D1796">
        <f t="shared" si="114"/>
        <v>0</v>
      </c>
      <c r="E1796" s="1">
        <v>42942</v>
      </c>
      <c r="F1796" s="2">
        <v>0.5046180555555555</v>
      </c>
      <c r="G1796" s="2">
        <v>0.50491898148148151</v>
      </c>
      <c r="H1796" s="2">
        <f t="shared" si="115"/>
        <v>3.0092592592600997E-4</v>
      </c>
      <c r="K1796" s="1"/>
    </row>
    <row r="1797" spans="1:11" x14ac:dyDescent="0.25">
      <c r="A1797" s="6">
        <v>4305960</v>
      </c>
      <c r="B1797" t="str">
        <f t="shared" si="112"/>
        <v>stacjonarny</v>
      </c>
      <c r="C1797">
        <f t="shared" si="113"/>
        <v>0</v>
      </c>
      <c r="D1797">
        <f t="shared" si="114"/>
        <v>0</v>
      </c>
      <c r="E1797" s="1">
        <v>42942</v>
      </c>
      <c r="F1797" s="2">
        <v>0.50671296296296298</v>
      </c>
      <c r="G1797" s="2">
        <v>0.51233796296296297</v>
      </c>
      <c r="H1797" s="2">
        <f t="shared" si="115"/>
        <v>5.6249999999999911E-3</v>
      </c>
      <c r="K1797" s="1"/>
    </row>
    <row r="1798" spans="1:11" x14ac:dyDescent="0.25">
      <c r="A1798" s="6">
        <v>21681406</v>
      </c>
      <c r="B1798" t="str">
        <f t="shared" si="112"/>
        <v>komorkowy</v>
      </c>
      <c r="C1798">
        <f t="shared" si="113"/>
        <v>0</v>
      </c>
      <c r="D1798">
        <f t="shared" si="114"/>
        <v>0</v>
      </c>
      <c r="E1798" s="1">
        <v>42942</v>
      </c>
      <c r="F1798" s="2">
        <v>0.50876157407407407</v>
      </c>
      <c r="G1798" s="2">
        <v>0.51472222222222219</v>
      </c>
      <c r="H1798" s="2">
        <f t="shared" si="115"/>
        <v>5.9606481481481177E-3</v>
      </c>
      <c r="K1798" s="1"/>
    </row>
    <row r="1799" spans="1:11" x14ac:dyDescent="0.25">
      <c r="A1799" s="6">
        <v>6401011</v>
      </c>
      <c r="B1799" t="str">
        <f t="shared" si="112"/>
        <v>stacjonarny</v>
      </c>
      <c r="C1799">
        <f t="shared" si="113"/>
        <v>0</v>
      </c>
      <c r="D1799">
        <f t="shared" si="114"/>
        <v>0</v>
      </c>
      <c r="E1799" s="1">
        <v>42942</v>
      </c>
      <c r="F1799" s="2">
        <v>0.51140046296296293</v>
      </c>
      <c r="G1799" s="2">
        <v>0.5186574074074074</v>
      </c>
      <c r="H1799" s="2">
        <f t="shared" si="115"/>
        <v>7.2569444444444686E-3</v>
      </c>
      <c r="K1799" s="1"/>
    </row>
    <row r="1800" spans="1:11" x14ac:dyDescent="0.25">
      <c r="A1800" s="6">
        <v>1879412</v>
      </c>
      <c r="B1800" t="str">
        <f t="shared" si="112"/>
        <v>stacjonarny</v>
      </c>
      <c r="C1800">
        <f t="shared" si="113"/>
        <v>0</v>
      </c>
      <c r="D1800">
        <f t="shared" si="114"/>
        <v>0</v>
      </c>
      <c r="E1800" s="1">
        <v>42942</v>
      </c>
      <c r="F1800" s="2">
        <v>0.51546296296296301</v>
      </c>
      <c r="G1800" s="2">
        <v>0.52481481481481485</v>
      </c>
      <c r="H1800" s="2">
        <f t="shared" si="115"/>
        <v>9.3518518518518334E-3</v>
      </c>
      <c r="K1800" s="1"/>
    </row>
    <row r="1801" spans="1:11" x14ac:dyDescent="0.25">
      <c r="A1801" s="6">
        <v>6218089</v>
      </c>
      <c r="B1801" t="str">
        <f t="shared" si="112"/>
        <v>stacjonarny</v>
      </c>
      <c r="C1801">
        <f t="shared" si="113"/>
        <v>0</v>
      </c>
      <c r="D1801">
        <f t="shared" si="114"/>
        <v>0</v>
      </c>
      <c r="E1801" s="1">
        <v>42942</v>
      </c>
      <c r="F1801" s="2">
        <v>0.51712962962962961</v>
      </c>
      <c r="G1801" s="2">
        <v>0.52177083333333329</v>
      </c>
      <c r="H1801" s="2">
        <f t="shared" si="115"/>
        <v>4.6412037037036891E-3</v>
      </c>
      <c r="K1801" s="1"/>
    </row>
    <row r="1802" spans="1:11" x14ac:dyDescent="0.25">
      <c r="A1802" s="6">
        <v>3408462348</v>
      </c>
      <c r="B1802" t="str">
        <f t="shared" si="112"/>
        <v>zagraniczny</v>
      </c>
      <c r="C1802">
        <f t="shared" si="113"/>
        <v>0</v>
      </c>
      <c r="D1802">
        <f t="shared" si="114"/>
        <v>0</v>
      </c>
      <c r="E1802" s="1">
        <v>42942</v>
      </c>
      <c r="F1802" s="2">
        <v>0.52173611111111107</v>
      </c>
      <c r="G1802" s="2">
        <v>0.52998842592592588</v>
      </c>
      <c r="H1802" s="2">
        <f t="shared" si="115"/>
        <v>8.2523148148148096E-3</v>
      </c>
      <c r="K1802" s="1"/>
    </row>
    <row r="1803" spans="1:11" x14ac:dyDescent="0.25">
      <c r="A1803" s="6">
        <v>9535780</v>
      </c>
      <c r="B1803" t="str">
        <f t="shared" si="112"/>
        <v>stacjonarny</v>
      </c>
      <c r="C1803">
        <f t="shared" si="113"/>
        <v>0</v>
      </c>
      <c r="D1803">
        <f t="shared" si="114"/>
        <v>0</v>
      </c>
      <c r="E1803" s="1">
        <v>42942</v>
      </c>
      <c r="F1803" s="2">
        <v>0.52265046296296291</v>
      </c>
      <c r="G1803" s="2">
        <v>0.53091435185185187</v>
      </c>
      <c r="H1803" s="2">
        <f t="shared" si="115"/>
        <v>8.2638888888889594E-3</v>
      </c>
      <c r="K1803" s="1"/>
    </row>
    <row r="1804" spans="1:11" x14ac:dyDescent="0.25">
      <c r="A1804" s="6">
        <v>4945889</v>
      </c>
      <c r="B1804" t="str">
        <f t="shared" si="112"/>
        <v>stacjonarny</v>
      </c>
      <c r="C1804">
        <f t="shared" si="113"/>
        <v>0</v>
      </c>
      <c r="D1804">
        <f t="shared" si="114"/>
        <v>0</v>
      </c>
      <c r="E1804" s="1">
        <v>42942</v>
      </c>
      <c r="F1804" s="2">
        <v>0.52790509259259255</v>
      </c>
      <c r="G1804" s="2">
        <v>0.53581018518518519</v>
      </c>
      <c r="H1804" s="2">
        <f t="shared" si="115"/>
        <v>7.9050925925926441E-3</v>
      </c>
      <c r="K1804" s="1"/>
    </row>
    <row r="1805" spans="1:11" x14ac:dyDescent="0.25">
      <c r="A1805" s="6">
        <v>8985437</v>
      </c>
      <c r="B1805" t="str">
        <f t="shared" si="112"/>
        <v>stacjonarny</v>
      </c>
      <c r="C1805">
        <f t="shared" si="113"/>
        <v>0</v>
      </c>
      <c r="D1805">
        <f t="shared" si="114"/>
        <v>0</v>
      </c>
      <c r="E1805" s="1">
        <v>42942</v>
      </c>
      <c r="F1805" s="2">
        <v>0.52937500000000004</v>
      </c>
      <c r="G1805" s="2">
        <v>0.53609953703703705</v>
      </c>
      <c r="H1805" s="2">
        <f t="shared" si="115"/>
        <v>6.724537037037015E-3</v>
      </c>
      <c r="K1805" s="1"/>
    </row>
    <row r="1806" spans="1:11" x14ac:dyDescent="0.25">
      <c r="A1806" s="6">
        <v>57891628</v>
      </c>
      <c r="B1806" t="str">
        <f t="shared" si="112"/>
        <v>komorkowy</v>
      </c>
      <c r="C1806">
        <f t="shared" si="113"/>
        <v>0</v>
      </c>
      <c r="D1806">
        <f t="shared" si="114"/>
        <v>0</v>
      </c>
      <c r="E1806" s="1">
        <v>42942</v>
      </c>
      <c r="F1806" s="2">
        <v>0.53282407407407406</v>
      </c>
      <c r="G1806" s="2">
        <v>0.53501157407407407</v>
      </c>
      <c r="H1806" s="2">
        <f t="shared" si="115"/>
        <v>2.1875000000000089E-3</v>
      </c>
      <c r="K1806" s="1"/>
    </row>
    <row r="1807" spans="1:11" x14ac:dyDescent="0.25">
      <c r="A1807" s="6">
        <v>9772824</v>
      </c>
      <c r="B1807" t="str">
        <f t="shared" si="112"/>
        <v>stacjonarny</v>
      </c>
      <c r="C1807">
        <f t="shared" si="113"/>
        <v>0</v>
      </c>
      <c r="D1807">
        <f t="shared" si="114"/>
        <v>0</v>
      </c>
      <c r="E1807" s="1">
        <v>42942</v>
      </c>
      <c r="F1807" s="2">
        <v>0.53344907407407405</v>
      </c>
      <c r="G1807" s="2">
        <v>0.54386574074074079</v>
      </c>
      <c r="H1807" s="2">
        <f t="shared" si="115"/>
        <v>1.0416666666666741E-2</v>
      </c>
      <c r="K1807" s="1"/>
    </row>
    <row r="1808" spans="1:11" x14ac:dyDescent="0.25">
      <c r="A1808" s="6">
        <v>4154521</v>
      </c>
      <c r="B1808" t="str">
        <f t="shared" si="112"/>
        <v>stacjonarny</v>
      </c>
      <c r="C1808">
        <f t="shared" si="113"/>
        <v>0</v>
      </c>
      <c r="D1808">
        <f t="shared" si="114"/>
        <v>0</v>
      </c>
      <c r="E1808" s="1">
        <v>42942</v>
      </c>
      <c r="F1808" s="2">
        <v>0.53439814814814812</v>
      </c>
      <c r="G1808" s="2">
        <v>0.53813657407407411</v>
      </c>
      <c r="H1808" s="2">
        <f t="shared" si="115"/>
        <v>3.7384259259259922E-3</v>
      </c>
      <c r="K1808" s="1"/>
    </row>
    <row r="1809" spans="1:11" x14ac:dyDescent="0.25">
      <c r="A1809" s="6">
        <v>96977805</v>
      </c>
      <c r="B1809" t="str">
        <f t="shared" si="112"/>
        <v>komorkowy</v>
      </c>
      <c r="C1809">
        <f t="shared" si="113"/>
        <v>0</v>
      </c>
      <c r="D1809">
        <f t="shared" si="114"/>
        <v>0</v>
      </c>
      <c r="E1809" s="1">
        <v>42942</v>
      </c>
      <c r="F1809" s="2">
        <v>0.53601851851851856</v>
      </c>
      <c r="G1809" s="2">
        <v>0.54394675925925928</v>
      </c>
      <c r="H1809" s="2">
        <f t="shared" si="115"/>
        <v>7.9282407407407218E-3</v>
      </c>
      <c r="K1809" s="1"/>
    </row>
    <row r="1810" spans="1:11" x14ac:dyDescent="0.25">
      <c r="A1810" s="6">
        <v>24665933</v>
      </c>
      <c r="B1810" t="str">
        <f t="shared" si="112"/>
        <v>komorkowy</v>
      </c>
      <c r="C1810">
        <f t="shared" si="113"/>
        <v>0</v>
      </c>
      <c r="D1810">
        <f t="shared" si="114"/>
        <v>0</v>
      </c>
      <c r="E1810" s="1">
        <v>42942</v>
      </c>
      <c r="F1810" s="2">
        <v>0.53666666666666663</v>
      </c>
      <c r="G1810" s="2">
        <v>0.5370949074074074</v>
      </c>
      <c r="H1810" s="2">
        <f t="shared" si="115"/>
        <v>4.2824074074077068E-4</v>
      </c>
      <c r="K1810" s="1"/>
    </row>
    <row r="1811" spans="1:11" x14ac:dyDescent="0.25">
      <c r="A1811" s="6">
        <v>5465004</v>
      </c>
      <c r="B1811" t="str">
        <f t="shared" si="112"/>
        <v>stacjonarny</v>
      </c>
      <c r="C1811">
        <f t="shared" si="113"/>
        <v>0</v>
      </c>
      <c r="D1811">
        <f t="shared" si="114"/>
        <v>0</v>
      </c>
      <c r="E1811" s="1">
        <v>42942</v>
      </c>
      <c r="F1811" s="2">
        <v>0.54017361111111106</v>
      </c>
      <c r="G1811" s="2">
        <v>0.54915509259259254</v>
      </c>
      <c r="H1811" s="2">
        <f t="shared" si="115"/>
        <v>8.9814814814814792E-3</v>
      </c>
      <c r="K1811" s="1"/>
    </row>
    <row r="1812" spans="1:11" x14ac:dyDescent="0.25">
      <c r="A1812" s="6">
        <v>9560827</v>
      </c>
      <c r="B1812" t="str">
        <f t="shared" si="112"/>
        <v>stacjonarny</v>
      </c>
      <c r="C1812">
        <f t="shared" si="113"/>
        <v>0</v>
      </c>
      <c r="D1812">
        <f t="shared" si="114"/>
        <v>0</v>
      </c>
      <c r="E1812" s="1">
        <v>42942</v>
      </c>
      <c r="F1812" s="2">
        <v>0.54069444444444448</v>
      </c>
      <c r="G1812" s="2">
        <v>0.55103009259259261</v>
      </c>
      <c r="H1812" s="2">
        <f t="shared" si="115"/>
        <v>1.0335648148148135E-2</v>
      </c>
      <c r="K1812" s="1"/>
    </row>
    <row r="1813" spans="1:11" x14ac:dyDescent="0.25">
      <c r="A1813" s="6">
        <v>3443287</v>
      </c>
      <c r="B1813" t="str">
        <f t="shared" si="112"/>
        <v>stacjonarny</v>
      </c>
      <c r="C1813">
        <f t="shared" si="113"/>
        <v>0</v>
      </c>
      <c r="D1813">
        <f t="shared" si="114"/>
        <v>0</v>
      </c>
      <c r="E1813" s="1">
        <v>42942</v>
      </c>
      <c r="F1813" s="2">
        <v>0.54593749999999996</v>
      </c>
      <c r="G1813" s="2">
        <v>0.55622685185185183</v>
      </c>
      <c r="H1813" s="2">
        <f t="shared" si="115"/>
        <v>1.0289351851851869E-2</v>
      </c>
      <c r="K1813" s="1"/>
    </row>
    <row r="1814" spans="1:11" x14ac:dyDescent="0.25">
      <c r="A1814" s="6">
        <v>7551668</v>
      </c>
      <c r="B1814" t="str">
        <f t="shared" si="112"/>
        <v>stacjonarny</v>
      </c>
      <c r="C1814">
        <f t="shared" si="113"/>
        <v>0</v>
      </c>
      <c r="D1814">
        <f t="shared" si="114"/>
        <v>0</v>
      </c>
      <c r="E1814" s="1">
        <v>42942</v>
      </c>
      <c r="F1814" s="2">
        <v>0.55053240740740739</v>
      </c>
      <c r="G1814" s="2">
        <v>0.55672453703703706</v>
      </c>
      <c r="H1814" s="2">
        <f t="shared" si="115"/>
        <v>6.1921296296296724E-3</v>
      </c>
      <c r="K1814" s="1"/>
    </row>
    <row r="1815" spans="1:11" x14ac:dyDescent="0.25">
      <c r="A1815" s="6">
        <v>3189059</v>
      </c>
      <c r="B1815" t="str">
        <f t="shared" si="112"/>
        <v>stacjonarny</v>
      </c>
      <c r="C1815">
        <f t="shared" si="113"/>
        <v>0</v>
      </c>
      <c r="D1815">
        <f t="shared" si="114"/>
        <v>0</v>
      </c>
      <c r="E1815" s="1">
        <v>42942</v>
      </c>
      <c r="F1815" s="2">
        <v>0.55462962962962958</v>
      </c>
      <c r="G1815" s="2">
        <v>0.56101851851851847</v>
      </c>
      <c r="H1815" s="2">
        <f t="shared" si="115"/>
        <v>6.3888888888888884E-3</v>
      </c>
      <c r="K1815" s="1"/>
    </row>
    <row r="1816" spans="1:11" x14ac:dyDescent="0.25">
      <c r="A1816" s="6">
        <v>9061957</v>
      </c>
      <c r="B1816" t="str">
        <f t="shared" si="112"/>
        <v>stacjonarny</v>
      </c>
      <c r="C1816">
        <f t="shared" si="113"/>
        <v>0</v>
      </c>
      <c r="D1816">
        <f t="shared" si="114"/>
        <v>0</v>
      </c>
      <c r="E1816" s="1">
        <v>42942</v>
      </c>
      <c r="F1816" s="2">
        <v>0.55604166666666666</v>
      </c>
      <c r="G1816" s="2">
        <v>0.56381944444444443</v>
      </c>
      <c r="H1816" s="2">
        <f t="shared" si="115"/>
        <v>7.7777777777777724E-3</v>
      </c>
      <c r="K1816" s="1"/>
    </row>
    <row r="1817" spans="1:11" x14ac:dyDescent="0.25">
      <c r="A1817" s="6">
        <v>2109147679</v>
      </c>
      <c r="B1817" t="str">
        <f t="shared" si="112"/>
        <v>zagraniczny</v>
      </c>
      <c r="C1817">
        <f t="shared" si="113"/>
        <v>0</v>
      </c>
      <c r="D1817">
        <f t="shared" si="114"/>
        <v>0</v>
      </c>
      <c r="E1817" s="1">
        <v>42942</v>
      </c>
      <c r="F1817" s="2">
        <v>0.56098379629629624</v>
      </c>
      <c r="G1817" s="2">
        <v>0.56753472222222223</v>
      </c>
      <c r="H1817" s="2">
        <f t="shared" si="115"/>
        <v>6.5509259259259878E-3</v>
      </c>
      <c r="K1817" s="1"/>
    </row>
    <row r="1818" spans="1:11" x14ac:dyDescent="0.25">
      <c r="A1818" s="6">
        <v>59508384</v>
      </c>
      <c r="B1818" t="str">
        <f t="shared" si="112"/>
        <v>komorkowy</v>
      </c>
      <c r="C1818">
        <f t="shared" si="113"/>
        <v>0</v>
      </c>
      <c r="D1818">
        <f t="shared" si="114"/>
        <v>0</v>
      </c>
      <c r="E1818" s="1">
        <v>42942</v>
      </c>
      <c r="F1818" s="2">
        <v>0.56232638888888886</v>
      </c>
      <c r="G1818" s="2">
        <v>0.56594907407407402</v>
      </c>
      <c r="H1818" s="2">
        <f t="shared" si="115"/>
        <v>3.6226851851851594E-3</v>
      </c>
      <c r="K1818" s="1"/>
    </row>
    <row r="1819" spans="1:11" x14ac:dyDescent="0.25">
      <c r="A1819" s="6">
        <v>48529464</v>
      </c>
      <c r="B1819" t="str">
        <f t="shared" si="112"/>
        <v>komorkowy</v>
      </c>
      <c r="C1819">
        <f t="shared" si="113"/>
        <v>0</v>
      </c>
      <c r="D1819">
        <f t="shared" si="114"/>
        <v>0</v>
      </c>
      <c r="E1819" s="1">
        <v>42942</v>
      </c>
      <c r="F1819" s="2">
        <v>0.56283564814814813</v>
      </c>
      <c r="G1819" s="2">
        <v>0.56427083333333339</v>
      </c>
      <c r="H1819" s="2">
        <f t="shared" si="115"/>
        <v>1.4351851851852615E-3</v>
      </c>
      <c r="K1819" s="1"/>
    </row>
    <row r="1820" spans="1:11" x14ac:dyDescent="0.25">
      <c r="A1820" s="6">
        <v>4082744</v>
      </c>
      <c r="B1820" t="str">
        <f t="shared" si="112"/>
        <v>stacjonarny</v>
      </c>
      <c r="C1820">
        <f t="shared" si="113"/>
        <v>0</v>
      </c>
      <c r="D1820">
        <f t="shared" si="114"/>
        <v>0</v>
      </c>
      <c r="E1820" s="1">
        <v>42942</v>
      </c>
      <c r="F1820" s="2">
        <v>0.56481481481481477</v>
      </c>
      <c r="G1820" s="2">
        <v>0.57565972222222217</v>
      </c>
      <c r="H1820" s="2">
        <f t="shared" si="115"/>
        <v>1.08449074074074E-2</v>
      </c>
      <c r="K1820" s="1"/>
    </row>
    <row r="1821" spans="1:11" x14ac:dyDescent="0.25">
      <c r="A1821" s="6">
        <v>2395447</v>
      </c>
      <c r="B1821" t="str">
        <f t="shared" si="112"/>
        <v>stacjonarny</v>
      </c>
      <c r="C1821">
        <f t="shared" si="113"/>
        <v>0</v>
      </c>
      <c r="D1821">
        <f t="shared" si="114"/>
        <v>0</v>
      </c>
      <c r="E1821" s="1">
        <v>42942</v>
      </c>
      <c r="F1821" s="2">
        <v>0.56805555555555554</v>
      </c>
      <c r="G1821" s="2">
        <v>0.56937499999999996</v>
      </c>
      <c r="H1821" s="2">
        <f t="shared" si="115"/>
        <v>1.3194444444444287E-3</v>
      </c>
      <c r="K1821" s="1"/>
    </row>
    <row r="1822" spans="1:11" x14ac:dyDescent="0.25">
      <c r="A1822" s="6">
        <v>96620804</v>
      </c>
      <c r="B1822" t="str">
        <f t="shared" si="112"/>
        <v>komorkowy</v>
      </c>
      <c r="C1822">
        <f t="shared" si="113"/>
        <v>0</v>
      </c>
      <c r="D1822">
        <f t="shared" si="114"/>
        <v>0</v>
      </c>
      <c r="E1822" s="1">
        <v>42942</v>
      </c>
      <c r="F1822" s="2">
        <v>0.56945601851851857</v>
      </c>
      <c r="G1822" s="2">
        <v>0.5776041666666667</v>
      </c>
      <c r="H1822" s="2">
        <f t="shared" si="115"/>
        <v>8.1481481481481266E-3</v>
      </c>
      <c r="K1822" s="1"/>
    </row>
    <row r="1823" spans="1:11" x14ac:dyDescent="0.25">
      <c r="A1823" s="6">
        <v>9489003225</v>
      </c>
      <c r="B1823" t="str">
        <f t="shared" si="112"/>
        <v>zagraniczny</v>
      </c>
      <c r="C1823">
        <f t="shared" si="113"/>
        <v>0</v>
      </c>
      <c r="D1823">
        <f t="shared" si="114"/>
        <v>0</v>
      </c>
      <c r="E1823" s="1">
        <v>42942</v>
      </c>
      <c r="F1823" s="2">
        <v>0.57263888888888892</v>
      </c>
      <c r="G1823" s="2">
        <v>0.57309027777777777</v>
      </c>
      <c r="H1823" s="2">
        <f t="shared" si="115"/>
        <v>4.5138888888884843E-4</v>
      </c>
      <c r="K1823" s="1"/>
    </row>
    <row r="1824" spans="1:11" x14ac:dyDescent="0.25">
      <c r="A1824" s="6">
        <v>6897893</v>
      </c>
      <c r="B1824" t="str">
        <f t="shared" si="112"/>
        <v>stacjonarny</v>
      </c>
      <c r="C1824">
        <f t="shared" si="113"/>
        <v>0</v>
      </c>
      <c r="D1824">
        <f t="shared" si="114"/>
        <v>0</v>
      </c>
      <c r="E1824" s="1">
        <v>42942</v>
      </c>
      <c r="F1824" s="2">
        <v>0.57662037037037039</v>
      </c>
      <c r="G1824" s="2">
        <v>0.58204861111111106</v>
      </c>
      <c r="H1824" s="2">
        <f t="shared" si="115"/>
        <v>5.4282407407406641E-3</v>
      </c>
      <c r="K1824" s="1"/>
    </row>
    <row r="1825" spans="1:11" x14ac:dyDescent="0.25">
      <c r="A1825" s="6">
        <v>9759222</v>
      </c>
      <c r="B1825" t="str">
        <f t="shared" si="112"/>
        <v>stacjonarny</v>
      </c>
      <c r="C1825">
        <f t="shared" si="113"/>
        <v>0</v>
      </c>
      <c r="D1825">
        <f t="shared" si="114"/>
        <v>0</v>
      </c>
      <c r="E1825" s="1">
        <v>42942</v>
      </c>
      <c r="F1825" s="2">
        <v>0.58021990740740736</v>
      </c>
      <c r="G1825" s="2">
        <v>0.58726851851851847</v>
      </c>
      <c r="H1825" s="2">
        <f t="shared" si="115"/>
        <v>7.0486111111111027E-3</v>
      </c>
      <c r="K1825" s="1"/>
    </row>
    <row r="1826" spans="1:11" x14ac:dyDescent="0.25">
      <c r="A1826" s="6">
        <v>39793981</v>
      </c>
      <c r="B1826" t="str">
        <f t="shared" si="112"/>
        <v>komorkowy</v>
      </c>
      <c r="C1826">
        <f t="shared" si="113"/>
        <v>0</v>
      </c>
      <c r="D1826">
        <f t="shared" si="114"/>
        <v>0</v>
      </c>
      <c r="E1826" s="1">
        <v>42942</v>
      </c>
      <c r="F1826" s="2">
        <v>0.58101851851851849</v>
      </c>
      <c r="G1826" s="2">
        <v>0.58164351851851848</v>
      </c>
      <c r="H1826" s="2">
        <f t="shared" si="115"/>
        <v>6.2499999999998668E-4</v>
      </c>
      <c r="K1826" s="1"/>
    </row>
    <row r="1827" spans="1:11" x14ac:dyDescent="0.25">
      <c r="A1827" s="6">
        <v>3759991</v>
      </c>
      <c r="B1827" t="str">
        <f t="shared" si="112"/>
        <v>stacjonarny</v>
      </c>
      <c r="C1827">
        <f t="shared" si="113"/>
        <v>0</v>
      </c>
      <c r="D1827">
        <f t="shared" si="114"/>
        <v>0</v>
      </c>
      <c r="E1827" s="1">
        <v>42942</v>
      </c>
      <c r="F1827" s="2">
        <v>0.58408564814814812</v>
      </c>
      <c r="G1827" s="2">
        <v>0.58677083333333335</v>
      </c>
      <c r="H1827" s="2">
        <f t="shared" si="115"/>
        <v>2.6851851851852349E-3</v>
      </c>
      <c r="K1827" s="1"/>
    </row>
    <row r="1828" spans="1:11" x14ac:dyDescent="0.25">
      <c r="A1828" s="6">
        <v>37838778</v>
      </c>
      <c r="B1828" t="str">
        <f t="shared" si="112"/>
        <v>komorkowy</v>
      </c>
      <c r="C1828">
        <f t="shared" si="113"/>
        <v>0</v>
      </c>
      <c r="D1828">
        <f t="shared" si="114"/>
        <v>0</v>
      </c>
      <c r="E1828" s="1">
        <v>42942</v>
      </c>
      <c r="F1828" s="2">
        <v>0.58770833333333339</v>
      </c>
      <c r="G1828" s="2">
        <v>0.59591435185185182</v>
      </c>
      <c r="H1828" s="2">
        <f t="shared" si="115"/>
        <v>8.206018518518432E-3</v>
      </c>
      <c r="K1828" s="1"/>
    </row>
    <row r="1829" spans="1:11" x14ac:dyDescent="0.25">
      <c r="A1829" s="6">
        <v>3785540</v>
      </c>
      <c r="B1829" t="str">
        <f t="shared" si="112"/>
        <v>stacjonarny</v>
      </c>
      <c r="C1829">
        <f t="shared" si="113"/>
        <v>0</v>
      </c>
      <c r="D1829">
        <f t="shared" si="114"/>
        <v>0</v>
      </c>
      <c r="E1829" s="1">
        <v>42942</v>
      </c>
      <c r="F1829" s="2">
        <v>0.59261574074074075</v>
      </c>
      <c r="G1829" s="2">
        <v>0.60343749999999996</v>
      </c>
      <c r="H1829" s="2">
        <f t="shared" si="115"/>
        <v>1.0821759259259212E-2</v>
      </c>
      <c r="K1829" s="1"/>
    </row>
    <row r="1830" spans="1:11" x14ac:dyDescent="0.25">
      <c r="A1830" s="6">
        <v>9689833</v>
      </c>
      <c r="B1830" t="str">
        <f t="shared" si="112"/>
        <v>stacjonarny</v>
      </c>
      <c r="C1830">
        <f t="shared" si="113"/>
        <v>0</v>
      </c>
      <c r="D1830">
        <f t="shared" si="114"/>
        <v>0</v>
      </c>
      <c r="E1830" s="1">
        <v>42942</v>
      </c>
      <c r="F1830" s="2">
        <v>0.5932291666666667</v>
      </c>
      <c r="G1830" s="2">
        <v>0.59943287037037041</v>
      </c>
      <c r="H1830" s="2">
        <f t="shared" si="115"/>
        <v>6.2037037037037113E-3</v>
      </c>
      <c r="K1830" s="1"/>
    </row>
    <row r="1831" spans="1:11" x14ac:dyDescent="0.25">
      <c r="A1831" s="6">
        <v>8136309</v>
      </c>
      <c r="B1831" t="str">
        <f t="shared" si="112"/>
        <v>stacjonarny</v>
      </c>
      <c r="C1831">
        <f t="shared" si="113"/>
        <v>0</v>
      </c>
      <c r="D1831">
        <f t="shared" si="114"/>
        <v>0</v>
      </c>
      <c r="E1831" s="1">
        <v>42942</v>
      </c>
      <c r="F1831" s="2">
        <v>0.59876157407407404</v>
      </c>
      <c r="G1831" s="2">
        <v>0.60951388888888891</v>
      </c>
      <c r="H1831" s="2">
        <f t="shared" si="115"/>
        <v>1.0752314814814867E-2</v>
      </c>
      <c r="K1831" s="1"/>
    </row>
    <row r="1832" spans="1:11" x14ac:dyDescent="0.25">
      <c r="A1832" s="6">
        <v>1177203</v>
      </c>
      <c r="B1832" t="str">
        <f t="shared" si="112"/>
        <v>stacjonarny</v>
      </c>
      <c r="C1832">
        <f t="shared" si="113"/>
        <v>0</v>
      </c>
      <c r="D1832">
        <f t="shared" si="114"/>
        <v>0</v>
      </c>
      <c r="E1832" s="1">
        <v>42942</v>
      </c>
      <c r="F1832" s="2">
        <v>0.60384259259259254</v>
      </c>
      <c r="G1832" s="2">
        <v>0.60452546296296295</v>
      </c>
      <c r="H1832" s="2">
        <f t="shared" si="115"/>
        <v>6.828703703704031E-4</v>
      </c>
      <c r="K1832" s="1"/>
    </row>
    <row r="1833" spans="1:11" x14ac:dyDescent="0.25">
      <c r="A1833" s="6">
        <v>6060835</v>
      </c>
      <c r="B1833" t="str">
        <f t="shared" si="112"/>
        <v>stacjonarny</v>
      </c>
      <c r="C1833">
        <f t="shared" si="113"/>
        <v>0</v>
      </c>
      <c r="D1833">
        <f t="shared" si="114"/>
        <v>0</v>
      </c>
      <c r="E1833" s="1">
        <v>42942</v>
      </c>
      <c r="F1833" s="2">
        <v>0.60623842592592592</v>
      </c>
      <c r="G1833" s="2">
        <v>0.61055555555555552</v>
      </c>
      <c r="H1833" s="2">
        <f t="shared" si="115"/>
        <v>4.3171296296296013E-3</v>
      </c>
      <c r="K1833" s="1"/>
    </row>
    <row r="1834" spans="1:11" x14ac:dyDescent="0.25">
      <c r="A1834" s="6">
        <v>8534481</v>
      </c>
      <c r="B1834" t="str">
        <f t="shared" si="112"/>
        <v>stacjonarny</v>
      </c>
      <c r="C1834">
        <f t="shared" si="113"/>
        <v>0</v>
      </c>
      <c r="D1834">
        <f t="shared" si="114"/>
        <v>0</v>
      </c>
      <c r="E1834" s="1">
        <v>42942</v>
      </c>
      <c r="F1834" s="2">
        <v>0.60950231481481476</v>
      </c>
      <c r="G1834" s="2">
        <v>0.61940972222222224</v>
      </c>
      <c r="H1834" s="2">
        <f t="shared" si="115"/>
        <v>9.9074074074074758E-3</v>
      </c>
      <c r="K1834" s="1"/>
    </row>
    <row r="1835" spans="1:11" x14ac:dyDescent="0.25">
      <c r="A1835" s="6">
        <v>4959594</v>
      </c>
      <c r="B1835" t="str">
        <f t="shared" si="112"/>
        <v>stacjonarny</v>
      </c>
      <c r="C1835">
        <f t="shared" si="113"/>
        <v>0</v>
      </c>
      <c r="D1835">
        <f t="shared" si="114"/>
        <v>0</v>
      </c>
      <c r="E1835" s="1">
        <v>42942</v>
      </c>
      <c r="F1835" s="2">
        <v>0.61371527777777779</v>
      </c>
      <c r="G1835" s="2">
        <v>0.6235532407407407</v>
      </c>
      <c r="H1835" s="2">
        <f t="shared" si="115"/>
        <v>9.8379629629629095E-3</v>
      </c>
      <c r="K1835" s="1"/>
    </row>
    <row r="1836" spans="1:11" x14ac:dyDescent="0.25">
      <c r="A1836" s="6">
        <v>1047809</v>
      </c>
      <c r="B1836" t="str">
        <f t="shared" si="112"/>
        <v>stacjonarny</v>
      </c>
      <c r="C1836">
        <f t="shared" si="113"/>
        <v>0</v>
      </c>
      <c r="D1836">
        <f t="shared" si="114"/>
        <v>0</v>
      </c>
      <c r="E1836" s="1">
        <v>42942</v>
      </c>
      <c r="F1836" s="2">
        <v>0.61724537037037042</v>
      </c>
      <c r="G1836" s="2">
        <v>0.62866898148148154</v>
      </c>
      <c r="H1836" s="2">
        <f t="shared" si="115"/>
        <v>1.142361111111112E-2</v>
      </c>
      <c r="K1836" s="1"/>
    </row>
    <row r="1837" spans="1:11" x14ac:dyDescent="0.25">
      <c r="A1837" s="6">
        <v>3437033</v>
      </c>
      <c r="B1837" t="str">
        <f t="shared" si="112"/>
        <v>stacjonarny</v>
      </c>
      <c r="C1837">
        <f t="shared" si="113"/>
        <v>0</v>
      </c>
      <c r="D1837">
        <f t="shared" si="114"/>
        <v>0</v>
      </c>
      <c r="E1837" s="1">
        <v>42942</v>
      </c>
      <c r="F1837" s="2">
        <v>0.62089120370370365</v>
      </c>
      <c r="G1837" s="2">
        <v>0.62159722222222225</v>
      </c>
      <c r="H1837" s="2">
        <f t="shared" si="115"/>
        <v>7.0601851851859188E-4</v>
      </c>
      <c r="K1837" s="1"/>
    </row>
    <row r="1838" spans="1:11" x14ac:dyDescent="0.25">
      <c r="A1838" s="6">
        <v>6801890</v>
      </c>
      <c r="B1838" t="str">
        <f t="shared" si="112"/>
        <v>stacjonarny</v>
      </c>
      <c r="C1838">
        <f t="shared" si="113"/>
        <v>0</v>
      </c>
      <c r="D1838">
        <f t="shared" si="114"/>
        <v>0</v>
      </c>
      <c r="E1838" s="1">
        <v>42942</v>
      </c>
      <c r="F1838" s="2">
        <v>0.62467592592592591</v>
      </c>
      <c r="G1838" s="2">
        <v>0.62690972222222219</v>
      </c>
      <c r="H1838" s="2">
        <f t="shared" si="115"/>
        <v>2.2337962962962754E-3</v>
      </c>
      <c r="K1838" s="1"/>
    </row>
    <row r="1839" spans="1:11" x14ac:dyDescent="0.25">
      <c r="A1839" s="6">
        <v>2604004</v>
      </c>
      <c r="B1839" t="str">
        <f t="shared" si="112"/>
        <v>stacjonarny</v>
      </c>
      <c r="C1839">
        <f t="shared" si="113"/>
        <v>0</v>
      </c>
      <c r="D1839">
        <f t="shared" si="114"/>
        <v>0</v>
      </c>
      <c r="E1839" s="1">
        <v>42942</v>
      </c>
      <c r="F1839" s="2">
        <v>0.6277314814814815</v>
      </c>
      <c r="G1839" s="2">
        <v>0.63423611111111111</v>
      </c>
      <c r="H1839" s="2">
        <f t="shared" si="115"/>
        <v>6.5046296296296102E-3</v>
      </c>
      <c r="K1839" s="1"/>
    </row>
    <row r="1840" spans="1:11" x14ac:dyDescent="0.25">
      <c r="A1840" s="6">
        <v>4379524</v>
      </c>
      <c r="B1840" t="str">
        <f t="shared" si="112"/>
        <v>stacjonarny</v>
      </c>
      <c r="C1840">
        <f t="shared" si="113"/>
        <v>0</v>
      </c>
      <c r="D1840">
        <f t="shared" si="114"/>
        <v>0</v>
      </c>
      <c r="E1840" s="1">
        <v>42943</v>
      </c>
      <c r="F1840" s="2">
        <v>0.33751157407407406</v>
      </c>
      <c r="G1840" s="2">
        <v>0.33754629629629629</v>
      </c>
      <c r="H1840" s="2">
        <f t="shared" si="115"/>
        <v>3.472222222222765E-5</v>
      </c>
      <c r="K1840" s="1"/>
    </row>
    <row r="1841" spans="1:11" x14ac:dyDescent="0.25">
      <c r="A1841" s="6">
        <v>12377650</v>
      </c>
      <c r="B1841" t="str">
        <f t="shared" si="112"/>
        <v>komorkowy</v>
      </c>
      <c r="C1841">
        <f t="shared" si="113"/>
        <v>1</v>
      </c>
      <c r="D1841">
        <f t="shared" si="114"/>
        <v>0</v>
      </c>
      <c r="E1841" s="1">
        <v>42943</v>
      </c>
      <c r="F1841" s="2">
        <v>0.33943287037037034</v>
      </c>
      <c r="G1841" s="2">
        <v>0.34292824074074074</v>
      </c>
      <c r="H1841" s="2">
        <f t="shared" si="115"/>
        <v>3.4953703703703987E-3</v>
      </c>
      <c r="K1841" s="1"/>
    </row>
    <row r="1842" spans="1:11" x14ac:dyDescent="0.25">
      <c r="A1842" s="6">
        <v>77869622</v>
      </c>
      <c r="B1842" t="str">
        <f t="shared" si="112"/>
        <v>komorkowy</v>
      </c>
      <c r="C1842">
        <f t="shared" si="113"/>
        <v>0</v>
      </c>
      <c r="D1842">
        <f t="shared" si="114"/>
        <v>0</v>
      </c>
      <c r="E1842" s="1">
        <v>42943</v>
      </c>
      <c r="F1842" s="2">
        <v>0.34219907407407407</v>
      </c>
      <c r="G1842" s="2">
        <v>0.35170138888888891</v>
      </c>
      <c r="H1842" s="2">
        <f t="shared" si="115"/>
        <v>9.5023148148148384E-3</v>
      </c>
      <c r="K1842" s="1"/>
    </row>
    <row r="1843" spans="1:11" x14ac:dyDescent="0.25">
      <c r="A1843" s="6">
        <v>3414247278</v>
      </c>
      <c r="B1843" t="str">
        <f t="shared" si="112"/>
        <v>zagraniczny</v>
      </c>
      <c r="C1843">
        <f t="shared" si="113"/>
        <v>0</v>
      </c>
      <c r="D1843">
        <f t="shared" si="114"/>
        <v>0</v>
      </c>
      <c r="E1843" s="1">
        <v>42943</v>
      </c>
      <c r="F1843" s="2">
        <v>0.34658564814814813</v>
      </c>
      <c r="G1843" s="2">
        <v>0.34666666666666668</v>
      </c>
      <c r="H1843" s="2">
        <f t="shared" si="115"/>
        <v>8.1018518518549687E-5</v>
      </c>
      <c r="K1843" s="1"/>
    </row>
    <row r="1844" spans="1:11" x14ac:dyDescent="0.25">
      <c r="A1844" s="6">
        <v>5839324907</v>
      </c>
      <c r="B1844" t="str">
        <f t="shared" si="112"/>
        <v>zagraniczny</v>
      </c>
      <c r="C1844">
        <f t="shared" si="113"/>
        <v>0</v>
      </c>
      <c r="D1844">
        <f t="shared" si="114"/>
        <v>0</v>
      </c>
      <c r="E1844" s="1">
        <v>42943</v>
      </c>
      <c r="F1844" s="2">
        <v>0.3490509259259259</v>
      </c>
      <c r="G1844" s="2">
        <v>0.35481481481481481</v>
      </c>
      <c r="H1844" s="2">
        <f t="shared" si="115"/>
        <v>5.7638888888889017E-3</v>
      </c>
      <c r="K1844" s="1"/>
    </row>
    <row r="1845" spans="1:11" x14ac:dyDescent="0.25">
      <c r="A1845" s="6">
        <v>4852863</v>
      </c>
      <c r="B1845" t="str">
        <f t="shared" si="112"/>
        <v>stacjonarny</v>
      </c>
      <c r="C1845">
        <f t="shared" si="113"/>
        <v>0</v>
      </c>
      <c r="D1845">
        <f t="shared" si="114"/>
        <v>0</v>
      </c>
      <c r="E1845" s="1">
        <v>42943</v>
      </c>
      <c r="F1845" s="2">
        <v>0.34975694444444444</v>
      </c>
      <c r="G1845" s="2">
        <v>0.35971064814814813</v>
      </c>
      <c r="H1845" s="2">
        <f t="shared" si="115"/>
        <v>9.9537037037036868E-3</v>
      </c>
      <c r="K1845" s="1"/>
    </row>
    <row r="1846" spans="1:11" x14ac:dyDescent="0.25">
      <c r="A1846" s="6">
        <v>3245936</v>
      </c>
      <c r="B1846" t="str">
        <f t="shared" si="112"/>
        <v>stacjonarny</v>
      </c>
      <c r="C1846">
        <f t="shared" si="113"/>
        <v>0</v>
      </c>
      <c r="D1846">
        <f t="shared" si="114"/>
        <v>0</v>
      </c>
      <c r="E1846" s="1">
        <v>42943</v>
      </c>
      <c r="F1846" s="2">
        <v>0.35116898148148146</v>
      </c>
      <c r="G1846" s="2">
        <v>0.35408564814814814</v>
      </c>
      <c r="H1846" s="2">
        <f t="shared" si="115"/>
        <v>2.9166666666666785E-3</v>
      </c>
      <c r="K1846" s="1"/>
    </row>
    <row r="1847" spans="1:11" x14ac:dyDescent="0.25">
      <c r="A1847" s="6">
        <v>6674505</v>
      </c>
      <c r="B1847" t="str">
        <f t="shared" si="112"/>
        <v>stacjonarny</v>
      </c>
      <c r="C1847">
        <f t="shared" si="113"/>
        <v>0</v>
      </c>
      <c r="D1847">
        <f t="shared" si="114"/>
        <v>0</v>
      </c>
      <c r="E1847" s="1">
        <v>42943</v>
      </c>
      <c r="F1847" s="2">
        <v>0.35136574074074073</v>
      </c>
      <c r="G1847" s="2">
        <v>0.35390046296296296</v>
      </c>
      <c r="H1847" s="2">
        <f t="shared" si="115"/>
        <v>2.5347222222222299E-3</v>
      </c>
      <c r="K1847" s="1"/>
    </row>
    <row r="1848" spans="1:11" x14ac:dyDescent="0.25">
      <c r="A1848" s="6">
        <v>9591892</v>
      </c>
      <c r="B1848" t="str">
        <f t="shared" si="112"/>
        <v>stacjonarny</v>
      </c>
      <c r="C1848">
        <f t="shared" si="113"/>
        <v>0</v>
      </c>
      <c r="D1848">
        <f t="shared" si="114"/>
        <v>0</v>
      </c>
      <c r="E1848" s="1">
        <v>42943</v>
      </c>
      <c r="F1848" s="2">
        <v>0.35487268518518517</v>
      </c>
      <c r="G1848" s="2">
        <v>0.36251157407407408</v>
      </c>
      <c r="H1848" s="2">
        <f t="shared" si="115"/>
        <v>7.6388888888889173E-3</v>
      </c>
      <c r="K1848" s="1"/>
    </row>
    <row r="1849" spans="1:11" x14ac:dyDescent="0.25">
      <c r="A1849" s="6">
        <v>96404523</v>
      </c>
      <c r="B1849" t="str">
        <f t="shared" si="112"/>
        <v>komorkowy</v>
      </c>
      <c r="C1849">
        <f t="shared" si="113"/>
        <v>0</v>
      </c>
      <c r="D1849">
        <f t="shared" si="114"/>
        <v>0</v>
      </c>
      <c r="E1849" s="1">
        <v>42943</v>
      </c>
      <c r="F1849" s="2">
        <v>0.35592592592592592</v>
      </c>
      <c r="G1849" s="2">
        <v>0.36366898148148147</v>
      </c>
      <c r="H1849" s="2">
        <f t="shared" si="115"/>
        <v>7.7430555555555447E-3</v>
      </c>
      <c r="K1849" s="1"/>
    </row>
    <row r="1850" spans="1:11" x14ac:dyDescent="0.25">
      <c r="A1850" s="6">
        <v>1405478</v>
      </c>
      <c r="B1850" t="str">
        <f t="shared" si="112"/>
        <v>stacjonarny</v>
      </c>
      <c r="C1850">
        <f t="shared" si="113"/>
        <v>0</v>
      </c>
      <c r="D1850">
        <f t="shared" si="114"/>
        <v>0</v>
      </c>
      <c r="E1850" s="1">
        <v>42943</v>
      </c>
      <c r="F1850" s="2">
        <v>0.35940972222222223</v>
      </c>
      <c r="G1850" s="2">
        <v>0.36412037037037037</v>
      </c>
      <c r="H1850" s="2">
        <f t="shared" si="115"/>
        <v>4.7106481481481444E-3</v>
      </c>
      <c r="K1850" s="1"/>
    </row>
    <row r="1851" spans="1:11" x14ac:dyDescent="0.25">
      <c r="A1851" s="6">
        <v>5900506</v>
      </c>
      <c r="B1851" t="str">
        <f t="shared" si="112"/>
        <v>stacjonarny</v>
      </c>
      <c r="C1851">
        <f t="shared" si="113"/>
        <v>0</v>
      </c>
      <c r="D1851">
        <f t="shared" si="114"/>
        <v>0</v>
      </c>
      <c r="E1851" s="1">
        <v>42943</v>
      </c>
      <c r="F1851" s="2">
        <v>0.36026620370370371</v>
      </c>
      <c r="G1851" s="2">
        <v>0.36319444444444443</v>
      </c>
      <c r="H1851" s="2">
        <f t="shared" si="115"/>
        <v>2.9282407407407174E-3</v>
      </c>
      <c r="K1851" s="1"/>
    </row>
    <row r="1852" spans="1:11" x14ac:dyDescent="0.25">
      <c r="A1852" s="6">
        <v>6060835</v>
      </c>
      <c r="B1852" t="str">
        <f t="shared" si="112"/>
        <v>stacjonarny</v>
      </c>
      <c r="C1852">
        <f t="shared" si="113"/>
        <v>0</v>
      </c>
      <c r="D1852">
        <f t="shared" si="114"/>
        <v>0</v>
      </c>
      <c r="E1852" s="1">
        <v>42943</v>
      </c>
      <c r="F1852" s="2">
        <v>0.36148148148148146</v>
      </c>
      <c r="G1852" s="2">
        <v>0.3721990740740741</v>
      </c>
      <c r="H1852" s="2">
        <f t="shared" si="115"/>
        <v>1.071759259259264E-2</v>
      </c>
      <c r="K1852" s="1"/>
    </row>
    <row r="1853" spans="1:11" x14ac:dyDescent="0.25">
      <c r="A1853" s="6">
        <v>8880275</v>
      </c>
      <c r="B1853" t="str">
        <f t="shared" si="112"/>
        <v>stacjonarny</v>
      </c>
      <c r="C1853">
        <f t="shared" si="113"/>
        <v>0</v>
      </c>
      <c r="D1853">
        <f t="shared" si="114"/>
        <v>0</v>
      </c>
      <c r="E1853" s="1">
        <v>42943</v>
      </c>
      <c r="F1853" s="2">
        <v>0.36598379629629629</v>
      </c>
      <c r="G1853" s="2">
        <v>0.37474537037037037</v>
      </c>
      <c r="H1853" s="2">
        <f t="shared" si="115"/>
        <v>8.7615740740740744E-3</v>
      </c>
      <c r="K1853" s="1"/>
    </row>
    <row r="1854" spans="1:11" x14ac:dyDescent="0.25">
      <c r="A1854" s="6">
        <v>57101974</v>
      </c>
      <c r="B1854" t="str">
        <f t="shared" si="112"/>
        <v>komorkowy</v>
      </c>
      <c r="C1854">
        <f t="shared" si="113"/>
        <v>0</v>
      </c>
      <c r="D1854">
        <f t="shared" si="114"/>
        <v>0</v>
      </c>
      <c r="E1854" s="1">
        <v>42943</v>
      </c>
      <c r="F1854" s="2">
        <v>0.37133101851851852</v>
      </c>
      <c r="G1854" s="2">
        <v>0.37923611111111111</v>
      </c>
      <c r="H1854" s="2">
        <f t="shared" si="115"/>
        <v>7.9050925925925886E-3</v>
      </c>
      <c r="K1854" s="1"/>
    </row>
    <row r="1855" spans="1:11" x14ac:dyDescent="0.25">
      <c r="A1855" s="6">
        <v>2096100</v>
      </c>
      <c r="B1855" t="str">
        <f t="shared" si="112"/>
        <v>stacjonarny</v>
      </c>
      <c r="C1855">
        <f t="shared" si="113"/>
        <v>0</v>
      </c>
      <c r="D1855">
        <f t="shared" si="114"/>
        <v>0</v>
      </c>
      <c r="E1855" s="1">
        <v>42943</v>
      </c>
      <c r="F1855" s="2">
        <v>0.3717361111111111</v>
      </c>
      <c r="G1855" s="2">
        <v>0.37253472222222223</v>
      </c>
      <c r="H1855" s="2">
        <f t="shared" si="115"/>
        <v>7.9861111111112493E-4</v>
      </c>
      <c r="K1855" s="1"/>
    </row>
    <row r="1856" spans="1:11" x14ac:dyDescent="0.25">
      <c r="A1856" s="6">
        <v>2366545</v>
      </c>
      <c r="B1856" t="str">
        <f t="shared" si="112"/>
        <v>stacjonarny</v>
      </c>
      <c r="C1856">
        <f t="shared" si="113"/>
        <v>0</v>
      </c>
      <c r="D1856">
        <f t="shared" si="114"/>
        <v>0</v>
      </c>
      <c r="E1856" s="1">
        <v>42943</v>
      </c>
      <c r="F1856" s="2">
        <v>0.3737152777777778</v>
      </c>
      <c r="G1856" s="2">
        <v>0.37967592592592592</v>
      </c>
      <c r="H1856" s="2">
        <f t="shared" si="115"/>
        <v>5.9606481481481177E-3</v>
      </c>
      <c r="K1856" s="1"/>
    </row>
    <row r="1857" spans="1:11" x14ac:dyDescent="0.25">
      <c r="A1857" s="6">
        <v>2260131</v>
      </c>
      <c r="B1857" t="str">
        <f t="shared" si="112"/>
        <v>stacjonarny</v>
      </c>
      <c r="C1857">
        <f t="shared" si="113"/>
        <v>0</v>
      </c>
      <c r="D1857">
        <f t="shared" si="114"/>
        <v>0</v>
      </c>
      <c r="E1857" s="1">
        <v>42943</v>
      </c>
      <c r="F1857" s="2">
        <v>0.37664351851851852</v>
      </c>
      <c r="G1857" s="2">
        <v>0.38442129629629629</v>
      </c>
      <c r="H1857" s="2">
        <f t="shared" si="115"/>
        <v>7.7777777777777724E-3</v>
      </c>
      <c r="K1857" s="1"/>
    </row>
    <row r="1858" spans="1:11" x14ac:dyDescent="0.25">
      <c r="A1858" s="6">
        <v>75818182</v>
      </c>
      <c r="B1858" t="str">
        <f t="shared" ref="B1858:B1921" si="116">IF(LEN(A1858)=7, "stacjonarny", IF(LEN(A1858)=8, "komorkowy", "zagraniczny"))</f>
        <v>komorkowy</v>
      </c>
      <c r="C1858">
        <f t="shared" si="113"/>
        <v>0</v>
      </c>
      <c r="D1858">
        <f t="shared" si="114"/>
        <v>0</v>
      </c>
      <c r="E1858" s="1">
        <v>42943</v>
      </c>
      <c r="F1858" s="2">
        <v>0.37973379629629628</v>
      </c>
      <c r="G1858" s="2">
        <v>0.38395833333333335</v>
      </c>
      <c r="H1858" s="2">
        <f t="shared" si="115"/>
        <v>4.2245370370370683E-3</v>
      </c>
      <c r="K1858" s="1"/>
    </row>
    <row r="1859" spans="1:11" x14ac:dyDescent="0.25">
      <c r="A1859" s="6">
        <v>1247125</v>
      </c>
      <c r="B1859" t="str">
        <f t="shared" si="116"/>
        <v>stacjonarny</v>
      </c>
      <c r="C1859">
        <f t="shared" ref="C1859:C1922" si="117">IF(LEFT(A1859,2)="12",1,0)</f>
        <v>1</v>
      </c>
      <c r="D1859">
        <f t="shared" ref="D1859:D1922" si="118">IF(AND(C1859=1,B1859="stacjonarny"),1,0)</f>
        <v>1</v>
      </c>
      <c r="E1859" s="1">
        <v>42943</v>
      </c>
      <c r="F1859" s="2">
        <v>0.38461805555555556</v>
      </c>
      <c r="G1859" s="2">
        <v>0.39339120370370373</v>
      </c>
      <c r="H1859" s="2">
        <f t="shared" ref="H1859:H1922" si="119">G1859-F1859</f>
        <v>8.7731481481481688E-3</v>
      </c>
      <c r="K1859" s="1"/>
    </row>
    <row r="1860" spans="1:11" x14ac:dyDescent="0.25">
      <c r="A1860" s="6">
        <v>3733011</v>
      </c>
      <c r="B1860" t="str">
        <f t="shared" si="116"/>
        <v>stacjonarny</v>
      </c>
      <c r="C1860">
        <f t="shared" si="117"/>
        <v>0</v>
      </c>
      <c r="D1860">
        <f t="shared" si="118"/>
        <v>0</v>
      </c>
      <c r="E1860" s="1">
        <v>42943</v>
      </c>
      <c r="F1860" s="2">
        <v>0.38571759259259258</v>
      </c>
      <c r="G1860" s="2">
        <v>0.39556712962962964</v>
      </c>
      <c r="H1860" s="2">
        <f t="shared" si="119"/>
        <v>9.8495370370370594E-3</v>
      </c>
      <c r="K1860" s="1"/>
    </row>
    <row r="1861" spans="1:11" x14ac:dyDescent="0.25">
      <c r="A1861" s="6">
        <v>6615729</v>
      </c>
      <c r="B1861" t="str">
        <f t="shared" si="116"/>
        <v>stacjonarny</v>
      </c>
      <c r="C1861">
        <f t="shared" si="117"/>
        <v>0</v>
      </c>
      <c r="D1861">
        <f t="shared" si="118"/>
        <v>0</v>
      </c>
      <c r="E1861" s="1">
        <v>42943</v>
      </c>
      <c r="F1861" s="2">
        <v>0.38997685185185182</v>
      </c>
      <c r="G1861" s="2">
        <v>0.39743055555555556</v>
      </c>
      <c r="H1861" s="2">
        <f t="shared" si="119"/>
        <v>7.4537037037037401E-3</v>
      </c>
      <c r="K1861" s="1"/>
    </row>
    <row r="1862" spans="1:11" x14ac:dyDescent="0.25">
      <c r="A1862" s="6">
        <v>6844342</v>
      </c>
      <c r="B1862" t="str">
        <f t="shared" si="116"/>
        <v>stacjonarny</v>
      </c>
      <c r="C1862">
        <f t="shared" si="117"/>
        <v>0</v>
      </c>
      <c r="D1862">
        <f t="shared" si="118"/>
        <v>0</v>
      </c>
      <c r="E1862" s="1">
        <v>42943</v>
      </c>
      <c r="F1862" s="2">
        <v>0.39451388888888889</v>
      </c>
      <c r="G1862" s="2">
        <v>0.39609953703703704</v>
      </c>
      <c r="H1862" s="2">
        <f t="shared" si="119"/>
        <v>1.5856481481481555E-3</v>
      </c>
      <c r="K1862" s="1"/>
    </row>
    <row r="1863" spans="1:11" x14ac:dyDescent="0.25">
      <c r="A1863" s="6">
        <v>8369815</v>
      </c>
      <c r="B1863" t="str">
        <f t="shared" si="116"/>
        <v>stacjonarny</v>
      </c>
      <c r="C1863">
        <f t="shared" si="117"/>
        <v>0</v>
      </c>
      <c r="D1863">
        <f t="shared" si="118"/>
        <v>0</v>
      </c>
      <c r="E1863" s="1">
        <v>42943</v>
      </c>
      <c r="F1863" s="2">
        <v>0.3967013888888889</v>
      </c>
      <c r="G1863" s="2">
        <v>0.40182870370370372</v>
      </c>
      <c r="H1863" s="2">
        <f t="shared" si="119"/>
        <v>5.1273148148148207E-3</v>
      </c>
      <c r="K1863" s="1"/>
    </row>
    <row r="1864" spans="1:11" x14ac:dyDescent="0.25">
      <c r="A1864" s="6">
        <v>9304830</v>
      </c>
      <c r="B1864" t="str">
        <f t="shared" si="116"/>
        <v>stacjonarny</v>
      </c>
      <c r="C1864">
        <f t="shared" si="117"/>
        <v>0</v>
      </c>
      <c r="D1864">
        <f t="shared" si="118"/>
        <v>0</v>
      </c>
      <c r="E1864" s="1">
        <v>42943</v>
      </c>
      <c r="F1864" s="2">
        <v>0.39812500000000001</v>
      </c>
      <c r="G1864" s="2">
        <v>0.39895833333333336</v>
      </c>
      <c r="H1864" s="2">
        <f t="shared" si="119"/>
        <v>8.3333333333335258E-4</v>
      </c>
      <c r="K1864" s="1"/>
    </row>
    <row r="1865" spans="1:11" x14ac:dyDescent="0.25">
      <c r="A1865" s="6">
        <v>1117708</v>
      </c>
      <c r="B1865" t="str">
        <f t="shared" si="116"/>
        <v>stacjonarny</v>
      </c>
      <c r="C1865">
        <f t="shared" si="117"/>
        <v>0</v>
      </c>
      <c r="D1865">
        <f t="shared" si="118"/>
        <v>0</v>
      </c>
      <c r="E1865" s="1">
        <v>42943</v>
      </c>
      <c r="F1865" s="2">
        <v>0.40266203703703701</v>
      </c>
      <c r="G1865" s="2">
        <v>0.4073148148148148</v>
      </c>
      <c r="H1865" s="2">
        <f t="shared" si="119"/>
        <v>4.6527777777777835E-3</v>
      </c>
      <c r="K1865" s="1"/>
    </row>
    <row r="1866" spans="1:11" x14ac:dyDescent="0.25">
      <c r="A1866" s="6">
        <v>6055986</v>
      </c>
      <c r="B1866" t="str">
        <f t="shared" si="116"/>
        <v>stacjonarny</v>
      </c>
      <c r="C1866">
        <f t="shared" si="117"/>
        <v>0</v>
      </c>
      <c r="D1866">
        <f t="shared" si="118"/>
        <v>0</v>
      </c>
      <c r="E1866" s="1">
        <v>42943</v>
      </c>
      <c r="F1866" s="2">
        <v>0.40710648148148149</v>
      </c>
      <c r="G1866" s="2">
        <v>0.40740740740740738</v>
      </c>
      <c r="H1866" s="2">
        <f t="shared" si="119"/>
        <v>3.0092592592589895E-4</v>
      </c>
      <c r="K1866" s="1"/>
    </row>
    <row r="1867" spans="1:11" x14ac:dyDescent="0.25">
      <c r="A1867" s="6">
        <v>4569864426</v>
      </c>
      <c r="B1867" t="str">
        <f t="shared" si="116"/>
        <v>zagraniczny</v>
      </c>
      <c r="C1867">
        <f t="shared" si="117"/>
        <v>0</v>
      </c>
      <c r="D1867">
        <f t="shared" si="118"/>
        <v>0</v>
      </c>
      <c r="E1867" s="1">
        <v>42943</v>
      </c>
      <c r="F1867" s="2">
        <v>0.40751157407407407</v>
      </c>
      <c r="G1867" s="2">
        <v>0.41725694444444444</v>
      </c>
      <c r="H1867" s="2">
        <f t="shared" si="119"/>
        <v>9.7453703703703765E-3</v>
      </c>
      <c r="K1867" s="1"/>
    </row>
    <row r="1868" spans="1:11" x14ac:dyDescent="0.25">
      <c r="A1868" s="6">
        <v>2781512</v>
      </c>
      <c r="B1868" t="str">
        <f t="shared" si="116"/>
        <v>stacjonarny</v>
      </c>
      <c r="C1868">
        <f t="shared" si="117"/>
        <v>0</v>
      </c>
      <c r="D1868">
        <f t="shared" si="118"/>
        <v>0</v>
      </c>
      <c r="E1868" s="1">
        <v>42943</v>
      </c>
      <c r="F1868" s="2">
        <v>0.41244212962962962</v>
      </c>
      <c r="G1868" s="2">
        <v>0.41619212962962965</v>
      </c>
      <c r="H1868" s="2">
        <f t="shared" si="119"/>
        <v>3.7500000000000311E-3</v>
      </c>
      <c r="K1868" s="1"/>
    </row>
    <row r="1869" spans="1:11" x14ac:dyDescent="0.25">
      <c r="A1869" s="6">
        <v>3093964</v>
      </c>
      <c r="B1869" t="str">
        <f t="shared" si="116"/>
        <v>stacjonarny</v>
      </c>
      <c r="C1869">
        <f t="shared" si="117"/>
        <v>0</v>
      </c>
      <c r="D1869">
        <f t="shared" si="118"/>
        <v>0</v>
      </c>
      <c r="E1869" s="1">
        <v>42943</v>
      </c>
      <c r="F1869" s="2">
        <v>0.41363425925925928</v>
      </c>
      <c r="G1869" s="2">
        <v>0.41902777777777778</v>
      </c>
      <c r="H1869" s="2">
        <f t="shared" si="119"/>
        <v>5.393518518518492E-3</v>
      </c>
      <c r="K1869" s="1"/>
    </row>
    <row r="1870" spans="1:11" x14ac:dyDescent="0.25">
      <c r="A1870" s="6">
        <v>9413315</v>
      </c>
      <c r="B1870" t="str">
        <f t="shared" si="116"/>
        <v>stacjonarny</v>
      </c>
      <c r="C1870">
        <f t="shared" si="117"/>
        <v>0</v>
      </c>
      <c r="D1870">
        <f t="shared" si="118"/>
        <v>0</v>
      </c>
      <c r="E1870" s="1">
        <v>42943</v>
      </c>
      <c r="F1870" s="2">
        <v>0.41783564814814816</v>
      </c>
      <c r="G1870" s="2">
        <v>0.42383101851851851</v>
      </c>
      <c r="H1870" s="2">
        <f t="shared" si="119"/>
        <v>5.9953703703703454E-3</v>
      </c>
      <c r="K1870" s="1"/>
    </row>
    <row r="1871" spans="1:11" x14ac:dyDescent="0.25">
      <c r="A1871" s="6">
        <v>1890121</v>
      </c>
      <c r="B1871" t="str">
        <f t="shared" si="116"/>
        <v>stacjonarny</v>
      </c>
      <c r="C1871">
        <f t="shared" si="117"/>
        <v>0</v>
      </c>
      <c r="D1871">
        <f t="shared" si="118"/>
        <v>0</v>
      </c>
      <c r="E1871" s="1">
        <v>42943</v>
      </c>
      <c r="F1871" s="2">
        <v>0.42357638888888888</v>
      </c>
      <c r="G1871" s="2">
        <v>0.43</v>
      </c>
      <c r="H1871" s="2">
        <f t="shared" si="119"/>
        <v>6.423611111111116E-3</v>
      </c>
      <c r="K1871" s="1"/>
    </row>
    <row r="1872" spans="1:11" x14ac:dyDescent="0.25">
      <c r="A1872" s="6">
        <v>9906846123</v>
      </c>
      <c r="B1872" t="str">
        <f t="shared" si="116"/>
        <v>zagraniczny</v>
      </c>
      <c r="C1872">
        <f t="shared" si="117"/>
        <v>0</v>
      </c>
      <c r="D1872">
        <f t="shared" si="118"/>
        <v>0</v>
      </c>
      <c r="E1872" s="1">
        <v>42943</v>
      </c>
      <c r="F1872" s="2">
        <v>0.424375</v>
      </c>
      <c r="G1872" s="2">
        <v>0.42505787037037035</v>
      </c>
      <c r="H1872" s="2">
        <f t="shared" si="119"/>
        <v>6.8287037037034759E-4</v>
      </c>
      <c r="K1872" s="1"/>
    </row>
    <row r="1873" spans="1:11" x14ac:dyDescent="0.25">
      <c r="A1873" s="6">
        <v>12063341</v>
      </c>
      <c r="B1873" t="str">
        <f t="shared" si="116"/>
        <v>komorkowy</v>
      </c>
      <c r="C1873">
        <f t="shared" si="117"/>
        <v>1</v>
      </c>
      <c r="D1873">
        <f t="shared" si="118"/>
        <v>0</v>
      </c>
      <c r="E1873" s="1">
        <v>42943</v>
      </c>
      <c r="F1873" s="2">
        <v>0.42849537037037039</v>
      </c>
      <c r="G1873" s="2">
        <v>0.4372800925925926</v>
      </c>
      <c r="H1873" s="2">
        <f t="shared" si="119"/>
        <v>8.7847222222222077E-3</v>
      </c>
      <c r="K1873" s="1"/>
    </row>
    <row r="1874" spans="1:11" x14ac:dyDescent="0.25">
      <c r="A1874" s="6">
        <v>27798660</v>
      </c>
      <c r="B1874" t="str">
        <f t="shared" si="116"/>
        <v>komorkowy</v>
      </c>
      <c r="C1874">
        <f t="shared" si="117"/>
        <v>0</v>
      </c>
      <c r="D1874">
        <f t="shared" si="118"/>
        <v>0</v>
      </c>
      <c r="E1874" s="1">
        <v>42943</v>
      </c>
      <c r="F1874" s="2">
        <v>0.42925925925925928</v>
      </c>
      <c r="G1874" s="2">
        <v>0.43239583333333331</v>
      </c>
      <c r="H1874" s="2">
        <f t="shared" si="119"/>
        <v>3.1365740740740278E-3</v>
      </c>
      <c r="K1874" s="1"/>
    </row>
    <row r="1875" spans="1:11" x14ac:dyDescent="0.25">
      <c r="A1875" s="6">
        <v>37077953</v>
      </c>
      <c r="B1875" t="str">
        <f t="shared" si="116"/>
        <v>komorkowy</v>
      </c>
      <c r="C1875">
        <f t="shared" si="117"/>
        <v>0</v>
      </c>
      <c r="D1875">
        <f t="shared" si="118"/>
        <v>0</v>
      </c>
      <c r="E1875" s="1">
        <v>42943</v>
      </c>
      <c r="F1875" s="2">
        <v>0.43262731481481481</v>
      </c>
      <c r="G1875" s="2">
        <v>0.43929398148148147</v>
      </c>
      <c r="H1875" s="2">
        <f t="shared" si="119"/>
        <v>6.6666666666666541E-3</v>
      </c>
      <c r="K1875" s="1"/>
    </row>
    <row r="1876" spans="1:11" x14ac:dyDescent="0.25">
      <c r="A1876" s="6">
        <v>70606958</v>
      </c>
      <c r="B1876" t="str">
        <f t="shared" si="116"/>
        <v>komorkowy</v>
      </c>
      <c r="C1876">
        <f t="shared" si="117"/>
        <v>0</v>
      </c>
      <c r="D1876">
        <f t="shared" si="118"/>
        <v>0</v>
      </c>
      <c r="E1876" s="1">
        <v>42943</v>
      </c>
      <c r="F1876" s="2">
        <v>0.43387731481481484</v>
      </c>
      <c r="G1876" s="2">
        <v>0.44252314814814814</v>
      </c>
      <c r="H1876" s="2">
        <f t="shared" si="119"/>
        <v>8.6458333333332971E-3</v>
      </c>
      <c r="K1876" s="1"/>
    </row>
    <row r="1877" spans="1:11" x14ac:dyDescent="0.25">
      <c r="A1877" s="6">
        <v>21303266</v>
      </c>
      <c r="B1877" t="str">
        <f t="shared" si="116"/>
        <v>komorkowy</v>
      </c>
      <c r="C1877">
        <f t="shared" si="117"/>
        <v>0</v>
      </c>
      <c r="D1877">
        <f t="shared" si="118"/>
        <v>0</v>
      </c>
      <c r="E1877" s="1">
        <v>42943</v>
      </c>
      <c r="F1877" s="2">
        <v>0.4384953703703704</v>
      </c>
      <c r="G1877" s="2">
        <v>0.44209490740740742</v>
      </c>
      <c r="H1877" s="2">
        <f t="shared" si="119"/>
        <v>3.5995370370370261E-3</v>
      </c>
      <c r="K1877" s="1"/>
    </row>
    <row r="1878" spans="1:11" x14ac:dyDescent="0.25">
      <c r="A1878" s="6">
        <v>66871690</v>
      </c>
      <c r="B1878" t="str">
        <f t="shared" si="116"/>
        <v>komorkowy</v>
      </c>
      <c r="C1878">
        <f t="shared" si="117"/>
        <v>0</v>
      </c>
      <c r="D1878">
        <f t="shared" si="118"/>
        <v>0</v>
      </c>
      <c r="E1878" s="1">
        <v>42943</v>
      </c>
      <c r="F1878" s="2">
        <v>0.44003472222222223</v>
      </c>
      <c r="G1878" s="2">
        <v>0.44219907407407405</v>
      </c>
      <c r="H1878" s="2">
        <f t="shared" si="119"/>
        <v>2.1643518518518201E-3</v>
      </c>
      <c r="K1878" s="1"/>
    </row>
    <row r="1879" spans="1:11" x14ac:dyDescent="0.25">
      <c r="A1879" s="6">
        <v>88366261</v>
      </c>
      <c r="B1879" t="str">
        <f t="shared" si="116"/>
        <v>komorkowy</v>
      </c>
      <c r="C1879">
        <f t="shared" si="117"/>
        <v>0</v>
      </c>
      <c r="D1879">
        <f t="shared" si="118"/>
        <v>0</v>
      </c>
      <c r="E1879" s="1">
        <v>42943</v>
      </c>
      <c r="F1879" s="2">
        <v>0.44006944444444446</v>
      </c>
      <c r="G1879" s="2">
        <v>0.44208333333333333</v>
      </c>
      <c r="H1879" s="2">
        <f t="shared" si="119"/>
        <v>2.0138888888888706E-3</v>
      </c>
      <c r="K1879" s="1"/>
    </row>
    <row r="1880" spans="1:11" x14ac:dyDescent="0.25">
      <c r="A1880" s="6">
        <v>9506446</v>
      </c>
      <c r="B1880" t="str">
        <f t="shared" si="116"/>
        <v>stacjonarny</v>
      </c>
      <c r="C1880">
        <f t="shared" si="117"/>
        <v>0</v>
      </c>
      <c r="D1880">
        <f t="shared" si="118"/>
        <v>0</v>
      </c>
      <c r="E1880" s="1">
        <v>42943</v>
      </c>
      <c r="F1880" s="2">
        <v>0.44490740740740742</v>
      </c>
      <c r="G1880" s="2">
        <v>0.45071759259259259</v>
      </c>
      <c r="H1880" s="2">
        <f t="shared" si="119"/>
        <v>5.8101851851851682E-3</v>
      </c>
      <c r="K1880" s="1"/>
    </row>
    <row r="1881" spans="1:11" x14ac:dyDescent="0.25">
      <c r="A1881" s="6">
        <v>9225807</v>
      </c>
      <c r="B1881" t="str">
        <f t="shared" si="116"/>
        <v>stacjonarny</v>
      </c>
      <c r="C1881">
        <f t="shared" si="117"/>
        <v>0</v>
      </c>
      <c r="D1881">
        <f t="shared" si="118"/>
        <v>0</v>
      </c>
      <c r="E1881" s="1">
        <v>42943</v>
      </c>
      <c r="F1881" s="2">
        <v>0.44996527777777778</v>
      </c>
      <c r="G1881" s="2">
        <v>0.45952546296296298</v>
      </c>
      <c r="H1881" s="2">
        <f t="shared" si="119"/>
        <v>9.5601851851851993E-3</v>
      </c>
      <c r="K1881" s="1"/>
    </row>
    <row r="1882" spans="1:11" x14ac:dyDescent="0.25">
      <c r="A1882" s="6">
        <v>6956143</v>
      </c>
      <c r="B1882" t="str">
        <f t="shared" si="116"/>
        <v>stacjonarny</v>
      </c>
      <c r="C1882">
        <f t="shared" si="117"/>
        <v>0</v>
      </c>
      <c r="D1882">
        <f t="shared" si="118"/>
        <v>0</v>
      </c>
      <c r="E1882" s="1">
        <v>42943</v>
      </c>
      <c r="F1882" s="2">
        <v>0.45157407407407407</v>
      </c>
      <c r="G1882" s="2">
        <v>0.455625</v>
      </c>
      <c r="H1882" s="2">
        <f t="shared" si="119"/>
        <v>4.05092592592593E-3</v>
      </c>
      <c r="K1882" s="1"/>
    </row>
    <row r="1883" spans="1:11" x14ac:dyDescent="0.25">
      <c r="A1883" s="6">
        <v>1472253</v>
      </c>
      <c r="B1883" t="str">
        <f t="shared" si="116"/>
        <v>stacjonarny</v>
      </c>
      <c r="C1883">
        <f t="shared" si="117"/>
        <v>0</v>
      </c>
      <c r="D1883">
        <f t="shared" si="118"/>
        <v>0</v>
      </c>
      <c r="E1883" s="1">
        <v>42943</v>
      </c>
      <c r="F1883" s="2">
        <v>0.45729166666666665</v>
      </c>
      <c r="G1883" s="2">
        <v>0.46041666666666664</v>
      </c>
      <c r="H1883" s="2">
        <f t="shared" si="119"/>
        <v>3.1249999999999889E-3</v>
      </c>
      <c r="K1883" s="1"/>
    </row>
    <row r="1884" spans="1:11" x14ac:dyDescent="0.25">
      <c r="A1884" s="6">
        <v>4025325</v>
      </c>
      <c r="B1884" t="str">
        <f t="shared" si="116"/>
        <v>stacjonarny</v>
      </c>
      <c r="C1884">
        <f t="shared" si="117"/>
        <v>0</v>
      </c>
      <c r="D1884">
        <f t="shared" si="118"/>
        <v>0</v>
      </c>
      <c r="E1884" s="1">
        <v>42943</v>
      </c>
      <c r="F1884" s="2">
        <v>0.46151620370370372</v>
      </c>
      <c r="G1884" s="2">
        <v>0.46604166666666669</v>
      </c>
      <c r="H1884" s="2">
        <f t="shared" si="119"/>
        <v>4.5254629629629672E-3</v>
      </c>
      <c r="K1884" s="1"/>
    </row>
    <row r="1885" spans="1:11" x14ac:dyDescent="0.25">
      <c r="A1885" s="6">
        <v>6220398</v>
      </c>
      <c r="B1885" t="str">
        <f t="shared" si="116"/>
        <v>stacjonarny</v>
      </c>
      <c r="C1885">
        <f t="shared" si="117"/>
        <v>0</v>
      </c>
      <c r="D1885">
        <f t="shared" si="118"/>
        <v>0</v>
      </c>
      <c r="E1885" s="1">
        <v>42943</v>
      </c>
      <c r="F1885" s="2">
        <v>0.46175925925925926</v>
      </c>
      <c r="G1885" s="2">
        <v>0.46263888888888888</v>
      </c>
      <c r="H1885" s="2">
        <f t="shared" si="119"/>
        <v>8.796296296296191E-4</v>
      </c>
      <c r="K1885" s="1"/>
    </row>
    <row r="1886" spans="1:11" x14ac:dyDescent="0.25">
      <c r="A1886" s="6">
        <v>6326108</v>
      </c>
      <c r="B1886" t="str">
        <f t="shared" si="116"/>
        <v>stacjonarny</v>
      </c>
      <c r="C1886">
        <f t="shared" si="117"/>
        <v>0</v>
      </c>
      <c r="D1886">
        <f t="shared" si="118"/>
        <v>0</v>
      </c>
      <c r="E1886" s="1">
        <v>42943</v>
      </c>
      <c r="F1886" s="2">
        <v>0.46474537037037039</v>
      </c>
      <c r="G1886" s="2">
        <v>0.47486111111111112</v>
      </c>
      <c r="H1886" s="2">
        <f t="shared" si="119"/>
        <v>1.0115740740740731E-2</v>
      </c>
      <c r="K1886" s="1"/>
    </row>
    <row r="1887" spans="1:11" x14ac:dyDescent="0.25">
      <c r="A1887" s="6">
        <v>88929709</v>
      </c>
      <c r="B1887" t="str">
        <f t="shared" si="116"/>
        <v>komorkowy</v>
      </c>
      <c r="C1887">
        <f t="shared" si="117"/>
        <v>0</v>
      </c>
      <c r="D1887">
        <f t="shared" si="118"/>
        <v>0</v>
      </c>
      <c r="E1887" s="1">
        <v>42943</v>
      </c>
      <c r="F1887" s="2">
        <v>0.46687499999999998</v>
      </c>
      <c r="G1887" s="2">
        <v>0.47510416666666666</v>
      </c>
      <c r="H1887" s="2">
        <f t="shared" si="119"/>
        <v>8.2291666666666763E-3</v>
      </c>
      <c r="K1887" s="1"/>
    </row>
    <row r="1888" spans="1:11" x14ac:dyDescent="0.25">
      <c r="A1888" s="6">
        <v>3004967</v>
      </c>
      <c r="B1888" t="str">
        <f t="shared" si="116"/>
        <v>stacjonarny</v>
      </c>
      <c r="C1888">
        <f t="shared" si="117"/>
        <v>0</v>
      </c>
      <c r="D1888">
        <f t="shared" si="118"/>
        <v>0</v>
      </c>
      <c r="E1888" s="1">
        <v>42943</v>
      </c>
      <c r="F1888" s="2">
        <v>0.4707175925925926</v>
      </c>
      <c r="G1888" s="2">
        <v>0.47547453703703701</v>
      </c>
      <c r="H1888" s="2">
        <f t="shared" si="119"/>
        <v>4.7569444444444109E-3</v>
      </c>
      <c r="K1888" s="1"/>
    </row>
    <row r="1889" spans="1:11" x14ac:dyDescent="0.25">
      <c r="A1889" s="6">
        <v>1721264</v>
      </c>
      <c r="B1889" t="str">
        <f t="shared" si="116"/>
        <v>stacjonarny</v>
      </c>
      <c r="C1889">
        <f t="shared" si="117"/>
        <v>0</v>
      </c>
      <c r="D1889">
        <f t="shared" si="118"/>
        <v>0</v>
      </c>
      <c r="E1889" s="1">
        <v>42943</v>
      </c>
      <c r="F1889" s="2">
        <v>0.47394675925925928</v>
      </c>
      <c r="G1889" s="2">
        <v>0.47922453703703705</v>
      </c>
      <c r="H1889" s="2">
        <f t="shared" si="119"/>
        <v>5.2777777777777701E-3</v>
      </c>
      <c r="K1889" s="1"/>
    </row>
    <row r="1890" spans="1:11" x14ac:dyDescent="0.25">
      <c r="A1890" s="6">
        <v>5231877</v>
      </c>
      <c r="B1890" t="str">
        <f t="shared" si="116"/>
        <v>stacjonarny</v>
      </c>
      <c r="C1890">
        <f t="shared" si="117"/>
        <v>0</v>
      </c>
      <c r="D1890">
        <f t="shared" si="118"/>
        <v>0</v>
      </c>
      <c r="E1890" s="1">
        <v>42943</v>
      </c>
      <c r="F1890" s="2">
        <v>0.47550925925925924</v>
      </c>
      <c r="G1890" s="2">
        <v>0.47930555555555554</v>
      </c>
      <c r="H1890" s="2">
        <f t="shared" si="119"/>
        <v>3.7962962962962976E-3</v>
      </c>
      <c r="K1890" s="1"/>
    </row>
    <row r="1891" spans="1:11" x14ac:dyDescent="0.25">
      <c r="A1891" s="6">
        <v>92414932</v>
      </c>
      <c r="B1891" t="str">
        <f t="shared" si="116"/>
        <v>komorkowy</v>
      </c>
      <c r="C1891">
        <f t="shared" si="117"/>
        <v>0</v>
      </c>
      <c r="D1891">
        <f t="shared" si="118"/>
        <v>0</v>
      </c>
      <c r="E1891" s="1">
        <v>42943</v>
      </c>
      <c r="F1891" s="2">
        <v>0.48085648148148147</v>
      </c>
      <c r="G1891" s="2">
        <v>0.48893518518518519</v>
      </c>
      <c r="H1891" s="2">
        <f t="shared" si="119"/>
        <v>8.0787037037037268E-3</v>
      </c>
      <c r="K1891" s="1"/>
    </row>
    <row r="1892" spans="1:11" x14ac:dyDescent="0.25">
      <c r="A1892" s="6">
        <v>3202610</v>
      </c>
      <c r="B1892" t="str">
        <f t="shared" si="116"/>
        <v>stacjonarny</v>
      </c>
      <c r="C1892">
        <f t="shared" si="117"/>
        <v>0</v>
      </c>
      <c r="D1892">
        <f t="shared" si="118"/>
        <v>0</v>
      </c>
      <c r="E1892" s="1">
        <v>42943</v>
      </c>
      <c r="F1892" s="2">
        <v>0.48528935185185185</v>
      </c>
      <c r="G1892" s="2">
        <v>0.48694444444444446</v>
      </c>
      <c r="H1892" s="2">
        <f t="shared" si="119"/>
        <v>1.6550925925926108E-3</v>
      </c>
      <c r="K1892" s="1"/>
    </row>
    <row r="1893" spans="1:11" x14ac:dyDescent="0.25">
      <c r="A1893" s="6">
        <v>2825289</v>
      </c>
      <c r="B1893" t="str">
        <f t="shared" si="116"/>
        <v>stacjonarny</v>
      </c>
      <c r="C1893">
        <f t="shared" si="117"/>
        <v>0</v>
      </c>
      <c r="D1893">
        <f t="shared" si="118"/>
        <v>0</v>
      </c>
      <c r="E1893" s="1">
        <v>42943</v>
      </c>
      <c r="F1893" s="2">
        <v>0.4855902777777778</v>
      </c>
      <c r="G1893" s="2">
        <v>0.49710648148148145</v>
      </c>
      <c r="H1893" s="2">
        <f t="shared" si="119"/>
        <v>1.1516203703703654E-2</v>
      </c>
      <c r="K1893" s="1"/>
    </row>
    <row r="1894" spans="1:11" x14ac:dyDescent="0.25">
      <c r="A1894" s="6">
        <v>7915936</v>
      </c>
      <c r="B1894" t="str">
        <f t="shared" si="116"/>
        <v>stacjonarny</v>
      </c>
      <c r="C1894">
        <f t="shared" si="117"/>
        <v>0</v>
      </c>
      <c r="D1894">
        <f t="shared" si="118"/>
        <v>0</v>
      </c>
      <c r="E1894" s="1">
        <v>42943</v>
      </c>
      <c r="F1894" s="2">
        <v>0.49075231481481479</v>
      </c>
      <c r="G1894" s="2">
        <v>0.49836805555555558</v>
      </c>
      <c r="H1894" s="2">
        <f t="shared" si="119"/>
        <v>7.615740740740784E-3</v>
      </c>
      <c r="K1894" s="1"/>
    </row>
    <row r="1895" spans="1:11" x14ac:dyDescent="0.25">
      <c r="A1895" s="6">
        <v>3680072</v>
      </c>
      <c r="B1895" t="str">
        <f t="shared" si="116"/>
        <v>stacjonarny</v>
      </c>
      <c r="C1895">
        <f t="shared" si="117"/>
        <v>0</v>
      </c>
      <c r="D1895">
        <f t="shared" si="118"/>
        <v>0</v>
      </c>
      <c r="E1895" s="1">
        <v>42943</v>
      </c>
      <c r="F1895" s="2">
        <v>0.49561342592592594</v>
      </c>
      <c r="G1895" s="2">
        <v>0.49716435185185187</v>
      </c>
      <c r="H1895" s="2">
        <f t="shared" si="119"/>
        <v>1.5509259259259278E-3</v>
      </c>
      <c r="K1895" s="1"/>
    </row>
    <row r="1896" spans="1:11" x14ac:dyDescent="0.25">
      <c r="A1896" s="6">
        <v>6980867</v>
      </c>
      <c r="B1896" t="str">
        <f t="shared" si="116"/>
        <v>stacjonarny</v>
      </c>
      <c r="C1896">
        <f t="shared" si="117"/>
        <v>0</v>
      </c>
      <c r="D1896">
        <f t="shared" si="118"/>
        <v>0</v>
      </c>
      <c r="E1896" s="1">
        <v>42943</v>
      </c>
      <c r="F1896" s="2">
        <v>0.49716435185185187</v>
      </c>
      <c r="G1896" s="2">
        <v>0.50270833333333331</v>
      </c>
      <c r="H1896" s="2">
        <f t="shared" si="119"/>
        <v>5.5439814814814414E-3</v>
      </c>
      <c r="K1896" s="1"/>
    </row>
    <row r="1897" spans="1:11" x14ac:dyDescent="0.25">
      <c r="A1897" s="6">
        <v>3656681</v>
      </c>
      <c r="B1897" t="str">
        <f t="shared" si="116"/>
        <v>stacjonarny</v>
      </c>
      <c r="C1897">
        <f t="shared" si="117"/>
        <v>0</v>
      </c>
      <c r="D1897">
        <f t="shared" si="118"/>
        <v>0</v>
      </c>
      <c r="E1897" s="1">
        <v>42943</v>
      </c>
      <c r="F1897" s="2">
        <v>0.50123842592592593</v>
      </c>
      <c r="G1897" s="2">
        <v>0.5084143518518518</v>
      </c>
      <c r="H1897" s="2">
        <f t="shared" si="119"/>
        <v>7.1759259259258634E-3</v>
      </c>
      <c r="K1897" s="1"/>
    </row>
    <row r="1898" spans="1:11" x14ac:dyDescent="0.25">
      <c r="A1898" s="6">
        <v>4445684</v>
      </c>
      <c r="B1898" t="str">
        <f t="shared" si="116"/>
        <v>stacjonarny</v>
      </c>
      <c r="C1898">
        <f t="shared" si="117"/>
        <v>0</v>
      </c>
      <c r="D1898">
        <f t="shared" si="118"/>
        <v>0</v>
      </c>
      <c r="E1898" s="1">
        <v>42943</v>
      </c>
      <c r="F1898" s="2">
        <v>0.50361111111111112</v>
      </c>
      <c r="G1898" s="2">
        <v>0.51285879629629627</v>
      </c>
      <c r="H1898" s="2">
        <f t="shared" si="119"/>
        <v>9.2476851851851505E-3</v>
      </c>
      <c r="K1898" s="1"/>
    </row>
    <row r="1899" spans="1:11" x14ac:dyDescent="0.25">
      <c r="A1899" s="6">
        <v>9864502</v>
      </c>
      <c r="B1899" t="str">
        <f t="shared" si="116"/>
        <v>stacjonarny</v>
      </c>
      <c r="C1899">
        <f t="shared" si="117"/>
        <v>0</v>
      </c>
      <c r="D1899">
        <f t="shared" si="118"/>
        <v>0</v>
      </c>
      <c r="E1899" s="1">
        <v>42943</v>
      </c>
      <c r="F1899" s="2">
        <v>0.50722222222222224</v>
      </c>
      <c r="G1899" s="2">
        <v>0.50762731481481482</v>
      </c>
      <c r="H1899" s="2">
        <f t="shared" si="119"/>
        <v>4.050925925925819E-4</v>
      </c>
      <c r="K1899" s="1"/>
    </row>
    <row r="1900" spans="1:11" x14ac:dyDescent="0.25">
      <c r="A1900" s="6">
        <v>5881130</v>
      </c>
      <c r="B1900" t="str">
        <f t="shared" si="116"/>
        <v>stacjonarny</v>
      </c>
      <c r="C1900">
        <f t="shared" si="117"/>
        <v>0</v>
      </c>
      <c r="D1900">
        <f t="shared" si="118"/>
        <v>0</v>
      </c>
      <c r="E1900" s="1">
        <v>42943</v>
      </c>
      <c r="F1900" s="2">
        <v>0.51086805555555559</v>
      </c>
      <c r="G1900" s="2">
        <v>0.516087962962963</v>
      </c>
      <c r="H1900" s="2">
        <f t="shared" si="119"/>
        <v>5.2199074074074092E-3</v>
      </c>
      <c r="K1900" s="1"/>
    </row>
    <row r="1901" spans="1:11" x14ac:dyDescent="0.25">
      <c r="A1901" s="6">
        <v>2056567</v>
      </c>
      <c r="B1901" t="str">
        <f t="shared" si="116"/>
        <v>stacjonarny</v>
      </c>
      <c r="C1901">
        <f t="shared" si="117"/>
        <v>0</v>
      </c>
      <c r="D1901">
        <f t="shared" si="118"/>
        <v>0</v>
      </c>
      <c r="E1901" s="1">
        <v>42943</v>
      </c>
      <c r="F1901" s="2">
        <v>0.51563657407407404</v>
      </c>
      <c r="G1901" s="2">
        <v>0.52396990740740745</v>
      </c>
      <c r="H1901" s="2">
        <f t="shared" si="119"/>
        <v>8.3333333333334147E-3</v>
      </c>
      <c r="K1901" s="1"/>
    </row>
    <row r="1902" spans="1:11" x14ac:dyDescent="0.25">
      <c r="A1902" s="6">
        <v>62150310</v>
      </c>
      <c r="B1902" t="str">
        <f t="shared" si="116"/>
        <v>komorkowy</v>
      </c>
      <c r="C1902">
        <f t="shared" si="117"/>
        <v>0</v>
      </c>
      <c r="D1902">
        <f t="shared" si="118"/>
        <v>0</v>
      </c>
      <c r="E1902" s="1">
        <v>42943</v>
      </c>
      <c r="F1902" s="2">
        <v>0.52003472222222225</v>
      </c>
      <c r="G1902" s="2">
        <v>0.52927083333333336</v>
      </c>
      <c r="H1902" s="2">
        <f t="shared" si="119"/>
        <v>9.2361111111111116E-3</v>
      </c>
      <c r="K1902" s="1"/>
    </row>
    <row r="1903" spans="1:11" x14ac:dyDescent="0.25">
      <c r="A1903" s="6">
        <v>9340299</v>
      </c>
      <c r="B1903" t="str">
        <f t="shared" si="116"/>
        <v>stacjonarny</v>
      </c>
      <c r="C1903">
        <f t="shared" si="117"/>
        <v>0</v>
      </c>
      <c r="D1903">
        <f t="shared" si="118"/>
        <v>0</v>
      </c>
      <c r="E1903" s="1">
        <v>42943</v>
      </c>
      <c r="F1903" s="2">
        <v>0.52034722222222218</v>
      </c>
      <c r="G1903" s="2">
        <v>0.52137731481481486</v>
      </c>
      <c r="H1903" s="2">
        <f t="shared" si="119"/>
        <v>1.0300925925926796E-3</v>
      </c>
      <c r="K1903" s="1"/>
    </row>
    <row r="1904" spans="1:11" x14ac:dyDescent="0.25">
      <c r="A1904" s="6">
        <v>3912924</v>
      </c>
      <c r="B1904" t="str">
        <f t="shared" si="116"/>
        <v>stacjonarny</v>
      </c>
      <c r="C1904">
        <f t="shared" si="117"/>
        <v>0</v>
      </c>
      <c r="D1904">
        <f t="shared" si="118"/>
        <v>0</v>
      </c>
      <c r="E1904" s="1">
        <v>42943</v>
      </c>
      <c r="F1904" s="2">
        <v>0.52368055555555559</v>
      </c>
      <c r="G1904" s="2">
        <v>0.52627314814814818</v>
      </c>
      <c r="H1904" s="2">
        <f t="shared" si="119"/>
        <v>2.5925925925925908E-3</v>
      </c>
      <c r="K1904" s="1"/>
    </row>
    <row r="1905" spans="1:11" x14ac:dyDescent="0.25">
      <c r="A1905" s="6">
        <v>8159466</v>
      </c>
      <c r="B1905" t="str">
        <f t="shared" si="116"/>
        <v>stacjonarny</v>
      </c>
      <c r="C1905">
        <f t="shared" si="117"/>
        <v>0</v>
      </c>
      <c r="D1905">
        <f t="shared" si="118"/>
        <v>0</v>
      </c>
      <c r="E1905" s="1">
        <v>42943</v>
      </c>
      <c r="F1905" s="2">
        <v>0.52460648148148148</v>
      </c>
      <c r="G1905" s="2">
        <v>0.52971064814814817</v>
      </c>
      <c r="H1905" s="2">
        <f t="shared" si="119"/>
        <v>5.1041666666666874E-3</v>
      </c>
      <c r="K1905" s="1"/>
    </row>
    <row r="1906" spans="1:11" x14ac:dyDescent="0.25">
      <c r="A1906" s="6">
        <v>7467198</v>
      </c>
      <c r="B1906" t="str">
        <f t="shared" si="116"/>
        <v>stacjonarny</v>
      </c>
      <c r="C1906">
        <f t="shared" si="117"/>
        <v>0</v>
      </c>
      <c r="D1906">
        <f t="shared" si="118"/>
        <v>0</v>
      </c>
      <c r="E1906" s="1">
        <v>42943</v>
      </c>
      <c r="F1906" s="2">
        <v>0.52993055555555557</v>
      </c>
      <c r="G1906" s="2">
        <v>0.53739583333333329</v>
      </c>
      <c r="H1906" s="2">
        <f t="shared" si="119"/>
        <v>7.4652777777777235E-3</v>
      </c>
      <c r="K1906" s="1"/>
    </row>
    <row r="1907" spans="1:11" x14ac:dyDescent="0.25">
      <c r="A1907" s="6">
        <v>4703748</v>
      </c>
      <c r="B1907" t="str">
        <f t="shared" si="116"/>
        <v>stacjonarny</v>
      </c>
      <c r="C1907">
        <f t="shared" si="117"/>
        <v>0</v>
      </c>
      <c r="D1907">
        <f t="shared" si="118"/>
        <v>0</v>
      </c>
      <c r="E1907" s="1">
        <v>42943</v>
      </c>
      <c r="F1907" s="2">
        <v>0.53315972222222219</v>
      </c>
      <c r="G1907" s="2">
        <v>0.53454861111111107</v>
      </c>
      <c r="H1907" s="2">
        <f t="shared" si="119"/>
        <v>1.388888888888884E-3</v>
      </c>
      <c r="K1907" s="1"/>
    </row>
    <row r="1908" spans="1:11" x14ac:dyDescent="0.25">
      <c r="A1908" s="6">
        <v>1165705</v>
      </c>
      <c r="B1908" t="str">
        <f t="shared" si="116"/>
        <v>stacjonarny</v>
      </c>
      <c r="C1908">
        <f t="shared" si="117"/>
        <v>0</v>
      </c>
      <c r="D1908">
        <f t="shared" si="118"/>
        <v>0</v>
      </c>
      <c r="E1908" s="1">
        <v>42943</v>
      </c>
      <c r="F1908" s="2">
        <v>0.53666666666666663</v>
      </c>
      <c r="G1908" s="2">
        <v>0.54100694444444442</v>
      </c>
      <c r="H1908" s="2">
        <f t="shared" si="119"/>
        <v>4.3402777777777901E-3</v>
      </c>
      <c r="K1908" s="1"/>
    </row>
    <row r="1909" spans="1:11" x14ac:dyDescent="0.25">
      <c r="A1909" s="6">
        <v>90762334</v>
      </c>
      <c r="B1909" t="str">
        <f t="shared" si="116"/>
        <v>komorkowy</v>
      </c>
      <c r="C1909">
        <f t="shared" si="117"/>
        <v>0</v>
      </c>
      <c r="D1909">
        <f t="shared" si="118"/>
        <v>0</v>
      </c>
      <c r="E1909" s="1">
        <v>42943</v>
      </c>
      <c r="F1909" s="2">
        <v>0.54144675925925922</v>
      </c>
      <c r="G1909" s="2">
        <v>0.54313657407407412</v>
      </c>
      <c r="H1909" s="2">
        <f t="shared" si="119"/>
        <v>1.6898148148148939E-3</v>
      </c>
      <c r="K1909" s="1"/>
    </row>
    <row r="1910" spans="1:11" x14ac:dyDescent="0.25">
      <c r="A1910" s="6">
        <v>16527855</v>
      </c>
      <c r="B1910" t="str">
        <f t="shared" si="116"/>
        <v>komorkowy</v>
      </c>
      <c r="C1910">
        <f t="shared" si="117"/>
        <v>0</v>
      </c>
      <c r="D1910">
        <f t="shared" si="118"/>
        <v>0</v>
      </c>
      <c r="E1910" s="1">
        <v>42943</v>
      </c>
      <c r="F1910" s="2">
        <v>0.54194444444444445</v>
      </c>
      <c r="G1910" s="2">
        <v>0.5513541666666667</v>
      </c>
      <c r="H1910" s="2">
        <f t="shared" si="119"/>
        <v>9.4097222222222499E-3</v>
      </c>
      <c r="K1910" s="1"/>
    </row>
    <row r="1911" spans="1:11" x14ac:dyDescent="0.25">
      <c r="A1911" s="6">
        <v>1055495</v>
      </c>
      <c r="B1911" t="str">
        <f t="shared" si="116"/>
        <v>stacjonarny</v>
      </c>
      <c r="C1911">
        <f t="shared" si="117"/>
        <v>0</v>
      </c>
      <c r="D1911">
        <f t="shared" si="118"/>
        <v>0</v>
      </c>
      <c r="E1911" s="1">
        <v>42943</v>
      </c>
      <c r="F1911" s="2">
        <v>0.54600694444444442</v>
      </c>
      <c r="G1911" s="2">
        <v>0.54866898148148147</v>
      </c>
      <c r="H1911" s="2">
        <f t="shared" si="119"/>
        <v>2.6620370370370461E-3</v>
      </c>
      <c r="K1911" s="1"/>
    </row>
    <row r="1912" spans="1:11" x14ac:dyDescent="0.25">
      <c r="A1912" s="6">
        <v>9120318</v>
      </c>
      <c r="B1912" t="str">
        <f t="shared" si="116"/>
        <v>stacjonarny</v>
      </c>
      <c r="C1912">
        <f t="shared" si="117"/>
        <v>0</v>
      </c>
      <c r="D1912">
        <f t="shared" si="118"/>
        <v>0</v>
      </c>
      <c r="E1912" s="1">
        <v>42943</v>
      </c>
      <c r="F1912" s="2">
        <v>0.54690972222222223</v>
      </c>
      <c r="G1912" s="2">
        <v>0.54707175925925922</v>
      </c>
      <c r="H1912" s="2">
        <f t="shared" si="119"/>
        <v>1.6203703703698835E-4</v>
      </c>
      <c r="K1912" s="1"/>
    </row>
    <row r="1913" spans="1:11" x14ac:dyDescent="0.25">
      <c r="A1913" s="6">
        <v>4030817</v>
      </c>
      <c r="B1913" t="str">
        <f t="shared" si="116"/>
        <v>stacjonarny</v>
      </c>
      <c r="C1913">
        <f t="shared" si="117"/>
        <v>0</v>
      </c>
      <c r="D1913">
        <f t="shared" si="118"/>
        <v>0</v>
      </c>
      <c r="E1913" s="1">
        <v>42943</v>
      </c>
      <c r="F1913" s="2">
        <v>0.55092592592592593</v>
      </c>
      <c r="G1913" s="2">
        <v>0.56030092592592595</v>
      </c>
      <c r="H1913" s="2">
        <f t="shared" si="119"/>
        <v>9.3750000000000222E-3</v>
      </c>
      <c r="K1913" s="1"/>
    </row>
    <row r="1914" spans="1:11" x14ac:dyDescent="0.25">
      <c r="A1914" s="6">
        <v>1025756</v>
      </c>
      <c r="B1914" t="str">
        <f t="shared" si="116"/>
        <v>stacjonarny</v>
      </c>
      <c r="C1914">
        <f t="shared" si="117"/>
        <v>0</v>
      </c>
      <c r="D1914">
        <f t="shared" si="118"/>
        <v>0</v>
      </c>
      <c r="E1914" s="1">
        <v>42943</v>
      </c>
      <c r="F1914" s="2">
        <v>0.55116898148148152</v>
      </c>
      <c r="G1914" s="2">
        <v>0.56047453703703709</v>
      </c>
      <c r="H1914" s="2">
        <f t="shared" si="119"/>
        <v>9.3055555555555669E-3</v>
      </c>
      <c r="K1914" s="1"/>
    </row>
    <row r="1915" spans="1:11" x14ac:dyDescent="0.25">
      <c r="A1915" s="6">
        <v>29880225</v>
      </c>
      <c r="B1915" t="str">
        <f t="shared" si="116"/>
        <v>komorkowy</v>
      </c>
      <c r="C1915">
        <f t="shared" si="117"/>
        <v>0</v>
      </c>
      <c r="D1915">
        <f t="shared" si="118"/>
        <v>0</v>
      </c>
      <c r="E1915" s="1">
        <v>42943</v>
      </c>
      <c r="F1915" s="2">
        <v>0.55174768518518513</v>
      </c>
      <c r="G1915" s="2">
        <v>0.55920138888888893</v>
      </c>
      <c r="H1915" s="2">
        <f t="shared" si="119"/>
        <v>7.4537037037037956E-3</v>
      </c>
      <c r="K1915" s="1"/>
    </row>
    <row r="1916" spans="1:11" x14ac:dyDescent="0.25">
      <c r="A1916" s="6">
        <v>4791902</v>
      </c>
      <c r="B1916" t="str">
        <f t="shared" si="116"/>
        <v>stacjonarny</v>
      </c>
      <c r="C1916">
        <f t="shared" si="117"/>
        <v>0</v>
      </c>
      <c r="D1916">
        <f t="shared" si="118"/>
        <v>0</v>
      </c>
      <c r="E1916" s="1">
        <v>42943</v>
      </c>
      <c r="F1916" s="2">
        <v>0.55718749999999995</v>
      </c>
      <c r="G1916" s="2">
        <v>0.55753472222222222</v>
      </c>
      <c r="H1916" s="2">
        <f t="shared" si="119"/>
        <v>3.472222222222765E-4</v>
      </c>
      <c r="K1916" s="1"/>
    </row>
    <row r="1917" spans="1:11" x14ac:dyDescent="0.25">
      <c r="A1917" s="6">
        <v>5228419</v>
      </c>
      <c r="B1917" t="str">
        <f t="shared" si="116"/>
        <v>stacjonarny</v>
      </c>
      <c r="C1917">
        <f t="shared" si="117"/>
        <v>0</v>
      </c>
      <c r="D1917">
        <f t="shared" si="118"/>
        <v>0</v>
      </c>
      <c r="E1917" s="1">
        <v>42943</v>
      </c>
      <c r="F1917" s="2">
        <v>0.55995370370370368</v>
      </c>
      <c r="G1917" s="2">
        <v>0.56405092592592587</v>
      </c>
      <c r="H1917" s="2">
        <f t="shared" si="119"/>
        <v>4.0972222222221966E-3</v>
      </c>
      <c r="K1917" s="1"/>
    </row>
    <row r="1918" spans="1:11" x14ac:dyDescent="0.25">
      <c r="A1918" s="6">
        <v>8991671</v>
      </c>
      <c r="B1918" t="str">
        <f t="shared" si="116"/>
        <v>stacjonarny</v>
      </c>
      <c r="C1918">
        <f t="shared" si="117"/>
        <v>0</v>
      </c>
      <c r="D1918">
        <f t="shared" si="118"/>
        <v>0</v>
      </c>
      <c r="E1918" s="1">
        <v>42943</v>
      </c>
      <c r="F1918" s="2">
        <v>0.56268518518518518</v>
      </c>
      <c r="G1918" s="2">
        <v>0.56517361111111108</v>
      </c>
      <c r="H1918" s="2">
        <f t="shared" si="119"/>
        <v>2.4884259259259078E-3</v>
      </c>
      <c r="K1918" s="1"/>
    </row>
    <row r="1919" spans="1:11" x14ac:dyDescent="0.25">
      <c r="A1919" s="6">
        <v>8045338707</v>
      </c>
      <c r="B1919" t="str">
        <f t="shared" si="116"/>
        <v>zagraniczny</v>
      </c>
      <c r="C1919">
        <f t="shared" si="117"/>
        <v>0</v>
      </c>
      <c r="D1919">
        <f t="shared" si="118"/>
        <v>0</v>
      </c>
      <c r="E1919" s="1">
        <v>42943</v>
      </c>
      <c r="F1919" s="2">
        <v>0.56680555555555556</v>
      </c>
      <c r="G1919" s="2">
        <v>0.56877314814814817</v>
      </c>
      <c r="H1919" s="2">
        <f t="shared" si="119"/>
        <v>1.9675925925926041E-3</v>
      </c>
      <c r="K1919" s="1"/>
    </row>
    <row r="1920" spans="1:11" x14ac:dyDescent="0.25">
      <c r="A1920" s="6">
        <v>9192546</v>
      </c>
      <c r="B1920" t="str">
        <f t="shared" si="116"/>
        <v>stacjonarny</v>
      </c>
      <c r="C1920">
        <f t="shared" si="117"/>
        <v>0</v>
      </c>
      <c r="D1920">
        <f t="shared" si="118"/>
        <v>0</v>
      </c>
      <c r="E1920" s="1">
        <v>42943</v>
      </c>
      <c r="F1920" s="2">
        <v>0.57233796296296291</v>
      </c>
      <c r="G1920" s="2">
        <v>0.57620370370370366</v>
      </c>
      <c r="H1920" s="2">
        <f t="shared" si="119"/>
        <v>3.8657407407407529E-3</v>
      </c>
      <c r="K1920" s="1"/>
    </row>
    <row r="1921" spans="1:11" x14ac:dyDescent="0.25">
      <c r="A1921" s="6">
        <v>9664752</v>
      </c>
      <c r="B1921" t="str">
        <f t="shared" si="116"/>
        <v>stacjonarny</v>
      </c>
      <c r="C1921">
        <f t="shared" si="117"/>
        <v>0</v>
      </c>
      <c r="D1921">
        <f t="shared" si="118"/>
        <v>0</v>
      </c>
      <c r="E1921" s="1">
        <v>42943</v>
      </c>
      <c r="F1921" s="2">
        <v>0.57563657407407409</v>
      </c>
      <c r="G1921" s="2">
        <v>0.57976851851851852</v>
      </c>
      <c r="H1921" s="2">
        <f t="shared" si="119"/>
        <v>4.1319444444444242E-3</v>
      </c>
      <c r="K1921" s="1"/>
    </row>
    <row r="1922" spans="1:11" x14ac:dyDescent="0.25">
      <c r="A1922" s="6">
        <v>62653835</v>
      </c>
      <c r="B1922" t="str">
        <f t="shared" ref="B1922:B1985" si="120">IF(LEN(A1922)=7, "stacjonarny", IF(LEN(A1922)=8, "komorkowy", "zagraniczny"))</f>
        <v>komorkowy</v>
      </c>
      <c r="C1922">
        <f t="shared" si="117"/>
        <v>0</v>
      </c>
      <c r="D1922">
        <f t="shared" si="118"/>
        <v>0</v>
      </c>
      <c r="E1922" s="1">
        <v>42943</v>
      </c>
      <c r="F1922" s="2">
        <v>0.58034722222222224</v>
      </c>
      <c r="G1922" s="2">
        <v>0.58803240740740736</v>
      </c>
      <c r="H1922" s="2">
        <f t="shared" si="119"/>
        <v>7.6851851851851283E-3</v>
      </c>
      <c r="K1922" s="1"/>
    </row>
    <row r="1923" spans="1:11" x14ac:dyDescent="0.25">
      <c r="A1923" s="6">
        <v>6087301</v>
      </c>
      <c r="B1923" t="str">
        <f t="shared" si="120"/>
        <v>stacjonarny</v>
      </c>
      <c r="C1923">
        <f t="shared" ref="C1923:C1986" si="121">IF(LEFT(A1923,2)="12",1,0)</f>
        <v>0</v>
      </c>
      <c r="D1923">
        <f t="shared" ref="D1923:D1986" si="122">IF(AND(C1923=1,B1923="stacjonarny"),1,0)</f>
        <v>0</v>
      </c>
      <c r="E1923" s="1">
        <v>42943</v>
      </c>
      <c r="F1923" s="2">
        <v>0.58589120370370373</v>
      </c>
      <c r="G1923" s="2">
        <v>0.59706018518518522</v>
      </c>
      <c r="H1923" s="2">
        <f t="shared" ref="H1923:H1986" si="123">G1923-F1923</f>
        <v>1.1168981481481488E-2</v>
      </c>
      <c r="K1923" s="1"/>
    </row>
    <row r="1924" spans="1:11" x14ac:dyDescent="0.25">
      <c r="A1924" s="6">
        <v>3864488</v>
      </c>
      <c r="B1924" t="str">
        <f t="shared" si="120"/>
        <v>stacjonarny</v>
      </c>
      <c r="C1924">
        <f t="shared" si="121"/>
        <v>0</v>
      </c>
      <c r="D1924">
        <f t="shared" si="122"/>
        <v>0</v>
      </c>
      <c r="E1924" s="1">
        <v>42943</v>
      </c>
      <c r="F1924" s="2">
        <v>0.58601851851851849</v>
      </c>
      <c r="G1924" s="2">
        <v>0.58971064814814811</v>
      </c>
      <c r="H1924" s="2">
        <f t="shared" si="123"/>
        <v>3.6921296296296147E-3</v>
      </c>
      <c r="K1924" s="1"/>
    </row>
    <row r="1925" spans="1:11" x14ac:dyDescent="0.25">
      <c r="A1925" s="6">
        <v>5604405</v>
      </c>
      <c r="B1925" t="str">
        <f t="shared" si="120"/>
        <v>stacjonarny</v>
      </c>
      <c r="C1925">
        <f t="shared" si="121"/>
        <v>0</v>
      </c>
      <c r="D1925">
        <f t="shared" si="122"/>
        <v>0</v>
      </c>
      <c r="E1925" s="1">
        <v>42943</v>
      </c>
      <c r="F1925" s="2">
        <v>0.58655092592592595</v>
      </c>
      <c r="G1925" s="2">
        <v>0.59761574074074075</v>
      </c>
      <c r="H1925" s="2">
        <f t="shared" si="123"/>
        <v>1.1064814814814805E-2</v>
      </c>
      <c r="K1925" s="1"/>
    </row>
    <row r="1926" spans="1:11" x14ac:dyDescent="0.25">
      <c r="A1926" s="6">
        <v>4774889</v>
      </c>
      <c r="B1926" t="str">
        <f t="shared" si="120"/>
        <v>stacjonarny</v>
      </c>
      <c r="C1926">
        <f t="shared" si="121"/>
        <v>0</v>
      </c>
      <c r="D1926">
        <f t="shared" si="122"/>
        <v>0</v>
      </c>
      <c r="E1926" s="1">
        <v>42943</v>
      </c>
      <c r="F1926" s="2">
        <v>0.58733796296296292</v>
      </c>
      <c r="G1926" s="2">
        <v>0.59475694444444449</v>
      </c>
      <c r="H1926" s="2">
        <f t="shared" si="123"/>
        <v>7.418981481481568E-3</v>
      </c>
      <c r="K1926" s="1"/>
    </row>
    <row r="1927" spans="1:11" x14ac:dyDescent="0.25">
      <c r="A1927" s="6">
        <v>4017213</v>
      </c>
      <c r="B1927" t="str">
        <f t="shared" si="120"/>
        <v>stacjonarny</v>
      </c>
      <c r="C1927">
        <f t="shared" si="121"/>
        <v>0</v>
      </c>
      <c r="D1927">
        <f t="shared" si="122"/>
        <v>0</v>
      </c>
      <c r="E1927" s="1">
        <v>42943</v>
      </c>
      <c r="F1927" s="2">
        <v>0.59228009259259262</v>
      </c>
      <c r="G1927" s="2">
        <v>0.60034722222222225</v>
      </c>
      <c r="H1927" s="2">
        <f t="shared" si="123"/>
        <v>8.0671296296296324E-3</v>
      </c>
      <c r="K1927" s="1"/>
    </row>
    <row r="1928" spans="1:11" x14ac:dyDescent="0.25">
      <c r="A1928" s="6">
        <v>4720934</v>
      </c>
      <c r="B1928" t="str">
        <f t="shared" si="120"/>
        <v>stacjonarny</v>
      </c>
      <c r="C1928">
        <f t="shared" si="121"/>
        <v>0</v>
      </c>
      <c r="D1928">
        <f t="shared" si="122"/>
        <v>0</v>
      </c>
      <c r="E1928" s="1">
        <v>42943</v>
      </c>
      <c r="F1928" s="2">
        <v>0.59624999999999995</v>
      </c>
      <c r="G1928" s="2">
        <v>0.59810185185185183</v>
      </c>
      <c r="H1928" s="2">
        <f t="shared" si="123"/>
        <v>1.8518518518518823E-3</v>
      </c>
      <c r="K1928" s="1"/>
    </row>
    <row r="1929" spans="1:11" x14ac:dyDescent="0.25">
      <c r="A1929" s="6">
        <v>13494237</v>
      </c>
      <c r="B1929" t="str">
        <f t="shared" si="120"/>
        <v>komorkowy</v>
      </c>
      <c r="C1929">
        <f t="shared" si="121"/>
        <v>0</v>
      </c>
      <c r="D1929">
        <f t="shared" si="122"/>
        <v>0</v>
      </c>
      <c r="E1929" s="1">
        <v>42943</v>
      </c>
      <c r="F1929" s="2">
        <v>0.60160879629629627</v>
      </c>
      <c r="G1929" s="2">
        <v>0.61234953703703698</v>
      </c>
      <c r="H1929" s="2">
        <f t="shared" si="123"/>
        <v>1.0740740740740717E-2</v>
      </c>
      <c r="K1929" s="1"/>
    </row>
    <row r="1930" spans="1:11" x14ac:dyDescent="0.25">
      <c r="A1930" s="6">
        <v>71807686</v>
      </c>
      <c r="B1930" t="str">
        <f t="shared" si="120"/>
        <v>komorkowy</v>
      </c>
      <c r="C1930">
        <f t="shared" si="121"/>
        <v>0</v>
      </c>
      <c r="D1930">
        <f t="shared" si="122"/>
        <v>0</v>
      </c>
      <c r="E1930" s="1">
        <v>42943</v>
      </c>
      <c r="F1930" s="2">
        <v>0.60339120370370369</v>
      </c>
      <c r="G1930" s="2">
        <v>0.61410879629629633</v>
      </c>
      <c r="H1930" s="2">
        <f t="shared" si="123"/>
        <v>1.071759259259264E-2</v>
      </c>
      <c r="K1930" s="1"/>
    </row>
    <row r="1931" spans="1:11" x14ac:dyDescent="0.25">
      <c r="A1931" s="6">
        <v>7865609</v>
      </c>
      <c r="B1931" t="str">
        <f t="shared" si="120"/>
        <v>stacjonarny</v>
      </c>
      <c r="C1931">
        <f t="shared" si="121"/>
        <v>0</v>
      </c>
      <c r="D1931">
        <f t="shared" si="122"/>
        <v>0</v>
      </c>
      <c r="E1931" s="1">
        <v>42943</v>
      </c>
      <c r="F1931" s="2">
        <v>0.60826388888888894</v>
      </c>
      <c r="G1931" s="2">
        <v>0.61071759259259262</v>
      </c>
      <c r="H1931" s="2">
        <f t="shared" si="123"/>
        <v>2.4537037037036802E-3</v>
      </c>
      <c r="K1931" s="1"/>
    </row>
    <row r="1932" spans="1:11" x14ac:dyDescent="0.25">
      <c r="A1932" s="6">
        <v>5318850</v>
      </c>
      <c r="B1932" t="str">
        <f t="shared" si="120"/>
        <v>stacjonarny</v>
      </c>
      <c r="C1932">
        <f t="shared" si="121"/>
        <v>0</v>
      </c>
      <c r="D1932">
        <f t="shared" si="122"/>
        <v>0</v>
      </c>
      <c r="E1932" s="1">
        <v>42943</v>
      </c>
      <c r="F1932" s="2">
        <v>0.61053240740740744</v>
      </c>
      <c r="G1932" s="2">
        <v>0.61406249999999996</v>
      </c>
      <c r="H1932" s="2">
        <f t="shared" si="123"/>
        <v>3.5300925925925153E-3</v>
      </c>
      <c r="K1932" s="1"/>
    </row>
    <row r="1933" spans="1:11" x14ac:dyDescent="0.25">
      <c r="A1933" s="6">
        <v>63613334</v>
      </c>
      <c r="B1933" t="str">
        <f t="shared" si="120"/>
        <v>komorkowy</v>
      </c>
      <c r="C1933">
        <f t="shared" si="121"/>
        <v>0</v>
      </c>
      <c r="D1933">
        <f t="shared" si="122"/>
        <v>0</v>
      </c>
      <c r="E1933" s="1">
        <v>42943</v>
      </c>
      <c r="F1933" s="2">
        <v>0.61393518518518519</v>
      </c>
      <c r="G1933" s="2">
        <v>0.61831018518518521</v>
      </c>
      <c r="H1933" s="2">
        <f t="shared" si="123"/>
        <v>4.3750000000000178E-3</v>
      </c>
      <c r="K1933" s="1"/>
    </row>
    <row r="1934" spans="1:11" x14ac:dyDescent="0.25">
      <c r="A1934" s="6">
        <v>2256093</v>
      </c>
      <c r="B1934" t="str">
        <f t="shared" si="120"/>
        <v>stacjonarny</v>
      </c>
      <c r="C1934">
        <f t="shared" si="121"/>
        <v>0</v>
      </c>
      <c r="D1934">
        <f t="shared" si="122"/>
        <v>0</v>
      </c>
      <c r="E1934" s="1">
        <v>42943</v>
      </c>
      <c r="F1934" s="2">
        <v>0.61958333333333337</v>
      </c>
      <c r="G1934" s="2">
        <v>0.62275462962962957</v>
      </c>
      <c r="H1934" s="2">
        <f t="shared" si="123"/>
        <v>3.1712962962961999E-3</v>
      </c>
      <c r="K1934" s="1"/>
    </row>
    <row r="1935" spans="1:11" x14ac:dyDescent="0.25">
      <c r="A1935" s="6">
        <v>7421094</v>
      </c>
      <c r="B1935" t="str">
        <f t="shared" si="120"/>
        <v>stacjonarny</v>
      </c>
      <c r="C1935">
        <f t="shared" si="121"/>
        <v>0</v>
      </c>
      <c r="D1935">
        <f t="shared" si="122"/>
        <v>0</v>
      </c>
      <c r="E1935" s="1">
        <v>42943</v>
      </c>
      <c r="F1935" s="2">
        <v>0.62206018518518513</v>
      </c>
      <c r="G1935" s="2">
        <v>0.62554398148148149</v>
      </c>
      <c r="H1935" s="2">
        <f t="shared" si="123"/>
        <v>3.4837962962963598E-3</v>
      </c>
      <c r="K1935" s="1"/>
    </row>
    <row r="1936" spans="1:11" x14ac:dyDescent="0.25">
      <c r="A1936" s="6">
        <v>5376362</v>
      </c>
      <c r="B1936" t="str">
        <f t="shared" si="120"/>
        <v>stacjonarny</v>
      </c>
      <c r="C1936">
        <f t="shared" si="121"/>
        <v>0</v>
      </c>
      <c r="D1936">
        <f t="shared" si="122"/>
        <v>0</v>
      </c>
      <c r="E1936" s="1">
        <v>42943</v>
      </c>
      <c r="F1936" s="2">
        <v>0.6255208333333333</v>
      </c>
      <c r="G1936" s="2">
        <v>0.63026620370370368</v>
      </c>
      <c r="H1936" s="2">
        <f t="shared" si="123"/>
        <v>4.745370370370372E-3</v>
      </c>
      <c r="K1936" s="1"/>
    </row>
    <row r="1937" spans="1:11" x14ac:dyDescent="0.25">
      <c r="A1937" s="6">
        <v>8967842</v>
      </c>
      <c r="B1937" t="str">
        <f t="shared" si="120"/>
        <v>stacjonarny</v>
      </c>
      <c r="C1937">
        <f t="shared" si="121"/>
        <v>0</v>
      </c>
      <c r="D1937">
        <f t="shared" si="122"/>
        <v>0</v>
      </c>
      <c r="E1937" s="1">
        <v>42944</v>
      </c>
      <c r="F1937" s="2">
        <v>0.3369328703703704</v>
      </c>
      <c r="G1937" s="2">
        <v>0.34400462962962963</v>
      </c>
      <c r="H1937" s="2">
        <f t="shared" si="123"/>
        <v>7.071759259259236E-3</v>
      </c>
      <c r="K1937" s="1"/>
    </row>
    <row r="1938" spans="1:11" x14ac:dyDescent="0.25">
      <c r="A1938" s="6">
        <v>76644634</v>
      </c>
      <c r="B1938" t="str">
        <f t="shared" si="120"/>
        <v>komorkowy</v>
      </c>
      <c r="C1938">
        <f t="shared" si="121"/>
        <v>0</v>
      </c>
      <c r="D1938">
        <f t="shared" si="122"/>
        <v>0</v>
      </c>
      <c r="E1938" s="1">
        <v>42944</v>
      </c>
      <c r="F1938" s="2">
        <v>0.33696759259259257</v>
      </c>
      <c r="G1938" s="2">
        <v>0.33809027777777778</v>
      </c>
      <c r="H1938" s="2">
        <f t="shared" si="123"/>
        <v>1.1226851851852127E-3</v>
      </c>
      <c r="K1938" s="1"/>
    </row>
    <row r="1939" spans="1:11" x14ac:dyDescent="0.25">
      <c r="A1939" s="6">
        <v>7622819</v>
      </c>
      <c r="B1939" t="str">
        <f t="shared" si="120"/>
        <v>stacjonarny</v>
      </c>
      <c r="C1939">
        <f t="shared" si="121"/>
        <v>0</v>
      </c>
      <c r="D1939">
        <f t="shared" si="122"/>
        <v>0</v>
      </c>
      <c r="E1939" s="1">
        <v>42944</v>
      </c>
      <c r="F1939" s="2">
        <v>0.33831018518518519</v>
      </c>
      <c r="G1939" s="2">
        <v>0.34758101851851853</v>
      </c>
      <c r="H1939" s="2">
        <f t="shared" si="123"/>
        <v>9.2708333333333393E-3</v>
      </c>
      <c r="K1939" s="1"/>
    </row>
    <row r="1940" spans="1:11" x14ac:dyDescent="0.25">
      <c r="A1940" s="6">
        <v>3524259</v>
      </c>
      <c r="B1940" t="str">
        <f t="shared" si="120"/>
        <v>stacjonarny</v>
      </c>
      <c r="C1940">
        <f t="shared" si="121"/>
        <v>0</v>
      </c>
      <c r="D1940">
        <f t="shared" si="122"/>
        <v>0</v>
      </c>
      <c r="E1940" s="1">
        <v>42944</v>
      </c>
      <c r="F1940" s="2">
        <v>0.33927083333333335</v>
      </c>
      <c r="G1940" s="2">
        <v>0.34861111111111109</v>
      </c>
      <c r="H1940" s="2">
        <f t="shared" si="123"/>
        <v>9.340277777777739E-3</v>
      </c>
      <c r="K1940" s="1"/>
    </row>
    <row r="1941" spans="1:11" x14ac:dyDescent="0.25">
      <c r="A1941" s="6">
        <v>5550678</v>
      </c>
      <c r="B1941" t="str">
        <f t="shared" si="120"/>
        <v>stacjonarny</v>
      </c>
      <c r="C1941">
        <f t="shared" si="121"/>
        <v>0</v>
      </c>
      <c r="D1941">
        <f t="shared" si="122"/>
        <v>0</v>
      </c>
      <c r="E1941" s="1">
        <v>42944</v>
      </c>
      <c r="F1941" s="2">
        <v>0.34497685185185184</v>
      </c>
      <c r="G1941" s="2">
        <v>0.35487268518518517</v>
      </c>
      <c r="H1941" s="2">
        <f t="shared" si="123"/>
        <v>9.8958333333333259E-3</v>
      </c>
      <c r="K1941" s="1"/>
    </row>
    <row r="1942" spans="1:11" x14ac:dyDescent="0.25">
      <c r="A1942" s="6">
        <v>41852472</v>
      </c>
      <c r="B1942" t="str">
        <f t="shared" si="120"/>
        <v>komorkowy</v>
      </c>
      <c r="C1942">
        <f t="shared" si="121"/>
        <v>0</v>
      </c>
      <c r="D1942">
        <f t="shared" si="122"/>
        <v>0</v>
      </c>
      <c r="E1942" s="1">
        <v>42944</v>
      </c>
      <c r="F1942" s="2">
        <v>0.34826388888888887</v>
      </c>
      <c r="G1942" s="2">
        <v>0.34871527777777778</v>
      </c>
      <c r="H1942" s="2">
        <f t="shared" si="123"/>
        <v>4.5138888888890394E-4</v>
      </c>
      <c r="K1942" s="1"/>
    </row>
    <row r="1943" spans="1:11" x14ac:dyDescent="0.25">
      <c r="A1943" s="6">
        <v>8799570155</v>
      </c>
      <c r="B1943" t="str">
        <f t="shared" si="120"/>
        <v>zagraniczny</v>
      </c>
      <c r="C1943">
        <f t="shared" si="121"/>
        <v>0</v>
      </c>
      <c r="D1943">
        <f t="shared" si="122"/>
        <v>0</v>
      </c>
      <c r="E1943" s="1">
        <v>42944</v>
      </c>
      <c r="F1943" s="2">
        <v>0.34932870370370372</v>
      </c>
      <c r="G1943" s="2">
        <v>0.35365740740740742</v>
      </c>
      <c r="H1943" s="2">
        <f t="shared" si="123"/>
        <v>4.3287037037036957E-3</v>
      </c>
      <c r="K1943" s="1"/>
    </row>
    <row r="1944" spans="1:11" x14ac:dyDescent="0.25">
      <c r="A1944" s="6">
        <v>9329226</v>
      </c>
      <c r="B1944" t="str">
        <f t="shared" si="120"/>
        <v>stacjonarny</v>
      </c>
      <c r="C1944">
        <f t="shared" si="121"/>
        <v>0</v>
      </c>
      <c r="D1944">
        <f t="shared" si="122"/>
        <v>0</v>
      </c>
      <c r="E1944" s="1">
        <v>42944</v>
      </c>
      <c r="F1944" s="2">
        <v>0.34983796296296299</v>
      </c>
      <c r="G1944" s="2">
        <v>0.35505787037037034</v>
      </c>
      <c r="H1944" s="2">
        <f t="shared" si="123"/>
        <v>5.2199074074073537E-3</v>
      </c>
      <c r="K1944" s="1"/>
    </row>
    <row r="1945" spans="1:11" x14ac:dyDescent="0.25">
      <c r="A1945" s="6">
        <v>9219408</v>
      </c>
      <c r="B1945" t="str">
        <f t="shared" si="120"/>
        <v>stacjonarny</v>
      </c>
      <c r="C1945">
        <f t="shared" si="121"/>
        <v>0</v>
      </c>
      <c r="D1945">
        <f t="shared" si="122"/>
        <v>0</v>
      </c>
      <c r="E1945" s="1">
        <v>42944</v>
      </c>
      <c r="F1945" s="2">
        <v>0.35519675925925925</v>
      </c>
      <c r="G1945" s="2">
        <v>0.36072916666666666</v>
      </c>
      <c r="H1945" s="2">
        <f t="shared" si="123"/>
        <v>5.5324074074074026E-3</v>
      </c>
      <c r="K1945" s="1"/>
    </row>
    <row r="1946" spans="1:11" x14ac:dyDescent="0.25">
      <c r="A1946" s="6">
        <v>2163209</v>
      </c>
      <c r="B1946" t="str">
        <f t="shared" si="120"/>
        <v>stacjonarny</v>
      </c>
      <c r="C1946">
        <f t="shared" si="121"/>
        <v>0</v>
      </c>
      <c r="D1946">
        <f t="shared" si="122"/>
        <v>0</v>
      </c>
      <c r="E1946" s="1">
        <v>42944</v>
      </c>
      <c r="F1946" s="2">
        <v>0.35749999999999998</v>
      </c>
      <c r="G1946" s="2">
        <v>0.36791666666666667</v>
      </c>
      <c r="H1946" s="2">
        <f t="shared" si="123"/>
        <v>1.0416666666666685E-2</v>
      </c>
      <c r="K1946" s="1"/>
    </row>
    <row r="1947" spans="1:11" x14ac:dyDescent="0.25">
      <c r="A1947" s="6">
        <v>98021540</v>
      </c>
      <c r="B1947" t="str">
        <f t="shared" si="120"/>
        <v>komorkowy</v>
      </c>
      <c r="C1947">
        <f t="shared" si="121"/>
        <v>0</v>
      </c>
      <c r="D1947">
        <f t="shared" si="122"/>
        <v>0</v>
      </c>
      <c r="E1947" s="1">
        <v>42944</v>
      </c>
      <c r="F1947" s="2">
        <v>0.35806712962962961</v>
      </c>
      <c r="G1947" s="2">
        <v>0.36835648148148148</v>
      </c>
      <c r="H1947" s="2">
        <f t="shared" si="123"/>
        <v>1.0289351851851869E-2</v>
      </c>
      <c r="K1947" s="1"/>
    </row>
    <row r="1948" spans="1:11" x14ac:dyDescent="0.25">
      <c r="A1948" s="6">
        <v>58420185</v>
      </c>
      <c r="B1948" t="str">
        <f t="shared" si="120"/>
        <v>komorkowy</v>
      </c>
      <c r="C1948">
        <f t="shared" si="121"/>
        <v>0</v>
      </c>
      <c r="D1948">
        <f t="shared" si="122"/>
        <v>0</v>
      </c>
      <c r="E1948" s="1">
        <v>42944</v>
      </c>
      <c r="F1948" s="2">
        <v>0.35957175925925927</v>
      </c>
      <c r="G1948" s="2">
        <v>0.3616435185185185</v>
      </c>
      <c r="H1948" s="2">
        <f t="shared" si="123"/>
        <v>2.0717592592592315E-3</v>
      </c>
      <c r="K1948" s="1"/>
    </row>
    <row r="1949" spans="1:11" x14ac:dyDescent="0.25">
      <c r="A1949" s="6">
        <v>2188847</v>
      </c>
      <c r="B1949" t="str">
        <f t="shared" si="120"/>
        <v>stacjonarny</v>
      </c>
      <c r="C1949">
        <f t="shared" si="121"/>
        <v>0</v>
      </c>
      <c r="D1949">
        <f t="shared" si="122"/>
        <v>0</v>
      </c>
      <c r="E1949" s="1">
        <v>42944</v>
      </c>
      <c r="F1949" s="2">
        <v>0.36321759259259262</v>
      </c>
      <c r="G1949" s="2">
        <v>0.36689814814814814</v>
      </c>
      <c r="H1949" s="2">
        <f t="shared" si="123"/>
        <v>3.6805555555555203E-3</v>
      </c>
      <c r="K1949" s="1"/>
    </row>
    <row r="1950" spans="1:11" x14ac:dyDescent="0.25">
      <c r="A1950" s="6">
        <v>2419817</v>
      </c>
      <c r="B1950" t="str">
        <f t="shared" si="120"/>
        <v>stacjonarny</v>
      </c>
      <c r="C1950">
        <f t="shared" si="121"/>
        <v>0</v>
      </c>
      <c r="D1950">
        <f t="shared" si="122"/>
        <v>0</v>
      </c>
      <c r="E1950" s="1">
        <v>42944</v>
      </c>
      <c r="F1950" s="2">
        <v>0.36768518518518517</v>
      </c>
      <c r="G1950" s="2">
        <v>0.3742476851851852</v>
      </c>
      <c r="H1950" s="2">
        <f t="shared" si="123"/>
        <v>6.5625000000000266E-3</v>
      </c>
      <c r="K1950" s="1"/>
    </row>
    <row r="1951" spans="1:11" x14ac:dyDescent="0.25">
      <c r="A1951" s="6">
        <v>8938444</v>
      </c>
      <c r="B1951" t="str">
        <f t="shared" si="120"/>
        <v>stacjonarny</v>
      </c>
      <c r="C1951">
        <f t="shared" si="121"/>
        <v>0</v>
      </c>
      <c r="D1951">
        <f t="shared" si="122"/>
        <v>0</v>
      </c>
      <c r="E1951" s="1">
        <v>42944</v>
      </c>
      <c r="F1951" s="2">
        <v>0.37162037037037038</v>
      </c>
      <c r="G1951" s="2">
        <v>0.37275462962962963</v>
      </c>
      <c r="H1951" s="2">
        <f t="shared" si="123"/>
        <v>1.1342592592592515E-3</v>
      </c>
      <c r="K1951" s="1"/>
    </row>
    <row r="1952" spans="1:11" x14ac:dyDescent="0.25">
      <c r="A1952" s="6">
        <v>8512255</v>
      </c>
      <c r="B1952" t="str">
        <f t="shared" si="120"/>
        <v>stacjonarny</v>
      </c>
      <c r="C1952">
        <f t="shared" si="121"/>
        <v>0</v>
      </c>
      <c r="D1952">
        <f t="shared" si="122"/>
        <v>0</v>
      </c>
      <c r="E1952" s="1">
        <v>42944</v>
      </c>
      <c r="F1952" s="2">
        <v>0.37327546296296299</v>
      </c>
      <c r="G1952" s="2">
        <v>0.37962962962962965</v>
      </c>
      <c r="H1952" s="2">
        <f t="shared" si="123"/>
        <v>6.3541666666666607E-3</v>
      </c>
      <c r="K1952" s="1"/>
    </row>
    <row r="1953" spans="1:11" x14ac:dyDescent="0.25">
      <c r="A1953" s="6">
        <v>7488966</v>
      </c>
      <c r="B1953" t="str">
        <f t="shared" si="120"/>
        <v>stacjonarny</v>
      </c>
      <c r="C1953">
        <f t="shared" si="121"/>
        <v>0</v>
      </c>
      <c r="D1953">
        <f t="shared" si="122"/>
        <v>0</v>
      </c>
      <c r="E1953" s="1">
        <v>42944</v>
      </c>
      <c r="F1953" s="2">
        <v>0.37513888888888891</v>
      </c>
      <c r="G1953" s="2">
        <v>0.3775</v>
      </c>
      <c r="H1953" s="2">
        <f t="shared" si="123"/>
        <v>2.3611111111110916E-3</v>
      </c>
      <c r="K1953" s="1"/>
    </row>
    <row r="1954" spans="1:11" x14ac:dyDescent="0.25">
      <c r="A1954" s="6">
        <v>6068132</v>
      </c>
      <c r="B1954" t="str">
        <f t="shared" si="120"/>
        <v>stacjonarny</v>
      </c>
      <c r="C1954">
        <f t="shared" si="121"/>
        <v>0</v>
      </c>
      <c r="D1954">
        <f t="shared" si="122"/>
        <v>0</v>
      </c>
      <c r="E1954" s="1">
        <v>42944</v>
      </c>
      <c r="F1954" s="2">
        <v>0.37793981481481481</v>
      </c>
      <c r="G1954" s="2">
        <v>0.3873611111111111</v>
      </c>
      <c r="H1954" s="2">
        <f t="shared" si="123"/>
        <v>9.4212962962962887E-3</v>
      </c>
      <c r="K1954" s="1"/>
    </row>
    <row r="1955" spans="1:11" x14ac:dyDescent="0.25">
      <c r="A1955" s="6">
        <v>6131743</v>
      </c>
      <c r="B1955" t="str">
        <f t="shared" si="120"/>
        <v>stacjonarny</v>
      </c>
      <c r="C1955">
        <f t="shared" si="121"/>
        <v>0</v>
      </c>
      <c r="D1955">
        <f t="shared" si="122"/>
        <v>0</v>
      </c>
      <c r="E1955" s="1">
        <v>42944</v>
      </c>
      <c r="F1955" s="2">
        <v>0.38305555555555554</v>
      </c>
      <c r="G1955" s="2">
        <v>0.38718750000000002</v>
      </c>
      <c r="H1955" s="2">
        <f t="shared" si="123"/>
        <v>4.1319444444444797E-3</v>
      </c>
      <c r="K1955" s="1"/>
    </row>
    <row r="1956" spans="1:11" x14ac:dyDescent="0.25">
      <c r="A1956" s="6">
        <v>71564278</v>
      </c>
      <c r="B1956" t="str">
        <f t="shared" si="120"/>
        <v>komorkowy</v>
      </c>
      <c r="C1956">
        <f t="shared" si="121"/>
        <v>0</v>
      </c>
      <c r="D1956">
        <f t="shared" si="122"/>
        <v>0</v>
      </c>
      <c r="E1956" s="1">
        <v>42944</v>
      </c>
      <c r="F1956" s="2">
        <v>0.38849537037037035</v>
      </c>
      <c r="G1956" s="2">
        <v>0.39708333333333334</v>
      </c>
      <c r="H1956" s="2">
        <f t="shared" si="123"/>
        <v>8.5879629629629917E-3</v>
      </c>
      <c r="K1956" s="1"/>
    </row>
    <row r="1957" spans="1:11" x14ac:dyDescent="0.25">
      <c r="A1957" s="6">
        <v>4529192</v>
      </c>
      <c r="B1957" t="str">
        <f t="shared" si="120"/>
        <v>stacjonarny</v>
      </c>
      <c r="C1957">
        <f t="shared" si="121"/>
        <v>0</v>
      </c>
      <c r="D1957">
        <f t="shared" si="122"/>
        <v>0</v>
      </c>
      <c r="E1957" s="1">
        <v>42944</v>
      </c>
      <c r="F1957" s="2">
        <v>0.39005787037037037</v>
      </c>
      <c r="G1957" s="2">
        <v>0.39561342592592591</v>
      </c>
      <c r="H1957" s="2">
        <f t="shared" si="123"/>
        <v>5.5555555555555358E-3</v>
      </c>
      <c r="K1957" s="1"/>
    </row>
    <row r="1958" spans="1:11" x14ac:dyDescent="0.25">
      <c r="A1958" s="6">
        <v>2193730</v>
      </c>
      <c r="B1958" t="str">
        <f t="shared" si="120"/>
        <v>stacjonarny</v>
      </c>
      <c r="C1958">
        <f t="shared" si="121"/>
        <v>0</v>
      </c>
      <c r="D1958">
        <f t="shared" si="122"/>
        <v>0</v>
      </c>
      <c r="E1958" s="1">
        <v>42944</v>
      </c>
      <c r="F1958" s="2">
        <v>0.39269675925925923</v>
      </c>
      <c r="G1958" s="2">
        <v>0.40126157407407409</v>
      </c>
      <c r="H1958" s="2">
        <f t="shared" si="123"/>
        <v>8.5648148148148584E-3</v>
      </c>
      <c r="K1958" s="1"/>
    </row>
    <row r="1959" spans="1:11" x14ac:dyDescent="0.25">
      <c r="A1959" s="6">
        <v>3120387</v>
      </c>
      <c r="B1959" t="str">
        <f t="shared" si="120"/>
        <v>stacjonarny</v>
      </c>
      <c r="C1959">
        <f t="shared" si="121"/>
        <v>0</v>
      </c>
      <c r="D1959">
        <f t="shared" si="122"/>
        <v>0</v>
      </c>
      <c r="E1959" s="1">
        <v>42944</v>
      </c>
      <c r="F1959" s="2">
        <v>0.39303240740740741</v>
      </c>
      <c r="G1959" s="2">
        <v>0.39657407407407408</v>
      </c>
      <c r="H1959" s="2">
        <f t="shared" si="123"/>
        <v>3.5416666666666652E-3</v>
      </c>
      <c r="K1959" s="1"/>
    </row>
    <row r="1960" spans="1:11" x14ac:dyDescent="0.25">
      <c r="A1960" s="6">
        <v>5726531</v>
      </c>
      <c r="B1960" t="str">
        <f t="shared" si="120"/>
        <v>stacjonarny</v>
      </c>
      <c r="C1960">
        <f t="shared" si="121"/>
        <v>0</v>
      </c>
      <c r="D1960">
        <f t="shared" si="122"/>
        <v>0</v>
      </c>
      <c r="E1960" s="1">
        <v>42944</v>
      </c>
      <c r="F1960" s="2">
        <v>0.39825231481481482</v>
      </c>
      <c r="G1960" s="2">
        <v>0.39855324074074072</v>
      </c>
      <c r="H1960" s="2">
        <f t="shared" si="123"/>
        <v>3.0092592592589895E-4</v>
      </c>
      <c r="K1960" s="1"/>
    </row>
    <row r="1961" spans="1:11" x14ac:dyDescent="0.25">
      <c r="A1961" s="6">
        <v>5076649</v>
      </c>
      <c r="B1961" t="str">
        <f t="shared" si="120"/>
        <v>stacjonarny</v>
      </c>
      <c r="C1961">
        <f t="shared" si="121"/>
        <v>0</v>
      </c>
      <c r="D1961">
        <f t="shared" si="122"/>
        <v>0</v>
      </c>
      <c r="E1961" s="1">
        <v>42944</v>
      </c>
      <c r="F1961" s="2">
        <v>0.39922453703703703</v>
      </c>
      <c r="G1961" s="2">
        <v>0.40482638888888889</v>
      </c>
      <c r="H1961" s="2">
        <f t="shared" si="123"/>
        <v>5.6018518518518579E-3</v>
      </c>
      <c r="K1961" s="1"/>
    </row>
    <row r="1962" spans="1:11" x14ac:dyDescent="0.25">
      <c r="A1962" s="6">
        <v>98939809</v>
      </c>
      <c r="B1962" t="str">
        <f t="shared" si="120"/>
        <v>komorkowy</v>
      </c>
      <c r="C1962">
        <f t="shared" si="121"/>
        <v>0</v>
      </c>
      <c r="D1962">
        <f t="shared" si="122"/>
        <v>0</v>
      </c>
      <c r="E1962" s="1">
        <v>42944</v>
      </c>
      <c r="F1962" s="2">
        <v>0.40277777777777779</v>
      </c>
      <c r="G1962" s="2">
        <v>0.40599537037037037</v>
      </c>
      <c r="H1962" s="2">
        <f t="shared" si="123"/>
        <v>3.2175925925925775E-3</v>
      </c>
      <c r="K1962" s="1"/>
    </row>
    <row r="1963" spans="1:11" x14ac:dyDescent="0.25">
      <c r="A1963" s="6">
        <v>2005653</v>
      </c>
      <c r="B1963" t="str">
        <f t="shared" si="120"/>
        <v>stacjonarny</v>
      </c>
      <c r="C1963">
        <f t="shared" si="121"/>
        <v>0</v>
      </c>
      <c r="D1963">
        <f t="shared" si="122"/>
        <v>0</v>
      </c>
      <c r="E1963" s="1">
        <v>42944</v>
      </c>
      <c r="F1963" s="2">
        <v>0.40842592592592591</v>
      </c>
      <c r="G1963" s="2">
        <v>0.41866898148148146</v>
      </c>
      <c r="H1963" s="2">
        <f t="shared" si="123"/>
        <v>1.0243055555555547E-2</v>
      </c>
      <c r="K1963" s="1"/>
    </row>
    <row r="1964" spans="1:11" x14ac:dyDescent="0.25">
      <c r="A1964" s="6">
        <v>4659808</v>
      </c>
      <c r="B1964" t="str">
        <f t="shared" si="120"/>
        <v>stacjonarny</v>
      </c>
      <c r="C1964">
        <f t="shared" si="121"/>
        <v>0</v>
      </c>
      <c r="D1964">
        <f t="shared" si="122"/>
        <v>0</v>
      </c>
      <c r="E1964" s="1">
        <v>42944</v>
      </c>
      <c r="F1964" s="2">
        <v>0.40956018518518517</v>
      </c>
      <c r="G1964" s="2">
        <v>0.41278935185185184</v>
      </c>
      <c r="H1964" s="2">
        <f t="shared" si="123"/>
        <v>3.2291666666666718E-3</v>
      </c>
      <c r="K1964" s="1"/>
    </row>
    <row r="1965" spans="1:11" x14ac:dyDescent="0.25">
      <c r="A1965" s="6">
        <v>60113139</v>
      </c>
      <c r="B1965" t="str">
        <f t="shared" si="120"/>
        <v>komorkowy</v>
      </c>
      <c r="C1965">
        <f t="shared" si="121"/>
        <v>0</v>
      </c>
      <c r="D1965">
        <f t="shared" si="122"/>
        <v>0</v>
      </c>
      <c r="E1965" s="1">
        <v>42944</v>
      </c>
      <c r="F1965" s="2">
        <v>0.41228009259259257</v>
      </c>
      <c r="G1965" s="2">
        <v>0.41718749999999999</v>
      </c>
      <c r="H1965" s="2">
        <f t="shared" si="123"/>
        <v>4.9074074074074159E-3</v>
      </c>
      <c r="K1965" s="1"/>
    </row>
    <row r="1966" spans="1:11" x14ac:dyDescent="0.25">
      <c r="A1966" s="6">
        <v>55896338</v>
      </c>
      <c r="B1966" t="str">
        <f t="shared" si="120"/>
        <v>komorkowy</v>
      </c>
      <c r="C1966">
        <f t="shared" si="121"/>
        <v>0</v>
      </c>
      <c r="D1966">
        <f t="shared" si="122"/>
        <v>0</v>
      </c>
      <c r="E1966" s="1">
        <v>42944</v>
      </c>
      <c r="F1966" s="2">
        <v>0.41521990740740738</v>
      </c>
      <c r="G1966" s="2">
        <v>0.41893518518518519</v>
      </c>
      <c r="H1966" s="2">
        <f t="shared" si="123"/>
        <v>3.7152777777778034E-3</v>
      </c>
      <c r="K1966" s="1"/>
    </row>
    <row r="1967" spans="1:11" x14ac:dyDescent="0.25">
      <c r="A1967" s="6">
        <v>9747403</v>
      </c>
      <c r="B1967" t="str">
        <f t="shared" si="120"/>
        <v>stacjonarny</v>
      </c>
      <c r="C1967">
        <f t="shared" si="121"/>
        <v>0</v>
      </c>
      <c r="D1967">
        <f t="shared" si="122"/>
        <v>0</v>
      </c>
      <c r="E1967" s="1">
        <v>42944</v>
      </c>
      <c r="F1967" s="2">
        <v>0.42093750000000002</v>
      </c>
      <c r="G1967" s="2">
        <v>0.42825231481481479</v>
      </c>
      <c r="H1967" s="2">
        <f t="shared" si="123"/>
        <v>7.314814814814774E-3</v>
      </c>
      <c r="K1967" s="1"/>
    </row>
    <row r="1968" spans="1:11" x14ac:dyDescent="0.25">
      <c r="A1968" s="6">
        <v>5687447</v>
      </c>
      <c r="B1968" t="str">
        <f t="shared" si="120"/>
        <v>stacjonarny</v>
      </c>
      <c r="C1968">
        <f t="shared" si="121"/>
        <v>0</v>
      </c>
      <c r="D1968">
        <f t="shared" si="122"/>
        <v>0</v>
      </c>
      <c r="E1968" s="1">
        <v>42944</v>
      </c>
      <c r="F1968" s="2">
        <v>0.42295138888888889</v>
      </c>
      <c r="G1968" s="2">
        <v>0.42423611111111109</v>
      </c>
      <c r="H1968" s="2">
        <f t="shared" si="123"/>
        <v>1.284722222222201E-3</v>
      </c>
      <c r="K1968" s="1"/>
    </row>
    <row r="1969" spans="1:11" x14ac:dyDescent="0.25">
      <c r="A1969" s="6">
        <v>78940032</v>
      </c>
      <c r="B1969" t="str">
        <f t="shared" si="120"/>
        <v>komorkowy</v>
      </c>
      <c r="C1969">
        <f t="shared" si="121"/>
        <v>0</v>
      </c>
      <c r="D1969">
        <f t="shared" si="122"/>
        <v>0</v>
      </c>
      <c r="E1969" s="1">
        <v>42944</v>
      </c>
      <c r="F1969" s="2">
        <v>0.42478009259259258</v>
      </c>
      <c r="G1969" s="2">
        <v>0.43118055555555557</v>
      </c>
      <c r="H1969" s="2">
        <f t="shared" si="123"/>
        <v>6.4004629629629828E-3</v>
      </c>
      <c r="K1969" s="1"/>
    </row>
    <row r="1970" spans="1:11" x14ac:dyDescent="0.25">
      <c r="A1970" s="6">
        <v>1094486764</v>
      </c>
      <c r="B1970" t="str">
        <f t="shared" si="120"/>
        <v>zagraniczny</v>
      </c>
      <c r="C1970">
        <f t="shared" si="121"/>
        <v>0</v>
      </c>
      <c r="D1970">
        <f t="shared" si="122"/>
        <v>0</v>
      </c>
      <c r="E1970" s="1">
        <v>42944</v>
      </c>
      <c r="F1970" s="2">
        <v>0.42781249999999998</v>
      </c>
      <c r="G1970" s="2">
        <v>0.43763888888888891</v>
      </c>
      <c r="H1970" s="2">
        <f t="shared" si="123"/>
        <v>9.8263888888889261E-3</v>
      </c>
      <c r="K1970" s="1"/>
    </row>
    <row r="1971" spans="1:11" x14ac:dyDescent="0.25">
      <c r="A1971" s="6">
        <v>2611045</v>
      </c>
      <c r="B1971" t="str">
        <f t="shared" si="120"/>
        <v>stacjonarny</v>
      </c>
      <c r="C1971">
        <f t="shared" si="121"/>
        <v>0</v>
      </c>
      <c r="D1971">
        <f t="shared" si="122"/>
        <v>0</v>
      </c>
      <c r="E1971" s="1">
        <v>42944</v>
      </c>
      <c r="F1971" s="2">
        <v>0.43131944444444442</v>
      </c>
      <c r="G1971" s="2">
        <v>0.4387152777777778</v>
      </c>
      <c r="H1971" s="2">
        <f t="shared" si="123"/>
        <v>7.3958333333333792E-3</v>
      </c>
      <c r="K1971" s="1"/>
    </row>
    <row r="1972" spans="1:11" x14ac:dyDescent="0.25">
      <c r="A1972" s="6">
        <v>6047761</v>
      </c>
      <c r="B1972" t="str">
        <f t="shared" si="120"/>
        <v>stacjonarny</v>
      </c>
      <c r="C1972">
        <f t="shared" si="121"/>
        <v>0</v>
      </c>
      <c r="D1972">
        <f t="shared" si="122"/>
        <v>0</v>
      </c>
      <c r="E1972" s="1">
        <v>42944</v>
      </c>
      <c r="F1972" s="2">
        <v>0.43351851851851853</v>
      </c>
      <c r="G1972" s="2">
        <v>0.4412152777777778</v>
      </c>
      <c r="H1972" s="2">
        <f t="shared" si="123"/>
        <v>7.6967592592592782E-3</v>
      </c>
      <c r="K1972" s="1"/>
    </row>
    <row r="1973" spans="1:11" x14ac:dyDescent="0.25">
      <c r="A1973" s="6">
        <v>4154521</v>
      </c>
      <c r="B1973" t="str">
        <f t="shared" si="120"/>
        <v>stacjonarny</v>
      </c>
      <c r="C1973">
        <f t="shared" si="121"/>
        <v>0</v>
      </c>
      <c r="D1973">
        <f t="shared" si="122"/>
        <v>0</v>
      </c>
      <c r="E1973" s="1">
        <v>42944</v>
      </c>
      <c r="F1973" s="2">
        <v>0.43552083333333336</v>
      </c>
      <c r="G1973" s="2">
        <v>0.44587962962962963</v>
      </c>
      <c r="H1973" s="2">
        <f t="shared" si="123"/>
        <v>1.0358796296296269E-2</v>
      </c>
      <c r="K1973" s="1"/>
    </row>
    <row r="1974" spans="1:11" x14ac:dyDescent="0.25">
      <c r="A1974" s="6">
        <v>8895257</v>
      </c>
      <c r="B1974" t="str">
        <f t="shared" si="120"/>
        <v>stacjonarny</v>
      </c>
      <c r="C1974">
        <f t="shared" si="121"/>
        <v>0</v>
      </c>
      <c r="D1974">
        <f t="shared" si="122"/>
        <v>0</v>
      </c>
      <c r="E1974" s="1">
        <v>42944</v>
      </c>
      <c r="F1974" s="2">
        <v>0.43975694444444446</v>
      </c>
      <c r="G1974" s="2">
        <v>0.4472800925925926</v>
      </c>
      <c r="H1974" s="2">
        <f t="shared" si="123"/>
        <v>7.5231481481481399E-3</v>
      </c>
      <c r="K1974" s="1"/>
    </row>
    <row r="1975" spans="1:11" x14ac:dyDescent="0.25">
      <c r="A1975" s="6">
        <v>2199311</v>
      </c>
      <c r="B1975" t="str">
        <f t="shared" si="120"/>
        <v>stacjonarny</v>
      </c>
      <c r="C1975">
        <f t="shared" si="121"/>
        <v>0</v>
      </c>
      <c r="D1975">
        <f t="shared" si="122"/>
        <v>0</v>
      </c>
      <c r="E1975" s="1">
        <v>42944</v>
      </c>
      <c r="F1975" s="2">
        <v>0.44490740740740742</v>
      </c>
      <c r="G1975" s="2">
        <v>0.44578703703703704</v>
      </c>
      <c r="H1975" s="2">
        <f t="shared" si="123"/>
        <v>8.796296296296191E-4</v>
      </c>
      <c r="K1975" s="1"/>
    </row>
    <row r="1976" spans="1:11" x14ac:dyDescent="0.25">
      <c r="A1976" s="6">
        <v>17864361</v>
      </c>
      <c r="B1976" t="str">
        <f t="shared" si="120"/>
        <v>komorkowy</v>
      </c>
      <c r="C1976">
        <f t="shared" si="121"/>
        <v>0</v>
      </c>
      <c r="D1976">
        <f t="shared" si="122"/>
        <v>0</v>
      </c>
      <c r="E1976" s="1">
        <v>42944</v>
      </c>
      <c r="F1976" s="2">
        <v>0.44605324074074076</v>
      </c>
      <c r="G1976" s="2">
        <v>0.45253472222222224</v>
      </c>
      <c r="H1976" s="2">
        <f t="shared" si="123"/>
        <v>6.481481481481477E-3</v>
      </c>
      <c r="K1976" s="1"/>
    </row>
    <row r="1977" spans="1:11" x14ac:dyDescent="0.25">
      <c r="A1977" s="6">
        <v>6943996503</v>
      </c>
      <c r="B1977" t="str">
        <f t="shared" si="120"/>
        <v>zagraniczny</v>
      </c>
      <c r="C1977">
        <f t="shared" si="121"/>
        <v>0</v>
      </c>
      <c r="D1977">
        <f t="shared" si="122"/>
        <v>0</v>
      </c>
      <c r="E1977" s="1">
        <v>42944</v>
      </c>
      <c r="F1977" s="2">
        <v>0.4506134259259259</v>
      </c>
      <c r="G1977" s="2">
        <v>0.45674768518518516</v>
      </c>
      <c r="H1977" s="2">
        <f t="shared" si="123"/>
        <v>6.134259259259256E-3</v>
      </c>
      <c r="K1977" s="1"/>
    </row>
    <row r="1978" spans="1:11" x14ac:dyDescent="0.25">
      <c r="A1978" s="6">
        <v>9547712</v>
      </c>
      <c r="B1978" t="str">
        <f t="shared" si="120"/>
        <v>stacjonarny</v>
      </c>
      <c r="C1978">
        <f t="shared" si="121"/>
        <v>0</v>
      </c>
      <c r="D1978">
        <f t="shared" si="122"/>
        <v>0</v>
      </c>
      <c r="E1978" s="1">
        <v>42944</v>
      </c>
      <c r="F1978" s="2">
        <v>0.45546296296296296</v>
      </c>
      <c r="G1978" s="2">
        <v>0.46259259259259261</v>
      </c>
      <c r="H1978" s="2">
        <f t="shared" si="123"/>
        <v>7.1296296296296524E-3</v>
      </c>
      <c r="K1978" s="1"/>
    </row>
    <row r="1979" spans="1:11" x14ac:dyDescent="0.25">
      <c r="A1979" s="6">
        <v>3925701</v>
      </c>
      <c r="B1979" t="str">
        <f t="shared" si="120"/>
        <v>stacjonarny</v>
      </c>
      <c r="C1979">
        <f t="shared" si="121"/>
        <v>0</v>
      </c>
      <c r="D1979">
        <f t="shared" si="122"/>
        <v>0</v>
      </c>
      <c r="E1979" s="1">
        <v>42944</v>
      </c>
      <c r="F1979" s="2">
        <v>0.45756944444444442</v>
      </c>
      <c r="G1979" s="2">
        <v>0.46141203703703704</v>
      </c>
      <c r="H1979" s="2">
        <f t="shared" si="123"/>
        <v>3.8425925925926196E-3</v>
      </c>
      <c r="K1979" s="1"/>
    </row>
    <row r="1980" spans="1:11" x14ac:dyDescent="0.25">
      <c r="A1980" s="6">
        <v>97317489</v>
      </c>
      <c r="B1980" t="str">
        <f t="shared" si="120"/>
        <v>komorkowy</v>
      </c>
      <c r="C1980">
        <f t="shared" si="121"/>
        <v>0</v>
      </c>
      <c r="D1980">
        <f t="shared" si="122"/>
        <v>0</v>
      </c>
      <c r="E1980" s="1">
        <v>42944</v>
      </c>
      <c r="F1980" s="2">
        <v>0.46269675925925924</v>
      </c>
      <c r="G1980" s="2">
        <v>0.46620370370370373</v>
      </c>
      <c r="H1980" s="2">
        <f t="shared" si="123"/>
        <v>3.506944444444493E-3</v>
      </c>
      <c r="K1980" s="1"/>
    </row>
    <row r="1981" spans="1:11" x14ac:dyDescent="0.25">
      <c r="A1981" s="6">
        <v>78009874</v>
      </c>
      <c r="B1981" t="str">
        <f t="shared" si="120"/>
        <v>komorkowy</v>
      </c>
      <c r="C1981">
        <f t="shared" si="121"/>
        <v>0</v>
      </c>
      <c r="D1981">
        <f t="shared" si="122"/>
        <v>0</v>
      </c>
      <c r="E1981" s="1">
        <v>42944</v>
      </c>
      <c r="F1981" s="2">
        <v>0.46400462962962963</v>
      </c>
      <c r="G1981" s="2">
        <v>0.46545138888888887</v>
      </c>
      <c r="H1981" s="2">
        <f t="shared" si="123"/>
        <v>1.4467592592592449E-3</v>
      </c>
      <c r="K1981" s="1"/>
    </row>
    <row r="1982" spans="1:11" x14ac:dyDescent="0.25">
      <c r="A1982" s="6">
        <v>8590206</v>
      </c>
      <c r="B1982" t="str">
        <f t="shared" si="120"/>
        <v>stacjonarny</v>
      </c>
      <c r="C1982">
        <f t="shared" si="121"/>
        <v>0</v>
      </c>
      <c r="D1982">
        <f t="shared" si="122"/>
        <v>0</v>
      </c>
      <c r="E1982" s="1">
        <v>42944</v>
      </c>
      <c r="F1982" s="2">
        <v>0.46763888888888888</v>
      </c>
      <c r="G1982" s="2">
        <v>0.47359953703703705</v>
      </c>
      <c r="H1982" s="2">
        <f t="shared" si="123"/>
        <v>5.9606481481481732E-3</v>
      </c>
      <c r="K1982" s="1"/>
    </row>
    <row r="1983" spans="1:11" x14ac:dyDescent="0.25">
      <c r="A1983" s="6">
        <v>7273239</v>
      </c>
      <c r="B1983" t="str">
        <f t="shared" si="120"/>
        <v>stacjonarny</v>
      </c>
      <c r="C1983">
        <f t="shared" si="121"/>
        <v>0</v>
      </c>
      <c r="D1983">
        <f t="shared" si="122"/>
        <v>0</v>
      </c>
      <c r="E1983" s="1">
        <v>42944</v>
      </c>
      <c r="F1983" s="2">
        <v>0.47111111111111109</v>
      </c>
      <c r="G1983" s="2">
        <v>0.48017361111111112</v>
      </c>
      <c r="H1983" s="2">
        <f t="shared" si="123"/>
        <v>9.0625000000000289E-3</v>
      </c>
      <c r="K1983" s="1"/>
    </row>
    <row r="1984" spans="1:11" x14ac:dyDescent="0.25">
      <c r="A1984" s="6">
        <v>9975967</v>
      </c>
      <c r="B1984" t="str">
        <f t="shared" si="120"/>
        <v>stacjonarny</v>
      </c>
      <c r="C1984">
        <f t="shared" si="121"/>
        <v>0</v>
      </c>
      <c r="D1984">
        <f t="shared" si="122"/>
        <v>0</v>
      </c>
      <c r="E1984" s="1">
        <v>42944</v>
      </c>
      <c r="F1984" s="2">
        <v>0.47454861111111113</v>
      </c>
      <c r="G1984" s="2">
        <v>0.47562500000000002</v>
      </c>
      <c r="H1984" s="2">
        <f t="shared" si="123"/>
        <v>1.0763888888888906E-3</v>
      </c>
      <c r="K1984" s="1"/>
    </row>
    <row r="1985" spans="1:11" x14ac:dyDescent="0.25">
      <c r="A1985" s="6">
        <v>2134315</v>
      </c>
      <c r="B1985" t="str">
        <f t="shared" si="120"/>
        <v>stacjonarny</v>
      </c>
      <c r="C1985">
        <f t="shared" si="121"/>
        <v>0</v>
      </c>
      <c r="D1985">
        <f t="shared" si="122"/>
        <v>0</v>
      </c>
      <c r="E1985" s="1">
        <v>42944</v>
      </c>
      <c r="F1985" s="2">
        <v>0.47733796296296294</v>
      </c>
      <c r="G1985" s="2">
        <v>0.48003472222222221</v>
      </c>
      <c r="H1985" s="2">
        <f t="shared" si="123"/>
        <v>2.6967592592592737E-3</v>
      </c>
      <c r="K1985" s="1"/>
    </row>
    <row r="1986" spans="1:11" x14ac:dyDescent="0.25">
      <c r="A1986" s="6">
        <v>6919928</v>
      </c>
      <c r="B1986" t="str">
        <f t="shared" ref="B1986:B2049" si="124">IF(LEN(A1986)=7, "stacjonarny", IF(LEN(A1986)=8, "komorkowy", "zagraniczny"))</f>
        <v>stacjonarny</v>
      </c>
      <c r="C1986">
        <f t="shared" si="121"/>
        <v>0</v>
      </c>
      <c r="D1986">
        <f t="shared" si="122"/>
        <v>0</v>
      </c>
      <c r="E1986" s="1">
        <v>42944</v>
      </c>
      <c r="F1986" s="2">
        <v>0.4783101851851852</v>
      </c>
      <c r="G1986" s="2">
        <v>0.48770833333333335</v>
      </c>
      <c r="H1986" s="2">
        <f t="shared" si="123"/>
        <v>9.3981481481481555E-3</v>
      </c>
      <c r="K1986" s="1"/>
    </row>
    <row r="1987" spans="1:11" x14ac:dyDescent="0.25">
      <c r="A1987" s="6">
        <v>45081794</v>
      </c>
      <c r="B1987" t="str">
        <f t="shared" si="124"/>
        <v>komorkowy</v>
      </c>
      <c r="C1987">
        <f t="shared" ref="C1987:C2050" si="125">IF(LEFT(A1987,2)="12",1,0)</f>
        <v>0</v>
      </c>
      <c r="D1987">
        <f t="shared" ref="D1987:D2050" si="126">IF(AND(C1987=1,B1987="stacjonarny"),1,0)</f>
        <v>0</v>
      </c>
      <c r="E1987" s="1">
        <v>42944</v>
      </c>
      <c r="F1987" s="2">
        <v>0.47928240740740741</v>
      </c>
      <c r="G1987" s="2">
        <v>0.481875</v>
      </c>
      <c r="H1987" s="2">
        <f t="shared" ref="H1987:H2050" si="127">G1987-F1987</f>
        <v>2.5925925925925908E-3</v>
      </c>
      <c r="K1987" s="1"/>
    </row>
    <row r="1988" spans="1:11" x14ac:dyDescent="0.25">
      <c r="A1988" s="6">
        <v>1661633</v>
      </c>
      <c r="B1988" t="str">
        <f t="shared" si="124"/>
        <v>stacjonarny</v>
      </c>
      <c r="C1988">
        <f t="shared" si="125"/>
        <v>0</v>
      </c>
      <c r="D1988">
        <f t="shared" si="126"/>
        <v>0</v>
      </c>
      <c r="E1988" s="1">
        <v>42944</v>
      </c>
      <c r="F1988" s="2">
        <v>0.48042824074074075</v>
      </c>
      <c r="G1988" s="2">
        <v>0.48422453703703705</v>
      </c>
      <c r="H1988" s="2">
        <f t="shared" si="127"/>
        <v>3.7962962962962976E-3</v>
      </c>
      <c r="K1988" s="1"/>
    </row>
    <row r="1989" spans="1:11" x14ac:dyDescent="0.25">
      <c r="A1989" s="6">
        <v>1639829</v>
      </c>
      <c r="B1989" t="str">
        <f t="shared" si="124"/>
        <v>stacjonarny</v>
      </c>
      <c r="C1989">
        <f t="shared" si="125"/>
        <v>0</v>
      </c>
      <c r="D1989">
        <f t="shared" si="126"/>
        <v>0</v>
      </c>
      <c r="E1989" s="1">
        <v>42944</v>
      </c>
      <c r="F1989" s="2">
        <v>0.4815740740740741</v>
      </c>
      <c r="G1989" s="2">
        <v>0.48802083333333335</v>
      </c>
      <c r="H1989" s="2">
        <f t="shared" si="127"/>
        <v>6.4467592592592493E-3</v>
      </c>
      <c r="K1989" s="1"/>
    </row>
    <row r="1990" spans="1:11" x14ac:dyDescent="0.25">
      <c r="A1990" s="6">
        <v>8585321</v>
      </c>
      <c r="B1990" t="str">
        <f t="shared" si="124"/>
        <v>stacjonarny</v>
      </c>
      <c r="C1990">
        <f t="shared" si="125"/>
        <v>0</v>
      </c>
      <c r="D1990">
        <f t="shared" si="126"/>
        <v>0</v>
      </c>
      <c r="E1990" s="1">
        <v>42944</v>
      </c>
      <c r="F1990" s="2">
        <v>0.4836111111111111</v>
      </c>
      <c r="G1990" s="2">
        <v>0.48996527777777776</v>
      </c>
      <c r="H1990" s="2">
        <f t="shared" si="127"/>
        <v>6.3541666666666607E-3</v>
      </c>
      <c r="K1990" s="1"/>
    </row>
    <row r="1991" spans="1:11" x14ac:dyDescent="0.25">
      <c r="A1991" s="6">
        <v>1661643168</v>
      </c>
      <c r="B1991" t="str">
        <f t="shared" si="124"/>
        <v>zagraniczny</v>
      </c>
      <c r="C1991">
        <f t="shared" si="125"/>
        <v>0</v>
      </c>
      <c r="D1991">
        <f t="shared" si="126"/>
        <v>0</v>
      </c>
      <c r="E1991" s="1">
        <v>42944</v>
      </c>
      <c r="F1991" s="2">
        <v>0.48609953703703701</v>
      </c>
      <c r="G1991" s="2">
        <v>0.48850694444444442</v>
      </c>
      <c r="H1991" s="2">
        <f t="shared" si="127"/>
        <v>2.4074074074074137E-3</v>
      </c>
      <c r="K1991" s="1"/>
    </row>
    <row r="1992" spans="1:11" x14ac:dyDescent="0.25">
      <c r="A1992" s="6">
        <v>5136126</v>
      </c>
      <c r="B1992" t="str">
        <f t="shared" si="124"/>
        <v>stacjonarny</v>
      </c>
      <c r="C1992">
        <f t="shared" si="125"/>
        <v>0</v>
      </c>
      <c r="D1992">
        <f t="shared" si="126"/>
        <v>0</v>
      </c>
      <c r="E1992" s="1">
        <v>42944</v>
      </c>
      <c r="F1992" s="2">
        <v>0.49048611111111112</v>
      </c>
      <c r="G1992" s="2">
        <v>0.49685185185185188</v>
      </c>
      <c r="H1992" s="2">
        <f t="shared" si="127"/>
        <v>6.3657407407407551E-3</v>
      </c>
      <c r="K1992" s="1"/>
    </row>
    <row r="1993" spans="1:11" x14ac:dyDescent="0.25">
      <c r="A1993" s="6">
        <v>9747700</v>
      </c>
      <c r="B1993" t="str">
        <f t="shared" si="124"/>
        <v>stacjonarny</v>
      </c>
      <c r="C1993">
        <f t="shared" si="125"/>
        <v>0</v>
      </c>
      <c r="D1993">
        <f t="shared" si="126"/>
        <v>0</v>
      </c>
      <c r="E1993" s="1">
        <v>42944</v>
      </c>
      <c r="F1993" s="2">
        <v>0.49305555555555558</v>
      </c>
      <c r="G1993" s="2">
        <v>0.50435185185185183</v>
      </c>
      <c r="H1993" s="2">
        <f t="shared" si="127"/>
        <v>1.1296296296296249E-2</v>
      </c>
      <c r="K1993" s="1"/>
    </row>
    <row r="1994" spans="1:11" x14ac:dyDescent="0.25">
      <c r="A1994" s="6">
        <v>8387594</v>
      </c>
      <c r="B1994" t="str">
        <f t="shared" si="124"/>
        <v>stacjonarny</v>
      </c>
      <c r="C1994">
        <f t="shared" si="125"/>
        <v>0</v>
      </c>
      <c r="D1994">
        <f t="shared" si="126"/>
        <v>0</v>
      </c>
      <c r="E1994" s="1">
        <v>42944</v>
      </c>
      <c r="F1994" s="2">
        <v>0.49401620370370369</v>
      </c>
      <c r="G1994" s="2">
        <v>0.49682870370370369</v>
      </c>
      <c r="H1994" s="2">
        <f t="shared" si="127"/>
        <v>2.8124999999999956E-3</v>
      </c>
      <c r="K1994" s="1"/>
    </row>
    <row r="1995" spans="1:11" x14ac:dyDescent="0.25">
      <c r="A1995" s="6">
        <v>65166542</v>
      </c>
      <c r="B1995" t="str">
        <f t="shared" si="124"/>
        <v>komorkowy</v>
      </c>
      <c r="C1995">
        <f t="shared" si="125"/>
        <v>0</v>
      </c>
      <c r="D1995">
        <f t="shared" si="126"/>
        <v>0</v>
      </c>
      <c r="E1995" s="1">
        <v>42944</v>
      </c>
      <c r="F1995" s="2">
        <v>0.49554398148148149</v>
      </c>
      <c r="G1995" s="2">
        <v>0.49667824074074074</v>
      </c>
      <c r="H1995" s="2">
        <f t="shared" si="127"/>
        <v>1.1342592592592515E-3</v>
      </c>
      <c r="K1995" s="1"/>
    </row>
    <row r="1996" spans="1:11" x14ac:dyDescent="0.25">
      <c r="A1996" s="6">
        <v>77607017</v>
      </c>
      <c r="B1996" t="str">
        <f t="shared" si="124"/>
        <v>komorkowy</v>
      </c>
      <c r="C1996">
        <f t="shared" si="125"/>
        <v>0</v>
      </c>
      <c r="D1996">
        <f t="shared" si="126"/>
        <v>0</v>
      </c>
      <c r="E1996" s="1">
        <v>42944</v>
      </c>
      <c r="F1996" s="2">
        <v>0.49858796296296298</v>
      </c>
      <c r="G1996" s="2">
        <v>0.50891203703703702</v>
      </c>
      <c r="H1996" s="2">
        <f t="shared" si="127"/>
        <v>1.0324074074074041E-2</v>
      </c>
      <c r="K1996" s="1"/>
    </row>
    <row r="1997" spans="1:11" x14ac:dyDescent="0.25">
      <c r="A1997" s="6">
        <v>9028434625</v>
      </c>
      <c r="B1997" t="str">
        <f t="shared" si="124"/>
        <v>zagraniczny</v>
      </c>
      <c r="C1997">
        <f t="shared" si="125"/>
        <v>0</v>
      </c>
      <c r="D1997">
        <f t="shared" si="126"/>
        <v>0</v>
      </c>
      <c r="E1997" s="1">
        <v>42944</v>
      </c>
      <c r="F1997" s="2">
        <v>0.50208333333333333</v>
      </c>
      <c r="G1997" s="2">
        <v>0.5110069444444445</v>
      </c>
      <c r="H1997" s="2">
        <f t="shared" si="127"/>
        <v>8.9236111111111738E-3</v>
      </c>
      <c r="K1997" s="1"/>
    </row>
    <row r="1998" spans="1:11" x14ac:dyDescent="0.25">
      <c r="A1998" s="6">
        <v>7503173</v>
      </c>
      <c r="B1998" t="str">
        <f t="shared" si="124"/>
        <v>stacjonarny</v>
      </c>
      <c r="C1998">
        <f t="shared" si="125"/>
        <v>0</v>
      </c>
      <c r="D1998">
        <f t="shared" si="126"/>
        <v>0</v>
      </c>
      <c r="E1998" s="1">
        <v>42944</v>
      </c>
      <c r="F1998" s="2">
        <v>0.50390046296296298</v>
      </c>
      <c r="G1998" s="2">
        <v>0.50619212962962967</v>
      </c>
      <c r="H1998" s="2">
        <f t="shared" si="127"/>
        <v>2.2916666666666918E-3</v>
      </c>
      <c r="K1998" s="1"/>
    </row>
    <row r="1999" spans="1:11" x14ac:dyDescent="0.25">
      <c r="A1999" s="6">
        <v>9039872</v>
      </c>
      <c r="B1999" t="str">
        <f t="shared" si="124"/>
        <v>stacjonarny</v>
      </c>
      <c r="C1999">
        <f t="shared" si="125"/>
        <v>0</v>
      </c>
      <c r="D1999">
        <f t="shared" si="126"/>
        <v>0</v>
      </c>
      <c r="E1999" s="1">
        <v>42944</v>
      </c>
      <c r="F1999" s="2">
        <v>0.50825231481481481</v>
      </c>
      <c r="G1999" s="2">
        <v>0.5168518518518519</v>
      </c>
      <c r="H1999" s="2">
        <f t="shared" si="127"/>
        <v>8.5995370370370861E-3</v>
      </c>
      <c r="K1999" s="1"/>
    </row>
    <row r="2000" spans="1:11" x14ac:dyDescent="0.25">
      <c r="A2000" s="6">
        <v>45940361</v>
      </c>
      <c r="B2000" t="str">
        <f t="shared" si="124"/>
        <v>komorkowy</v>
      </c>
      <c r="C2000">
        <f t="shared" si="125"/>
        <v>0</v>
      </c>
      <c r="D2000">
        <f t="shared" si="126"/>
        <v>0</v>
      </c>
      <c r="E2000" s="1">
        <v>42944</v>
      </c>
      <c r="F2000" s="2">
        <v>0.50982638888888887</v>
      </c>
      <c r="G2000" s="2">
        <v>0.51537037037037037</v>
      </c>
      <c r="H2000" s="2">
        <f t="shared" si="127"/>
        <v>5.5439814814814969E-3</v>
      </c>
      <c r="K2000" s="1"/>
    </row>
    <row r="2001" spans="1:11" x14ac:dyDescent="0.25">
      <c r="A2001" s="6">
        <v>6242177</v>
      </c>
      <c r="B2001" t="str">
        <f t="shared" si="124"/>
        <v>stacjonarny</v>
      </c>
      <c r="C2001">
        <f t="shared" si="125"/>
        <v>0</v>
      </c>
      <c r="D2001">
        <f t="shared" si="126"/>
        <v>0</v>
      </c>
      <c r="E2001" s="1">
        <v>42944</v>
      </c>
      <c r="F2001" s="2">
        <v>0.5138773148148148</v>
      </c>
      <c r="G2001" s="2">
        <v>0.52096064814814813</v>
      </c>
      <c r="H2001" s="2">
        <f t="shared" si="127"/>
        <v>7.0833333333333304E-3</v>
      </c>
      <c r="K2001" s="1"/>
    </row>
    <row r="2002" spans="1:11" x14ac:dyDescent="0.25">
      <c r="A2002" s="6">
        <v>60454232</v>
      </c>
      <c r="B2002" t="str">
        <f t="shared" si="124"/>
        <v>komorkowy</v>
      </c>
      <c r="C2002">
        <f t="shared" si="125"/>
        <v>0</v>
      </c>
      <c r="D2002">
        <f t="shared" si="126"/>
        <v>0</v>
      </c>
      <c r="E2002" s="1">
        <v>42944</v>
      </c>
      <c r="F2002" s="2">
        <v>0.5149421296296296</v>
      </c>
      <c r="G2002" s="2">
        <v>0.5248032407407407</v>
      </c>
      <c r="H2002" s="2">
        <f t="shared" si="127"/>
        <v>9.8611111111110983E-3</v>
      </c>
      <c r="K2002" s="1"/>
    </row>
    <row r="2003" spans="1:11" x14ac:dyDescent="0.25">
      <c r="A2003" s="6">
        <v>4060894</v>
      </c>
      <c r="B2003" t="str">
        <f t="shared" si="124"/>
        <v>stacjonarny</v>
      </c>
      <c r="C2003">
        <f t="shared" si="125"/>
        <v>0</v>
      </c>
      <c r="D2003">
        <f t="shared" si="126"/>
        <v>0</v>
      </c>
      <c r="E2003" s="1">
        <v>42944</v>
      </c>
      <c r="F2003" s="2">
        <v>0.51730324074074074</v>
      </c>
      <c r="G2003" s="2">
        <v>0.51848379629629626</v>
      </c>
      <c r="H2003" s="2">
        <f t="shared" si="127"/>
        <v>1.1805555555555181E-3</v>
      </c>
      <c r="K2003" s="1"/>
    </row>
    <row r="2004" spans="1:11" x14ac:dyDescent="0.25">
      <c r="A2004" s="6">
        <v>8223406</v>
      </c>
      <c r="B2004" t="str">
        <f t="shared" si="124"/>
        <v>stacjonarny</v>
      </c>
      <c r="C2004">
        <f t="shared" si="125"/>
        <v>0</v>
      </c>
      <c r="D2004">
        <f t="shared" si="126"/>
        <v>0</v>
      </c>
      <c r="E2004" s="1">
        <v>42944</v>
      </c>
      <c r="F2004" s="2">
        <v>0.51908564814814817</v>
      </c>
      <c r="G2004" s="2">
        <v>0.51929398148148154</v>
      </c>
      <c r="H2004" s="2">
        <f t="shared" si="127"/>
        <v>2.083333333333659E-4</v>
      </c>
      <c r="K2004" s="1"/>
    </row>
    <row r="2005" spans="1:11" x14ac:dyDescent="0.25">
      <c r="A2005" s="6">
        <v>43109897</v>
      </c>
      <c r="B2005" t="str">
        <f t="shared" si="124"/>
        <v>komorkowy</v>
      </c>
      <c r="C2005">
        <f t="shared" si="125"/>
        <v>0</v>
      </c>
      <c r="D2005">
        <f t="shared" si="126"/>
        <v>0</v>
      </c>
      <c r="E2005" s="1">
        <v>42944</v>
      </c>
      <c r="F2005" s="2">
        <v>0.52467592592592593</v>
      </c>
      <c r="G2005" s="2">
        <v>0.53178240740740745</v>
      </c>
      <c r="H2005" s="2">
        <f t="shared" si="127"/>
        <v>7.1064814814815191E-3</v>
      </c>
      <c r="K2005" s="1"/>
    </row>
    <row r="2006" spans="1:11" x14ac:dyDescent="0.25">
      <c r="A2006" s="6">
        <v>95805020</v>
      </c>
      <c r="B2006" t="str">
        <f t="shared" si="124"/>
        <v>komorkowy</v>
      </c>
      <c r="C2006">
        <f t="shared" si="125"/>
        <v>0</v>
      </c>
      <c r="D2006">
        <f t="shared" si="126"/>
        <v>0</v>
      </c>
      <c r="E2006" s="1">
        <v>42944</v>
      </c>
      <c r="F2006" s="2">
        <v>0.52603009259259259</v>
      </c>
      <c r="G2006" s="2">
        <v>0.53304398148148147</v>
      </c>
      <c r="H2006" s="2">
        <f t="shared" si="127"/>
        <v>7.0138888888888751E-3</v>
      </c>
      <c r="K2006" s="1"/>
    </row>
    <row r="2007" spans="1:11" x14ac:dyDescent="0.25">
      <c r="A2007" s="6">
        <v>2849439</v>
      </c>
      <c r="B2007" t="str">
        <f t="shared" si="124"/>
        <v>stacjonarny</v>
      </c>
      <c r="C2007">
        <f t="shared" si="125"/>
        <v>0</v>
      </c>
      <c r="D2007">
        <f t="shared" si="126"/>
        <v>0</v>
      </c>
      <c r="E2007" s="1">
        <v>42944</v>
      </c>
      <c r="F2007" s="2">
        <v>0.52813657407407411</v>
      </c>
      <c r="G2007" s="2">
        <v>0.53039351851851857</v>
      </c>
      <c r="H2007" s="2">
        <f t="shared" si="127"/>
        <v>2.2569444444444642E-3</v>
      </c>
      <c r="K2007" s="1"/>
    </row>
    <row r="2008" spans="1:11" x14ac:dyDescent="0.25">
      <c r="A2008" s="6">
        <v>9589060</v>
      </c>
      <c r="B2008" t="str">
        <f t="shared" si="124"/>
        <v>stacjonarny</v>
      </c>
      <c r="C2008">
        <f t="shared" si="125"/>
        <v>0</v>
      </c>
      <c r="D2008">
        <f t="shared" si="126"/>
        <v>0</v>
      </c>
      <c r="E2008" s="1">
        <v>42944</v>
      </c>
      <c r="F2008" s="2">
        <v>0.53310185185185188</v>
      </c>
      <c r="G2008" s="2">
        <v>0.53871527777777772</v>
      </c>
      <c r="H2008" s="2">
        <f t="shared" si="127"/>
        <v>5.6134259259258412E-3</v>
      </c>
      <c r="K2008" s="1"/>
    </row>
    <row r="2009" spans="1:11" x14ac:dyDescent="0.25">
      <c r="A2009" s="6">
        <v>2603125</v>
      </c>
      <c r="B2009" t="str">
        <f t="shared" si="124"/>
        <v>stacjonarny</v>
      </c>
      <c r="C2009">
        <f t="shared" si="125"/>
        <v>0</v>
      </c>
      <c r="D2009">
        <f t="shared" si="126"/>
        <v>0</v>
      </c>
      <c r="E2009" s="1">
        <v>42944</v>
      </c>
      <c r="F2009" s="2">
        <v>0.53541666666666665</v>
      </c>
      <c r="G2009" s="2">
        <v>0.53666666666666663</v>
      </c>
      <c r="H2009" s="2">
        <f t="shared" si="127"/>
        <v>1.2499999999999734E-3</v>
      </c>
      <c r="K2009" s="1"/>
    </row>
    <row r="2010" spans="1:11" x14ac:dyDescent="0.25">
      <c r="A2010" s="6">
        <v>8770898</v>
      </c>
      <c r="B2010" t="str">
        <f t="shared" si="124"/>
        <v>stacjonarny</v>
      </c>
      <c r="C2010">
        <f t="shared" si="125"/>
        <v>0</v>
      </c>
      <c r="D2010">
        <f t="shared" si="126"/>
        <v>0</v>
      </c>
      <c r="E2010" s="1">
        <v>42944</v>
      </c>
      <c r="F2010" s="2">
        <v>0.53773148148148153</v>
      </c>
      <c r="G2010" s="2">
        <v>0.54628472222222224</v>
      </c>
      <c r="H2010" s="2">
        <f t="shared" si="127"/>
        <v>8.5532407407407085E-3</v>
      </c>
      <c r="K2010" s="1"/>
    </row>
    <row r="2011" spans="1:11" x14ac:dyDescent="0.25">
      <c r="A2011" s="6">
        <v>3224960</v>
      </c>
      <c r="B2011" t="str">
        <f t="shared" si="124"/>
        <v>stacjonarny</v>
      </c>
      <c r="C2011">
        <f t="shared" si="125"/>
        <v>0</v>
      </c>
      <c r="D2011">
        <f t="shared" si="126"/>
        <v>0</v>
      </c>
      <c r="E2011" s="1">
        <v>42944</v>
      </c>
      <c r="F2011" s="2">
        <v>0.54221064814814812</v>
      </c>
      <c r="G2011" s="2">
        <v>0.54947916666666663</v>
      </c>
      <c r="H2011" s="2">
        <f t="shared" si="127"/>
        <v>7.2685185185185075E-3</v>
      </c>
      <c r="K2011" s="1"/>
    </row>
    <row r="2012" spans="1:11" x14ac:dyDescent="0.25">
      <c r="A2012" s="6">
        <v>4150421</v>
      </c>
      <c r="B2012" t="str">
        <f t="shared" si="124"/>
        <v>stacjonarny</v>
      </c>
      <c r="C2012">
        <f t="shared" si="125"/>
        <v>0</v>
      </c>
      <c r="D2012">
        <f t="shared" si="126"/>
        <v>0</v>
      </c>
      <c r="E2012" s="1">
        <v>42944</v>
      </c>
      <c r="F2012" s="2">
        <v>0.54599537037037038</v>
      </c>
      <c r="G2012" s="2">
        <v>0.54759259259259263</v>
      </c>
      <c r="H2012" s="2">
        <f t="shared" si="127"/>
        <v>1.5972222222222499E-3</v>
      </c>
      <c r="K2012" s="1"/>
    </row>
    <row r="2013" spans="1:11" x14ac:dyDescent="0.25">
      <c r="A2013" s="6">
        <v>44302763</v>
      </c>
      <c r="B2013" t="str">
        <f t="shared" si="124"/>
        <v>komorkowy</v>
      </c>
      <c r="C2013">
        <f t="shared" si="125"/>
        <v>0</v>
      </c>
      <c r="D2013">
        <f t="shared" si="126"/>
        <v>0</v>
      </c>
      <c r="E2013" s="1">
        <v>42944</v>
      </c>
      <c r="F2013" s="2">
        <v>0.54905092592592597</v>
      </c>
      <c r="G2013" s="2">
        <v>0.55343750000000003</v>
      </c>
      <c r="H2013" s="2">
        <f t="shared" si="127"/>
        <v>4.3865740740740566E-3</v>
      </c>
      <c r="K2013" s="1"/>
    </row>
    <row r="2014" spans="1:11" x14ac:dyDescent="0.25">
      <c r="A2014" s="6">
        <v>1922212</v>
      </c>
      <c r="B2014" t="str">
        <f t="shared" si="124"/>
        <v>stacjonarny</v>
      </c>
      <c r="C2014">
        <f t="shared" si="125"/>
        <v>0</v>
      </c>
      <c r="D2014">
        <f t="shared" si="126"/>
        <v>0</v>
      </c>
      <c r="E2014" s="1">
        <v>42944</v>
      </c>
      <c r="F2014" s="2">
        <v>0.55334490740740738</v>
      </c>
      <c r="G2014" s="2">
        <v>0.56339120370370366</v>
      </c>
      <c r="H2014" s="2">
        <f t="shared" si="127"/>
        <v>1.0046296296296275E-2</v>
      </c>
      <c r="K2014" s="1"/>
    </row>
    <row r="2015" spans="1:11" x14ac:dyDescent="0.25">
      <c r="A2015" s="6">
        <v>9603024</v>
      </c>
      <c r="B2015" t="str">
        <f t="shared" si="124"/>
        <v>stacjonarny</v>
      </c>
      <c r="C2015">
        <f t="shared" si="125"/>
        <v>0</v>
      </c>
      <c r="D2015">
        <f t="shared" si="126"/>
        <v>0</v>
      </c>
      <c r="E2015" s="1">
        <v>42944</v>
      </c>
      <c r="F2015" s="2">
        <v>0.55806712962962968</v>
      </c>
      <c r="G2015" s="2">
        <v>0.55923611111111116</v>
      </c>
      <c r="H2015" s="2">
        <f t="shared" si="127"/>
        <v>1.1689814814814792E-3</v>
      </c>
      <c r="K2015" s="1"/>
    </row>
    <row r="2016" spans="1:11" x14ac:dyDescent="0.25">
      <c r="A2016" s="6">
        <v>1640513</v>
      </c>
      <c r="B2016" t="str">
        <f t="shared" si="124"/>
        <v>stacjonarny</v>
      </c>
      <c r="C2016">
        <f t="shared" si="125"/>
        <v>0</v>
      </c>
      <c r="D2016">
        <f t="shared" si="126"/>
        <v>0</v>
      </c>
      <c r="E2016" s="1">
        <v>42944</v>
      </c>
      <c r="F2016" s="2">
        <v>0.56162037037037038</v>
      </c>
      <c r="G2016" s="2">
        <v>0.56876157407407413</v>
      </c>
      <c r="H2016" s="2">
        <f t="shared" si="127"/>
        <v>7.1412037037037468E-3</v>
      </c>
      <c r="K2016" s="1"/>
    </row>
    <row r="2017" spans="1:11" x14ac:dyDescent="0.25">
      <c r="A2017" s="6">
        <v>16592072</v>
      </c>
      <c r="B2017" t="str">
        <f t="shared" si="124"/>
        <v>komorkowy</v>
      </c>
      <c r="C2017">
        <f t="shared" si="125"/>
        <v>0</v>
      </c>
      <c r="D2017">
        <f t="shared" si="126"/>
        <v>0</v>
      </c>
      <c r="E2017" s="1">
        <v>42944</v>
      </c>
      <c r="F2017" s="2">
        <v>0.56673611111111111</v>
      </c>
      <c r="G2017" s="2">
        <v>0.57725694444444442</v>
      </c>
      <c r="H2017" s="2">
        <f t="shared" si="127"/>
        <v>1.0520833333333313E-2</v>
      </c>
      <c r="K2017" s="1"/>
    </row>
    <row r="2018" spans="1:11" x14ac:dyDescent="0.25">
      <c r="A2018" s="6">
        <v>4895290</v>
      </c>
      <c r="B2018" t="str">
        <f t="shared" si="124"/>
        <v>stacjonarny</v>
      </c>
      <c r="C2018">
        <f t="shared" si="125"/>
        <v>0</v>
      </c>
      <c r="D2018">
        <f t="shared" si="126"/>
        <v>0</v>
      </c>
      <c r="E2018" s="1">
        <v>42944</v>
      </c>
      <c r="F2018" s="2">
        <v>0.56821759259259264</v>
      </c>
      <c r="G2018" s="2">
        <v>0.5773611111111111</v>
      </c>
      <c r="H2018" s="2">
        <f t="shared" si="127"/>
        <v>9.1435185185184675E-3</v>
      </c>
      <c r="K2018" s="1"/>
    </row>
    <row r="2019" spans="1:11" x14ac:dyDescent="0.25">
      <c r="A2019" s="6">
        <v>5277660</v>
      </c>
      <c r="B2019" t="str">
        <f t="shared" si="124"/>
        <v>stacjonarny</v>
      </c>
      <c r="C2019">
        <f t="shared" si="125"/>
        <v>0</v>
      </c>
      <c r="D2019">
        <f t="shared" si="126"/>
        <v>0</v>
      </c>
      <c r="E2019" s="1">
        <v>42944</v>
      </c>
      <c r="F2019" s="2">
        <v>0.57050925925925922</v>
      </c>
      <c r="G2019" s="2">
        <v>0.58049768518518519</v>
      </c>
      <c r="H2019" s="2">
        <f t="shared" si="127"/>
        <v>9.98842592592597E-3</v>
      </c>
      <c r="K2019" s="1"/>
    </row>
    <row r="2020" spans="1:11" x14ac:dyDescent="0.25">
      <c r="A2020" s="6">
        <v>8715278</v>
      </c>
      <c r="B2020" t="str">
        <f t="shared" si="124"/>
        <v>stacjonarny</v>
      </c>
      <c r="C2020">
        <f t="shared" si="125"/>
        <v>0</v>
      </c>
      <c r="D2020">
        <f t="shared" si="126"/>
        <v>0</v>
      </c>
      <c r="E2020" s="1">
        <v>42944</v>
      </c>
      <c r="F2020" s="2">
        <v>0.57146990740740744</v>
      </c>
      <c r="G2020" s="2">
        <v>0.57642361111111107</v>
      </c>
      <c r="H2020" s="2">
        <f t="shared" si="127"/>
        <v>4.9537037037036269E-3</v>
      </c>
      <c r="K2020" s="1"/>
    </row>
    <row r="2021" spans="1:11" x14ac:dyDescent="0.25">
      <c r="A2021" s="6">
        <v>1462418</v>
      </c>
      <c r="B2021" t="str">
        <f t="shared" si="124"/>
        <v>stacjonarny</v>
      </c>
      <c r="C2021">
        <f t="shared" si="125"/>
        <v>0</v>
      </c>
      <c r="D2021">
        <f t="shared" si="126"/>
        <v>0</v>
      </c>
      <c r="E2021" s="1">
        <v>42944</v>
      </c>
      <c r="F2021" s="2">
        <v>0.57186342592592587</v>
      </c>
      <c r="G2021" s="2">
        <v>0.57379629629629625</v>
      </c>
      <c r="H2021" s="2">
        <f t="shared" si="127"/>
        <v>1.9328703703703765E-3</v>
      </c>
      <c r="K2021" s="1"/>
    </row>
    <row r="2022" spans="1:11" x14ac:dyDescent="0.25">
      <c r="A2022" s="6">
        <v>8077806</v>
      </c>
      <c r="B2022" t="str">
        <f t="shared" si="124"/>
        <v>stacjonarny</v>
      </c>
      <c r="C2022">
        <f t="shared" si="125"/>
        <v>0</v>
      </c>
      <c r="D2022">
        <f t="shared" si="126"/>
        <v>0</v>
      </c>
      <c r="E2022" s="1">
        <v>42944</v>
      </c>
      <c r="F2022" s="2">
        <v>0.57629629629629631</v>
      </c>
      <c r="G2022" s="2">
        <v>0.58628472222222228</v>
      </c>
      <c r="H2022" s="2">
        <f t="shared" si="127"/>
        <v>9.98842592592597E-3</v>
      </c>
      <c r="K2022" s="1"/>
    </row>
    <row r="2023" spans="1:11" x14ac:dyDescent="0.25">
      <c r="A2023" s="6">
        <v>5759409</v>
      </c>
      <c r="B2023" t="str">
        <f t="shared" si="124"/>
        <v>stacjonarny</v>
      </c>
      <c r="C2023">
        <f t="shared" si="125"/>
        <v>0</v>
      </c>
      <c r="D2023">
        <f t="shared" si="126"/>
        <v>0</v>
      </c>
      <c r="E2023" s="1">
        <v>42944</v>
      </c>
      <c r="F2023" s="2">
        <v>0.57835648148148144</v>
      </c>
      <c r="G2023" s="2">
        <v>0.58644675925925926</v>
      </c>
      <c r="H2023" s="2">
        <f t="shared" si="127"/>
        <v>8.0902777777778212E-3</v>
      </c>
      <c r="K2023" s="1"/>
    </row>
    <row r="2024" spans="1:11" x14ac:dyDescent="0.25">
      <c r="A2024" s="6">
        <v>6257971</v>
      </c>
      <c r="B2024" t="str">
        <f t="shared" si="124"/>
        <v>stacjonarny</v>
      </c>
      <c r="C2024">
        <f t="shared" si="125"/>
        <v>0</v>
      </c>
      <c r="D2024">
        <f t="shared" si="126"/>
        <v>0</v>
      </c>
      <c r="E2024" s="1">
        <v>42944</v>
      </c>
      <c r="F2024" s="2">
        <v>0.58331018518518518</v>
      </c>
      <c r="G2024" s="2">
        <v>0.58539351851851851</v>
      </c>
      <c r="H2024" s="2">
        <f t="shared" si="127"/>
        <v>2.0833333333333259E-3</v>
      </c>
      <c r="K2024" s="1"/>
    </row>
    <row r="2025" spans="1:11" x14ac:dyDescent="0.25">
      <c r="A2025" s="6">
        <v>91129571</v>
      </c>
      <c r="B2025" t="str">
        <f t="shared" si="124"/>
        <v>komorkowy</v>
      </c>
      <c r="C2025">
        <f t="shared" si="125"/>
        <v>0</v>
      </c>
      <c r="D2025">
        <f t="shared" si="126"/>
        <v>0</v>
      </c>
      <c r="E2025" s="1">
        <v>42944</v>
      </c>
      <c r="F2025" s="2">
        <v>0.58353009259259259</v>
      </c>
      <c r="G2025" s="2">
        <v>0.58950231481481485</v>
      </c>
      <c r="H2025" s="2">
        <f t="shared" si="127"/>
        <v>5.9722222222222676E-3</v>
      </c>
      <c r="K2025" s="1"/>
    </row>
    <row r="2026" spans="1:11" x14ac:dyDescent="0.25">
      <c r="A2026" s="6">
        <v>6884037</v>
      </c>
      <c r="B2026" t="str">
        <f t="shared" si="124"/>
        <v>stacjonarny</v>
      </c>
      <c r="C2026">
        <f t="shared" si="125"/>
        <v>0</v>
      </c>
      <c r="D2026">
        <f t="shared" si="126"/>
        <v>0</v>
      </c>
      <c r="E2026" s="1">
        <v>42944</v>
      </c>
      <c r="F2026" s="2">
        <v>0.58892361111111113</v>
      </c>
      <c r="G2026" s="2">
        <v>0.59381944444444446</v>
      </c>
      <c r="H2026" s="2">
        <f t="shared" si="127"/>
        <v>4.8958333333333215E-3</v>
      </c>
      <c r="K2026" s="1"/>
    </row>
    <row r="2027" spans="1:11" x14ac:dyDescent="0.25">
      <c r="A2027" s="6">
        <v>6657074</v>
      </c>
      <c r="B2027" t="str">
        <f t="shared" si="124"/>
        <v>stacjonarny</v>
      </c>
      <c r="C2027">
        <f t="shared" si="125"/>
        <v>0</v>
      </c>
      <c r="D2027">
        <f t="shared" si="126"/>
        <v>0</v>
      </c>
      <c r="E2027" s="1">
        <v>42944</v>
      </c>
      <c r="F2027" s="2">
        <v>0.59035879629629628</v>
      </c>
      <c r="G2027" s="2">
        <v>0.5992939814814815</v>
      </c>
      <c r="H2027" s="2">
        <f t="shared" si="127"/>
        <v>8.9351851851852127E-3</v>
      </c>
      <c r="K2027" s="1"/>
    </row>
    <row r="2028" spans="1:11" x14ac:dyDescent="0.25">
      <c r="A2028" s="6">
        <v>2211277198</v>
      </c>
      <c r="B2028" t="str">
        <f t="shared" si="124"/>
        <v>zagraniczny</v>
      </c>
      <c r="C2028">
        <f t="shared" si="125"/>
        <v>0</v>
      </c>
      <c r="D2028">
        <f t="shared" si="126"/>
        <v>0</v>
      </c>
      <c r="E2028" s="1">
        <v>42944</v>
      </c>
      <c r="F2028" s="2">
        <v>0.59439814814814818</v>
      </c>
      <c r="G2028" s="2">
        <v>0.60048611111111116</v>
      </c>
      <c r="H2028" s="2">
        <f t="shared" si="127"/>
        <v>6.0879629629629894E-3</v>
      </c>
      <c r="K2028" s="1"/>
    </row>
    <row r="2029" spans="1:11" x14ac:dyDescent="0.25">
      <c r="A2029" s="6">
        <v>26766818</v>
      </c>
      <c r="B2029" t="str">
        <f t="shared" si="124"/>
        <v>komorkowy</v>
      </c>
      <c r="C2029">
        <f t="shared" si="125"/>
        <v>0</v>
      </c>
      <c r="D2029">
        <f t="shared" si="126"/>
        <v>0</v>
      </c>
      <c r="E2029" s="1">
        <v>42944</v>
      </c>
      <c r="F2029" s="2">
        <v>0.59788194444444442</v>
      </c>
      <c r="G2029" s="2">
        <v>0.60576388888888888</v>
      </c>
      <c r="H2029" s="2">
        <f t="shared" si="127"/>
        <v>7.8819444444444553E-3</v>
      </c>
      <c r="K2029" s="1"/>
    </row>
    <row r="2030" spans="1:11" x14ac:dyDescent="0.25">
      <c r="A2030" s="6">
        <v>4473835</v>
      </c>
      <c r="B2030" t="str">
        <f t="shared" si="124"/>
        <v>stacjonarny</v>
      </c>
      <c r="C2030">
        <f t="shared" si="125"/>
        <v>0</v>
      </c>
      <c r="D2030">
        <f t="shared" si="126"/>
        <v>0</v>
      </c>
      <c r="E2030" s="1">
        <v>42944</v>
      </c>
      <c r="F2030" s="2">
        <v>0.60322916666666671</v>
      </c>
      <c r="G2030" s="2">
        <v>0.60628472222222218</v>
      </c>
      <c r="H2030" s="2">
        <f t="shared" si="127"/>
        <v>3.0555555555554781E-3</v>
      </c>
      <c r="K2030" s="1"/>
    </row>
    <row r="2031" spans="1:11" x14ac:dyDescent="0.25">
      <c r="A2031" s="6">
        <v>9941776</v>
      </c>
      <c r="B2031" t="str">
        <f t="shared" si="124"/>
        <v>stacjonarny</v>
      </c>
      <c r="C2031">
        <f t="shared" si="125"/>
        <v>0</v>
      </c>
      <c r="D2031">
        <f t="shared" si="126"/>
        <v>0</v>
      </c>
      <c r="E2031" s="1">
        <v>42944</v>
      </c>
      <c r="F2031" s="2">
        <v>0.60745370370370366</v>
      </c>
      <c r="G2031" s="2">
        <v>0.61017361111111112</v>
      </c>
      <c r="H2031" s="2">
        <f t="shared" si="127"/>
        <v>2.7199074074074625E-3</v>
      </c>
      <c r="K2031" s="1"/>
    </row>
    <row r="2032" spans="1:11" x14ac:dyDescent="0.25">
      <c r="A2032" s="6">
        <v>9045402</v>
      </c>
      <c r="B2032" t="str">
        <f t="shared" si="124"/>
        <v>stacjonarny</v>
      </c>
      <c r="C2032">
        <f t="shared" si="125"/>
        <v>0</v>
      </c>
      <c r="D2032">
        <f t="shared" si="126"/>
        <v>0</v>
      </c>
      <c r="E2032" s="1">
        <v>42944</v>
      </c>
      <c r="F2032" s="2">
        <v>0.61322916666666671</v>
      </c>
      <c r="G2032" s="2">
        <v>0.62153935185185183</v>
      </c>
      <c r="H2032" s="2">
        <f t="shared" si="127"/>
        <v>8.310185185185115E-3</v>
      </c>
      <c r="K2032" s="1"/>
    </row>
    <row r="2033" spans="1:11" x14ac:dyDescent="0.25">
      <c r="A2033" s="6">
        <v>7662302259</v>
      </c>
      <c r="B2033" t="str">
        <f t="shared" si="124"/>
        <v>zagraniczny</v>
      </c>
      <c r="C2033">
        <f t="shared" si="125"/>
        <v>0</v>
      </c>
      <c r="D2033">
        <f t="shared" si="126"/>
        <v>0</v>
      </c>
      <c r="E2033" s="1">
        <v>42944</v>
      </c>
      <c r="F2033" s="2">
        <v>0.61570601851851847</v>
      </c>
      <c r="G2033" s="2">
        <v>0.62429398148148152</v>
      </c>
      <c r="H2033" s="2">
        <f t="shared" si="127"/>
        <v>8.5879629629630472E-3</v>
      </c>
      <c r="K2033" s="1"/>
    </row>
    <row r="2034" spans="1:11" x14ac:dyDescent="0.25">
      <c r="A2034" s="6">
        <v>2756059784</v>
      </c>
      <c r="B2034" t="str">
        <f t="shared" si="124"/>
        <v>zagraniczny</v>
      </c>
      <c r="C2034">
        <f t="shared" si="125"/>
        <v>0</v>
      </c>
      <c r="D2034">
        <f t="shared" si="126"/>
        <v>0</v>
      </c>
      <c r="E2034" s="1">
        <v>42944</v>
      </c>
      <c r="F2034" s="2">
        <v>0.61962962962962964</v>
      </c>
      <c r="G2034" s="2">
        <v>0.62399305555555551</v>
      </c>
      <c r="H2034" s="2">
        <f t="shared" si="127"/>
        <v>4.3634259259258679E-3</v>
      </c>
      <c r="K2034" s="1"/>
    </row>
    <row r="2035" spans="1:11" x14ac:dyDescent="0.25">
      <c r="A2035" s="6">
        <v>8667012</v>
      </c>
      <c r="B2035" t="str">
        <f t="shared" si="124"/>
        <v>stacjonarny</v>
      </c>
      <c r="C2035">
        <f t="shared" si="125"/>
        <v>0</v>
      </c>
      <c r="D2035">
        <f t="shared" si="126"/>
        <v>0</v>
      </c>
      <c r="E2035" s="1">
        <v>42944</v>
      </c>
      <c r="F2035" s="2">
        <v>0.62204861111111109</v>
      </c>
      <c r="G2035" s="2">
        <v>0.62440972222222224</v>
      </c>
      <c r="H2035" s="2">
        <f t="shared" si="127"/>
        <v>2.3611111111111471E-3</v>
      </c>
      <c r="K2035" s="1"/>
    </row>
    <row r="2036" spans="1:11" x14ac:dyDescent="0.25">
      <c r="A2036" s="6">
        <v>34964547</v>
      </c>
      <c r="B2036" t="str">
        <f t="shared" si="124"/>
        <v>komorkowy</v>
      </c>
      <c r="C2036">
        <f t="shared" si="125"/>
        <v>0</v>
      </c>
      <c r="D2036">
        <f t="shared" si="126"/>
        <v>0</v>
      </c>
      <c r="E2036" s="1">
        <v>42944</v>
      </c>
      <c r="F2036" s="2">
        <v>0.62502314814814819</v>
      </c>
      <c r="G2036" s="2">
        <v>0.63574074074074072</v>
      </c>
      <c r="H2036" s="2">
        <f t="shared" si="127"/>
        <v>1.0717592592592529E-2</v>
      </c>
      <c r="K2036" s="1"/>
    </row>
    <row r="2037" spans="1:11" x14ac:dyDescent="0.25">
      <c r="A2037" s="6">
        <v>9357185</v>
      </c>
      <c r="B2037" t="str">
        <f t="shared" si="124"/>
        <v>stacjonarny</v>
      </c>
      <c r="C2037">
        <f t="shared" si="125"/>
        <v>0</v>
      </c>
      <c r="D2037">
        <f t="shared" si="126"/>
        <v>0</v>
      </c>
      <c r="E2037" s="1">
        <v>42947</v>
      </c>
      <c r="F2037" s="2">
        <v>0.3342013888888889</v>
      </c>
      <c r="G2037" s="2">
        <v>0.34159722222222222</v>
      </c>
      <c r="H2037" s="2">
        <f t="shared" si="127"/>
        <v>7.3958333333333237E-3</v>
      </c>
      <c r="K2037" s="1"/>
    </row>
    <row r="2038" spans="1:11" x14ac:dyDescent="0.25">
      <c r="A2038" s="6">
        <v>12471534</v>
      </c>
      <c r="B2038" t="str">
        <f t="shared" si="124"/>
        <v>komorkowy</v>
      </c>
      <c r="C2038">
        <f t="shared" si="125"/>
        <v>1</v>
      </c>
      <c r="D2038">
        <f t="shared" si="126"/>
        <v>0</v>
      </c>
      <c r="E2038" s="1">
        <v>42947</v>
      </c>
      <c r="F2038" s="2">
        <v>0.33929398148148149</v>
      </c>
      <c r="G2038" s="2">
        <v>0.34349537037037037</v>
      </c>
      <c r="H2038" s="2">
        <f t="shared" si="127"/>
        <v>4.2013888888888795E-3</v>
      </c>
      <c r="K2038" s="1"/>
    </row>
    <row r="2039" spans="1:11" x14ac:dyDescent="0.25">
      <c r="A2039" s="6">
        <v>1003402</v>
      </c>
      <c r="B2039" t="str">
        <f t="shared" si="124"/>
        <v>stacjonarny</v>
      </c>
      <c r="C2039">
        <f t="shared" si="125"/>
        <v>0</v>
      </c>
      <c r="D2039">
        <f t="shared" si="126"/>
        <v>0</v>
      </c>
      <c r="E2039" s="1">
        <v>42947</v>
      </c>
      <c r="F2039" s="2">
        <v>0.34378472222222223</v>
      </c>
      <c r="G2039" s="2">
        <v>0.34677083333333331</v>
      </c>
      <c r="H2039" s="2">
        <f t="shared" si="127"/>
        <v>2.9861111111110783E-3</v>
      </c>
      <c r="K2039" s="1"/>
    </row>
    <row r="2040" spans="1:11" x14ac:dyDescent="0.25">
      <c r="A2040" s="6">
        <v>4509550</v>
      </c>
      <c r="B2040" t="str">
        <f t="shared" si="124"/>
        <v>stacjonarny</v>
      </c>
      <c r="C2040">
        <f t="shared" si="125"/>
        <v>0</v>
      </c>
      <c r="D2040">
        <f t="shared" si="126"/>
        <v>0</v>
      </c>
      <c r="E2040" s="1">
        <v>42947</v>
      </c>
      <c r="F2040" s="2">
        <v>0.34609953703703705</v>
      </c>
      <c r="G2040" s="2">
        <v>0.35118055555555555</v>
      </c>
      <c r="H2040" s="2">
        <f t="shared" si="127"/>
        <v>5.0810185185184986E-3</v>
      </c>
      <c r="K2040" s="1"/>
    </row>
    <row r="2041" spans="1:11" x14ac:dyDescent="0.25">
      <c r="A2041" s="6">
        <v>5356824</v>
      </c>
      <c r="B2041" t="str">
        <f t="shared" si="124"/>
        <v>stacjonarny</v>
      </c>
      <c r="C2041">
        <f t="shared" si="125"/>
        <v>0</v>
      </c>
      <c r="D2041">
        <f t="shared" si="126"/>
        <v>0</v>
      </c>
      <c r="E2041" s="1">
        <v>42947</v>
      </c>
      <c r="F2041" s="2">
        <v>0.35167824074074072</v>
      </c>
      <c r="G2041" s="2">
        <v>0.35538194444444443</v>
      </c>
      <c r="H2041" s="2">
        <f t="shared" si="127"/>
        <v>3.703703703703709E-3</v>
      </c>
      <c r="K2041" s="1"/>
    </row>
    <row r="2042" spans="1:11" x14ac:dyDescent="0.25">
      <c r="A2042" s="6">
        <v>4293872</v>
      </c>
      <c r="B2042" t="str">
        <f t="shared" si="124"/>
        <v>stacjonarny</v>
      </c>
      <c r="C2042">
        <f t="shared" si="125"/>
        <v>0</v>
      </c>
      <c r="D2042">
        <f t="shared" si="126"/>
        <v>0</v>
      </c>
      <c r="E2042" s="1">
        <v>42947</v>
      </c>
      <c r="F2042" s="2">
        <v>0.35333333333333333</v>
      </c>
      <c r="G2042" s="2">
        <v>0.35844907407407406</v>
      </c>
      <c r="H2042" s="2">
        <f t="shared" si="127"/>
        <v>5.1157407407407263E-3</v>
      </c>
      <c r="K2042" s="1"/>
    </row>
    <row r="2043" spans="1:11" x14ac:dyDescent="0.25">
      <c r="A2043" s="6">
        <v>5086182</v>
      </c>
      <c r="B2043" t="str">
        <f t="shared" si="124"/>
        <v>stacjonarny</v>
      </c>
      <c r="C2043">
        <f t="shared" si="125"/>
        <v>0</v>
      </c>
      <c r="D2043">
        <f t="shared" si="126"/>
        <v>0</v>
      </c>
      <c r="E2043" s="1">
        <v>42947</v>
      </c>
      <c r="F2043" s="2">
        <v>0.35793981481481479</v>
      </c>
      <c r="G2043" s="2">
        <v>0.36571759259259257</v>
      </c>
      <c r="H2043" s="2">
        <f t="shared" si="127"/>
        <v>7.7777777777777724E-3</v>
      </c>
      <c r="K2043" s="1"/>
    </row>
    <row r="2044" spans="1:11" x14ac:dyDescent="0.25">
      <c r="A2044" s="6">
        <v>6175467</v>
      </c>
      <c r="B2044" t="str">
        <f t="shared" si="124"/>
        <v>stacjonarny</v>
      </c>
      <c r="C2044">
        <f t="shared" si="125"/>
        <v>0</v>
      </c>
      <c r="D2044">
        <f t="shared" si="126"/>
        <v>0</v>
      </c>
      <c r="E2044" s="1">
        <v>42947</v>
      </c>
      <c r="F2044" s="2">
        <v>0.35976851851851854</v>
      </c>
      <c r="G2044" s="2">
        <v>0.36883101851851852</v>
      </c>
      <c r="H2044" s="2">
        <f t="shared" si="127"/>
        <v>9.0624999999999734E-3</v>
      </c>
      <c r="K2044" s="1"/>
    </row>
    <row r="2045" spans="1:11" x14ac:dyDescent="0.25">
      <c r="A2045" s="6">
        <v>2107985</v>
      </c>
      <c r="B2045" t="str">
        <f t="shared" si="124"/>
        <v>stacjonarny</v>
      </c>
      <c r="C2045">
        <f t="shared" si="125"/>
        <v>0</v>
      </c>
      <c r="D2045">
        <f t="shared" si="126"/>
        <v>0</v>
      </c>
      <c r="E2045" s="1">
        <v>42947</v>
      </c>
      <c r="F2045" s="2">
        <v>0.36394675925925923</v>
      </c>
      <c r="G2045" s="2">
        <v>0.37373842592592593</v>
      </c>
      <c r="H2045" s="2">
        <f t="shared" si="127"/>
        <v>9.7916666666666985E-3</v>
      </c>
      <c r="K2045" s="1"/>
    </row>
    <row r="2046" spans="1:11" x14ac:dyDescent="0.25">
      <c r="A2046" s="6">
        <v>9388066</v>
      </c>
      <c r="B2046" t="str">
        <f t="shared" si="124"/>
        <v>stacjonarny</v>
      </c>
      <c r="C2046">
        <f t="shared" si="125"/>
        <v>0</v>
      </c>
      <c r="D2046">
        <f t="shared" si="126"/>
        <v>0</v>
      </c>
      <c r="E2046" s="1">
        <v>42947</v>
      </c>
      <c r="F2046" s="2">
        <v>0.36552083333333335</v>
      </c>
      <c r="G2046" s="2">
        <v>0.3696990740740741</v>
      </c>
      <c r="H2046" s="2">
        <f t="shared" si="127"/>
        <v>4.1782407407407463E-3</v>
      </c>
      <c r="K2046" s="1"/>
    </row>
    <row r="2047" spans="1:11" x14ac:dyDescent="0.25">
      <c r="A2047" s="6">
        <v>4614100</v>
      </c>
      <c r="B2047" t="str">
        <f t="shared" si="124"/>
        <v>stacjonarny</v>
      </c>
      <c r="C2047">
        <f t="shared" si="125"/>
        <v>0</v>
      </c>
      <c r="D2047">
        <f t="shared" si="126"/>
        <v>0</v>
      </c>
      <c r="E2047" s="1">
        <v>42947</v>
      </c>
      <c r="F2047" s="2">
        <v>0.36776620370370372</v>
      </c>
      <c r="G2047" s="2">
        <v>0.37584490740740739</v>
      </c>
      <c r="H2047" s="2">
        <f t="shared" si="127"/>
        <v>8.0787037037036713E-3</v>
      </c>
      <c r="K2047" s="1"/>
    </row>
    <row r="2048" spans="1:11" x14ac:dyDescent="0.25">
      <c r="A2048" s="6">
        <v>8279741</v>
      </c>
      <c r="B2048" t="str">
        <f t="shared" si="124"/>
        <v>stacjonarny</v>
      </c>
      <c r="C2048">
        <f t="shared" si="125"/>
        <v>0</v>
      </c>
      <c r="D2048">
        <f t="shared" si="126"/>
        <v>0</v>
      </c>
      <c r="E2048" s="1">
        <v>42947</v>
      </c>
      <c r="F2048" s="2">
        <v>0.37170138888888887</v>
      </c>
      <c r="G2048" s="2">
        <v>0.38305555555555554</v>
      </c>
      <c r="H2048" s="2">
        <f t="shared" si="127"/>
        <v>1.1354166666666665E-2</v>
      </c>
      <c r="K2048" s="1"/>
    </row>
    <row r="2049" spans="1:11" x14ac:dyDescent="0.25">
      <c r="A2049" s="6">
        <v>9564752674</v>
      </c>
      <c r="B2049" t="str">
        <f t="shared" si="124"/>
        <v>zagraniczny</v>
      </c>
      <c r="C2049">
        <f t="shared" si="125"/>
        <v>0</v>
      </c>
      <c r="D2049">
        <f t="shared" si="126"/>
        <v>0</v>
      </c>
      <c r="E2049" s="1">
        <v>42947</v>
      </c>
      <c r="F2049" s="2">
        <v>0.37239583333333331</v>
      </c>
      <c r="G2049" s="2">
        <v>0.37680555555555556</v>
      </c>
      <c r="H2049" s="2">
        <f t="shared" si="127"/>
        <v>4.4097222222222454E-3</v>
      </c>
      <c r="K2049" s="1"/>
    </row>
    <row r="2050" spans="1:11" x14ac:dyDescent="0.25">
      <c r="A2050" s="6">
        <v>1451455</v>
      </c>
      <c r="B2050" t="str">
        <f t="shared" ref="B2050:B2113" si="128">IF(LEN(A2050)=7, "stacjonarny", IF(LEN(A2050)=8, "komorkowy", "zagraniczny"))</f>
        <v>stacjonarny</v>
      </c>
      <c r="C2050">
        <f t="shared" si="125"/>
        <v>0</v>
      </c>
      <c r="D2050">
        <f t="shared" si="126"/>
        <v>0</v>
      </c>
      <c r="E2050" s="1">
        <v>42947</v>
      </c>
      <c r="F2050" s="2">
        <v>0.37714120370370369</v>
      </c>
      <c r="G2050" s="2">
        <v>0.38119212962962962</v>
      </c>
      <c r="H2050" s="2">
        <f t="shared" si="127"/>
        <v>4.05092592592593E-3</v>
      </c>
      <c r="K2050" s="1"/>
    </row>
    <row r="2051" spans="1:11" x14ac:dyDescent="0.25">
      <c r="A2051" s="6">
        <v>8156713</v>
      </c>
      <c r="B2051" t="str">
        <f t="shared" si="128"/>
        <v>stacjonarny</v>
      </c>
      <c r="C2051">
        <f t="shared" ref="C2051:C2114" si="129">IF(LEFT(A2051,2)="12",1,0)</f>
        <v>0</v>
      </c>
      <c r="D2051">
        <f t="shared" ref="D2051:D2114" si="130">IF(AND(C2051=1,B2051="stacjonarny"),1,0)</f>
        <v>0</v>
      </c>
      <c r="E2051" s="1">
        <v>42947</v>
      </c>
      <c r="F2051" s="2">
        <v>0.38130787037037039</v>
      </c>
      <c r="G2051" s="2">
        <v>0.38280092592592591</v>
      </c>
      <c r="H2051" s="2">
        <f t="shared" ref="H2051:H2114" si="131">G2051-F2051</f>
        <v>1.4930555555555114E-3</v>
      </c>
      <c r="K2051" s="1"/>
    </row>
    <row r="2052" spans="1:11" x14ac:dyDescent="0.25">
      <c r="A2052" s="6">
        <v>24024164</v>
      </c>
      <c r="B2052" t="str">
        <f t="shared" si="128"/>
        <v>komorkowy</v>
      </c>
      <c r="C2052">
        <f t="shared" si="129"/>
        <v>0</v>
      </c>
      <c r="D2052">
        <f t="shared" si="130"/>
        <v>0</v>
      </c>
      <c r="E2052" s="1">
        <v>42947</v>
      </c>
      <c r="F2052" s="2">
        <v>0.38135416666666666</v>
      </c>
      <c r="G2052" s="2">
        <v>0.38210648148148146</v>
      </c>
      <c r="H2052" s="2">
        <f t="shared" si="131"/>
        <v>7.5231481481480289E-4</v>
      </c>
      <c r="K2052" s="1"/>
    </row>
    <row r="2053" spans="1:11" x14ac:dyDescent="0.25">
      <c r="A2053" s="6">
        <v>75122204</v>
      </c>
      <c r="B2053" t="str">
        <f t="shared" si="128"/>
        <v>komorkowy</v>
      </c>
      <c r="C2053">
        <f t="shared" si="129"/>
        <v>0</v>
      </c>
      <c r="D2053">
        <f t="shared" si="130"/>
        <v>0</v>
      </c>
      <c r="E2053" s="1">
        <v>42947</v>
      </c>
      <c r="F2053" s="2">
        <v>0.38641203703703703</v>
      </c>
      <c r="G2053" s="2">
        <v>0.39549768518518519</v>
      </c>
      <c r="H2053" s="2">
        <f t="shared" si="131"/>
        <v>9.0856481481481621E-3</v>
      </c>
      <c r="K2053" s="1"/>
    </row>
    <row r="2054" spans="1:11" x14ac:dyDescent="0.25">
      <c r="A2054" s="6">
        <v>33166727</v>
      </c>
      <c r="B2054" t="str">
        <f t="shared" si="128"/>
        <v>komorkowy</v>
      </c>
      <c r="C2054">
        <f t="shared" si="129"/>
        <v>0</v>
      </c>
      <c r="D2054">
        <f t="shared" si="130"/>
        <v>0</v>
      </c>
      <c r="E2054" s="1">
        <v>42947</v>
      </c>
      <c r="F2054" s="2">
        <v>0.38927083333333334</v>
      </c>
      <c r="G2054" s="2">
        <v>0.39721064814814816</v>
      </c>
      <c r="H2054" s="2">
        <f t="shared" si="131"/>
        <v>7.9398148148148162E-3</v>
      </c>
      <c r="K2054" s="1"/>
    </row>
    <row r="2055" spans="1:11" x14ac:dyDescent="0.25">
      <c r="A2055" s="6">
        <v>4293872</v>
      </c>
      <c r="B2055" t="str">
        <f t="shared" si="128"/>
        <v>stacjonarny</v>
      </c>
      <c r="C2055">
        <f t="shared" si="129"/>
        <v>0</v>
      </c>
      <c r="D2055">
        <f t="shared" si="130"/>
        <v>0</v>
      </c>
      <c r="E2055" s="1">
        <v>42947</v>
      </c>
      <c r="F2055" s="2">
        <v>0.39023148148148146</v>
      </c>
      <c r="G2055" s="2">
        <v>0.39748842592592593</v>
      </c>
      <c r="H2055" s="2">
        <f t="shared" si="131"/>
        <v>7.2569444444444686E-3</v>
      </c>
      <c r="K2055" s="1"/>
    </row>
    <row r="2056" spans="1:11" x14ac:dyDescent="0.25">
      <c r="A2056" s="6">
        <v>3017523</v>
      </c>
      <c r="B2056" t="str">
        <f t="shared" si="128"/>
        <v>stacjonarny</v>
      </c>
      <c r="C2056">
        <f t="shared" si="129"/>
        <v>0</v>
      </c>
      <c r="D2056">
        <f t="shared" si="130"/>
        <v>0</v>
      </c>
      <c r="E2056" s="1">
        <v>42947</v>
      </c>
      <c r="F2056" s="2">
        <v>0.3934259259259259</v>
      </c>
      <c r="G2056" s="2">
        <v>0.40181712962962962</v>
      </c>
      <c r="H2056" s="2">
        <f t="shared" si="131"/>
        <v>8.3912037037037202E-3</v>
      </c>
      <c r="K2056" s="1"/>
    </row>
    <row r="2057" spans="1:11" x14ac:dyDescent="0.25">
      <c r="A2057" s="6">
        <v>5087484</v>
      </c>
      <c r="B2057" t="str">
        <f t="shared" si="128"/>
        <v>stacjonarny</v>
      </c>
      <c r="C2057">
        <f t="shared" si="129"/>
        <v>0</v>
      </c>
      <c r="D2057">
        <f t="shared" si="130"/>
        <v>0</v>
      </c>
      <c r="E2057" s="1">
        <v>42947</v>
      </c>
      <c r="F2057" s="2">
        <v>0.39766203703703706</v>
      </c>
      <c r="G2057" s="2">
        <v>0.39957175925925925</v>
      </c>
      <c r="H2057" s="2">
        <f t="shared" si="131"/>
        <v>1.9097222222221877E-3</v>
      </c>
      <c r="K2057" s="1"/>
    </row>
    <row r="2058" spans="1:11" x14ac:dyDescent="0.25">
      <c r="A2058" s="6">
        <v>47615054</v>
      </c>
      <c r="B2058" t="str">
        <f t="shared" si="128"/>
        <v>komorkowy</v>
      </c>
      <c r="C2058">
        <f t="shared" si="129"/>
        <v>0</v>
      </c>
      <c r="D2058">
        <f t="shared" si="130"/>
        <v>0</v>
      </c>
      <c r="E2058" s="1">
        <v>42947</v>
      </c>
      <c r="F2058" s="2">
        <v>0.39878472222222222</v>
      </c>
      <c r="G2058" s="2">
        <v>0.40041666666666664</v>
      </c>
      <c r="H2058" s="2">
        <f t="shared" si="131"/>
        <v>1.631944444444422E-3</v>
      </c>
      <c r="K2058" s="1"/>
    </row>
    <row r="2059" spans="1:11" x14ac:dyDescent="0.25">
      <c r="A2059" s="6">
        <v>7775602353</v>
      </c>
      <c r="B2059" t="str">
        <f t="shared" si="128"/>
        <v>zagraniczny</v>
      </c>
      <c r="C2059">
        <f t="shared" si="129"/>
        <v>0</v>
      </c>
      <c r="D2059">
        <f t="shared" si="130"/>
        <v>0</v>
      </c>
      <c r="E2059" s="1">
        <v>42947</v>
      </c>
      <c r="F2059" s="2">
        <v>0.40313657407407405</v>
      </c>
      <c r="G2059" s="2">
        <v>0.40773148148148147</v>
      </c>
      <c r="H2059" s="2">
        <f t="shared" si="131"/>
        <v>4.5949074074074225E-3</v>
      </c>
      <c r="K2059" s="1"/>
    </row>
    <row r="2060" spans="1:11" x14ac:dyDescent="0.25">
      <c r="A2060" s="6">
        <v>9533304954</v>
      </c>
      <c r="B2060" t="str">
        <f t="shared" si="128"/>
        <v>zagraniczny</v>
      </c>
      <c r="C2060">
        <f t="shared" si="129"/>
        <v>0</v>
      </c>
      <c r="D2060">
        <f t="shared" si="130"/>
        <v>0</v>
      </c>
      <c r="E2060" s="1">
        <v>42947</v>
      </c>
      <c r="F2060" s="2">
        <v>0.40328703703703705</v>
      </c>
      <c r="G2060" s="2">
        <v>0.41405092592592591</v>
      </c>
      <c r="H2060" s="2">
        <f t="shared" si="131"/>
        <v>1.0763888888888851E-2</v>
      </c>
      <c r="K2060" s="1"/>
    </row>
    <row r="2061" spans="1:11" x14ac:dyDescent="0.25">
      <c r="A2061" s="6">
        <v>5147651</v>
      </c>
      <c r="B2061" t="str">
        <f t="shared" si="128"/>
        <v>stacjonarny</v>
      </c>
      <c r="C2061">
        <f t="shared" si="129"/>
        <v>0</v>
      </c>
      <c r="D2061">
        <f t="shared" si="130"/>
        <v>0</v>
      </c>
      <c r="E2061" s="1">
        <v>42947</v>
      </c>
      <c r="F2061" s="2">
        <v>0.40497685185185184</v>
      </c>
      <c r="G2061" s="2">
        <v>0.41167824074074072</v>
      </c>
      <c r="H2061" s="2">
        <f t="shared" si="131"/>
        <v>6.7013888888888817E-3</v>
      </c>
      <c r="K2061" s="1"/>
    </row>
    <row r="2062" spans="1:11" x14ac:dyDescent="0.25">
      <c r="A2062" s="6">
        <v>7564861</v>
      </c>
      <c r="B2062" t="str">
        <f t="shared" si="128"/>
        <v>stacjonarny</v>
      </c>
      <c r="C2062">
        <f t="shared" si="129"/>
        <v>0</v>
      </c>
      <c r="D2062">
        <f t="shared" si="130"/>
        <v>0</v>
      </c>
      <c r="E2062" s="1">
        <v>42947</v>
      </c>
      <c r="F2062" s="2">
        <v>0.40725694444444444</v>
      </c>
      <c r="G2062" s="2">
        <v>0.41819444444444442</v>
      </c>
      <c r="H2062" s="2">
        <f t="shared" si="131"/>
        <v>1.0937499999999989E-2</v>
      </c>
      <c r="K2062" s="1"/>
    </row>
    <row r="2063" spans="1:11" x14ac:dyDescent="0.25">
      <c r="A2063" s="6">
        <v>8163790</v>
      </c>
      <c r="B2063" t="str">
        <f t="shared" si="128"/>
        <v>stacjonarny</v>
      </c>
      <c r="C2063">
        <f t="shared" si="129"/>
        <v>0</v>
      </c>
      <c r="D2063">
        <f t="shared" si="130"/>
        <v>0</v>
      </c>
      <c r="E2063" s="1">
        <v>42947</v>
      </c>
      <c r="F2063" s="2">
        <v>0.40787037037037038</v>
      </c>
      <c r="G2063" s="2">
        <v>0.40846064814814814</v>
      </c>
      <c r="H2063" s="2">
        <f t="shared" si="131"/>
        <v>5.9027777777775903E-4</v>
      </c>
      <c r="K2063" s="1"/>
    </row>
    <row r="2064" spans="1:11" x14ac:dyDescent="0.25">
      <c r="A2064" s="6">
        <v>37930610</v>
      </c>
      <c r="B2064" t="str">
        <f t="shared" si="128"/>
        <v>komorkowy</v>
      </c>
      <c r="C2064">
        <f t="shared" si="129"/>
        <v>0</v>
      </c>
      <c r="D2064">
        <f t="shared" si="130"/>
        <v>0</v>
      </c>
      <c r="E2064" s="1">
        <v>42947</v>
      </c>
      <c r="F2064" s="2">
        <v>0.41334490740740742</v>
      </c>
      <c r="G2064" s="2">
        <v>0.4239236111111111</v>
      </c>
      <c r="H2064" s="2">
        <f t="shared" si="131"/>
        <v>1.0578703703703674E-2</v>
      </c>
      <c r="K2064" s="1"/>
    </row>
    <row r="2065" spans="1:11" x14ac:dyDescent="0.25">
      <c r="A2065" s="6">
        <v>7518300</v>
      </c>
      <c r="B2065" t="str">
        <f t="shared" si="128"/>
        <v>stacjonarny</v>
      </c>
      <c r="C2065">
        <f t="shared" si="129"/>
        <v>0</v>
      </c>
      <c r="D2065">
        <f t="shared" si="130"/>
        <v>0</v>
      </c>
      <c r="E2065" s="1">
        <v>42947</v>
      </c>
      <c r="F2065" s="2">
        <v>0.41337962962962965</v>
      </c>
      <c r="G2065" s="2">
        <v>0.41743055555555558</v>
      </c>
      <c r="H2065" s="2">
        <f t="shared" si="131"/>
        <v>4.05092592592593E-3</v>
      </c>
      <c r="K2065" s="1"/>
    </row>
    <row r="2066" spans="1:11" x14ac:dyDescent="0.25">
      <c r="A2066" s="6">
        <v>9233918039</v>
      </c>
      <c r="B2066" t="str">
        <f t="shared" si="128"/>
        <v>zagraniczny</v>
      </c>
      <c r="C2066">
        <f t="shared" si="129"/>
        <v>0</v>
      </c>
      <c r="D2066">
        <f t="shared" si="130"/>
        <v>0</v>
      </c>
      <c r="E2066" s="1">
        <v>42947</v>
      </c>
      <c r="F2066" s="2">
        <v>0.41523148148148148</v>
      </c>
      <c r="G2066" s="2">
        <v>0.42322916666666666</v>
      </c>
      <c r="H2066" s="2">
        <f t="shared" si="131"/>
        <v>7.9976851851851771E-3</v>
      </c>
      <c r="K2066" s="1"/>
    </row>
    <row r="2067" spans="1:11" x14ac:dyDescent="0.25">
      <c r="A2067" s="6">
        <v>5744555</v>
      </c>
      <c r="B2067" t="str">
        <f t="shared" si="128"/>
        <v>stacjonarny</v>
      </c>
      <c r="C2067">
        <f t="shared" si="129"/>
        <v>0</v>
      </c>
      <c r="D2067">
        <f t="shared" si="130"/>
        <v>0</v>
      </c>
      <c r="E2067" s="1">
        <v>42947</v>
      </c>
      <c r="F2067" s="2">
        <v>0.41841435185185183</v>
      </c>
      <c r="G2067" s="2">
        <v>0.42677083333333332</v>
      </c>
      <c r="H2067" s="2">
        <f t="shared" si="131"/>
        <v>8.3564814814814925E-3</v>
      </c>
      <c r="K2067" s="1"/>
    </row>
    <row r="2068" spans="1:11" x14ac:dyDescent="0.25">
      <c r="A2068" s="6">
        <v>17005785</v>
      </c>
      <c r="B2068" t="str">
        <f t="shared" si="128"/>
        <v>komorkowy</v>
      </c>
      <c r="C2068">
        <f t="shared" si="129"/>
        <v>0</v>
      </c>
      <c r="D2068">
        <f t="shared" si="130"/>
        <v>0</v>
      </c>
      <c r="E2068" s="1">
        <v>42947</v>
      </c>
      <c r="F2068" s="2">
        <v>0.41873842592592592</v>
      </c>
      <c r="G2068" s="2">
        <v>0.42502314814814812</v>
      </c>
      <c r="H2068" s="2">
        <f t="shared" si="131"/>
        <v>6.2847222222222054E-3</v>
      </c>
      <c r="K2068" s="1"/>
    </row>
    <row r="2069" spans="1:11" x14ac:dyDescent="0.25">
      <c r="A2069" s="6">
        <v>35281950</v>
      </c>
      <c r="B2069" t="str">
        <f t="shared" si="128"/>
        <v>komorkowy</v>
      </c>
      <c r="C2069">
        <f t="shared" si="129"/>
        <v>0</v>
      </c>
      <c r="D2069">
        <f t="shared" si="130"/>
        <v>0</v>
      </c>
      <c r="E2069" s="1">
        <v>42947</v>
      </c>
      <c r="F2069" s="2">
        <v>0.41952546296296295</v>
      </c>
      <c r="G2069" s="2">
        <v>0.42105324074074074</v>
      </c>
      <c r="H2069" s="2">
        <f t="shared" si="131"/>
        <v>1.5277777777777946E-3</v>
      </c>
      <c r="K2069" s="1"/>
    </row>
    <row r="2070" spans="1:11" x14ac:dyDescent="0.25">
      <c r="A2070" s="6">
        <v>54840810</v>
      </c>
      <c r="B2070" t="str">
        <f t="shared" si="128"/>
        <v>komorkowy</v>
      </c>
      <c r="C2070">
        <f t="shared" si="129"/>
        <v>0</v>
      </c>
      <c r="D2070">
        <f t="shared" si="130"/>
        <v>0</v>
      </c>
      <c r="E2070" s="1">
        <v>42947</v>
      </c>
      <c r="F2070" s="2">
        <v>0.4211111111111111</v>
      </c>
      <c r="G2070" s="2">
        <v>0.42442129629629627</v>
      </c>
      <c r="H2070" s="2">
        <f t="shared" si="131"/>
        <v>3.310185185185166E-3</v>
      </c>
      <c r="K2070" s="1"/>
    </row>
    <row r="2071" spans="1:11" x14ac:dyDescent="0.25">
      <c r="A2071" s="6">
        <v>3236046</v>
      </c>
      <c r="B2071" t="str">
        <f t="shared" si="128"/>
        <v>stacjonarny</v>
      </c>
      <c r="C2071">
        <f t="shared" si="129"/>
        <v>0</v>
      </c>
      <c r="D2071">
        <f t="shared" si="130"/>
        <v>0</v>
      </c>
      <c r="E2071" s="1">
        <v>42947</v>
      </c>
      <c r="F2071" s="2">
        <v>0.42247685185185185</v>
      </c>
      <c r="G2071" s="2">
        <v>0.4268865740740741</v>
      </c>
      <c r="H2071" s="2">
        <f t="shared" si="131"/>
        <v>4.4097222222222454E-3</v>
      </c>
      <c r="K2071" s="1"/>
    </row>
    <row r="2072" spans="1:11" x14ac:dyDescent="0.25">
      <c r="A2072" s="6">
        <v>20149106</v>
      </c>
      <c r="B2072" t="str">
        <f t="shared" si="128"/>
        <v>komorkowy</v>
      </c>
      <c r="C2072">
        <f t="shared" si="129"/>
        <v>0</v>
      </c>
      <c r="D2072">
        <f t="shared" si="130"/>
        <v>0</v>
      </c>
      <c r="E2072" s="1">
        <v>42947</v>
      </c>
      <c r="F2072" s="2">
        <v>0.42586805555555557</v>
      </c>
      <c r="G2072" s="2">
        <v>0.42711805555555554</v>
      </c>
      <c r="H2072" s="2">
        <f t="shared" si="131"/>
        <v>1.2499999999999734E-3</v>
      </c>
      <c r="K2072" s="1"/>
    </row>
    <row r="2073" spans="1:11" x14ac:dyDescent="0.25">
      <c r="A2073" s="6">
        <v>6124638</v>
      </c>
      <c r="B2073" t="str">
        <f t="shared" si="128"/>
        <v>stacjonarny</v>
      </c>
      <c r="C2073">
        <f t="shared" si="129"/>
        <v>0</v>
      </c>
      <c r="D2073">
        <f t="shared" si="130"/>
        <v>0</v>
      </c>
      <c r="E2073" s="1">
        <v>42947</v>
      </c>
      <c r="F2073" s="2">
        <v>0.43162037037037038</v>
      </c>
      <c r="G2073" s="2">
        <v>0.44153935185185184</v>
      </c>
      <c r="H2073" s="2">
        <f t="shared" si="131"/>
        <v>9.9189814814814592E-3</v>
      </c>
      <c r="K2073" s="1"/>
    </row>
    <row r="2074" spans="1:11" x14ac:dyDescent="0.25">
      <c r="A2074" s="6">
        <v>1090396060</v>
      </c>
      <c r="B2074" t="str">
        <f t="shared" si="128"/>
        <v>zagraniczny</v>
      </c>
      <c r="C2074">
        <f t="shared" si="129"/>
        <v>0</v>
      </c>
      <c r="D2074">
        <f t="shared" si="130"/>
        <v>0</v>
      </c>
      <c r="E2074" s="1">
        <v>42947</v>
      </c>
      <c r="F2074" s="2">
        <v>0.43663194444444442</v>
      </c>
      <c r="G2074" s="2">
        <v>0.43993055555555555</v>
      </c>
      <c r="H2074" s="2">
        <f t="shared" si="131"/>
        <v>3.2986111111111271E-3</v>
      </c>
      <c r="K2074" s="1"/>
    </row>
    <row r="2075" spans="1:11" x14ac:dyDescent="0.25">
      <c r="A2075" s="6">
        <v>9355422</v>
      </c>
      <c r="B2075" t="str">
        <f t="shared" si="128"/>
        <v>stacjonarny</v>
      </c>
      <c r="C2075">
        <f t="shared" si="129"/>
        <v>0</v>
      </c>
      <c r="D2075">
        <f t="shared" si="130"/>
        <v>0</v>
      </c>
      <c r="E2075" s="1">
        <v>42947</v>
      </c>
      <c r="F2075" s="2">
        <v>0.43686342592592592</v>
      </c>
      <c r="G2075" s="2">
        <v>0.44393518518518521</v>
      </c>
      <c r="H2075" s="2">
        <f t="shared" si="131"/>
        <v>7.0717592592592915E-3</v>
      </c>
      <c r="K2075" s="1"/>
    </row>
    <row r="2076" spans="1:11" x14ac:dyDescent="0.25">
      <c r="A2076" s="6">
        <v>9950462</v>
      </c>
      <c r="B2076" t="str">
        <f t="shared" si="128"/>
        <v>stacjonarny</v>
      </c>
      <c r="C2076">
        <f t="shared" si="129"/>
        <v>0</v>
      </c>
      <c r="D2076">
        <f t="shared" si="130"/>
        <v>0</v>
      </c>
      <c r="E2076" s="1">
        <v>42947</v>
      </c>
      <c r="F2076" s="2">
        <v>0.44243055555555555</v>
      </c>
      <c r="G2076" s="2">
        <v>0.45349537037037035</v>
      </c>
      <c r="H2076" s="2">
        <f t="shared" si="131"/>
        <v>1.1064814814814805E-2</v>
      </c>
      <c r="K2076" s="1"/>
    </row>
    <row r="2077" spans="1:11" x14ac:dyDescent="0.25">
      <c r="A2077" s="6">
        <v>2474506</v>
      </c>
      <c r="B2077" t="str">
        <f t="shared" si="128"/>
        <v>stacjonarny</v>
      </c>
      <c r="C2077">
        <f t="shared" si="129"/>
        <v>0</v>
      </c>
      <c r="D2077">
        <f t="shared" si="130"/>
        <v>0</v>
      </c>
      <c r="E2077" s="1">
        <v>42947</v>
      </c>
      <c r="F2077" s="2">
        <v>0.44802083333333331</v>
      </c>
      <c r="G2077" s="2">
        <v>0.45892361111111113</v>
      </c>
      <c r="H2077" s="2">
        <f t="shared" si="131"/>
        <v>1.0902777777777817E-2</v>
      </c>
      <c r="K2077" s="1"/>
    </row>
    <row r="2078" spans="1:11" x14ac:dyDescent="0.25">
      <c r="A2078" s="6">
        <v>2462682</v>
      </c>
      <c r="B2078" t="str">
        <f t="shared" si="128"/>
        <v>stacjonarny</v>
      </c>
      <c r="C2078">
        <f t="shared" si="129"/>
        <v>0</v>
      </c>
      <c r="D2078">
        <f t="shared" si="130"/>
        <v>0</v>
      </c>
      <c r="E2078" s="1">
        <v>42947</v>
      </c>
      <c r="F2078" s="2">
        <v>0.45243055555555556</v>
      </c>
      <c r="G2078" s="2">
        <v>0.45275462962962965</v>
      </c>
      <c r="H2078" s="2">
        <f t="shared" si="131"/>
        <v>3.2407407407408773E-4</v>
      </c>
      <c r="K2078" s="1"/>
    </row>
    <row r="2079" spans="1:11" x14ac:dyDescent="0.25">
      <c r="A2079" s="6">
        <v>8159788</v>
      </c>
      <c r="B2079" t="str">
        <f t="shared" si="128"/>
        <v>stacjonarny</v>
      </c>
      <c r="C2079">
        <f t="shared" si="129"/>
        <v>0</v>
      </c>
      <c r="D2079">
        <f t="shared" si="130"/>
        <v>0</v>
      </c>
      <c r="E2079" s="1">
        <v>42947</v>
      </c>
      <c r="F2079" s="2">
        <v>0.45399305555555558</v>
      </c>
      <c r="G2079" s="2">
        <v>0.46392361111111113</v>
      </c>
      <c r="H2079" s="2">
        <f t="shared" si="131"/>
        <v>9.9305555555555536E-3</v>
      </c>
      <c r="K2079" s="1"/>
    </row>
    <row r="2080" spans="1:11" x14ac:dyDescent="0.25">
      <c r="A2080" s="6">
        <v>8802222</v>
      </c>
      <c r="B2080" t="str">
        <f t="shared" si="128"/>
        <v>stacjonarny</v>
      </c>
      <c r="C2080">
        <f t="shared" si="129"/>
        <v>0</v>
      </c>
      <c r="D2080">
        <f t="shared" si="130"/>
        <v>0</v>
      </c>
      <c r="E2080" s="1">
        <v>42947</v>
      </c>
      <c r="F2080" s="2">
        <v>0.4572222222222222</v>
      </c>
      <c r="G2080" s="2">
        <v>0.45910879629629631</v>
      </c>
      <c r="H2080" s="2">
        <f t="shared" si="131"/>
        <v>1.8865740740741099E-3</v>
      </c>
      <c r="K2080" s="1"/>
    </row>
    <row r="2081" spans="1:11" x14ac:dyDescent="0.25">
      <c r="A2081" s="6">
        <v>6384230</v>
      </c>
      <c r="B2081" t="str">
        <f t="shared" si="128"/>
        <v>stacjonarny</v>
      </c>
      <c r="C2081">
        <f t="shared" si="129"/>
        <v>0</v>
      </c>
      <c r="D2081">
        <f t="shared" si="130"/>
        <v>0</v>
      </c>
      <c r="E2081" s="1">
        <v>42947</v>
      </c>
      <c r="F2081" s="2">
        <v>0.45846064814814813</v>
      </c>
      <c r="G2081" s="2">
        <v>0.46900462962962963</v>
      </c>
      <c r="H2081" s="2">
        <f t="shared" si="131"/>
        <v>1.0543981481481501E-2</v>
      </c>
      <c r="K2081" s="1"/>
    </row>
    <row r="2082" spans="1:11" x14ac:dyDescent="0.25">
      <c r="A2082" s="6">
        <v>48676568</v>
      </c>
      <c r="B2082" t="str">
        <f t="shared" si="128"/>
        <v>komorkowy</v>
      </c>
      <c r="C2082">
        <f t="shared" si="129"/>
        <v>0</v>
      </c>
      <c r="D2082">
        <f t="shared" si="130"/>
        <v>0</v>
      </c>
      <c r="E2082" s="1">
        <v>42947</v>
      </c>
      <c r="F2082" s="2">
        <v>0.45945601851851853</v>
      </c>
      <c r="G2082" s="2">
        <v>0.46525462962962966</v>
      </c>
      <c r="H2082" s="2">
        <f t="shared" si="131"/>
        <v>5.7986111111111294E-3</v>
      </c>
      <c r="K2082" s="1"/>
    </row>
    <row r="2083" spans="1:11" x14ac:dyDescent="0.25">
      <c r="A2083" s="6">
        <v>3691457</v>
      </c>
      <c r="B2083" t="str">
        <f t="shared" si="128"/>
        <v>stacjonarny</v>
      </c>
      <c r="C2083">
        <f t="shared" si="129"/>
        <v>0</v>
      </c>
      <c r="D2083">
        <f t="shared" si="130"/>
        <v>0</v>
      </c>
      <c r="E2083" s="1">
        <v>42947</v>
      </c>
      <c r="F2083" s="2">
        <v>0.46119212962962963</v>
      </c>
      <c r="G2083" s="2">
        <v>0.4725347222222222</v>
      </c>
      <c r="H2083" s="2">
        <f t="shared" si="131"/>
        <v>1.1342592592592571E-2</v>
      </c>
      <c r="K2083" s="1"/>
    </row>
    <row r="2084" spans="1:11" x14ac:dyDescent="0.25">
      <c r="A2084" s="6">
        <v>3263854</v>
      </c>
      <c r="B2084" t="str">
        <f t="shared" si="128"/>
        <v>stacjonarny</v>
      </c>
      <c r="C2084">
        <f t="shared" si="129"/>
        <v>0</v>
      </c>
      <c r="D2084">
        <f t="shared" si="130"/>
        <v>0</v>
      </c>
      <c r="E2084" s="1">
        <v>42947</v>
      </c>
      <c r="F2084" s="2">
        <v>0.46311342592592591</v>
      </c>
      <c r="G2084" s="2">
        <v>0.46394675925925927</v>
      </c>
      <c r="H2084" s="2">
        <f t="shared" si="131"/>
        <v>8.3333333333335258E-4</v>
      </c>
      <c r="K2084" s="1"/>
    </row>
    <row r="2085" spans="1:11" x14ac:dyDescent="0.25">
      <c r="A2085" s="6">
        <v>8489588</v>
      </c>
      <c r="B2085" t="str">
        <f t="shared" si="128"/>
        <v>stacjonarny</v>
      </c>
      <c r="C2085">
        <f t="shared" si="129"/>
        <v>0</v>
      </c>
      <c r="D2085">
        <f t="shared" si="130"/>
        <v>0</v>
      </c>
      <c r="E2085" s="1">
        <v>42947</v>
      </c>
      <c r="F2085" s="2">
        <v>0.46803240740740742</v>
      </c>
      <c r="G2085" s="2">
        <v>0.47423611111111114</v>
      </c>
      <c r="H2085" s="2">
        <f t="shared" si="131"/>
        <v>6.2037037037037113E-3</v>
      </c>
      <c r="K2085" s="1"/>
    </row>
    <row r="2086" spans="1:11" x14ac:dyDescent="0.25">
      <c r="A2086" s="6">
        <v>57211290</v>
      </c>
      <c r="B2086" t="str">
        <f t="shared" si="128"/>
        <v>komorkowy</v>
      </c>
      <c r="C2086">
        <f t="shared" si="129"/>
        <v>0</v>
      </c>
      <c r="D2086">
        <f t="shared" si="130"/>
        <v>0</v>
      </c>
      <c r="E2086" s="1">
        <v>42947</v>
      </c>
      <c r="F2086" s="2">
        <v>0.46987268518518521</v>
      </c>
      <c r="G2086" s="2">
        <v>0.47664351851851849</v>
      </c>
      <c r="H2086" s="2">
        <f t="shared" si="131"/>
        <v>6.7708333333332815E-3</v>
      </c>
      <c r="K2086" s="1"/>
    </row>
    <row r="2087" spans="1:11" x14ac:dyDescent="0.25">
      <c r="A2087" s="6">
        <v>67748426</v>
      </c>
      <c r="B2087" t="str">
        <f t="shared" si="128"/>
        <v>komorkowy</v>
      </c>
      <c r="C2087">
        <f t="shared" si="129"/>
        <v>0</v>
      </c>
      <c r="D2087">
        <f t="shared" si="130"/>
        <v>0</v>
      </c>
      <c r="E2087" s="1">
        <v>42947</v>
      </c>
      <c r="F2087" s="2">
        <v>0.47158564814814813</v>
      </c>
      <c r="G2087" s="2">
        <v>0.47471064814814817</v>
      </c>
      <c r="H2087" s="2">
        <f t="shared" si="131"/>
        <v>3.1250000000000444E-3</v>
      </c>
      <c r="K2087" s="1"/>
    </row>
    <row r="2088" spans="1:11" x14ac:dyDescent="0.25">
      <c r="A2088" s="6">
        <v>7225111</v>
      </c>
      <c r="B2088" t="str">
        <f t="shared" si="128"/>
        <v>stacjonarny</v>
      </c>
      <c r="C2088">
        <f t="shared" si="129"/>
        <v>0</v>
      </c>
      <c r="D2088">
        <f t="shared" si="130"/>
        <v>0</v>
      </c>
      <c r="E2088" s="1">
        <v>42947</v>
      </c>
      <c r="F2088" s="2">
        <v>0.47314814814814815</v>
      </c>
      <c r="G2088" s="2">
        <v>0.47643518518518518</v>
      </c>
      <c r="H2088" s="2">
        <f t="shared" si="131"/>
        <v>3.2870370370370328E-3</v>
      </c>
      <c r="K2088" s="1"/>
    </row>
    <row r="2089" spans="1:11" x14ac:dyDescent="0.25">
      <c r="A2089" s="6">
        <v>5418543</v>
      </c>
      <c r="B2089" t="str">
        <f t="shared" si="128"/>
        <v>stacjonarny</v>
      </c>
      <c r="C2089">
        <f t="shared" si="129"/>
        <v>0</v>
      </c>
      <c r="D2089">
        <f t="shared" si="130"/>
        <v>0</v>
      </c>
      <c r="E2089" s="1">
        <v>42947</v>
      </c>
      <c r="F2089" s="2">
        <v>0.47315972222222225</v>
      </c>
      <c r="G2089" s="2">
        <v>0.47687499999999999</v>
      </c>
      <c r="H2089" s="2">
        <f t="shared" si="131"/>
        <v>3.7152777777777479E-3</v>
      </c>
      <c r="K2089" s="1"/>
    </row>
    <row r="2090" spans="1:11" x14ac:dyDescent="0.25">
      <c r="A2090" s="6">
        <v>6439414</v>
      </c>
      <c r="B2090" t="str">
        <f t="shared" si="128"/>
        <v>stacjonarny</v>
      </c>
      <c r="C2090">
        <f t="shared" si="129"/>
        <v>0</v>
      </c>
      <c r="D2090">
        <f t="shared" si="130"/>
        <v>0</v>
      </c>
      <c r="E2090" s="1">
        <v>42947</v>
      </c>
      <c r="F2090" s="2">
        <v>0.47349537037037037</v>
      </c>
      <c r="G2090" s="2">
        <v>0.47881944444444446</v>
      </c>
      <c r="H2090" s="2">
        <f t="shared" si="131"/>
        <v>5.3240740740740922E-3</v>
      </c>
      <c r="K2090" s="1"/>
    </row>
    <row r="2091" spans="1:11" x14ac:dyDescent="0.25">
      <c r="A2091" s="6">
        <v>3478173</v>
      </c>
      <c r="B2091" t="str">
        <f t="shared" si="128"/>
        <v>stacjonarny</v>
      </c>
      <c r="C2091">
        <f t="shared" si="129"/>
        <v>0</v>
      </c>
      <c r="D2091">
        <f t="shared" si="130"/>
        <v>0</v>
      </c>
      <c r="E2091" s="1">
        <v>42947</v>
      </c>
      <c r="F2091" s="2">
        <v>0.47357638888888887</v>
      </c>
      <c r="G2091" s="2">
        <v>0.47564814814814815</v>
      </c>
      <c r="H2091" s="2">
        <f t="shared" si="131"/>
        <v>2.0717592592592871E-3</v>
      </c>
      <c r="K2091" s="1"/>
    </row>
    <row r="2092" spans="1:11" x14ac:dyDescent="0.25">
      <c r="A2092" s="6">
        <v>3691457</v>
      </c>
      <c r="B2092" t="str">
        <f t="shared" si="128"/>
        <v>stacjonarny</v>
      </c>
      <c r="C2092">
        <f t="shared" si="129"/>
        <v>0</v>
      </c>
      <c r="D2092">
        <f t="shared" si="130"/>
        <v>0</v>
      </c>
      <c r="E2092" s="1">
        <v>42947</v>
      </c>
      <c r="F2092" s="2">
        <v>0.47366898148148145</v>
      </c>
      <c r="G2092" s="2">
        <v>0.48020833333333335</v>
      </c>
      <c r="H2092" s="2">
        <f t="shared" si="131"/>
        <v>6.5393518518518934E-3</v>
      </c>
      <c r="K2092" s="1"/>
    </row>
    <row r="2093" spans="1:11" x14ac:dyDescent="0.25">
      <c r="A2093" s="6">
        <v>6717763</v>
      </c>
      <c r="B2093" t="str">
        <f t="shared" si="128"/>
        <v>stacjonarny</v>
      </c>
      <c r="C2093">
        <f t="shared" si="129"/>
        <v>0</v>
      </c>
      <c r="D2093">
        <f t="shared" si="130"/>
        <v>0</v>
      </c>
      <c r="E2093" s="1">
        <v>42947</v>
      </c>
      <c r="F2093" s="2">
        <v>0.47851851851851851</v>
      </c>
      <c r="G2093" s="2">
        <v>0.48517361111111112</v>
      </c>
      <c r="H2093" s="2">
        <f t="shared" si="131"/>
        <v>6.6550925925926152E-3</v>
      </c>
      <c r="K2093" s="1"/>
    </row>
    <row r="2094" spans="1:11" x14ac:dyDescent="0.25">
      <c r="A2094" s="6">
        <v>61228399</v>
      </c>
      <c r="B2094" t="str">
        <f t="shared" si="128"/>
        <v>komorkowy</v>
      </c>
      <c r="C2094">
        <f t="shared" si="129"/>
        <v>0</v>
      </c>
      <c r="D2094">
        <f t="shared" si="130"/>
        <v>0</v>
      </c>
      <c r="E2094" s="1">
        <v>42947</v>
      </c>
      <c r="F2094" s="2">
        <v>0.48053240740740738</v>
      </c>
      <c r="G2094" s="2">
        <v>0.48828703703703702</v>
      </c>
      <c r="H2094" s="2">
        <f t="shared" si="131"/>
        <v>7.7546296296296391E-3</v>
      </c>
      <c r="K2094" s="1"/>
    </row>
    <row r="2095" spans="1:11" x14ac:dyDescent="0.25">
      <c r="A2095" s="6">
        <v>9282166</v>
      </c>
      <c r="B2095" t="str">
        <f t="shared" si="128"/>
        <v>stacjonarny</v>
      </c>
      <c r="C2095">
        <f t="shared" si="129"/>
        <v>0</v>
      </c>
      <c r="D2095">
        <f t="shared" si="130"/>
        <v>0</v>
      </c>
      <c r="E2095" s="1">
        <v>42947</v>
      </c>
      <c r="F2095" s="2">
        <v>0.48141203703703705</v>
      </c>
      <c r="G2095" s="2">
        <v>0.49063657407407407</v>
      </c>
      <c r="H2095" s="2">
        <f t="shared" si="131"/>
        <v>9.2245370370370172E-3</v>
      </c>
      <c r="K2095" s="1"/>
    </row>
    <row r="2096" spans="1:11" x14ac:dyDescent="0.25">
      <c r="A2096" s="6">
        <v>6426246</v>
      </c>
      <c r="B2096" t="str">
        <f t="shared" si="128"/>
        <v>stacjonarny</v>
      </c>
      <c r="C2096">
        <f t="shared" si="129"/>
        <v>0</v>
      </c>
      <c r="D2096">
        <f t="shared" si="130"/>
        <v>0</v>
      </c>
      <c r="E2096" s="1">
        <v>42947</v>
      </c>
      <c r="F2096" s="2">
        <v>0.48174768518518518</v>
      </c>
      <c r="G2096" s="2">
        <v>0.48682870370370368</v>
      </c>
      <c r="H2096" s="2">
        <f t="shared" si="131"/>
        <v>5.0810185185184986E-3</v>
      </c>
      <c r="K2096" s="1"/>
    </row>
    <row r="2097" spans="1:11" x14ac:dyDescent="0.25">
      <c r="A2097" s="6">
        <v>8585321</v>
      </c>
      <c r="B2097" t="str">
        <f t="shared" si="128"/>
        <v>stacjonarny</v>
      </c>
      <c r="C2097">
        <f t="shared" si="129"/>
        <v>0</v>
      </c>
      <c r="D2097">
        <f t="shared" si="130"/>
        <v>0</v>
      </c>
      <c r="E2097" s="1">
        <v>42947</v>
      </c>
      <c r="F2097" s="2">
        <v>0.48424768518518518</v>
      </c>
      <c r="G2097" s="2">
        <v>0.48873842592592592</v>
      </c>
      <c r="H2097" s="2">
        <f t="shared" si="131"/>
        <v>4.4907407407407396E-3</v>
      </c>
      <c r="K2097" s="1"/>
    </row>
    <row r="2098" spans="1:11" x14ac:dyDescent="0.25">
      <c r="A2098" s="6">
        <v>9791237</v>
      </c>
      <c r="B2098" t="str">
        <f t="shared" si="128"/>
        <v>stacjonarny</v>
      </c>
      <c r="C2098">
        <f t="shared" si="129"/>
        <v>0</v>
      </c>
      <c r="D2098">
        <f t="shared" si="130"/>
        <v>0</v>
      </c>
      <c r="E2098" s="1">
        <v>42947</v>
      </c>
      <c r="F2098" s="2">
        <v>0.48635416666666664</v>
      </c>
      <c r="G2098" s="2">
        <v>0.49025462962962962</v>
      </c>
      <c r="H2098" s="2">
        <f t="shared" si="131"/>
        <v>3.9004629629629806E-3</v>
      </c>
      <c r="K2098" s="1"/>
    </row>
    <row r="2099" spans="1:11" x14ac:dyDescent="0.25">
      <c r="A2099" s="6">
        <v>1830251</v>
      </c>
      <c r="B2099" t="str">
        <f t="shared" si="128"/>
        <v>stacjonarny</v>
      </c>
      <c r="C2099">
        <f t="shared" si="129"/>
        <v>0</v>
      </c>
      <c r="D2099">
        <f t="shared" si="130"/>
        <v>0</v>
      </c>
      <c r="E2099" s="1">
        <v>42947</v>
      </c>
      <c r="F2099" s="2">
        <v>0.48893518518518519</v>
      </c>
      <c r="G2099" s="2">
        <v>0.49787037037037035</v>
      </c>
      <c r="H2099" s="2">
        <f t="shared" si="131"/>
        <v>8.9351851851851571E-3</v>
      </c>
      <c r="K2099" s="1"/>
    </row>
    <row r="2100" spans="1:11" x14ac:dyDescent="0.25">
      <c r="A2100" s="6">
        <v>42603700</v>
      </c>
      <c r="B2100" t="str">
        <f t="shared" si="128"/>
        <v>komorkowy</v>
      </c>
      <c r="C2100">
        <f t="shared" si="129"/>
        <v>0</v>
      </c>
      <c r="D2100">
        <f t="shared" si="130"/>
        <v>0</v>
      </c>
      <c r="E2100" s="1">
        <v>42947</v>
      </c>
      <c r="F2100" s="2">
        <v>0.49409722222222224</v>
      </c>
      <c r="G2100" s="2">
        <v>0.50521990740740741</v>
      </c>
      <c r="H2100" s="2">
        <f t="shared" si="131"/>
        <v>1.1122685185185166E-2</v>
      </c>
      <c r="K2100" s="1"/>
    </row>
    <row r="2101" spans="1:11" x14ac:dyDescent="0.25">
      <c r="A2101" s="6">
        <v>3983714</v>
      </c>
      <c r="B2101" t="str">
        <f t="shared" si="128"/>
        <v>stacjonarny</v>
      </c>
      <c r="C2101">
        <f t="shared" si="129"/>
        <v>0</v>
      </c>
      <c r="D2101">
        <f t="shared" si="130"/>
        <v>0</v>
      </c>
      <c r="E2101" s="1">
        <v>42947</v>
      </c>
      <c r="F2101" s="2">
        <v>0.49849537037037039</v>
      </c>
      <c r="G2101" s="2">
        <v>0.5092592592592593</v>
      </c>
      <c r="H2101" s="2">
        <f t="shared" si="131"/>
        <v>1.0763888888888906E-2</v>
      </c>
      <c r="K2101" s="1"/>
    </row>
    <row r="2102" spans="1:11" x14ac:dyDescent="0.25">
      <c r="A2102" s="6">
        <v>4520226</v>
      </c>
      <c r="B2102" t="str">
        <f t="shared" si="128"/>
        <v>stacjonarny</v>
      </c>
      <c r="C2102">
        <f t="shared" si="129"/>
        <v>0</v>
      </c>
      <c r="D2102">
        <f t="shared" si="130"/>
        <v>0</v>
      </c>
      <c r="E2102" s="1">
        <v>42947</v>
      </c>
      <c r="F2102" s="2">
        <v>0.49903935185185183</v>
      </c>
      <c r="G2102" s="2">
        <v>0.51059027777777777</v>
      </c>
      <c r="H2102" s="2">
        <f t="shared" si="131"/>
        <v>1.1550925925925937E-2</v>
      </c>
      <c r="K2102" s="1"/>
    </row>
    <row r="2103" spans="1:11" x14ac:dyDescent="0.25">
      <c r="A2103" s="6">
        <v>6999348</v>
      </c>
      <c r="B2103" t="str">
        <f t="shared" si="128"/>
        <v>stacjonarny</v>
      </c>
      <c r="C2103">
        <f t="shared" si="129"/>
        <v>0</v>
      </c>
      <c r="D2103">
        <f t="shared" si="130"/>
        <v>0</v>
      </c>
      <c r="E2103" s="1">
        <v>42947</v>
      </c>
      <c r="F2103" s="2">
        <v>0.50065972222222221</v>
      </c>
      <c r="G2103" s="2">
        <v>0.50898148148148148</v>
      </c>
      <c r="H2103" s="2">
        <f t="shared" si="131"/>
        <v>8.3217592592592649E-3</v>
      </c>
      <c r="K2103" s="1"/>
    </row>
    <row r="2104" spans="1:11" x14ac:dyDescent="0.25">
      <c r="A2104" s="6">
        <v>3767866</v>
      </c>
      <c r="B2104" t="str">
        <f t="shared" si="128"/>
        <v>stacjonarny</v>
      </c>
      <c r="C2104">
        <f t="shared" si="129"/>
        <v>0</v>
      </c>
      <c r="D2104">
        <f t="shared" si="130"/>
        <v>0</v>
      </c>
      <c r="E2104" s="1">
        <v>42947</v>
      </c>
      <c r="F2104" s="2">
        <v>0.5040972222222222</v>
      </c>
      <c r="G2104" s="2">
        <v>0.50971064814814815</v>
      </c>
      <c r="H2104" s="2">
        <f t="shared" si="131"/>
        <v>5.6134259259259522E-3</v>
      </c>
      <c r="K2104" s="1"/>
    </row>
    <row r="2105" spans="1:11" x14ac:dyDescent="0.25">
      <c r="A2105" s="6">
        <v>49342013</v>
      </c>
      <c r="B2105" t="str">
        <f t="shared" si="128"/>
        <v>komorkowy</v>
      </c>
      <c r="C2105">
        <f t="shared" si="129"/>
        <v>0</v>
      </c>
      <c r="D2105">
        <f t="shared" si="130"/>
        <v>0</v>
      </c>
      <c r="E2105" s="1">
        <v>42947</v>
      </c>
      <c r="F2105" s="2">
        <v>0.50410879629629635</v>
      </c>
      <c r="G2105" s="2">
        <v>0.50539351851851855</v>
      </c>
      <c r="H2105" s="2">
        <f t="shared" si="131"/>
        <v>1.284722222222201E-3</v>
      </c>
      <c r="K2105" s="1"/>
    </row>
    <row r="2106" spans="1:11" x14ac:dyDescent="0.25">
      <c r="A2106" s="6">
        <v>6051341</v>
      </c>
      <c r="B2106" t="str">
        <f t="shared" si="128"/>
        <v>stacjonarny</v>
      </c>
      <c r="C2106">
        <f t="shared" si="129"/>
        <v>0</v>
      </c>
      <c r="D2106">
        <f t="shared" si="130"/>
        <v>0</v>
      </c>
      <c r="E2106" s="1">
        <v>42947</v>
      </c>
      <c r="F2106" s="2">
        <v>0.50980324074074079</v>
      </c>
      <c r="G2106" s="2">
        <v>0.51123842592592594</v>
      </c>
      <c r="H2106" s="2">
        <f t="shared" si="131"/>
        <v>1.4351851851851505E-3</v>
      </c>
      <c r="K2106" s="1"/>
    </row>
    <row r="2107" spans="1:11" x14ac:dyDescent="0.25">
      <c r="A2107" s="6">
        <v>4326245</v>
      </c>
      <c r="B2107" t="str">
        <f t="shared" si="128"/>
        <v>stacjonarny</v>
      </c>
      <c r="C2107">
        <f t="shared" si="129"/>
        <v>0</v>
      </c>
      <c r="D2107">
        <f t="shared" si="130"/>
        <v>0</v>
      </c>
      <c r="E2107" s="1">
        <v>42947</v>
      </c>
      <c r="F2107" s="2">
        <v>0.51331018518518523</v>
      </c>
      <c r="G2107" s="2">
        <v>0.51490740740740737</v>
      </c>
      <c r="H2107" s="2">
        <f t="shared" si="131"/>
        <v>1.5972222222221388E-3</v>
      </c>
      <c r="K2107" s="1"/>
    </row>
    <row r="2108" spans="1:11" x14ac:dyDescent="0.25">
      <c r="A2108" s="6">
        <v>5356378</v>
      </c>
      <c r="B2108" t="str">
        <f t="shared" si="128"/>
        <v>stacjonarny</v>
      </c>
      <c r="C2108">
        <f t="shared" si="129"/>
        <v>0</v>
      </c>
      <c r="D2108">
        <f t="shared" si="130"/>
        <v>0</v>
      </c>
      <c r="E2108" s="1">
        <v>42947</v>
      </c>
      <c r="F2108" s="2">
        <v>0.51811342592592591</v>
      </c>
      <c r="G2108" s="2">
        <v>0.51965277777777774</v>
      </c>
      <c r="H2108" s="2">
        <f t="shared" si="131"/>
        <v>1.5393518518518334E-3</v>
      </c>
      <c r="K2108" s="1"/>
    </row>
    <row r="2109" spans="1:11" x14ac:dyDescent="0.25">
      <c r="A2109" s="6">
        <v>1302842</v>
      </c>
      <c r="B2109" t="str">
        <f t="shared" si="128"/>
        <v>stacjonarny</v>
      </c>
      <c r="C2109">
        <f t="shared" si="129"/>
        <v>0</v>
      </c>
      <c r="D2109">
        <f t="shared" si="130"/>
        <v>0</v>
      </c>
      <c r="E2109" s="1">
        <v>42947</v>
      </c>
      <c r="F2109" s="2">
        <v>0.52203703703703708</v>
      </c>
      <c r="G2109" s="2">
        <v>0.53162037037037035</v>
      </c>
      <c r="H2109" s="2">
        <f t="shared" si="131"/>
        <v>9.5833333333332771E-3</v>
      </c>
      <c r="K2109" s="1"/>
    </row>
    <row r="2110" spans="1:11" x14ac:dyDescent="0.25">
      <c r="A2110" s="6">
        <v>2025194</v>
      </c>
      <c r="B2110" t="str">
        <f t="shared" si="128"/>
        <v>stacjonarny</v>
      </c>
      <c r="C2110">
        <f t="shared" si="129"/>
        <v>0</v>
      </c>
      <c r="D2110">
        <f t="shared" si="130"/>
        <v>0</v>
      </c>
      <c r="E2110" s="1">
        <v>42947</v>
      </c>
      <c r="F2110" s="2">
        <v>0.52238425925925924</v>
      </c>
      <c r="G2110" s="2">
        <v>0.52749999999999997</v>
      </c>
      <c r="H2110" s="2">
        <f t="shared" si="131"/>
        <v>5.1157407407407263E-3</v>
      </c>
      <c r="K2110" s="1"/>
    </row>
    <row r="2111" spans="1:11" x14ac:dyDescent="0.25">
      <c r="A2111" s="6">
        <v>6703754</v>
      </c>
      <c r="B2111" t="str">
        <f t="shared" si="128"/>
        <v>stacjonarny</v>
      </c>
      <c r="C2111">
        <f t="shared" si="129"/>
        <v>0</v>
      </c>
      <c r="D2111">
        <f t="shared" si="130"/>
        <v>0</v>
      </c>
      <c r="E2111" s="1">
        <v>42947</v>
      </c>
      <c r="F2111" s="2">
        <v>0.5237384259259259</v>
      </c>
      <c r="G2111" s="2">
        <v>0.52431712962962962</v>
      </c>
      <c r="H2111" s="2">
        <f t="shared" si="131"/>
        <v>5.7870370370372015E-4</v>
      </c>
      <c r="K2111" s="1"/>
    </row>
    <row r="2112" spans="1:11" x14ac:dyDescent="0.25">
      <c r="A2112" s="6">
        <v>86965710</v>
      </c>
      <c r="B2112" t="str">
        <f t="shared" si="128"/>
        <v>komorkowy</v>
      </c>
      <c r="C2112">
        <f t="shared" si="129"/>
        <v>0</v>
      </c>
      <c r="D2112">
        <f t="shared" si="130"/>
        <v>0</v>
      </c>
      <c r="E2112" s="1">
        <v>42947</v>
      </c>
      <c r="F2112" s="2">
        <v>0.52516203703703701</v>
      </c>
      <c r="G2112" s="2">
        <v>0.52825231481481483</v>
      </c>
      <c r="H2112" s="2">
        <f t="shared" si="131"/>
        <v>3.0902777777778168E-3</v>
      </c>
      <c r="K2112" s="1"/>
    </row>
    <row r="2113" spans="1:11" x14ac:dyDescent="0.25">
      <c r="A2113" s="6">
        <v>9797571</v>
      </c>
      <c r="B2113" t="str">
        <f t="shared" si="128"/>
        <v>stacjonarny</v>
      </c>
      <c r="C2113">
        <f t="shared" si="129"/>
        <v>0</v>
      </c>
      <c r="D2113">
        <f t="shared" si="130"/>
        <v>0</v>
      </c>
      <c r="E2113" s="1">
        <v>42947</v>
      </c>
      <c r="F2113" s="2">
        <v>0.53011574074074075</v>
      </c>
      <c r="G2113" s="2">
        <v>0.5342824074074074</v>
      </c>
      <c r="H2113" s="2">
        <f t="shared" si="131"/>
        <v>4.1666666666666519E-3</v>
      </c>
      <c r="K2113" s="1"/>
    </row>
    <row r="2114" spans="1:11" x14ac:dyDescent="0.25">
      <c r="A2114" s="6">
        <v>34628061</v>
      </c>
      <c r="B2114" t="str">
        <f t="shared" ref="B2114:B2149" si="132">IF(LEN(A2114)=7, "stacjonarny", IF(LEN(A2114)=8, "komorkowy", "zagraniczny"))</f>
        <v>komorkowy</v>
      </c>
      <c r="C2114">
        <f t="shared" si="129"/>
        <v>0</v>
      </c>
      <c r="D2114">
        <f t="shared" si="130"/>
        <v>0</v>
      </c>
      <c r="E2114" s="1">
        <v>42947</v>
      </c>
      <c r="F2114" s="2">
        <v>0.53206018518518516</v>
      </c>
      <c r="G2114" s="2">
        <v>0.53396990740740746</v>
      </c>
      <c r="H2114" s="2">
        <f t="shared" si="131"/>
        <v>1.9097222222222987E-3</v>
      </c>
      <c r="K2114" s="1"/>
    </row>
    <row r="2115" spans="1:11" x14ac:dyDescent="0.25">
      <c r="A2115" s="6">
        <v>6716140</v>
      </c>
      <c r="B2115" t="str">
        <f t="shared" si="132"/>
        <v>stacjonarny</v>
      </c>
      <c r="C2115">
        <f t="shared" ref="C2115:C2149" si="133">IF(LEFT(A2115,2)="12",1,0)</f>
        <v>0</v>
      </c>
      <c r="D2115">
        <f t="shared" ref="D2115:D2149" si="134">IF(AND(C2115=1,B2115="stacjonarny"),1,0)</f>
        <v>0</v>
      </c>
      <c r="E2115" s="1">
        <v>42947</v>
      </c>
      <c r="F2115" s="2">
        <v>0.53451388888888884</v>
      </c>
      <c r="G2115" s="2">
        <v>0.54087962962962965</v>
      </c>
      <c r="H2115" s="2">
        <f t="shared" ref="H2115:H2149" si="135">G2115-F2115</f>
        <v>6.3657407407408106E-3</v>
      </c>
      <c r="K2115" s="1"/>
    </row>
    <row r="2116" spans="1:11" x14ac:dyDescent="0.25">
      <c r="A2116" s="6">
        <v>9709339</v>
      </c>
      <c r="B2116" t="str">
        <f t="shared" si="132"/>
        <v>stacjonarny</v>
      </c>
      <c r="C2116">
        <f t="shared" si="133"/>
        <v>0</v>
      </c>
      <c r="D2116">
        <f t="shared" si="134"/>
        <v>0</v>
      </c>
      <c r="E2116" s="1">
        <v>42947</v>
      </c>
      <c r="F2116" s="2">
        <v>0.53622685185185182</v>
      </c>
      <c r="G2116" s="2">
        <v>0.54399305555555555</v>
      </c>
      <c r="H2116" s="2">
        <f t="shared" si="135"/>
        <v>7.7662037037037335E-3</v>
      </c>
      <c r="K2116" s="1"/>
    </row>
    <row r="2117" spans="1:11" x14ac:dyDescent="0.25">
      <c r="A2117" s="6">
        <v>1331802</v>
      </c>
      <c r="B2117" t="str">
        <f t="shared" si="132"/>
        <v>stacjonarny</v>
      </c>
      <c r="C2117">
        <f t="shared" si="133"/>
        <v>0</v>
      </c>
      <c r="D2117">
        <f t="shared" si="134"/>
        <v>0</v>
      </c>
      <c r="E2117" s="1">
        <v>42947</v>
      </c>
      <c r="F2117" s="2">
        <v>0.5376967592592593</v>
      </c>
      <c r="G2117" s="2">
        <v>0.54113425925925929</v>
      </c>
      <c r="H2117" s="2">
        <f t="shared" si="135"/>
        <v>3.4374999999999822E-3</v>
      </c>
      <c r="K2117" s="1"/>
    </row>
    <row r="2118" spans="1:11" x14ac:dyDescent="0.25">
      <c r="A2118" s="6">
        <v>9413315</v>
      </c>
      <c r="B2118" t="str">
        <f t="shared" si="132"/>
        <v>stacjonarny</v>
      </c>
      <c r="C2118">
        <f t="shared" si="133"/>
        <v>0</v>
      </c>
      <c r="D2118">
        <f t="shared" si="134"/>
        <v>0</v>
      </c>
      <c r="E2118" s="1">
        <v>42947</v>
      </c>
      <c r="F2118" s="2">
        <v>0.53961805555555553</v>
      </c>
      <c r="G2118" s="2">
        <v>0.54870370370370369</v>
      </c>
      <c r="H2118" s="2">
        <f t="shared" si="135"/>
        <v>9.0856481481481621E-3</v>
      </c>
      <c r="K2118" s="1"/>
    </row>
    <row r="2119" spans="1:11" x14ac:dyDescent="0.25">
      <c r="A2119" s="6">
        <v>9555643</v>
      </c>
      <c r="B2119" t="str">
        <f t="shared" si="132"/>
        <v>stacjonarny</v>
      </c>
      <c r="C2119">
        <f t="shared" si="133"/>
        <v>0</v>
      </c>
      <c r="D2119">
        <f t="shared" si="134"/>
        <v>0</v>
      </c>
      <c r="E2119" s="1">
        <v>42947</v>
      </c>
      <c r="F2119" s="2">
        <v>0.5415740740740741</v>
      </c>
      <c r="G2119" s="2">
        <v>0.54230324074074077</v>
      </c>
      <c r="H2119" s="2">
        <f t="shared" si="135"/>
        <v>7.2916666666666963E-4</v>
      </c>
      <c r="K2119" s="1"/>
    </row>
    <row r="2120" spans="1:11" x14ac:dyDescent="0.25">
      <c r="A2120" s="6">
        <v>4824250</v>
      </c>
      <c r="B2120" t="str">
        <f t="shared" si="132"/>
        <v>stacjonarny</v>
      </c>
      <c r="C2120">
        <f t="shared" si="133"/>
        <v>0</v>
      </c>
      <c r="D2120">
        <f t="shared" si="134"/>
        <v>0</v>
      </c>
      <c r="E2120" s="1">
        <v>42947</v>
      </c>
      <c r="F2120" s="2">
        <v>0.54670138888888886</v>
      </c>
      <c r="G2120" s="2">
        <v>0.55440972222222218</v>
      </c>
      <c r="H2120" s="2">
        <f t="shared" si="135"/>
        <v>7.7083333333333171E-3</v>
      </c>
      <c r="K2120" s="1"/>
    </row>
    <row r="2121" spans="1:11" x14ac:dyDescent="0.25">
      <c r="A2121" s="6">
        <v>3931914</v>
      </c>
      <c r="B2121" t="str">
        <f t="shared" si="132"/>
        <v>stacjonarny</v>
      </c>
      <c r="C2121">
        <f t="shared" si="133"/>
        <v>0</v>
      </c>
      <c r="D2121">
        <f t="shared" si="134"/>
        <v>0</v>
      </c>
      <c r="E2121" s="1">
        <v>42947</v>
      </c>
      <c r="F2121" s="2">
        <v>0.55063657407407407</v>
      </c>
      <c r="G2121" s="2">
        <v>0.55451388888888886</v>
      </c>
      <c r="H2121" s="2">
        <f t="shared" si="135"/>
        <v>3.8773148148147918E-3</v>
      </c>
      <c r="K2121" s="1"/>
    </row>
    <row r="2122" spans="1:11" x14ac:dyDescent="0.25">
      <c r="A2122" s="6">
        <v>79698655</v>
      </c>
      <c r="B2122" t="str">
        <f t="shared" si="132"/>
        <v>komorkowy</v>
      </c>
      <c r="C2122">
        <f t="shared" si="133"/>
        <v>0</v>
      </c>
      <c r="D2122">
        <f t="shared" si="134"/>
        <v>0</v>
      </c>
      <c r="E2122" s="1">
        <v>42947</v>
      </c>
      <c r="F2122" s="2">
        <v>0.55182870370370374</v>
      </c>
      <c r="G2122" s="2">
        <v>0.55775462962962963</v>
      </c>
      <c r="H2122" s="2">
        <f t="shared" si="135"/>
        <v>5.9259259259258901E-3</v>
      </c>
      <c r="K2122" s="1"/>
    </row>
    <row r="2123" spans="1:11" x14ac:dyDescent="0.25">
      <c r="A2123" s="6">
        <v>5387521845</v>
      </c>
      <c r="B2123" t="str">
        <f t="shared" si="132"/>
        <v>zagraniczny</v>
      </c>
      <c r="C2123">
        <f t="shared" si="133"/>
        <v>0</v>
      </c>
      <c r="D2123">
        <f t="shared" si="134"/>
        <v>0</v>
      </c>
      <c r="E2123" s="1">
        <v>42947</v>
      </c>
      <c r="F2123" s="2">
        <v>0.55717592592592591</v>
      </c>
      <c r="G2123" s="2">
        <v>0.56000000000000005</v>
      </c>
      <c r="H2123" s="2">
        <f t="shared" si="135"/>
        <v>2.8240740740741455E-3</v>
      </c>
      <c r="K2123" s="1"/>
    </row>
    <row r="2124" spans="1:11" x14ac:dyDescent="0.25">
      <c r="A2124" s="6">
        <v>84589848</v>
      </c>
      <c r="B2124" t="str">
        <f t="shared" si="132"/>
        <v>komorkowy</v>
      </c>
      <c r="C2124">
        <f t="shared" si="133"/>
        <v>0</v>
      </c>
      <c r="D2124">
        <f t="shared" si="134"/>
        <v>0</v>
      </c>
      <c r="E2124" s="1">
        <v>42947</v>
      </c>
      <c r="F2124" s="2">
        <v>0.56119212962962961</v>
      </c>
      <c r="G2124" s="2">
        <v>0.56221064814814814</v>
      </c>
      <c r="H2124" s="2">
        <f t="shared" si="135"/>
        <v>1.0185185185185297E-3</v>
      </c>
      <c r="K2124" s="1"/>
    </row>
    <row r="2125" spans="1:11" x14ac:dyDescent="0.25">
      <c r="A2125" s="6">
        <v>1927908</v>
      </c>
      <c r="B2125" t="str">
        <f t="shared" si="132"/>
        <v>stacjonarny</v>
      </c>
      <c r="C2125">
        <f t="shared" si="133"/>
        <v>0</v>
      </c>
      <c r="D2125">
        <f t="shared" si="134"/>
        <v>0</v>
      </c>
      <c r="E2125" s="1">
        <v>42947</v>
      </c>
      <c r="F2125" s="2">
        <v>0.56452546296296291</v>
      </c>
      <c r="G2125" s="2">
        <v>0.5725231481481482</v>
      </c>
      <c r="H2125" s="2">
        <f t="shared" si="135"/>
        <v>7.9976851851852881E-3</v>
      </c>
      <c r="K2125" s="1"/>
    </row>
    <row r="2126" spans="1:11" x14ac:dyDescent="0.25">
      <c r="A2126" s="6">
        <v>7975900</v>
      </c>
      <c r="B2126" t="str">
        <f t="shared" si="132"/>
        <v>stacjonarny</v>
      </c>
      <c r="C2126">
        <f t="shared" si="133"/>
        <v>0</v>
      </c>
      <c r="D2126">
        <f t="shared" si="134"/>
        <v>0</v>
      </c>
      <c r="E2126" s="1">
        <v>42947</v>
      </c>
      <c r="F2126" s="2">
        <v>0.56582175925925926</v>
      </c>
      <c r="G2126" s="2">
        <v>0.57314814814814818</v>
      </c>
      <c r="H2126" s="2">
        <f t="shared" si="135"/>
        <v>7.3263888888889239E-3</v>
      </c>
      <c r="K2126" s="1"/>
    </row>
    <row r="2127" spans="1:11" x14ac:dyDescent="0.25">
      <c r="A2127" s="6">
        <v>1731500345</v>
      </c>
      <c r="B2127" t="str">
        <f t="shared" si="132"/>
        <v>zagraniczny</v>
      </c>
      <c r="C2127">
        <f t="shared" si="133"/>
        <v>0</v>
      </c>
      <c r="D2127">
        <f t="shared" si="134"/>
        <v>0</v>
      </c>
      <c r="E2127" s="1">
        <v>42947</v>
      </c>
      <c r="F2127" s="2">
        <v>0.56916666666666671</v>
      </c>
      <c r="G2127" s="2">
        <v>0.57851851851851854</v>
      </c>
      <c r="H2127" s="2">
        <f t="shared" si="135"/>
        <v>9.3518518518518334E-3</v>
      </c>
      <c r="K2127" s="1"/>
    </row>
    <row r="2128" spans="1:11" x14ac:dyDescent="0.25">
      <c r="A2128" s="6">
        <v>5926011</v>
      </c>
      <c r="B2128" t="str">
        <f t="shared" si="132"/>
        <v>stacjonarny</v>
      </c>
      <c r="C2128">
        <f t="shared" si="133"/>
        <v>0</v>
      </c>
      <c r="D2128">
        <f t="shared" si="134"/>
        <v>0</v>
      </c>
      <c r="E2128" s="1">
        <v>42947</v>
      </c>
      <c r="F2128" s="2">
        <v>0.57268518518518519</v>
      </c>
      <c r="G2128" s="2">
        <v>0.58170138888888889</v>
      </c>
      <c r="H2128" s="2">
        <f t="shared" si="135"/>
        <v>9.0162037037037068E-3</v>
      </c>
      <c r="K2128" s="1"/>
    </row>
    <row r="2129" spans="1:11" x14ac:dyDescent="0.25">
      <c r="A2129" s="6">
        <v>6408952</v>
      </c>
      <c r="B2129" t="str">
        <f t="shared" si="132"/>
        <v>stacjonarny</v>
      </c>
      <c r="C2129">
        <f t="shared" si="133"/>
        <v>0</v>
      </c>
      <c r="D2129">
        <f t="shared" si="134"/>
        <v>0</v>
      </c>
      <c r="E2129" s="1">
        <v>42947</v>
      </c>
      <c r="F2129" s="2">
        <v>0.57740740740740737</v>
      </c>
      <c r="G2129" s="2">
        <v>0.58895833333333336</v>
      </c>
      <c r="H2129" s="2">
        <f t="shared" si="135"/>
        <v>1.1550925925925992E-2</v>
      </c>
      <c r="K2129" s="1"/>
    </row>
    <row r="2130" spans="1:11" x14ac:dyDescent="0.25">
      <c r="A2130" s="6">
        <v>53370610</v>
      </c>
      <c r="B2130" t="str">
        <f t="shared" si="132"/>
        <v>komorkowy</v>
      </c>
      <c r="C2130">
        <f t="shared" si="133"/>
        <v>0</v>
      </c>
      <c r="D2130">
        <f t="shared" si="134"/>
        <v>0</v>
      </c>
      <c r="E2130" s="1">
        <v>42947</v>
      </c>
      <c r="F2130" s="2">
        <v>0.57822916666666668</v>
      </c>
      <c r="G2130" s="2">
        <v>0.57994212962962965</v>
      </c>
      <c r="H2130" s="2">
        <f t="shared" si="135"/>
        <v>1.7129629629629717E-3</v>
      </c>
      <c r="K2130" s="1"/>
    </row>
    <row r="2131" spans="1:11" x14ac:dyDescent="0.25">
      <c r="A2131" s="6">
        <v>8060169</v>
      </c>
      <c r="B2131" t="str">
        <f t="shared" si="132"/>
        <v>stacjonarny</v>
      </c>
      <c r="C2131">
        <f t="shared" si="133"/>
        <v>0</v>
      </c>
      <c r="D2131">
        <f t="shared" si="134"/>
        <v>0</v>
      </c>
      <c r="E2131" s="1">
        <v>42947</v>
      </c>
      <c r="F2131" s="2">
        <v>0.57874999999999999</v>
      </c>
      <c r="G2131" s="2">
        <v>0.58307870370370374</v>
      </c>
      <c r="H2131" s="2">
        <f t="shared" si="135"/>
        <v>4.3287037037037512E-3</v>
      </c>
      <c r="K2131" s="1"/>
    </row>
    <row r="2132" spans="1:11" x14ac:dyDescent="0.25">
      <c r="A2132" s="6">
        <v>9147613</v>
      </c>
      <c r="B2132" t="str">
        <f t="shared" si="132"/>
        <v>stacjonarny</v>
      </c>
      <c r="C2132">
        <f t="shared" si="133"/>
        <v>0</v>
      </c>
      <c r="D2132">
        <f t="shared" si="134"/>
        <v>0</v>
      </c>
      <c r="E2132" s="1">
        <v>42947</v>
      </c>
      <c r="F2132" s="2">
        <v>0.57952546296296292</v>
      </c>
      <c r="G2132" s="2">
        <v>0.58090277777777777</v>
      </c>
      <c r="H2132" s="2">
        <f t="shared" si="135"/>
        <v>1.3773148148148451E-3</v>
      </c>
      <c r="K2132" s="1"/>
    </row>
    <row r="2133" spans="1:11" x14ac:dyDescent="0.25">
      <c r="A2133" s="6">
        <v>4505950</v>
      </c>
      <c r="B2133" t="str">
        <f t="shared" si="132"/>
        <v>stacjonarny</v>
      </c>
      <c r="C2133">
        <f t="shared" si="133"/>
        <v>0</v>
      </c>
      <c r="D2133">
        <f t="shared" si="134"/>
        <v>0</v>
      </c>
      <c r="E2133" s="1">
        <v>42947</v>
      </c>
      <c r="F2133" s="2">
        <v>0.58163194444444444</v>
      </c>
      <c r="G2133" s="2">
        <v>0.5872222222222222</v>
      </c>
      <c r="H2133" s="2">
        <f t="shared" si="135"/>
        <v>5.5902777777777635E-3</v>
      </c>
      <c r="K2133" s="1"/>
    </row>
    <row r="2134" spans="1:11" x14ac:dyDescent="0.25">
      <c r="A2134" s="6">
        <v>3537655</v>
      </c>
      <c r="B2134" t="str">
        <f t="shared" si="132"/>
        <v>stacjonarny</v>
      </c>
      <c r="C2134">
        <f t="shared" si="133"/>
        <v>0</v>
      </c>
      <c r="D2134">
        <f t="shared" si="134"/>
        <v>0</v>
      </c>
      <c r="E2134" s="1">
        <v>42947</v>
      </c>
      <c r="F2134" s="2">
        <v>0.58287037037037037</v>
      </c>
      <c r="G2134" s="2">
        <v>0.58347222222222217</v>
      </c>
      <c r="H2134" s="2">
        <f t="shared" si="135"/>
        <v>6.018518518517979E-4</v>
      </c>
      <c r="K2134" s="1"/>
    </row>
    <row r="2135" spans="1:11" x14ac:dyDescent="0.25">
      <c r="A2135" s="6">
        <v>1583683</v>
      </c>
      <c r="B2135" t="str">
        <f t="shared" si="132"/>
        <v>stacjonarny</v>
      </c>
      <c r="C2135">
        <f t="shared" si="133"/>
        <v>0</v>
      </c>
      <c r="D2135">
        <f t="shared" si="134"/>
        <v>0</v>
      </c>
      <c r="E2135" s="1">
        <v>42947</v>
      </c>
      <c r="F2135" s="2">
        <v>0.58784722222222219</v>
      </c>
      <c r="G2135" s="2">
        <v>0.58940972222222221</v>
      </c>
      <c r="H2135" s="2">
        <f t="shared" si="135"/>
        <v>1.5625000000000222E-3</v>
      </c>
      <c r="K2135" s="1"/>
    </row>
    <row r="2136" spans="1:11" x14ac:dyDescent="0.25">
      <c r="A2136" s="6">
        <v>96302157</v>
      </c>
      <c r="B2136" t="str">
        <f t="shared" si="132"/>
        <v>komorkowy</v>
      </c>
      <c r="C2136">
        <f t="shared" si="133"/>
        <v>0</v>
      </c>
      <c r="D2136">
        <f t="shared" si="134"/>
        <v>0</v>
      </c>
      <c r="E2136" s="1">
        <v>42947</v>
      </c>
      <c r="F2136" s="2">
        <v>0.59052083333333338</v>
      </c>
      <c r="G2136" s="2">
        <v>0.59702546296296299</v>
      </c>
      <c r="H2136" s="2">
        <f t="shared" si="135"/>
        <v>6.5046296296296102E-3</v>
      </c>
      <c r="K2136" s="1"/>
    </row>
    <row r="2137" spans="1:11" x14ac:dyDescent="0.25">
      <c r="A2137" s="6">
        <v>1809111</v>
      </c>
      <c r="B2137" t="str">
        <f t="shared" si="132"/>
        <v>stacjonarny</v>
      </c>
      <c r="C2137">
        <f t="shared" si="133"/>
        <v>0</v>
      </c>
      <c r="D2137">
        <f t="shared" si="134"/>
        <v>0</v>
      </c>
      <c r="E2137" s="1">
        <v>42947</v>
      </c>
      <c r="F2137" s="2">
        <v>0.59290509259259261</v>
      </c>
      <c r="G2137" s="2">
        <v>0.60322916666666671</v>
      </c>
      <c r="H2137" s="2">
        <f t="shared" si="135"/>
        <v>1.0324074074074097E-2</v>
      </c>
      <c r="K2137" s="1"/>
    </row>
    <row r="2138" spans="1:11" x14ac:dyDescent="0.25">
      <c r="A2138" s="6">
        <v>8493652</v>
      </c>
      <c r="B2138" t="str">
        <f t="shared" si="132"/>
        <v>stacjonarny</v>
      </c>
      <c r="C2138">
        <f t="shared" si="133"/>
        <v>0</v>
      </c>
      <c r="D2138">
        <f t="shared" si="134"/>
        <v>0</v>
      </c>
      <c r="E2138" s="1">
        <v>42947</v>
      </c>
      <c r="F2138" s="2">
        <v>0.59569444444444442</v>
      </c>
      <c r="G2138" s="2">
        <v>0.60372685185185182</v>
      </c>
      <c r="H2138" s="2">
        <f t="shared" si="135"/>
        <v>8.0324074074074048E-3</v>
      </c>
      <c r="K2138" s="1"/>
    </row>
    <row r="2139" spans="1:11" x14ac:dyDescent="0.25">
      <c r="A2139" s="6">
        <v>1026326</v>
      </c>
      <c r="B2139" t="str">
        <f t="shared" si="132"/>
        <v>stacjonarny</v>
      </c>
      <c r="C2139">
        <f t="shared" si="133"/>
        <v>0</v>
      </c>
      <c r="D2139">
        <f t="shared" si="134"/>
        <v>0</v>
      </c>
      <c r="E2139" s="1">
        <v>42947</v>
      </c>
      <c r="F2139" s="2">
        <v>0.59736111111111112</v>
      </c>
      <c r="G2139" s="2">
        <v>0.60046296296296298</v>
      </c>
      <c r="H2139" s="2">
        <f t="shared" si="135"/>
        <v>3.1018518518518556E-3</v>
      </c>
      <c r="K2139" s="1"/>
    </row>
    <row r="2140" spans="1:11" x14ac:dyDescent="0.25">
      <c r="A2140" s="6">
        <v>1475165</v>
      </c>
      <c r="B2140" t="str">
        <f t="shared" si="132"/>
        <v>stacjonarny</v>
      </c>
      <c r="C2140">
        <f t="shared" si="133"/>
        <v>0</v>
      </c>
      <c r="D2140">
        <f t="shared" si="134"/>
        <v>0</v>
      </c>
      <c r="E2140" s="1">
        <v>42947</v>
      </c>
      <c r="F2140" s="2">
        <v>0.60197916666666662</v>
      </c>
      <c r="G2140" s="2">
        <v>0.60856481481481484</v>
      </c>
      <c r="H2140" s="2">
        <f t="shared" si="135"/>
        <v>6.5856481481482154E-3</v>
      </c>
      <c r="K2140" s="1"/>
    </row>
    <row r="2141" spans="1:11" x14ac:dyDescent="0.25">
      <c r="A2141" s="6">
        <v>6264844</v>
      </c>
      <c r="B2141" t="str">
        <f t="shared" si="132"/>
        <v>stacjonarny</v>
      </c>
      <c r="C2141">
        <f t="shared" si="133"/>
        <v>0</v>
      </c>
      <c r="D2141">
        <f t="shared" si="134"/>
        <v>0</v>
      </c>
      <c r="E2141" s="1">
        <v>42947</v>
      </c>
      <c r="F2141" s="2">
        <v>0.60348379629629634</v>
      </c>
      <c r="G2141" s="2">
        <v>0.61365740740740737</v>
      </c>
      <c r="H2141" s="2">
        <f t="shared" si="135"/>
        <v>1.0173611111111036E-2</v>
      </c>
      <c r="K2141" s="1"/>
    </row>
    <row r="2142" spans="1:11" x14ac:dyDescent="0.25">
      <c r="A2142" s="6">
        <v>9861652</v>
      </c>
      <c r="B2142" t="str">
        <f t="shared" si="132"/>
        <v>stacjonarny</v>
      </c>
      <c r="C2142">
        <f t="shared" si="133"/>
        <v>0</v>
      </c>
      <c r="D2142">
        <f t="shared" si="134"/>
        <v>0</v>
      </c>
      <c r="E2142" s="1">
        <v>42947</v>
      </c>
      <c r="F2142" s="2">
        <v>0.60519675925925931</v>
      </c>
      <c r="G2142" s="2">
        <v>0.61221064814814818</v>
      </c>
      <c r="H2142" s="2">
        <f t="shared" si="135"/>
        <v>7.0138888888888751E-3</v>
      </c>
      <c r="K2142" s="1"/>
    </row>
    <row r="2143" spans="1:11" x14ac:dyDescent="0.25">
      <c r="A2143" s="6">
        <v>5446203</v>
      </c>
      <c r="B2143" t="str">
        <f t="shared" si="132"/>
        <v>stacjonarny</v>
      </c>
      <c r="C2143">
        <f t="shared" si="133"/>
        <v>0</v>
      </c>
      <c r="D2143">
        <f t="shared" si="134"/>
        <v>0</v>
      </c>
      <c r="E2143" s="1">
        <v>42947</v>
      </c>
      <c r="F2143" s="2">
        <v>0.60825231481481479</v>
      </c>
      <c r="G2143" s="2">
        <v>0.61048611111111106</v>
      </c>
      <c r="H2143" s="2">
        <f t="shared" si="135"/>
        <v>2.2337962962962754E-3</v>
      </c>
      <c r="K2143" s="1"/>
    </row>
    <row r="2144" spans="1:11" x14ac:dyDescent="0.25">
      <c r="A2144" s="6">
        <v>7762020</v>
      </c>
      <c r="B2144" t="str">
        <f t="shared" si="132"/>
        <v>stacjonarny</v>
      </c>
      <c r="C2144">
        <f t="shared" si="133"/>
        <v>0</v>
      </c>
      <c r="D2144">
        <f t="shared" si="134"/>
        <v>0</v>
      </c>
      <c r="E2144" s="1">
        <v>42947</v>
      </c>
      <c r="F2144" s="2">
        <v>0.61159722222222224</v>
      </c>
      <c r="G2144" s="2">
        <v>0.61434027777777778</v>
      </c>
      <c r="H2144" s="2">
        <f t="shared" si="135"/>
        <v>2.7430555555555403E-3</v>
      </c>
      <c r="K2144" s="1"/>
    </row>
    <row r="2145" spans="1:11" x14ac:dyDescent="0.25">
      <c r="A2145" s="6">
        <v>4045129075</v>
      </c>
      <c r="B2145" t="str">
        <f t="shared" si="132"/>
        <v>zagraniczny</v>
      </c>
      <c r="C2145">
        <f t="shared" si="133"/>
        <v>0</v>
      </c>
      <c r="D2145">
        <f t="shared" si="134"/>
        <v>0</v>
      </c>
      <c r="E2145" s="1">
        <v>42947</v>
      </c>
      <c r="F2145" s="2">
        <v>0.61328703703703702</v>
      </c>
      <c r="G2145" s="2">
        <v>0.61828703703703702</v>
      </c>
      <c r="H2145" s="2">
        <f t="shared" si="135"/>
        <v>5.0000000000000044E-3</v>
      </c>
      <c r="K2145" s="1"/>
    </row>
    <row r="2146" spans="1:11" x14ac:dyDescent="0.25">
      <c r="A2146" s="6">
        <v>96736796</v>
      </c>
      <c r="B2146" t="str">
        <f t="shared" si="132"/>
        <v>komorkowy</v>
      </c>
      <c r="C2146">
        <f t="shared" si="133"/>
        <v>0</v>
      </c>
      <c r="D2146">
        <f t="shared" si="134"/>
        <v>0</v>
      </c>
      <c r="E2146" s="1">
        <v>42947</v>
      </c>
      <c r="F2146" s="2">
        <v>0.61524305555555558</v>
      </c>
      <c r="G2146" s="2">
        <v>0.62432870370370375</v>
      </c>
      <c r="H2146" s="2">
        <f t="shared" si="135"/>
        <v>9.0856481481481621E-3</v>
      </c>
      <c r="K2146" s="1"/>
    </row>
    <row r="2147" spans="1:11" x14ac:dyDescent="0.25">
      <c r="A2147" s="6">
        <v>1035023</v>
      </c>
      <c r="B2147" t="str">
        <f t="shared" si="132"/>
        <v>stacjonarny</v>
      </c>
      <c r="C2147">
        <f t="shared" si="133"/>
        <v>0</v>
      </c>
      <c r="D2147">
        <f t="shared" si="134"/>
        <v>0</v>
      </c>
      <c r="E2147" s="1">
        <v>42947</v>
      </c>
      <c r="F2147" s="2">
        <v>0.61821759259259257</v>
      </c>
      <c r="G2147" s="2">
        <v>0.62706018518518514</v>
      </c>
      <c r="H2147" s="2">
        <f t="shared" si="135"/>
        <v>8.8425925925925686E-3</v>
      </c>
      <c r="K2147" s="1"/>
    </row>
    <row r="2148" spans="1:11" x14ac:dyDescent="0.25">
      <c r="A2148" s="6">
        <v>9941776</v>
      </c>
      <c r="B2148" t="str">
        <f t="shared" si="132"/>
        <v>stacjonarny</v>
      </c>
      <c r="C2148">
        <f t="shared" si="133"/>
        <v>0</v>
      </c>
      <c r="D2148">
        <f t="shared" si="134"/>
        <v>0</v>
      </c>
      <c r="E2148" s="1">
        <v>42947</v>
      </c>
      <c r="F2148" s="2">
        <v>0.62299768518518517</v>
      </c>
      <c r="G2148" s="2">
        <v>0.62311342592592589</v>
      </c>
      <c r="H2148" s="2">
        <f t="shared" si="135"/>
        <v>1.1574074074072183E-4</v>
      </c>
      <c r="K2148" s="1"/>
    </row>
    <row r="2149" spans="1:11" x14ac:dyDescent="0.25">
      <c r="A2149" s="6">
        <v>6401011</v>
      </c>
      <c r="B2149" t="str">
        <f t="shared" si="132"/>
        <v>stacjonarny</v>
      </c>
      <c r="C2149">
        <f t="shared" si="133"/>
        <v>0</v>
      </c>
      <c r="D2149">
        <f t="shared" si="134"/>
        <v>0</v>
      </c>
      <c r="E2149" s="1">
        <v>42947</v>
      </c>
      <c r="F2149" s="2">
        <v>0.62693287037037038</v>
      </c>
      <c r="G2149" s="2">
        <v>0.62837962962962968</v>
      </c>
      <c r="H2149" s="2">
        <f t="shared" si="135"/>
        <v>1.4467592592593004E-3</v>
      </c>
      <c r="K214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1D9C-C0B0-43D9-980D-FC3F90090FC0}">
  <dimension ref="A1:H2149"/>
  <sheetViews>
    <sheetView topLeftCell="A49" workbookViewId="0">
      <selection activeCell="G34" sqref="G34"/>
    </sheetView>
  </sheetViews>
  <sheetFormatPr defaultRowHeight="15" x14ac:dyDescent="0.25"/>
  <cols>
    <col min="4" max="4" width="12" bestFit="1" customWidth="1"/>
  </cols>
  <sheetData>
    <row r="1" spans="1:8" x14ac:dyDescent="0.25">
      <c r="A1" t="s">
        <v>16</v>
      </c>
      <c r="B1" t="s">
        <v>1</v>
      </c>
      <c r="C1" t="s">
        <v>2</v>
      </c>
      <c r="D1" t="s">
        <v>3</v>
      </c>
      <c r="E1" t="s">
        <v>15</v>
      </c>
    </row>
    <row r="2" spans="1:8" x14ac:dyDescent="0.25">
      <c r="A2">
        <v>1</v>
      </c>
      <c r="B2">
        <v>42920</v>
      </c>
      <c r="C2">
        <v>0.45596064814814813</v>
      </c>
      <c r="D2">
        <v>0.46010416666666665</v>
      </c>
      <c r="E2" s="2">
        <f t="shared" ref="E2:E65" si="0">D2-C2</f>
        <v>4.1435185185185186E-3</v>
      </c>
    </row>
    <row r="3" spans="1:8" x14ac:dyDescent="0.25">
      <c r="A3">
        <v>1</v>
      </c>
      <c r="B3">
        <v>42921</v>
      </c>
      <c r="C3">
        <v>0.46460648148148148</v>
      </c>
      <c r="D3">
        <v>0.47087962962962965</v>
      </c>
      <c r="E3" s="2">
        <f t="shared" si="0"/>
        <v>6.2731481481481666E-3</v>
      </c>
      <c r="H3" s="7">
        <f>SUM(E2:E22)</f>
        <v>0.13293981481481454</v>
      </c>
    </row>
    <row r="4" spans="1:8" x14ac:dyDescent="0.25">
      <c r="A4">
        <v>1</v>
      </c>
      <c r="B4">
        <v>42922</v>
      </c>
      <c r="C4">
        <v>0.52767361111111111</v>
      </c>
      <c r="D4">
        <v>0.52850694444444446</v>
      </c>
      <c r="E4" s="2">
        <f t="shared" si="0"/>
        <v>8.3333333333335258E-4</v>
      </c>
    </row>
    <row r="5" spans="1:8" x14ac:dyDescent="0.25">
      <c r="A5">
        <v>1</v>
      </c>
      <c r="B5">
        <v>42923</v>
      </c>
      <c r="C5">
        <v>0.61412037037037037</v>
      </c>
      <c r="D5">
        <v>0.62342592592592594</v>
      </c>
      <c r="E5" s="2">
        <f t="shared" si="0"/>
        <v>9.3055555555555669E-3</v>
      </c>
    </row>
    <row r="6" spans="1:8" x14ac:dyDescent="0.25">
      <c r="A6">
        <v>1</v>
      </c>
      <c r="B6">
        <v>42926</v>
      </c>
      <c r="C6">
        <v>0.43961805555555555</v>
      </c>
      <c r="D6">
        <v>0.45087962962962963</v>
      </c>
      <c r="E6" s="2">
        <f t="shared" si="0"/>
        <v>1.1261574074074077E-2</v>
      </c>
    </row>
    <row r="7" spans="1:8" x14ac:dyDescent="0.25">
      <c r="A7">
        <v>1</v>
      </c>
      <c r="B7">
        <v>42926</v>
      </c>
      <c r="C7">
        <v>0.51116898148148149</v>
      </c>
      <c r="D7">
        <v>0.51718750000000002</v>
      </c>
      <c r="E7" s="2">
        <f t="shared" si="0"/>
        <v>6.0185185185185341E-3</v>
      </c>
    </row>
    <row r="8" spans="1:8" x14ac:dyDescent="0.25">
      <c r="A8">
        <v>1</v>
      </c>
      <c r="B8">
        <v>42926</v>
      </c>
      <c r="C8">
        <v>0.58575231481481482</v>
      </c>
      <c r="D8">
        <v>0.5935300925925926</v>
      </c>
      <c r="E8" s="2">
        <f t="shared" si="0"/>
        <v>7.7777777777777724E-3</v>
      </c>
    </row>
    <row r="9" spans="1:8" x14ac:dyDescent="0.25">
      <c r="A9">
        <v>1</v>
      </c>
      <c r="B9">
        <v>42926</v>
      </c>
      <c r="C9">
        <v>0.59277777777777774</v>
      </c>
      <c r="D9">
        <v>0.59365740740740736</v>
      </c>
      <c r="E9" s="2">
        <f t="shared" si="0"/>
        <v>8.796296296296191E-4</v>
      </c>
    </row>
    <row r="10" spans="1:8" x14ac:dyDescent="0.25">
      <c r="A10">
        <v>1</v>
      </c>
      <c r="B10">
        <v>42927</v>
      </c>
      <c r="C10">
        <v>0.37410879629629629</v>
      </c>
      <c r="D10">
        <v>0.3767361111111111</v>
      </c>
      <c r="E10" s="2">
        <f t="shared" si="0"/>
        <v>2.6273148148148184E-3</v>
      </c>
    </row>
    <row r="11" spans="1:8" x14ac:dyDescent="0.25">
      <c r="A11">
        <v>1</v>
      </c>
      <c r="B11">
        <v>42927</v>
      </c>
      <c r="C11">
        <v>0.6252199074074074</v>
      </c>
      <c r="D11">
        <v>0.63226851851851851</v>
      </c>
      <c r="E11" s="2">
        <f t="shared" si="0"/>
        <v>7.0486111111111027E-3</v>
      </c>
    </row>
    <row r="12" spans="1:8" x14ac:dyDescent="0.25">
      <c r="A12">
        <v>1</v>
      </c>
      <c r="B12">
        <v>42928</v>
      </c>
      <c r="C12">
        <v>0.40247685185185184</v>
      </c>
      <c r="D12">
        <v>0.40831018518518519</v>
      </c>
      <c r="E12" s="2">
        <f t="shared" si="0"/>
        <v>5.833333333333357E-3</v>
      </c>
    </row>
    <row r="13" spans="1:8" x14ac:dyDescent="0.25">
      <c r="A13">
        <v>1</v>
      </c>
      <c r="B13">
        <v>42928</v>
      </c>
      <c r="C13">
        <v>0.46870370370370368</v>
      </c>
      <c r="D13">
        <v>0.47320601851851851</v>
      </c>
      <c r="E13" s="2">
        <f t="shared" si="0"/>
        <v>4.502314814814834E-3</v>
      </c>
    </row>
    <row r="14" spans="1:8" x14ac:dyDescent="0.25">
      <c r="A14">
        <v>1</v>
      </c>
      <c r="B14">
        <v>42928</v>
      </c>
      <c r="C14">
        <v>0.55565972222222226</v>
      </c>
      <c r="D14">
        <v>0.55674768518518514</v>
      </c>
      <c r="E14" s="2">
        <f t="shared" si="0"/>
        <v>1.087962962962874E-3</v>
      </c>
    </row>
    <row r="15" spans="1:8" x14ac:dyDescent="0.25">
      <c r="A15">
        <v>1</v>
      </c>
      <c r="B15">
        <v>42930</v>
      </c>
      <c r="C15">
        <v>0.50126157407407412</v>
      </c>
      <c r="D15">
        <v>0.51184027777777774</v>
      </c>
      <c r="E15" s="2">
        <f t="shared" si="0"/>
        <v>1.0578703703703618E-2</v>
      </c>
    </row>
    <row r="16" spans="1:8" x14ac:dyDescent="0.25">
      <c r="A16">
        <v>1</v>
      </c>
      <c r="B16">
        <v>42933</v>
      </c>
      <c r="C16">
        <v>0.62292824074074071</v>
      </c>
      <c r="D16">
        <v>0.63358796296296294</v>
      </c>
      <c r="E16" s="2">
        <f t="shared" si="0"/>
        <v>1.0659722222222223E-2</v>
      </c>
    </row>
    <row r="17" spans="1:5" x14ac:dyDescent="0.25">
      <c r="A17">
        <v>1</v>
      </c>
      <c r="B17">
        <v>42934</v>
      </c>
      <c r="C17">
        <v>0.38516203703703705</v>
      </c>
      <c r="D17">
        <v>0.38653935185185184</v>
      </c>
      <c r="E17" s="2">
        <f t="shared" si="0"/>
        <v>1.3773148148147896E-3</v>
      </c>
    </row>
    <row r="18" spans="1:5" x14ac:dyDescent="0.25">
      <c r="A18">
        <v>1</v>
      </c>
      <c r="B18">
        <v>42936</v>
      </c>
      <c r="C18">
        <v>0.43172453703703706</v>
      </c>
      <c r="D18">
        <v>0.44153935185185184</v>
      </c>
      <c r="E18" s="2">
        <f t="shared" si="0"/>
        <v>9.8148148148147762E-3</v>
      </c>
    </row>
    <row r="19" spans="1:5" x14ac:dyDescent="0.25">
      <c r="A19">
        <v>1</v>
      </c>
      <c r="B19">
        <v>42936</v>
      </c>
      <c r="C19">
        <v>0.59783564814814816</v>
      </c>
      <c r="D19">
        <v>0.60715277777777776</v>
      </c>
      <c r="E19" s="2">
        <f t="shared" si="0"/>
        <v>9.3171296296296058E-3</v>
      </c>
    </row>
    <row r="20" spans="1:5" x14ac:dyDescent="0.25">
      <c r="A20">
        <v>1</v>
      </c>
      <c r="B20">
        <v>42937</v>
      </c>
      <c r="C20">
        <v>0.59712962962962968</v>
      </c>
      <c r="D20">
        <v>0.6026273148148148</v>
      </c>
      <c r="E20" s="2">
        <f t="shared" si="0"/>
        <v>5.4976851851851194E-3</v>
      </c>
    </row>
    <row r="21" spans="1:5" x14ac:dyDescent="0.25">
      <c r="A21">
        <v>1</v>
      </c>
      <c r="B21">
        <v>42941</v>
      </c>
      <c r="C21">
        <v>0.61202546296296301</v>
      </c>
      <c r="D21">
        <v>0.62135416666666665</v>
      </c>
      <c r="E21" s="2">
        <f t="shared" si="0"/>
        <v>9.3287037037036447E-3</v>
      </c>
    </row>
    <row r="22" spans="1:5" x14ac:dyDescent="0.25">
      <c r="A22">
        <v>1</v>
      </c>
      <c r="B22">
        <v>42943</v>
      </c>
      <c r="C22">
        <v>0.38461805555555556</v>
      </c>
      <c r="D22">
        <v>0.39339120370370373</v>
      </c>
      <c r="E22" s="2">
        <f t="shared" si="0"/>
        <v>8.7731481481481688E-3</v>
      </c>
    </row>
    <row r="23" spans="1:5" x14ac:dyDescent="0.25">
      <c r="A23">
        <v>0</v>
      </c>
      <c r="B23">
        <v>42919</v>
      </c>
      <c r="C23">
        <v>0.33673611111111112</v>
      </c>
      <c r="D23">
        <v>0.34821759259259261</v>
      </c>
      <c r="E23" s="2">
        <f t="shared" si="0"/>
        <v>1.1481481481481481E-2</v>
      </c>
    </row>
    <row r="24" spans="1:5" x14ac:dyDescent="0.25">
      <c r="A24">
        <v>0</v>
      </c>
      <c r="B24">
        <v>42919</v>
      </c>
      <c r="C24">
        <v>0.34037037037037038</v>
      </c>
      <c r="D24">
        <v>0.34983796296296299</v>
      </c>
      <c r="E24" s="2">
        <f t="shared" si="0"/>
        <v>9.4675925925926108E-3</v>
      </c>
    </row>
    <row r="25" spans="1:5" x14ac:dyDescent="0.25">
      <c r="A25">
        <v>0</v>
      </c>
      <c r="B25">
        <v>42919</v>
      </c>
      <c r="C25">
        <v>0.34042824074074074</v>
      </c>
      <c r="D25">
        <v>0.35046296296296298</v>
      </c>
      <c r="E25" s="2">
        <f t="shared" si="0"/>
        <v>1.0034722222222237E-2</v>
      </c>
    </row>
    <row r="26" spans="1:5" x14ac:dyDescent="0.25">
      <c r="A26">
        <v>0</v>
      </c>
      <c r="B26">
        <v>42919</v>
      </c>
      <c r="C26">
        <v>0.34362268518518518</v>
      </c>
      <c r="D26">
        <v>0.3482986111111111</v>
      </c>
      <c r="E26" s="2">
        <f t="shared" si="0"/>
        <v>4.6759259259259167E-3</v>
      </c>
    </row>
    <row r="27" spans="1:5" x14ac:dyDescent="0.25">
      <c r="A27">
        <v>0</v>
      </c>
      <c r="B27">
        <v>42919</v>
      </c>
      <c r="C27">
        <v>0.34399305555555554</v>
      </c>
      <c r="D27">
        <v>0.34872685185185187</v>
      </c>
      <c r="E27" s="2">
        <f t="shared" si="0"/>
        <v>4.7337962962963331E-3</v>
      </c>
    </row>
    <row r="28" spans="1:5" x14ac:dyDescent="0.25">
      <c r="A28">
        <v>0</v>
      </c>
      <c r="B28">
        <v>42919</v>
      </c>
      <c r="C28">
        <v>0.3460185185185185</v>
      </c>
      <c r="D28">
        <v>0.34969907407407408</v>
      </c>
      <c r="E28" s="2">
        <f t="shared" si="0"/>
        <v>3.6805555555555758E-3</v>
      </c>
    </row>
    <row r="29" spans="1:5" x14ac:dyDescent="0.25">
      <c r="A29">
        <v>0</v>
      </c>
      <c r="B29">
        <v>42919</v>
      </c>
      <c r="C29">
        <v>0.34880787037037037</v>
      </c>
      <c r="D29">
        <v>0.35023148148148148</v>
      </c>
      <c r="E29" s="2">
        <f t="shared" si="0"/>
        <v>1.4236111111111116E-3</v>
      </c>
    </row>
    <row r="30" spans="1:5" x14ac:dyDescent="0.25">
      <c r="A30">
        <v>0</v>
      </c>
      <c r="B30">
        <v>42919</v>
      </c>
      <c r="C30">
        <v>0.35322916666666665</v>
      </c>
      <c r="D30">
        <v>0.35968749999999999</v>
      </c>
      <c r="E30" s="2">
        <f t="shared" si="0"/>
        <v>6.4583333333333437E-3</v>
      </c>
    </row>
    <row r="31" spans="1:5" x14ac:dyDescent="0.25">
      <c r="A31">
        <v>0</v>
      </c>
      <c r="B31">
        <v>42919</v>
      </c>
      <c r="C31">
        <v>0.35723379629629631</v>
      </c>
      <c r="D31">
        <v>0.36699074074074073</v>
      </c>
      <c r="E31" s="2">
        <f t="shared" si="0"/>
        <v>9.7569444444444153E-3</v>
      </c>
    </row>
    <row r="32" spans="1:5" x14ac:dyDescent="0.25">
      <c r="A32">
        <v>0</v>
      </c>
      <c r="B32">
        <v>42919</v>
      </c>
      <c r="C32">
        <v>0.36178240740740741</v>
      </c>
      <c r="D32">
        <v>0.37260416666666668</v>
      </c>
      <c r="E32" s="2">
        <f t="shared" si="0"/>
        <v>1.0821759259259267E-2</v>
      </c>
    </row>
    <row r="33" spans="1:5" x14ac:dyDescent="0.25">
      <c r="A33">
        <v>0</v>
      </c>
      <c r="B33">
        <v>42919</v>
      </c>
      <c r="C33">
        <v>0.36702546296296296</v>
      </c>
      <c r="D33">
        <v>0.37568287037037035</v>
      </c>
      <c r="E33" s="2">
        <f t="shared" si="0"/>
        <v>8.6574074074073915E-3</v>
      </c>
    </row>
    <row r="34" spans="1:5" x14ac:dyDescent="0.25">
      <c r="A34">
        <v>0</v>
      </c>
      <c r="B34">
        <v>42919</v>
      </c>
      <c r="C34">
        <v>0.36861111111111111</v>
      </c>
      <c r="D34">
        <v>0.37554398148148149</v>
      </c>
      <c r="E34" s="2">
        <f t="shared" si="0"/>
        <v>6.9328703703703809E-3</v>
      </c>
    </row>
    <row r="35" spans="1:5" x14ac:dyDescent="0.25">
      <c r="A35">
        <v>0</v>
      </c>
      <c r="B35">
        <v>42919</v>
      </c>
      <c r="C35">
        <v>0.37017361111111113</v>
      </c>
      <c r="D35">
        <v>0.37328703703703703</v>
      </c>
      <c r="E35" s="2">
        <f t="shared" si="0"/>
        <v>3.1134259259258945E-3</v>
      </c>
    </row>
    <row r="36" spans="1:5" x14ac:dyDescent="0.25">
      <c r="A36">
        <v>0</v>
      </c>
      <c r="B36">
        <v>42919</v>
      </c>
      <c r="C36">
        <v>0.37516203703703704</v>
      </c>
      <c r="D36">
        <v>0.38424768518518521</v>
      </c>
      <c r="E36" s="2">
        <f t="shared" si="0"/>
        <v>9.0856481481481621E-3</v>
      </c>
    </row>
    <row r="37" spans="1:5" x14ac:dyDescent="0.25">
      <c r="A37">
        <v>0</v>
      </c>
      <c r="B37">
        <v>42919</v>
      </c>
      <c r="C37">
        <v>0.37719907407407405</v>
      </c>
      <c r="D37">
        <v>0.38513888888888886</v>
      </c>
      <c r="E37" s="2">
        <f t="shared" si="0"/>
        <v>7.9398148148148162E-3</v>
      </c>
    </row>
    <row r="38" spans="1:5" x14ac:dyDescent="0.25">
      <c r="A38">
        <v>0</v>
      </c>
      <c r="B38">
        <v>42919</v>
      </c>
      <c r="C38">
        <v>0.37987268518518519</v>
      </c>
      <c r="D38">
        <v>0.38802083333333331</v>
      </c>
      <c r="E38" s="2">
        <f t="shared" si="0"/>
        <v>8.1481481481481266E-3</v>
      </c>
    </row>
    <row r="39" spans="1:5" x14ac:dyDescent="0.25">
      <c r="A39">
        <v>0</v>
      </c>
      <c r="B39">
        <v>42919</v>
      </c>
      <c r="C39">
        <v>0.38123842592592594</v>
      </c>
      <c r="D39">
        <v>0.38390046296296299</v>
      </c>
      <c r="E39" s="2">
        <f t="shared" si="0"/>
        <v>2.6620370370370461E-3</v>
      </c>
    </row>
    <row r="40" spans="1:5" x14ac:dyDescent="0.25">
      <c r="A40">
        <v>0</v>
      </c>
      <c r="B40">
        <v>42919</v>
      </c>
      <c r="C40">
        <v>0.38701388888888888</v>
      </c>
      <c r="D40">
        <v>0.3943402777777778</v>
      </c>
      <c r="E40" s="2">
        <f t="shared" si="0"/>
        <v>7.3263888888889239E-3</v>
      </c>
    </row>
    <row r="41" spans="1:5" x14ac:dyDescent="0.25">
      <c r="A41">
        <v>0</v>
      </c>
      <c r="B41">
        <v>42919</v>
      </c>
      <c r="C41">
        <v>0.39181712962962961</v>
      </c>
      <c r="D41">
        <v>0.40334490740740742</v>
      </c>
      <c r="E41" s="2">
        <f t="shared" si="0"/>
        <v>1.1527777777777803E-2</v>
      </c>
    </row>
    <row r="42" spans="1:5" x14ac:dyDescent="0.25">
      <c r="A42">
        <v>0</v>
      </c>
      <c r="B42">
        <v>42919</v>
      </c>
      <c r="C42">
        <v>0.39571759259259259</v>
      </c>
      <c r="D42">
        <v>0.39844907407407409</v>
      </c>
      <c r="E42" s="2">
        <f t="shared" si="0"/>
        <v>2.7314814814815014E-3</v>
      </c>
    </row>
    <row r="43" spans="1:5" x14ac:dyDescent="0.25">
      <c r="A43">
        <v>0</v>
      </c>
      <c r="B43">
        <v>42919</v>
      </c>
      <c r="C43">
        <v>0.39876157407407409</v>
      </c>
      <c r="D43">
        <v>0.40207175925925925</v>
      </c>
      <c r="E43" s="2">
        <f t="shared" si="0"/>
        <v>3.310185185185166E-3</v>
      </c>
    </row>
    <row r="44" spans="1:5" x14ac:dyDescent="0.25">
      <c r="A44">
        <v>0</v>
      </c>
      <c r="B44">
        <v>42919</v>
      </c>
      <c r="C44">
        <v>0.40035879629629628</v>
      </c>
      <c r="D44">
        <v>0.41166666666666668</v>
      </c>
      <c r="E44" s="2">
        <f t="shared" si="0"/>
        <v>1.1307870370370399E-2</v>
      </c>
    </row>
    <row r="45" spans="1:5" x14ac:dyDescent="0.25">
      <c r="A45">
        <v>0</v>
      </c>
      <c r="B45">
        <v>42919</v>
      </c>
      <c r="C45">
        <v>0.4052546296296296</v>
      </c>
      <c r="D45">
        <v>0.41048611111111111</v>
      </c>
      <c r="E45" s="2">
        <f t="shared" si="0"/>
        <v>5.2314814814815036E-3</v>
      </c>
    </row>
    <row r="46" spans="1:5" x14ac:dyDescent="0.25">
      <c r="A46">
        <v>0</v>
      </c>
      <c r="B46">
        <v>42919</v>
      </c>
      <c r="C46">
        <v>0.40980324074074076</v>
      </c>
      <c r="D46">
        <v>0.41035879629629629</v>
      </c>
      <c r="E46" s="2">
        <f t="shared" si="0"/>
        <v>5.5555555555553138E-4</v>
      </c>
    </row>
    <row r="47" spans="1:5" x14ac:dyDescent="0.25">
      <c r="A47">
        <v>0</v>
      </c>
      <c r="B47">
        <v>42919</v>
      </c>
      <c r="C47">
        <v>0.41506944444444444</v>
      </c>
      <c r="D47">
        <v>0.42621527777777779</v>
      </c>
      <c r="E47" s="2">
        <f t="shared" si="0"/>
        <v>1.1145833333333355E-2</v>
      </c>
    </row>
    <row r="48" spans="1:5" x14ac:dyDescent="0.25">
      <c r="A48">
        <v>0</v>
      </c>
      <c r="B48">
        <v>42919</v>
      </c>
      <c r="C48">
        <v>0.41612268518518519</v>
      </c>
      <c r="D48">
        <v>0.41756944444444444</v>
      </c>
      <c r="E48" s="2">
        <f t="shared" si="0"/>
        <v>1.4467592592592449E-3</v>
      </c>
    </row>
    <row r="49" spans="1:5" x14ac:dyDescent="0.25">
      <c r="A49">
        <v>0</v>
      </c>
      <c r="B49">
        <v>42919</v>
      </c>
      <c r="C49">
        <v>0.4176273148148148</v>
      </c>
      <c r="D49">
        <v>0.42375000000000002</v>
      </c>
      <c r="E49" s="2">
        <f t="shared" si="0"/>
        <v>6.1226851851852171E-3</v>
      </c>
    </row>
    <row r="50" spans="1:5" x14ac:dyDescent="0.25">
      <c r="A50">
        <v>0</v>
      </c>
      <c r="B50">
        <v>42919</v>
      </c>
      <c r="C50">
        <v>0.42078703703703701</v>
      </c>
      <c r="D50">
        <v>0.43216435185185187</v>
      </c>
      <c r="E50" s="2">
        <f t="shared" si="0"/>
        <v>1.1377314814814854E-2</v>
      </c>
    </row>
    <row r="51" spans="1:5" x14ac:dyDescent="0.25">
      <c r="A51">
        <v>0</v>
      </c>
      <c r="B51">
        <v>42919</v>
      </c>
      <c r="C51">
        <v>0.42447916666666669</v>
      </c>
      <c r="D51">
        <v>0.42660879629629628</v>
      </c>
      <c r="E51" s="2">
        <f t="shared" si="0"/>
        <v>2.1296296296295925E-3</v>
      </c>
    </row>
    <row r="52" spans="1:5" x14ac:dyDescent="0.25">
      <c r="A52">
        <v>0</v>
      </c>
      <c r="B52">
        <v>42919</v>
      </c>
      <c r="C52">
        <v>0.4281712962962963</v>
      </c>
      <c r="D52">
        <v>0.43692129629629628</v>
      </c>
      <c r="E52" s="2">
        <f t="shared" si="0"/>
        <v>8.74999999999998E-3</v>
      </c>
    </row>
    <row r="53" spans="1:5" x14ac:dyDescent="0.25">
      <c r="A53">
        <v>0</v>
      </c>
      <c r="B53">
        <v>42919</v>
      </c>
      <c r="C53">
        <v>0.43038194444444444</v>
      </c>
      <c r="D53">
        <v>0.43494212962962964</v>
      </c>
      <c r="E53" s="2">
        <f t="shared" si="0"/>
        <v>4.5601851851851949E-3</v>
      </c>
    </row>
    <row r="54" spans="1:5" x14ac:dyDescent="0.25">
      <c r="A54">
        <v>0</v>
      </c>
      <c r="B54">
        <v>42919</v>
      </c>
      <c r="C54">
        <v>0.4309837962962963</v>
      </c>
      <c r="D54">
        <v>0.43748842592592591</v>
      </c>
      <c r="E54" s="2">
        <f t="shared" si="0"/>
        <v>6.5046296296296102E-3</v>
      </c>
    </row>
    <row r="55" spans="1:5" x14ac:dyDescent="0.25">
      <c r="A55">
        <v>0</v>
      </c>
      <c r="B55">
        <v>42919</v>
      </c>
      <c r="C55">
        <v>0.43593749999999998</v>
      </c>
      <c r="D55">
        <v>0.44417824074074075</v>
      </c>
      <c r="E55" s="2">
        <f t="shared" si="0"/>
        <v>8.2407407407407707E-3</v>
      </c>
    </row>
    <row r="56" spans="1:5" x14ac:dyDescent="0.25">
      <c r="A56">
        <v>0</v>
      </c>
      <c r="B56">
        <v>42919</v>
      </c>
      <c r="C56">
        <v>0.43824074074074076</v>
      </c>
      <c r="D56">
        <v>0.43913194444444442</v>
      </c>
      <c r="E56" s="2">
        <f t="shared" si="0"/>
        <v>8.9120370370365798E-4</v>
      </c>
    </row>
    <row r="57" spans="1:5" x14ac:dyDescent="0.25">
      <c r="A57">
        <v>0</v>
      </c>
      <c r="B57">
        <v>42919</v>
      </c>
      <c r="C57">
        <v>0.44313657407407409</v>
      </c>
      <c r="D57">
        <v>0.45300925925925928</v>
      </c>
      <c r="E57" s="2">
        <f t="shared" si="0"/>
        <v>9.8726851851851927E-3</v>
      </c>
    </row>
    <row r="58" spans="1:5" x14ac:dyDescent="0.25">
      <c r="A58">
        <v>0</v>
      </c>
      <c r="B58">
        <v>42919</v>
      </c>
      <c r="C58">
        <v>0.44778935185185187</v>
      </c>
      <c r="D58">
        <v>0.44998842592592592</v>
      </c>
      <c r="E58" s="2">
        <f t="shared" si="0"/>
        <v>2.1990740740740478E-3</v>
      </c>
    </row>
    <row r="59" spans="1:5" x14ac:dyDescent="0.25">
      <c r="A59">
        <v>0</v>
      </c>
      <c r="B59">
        <v>42919</v>
      </c>
      <c r="C59">
        <v>0.44945601851851852</v>
      </c>
      <c r="D59">
        <v>0.46011574074074074</v>
      </c>
      <c r="E59" s="2">
        <f t="shared" si="0"/>
        <v>1.0659722222222223E-2</v>
      </c>
    </row>
    <row r="60" spans="1:5" x14ac:dyDescent="0.25">
      <c r="A60">
        <v>0</v>
      </c>
      <c r="B60">
        <v>42919</v>
      </c>
      <c r="C60">
        <v>0.45270833333333332</v>
      </c>
      <c r="D60">
        <v>0.45620370370370372</v>
      </c>
      <c r="E60" s="2">
        <f t="shared" si="0"/>
        <v>3.4953703703703987E-3</v>
      </c>
    </row>
    <row r="61" spans="1:5" x14ac:dyDescent="0.25">
      <c r="A61">
        <v>0</v>
      </c>
      <c r="B61">
        <v>42919</v>
      </c>
      <c r="C61">
        <v>0.45494212962962965</v>
      </c>
      <c r="D61">
        <v>0.45567129629629627</v>
      </c>
      <c r="E61" s="2">
        <f t="shared" si="0"/>
        <v>7.2916666666661412E-4</v>
      </c>
    </row>
    <row r="62" spans="1:5" x14ac:dyDescent="0.25">
      <c r="A62">
        <v>0</v>
      </c>
      <c r="B62">
        <v>42919</v>
      </c>
      <c r="C62">
        <v>0.45608796296296295</v>
      </c>
      <c r="D62">
        <v>0.46314814814814814</v>
      </c>
      <c r="E62" s="2">
        <f t="shared" si="0"/>
        <v>7.0601851851851971E-3</v>
      </c>
    </row>
    <row r="63" spans="1:5" x14ac:dyDescent="0.25">
      <c r="A63">
        <v>0</v>
      </c>
      <c r="B63">
        <v>42919</v>
      </c>
      <c r="C63">
        <v>0.46151620370370372</v>
      </c>
      <c r="D63">
        <v>0.46546296296296297</v>
      </c>
      <c r="E63" s="2">
        <f t="shared" si="0"/>
        <v>3.9467592592592471E-3</v>
      </c>
    </row>
    <row r="64" spans="1:5" x14ac:dyDescent="0.25">
      <c r="A64">
        <v>0</v>
      </c>
      <c r="B64">
        <v>42919</v>
      </c>
      <c r="C64">
        <v>0.46155092592592595</v>
      </c>
      <c r="D64">
        <v>0.46766203703703701</v>
      </c>
      <c r="E64" s="2">
        <f t="shared" si="0"/>
        <v>6.1111111111110672E-3</v>
      </c>
    </row>
    <row r="65" spans="1:5" x14ac:dyDescent="0.25">
      <c r="A65">
        <v>0</v>
      </c>
      <c r="B65">
        <v>42919</v>
      </c>
      <c r="C65">
        <v>0.46224537037037039</v>
      </c>
      <c r="D65">
        <v>0.46390046296296295</v>
      </c>
      <c r="E65" s="2">
        <f t="shared" si="0"/>
        <v>1.6550925925925553E-3</v>
      </c>
    </row>
    <row r="66" spans="1:5" x14ac:dyDescent="0.25">
      <c r="A66">
        <v>0</v>
      </c>
      <c r="B66">
        <v>42919</v>
      </c>
      <c r="C66">
        <v>0.46766203703703701</v>
      </c>
      <c r="D66">
        <v>0.4767939814814815</v>
      </c>
      <c r="E66" s="2">
        <f t="shared" ref="E66:E129" si="1">D66-C66</f>
        <v>9.1319444444444842E-3</v>
      </c>
    </row>
    <row r="67" spans="1:5" x14ac:dyDescent="0.25">
      <c r="A67">
        <v>0</v>
      </c>
      <c r="B67">
        <v>42919</v>
      </c>
      <c r="C67">
        <v>0.47125</v>
      </c>
      <c r="D67">
        <v>0.47871527777777778</v>
      </c>
      <c r="E67" s="2">
        <f t="shared" si="1"/>
        <v>7.465277777777779E-3</v>
      </c>
    </row>
    <row r="68" spans="1:5" x14ac:dyDescent="0.25">
      <c r="A68">
        <v>0</v>
      </c>
      <c r="B68">
        <v>42919</v>
      </c>
      <c r="C68">
        <v>0.47584490740740742</v>
      </c>
      <c r="D68">
        <v>0.48518518518518516</v>
      </c>
      <c r="E68" s="2">
        <f t="shared" si="1"/>
        <v>9.340277777777739E-3</v>
      </c>
    </row>
    <row r="69" spans="1:5" x14ac:dyDescent="0.25">
      <c r="A69">
        <v>0</v>
      </c>
      <c r="B69">
        <v>42919</v>
      </c>
      <c r="C69">
        <v>0.48078703703703701</v>
      </c>
      <c r="D69">
        <v>0.48550925925925925</v>
      </c>
      <c r="E69" s="2">
        <f t="shared" si="1"/>
        <v>4.7222222222222388E-3</v>
      </c>
    </row>
    <row r="70" spans="1:5" x14ac:dyDescent="0.25">
      <c r="A70">
        <v>0</v>
      </c>
      <c r="B70">
        <v>42919</v>
      </c>
      <c r="C70">
        <v>0.48123842592592592</v>
      </c>
      <c r="D70">
        <v>0.49261574074074072</v>
      </c>
      <c r="E70" s="2">
        <f t="shared" si="1"/>
        <v>1.1377314814814798E-2</v>
      </c>
    </row>
    <row r="71" spans="1:5" x14ac:dyDescent="0.25">
      <c r="A71">
        <v>0</v>
      </c>
      <c r="B71">
        <v>42919</v>
      </c>
      <c r="C71">
        <v>0.48254629629629631</v>
      </c>
      <c r="D71">
        <v>0.48739583333333331</v>
      </c>
      <c r="E71" s="2">
        <f t="shared" si="1"/>
        <v>4.8495370370369995E-3</v>
      </c>
    </row>
    <row r="72" spans="1:5" x14ac:dyDescent="0.25">
      <c r="A72">
        <v>0</v>
      </c>
      <c r="B72">
        <v>42919</v>
      </c>
      <c r="C72">
        <v>0.48489583333333336</v>
      </c>
      <c r="D72">
        <v>0.48734953703703704</v>
      </c>
      <c r="E72" s="2">
        <f t="shared" si="1"/>
        <v>2.4537037037036802E-3</v>
      </c>
    </row>
    <row r="73" spans="1:5" x14ac:dyDescent="0.25">
      <c r="A73">
        <v>0</v>
      </c>
      <c r="B73">
        <v>42919</v>
      </c>
      <c r="C73">
        <v>0.49054398148148148</v>
      </c>
      <c r="D73">
        <v>0.49251157407407409</v>
      </c>
      <c r="E73" s="2">
        <f t="shared" si="1"/>
        <v>1.9675925925926041E-3</v>
      </c>
    </row>
    <row r="74" spans="1:5" x14ac:dyDescent="0.25">
      <c r="A74">
        <v>0</v>
      </c>
      <c r="B74">
        <v>42919</v>
      </c>
      <c r="C74">
        <v>0.49284722222222221</v>
      </c>
      <c r="D74">
        <v>0.50354166666666667</v>
      </c>
      <c r="E74" s="2">
        <f t="shared" si="1"/>
        <v>1.0694444444444451E-2</v>
      </c>
    </row>
    <row r="75" spans="1:5" x14ac:dyDescent="0.25">
      <c r="A75">
        <v>0</v>
      </c>
      <c r="B75">
        <v>42919</v>
      </c>
      <c r="C75">
        <v>0.49862268518518521</v>
      </c>
      <c r="D75">
        <v>0.50287037037037041</v>
      </c>
      <c r="E75" s="2">
        <f t="shared" si="1"/>
        <v>4.2476851851852016E-3</v>
      </c>
    </row>
    <row r="76" spans="1:5" x14ac:dyDescent="0.25">
      <c r="A76">
        <v>0</v>
      </c>
      <c r="B76">
        <v>42919</v>
      </c>
      <c r="C76">
        <v>0.50089120370370366</v>
      </c>
      <c r="D76">
        <v>0.50876157407407407</v>
      </c>
      <c r="E76" s="2">
        <f t="shared" si="1"/>
        <v>7.8703703703704164E-3</v>
      </c>
    </row>
    <row r="77" spans="1:5" x14ac:dyDescent="0.25">
      <c r="A77">
        <v>0</v>
      </c>
      <c r="B77">
        <v>42919</v>
      </c>
      <c r="C77">
        <v>0.50549768518518523</v>
      </c>
      <c r="D77">
        <v>0.5100231481481482</v>
      </c>
      <c r="E77" s="2">
        <f t="shared" si="1"/>
        <v>4.5254629629629672E-3</v>
      </c>
    </row>
    <row r="78" spans="1:5" x14ac:dyDescent="0.25">
      <c r="A78">
        <v>0</v>
      </c>
      <c r="B78">
        <v>42919</v>
      </c>
      <c r="C78">
        <v>0.50910879629629635</v>
      </c>
      <c r="D78">
        <v>0.50930555555555557</v>
      </c>
      <c r="E78" s="2">
        <f t="shared" si="1"/>
        <v>1.96759259259216E-4</v>
      </c>
    </row>
    <row r="79" spans="1:5" x14ac:dyDescent="0.25">
      <c r="A79">
        <v>0</v>
      </c>
      <c r="B79">
        <v>42919</v>
      </c>
      <c r="C79">
        <v>0.51262731481481483</v>
      </c>
      <c r="D79">
        <v>0.5142592592592593</v>
      </c>
      <c r="E79" s="2">
        <f t="shared" si="1"/>
        <v>1.6319444444444775E-3</v>
      </c>
    </row>
    <row r="80" spans="1:5" x14ac:dyDescent="0.25">
      <c r="A80">
        <v>0</v>
      </c>
      <c r="B80">
        <v>42919</v>
      </c>
      <c r="C80">
        <v>0.5175925925925926</v>
      </c>
      <c r="D80">
        <v>0.52021990740740742</v>
      </c>
      <c r="E80" s="2">
        <f t="shared" si="1"/>
        <v>2.6273148148148184E-3</v>
      </c>
    </row>
    <row r="81" spans="1:5" x14ac:dyDescent="0.25">
      <c r="A81">
        <v>0</v>
      </c>
      <c r="B81">
        <v>42919</v>
      </c>
      <c r="C81">
        <v>0.52217592592592588</v>
      </c>
      <c r="D81">
        <v>0.52918981481481486</v>
      </c>
      <c r="E81" s="2">
        <f t="shared" si="1"/>
        <v>7.0138888888889861E-3</v>
      </c>
    </row>
    <row r="82" spans="1:5" x14ac:dyDescent="0.25">
      <c r="A82">
        <v>0</v>
      </c>
      <c r="B82">
        <v>42919</v>
      </c>
      <c r="C82">
        <v>0.52444444444444449</v>
      </c>
      <c r="D82">
        <v>0.52681712962962968</v>
      </c>
      <c r="E82" s="2">
        <f t="shared" si="1"/>
        <v>2.372685185185186E-3</v>
      </c>
    </row>
    <row r="83" spans="1:5" x14ac:dyDescent="0.25">
      <c r="A83">
        <v>0</v>
      </c>
      <c r="B83">
        <v>42919</v>
      </c>
      <c r="C83">
        <v>0.5258680555555556</v>
      </c>
      <c r="D83">
        <v>0.53531249999999997</v>
      </c>
      <c r="E83" s="2">
        <f t="shared" si="1"/>
        <v>9.4444444444443665E-3</v>
      </c>
    </row>
    <row r="84" spans="1:5" x14ac:dyDescent="0.25">
      <c r="A84">
        <v>0</v>
      </c>
      <c r="B84">
        <v>42919</v>
      </c>
      <c r="C84">
        <v>0.53013888888888894</v>
      </c>
      <c r="D84">
        <v>0.53707175925925921</v>
      </c>
      <c r="E84" s="2">
        <f t="shared" si="1"/>
        <v>6.9328703703702699E-3</v>
      </c>
    </row>
    <row r="85" spans="1:5" x14ac:dyDescent="0.25">
      <c r="A85">
        <v>0</v>
      </c>
      <c r="B85">
        <v>42919</v>
      </c>
      <c r="C85">
        <v>0.53486111111111112</v>
      </c>
      <c r="D85">
        <v>0.53756944444444443</v>
      </c>
      <c r="E85" s="2">
        <f t="shared" si="1"/>
        <v>2.7083333333333126E-3</v>
      </c>
    </row>
    <row r="86" spans="1:5" x14ac:dyDescent="0.25">
      <c r="A86">
        <v>0</v>
      </c>
      <c r="B86">
        <v>42919</v>
      </c>
      <c r="C86">
        <v>0.53488425925925931</v>
      </c>
      <c r="D86">
        <v>0.53523148148148147</v>
      </c>
      <c r="E86" s="2">
        <f t="shared" si="1"/>
        <v>3.4722222222216548E-4</v>
      </c>
    </row>
    <row r="87" spans="1:5" x14ac:dyDescent="0.25">
      <c r="A87">
        <v>0</v>
      </c>
      <c r="B87">
        <v>42919</v>
      </c>
      <c r="C87">
        <v>0.5358680555555555</v>
      </c>
      <c r="D87">
        <v>0.54329861111111111</v>
      </c>
      <c r="E87" s="2">
        <f t="shared" si="1"/>
        <v>7.4305555555556069E-3</v>
      </c>
    </row>
    <row r="88" spans="1:5" x14ac:dyDescent="0.25">
      <c r="A88">
        <v>0</v>
      </c>
      <c r="B88">
        <v>42919</v>
      </c>
      <c r="C88">
        <v>0.54016203703703702</v>
      </c>
      <c r="D88">
        <v>0.54297453703703702</v>
      </c>
      <c r="E88" s="2">
        <f t="shared" si="1"/>
        <v>2.8124999999999956E-3</v>
      </c>
    </row>
    <row r="89" spans="1:5" x14ac:dyDescent="0.25">
      <c r="A89">
        <v>0</v>
      </c>
      <c r="B89">
        <v>42919</v>
      </c>
      <c r="C89">
        <v>0.54280092592592588</v>
      </c>
      <c r="D89">
        <v>0.54478009259259264</v>
      </c>
      <c r="E89" s="2">
        <f t="shared" si="1"/>
        <v>1.979166666666754E-3</v>
      </c>
    </row>
    <row r="90" spans="1:5" x14ac:dyDescent="0.25">
      <c r="A90">
        <v>0</v>
      </c>
      <c r="B90">
        <v>42919</v>
      </c>
      <c r="C90">
        <v>0.54848379629629629</v>
      </c>
      <c r="D90">
        <v>0.5578819444444445</v>
      </c>
      <c r="E90" s="2">
        <f t="shared" si="1"/>
        <v>9.398148148148211E-3</v>
      </c>
    </row>
    <row r="91" spans="1:5" x14ac:dyDescent="0.25">
      <c r="A91">
        <v>0</v>
      </c>
      <c r="B91">
        <v>42919</v>
      </c>
      <c r="C91">
        <v>0.55283564814814812</v>
      </c>
      <c r="D91">
        <v>0.55756944444444445</v>
      </c>
      <c r="E91" s="2">
        <f t="shared" si="1"/>
        <v>4.7337962962963331E-3</v>
      </c>
    </row>
    <row r="92" spans="1:5" x14ac:dyDescent="0.25">
      <c r="A92">
        <v>0</v>
      </c>
      <c r="B92">
        <v>42919</v>
      </c>
      <c r="C92">
        <v>0.55576388888888884</v>
      </c>
      <c r="D92">
        <v>0.56342592592592589</v>
      </c>
      <c r="E92" s="2">
        <f t="shared" si="1"/>
        <v>7.6620370370370505E-3</v>
      </c>
    </row>
    <row r="93" spans="1:5" x14ac:dyDescent="0.25">
      <c r="A93">
        <v>0</v>
      </c>
      <c r="B93">
        <v>42919</v>
      </c>
      <c r="C93">
        <v>0.55722222222222217</v>
      </c>
      <c r="D93">
        <v>0.55787037037037035</v>
      </c>
      <c r="E93" s="2">
        <f t="shared" si="1"/>
        <v>6.4814814814817545E-4</v>
      </c>
    </row>
    <row r="94" spans="1:5" x14ac:dyDescent="0.25">
      <c r="A94">
        <v>0</v>
      </c>
      <c r="B94">
        <v>42919</v>
      </c>
      <c r="C94">
        <v>0.55803240740740745</v>
      </c>
      <c r="D94">
        <v>0.56174768518518514</v>
      </c>
      <c r="E94" s="2">
        <f t="shared" si="1"/>
        <v>3.7152777777776924E-3</v>
      </c>
    </row>
    <row r="95" spans="1:5" x14ac:dyDescent="0.25">
      <c r="A95">
        <v>0</v>
      </c>
      <c r="B95">
        <v>42919</v>
      </c>
      <c r="C95">
        <v>0.55888888888888888</v>
      </c>
      <c r="D95">
        <v>0.56745370370370374</v>
      </c>
      <c r="E95" s="2">
        <f t="shared" si="1"/>
        <v>8.5648148148148584E-3</v>
      </c>
    </row>
    <row r="96" spans="1:5" x14ac:dyDescent="0.25">
      <c r="A96">
        <v>0</v>
      </c>
      <c r="B96">
        <v>42919</v>
      </c>
      <c r="C96">
        <v>0.5645486111111111</v>
      </c>
      <c r="D96">
        <v>0.56458333333333333</v>
      </c>
      <c r="E96" s="2">
        <f t="shared" si="1"/>
        <v>3.472222222222765E-5</v>
      </c>
    </row>
    <row r="97" spans="1:5" x14ac:dyDescent="0.25">
      <c r="A97">
        <v>0</v>
      </c>
      <c r="B97">
        <v>42919</v>
      </c>
      <c r="C97">
        <v>0.56555555555555559</v>
      </c>
      <c r="D97">
        <v>0.56557870370370367</v>
      </c>
      <c r="E97" s="2">
        <f t="shared" si="1"/>
        <v>2.3148148148077752E-5</v>
      </c>
    </row>
    <row r="98" spans="1:5" x14ac:dyDescent="0.25">
      <c r="A98">
        <v>0</v>
      </c>
      <c r="B98">
        <v>42919</v>
      </c>
      <c r="C98">
        <v>0.56800925925925927</v>
      </c>
      <c r="D98">
        <v>0.57093749999999999</v>
      </c>
      <c r="E98" s="2">
        <f t="shared" si="1"/>
        <v>2.9282407407407174E-3</v>
      </c>
    </row>
    <row r="99" spans="1:5" x14ac:dyDescent="0.25">
      <c r="A99">
        <v>0</v>
      </c>
      <c r="B99">
        <v>42919</v>
      </c>
      <c r="C99">
        <v>0.57141203703703702</v>
      </c>
      <c r="D99">
        <v>0.57547453703703699</v>
      </c>
      <c r="E99" s="2">
        <f t="shared" si="1"/>
        <v>4.0624999999999689E-3</v>
      </c>
    </row>
    <row r="100" spans="1:5" x14ac:dyDescent="0.25">
      <c r="A100">
        <v>0</v>
      </c>
      <c r="B100">
        <v>42919</v>
      </c>
      <c r="C100">
        <v>0.5717592592592593</v>
      </c>
      <c r="D100">
        <v>0.58065972222222217</v>
      </c>
      <c r="E100" s="2">
        <f t="shared" si="1"/>
        <v>8.900462962962874E-3</v>
      </c>
    </row>
    <row r="101" spans="1:5" x14ac:dyDescent="0.25">
      <c r="A101">
        <v>0</v>
      </c>
      <c r="B101">
        <v>42919</v>
      </c>
      <c r="C101">
        <v>0.57642361111111107</v>
      </c>
      <c r="D101">
        <v>0.5799305555555555</v>
      </c>
      <c r="E101" s="2">
        <f t="shared" si="1"/>
        <v>3.5069444444444375E-3</v>
      </c>
    </row>
    <row r="102" spans="1:5" x14ac:dyDescent="0.25">
      <c r="A102">
        <v>0</v>
      </c>
      <c r="B102">
        <v>42919</v>
      </c>
      <c r="C102">
        <v>0.57958333333333334</v>
      </c>
      <c r="D102">
        <v>0.58056712962962964</v>
      </c>
      <c r="E102" s="2">
        <f t="shared" si="1"/>
        <v>9.8379629629630205E-4</v>
      </c>
    </row>
    <row r="103" spans="1:5" x14ac:dyDescent="0.25">
      <c r="A103">
        <v>0</v>
      </c>
      <c r="B103">
        <v>42919</v>
      </c>
      <c r="C103">
        <v>0.5819212962962963</v>
      </c>
      <c r="D103">
        <v>0.59106481481481477</v>
      </c>
      <c r="E103" s="2">
        <f t="shared" si="1"/>
        <v>9.1435185185184675E-3</v>
      </c>
    </row>
    <row r="104" spans="1:5" x14ac:dyDescent="0.25">
      <c r="A104">
        <v>0</v>
      </c>
      <c r="B104">
        <v>42919</v>
      </c>
      <c r="C104">
        <v>0.58414351851851853</v>
      </c>
      <c r="D104">
        <v>0.5861574074074074</v>
      </c>
      <c r="E104" s="2">
        <f t="shared" si="1"/>
        <v>2.0138888888888706E-3</v>
      </c>
    </row>
    <row r="105" spans="1:5" x14ac:dyDescent="0.25">
      <c r="A105">
        <v>0</v>
      </c>
      <c r="B105">
        <v>42919</v>
      </c>
      <c r="C105">
        <v>0.58699074074074076</v>
      </c>
      <c r="D105">
        <v>0.59060185185185188</v>
      </c>
      <c r="E105" s="2">
        <f t="shared" si="1"/>
        <v>3.6111111111111205E-3</v>
      </c>
    </row>
    <row r="106" spans="1:5" x14ac:dyDescent="0.25">
      <c r="A106">
        <v>0</v>
      </c>
      <c r="B106">
        <v>42919</v>
      </c>
      <c r="C106">
        <v>0.5902546296296296</v>
      </c>
      <c r="D106">
        <v>0.59516203703703707</v>
      </c>
      <c r="E106" s="2">
        <f t="shared" si="1"/>
        <v>4.9074074074074714E-3</v>
      </c>
    </row>
    <row r="107" spans="1:5" x14ac:dyDescent="0.25">
      <c r="A107">
        <v>0</v>
      </c>
      <c r="B107">
        <v>42919</v>
      </c>
      <c r="C107">
        <v>0.59324074074074074</v>
      </c>
      <c r="D107">
        <v>0.6029282407407407</v>
      </c>
      <c r="E107" s="2">
        <f t="shared" si="1"/>
        <v>9.68749999999996E-3</v>
      </c>
    </row>
    <row r="108" spans="1:5" x14ac:dyDescent="0.25">
      <c r="A108">
        <v>0</v>
      </c>
      <c r="B108">
        <v>42919</v>
      </c>
      <c r="C108">
        <v>0.59710648148148149</v>
      </c>
      <c r="D108">
        <v>0.6003356481481481</v>
      </c>
      <c r="E108" s="2">
        <f t="shared" si="1"/>
        <v>3.2291666666666163E-3</v>
      </c>
    </row>
    <row r="109" spans="1:5" x14ac:dyDescent="0.25">
      <c r="A109">
        <v>0</v>
      </c>
      <c r="B109">
        <v>42919</v>
      </c>
      <c r="C109">
        <v>0.60196759259259258</v>
      </c>
      <c r="D109">
        <v>0.61259259259259258</v>
      </c>
      <c r="E109" s="2">
        <f t="shared" si="1"/>
        <v>1.0624999999999996E-2</v>
      </c>
    </row>
    <row r="110" spans="1:5" x14ac:dyDescent="0.25">
      <c r="A110">
        <v>0</v>
      </c>
      <c r="B110">
        <v>42919</v>
      </c>
      <c r="C110">
        <v>0.60313657407407406</v>
      </c>
      <c r="D110">
        <v>0.60765046296296299</v>
      </c>
      <c r="E110" s="2">
        <f t="shared" si="1"/>
        <v>4.5138888888889284E-3</v>
      </c>
    </row>
    <row r="111" spans="1:5" x14ac:dyDescent="0.25">
      <c r="A111">
        <v>0</v>
      </c>
      <c r="B111">
        <v>42919</v>
      </c>
      <c r="C111">
        <v>0.60753472222222227</v>
      </c>
      <c r="D111">
        <v>0.61120370370370369</v>
      </c>
      <c r="E111" s="2">
        <f t="shared" si="1"/>
        <v>3.6689814814814259E-3</v>
      </c>
    </row>
    <row r="112" spans="1:5" x14ac:dyDescent="0.25">
      <c r="A112">
        <v>0</v>
      </c>
      <c r="B112">
        <v>42919</v>
      </c>
      <c r="C112">
        <v>0.61243055555555559</v>
      </c>
      <c r="D112">
        <v>0.62267361111111108</v>
      </c>
      <c r="E112" s="2">
        <f t="shared" si="1"/>
        <v>1.0243055555555491E-2</v>
      </c>
    </row>
    <row r="113" spans="1:5" x14ac:dyDescent="0.25">
      <c r="A113">
        <v>0</v>
      </c>
      <c r="B113">
        <v>42919</v>
      </c>
      <c r="C113">
        <v>0.6141550925925926</v>
      </c>
      <c r="D113">
        <v>0.61440972222222223</v>
      </c>
      <c r="E113" s="2">
        <f t="shared" si="1"/>
        <v>2.5462962962963243E-4</v>
      </c>
    </row>
    <row r="114" spans="1:5" x14ac:dyDescent="0.25">
      <c r="A114">
        <v>0</v>
      </c>
      <c r="B114">
        <v>42919</v>
      </c>
      <c r="C114">
        <v>0.61449074074074073</v>
      </c>
      <c r="D114">
        <v>0.62415509259259261</v>
      </c>
      <c r="E114" s="2">
        <f t="shared" si="1"/>
        <v>9.6643518518518823E-3</v>
      </c>
    </row>
    <row r="115" spans="1:5" x14ac:dyDescent="0.25">
      <c r="A115">
        <v>0</v>
      </c>
      <c r="B115">
        <v>42919</v>
      </c>
      <c r="C115">
        <v>0.61523148148148143</v>
      </c>
      <c r="D115">
        <v>0.62223379629629627</v>
      </c>
      <c r="E115" s="2">
        <f t="shared" si="1"/>
        <v>7.0023148148148362E-3</v>
      </c>
    </row>
    <row r="116" spans="1:5" x14ac:dyDescent="0.25">
      <c r="A116">
        <v>0</v>
      </c>
      <c r="B116">
        <v>42919</v>
      </c>
      <c r="C116">
        <v>0.61624999999999996</v>
      </c>
      <c r="D116">
        <v>0.62702546296296291</v>
      </c>
      <c r="E116" s="2">
        <f t="shared" si="1"/>
        <v>1.0775462962962945E-2</v>
      </c>
    </row>
    <row r="117" spans="1:5" x14ac:dyDescent="0.25">
      <c r="A117">
        <v>0</v>
      </c>
      <c r="B117">
        <v>42919</v>
      </c>
      <c r="C117">
        <v>0.61767361111111108</v>
      </c>
      <c r="D117">
        <v>0.6234143518518519</v>
      </c>
      <c r="E117" s="2">
        <f t="shared" si="1"/>
        <v>5.740740740740824E-3</v>
      </c>
    </row>
    <row r="118" spans="1:5" x14ac:dyDescent="0.25">
      <c r="A118">
        <v>0</v>
      </c>
      <c r="B118">
        <v>42919</v>
      </c>
      <c r="C118">
        <v>0.62174768518518519</v>
      </c>
      <c r="D118">
        <v>0.62206018518518513</v>
      </c>
      <c r="E118" s="2">
        <f t="shared" si="1"/>
        <v>3.1249999999993783E-4</v>
      </c>
    </row>
    <row r="119" spans="1:5" x14ac:dyDescent="0.25">
      <c r="A119">
        <v>0</v>
      </c>
      <c r="B119">
        <v>42919</v>
      </c>
      <c r="C119">
        <v>0.62645833333333334</v>
      </c>
      <c r="D119">
        <v>0.63792824074074073</v>
      </c>
      <c r="E119" s="2">
        <f t="shared" si="1"/>
        <v>1.1469907407407387E-2</v>
      </c>
    </row>
    <row r="120" spans="1:5" x14ac:dyDescent="0.25">
      <c r="A120">
        <v>0</v>
      </c>
      <c r="B120">
        <v>42920</v>
      </c>
      <c r="C120">
        <v>0.33644675925925926</v>
      </c>
      <c r="D120">
        <v>0.33884259259259258</v>
      </c>
      <c r="E120" s="2">
        <f t="shared" si="1"/>
        <v>2.3958333333333193E-3</v>
      </c>
    </row>
    <row r="121" spans="1:5" x14ac:dyDescent="0.25">
      <c r="A121">
        <v>0</v>
      </c>
      <c r="B121">
        <v>42920</v>
      </c>
      <c r="C121">
        <v>0.33944444444444444</v>
      </c>
      <c r="D121">
        <v>0.35085648148148146</v>
      </c>
      <c r="E121" s="2">
        <f t="shared" si="1"/>
        <v>1.1412037037037026E-2</v>
      </c>
    </row>
    <row r="122" spans="1:5" x14ac:dyDescent="0.25">
      <c r="A122">
        <v>0</v>
      </c>
      <c r="B122">
        <v>42920</v>
      </c>
      <c r="C122">
        <v>0.34505787037037039</v>
      </c>
      <c r="D122">
        <v>0.35395833333333332</v>
      </c>
      <c r="E122" s="2">
        <f t="shared" si="1"/>
        <v>8.9004629629629295E-3</v>
      </c>
    </row>
    <row r="123" spans="1:5" x14ac:dyDescent="0.25">
      <c r="A123">
        <v>0</v>
      </c>
      <c r="B123">
        <v>42920</v>
      </c>
      <c r="C123">
        <v>0.35071759259259261</v>
      </c>
      <c r="D123">
        <v>0.36206018518518518</v>
      </c>
      <c r="E123" s="2">
        <f t="shared" si="1"/>
        <v>1.1342592592592571E-2</v>
      </c>
    </row>
    <row r="124" spans="1:5" x14ac:dyDescent="0.25">
      <c r="A124">
        <v>0</v>
      </c>
      <c r="B124">
        <v>42920</v>
      </c>
      <c r="C124">
        <v>0.35372685185185188</v>
      </c>
      <c r="D124">
        <v>0.3595949074074074</v>
      </c>
      <c r="E124" s="2">
        <f t="shared" si="1"/>
        <v>5.8680555555555292E-3</v>
      </c>
    </row>
    <row r="125" spans="1:5" x14ac:dyDescent="0.25">
      <c r="A125">
        <v>0</v>
      </c>
      <c r="B125">
        <v>42920</v>
      </c>
      <c r="C125">
        <v>0.35653935185185187</v>
      </c>
      <c r="D125">
        <v>0.36062499999999997</v>
      </c>
      <c r="E125" s="2">
        <f t="shared" si="1"/>
        <v>4.0856481481481022E-3</v>
      </c>
    </row>
    <row r="126" spans="1:5" x14ac:dyDescent="0.25">
      <c r="A126">
        <v>0</v>
      </c>
      <c r="B126">
        <v>42920</v>
      </c>
      <c r="C126">
        <v>0.35850694444444442</v>
      </c>
      <c r="D126">
        <v>0.36371527777777779</v>
      </c>
      <c r="E126" s="2">
        <f t="shared" si="1"/>
        <v>5.2083333333333703E-3</v>
      </c>
    </row>
    <row r="127" spans="1:5" x14ac:dyDescent="0.25">
      <c r="A127">
        <v>0</v>
      </c>
      <c r="B127">
        <v>42920</v>
      </c>
      <c r="C127">
        <v>0.35986111111111113</v>
      </c>
      <c r="D127">
        <v>0.36961805555555555</v>
      </c>
      <c r="E127" s="2">
        <f t="shared" si="1"/>
        <v>9.7569444444444153E-3</v>
      </c>
    </row>
    <row r="128" spans="1:5" x14ac:dyDescent="0.25">
      <c r="A128">
        <v>0</v>
      </c>
      <c r="B128">
        <v>42920</v>
      </c>
      <c r="C128">
        <v>0.36465277777777777</v>
      </c>
      <c r="D128">
        <v>0.36525462962962962</v>
      </c>
      <c r="E128" s="2">
        <f t="shared" si="1"/>
        <v>6.0185185185185341E-4</v>
      </c>
    </row>
    <row r="129" spans="1:5" x14ac:dyDescent="0.25">
      <c r="A129">
        <v>0</v>
      </c>
      <c r="B129">
        <v>42920</v>
      </c>
      <c r="C129">
        <v>0.37013888888888891</v>
      </c>
      <c r="D129">
        <v>0.38033564814814813</v>
      </c>
      <c r="E129" s="2">
        <f t="shared" si="1"/>
        <v>1.0196759259259225E-2</v>
      </c>
    </row>
    <row r="130" spans="1:5" x14ac:dyDescent="0.25">
      <c r="A130">
        <v>0</v>
      </c>
      <c r="B130">
        <v>42920</v>
      </c>
      <c r="C130">
        <v>0.37292824074074077</v>
      </c>
      <c r="D130">
        <v>0.38390046296296299</v>
      </c>
      <c r="E130" s="2">
        <f t="shared" ref="E130:E193" si="2">D130-C130</f>
        <v>1.0972222222222217E-2</v>
      </c>
    </row>
    <row r="131" spans="1:5" x14ac:dyDescent="0.25">
      <c r="A131">
        <v>0</v>
      </c>
      <c r="B131">
        <v>42920</v>
      </c>
      <c r="C131">
        <v>0.37559027777777776</v>
      </c>
      <c r="D131">
        <v>0.37986111111111109</v>
      </c>
      <c r="E131" s="2">
        <f t="shared" si="2"/>
        <v>4.2708333333333348E-3</v>
      </c>
    </row>
    <row r="132" spans="1:5" x14ac:dyDescent="0.25">
      <c r="A132">
        <v>0</v>
      </c>
      <c r="B132">
        <v>42920</v>
      </c>
      <c r="C132">
        <v>0.37769675925925927</v>
      </c>
      <c r="D132">
        <v>0.38211805555555556</v>
      </c>
      <c r="E132" s="2">
        <f t="shared" si="2"/>
        <v>4.4212962962962843E-3</v>
      </c>
    </row>
    <row r="133" spans="1:5" x14ac:dyDescent="0.25">
      <c r="A133">
        <v>0</v>
      </c>
      <c r="B133">
        <v>42920</v>
      </c>
      <c r="C133">
        <v>0.38092592592592595</v>
      </c>
      <c r="D133">
        <v>0.38866898148148149</v>
      </c>
      <c r="E133" s="2">
        <f t="shared" si="2"/>
        <v>7.7430555555555447E-3</v>
      </c>
    </row>
    <row r="134" spans="1:5" x14ac:dyDescent="0.25">
      <c r="A134">
        <v>0</v>
      </c>
      <c r="B134">
        <v>42920</v>
      </c>
      <c r="C134">
        <v>0.38188657407407406</v>
      </c>
      <c r="D134">
        <v>0.38545138888888891</v>
      </c>
      <c r="E134" s="2">
        <f t="shared" si="2"/>
        <v>3.564814814814854E-3</v>
      </c>
    </row>
    <row r="135" spans="1:5" x14ac:dyDescent="0.25">
      <c r="A135">
        <v>0</v>
      </c>
      <c r="B135">
        <v>42920</v>
      </c>
      <c r="C135">
        <v>0.3862962962962963</v>
      </c>
      <c r="D135">
        <v>0.3883449074074074</v>
      </c>
      <c r="E135" s="2">
        <f t="shared" si="2"/>
        <v>2.0486111111110983E-3</v>
      </c>
    </row>
    <row r="136" spans="1:5" x14ac:dyDescent="0.25">
      <c r="A136">
        <v>0</v>
      </c>
      <c r="B136">
        <v>42920</v>
      </c>
      <c r="C136">
        <v>0.38763888888888887</v>
      </c>
      <c r="D136">
        <v>0.39317129629629627</v>
      </c>
      <c r="E136" s="2">
        <f t="shared" si="2"/>
        <v>5.5324074074074026E-3</v>
      </c>
    </row>
    <row r="137" spans="1:5" x14ac:dyDescent="0.25">
      <c r="A137">
        <v>0</v>
      </c>
      <c r="B137">
        <v>42920</v>
      </c>
      <c r="C137">
        <v>0.39210648148148147</v>
      </c>
      <c r="D137">
        <v>0.39277777777777778</v>
      </c>
      <c r="E137" s="2">
        <f t="shared" si="2"/>
        <v>6.7129629629630871E-4</v>
      </c>
    </row>
    <row r="138" spans="1:5" x14ac:dyDescent="0.25">
      <c r="A138">
        <v>0</v>
      </c>
      <c r="B138">
        <v>42920</v>
      </c>
      <c r="C138">
        <v>0.39656249999999998</v>
      </c>
      <c r="D138">
        <v>0.40236111111111111</v>
      </c>
      <c r="E138" s="2">
        <f t="shared" si="2"/>
        <v>5.7986111111111294E-3</v>
      </c>
    </row>
    <row r="139" spans="1:5" x14ac:dyDescent="0.25">
      <c r="A139">
        <v>0</v>
      </c>
      <c r="B139">
        <v>42920</v>
      </c>
      <c r="C139">
        <v>0.39879629629629632</v>
      </c>
      <c r="D139">
        <v>0.41033564814814816</v>
      </c>
      <c r="E139" s="2">
        <f t="shared" si="2"/>
        <v>1.1539351851851842E-2</v>
      </c>
    </row>
    <row r="140" spans="1:5" x14ac:dyDescent="0.25">
      <c r="A140">
        <v>0</v>
      </c>
      <c r="B140">
        <v>42920</v>
      </c>
      <c r="C140">
        <v>0.3997337962962963</v>
      </c>
      <c r="D140">
        <v>0.40465277777777775</v>
      </c>
      <c r="E140" s="2">
        <f t="shared" si="2"/>
        <v>4.9189814814814548E-3</v>
      </c>
    </row>
    <row r="141" spans="1:5" x14ac:dyDescent="0.25">
      <c r="A141">
        <v>0</v>
      </c>
      <c r="B141">
        <v>42920</v>
      </c>
      <c r="C141">
        <v>0.40133101851851855</v>
      </c>
      <c r="D141">
        <v>0.40964120370370372</v>
      </c>
      <c r="E141" s="2">
        <f t="shared" si="2"/>
        <v>8.3101851851851705E-3</v>
      </c>
    </row>
    <row r="142" spans="1:5" x14ac:dyDescent="0.25">
      <c r="A142">
        <v>0</v>
      </c>
      <c r="B142">
        <v>42920</v>
      </c>
      <c r="C142">
        <v>0.40493055555555557</v>
      </c>
      <c r="D142">
        <v>0.40618055555555554</v>
      </c>
      <c r="E142" s="2">
        <f t="shared" si="2"/>
        <v>1.2499999999999734E-3</v>
      </c>
    </row>
    <row r="143" spans="1:5" x14ac:dyDescent="0.25">
      <c r="A143">
        <v>0</v>
      </c>
      <c r="B143">
        <v>42920</v>
      </c>
      <c r="C143">
        <v>0.40614583333333332</v>
      </c>
      <c r="D143">
        <v>0.41761574074074076</v>
      </c>
      <c r="E143" s="2">
        <f t="shared" si="2"/>
        <v>1.1469907407407443E-2</v>
      </c>
    </row>
    <row r="144" spans="1:5" x14ac:dyDescent="0.25">
      <c r="A144">
        <v>0</v>
      </c>
      <c r="B144">
        <v>42920</v>
      </c>
      <c r="C144">
        <v>0.40737268518518521</v>
      </c>
      <c r="D144">
        <v>0.4102777777777778</v>
      </c>
      <c r="E144" s="2">
        <f t="shared" si="2"/>
        <v>2.9050925925925841E-3</v>
      </c>
    </row>
    <row r="145" spans="1:5" x14ac:dyDescent="0.25">
      <c r="A145">
        <v>0</v>
      </c>
      <c r="B145">
        <v>42920</v>
      </c>
      <c r="C145">
        <v>0.40796296296296297</v>
      </c>
      <c r="D145">
        <v>0.41495370370370371</v>
      </c>
      <c r="E145" s="2">
        <f t="shared" si="2"/>
        <v>6.9907407407407418E-3</v>
      </c>
    </row>
    <row r="146" spans="1:5" x14ac:dyDescent="0.25">
      <c r="A146">
        <v>0</v>
      </c>
      <c r="B146">
        <v>42920</v>
      </c>
      <c r="C146">
        <v>0.41097222222222224</v>
      </c>
      <c r="D146">
        <v>0.41613425925925923</v>
      </c>
      <c r="E146" s="2">
        <f t="shared" si="2"/>
        <v>5.1620370370369928E-3</v>
      </c>
    </row>
    <row r="147" spans="1:5" x14ac:dyDescent="0.25">
      <c r="A147">
        <v>0</v>
      </c>
      <c r="B147">
        <v>42920</v>
      </c>
      <c r="C147">
        <v>0.4110300925925926</v>
      </c>
      <c r="D147">
        <v>0.42162037037037037</v>
      </c>
      <c r="E147" s="2">
        <f t="shared" si="2"/>
        <v>1.0590277777777768E-2</v>
      </c>
    </row>
    <row r="148" spans="1:5" x14ac:dyDescent="0.25">
      <c r="A148">
        <v>0</v>
      </c>
      <c r="B148">
        <v>42920</v>
      </c>
      <c r="C148">
        <v>0.41510416666666666</v>
      </c>
      <c r="D148">
        <v>0.41668981481481482</v>
      </c>
      <c r="E148" s="2">
        <f t="shared" si="2"/>
        <v>1.5856481481481555E-3</v>
      </c>
    </row>
    <row r="149" spans="1:5" x14ac:dyDescent="0.25">
      <c r="A149">
        <v>0</v>
      </c>
      <c r="B149">
        <v>42920</v>
      </c>
      <c r="C149">
        <v>0.41912037037037037</v>
      </c>
      <c r="D149">
        <v>0.42031249999999998</v>
      </c>
      <c r="E149" s="2">
        <f t="shared" si="2"/>
        <v>1.1921296296296124E-3</v>
      </c>
    </row>
    <row r="150" spans="1:5" x14ac:dyDescent="0.25">
      <c r="A150">
        <v>0</v>
      </c>
      <c r="B150">
        <v>42920</v>
      </c>
      <c r="C150">
        <v>0.42249999999999999</v>
      </c>
      <c r="D150">
        <v>0.42834490740740738</v>
      </c>
      <c r="E150" s="2">
        <f t="shared" si="2"/>
        <v>5.8449074074073959E-3</v>
      </c>
    </row>
    <row r="151" spans="1:5" x14ac:dyDescent="0.25">
      <c r="A151">
        <v>0</v>
      </c>
      <c r="B151">
        <v>42920</v>
      </c>
      <c r="C151">
        <v>0.42591435185185184</v>
      </c>
      <c r="D151">
        <v>0.43486111111111109</v>
      </c>
      <c r="E151" s="2">
        <f t="shared" si="2"/>
        <v>8.9467592592592515E-3</v>
      </c>
    </row>
    <row r="152" spans="1:5" x14ac:dyDescent="0.25">
      <c r="A152">
        <v>0</v>
      </c>
      <c r="B152">
        <v>42920</v>
      </c>
      <c r="C152">
        <v>0.42942129629629627</v>
      </c>
      <c r="D152">
        <v>0.4349189814814815</v>
      </c>
      <c r="E152" s="2">
        <f t="shared" si="2"/>
        <v>5.4976851851852304E-3</v>
      </c>
    </row>
    <row r="153" spans="1:5" x14ac:dyDescent="0.25">
      <c r="A153">
        <v>0</v>
      </c>
      <c r="B153">
        <v>42920</v>
      </c>
      <c r="C153">
        <v>0.43247685185185186</v>
      </c>
      <c r="D153">
        <v>0.43613425925925925</v>
      </c>
      <c r="E153" s="2">
        <f t="shared" si="2"/>
        <v>3.657407407407387E-3</v>
      </c>
    </row>
    <row r="154" spans="1:5" x14ac:dyDescent="0.25">
      <c r="A154">
        <v>0</v>
      </c>
      <c r="B154">
        <v>42920</v>
      </c>
      <c r="C154">
        <v>0.43741898148148151</v>
      </c>
      <c r="D154">
        <v>0.44848379629629631</v>
      </c>
      <c r="E154" s="2">
        <f t="shared" si="2"/>
        <v>1.1064814814814805E-2</v>
      </c>
    </row>
    <row r="155" spans="1:5" x14ac:dyDescent="0.25">
      <c r="A155">
        <v>0</v>
      </c>
      <c r="B155">
        <v>42920</v>
      </c>
      <c r="C155">
        <v>0.44068287037037035</v>
      </c>
      <c r="D155">
        <v>0.44912037037037039</v>
      </c>
      <c r="E155" s="2">
        <f t="shared" si="2"/>
        <v>8.4375000000000422E-3</v>
      </c>
    </row>
    <row r="156" spans="1:5" x14ac:dyDescent="0.25">
      <c r="A156">
        <v>0</v>
      </c>
      <c r="B156">
        <v>42920</v>
      </c>
      <c r="C156">
        <v>0.44158564814814816</v>
      </c>
      <c r="D156">
        <v>0.4470601851851852</v>
      </c>
      <c r="E156" s="2">
        <f t="shared" si="2"/>
        <v>5.4745370370370416E-3</v>
      </c>
    </row>
    <row r="157" spans="1:5" x14ac:dyDescent="0.25">
      <c r="A157">
        <v>0</v>
      </c>
      <c r="B157">
        <v>42920</v>
      </c>
      <c r="C157">
        <v>0.44466435185185182</v>
      </c>
      <c r="D157">
        <v>0.4535763888888889</v>
      </c>
      <c r="E157" s="2">
        <f t="shared" si="2"/>
        <v>8.9120370370370794E-3</v>
      </c>
    </row>
    <row r="158" spans="1:5" x14ac:dyDescent="0.25">
      <c r="A158">
        <v>0</v>
      </c>
      <c r="B158">
        <v>42920</v>
      </c>
      <c r="C158">
        <v>0.44548611111111114</v>
      </c>
      <c r="D158">
        <v>0.4541898148148148</v>
      </c>
      <c r="E158" s="2">
        <f t="shared" si="2"/>
        <v>8.703703703703658E-3</v>
      </c>
    </row>
    <row r="159" spans="1:5" x14ac:dyDescent="0.25">
      <c r="A159">
        <v>0</v>
      </c>
      <c r="B159">
        <v>42920</v>
      </c>
      <c r="C159">
        <v>0.45063657407407409</v>
      </c>
      <c r="D159">
        <v>0.45581018518518518</v>
      </c>
      <c r="E159" s="2">
        <f t="shared" si="2"/>
        <v>5.1736111111110872E-3</v>
      </c>
    </row>
    <row r="160" spans="1:5" x14ac:dyDescent="0.25">
      <c r="A160">
        <v>0</v>
      </c>
      <c r="B160">
        <v>42920</v>
      </c>
      <c r="C160">
        <v>0.46053240740740742</v>
      </c>
      <c r="D160">
        <v>0.47131944444444446</v>
      </c>
      <c r="E160" s="2">
        <f t="shared" si="2"/>
        <v>1.0787037037037039E-2</v>
      </c>
    </row>
    <row r="161" spans="1:5" x14ac:dyDescent="0.25">
      <c r="A161">
        <v>0</v>
      </c>
      <c r="B161">
        <v>42920</v>
      </c>
      <c r="C161">
        <v>0.46423611111111113</v>
      </c>
      <c r="D161">
        <v>0.46842592592592591</v>
      </c>
      <c r="E161" s="2">
        <f t="shared" si="2"/>
        <v>4.1898148148147851E-3</v>
      </c>
    </row>
    <row r="162" spans="1:5" x14ac:dyDescent="0.25">
      <c r="A162">
        <v>0</v>
      </c>
      <c r="B162">
        <v>42920</v>
      </c>
      <c r="C162">
        <v>0.46861111111111109</v>
      </c>
      <c r="D162">
        <v>0.47747685185185185</v>
      </c>
      <c r="E162" s="2">
        <f t="shared" si="2"/>
        <v>8.8657407407407574E-3</v>
      </c>
    </row>
    <row r="163" spans="1:5" x14ac:dyDescent="0.25">
      <c r="A163">
        <v>0</v>
      </c>
      <c r="B163">
        <v>42920</v>
      </c>
      <c r="C163">
        <v>0.47230324074074076</v>
      </c>
      <c r="D163">
        <v>0.47288194444444442</v>
      </c>
      <c r="E163" s="2">
        <f t="shared" si="2"/>
        <v>5.7870370370366464E-4</v>
      </c>
    </row>
    <row r="164" spans="1:5" x14ac:dyDescent="0.25">
      <c r="A164">
        <v>0</v>
      </c>
      <c r="B164">
        <v>42920</v>
      </c>
      <c r="C164">
        <v>0.47453703703703703</v>
      </c>
      <c r="D164">
        <v>0.4800462962962963</v>
      </c>
      <c r="E164" s="2">
        <f t="shared" si="2"/>
        <v>5.5092592592592693E-3</v>
      </c>
    </row>
    <row r="165" spans="1:5" x14ac:dyDescent="0.25">
      <c r="A165">
        <v>0</v>
      </c>
      <c r="B165">
        <v>42920</v>
      </c>
      <c r="C165">
        <v>0.47967592592592595</v>
      </c>
      <c r="D165">
        <v>0.48236111111111113</v>
      </c>
      <c r="E165" s="2">
        <f t="shared" si="2"/>
        <v>2.6851851851851793E-3</v>
      </c>
    </row>
    <row r="166" spans="1:5" x14ac:dyDescent="0.25">
      <c r="A166">
        <v>0</v>
      </c>
      <c r="B166">
        <v>42920</v>
      </c>
      <c r="C166">
        <v>0.47978009259259258</v>
      </c>
      <c r="D166">
        <v>0.49125000000000002</v>
      </c>
      <c r="E166" s="2">
        <f t="shared" si="2"/>
        <v>1.1469907407407443E-2</v>
      </c>
    </row>
    <row r="167" spans="1:5" x14ac:dyDescent="0.25">
      <c r="A167">
        <v>0</v>
      </c>
      <c r="B167">
        <v>42920</v>
      </c>
      <c r="C167">
        <v>0.47983796296296294</v>
      </c>
      <c r="D167">
        <v>0.48949074074074073</v>
      </c>
      <c r="E167" s="2">
        <f t="shared" si="2"/>
        <v>9.6527777777777879E-3</v>
      </c>
    </row>
    <row r="168" spans="1:5" x14ac:dyDescent="0.25">
      <c r="A168">
        <v>0</v>
      </c>
      <c r="B168">
        <v>42920</v>
      </c>
      <c r="C168">
        <v>0.4805787037037037</v>
      </c>
      <c r="D168">
        <v>0.48696759259259259</v>
      </c>
      <c r="E168" s="2">
        <f t="shared" si="2"/>
        <v>6.3888888888888884E-3</v>
      </c>
    </row>
    <row r="169" spans="1:5" x14ac:dyDescent="0.25">
      <c r="A169">
        <v>0</v>
      </c>
      <c r="B169">
        <v>42920</v>
      </c>
      <c r="C169">
        <v>0.48189814814814813</v>
      </c>
      <c r="D169">
        <v>0.49115740740740743</v>
      </c>
      <c r="E169" s="2">
        <f t="shared" si="2"/>
        <v>9.2592592592593004E-3</v>
      </c>
    </row>
    <row r="170" spans="1:5" x14ac:dyDescent="0.25">
      <c r="A170">
        <v>0</v>
      </c>
      <c r="B170">
        <v>42920</v>
      </c>
      <c r="C170">
        <v>0.48312500000000003</v>
      </c>
      <c r="D170">
        <v>0.49138888888888888</v>
      </c>
      <c r="E170" s="2">
        <f t="shared" si="2"/>
        <v>8.2638888888888484E-3</v>
      </c>
    </row>
    <row r="171" spans="1:5" x14ac:dyDescent="0.25">
      <c r="A171">
        <v>0</v>
      </c>
      <c r="B171">
        <v>42920</v>
      </c>
      <c r="C171">
        <v>0.48803240740740739</v>
      </c>
      <c r="D171">
        <v>0.49682870370370369</v>
      </c>
      <c r="E171" s="2">
        <f t="shared" si="2"/>
        <v>8.7962962962963021E-3</v>
      </c>
    </row>
    <row r="172" spans="1:5" x14ac:dyDescent="0.25">
      <c r="A172">
        <v>0</v>
      </c>
      <c r="B172">
        <v>42920</v>
      </c>
      <c r="C172">
        <v>0.48979166666666668</v>
      </c>
      <c r="D172">
        <v>0.500462962962963</v>
      </c>
      <c r="E172" s="2">
        <f t="shared" si="2"/>
        <v>1.0671296296296318E-2</v>
      </c>
    </row>
    <row r="173" spans="1:5" x14ac:dyDescent="0.25">
      <c r="A173">
        <v>0</v>
      </c>
      <c r="B173">
        <v>42920</v>
      </c>
      <c r="C173">
        <v>0.49430555555555555</v>
      </c>
      <c r="D173">
        <v>0.50231481481481477</v>
      </c>
      <c r="E173" s="2">
        <f t="shared" si="2"/>
        <v>8.009259259259216E-3</v>
      </c>
    </row>
    <row r="174" spans="1:5" x14ac:dyDescent="0.25">
      <c r="A174">
        <v>0</v>
      </c>
      <c r="B174">
        <v>42920</v>
      </c>
      <c r="C174">
        <v>0.49984953703703705</v>
      </c>
      <c r="D174">
        <v>0.50960648148148147</v>
      </c>
      <c r="E174" s="2">
        <f t="shared" si="2"/>
        <v>9.7569444444444153E-3</v>
      </c>
    </row>
    <row r="175" spans="1:5" x14ac:dyDescent="0.25">
      <c r="A175">
        <v>0</v>
      </c>
      <c r="B175">
        <v>42920</v>
      </c>
      <c r="C175">
        <v>0.50063657407407403</v>
      </c>
      <c r="D175">
        <v>0.50876157407407407</v>
      </c>
      <c r="E175" s="2">
        <f t="shared" si="2"/>
        <v>8.1250000000000488E-3</v>
      </c>
    </row>
    <row r="176" spans="1:5" x14ac:dyDescent="0.25">
      <c r="A176">
        <v>0</v>
      </c>
      <c r="B176">
        <v>42920</v>
      </c>
      <c r="C176">
        <v>0.50594907407407408</v>
      </c>
      <c r="D176">
        <v>0.5154050925925926</v>
      </c>
      <c r="E176" s="2">
        <f t="shared" si="2"/>
        <v>9.4560185185185164E-3</v>
      </c>
    </row>
    <row r="177" spans="1:5" x14ac:dyDescent="0.25">
      <c r="A177">
        <v>0</v>
      </c>
      <c r="B177">
        <v>42920</v>
      </c>
      <c r="C177">
        <v>0.51076388888888891</v>
      </c>
      <c r="D177">
        <v>0.51890046296296299</v>
      </c>
      <c r="E177" s="2">
        <f t="shared" si="2"/>
        <v>8.1365740740740877E-3</v>
      </c>
    </row>
    <row r="178" spans="1:5" x14ac:dyDescent="0.25">
      <c r="A178">
        <v>0</v>
      </c>
      <c r="B178">
        <v>42920</v>
      </c>
      <c r="C178">
        <v>0.51451388888888894</v>
      </c>
      <c r="D178">
        <v>0.51857638888888891</v>
      </c>
      <c r="E178" s="2">
        <f t="shared" si="2"/>
        <v>4.0624999999999689E-3</v>
      </c>
    </row>
    <row r="179" spans="1:5" x14ac:dyDescent="0.25">
      <c r="A179">
        <v>0</v>
      </c>
      <c r="B179">
        <v>42920</v>
      </c>
      <c r="C179">
        <v>0.51958333333333329</v>
      </c>
      <c r="D179">
        <v>0.52266203703703706</v>
      </c>
      <c r="E179" s="2">
        <f t="shared" si="2"/>
        <v>3.0787037037037779E-3</v>
      </c>
    </row>
    <row r="180" spans="1:5" x14ac:dyDescent="0.25">
      <c r="A180">
        <v>0</v>
      </c>
      <c r="B180">
        <v>42920</v>
      </c>
      <c r="C180">
        <v>0.52303240740740742</v>
      </c>
      <c r="D180">
        <v>0.523900462962963</v>
      </c>
      <c r="E180" s="2">
        <f t="shared" si="2"/>
        <v>8.6805555555558023E-4</v>
      </c>
    </row>
    <row r="181" spans="1:5" x14ac:dyDescent="0.25">
      <c r="A181">
        <v>0</v>
      </c>
      <c r="B181">
        <v>42920</v>
      </c>
      <c r="C181">
        <v>0.52454861111111106</v>
      </c>
      <c r="D181">
        <v>0.53546296296296292</v>
      </c>
      <c r="E181" s="2">
        <f t="shared" si="2"/>
        <v>1.0914351851851856E-2</v>
      </c>
    </row>
    <row r="182" spans="1:5" x14ac:dyDescent="0.25">
      <c r="A182">
        <v>0</v>
      </c>
      <c r="B182">
        <v>42920</v>
      </c>
      <c r="C182">
        <v>0.53015046296296298</v>
      </c>
      <c r="D182">
        <v>0.53275462962962961</v>
      </c>
      <c r="E182" s="2">
        <f t="shared" si="2"/>
        <v>2.6041666666666297E-3</v>
      </c>
    </row>
    <row r="183" spans="1:5" x14ac:dyDescent="0.25">
      <c r="A183">
        <v>0</v>
      </c>
      <c r="B183">
        <v>42920</v>
      </c>
      <c r="C183">
        <v>0.53465277777777775</v>
      </c>
      <c r="D183">
        <v>0.53925925925925922</v>
      </c>
      <c r="E183" s="2">
        <f t="shared" si="2"/>
        <v>4.6064814814814614E-3</v>
      </c>
    </row>
    <row r="184" spans="1:5" x14ac:dyDescent="0.25">
      <c r="A184">
        <v>0</v>
      </c>
      <c r="B184">
        <v>42920</v>
      </c>
      <c r="C184">
        <v>0.53748842592592594</v>
      </c>
      <c r="D184">
        <v>0.54775462962962962</v>
      </c>
      <c r="E184" s="2">
        <f t="shared" si="2"/>
        <v>1.026620370370368E-2</v>
      </c>
    </row>
    <row r="185" spans="1:5" x14ac:dyDescent="0.25">
      <c r="A185">
        <v>0</v>
      </c>
      <c r="B185">
        <v>42920</v>
      </c>
      <c r="C185">
        <v>0.54137731481481477</v>
      </c>
      <c r="D185">
        <v>0.5506712962962963</v>
      </c>
      <c r="E185" s="2">
        <f t="shared" si="2"/>
        <v>9.293981481481528E-3</v>
      </c>
    </row>
    <row r="186" spans="1:5" x14ac:dyDescent="0.25">
      <c r="A186">
        <v>0</v>
      </c>
      <c r="B186">
        <v>42920</v>
      </c>
      <c r="C186">
        <v>0.54395833333333332</v>
      </c>
      <c r="D186">
        <v>0.54451388888888885</v>
      </c>
      <c r="E186" s="2">
        <f t="shared" si="2"/>
        <v>5.5555555555553138E-4</v>
      </c>
    </row>
    <row r="187" spans="1:5" x14ac:dyDescent="0.25">
      <c r="A187">
        <v>0</v>
      </c>
      <c r="B187">
        <v>42920</v>
      </c>
      <c r="C187">
        <v>0.5455092592592593</v>
      </c>
      <c r="D187">
        <v>0.54748842592592595</v>
      </c>
      <c r="E187" s="2">
        <f t="shared" si="2"/>
        <v>1.979166666666643E-3</v>
      </c>
    </row>
    <row r="188" spans="1:5" x14ac:dyDescent="0.25">
      <c r="A188">
        <v>0</v>
      </c>
      <c r="B188">
        <v>42920</v>
      </c>
      <c r="C188">
        <v>0.54909722222222224</v>
      </c>
      <c r="D188">
        <v>0.5524768518518518</v>
      </c>
      <c r="E188" s="2">
        <f t="shared" si="2"/>
        <v>3.3796296296295658E-3</v>
      </c>
    </row>
    <row r="189" spans="1:5" x14ac:dyDescent="0.25">
      <c r="A189">
        <v>0</v>
      </c>
      <c r="B189">
        <v>42920</v>
      </c>
      <c r="C189">
        <v>0.5512731481481481</v>
      </c>
      <c r="D189">
        <v>0.55435185185185187</v>
      </c>
      <c r="E189" s="2">
        <f t="shared" si="2"/>
        <v>3.0787037037037779E-3</v>
      </c>
    </row>
    <row r="190" spans="1:5" x14ac:dyDescent="0.25">
      <c r="A190">
        <v>0</v>
      </c>
      <c r="B190">
        <v>42920</v>
      </c>
      <c r="C190">
        <v>0.5553703703703704</v>
      </c>
      <c r="D190">
        <v>0.55833333333333335</v>
      </c>
      <c r="E190" s="2">
        <f t="shared" si="2"/>
        <v>2.962962962962945E-3</v>
      </c>
    </row>
    <row r="191" spans="1:5" x14ac:dyDescent="0.25">
      <c r="A191">
        <v>0</v>
      </c>
      <c r="B191">
        <v>42920</v>
      </c>
      <c r="C191">
        <v>0.55905092592592598</v>
      </c>
      <c r="D191">
        <v>0.56342592592592589</v>
      </c>
      <c r="E191" s="2">
        <f t="shared" si="2"/>
        <v>4.3749999999999067E-3</v>
      </c>
    </row>
    <row r="192" spans="1:5" x14ac:dyDescent="0.25">
      <c r="A192">
        <v>0</v>
      </c>
      <c r="B192">
        <v>42920</v>
      </c>
      <c r="C192">
        <v>0.5638657407407407</v>
      </c>
      <c r="D192">
        <v>0.56425925925925924</v>
      </c>
      <c r="E192" s="2">
        <f t="shared" si="2"/>
        <v>3.9351851851854303E-4</v>
      </c>
    </row>
    <row r="193" spans="1:5" x14ac:dyDescent="0.25">
      <c r="A193">
        <v>0</v>
      </c>
      <c r="B193">
        <v>42920</v>
      </c>
      <c r="C193">
        <v>0.5688657407407407</v>
      </c>
      <c r="D193">
        <v>0.57524305555555555</v>
      </c>
      <c r="E193" s="2">
        <f t="shared" si="2"/>
        <v>6.3773148148148495E-3</v>
      </c>
    </row>
    <row r="194" spans="1:5" x14ac:dyDescent="0.25">
      <c r="A194">
        <v>0</v>
      </c>
      <c r="B194">
        <v>42920</v>
      </c>
      <c r="C194">
        <v>0.57204861111111116</v>
      </c>
      <c r="D194">
        <v>0.57371527777777775</v>
      </c>
      <c r="E194" s="2">
        <f t="shared" ref="E194:E257" si="3">D194-C194</f>
        <v>1.6666666666665941E-3</v>
      </c>
    </row>
    <row r="195" spans="1:5" x14ac:dyDescent="0.25">
      <c r="A195">
        <v>0</v>
      </c>
      <c r="B195">
        <v>42920</v>
      </c>
      <c r="C195">
        <v>0.57347222222222227</v>
      </c>
      <c r="D195">
        <v>0.58420138888888884</v>
      </c>
      <c r="E195" s="2">
        <f t="shared" si="3"/>
        <v>1.0729166666666567E-2</v>
      </c>
    </row>
    <row r="196" spans="1:5" x14ac:dyDescent="0.25">
      <c r="A196">
        <v>0</v>
      </c>
      <c r="B196">
        <v>42920</v>
      </c>
      <c r="C196">
        <v>0.57861111111111108</v>
      </c>
      <c r="D196">
        <v>0.58296296296296302</v>
      </c>
      <c r="E196" s="2">
        <f t="shared" si="3"/>
        <v>4.35185185185194E-3</v>
      </c>
    </row>
    <row r="197" spans="1:5" x14ac:dyDescent="0.25">
      <c r="A197">
        <v>0</v>
      </c>
      <c r="B197">
        <v>42920</v>
      </c>
      <c r="C197">
        <v>0.58136574074074077</v>
      </c>
      <c r="D197">
        <v>0.58156249999999998</v>
      </c>
      <c r="E197" s="2">
        <f t="shared" si="3"/>
        <v>1.96759259259216E-4</v>
      </c>
    </row>
    <row r="198" spans="1:5" x14ac:dyDescent="0.25">
      <c r="A198">
        <v>0</v>
      </c>
      <c r="B198">
        <v>42920</v>
      </c>
      <c r="C198">
        <v>0.58335648148148145</v>
      </c>
      <c r="D198">
        <v>0.5841319444444445</v>
      </c>
      <c r="E198" s="2">
        <f t="shared" si="3"/>
        <v>7.7546296296304718E-4</v>
      </c>
    </row>
    <row r="199" spans="1:5" x14ac:dyDescent="0.25">
      <c r="A199">
        <v>0</v>
      </c>
      <c r="B199">
        <v>42920</v>
      </c>
      <c r="C199">
        <v>0.58377314814814818</v>
      </c>
      <c r="D199">
        <v>0.59186342592592589</v>
      </c>
      <c r="E199" s="2">
        <f t="shared" si="3"/>
        <v>8.0902777777777102E-3</v>
      </c>
    </row>
    <row r="200" spans="1:5" x14ac:dyDescent="0.25">
      <c r="A200">
        <v>0</v>
      </c>
      <c r="B200">
        <v>42920</v>
      </c>
      <c r="C200">
        <v>0.58452546296296293</v>
      </c>
      <c r="D200">
        <v>0.58862268518518523</v>
      </c>
      <c r="E200" s="2">
        <f t="shared" si="3"/>
        <v>4.0972222222223076E-3</v>
      </c>
    </row>
    <row r="201" spans="1:5" x14ac:dyDescent="0.25">
      <c r="A201">
        <v>0</v>
      </c>
      <c r="B201">
        <v>42920</v>
      </c>
      <c r="C201">
        <v>0.58452546296296293</v>
      </c>
      <c r="D201">
        <v>0.59087962962962959</v>
      </c>
      <c r="E201" s="2">
        <f t="shared" si="3"/>
        <v>6.3541666666666607E-3</v>
      </c>
    </row>
    <row r="202" spans="1:5" x14ac:dyDescent="0.25">
      <c r="A202">
        <v>0</v>
      </c>
      <c r="B202">
        <v>42920</v>
      </c>
      <c r="C202">
        <v>0.59018518518518515</v>
      </c>
      <c r="D202">
        <v>0.60047453703703701</v>
      </c>
      <c r="E202" s="2">
        <f t="shared" si="3"/>
        <v>1.0289351851851869E-2</v>
      </c>
    </row>
    <row r="203" spans="1:5" x14ac:dyDescent="0.25">
      <c r="A203">
        <v>0</v>
      </c>
      <c r="B203">
        <v>42920</v>
      </c>
      <c r="C203">
        <v>0.59425925925925926</v>
      </c>
      <c r="D203">
        <v>0.59886574074074073</v>
      </c>
      <c r="E203" s="2">
        <f t="shared" si="3"/>
        <v>4.6064814814814614E-3</v>
      </c>
    </row>
    <row r="204" spans="1:5" x14ac:dyDescent="0.25">
      <c r="A204">
        <v>0</v>
      </c>
      <c r="B204">
        <v>42920</v>
      </c>
      <c r="C204">
        <v>0.59767361111111106</v>
      </c>
      <c r="D204">
        <v>0.6026273148148148</v>
      </c>
      <c r="E204" s="2">
        <f t="shared" si="3"/>
        <v>4.9537037037037379E-3</v>
      </c>
    </row>
    <row r="205" spans="1:5" x14ac:dyDescent="0.25">
      <c r="A205">
        <v>0</v>
      </c>
      <c r="B205">
        <v>42920</v>
      </c>
      <c r="C205">
        <v>0.59995370370370371</v>
      </c>
      <c r="D205">
        <v>0.60442129629629626</v>
      </c>
      <c r="E205" s="2">
        <f t="shared" si="3"/>
        <v>4.4675925925925508E-3</v>
      </c>
    </row>
    <row r="206" spans="1:5" x14ac:dyDescent="0.25">
      <c r="A206">
        <v>0</v>
      </c>
      <c r="B206">
        <v>42920</v>
      </c>
      <c r="C206">
        <v>0.60509259259259263</v>
      </c>
      <c r="D206">
        <v>0.60509259259259263</v>
      </c>
      <c r="E206" s="2">
        <f t="shared" si="3"/>
        <v>0</v>
      </c>
    </row>
    <row r="207" spans="1:5" x14ac:dyDescent="0.25">
      <c r="A207">
        <v>0</v>
      </c>
      <c r="B207">
        <v>42920</v>
      </c>
      <c r="C207">
        <v>0.6066435185185185</v>
      </c>
      <c r="D207">
        <v>0.61133101851851857</v>
      </c>
      <c r="E207" s="2">
        <f t="shared" si="3"/>
        <v>4.6875000000000666E-3</v>
      </c>
    </row>
    <row r="208" spans="1:5" x14ac:dyDescent="0.25">
      <c r="A208">
        <v>0</v>
      </c>
      <c r="B208">
        <v>42920</v>
      </c>
      <c r="C208">
        <v>0.61136574074074079</v>
      </c>
      <c r="D208">
        <v>0.61636574074074069</v>
      </c>
      <c r="E208" s="2">
        <f t="shared" si="3"/>
        <v>4.9999999999998934E-3</v>
      </c>
    </row>
    <row r="209" spans="1:5" x14ac:dyDescent="0.25">
      <c r="A209">
        <v>0</v>
      </c>
      <c r="B209">
        <v>42920</v>
      </c>
      <c r="C209">
        <v>0.61186342592592591</v>
      </c>
      <c r="D209">
        <v>0.61896990740740743</v>
      </c>
      <c r="E209" s="2">
        <f t="shared" si="3"/>
        <v>7.1064814814815191E-3</v>
      </c>
    </row>
    <row r="210" spans="1:5" x14ac:dyDescent="0.25">
      <c r="A210">
        <v>0</v>
      </c>
      <c r="B210">
        <v>42920</v>
      </c>
      <c r="C210">
        <v>0.61410879629629633</v>
      </c>
      <c r="D210">
        <v>0.6216666666666667</v>
      </c>
      <c r="E210" s="2">
        <f t="shared" si="3"/>
        <v>7.5578703703703676E-3</v>
      </c>
    </row>
    <row r="211" spans="1:5" x14ac:dyDescent="0.25">
      <c r="A211">
        <v>0</v>
      </c>
      <c r="B211">
        <v>42920</v>
      </c>
      <c r="C211">
        <v>0.6186342592592593</v>
      </c>
      <c r="D211">
        <v>0.62296296296296294</v>
      </c>
      <c r="E211" s="2">
        <f t="shared" si="3"/>
        <v>4.3287037037036402E-3</v>
      </c>
    </row>
    <row r="212" spans="1:5" x14ac:dyDescent="0.25">
      <c r="A212">
        <v>0</v>
      </c>
      <c r="B212">
        <v>42920</v>
      </c>
      <c r="C212">
        <v>0.6186342592592593</v>
      </c>
      <c r="D212">
        <v>0.6265856481481481</v>
      </c>
      <c r="E212" s="2">
        <f t="shared" si="3"/>
        <v>7.9513888888887996E-3</v>
      </c>
    </row>
    <row r="213" spans="1:5" x14ac:dyDescent="0.25">
      <c r="A213">
        <v>0</v>
      </c>
      <c r="B213">
        <v>42920</v>
      </c>
      <c r="C213">
        <v>0.6227314814814815</v>
      </c>
      <c r="D213">
        <v>0.63056712962962957</v>
      </c>
      <c r="E213" s="2">
        <f t="shared" si="3"/>
        <v>7.8356481481480778E-3</v>
      </c>
    </row>
    <row r="214" spans="1:5" x14ac:dyDescent="0.25">
      <c r="A214">
        <v>0</v>
      </c>
      <c r="B214">
        <v>42920</v>
      </c>
      <c r="C214">
        <v>0.62381944444444448</v>
      </c>
      <c r="D214">
        <v>0.6322106481481482</v>
      </c>
      <c r="E214" s="2">
        <f t="shared" si="3"/>
        <v>8.3912037037037202E-3</v>
      </c>
    </row>
    <row r="215" spans="1:5" x14ac:dyDescent="0.25">
      <c r="A215">
        <v>0</v>
      </c>
      <c r="B215">
        <v>42920</v>
      </c>
      <c r="C215">
        <v>0.6275694444444444</v>
      </c>
      <c r="D215">
        <v>0.63215277777777779</v>
      </c>
      <c r="E215" s="2">
        <f t="shared" si="3"/>
        <v>4.5833333333333837E-3</v>
      </c>
    </row>
    <row r="216" spans="1:5" x14ac:dyDescent="0.25">
      <c r="A216">
        <v>0</v>
      </c>
      <c r="B216">
        <v>42921</v>
      </c>
      <c r="C216">
        <v>0.33545138888888887</v>
      </c>
      <c r="D216">
        <v>0.3435300925925926</v>
      </c>
      <c r="E216" s="2">
        <f t="shared" si="3"/>
        <v>8.0787037037037268E-3</v>
      </c>
    </row>
    <row r="217" spans="1:5" x14ac:dyDescent="0.25">
      <c r="A217">
        <v>0</v>
      </c>
      <c r="B217">
        <v>42921</v>
      </c>
      <c r="C217">
        <v>0.34099537037037037</v>
      </c>
      <c r="D217">
        <v>0.34749999999999998</v>
      </c>
      <c r="E217" s="2">
        <f t="shared" si="3"/>
        <v>6.5046296296296102E-3</v>
      </c>
    </row>
    <row r="218" spans="1:5" x14ac:dyDescent="0.25">
      <c r="A218">
        <v>0</v>
      </c>
      <c r="B218">
        <v>42921</v>
      </c>
      <c r="C218">
        <v>0.34662037037037036</v>
      </c>
      <c r="D218">
        <v>0.34908564814814813</v>
      </c>
      <c r="E218" s="2">
        <f t="shared" si="3"/>
        <v>2.4652777777777746E-3</v>
      </c>
    </row>
    <row r="219" spans="1:5" x14ac:dyDescent="0.25">
      <c r="A219">
        <v>0</v>
      </c>
      <c r="B219">
        <v>42921</v>
      </c>
      <c r="C219">
        <v>0.34667824074074072</v>
      </c>
      <c r="D219">
        <v>0.3473148148148148</v>
      </c>
      <c r="E219" s="2">
        <f t="shared" si="3"/>
        <v>6.3657407407408106E-4</v>
      </c>
    </row>
    <row r="220" spans="1:5" x14ac:dyDescent="0.25">
      <c r="A220">
        <v>0</v>
      </c>
      <c r="B220">
        <v>42921</v>
      </c>
      <c r="C220">
        <v>0.34903935185185186</v>
      </c>
      <c r="D220">
        <v>0.35381944444444446</v>
      </c>
      <c r="E220" s="2">
        <f t="shared" si="3"/>
        <v>4.7800925925925997E-3</v>
      </c>
    </row>
    <row r="221" spans="1:5" x14ac:dyDescent="0.25">
      <c r="A221">
        <v>0</v>
      </c>
      <c r="B221">
        <v>42921</v>
      </c>
      <c r="C221">
        <v>0.34915509259259259</v>
      </c>
      <c r="D221">
        <v>0.3605902777777778</v>
      </c>
      <c r="E221" s="2">
        <f t="shared" si="3"/>
        <v>1.1435185185185215E-2</v>
      </c>
    </row>
    <row r="222" spans="1:5" x14ac:dyDescent="0.25">
      <c r="A222">
        <v>0</v>
      </c>
      <c r="B222">
        <v>42921</v>
      </c>
      <c r="C222">
        <v>0.35150462962962964</v>
      </c>
      <c r="D222">
        <v>0.35672453703703705</v>
      </c>
      <c r="E222" s="2">
        <f t="shared" si="3"/>
        <v>5.2199074074074092E-3</v>
      </c>
    </row>
    <row r="223" spans="1:5" x14ac:dyDescent="0.25">
      <c r="A223">
        <v>0</v>
      </c>
      <c r="B223">
        <v>42921</v>
      </c>
      <c r="C223">
        <v>0.35574074074074075</v>
      </c>
      <c r="D223">
        <v>0.36162037037037037</v>
      </c>
      <c r="E223" s="2">
        <f t="shared" si="3"/>
        <v>5.8796296296296235E-3</v>
      </c>
    </row>
    <row r="224" spans="1:5" x14ac:dyDescent="0.25">
      <c r="A224">
        <v>0</v>
      </c>
      <c r="B224">
        <v>42921</v>
      </c>
      <c r="C224">
        <v>0.35829861111111111</v>
      </c>
      <c r="D224">
        <v>0.36826388888888889</v>
      </c>
      <c r="E224" s="2">
        <f t="shared" si="3"/>
        <v>9.9652777777777812E-3</v>
      </c>
    </row>
    <row r="225" spans="1:5" x14ac:dyDescent="0.25">
      <c r="A225">
        <v>0</v>
      </c>
      <c r="B225">
        <v>42921</v>
      </c>
      <c r="C225">
        <v>0.36261574074074077</v>
      </c>
      <c r="D225">
        <v>0.36730324074074072</v>
      </c>
      <c r="E225" s="2">
        <f t="shared" si="3"/>
        <v>4.6874999999999556E-3</v>
      </c>
    </row>
    <row r="226" spans="1:5" x14ac:dyDescent="0.25">
      <c r="A226">
        <v>0</v>
      </c>
      <c r="B226">
        <v>42921</v>
      </c>
      <c r="C226">
        <v>0.36760416666666668</v>
      </c>
      <c r="D226">
        <v>0.37854166666666667</v>
      </c>
      <c r="E226" s="2">
        <f t="shared" si="3"/>
        <v>1.0937499999999989E-2</v>
      </c>
    </row>
    <row r="227" spans="1:5" x14ac:dyDescent="0.25">
      <c r="A227">
        <v>0</v>
      </c>
      <c r="B227">
        <v>42921</v>
      </c>
      <c r="C227">
        <v>0.37008101851851855</v>
      </c>
      <c r="D227">
        <v>0.37175925925925923</v>
      </c>
      <c r="E227" s="2">
        <f t="shared" si="3"/>
        <v>1.6782407407406885E-3</v>
      </c>
    </row>
    <row r="228" spans="1:5" x14ac:dyDescent="0.25">
      <c r="A228">
        <v>0</v>
      </c>
      <c r="B228">
        <v>42921</v>
      </c>
      <c r="C228">
        <v>0.37361111111111112</v>
      </c>
      <c r="D228">
        <v>0.3772800925925926</v>
      </c>
      <c r="E228" s="2">
        <f t="shared" si="3"/>
        <v>3.6689814814814814E-3</v>
      </c>
    </row>
    <row r="229" spans="1:5" x14ac:dyDescent="0.25">
      <c r="A229">
        <v>0</v>
      </c>
      <c r="B229">
        <v>42921</v>
      </c>
      <c r="C229">
        <v>0.37711805555555555</v>
      </c>
      <c r="D229">
        <v>0.37886574074074075</v>
      </c>
      <c r="E229" s="2">
        <f t="shared" si="3"/>
        <v>1.7476851851851993E-3</v>
      </c>
    </row>
    <row r="230" spans="1:5" x14ac:dyDescent="0.25">
      <c r="A230">
        <v>0</v>
      </c>
      <c r="B230">
        <v>42921</v>
      </c>
      <c r="C230">
        <v>0.38180555555555556</v>
      </c>
      <c r="D230">
        <v>0.39295138888888886</v>
      </c>
      <c r="E230" s="2">
        <f t="shared" si="3"/>
        <v>1.1145833333333299E-2</v>
      </c>
    </row>
    <row r="231" spans="1:5" x14ac:dyDescent="0.25">
      <c r="A231">
        <v>0</v>
      </c>
      <c r="B231">
        <v>42921</v>
      </c>
      <c r="C231">
        <v>0.38335648148148149</v>
      </c>
      <c r="D231">
        <v>0.38451388888888888</v>
      </c>
      <c r="E231" s="2">
        <f t="shared" si="3"/>
        <v>1.1574074074073848E-3</v>
      </c>
    </row>
    <row r="232" spans="1:5" x14ac:dyDescent="0.25">
      <c r="A232">
        <v>0</v>
      </c>
      <c r="B232">
        <v>42921</v>
      </c>
      <c r="C232">
        <v>0.38633101851851853</v>
      </c>
      <c r="D232">
        <v>0.39391203703703703</v>
      </c>
      <c r="E232" s="2">
        <f t="shared" si="3"/>
        <v>7.5810185185185008E-3</v>
      </c>
    </row>
    <row r="233" spans="1:5" x14ac:dyDescent="0.25">
      <c r="A233">
        <v>0</v>
      </c>
      <c r="B233">
        <v>42921</v>
      </c>
      <c r="C233">
        <v>0.38976851851851851</v>
      </c>
      <c r="D233">
        <v>0.40090277777777777</v>
      </c>
      <c r="E233" s="2">
        <f t="shared" si="3"/>
        <v>1.113425925925926E-2</v>
      </c>
    </row>
    <row r="234" spans="1:5" x14ac:dyDescent="0.25">
      <c r="A234">
        <v>0</v>
      </c>
      <c r="B234">
        <v>42921</v>
      </c>
      <c r="C234">
        <v>0.39114583333333336</v>
      </c>
      <c r="D234">
        <v>0.39870370370370373</v>
      </c>
      <c r="E234" s="2">
        <f t="shared" si="3"/>
        <v>7.5578703703703676E-3</v>
      </c>
    </row>
    <row r="235" spans="1:5" x14ac:dyDescent="0.25">
      <c r="A235">
        <v>0</v>
      </c>
      <c r="B235">
        <v>42921</v>
      </c>
      <c r="C235">
        <v>0.3959375</v>
      </c>
      <c r="D235">
        <v>0.3982060185185185</v>
      </c>
      <c r="E235" s="2">
        <f t="shared" si="3"/>
        <v>2.2685185185185031E-3</v>
      </c>
    </row>
    <row r="236" spans="1:5" x14ac:dyDescent="0.25">
      <c r="A236">
        <v>0</v>
      </c>
      <c r="B236">
        <v>42921</v>
      </c>
      <c r="C236">
        <v>0.40074074074074073</v>
      </c>
      <c r="D236">
        <v>0.40766203703703702</v>
      </c>
      <c r="E236" s="2">
        <f t="shared" si="3"/>
        <v>6.9212962962962865E-3</v>
      </c>
    </row>
    <row r="237" spans="1:5" x14ac:dyDescent="0.25">
      <c r="A237">
        <v>0</v>
      </c>
      <c r="B237">
        <v>42921</v>
      </c>
      <c r="C237">
        <v>0.40517361111111111</v>
      </c>
      <c r="D237">
        <v>0.41189814814814812</v>
      </c>
      <c r="E237" s="2">
        <f t="shared" si="3"/>
        <v>6.724537037037015E-3</v>
      </c>
    </row>
    <row r="238" spans="1:5" x14ac:dyDescent="0.25">
      <c r="A238">
        <v>0</v>
      </c>
      <c r="B238">
        <v>42921</v>
      </c>
      <c r="C238">
        <v>0.4089814814814815</v>
      </c>
      <c r="D238">
        <v>0.41927083333333331</v>
      </c>
      <c r="E238" s="2">
        <f t="shared" si="3"/>
        <v>1.0289351851851813E-2</v>
      </c>
    </row>
    <row r="239" spans="1:5" x14ac:dyDescent="0.25">
      <c r="A239">
        <v>0</v>
      </c>
      <c r="B239">
        <v>42921</v>
      </c>
      <c r="C239">
        <v>0.41393518518518518</v>
      </c>
      <c r="D239">
        <v>0.42075231481481479</v>
      </c>
      <c r="E239" s="2">
        <f t="shared" si="3"/>
        <v>6.8171296296296036E-3</v>
      </c>
    </row>
    <row r="240" spans="1:5" x14ac:dyDescent="0.25">
      <c r="A240">
        <v>0</v>
      </c>
      <c r="B240">
        <v>42921</v>
      </c>
      <c r="C240">
        <v>0.41749999999999998</v>
      </c>
      <c r="D240">
        <v>0.42891203703703706</v>
      </c>
      <c r="E240" s="2">
        <f t="shared" si="3"/>
        <v>1.1412037037037082E-2</v>
      </c>
    </row>
    <row r="241" spans="1:5" x14ac:dyDescent="0.25">
      <c r="A241">
        <v>0</v>
      </c>
      <c r="B241">
        <v>42921</v>
      </c>
      <c r="C241">
        <v>0.41847222222222225</v>
      </c>
      <c r="D241">
        <v>0.42833333333333334</v>
      </c>
      <c r="E241" s="2">
        <f t="shared" si="3"/>
        <v>9.8611111111110983E-3</v>
      </c>
    </row>
    <row r="242" spans="1:5" x14ac:dyDescent="0.25">
      <c r="A242">
        <v>0</v>
      </c>
      <c r="B242">
        <v>42921</v>
      </c>
      <c r="C242">
        <v>0.42149305555555555</v>
      </c>
      <c r="D242">
        <v>0.42678240740740742</v>
      </c>
      <c r="E242" s="2">
        <f t="shared" si="3"/>
        <v>5.2893518518518645E-3</v>
      </c>
    </row>
    <row r="243" spans="1:5" x14ac:dyDescent="0.25">
      <c r="A243">
        <v>0</v>
      </c>
      <c r="B243">
        <v>42921</v>
      </c>
      <c r="C243">
        <v>0.42168981481481482</v>
      </c>
      <c r="D243">
        <v>0.42326388888888888</v>
      </c>
      <c r="E243" s="2">
        <f t="shared" si="3"/>
        <v>1.5740740740740611E-3</v>
      </c>
    </row>
    <row r="244" spans="1:5" x14ac:dyDescent="0.25">
      <c r="A244">
        <v>0</v>
      </c>
      <c r="B244">
        <v>42921</v>
      </c>
      <c r="C244">
        <v>0.42202546296296295</v>
      </c>
      <c r="D244">
        <v>0.42905092592592592</v>
      </c>
      <c r="E244" s="2">
        <f t="shared" si="3"/>
        <v>7.0254629629629695E-3</v>
      </c>
    </row>
    <row r="245" spans="1:5" x14ac:dyDescent="0.25">
      <c r="A245">
        <v>0</v>
      </c>
      <c r="B245">
        <v>42921</v>
      </c>
      <c r="C245">
        <v>0.42313657407407407</v>
      </c>
      <c r="D245">
        <v>0.42508101851851854</v>
      </c>
      <c r="E245" s="2">
        <f t="shared" si="3"/>
        <v>1.9444444444444708E-3</v>
      </c>
    </row>
    <row r="246" spans="1:5" x14ac:dyDescent="0.25">
      <c r="A246">
        <v>0</v>
      </c>
      <c r="B246">
        <v>42921</v>
      </c>
      <c r="C246">
        <v>0.42357638888888888</v>
      </c>
      <c r="D246">
        <v>0.4253587962962963</v>
      </c>
      <c r="E246" s="2">
        <f t="shared" si="3"/>
        <v>1.782407407407427E-3</v>
      </c>
    </row>
    <row r="247" spans="1:5" x14ac:dyDescent="0.25">
      <c r="A247">
        <v>0</v>
      </c>
      <c r="B247">
        <v>42921</v>
      </c>
      <c r="C247">
        <v>0.4274074074074074</v>
      </c>
      <c r="D247">
        <v>0.43408564814814815</v>
      </c>
      <c r="E247" s="2">
        <f t="shared" si="3"/>
        <v>6.6782407407407485E-3</v>
      </c>
    </row>
    <row r="248" spans="1:5" x14ac:dyDescent="0.25">
      <c r="A248">
        <v>0</v>
      </c>
      <c r="B248">
        <v>42921</v>
      </c>
      <c r="C248">
        <v>0.43084490740740738</v>
      </c>
      <c r="D248">
        <v>0.43738425925925928</v>
      </c>
      <c r="E248" s="2">
        <f t="shared" si="3"/>
        <v>6.5393518518518934E-3</v>
      </c>
    </row>
    <row r="249" spans="1:5" x14ac:dyDescent="0.25">
      <c r="A249">
        <v>0</v>
      </c>
      <c r="B249">
        <v>42921</v>
      </c>
      <c r="C249">
        <v>0.43234953703703705</v>
      </c>
      <c r="D249">
        <v>0.44233796296296296</v>
      </c>
      <c r="E249" s="2">
        <f t="shared" si="3"/>
        <v>9.9884259259259145E-3</v>
      </c>
    </row>
    <row r="250" spans="1:5" x14ac:dyDescent="0.25">
      <c r="A250">
        <v>0</v>
      </c>
      <c r="B250">
        <v>42921</v>
      </c>
      <c r="C250">
        <v>0.4362847222222222</v>
      </c>
      <c r="D250">
        <v>0.44714120370370369</v>
      </c>
      <c r="E250" s="2">
        <f t="shared" si="3"/>
        <v>1.0856481481481495E-2</v>
      </c>
    </row>
    <row r="251" spans="1:5" x14ac:dyDescent="0.25">
      <c r="A251">
        <v>0</v>
      </c>
      <c r="B251">
        <v>42921</v>
      </c>
      <c r="C251">
        <v>0.43898148148148147</v>
      </c>
      <c r="D251">
        <v>0.44800925925925927</v>
      </c>
      <c r="E251" s="2">
        <f t="shared" si="3"/>
        <v>9.0277777777778012E-3</v>
      </c>
    </row>
    <row r="252" spans="1:5" x14ac:dyDescent="0.25">
      <c r="A252">
        <v>0</v>
      </c>
      <c r="B252">
        <v>42921</v>
      </c>
      <c r="C252">
        <v>0.44148148148148147</v>
      </c>
      <c r="D252">
        <v>0.45222222222222225</v>
      </c>
      <c r="E252" s="2">
        <f t="shared" si="3"/>
        <v>1.0740740740740773E-2</v>
      </c>
    </row>
    <row r="253" spans="1:5" x14ac:dyDescent="0.25">
      <c r="A253">
        <v>0</v>
      </c>
      <c r="B253">
        <v>42921</v>
      </c>
      <c r="C253">
        <v>0.44383101851851853</v>
      </c>
      <c r="D253">
        <v>0.44697916666666665</v>
      </c>
      <c r="E253" s="2">
        <f t="shared" si="3"/>
        <v>3.1481481481481222E-3</v>
      </c>
    </row>
    <row r="254" spans="1:5" x14ac:dyDescent="0.25">
      <c r="A254">
        <v>0</v>
      </c>
      <c r="B254">
        <v>42921</v>
      </c>
      <c r="C254">
        <v>0.44436342592592593</v>
      </c>
      <c r="D254">
        <v>0.45106481481481481</v>
      </c>
      <c r="E254" s="2">
        <f t="shared" si="3"/>
        <v>6.7013888888888817E-3</v>
      </c>
    </row>
    <row r="255" spans="1:5" x14ac:dyDescent="0.25">
      <c r="A255">
        <v>0</v>
      </c>
      <c r="B255">
        <v>42921</v>
      </c>
      <c r="C255">
        <v>0.44962962962962966</v>
      </c>
      <c r="D255">
        <v>0.45341435185185186</v>
      </c>
      <c r="E255" s="2">
        <f t="shared" si="3"/>
        <v>3.7847222222222032E-3</v>
      </c>
    </row>
    <row r="256" spans="1:5" x14ac:dyDescent="0.25">
      <c r="A256">
        <v>0</v>
      </c>
      <c r="B256">
        <v>42921</v>
      </c>
      <c r="C256">
        <v>0.45445601851851852</v>
      </c>
      <c r="D256">
        <v>0.455625</v>
      </c>
      <c r="E256" s="2">
        <f t="shared" si="3"/>
        <v>1.1689814814814792E-3</v>
      </c>
    </row>
    <row r="257" spans="1:5" x14ac:dyDescent="0.25">
      <c r="A257">
        <v>0</v>
      </c>
      <c r="B257">
        <v>42921</v>
      </c>
      <c r="C257">
        <v>0.45565972222222223</v>
      </c>
      <c r="D257">
        <v>0.46090277777777777</v>
      </c>
      <c r="E257" s="2">
        <f t="shared" si="3"/>
        <v>5.2430555555555425E-3</v>
      </c>
    </row>
    <row r="258" spans="1:5" x14ac:dyDescent="0.25">
      <c r="A258">
        <v>0</v>
      </c>
      <c r="B258">
        <v>42921</v>
      </c>
      <c r="C258">
        <v>0.45825231481481482</v>
      </c>
      <c r="D258">
        <v>0.46818287037037037</v>
      </c>
      <c r="E258" s="2">
        <f t="shared" ref="E258:E321" si="4">D258-C258</f>
        <v>9.9305555555555536E-3</v>
      </c>
    </row>
    <row r="259" spans="1:5" x14ac:dyDescent="0.25">
      <c r="A259">
        <v>0</v>
      </c>
      <c r="B259">
        <v>42921</v>
      </c>
      <c r="C259">
        <v>0.46032407407407405</v>
      </c>
      <c r="D259">
        <v>0.46797453703703706</v>
      </c>
      <c r="E259" s="2">
        <f t="shared" si="4"/>
        <v>7.6504629629630116E-3</v>
      </c>
    </row>
    <row r="260" spans="1:5" x14ac:dyDescent="0.25">
      <c r="A260">
        <v>0</v>
      </c>
      <c r="B260">
        <v>42921</v>
      </c>
      <c r="C260">
        <v>0.46751157407407407</v>
      </c>
      <c r="D260">
        <v>0.46879629629629632</v>
      </c>
      <c r="E260" s="2">
        <f t="shared" si="4"/>
        <v>1.2847222222222565E-3</v>
      </c>
    </row>
    <row r="261" spans="1:5" x14ac:dyDescent="0.25">
      <c r="A261">
        <v>0</v>
      </c>
      <c r="B261">
        <v>42921</v>
      </c>
      <c r="C261">
        <v>0.47060185185185183</v>
      </c>
      <c r="D261">
        <v>0.47584490740740742</v>
      </c>
      <c r="E261" s="2">
        <f t="shared" si="4"/>
        <v>5.243055555555598E-3</v>
      </c>
    </row>
    <row r="262" spans="1:5" x14ac:dyDescent="0.25">
      <c r="A262">
        <v>0</v>
      </c>
      <c r="B262">
        <v>42921</v>
      </c>
      <c r="C262">
        <v>0.47296296296296297</v>
      </c>
      <c r="D262">
        <v>0.47506944444444443</v>
      </c>
      <c r="E262" s="2">
        <f t="shared" si="4"/>
        <v>2.1064814814814592E-3</v>
      </c>
    </row>
    <row r="263" spans="1:5" x14ac:dyDescent="0.25">
      <c r="A263">
        <v>0</v>
      </c>
      <c r="B263">
        <v>42921</v>
      </c>
      <c r="C263">
        <v>0.47431712962962963</v>
      </c>
      <c r="D263">
        <v>0.47746527777777775</v>
      </c>
      <c r="E263" s="2">
        <f t="shared" si="4"/>
        <v>3.1481481481481222E-3</v>
      </c>
    </row>
    <row r="264" spans="1:5" x14ac:dyDescent="0.25">
      <c r="A264">
        <v>0</v>
      </c>
      <c r="B264">
        <v>42921</v>
      </c>
      <c r="C264">
        <v>0.47684027777777777</v>
      </c>
      <c r="D264">
        <v>0.4824074074074074</v>
      </c>
      <c r="E264" s="2">
        <f t="shared" si="4"/>
        <v>5.5671296296296302E-3</v>
      </c>
    </row>
    <row r="265" spans="1:5" x14ac:dyDescent="0.25">
      <c r="A265">
        <v>0</v>
      </c>
      <c r="B265">
        <v>42921</v>
      </c>
      <c r="C265">
        <v>0.47972222222222222</v>
      </c>
      <c r="D265">
        <v>0.48660879629629628</v>
      </c>
      <c r="E265" s="2">
        <f t="shared" si="4"/>
        <v>6.8865740740740589E-3</v>
      </c>
    </row>
    <row r="266" spans="1:5" x14ac:dyDescent="0.25">
      <c r="A266">
        <v>0</v>
      </c>
      <c r="B266">
        <v>42921</v>
      </c>
      <c r="C266">
        <v>0.48149305555555555</v>
      </c>
      <c r="D266">
        <v>0.48582175925925924</v>
      </c>
      <c r="E266" s="2">
        <f t="shared" si="4"/>
        <v>4.3287037037036957E-3</v>
      </c>
    </row>
    <row r="267" spans="1:5" x14ac:dyDescent="0.25">
      <c r="A267">
        <v>0</v>
      </c>
      <c r="B267">
        <v>42921</v>
      </c>
      <c r="C267">
        <v>0.48554398148148148</v>
      </c>
      <c r="D267">
        <v>0.49553240740740739</v>
      </c>
      <c r="E267" s="2">
        <f t="shared" si="4"/>
        <v>9.9884259259259145E-3</v>
      </c>
    </row>
    <row r="268" spans="1:5" x14ac:dyDescent="0.25">
      <c r="A268">
        <v>0</v>
      </c>
      <c r="B268">
        <v>42921</v>
      </c>
      <c r="C268">
        <v>0.4871875</v>
      </c>
      <c r="D268">
        <v>0.49509259259259258</v>
      </c>
      <c r="E268" s="2">
        <f t="shared" si="4"/>
        <v>7.9050925925925886E-3</v>
      </c>
    </row>
    <row r="269" spans="1:5" x14ac:dyDescent="0.25">
      <c r="A269">
        <v>0</v>
      </c>
      <c r="B269">
        <v>42921</v>
      </c>
      <c r="C269">
        <v>0.48873842592592592</v>
      </c>
      <c r="D269">
        <v>0.49131944444444442</v>
      </c>
      <c r="E269" s="2">
        <f t="shared" si="4"/>
        <v>2.5810185185184964E-3</v>
      </c>
    </row>
    <row r="270" spans="1:5" x14ac:dyDescent="0.25">
      <c r="A270">
        <v>0</v>
      </c>
      <c r="B270">
        <v>42921</v>
      </c>
      <c r="C270">
        <v>0.49149305555555556</v>
      </c>
      <c r="D270">
        <v>0.49283564814814818</v>
      </c>
      <c r="E270" s="2">
        <f t="shared" si="4"/>
        <v>1.3425925925926174E-3</v>
      </c>
    </row>
    <row r="271" spans="1:5" x14ac:dyDescent="0.25">
      <c r="A271">
        <v>0</v>
      </c>
      <c r="B271">
        <v>42921</v>
      </c>
      <c r="C271">
        <v>0.49336805555555557</v>
      </c>
      <c r="D271">
        <v>0.49403935185185183</v>
      </c>
      <c r="E271" s="2">
        <f t="shared" si="4"/>
        <v>6.712962962962532E-4</v>
      </c>
    </row>
    <row r="272" spans="1:5" x14ac:dyDescent="0.25">
      <c r="A272">
        <v>0</v>
      </c>
      <c r="B272">
        <v>42921</v>
      </c>
      <c r="C272">
        <v>0.49571759259259257</v>
      </c>
      <c r="D272">
        <v>0.50516203703703699</v>
      </c>
      <c r="E272" s="2">
        <f t="shared" si="4"/>
        <v>9.444444444444422E-3</v>
      </c>
    </row>
    <row r="273" spans="1:5" x14ac:dyDescent="0.25">
      <c r="A273">
        <v>0</v>
      </c>
      <c r="B273">
        <v>42921</v>
      </c>
      <c r="C273">
        <v>0.49596064814814816</v>
      </c>
      <c r="D273">
        <v>0.49886574074074075</v>
      </c>
      <c r="E273" s="2">
        <f t="shared" si="4"/>
        <v>2.9050925925925841E-3</v>
      </c>
    </row>
    <row r="274" spans="1:5" x14ac:dyDescent="0.25">
      <c r="A274">
        <v>0</v>
      </c>
      <c r="B274">
        <v>42921</v>
      </c>
      <c r="C274">
        <v>0.50134259259259262</v>
      </c>
      <c r="D274">
        <v>0.50873842592592589</v>
      </c>
      <c r="E274" s="2">
        <f t="shared" si="4"/>
        <v>7.3958333333332682E-3</v>
      </c>
    </row>
    <row r="275" spans="1:5" x14ac:dyDescent="0.25">
      <c r="A275">
        <v>0</v>
      </c>
      <c r="B275">
        <v>42921</v>
      </c>
      <c r="C275">
        <v>0.50179398148148147</v>
      </c>
      <c r="D275">
        <v>0.50248842592592591</v>
      </c>
      <c r="E275" s="2">
        <f t="shared" si="4"/>
        <v>6.9444444444444198E-4</v>
      </c>
    </row>
    <row r="276" spans="1:5" x14ac:dyDescent="0.25">
      <c r="A276">
        <v>0</v>
      </c>
      <c r="B276">
        <v>42921</v>
      </c>
      <c r="C276">
        <v>0.50288194444444445</v>
      </c>
      <c r="D276">
        <v>0.51248842592592592</v>
      </c>
      <c r="E276" s="2">
        <f t="shared" si="4"/>
        <v>9.6064814814814659E-3</v>
      </c>
    </row>
    <row r="277" spans="1:5" x14ac:dyDescent="0.25">
      <c r="A277">
        <v>0</v>
      </c>
      <c r="B277">
        <v>42921</v>
      </c>
      <c r="C277">
        <v>0.50457175925925923</v>
      </c>
      <c r="D277">
        <v>0.51533564814814814</v>
      </c>
      <c r="E277" s="2">
        <f t="shared" si="4"/>
        <v>1.0763888888888906E-2</v>
      </c>
    </row>
    <row r="278" spans="1:5" x14ac:dyDescent="0.25">
      <c r="A278">
        <v>0</v>
      </c>
      <c r="B278">
        <v>42921</v>
      </c>
      <c r="C278">
        <v>0.51026620370370368</v>
      </c>
      <c r="D278">
        <v>0.51557870370370373</v>
      </c>
      <c r="E278" s="2">
        <f t="shared" si="4"/>
        <v>5.3125000000000533E-3</v>
      </c>
    </row>
    <row r="279" spans="1:5" x14ac:dyDescent="0.25">
      <c r="A279">
        <v>0</v>
      </c>
      <c r="B279">
        <v>42921</v>
      </c>
      <c r="C279">
        <v>0.51388888888888884</v>
      </c>
      <c r="D279">
        <v>0.51673611111111106</v>
      </c>
      <c r="E279" s="2">
        <f t="shared" si="4"/>
        <v>2.8472222222222232E-3</v>
      </c>
    </row>
    <row r="280" spans="1:5" x14ac:dyDescent="0.25">
      <c r="A280">
        <v>0</v>
      </c>
      <c r="B280">
        <v>42921</v>
      </c>
      <c r="C280">
        <v>0.51827546296296301</v>
      </c>
      <c r="D280">
        <v>0.51986111111111111</v>
      </c>
      <c r="E280" s="2">
        <f t="shared" si="4"/>
        <v>1.5856481481481E-3</v>
      </c>
    </row>
    <row r="281" spans="1:5" x14ac:dyDescent="0.25">
      <c r="A281">
        <v>0</v>
      </c>
      <c r="B281">
        <v>42921</v>
      </c>
      <c r="C281">
        <v>0.51884259259259258</v>
      </c>
      <c r="D281">
        <v>0.52637731481481487</v>
      </c>
      <c r="E281" s="2">
        <f t="shared" si="4"/>
        <v>7.5347222222222898E-3</v>
      </c>
    </row>
    <row r="282" spans="1:5" x14ac:dyDescent="0.25">
      <c r="A282">
        <v>0</v>
      </c>
      <c r="B282">
        <v>42921</v>
      </c>
      <c r="C282">
        <v>0.5242013888888889</v>
      </c>
      <c r="D282">
        <v>0.53452546296296299</v>
      </c>
      <c r="E282" s="2">
        <f t="shared" si="4"/>
        <v>1.0324074074074097E-2</v>
      </c>
    </row>
    <row r="283" spans="1:5" x14ac:dyDescent="0.25">
      <c r="A283">
        <v>0</v>
      </c>
      <c r="B283">
        <v>42921</v>
      </c>
      <c r="C283">
        <v>0.5250231481481481</v>
      </c>
      <c r="D283">
        <v>0.5264699074074074</v>
      </c>
      <c r="E283" s="2">
        <f t="shared" si="4"/>
        <v>1.4467592592593004E-3</v>
      </c>
    </row>
    <row r="284" spans="1:5" x14ac:dyDescent="0.25">
      <c r="A284">
        <v>0</v>
      </c>
      <c r="B284">
        <v>42921</v>
      </c>
      <c r="C284">
        <v>0.52607638888888886</v>
      </c>
      <c r="D284">
        <v>0.52662037037037035</v>
      </c>
      <c r="E284" s="2">
        <f t="shared" si="4"/>
        <v>5.439814814814925E-4</v>
      </c>
    </row>
    <row r="285" spans="1:5" x14ac:dyDescent="0.25">
      <c r="A285">
        <v>0</v>
      </c>
      <c r="B285">
        <v>42921</v>
      </c>
      <c r="C285">
        <v>0.52811342592592592</v>
      </c>
      <c r="D285">
        <v>0.53195601851851848</v>
      </c>
      <c r="E285" s="2">
        <f t="shared" si="4"/>
        <v>3.8425925925925641E-3</v>
      </c>
    </row>
    <row r="286" spans="1:5" x14ac:dyDescent="0.25">
      <c r="A286">
        <v>0</v>
      </c>
      <c r="B286">
        <v>42921</v>
      </c>
      <c r="C286">
        <v>0.53233796296296299</v>
      </c>
      <c r="D286">
        <v>0.54116898148148151</v>
      </c>
      <c r="E286" s="2">
        <f t="shared" si="4"/>
        <v>8.8310185185185297E-3</v>
      </c>
    </row>
    <row r="287" spans="1:5" x14ac:dyDescent="0.25">
      <c r="A287">
        <v>0</v>
      </c>
      <c r="B287">
        <v>42921</v>
      </c>
      <c r="C287">
        <v>0.53372685185185187</v>
      </c>
      <c r="D287">
        <v>0.53991898148148143</v>
      </c>
      <c r="E287" s="2">
        <f t="shared" si="4"/>
        <v>6.1921296296295614E-3</v>
      </c>
    </row>
    <row r="288" spans="1:5" x14ac:dyDescent="0.25">
      <c r="A288">
        <v>0</v>
      </c>
      <c r="B288">
        <v>42921</v>
      </c>
      <c r="C288">
        <v>0.53607638888888887</v>
      </c>
      <c r="D288">
        <v>0.54104166666666664</v>
      </c>
      <c r="E288" s="2">
        <f t="shared" si="4"/>
        <v>4.9652777777777768E-3</v>
      </c>
    </row>
    <row r="289" spans="1:5" x14ac:dyDescent="0.25">
      <c r="A289">
        <v>0</v>
      </c>
      <c r="B289">
        <v>42921</v>
      </c>
      <c r="C289">
        <v>0.53850694444444447</v>
      </c>
      <c r="D289">
        <v>0.53944444444444439</v>
      </c>
      <c r="E289" s="2">
        <f t="shared" si="4"/>
        <v>9.374999999999245E-4</v>
      </c>
    </row>
    <row r="290" spans="1:5" x14ac:dyDescent="0.25">
      <c r="A290">
        <v>0</v>
      </c>
      <c r="B290">
        <v>42921</v>
      </c>
      <c r="C290">
        <v>0.54194444444444445</v>
      </c>
      <c r="D290">
        <v>0.54666666666666663</v>
      </c>
      <c r="E290" s="2">
        <f t="shared" si="4"/>
        <v>4.7222222222221832E-3</v>
      </c>
    </row>
    <row r="291" spans="1:5" x14ac:dyDescent="0.25">
      <c r="A291">
        <v>0</v>
      </c>
      <c r="B291">
        <v>42921</v>
      </c>
      <c r="C291">
        <v>0.54609953703703706</v>
      </c>
      <c r="D291">
        <v>0.55435185185185187</v>
      </c>
      <c r="E291" s="2">
        <f t="shared" si="4"/>
        <v>8.2523148148148096E-3</v>
      </c>
    </row>
    <row r="292" spans="1:5" x14ac:dyDescent="0.25">
      <c r="A292">
        <v>0</v>
      </c>
      <c r="B292">
        <v>42921</v>
      </c>
      <c r="C292">
        <v>0.54809027777777775</v>
      </c>
      <c r="D292">
        <v>0.55568287037037034</v>
      </c>
      <c r="E292" s="2">
        <f t="shared" si="4"/>
        <v>7.5925925925925952E-3</v>
      </c>
    </row>
    <row r="293" spans="1:5" x14ac:dyDescent="0.25">
      <c r="A293">
        <v>0</v>
      </c>
      <c r="B293">
        <v>42921</v>
      </c>
      <c r="C293">
        <v>0.54857638888888893</v>
      </c>
      <c r="D293">
        <v>0.55879629629629635</v>
      </c>
      <c r="E293" s="2">
        <f t="shared" si="4"/>
        <v>1.0219907407407414E-2</v>
      </c>
    </row>
    <row r="294" spans="1:5" x14ac:dyDescent="0.25">
      <c r="A294">
        <v>0</v>
      </c>
      <c r="B294">
        <v>42921</v>
      </c>
      <c r="C294">
        <v>0.54859953703703701</v>
      </c>
      <c r="D294">
        <v>0.55990740740740741</v>
      </c>
      <c r="E294" s="2">
        <f t="shared" si="4"/>
        <v>1.1307870370370399E-2</v>
      </c>
    </row>
    <row r="295" spans="1:5" x14ac:dyDescent="0.25">
      <c r="A295">
        <v>0</v>
      </c>
      <c r="B295">
        <v>42921</v>
      </c>
      <c r="C295">
        <v>0.55166666666666664</v>
      </c>
      <c r="D295">
        <v>0.55865740740740744</v>
      </c>
      <c r="E295" s="2">
        <f t="shared" si="4"/>
        <v>6.9907407407407973E-3</v>
      </c>
    </row>
    <row r="296" spans="1:5" x14ac:dyDescent="0.25">
      <c r="A296">
        <v>0</v>
      </c>
      <c r="B296">
        <v>42921</v>
      </c>
      <c r="C296">
        <v>0.55266203703703709</v>
      </c>
      <c r="D296">
        <v>0.56405092592592587</v>
      </c>
      <c r="E296" s="2">
        <f t="shared" si="4"/>
        <v>1.1388888888888782E-2</v>
      </c>
    </row>
    <row r="297" spans="1:5" x14ac:dyDescent="0.25">
      <c r="A297">
        <v>0</v>
      </c>
      <c r="B297">
        <v>42921</v>
      </c>
      <c r="C297">
        <v>0.55269675925925921</v>
      </c>
      <c r="D297">
        <v>0.56355324074074076</v>
      </c>
      <c r="E297" s="2">
        <f t="shared" si="4"/>
        <v>1.085648148148155E-2</v>
      </c>
    </row>
    <row r="298" spans="1:5" x14ac:dyDescent="0.25">
      <c r="A298">
        <v>0</v>
      </c>
      <c r="B298">
        <v>42921</v>
      </c>
      <c r="C298">
        <v>0.55847222222222226</v>
      </c>
      <c r="D298">
        <v>0.56166666666666665</v>
      </c>
      <c r="E298" s="2">
        <f t="shared" si="4"/>
        <v>3.1944444444443887E-3</v>
      </c>
    </row>
    <row r="299" spans="1:5" x14ac:dyDescent="0.25">
      <c r="A299">
        <v>0</v>
      </c>
      <c r="B299">
        <v>42921</v>
      </c>
      <c r="C299">
        <v>0.56106481481481485</v>
      </c>
      <c r="D299">
        <v>0.56716435185185188</v>
      </c>
      <c r="E299" s="2">
        <f t="shared" si="4"/>
        <v>6.0995370370370283E-3</v>
      </c>
    </row>
    <row r="300" spans="1:5" x14ac:dyDescent="0.25">
      <c r="A300">
        <v>0</v>
      </c>
      <c r="B300">
        <v>42921</v>
      </c>
      <c r="C300">
        <v>0.56361111111111106</v>
      </c>
      <c r="D300">
        <v>0.57469907407407406</v>
      </c>
      <c r="E300" s="2">
        <f t="shared" si="4"/>
        <v>1.1087962962962994E-2</v>
      </c>
    </row>
    <row r="301" spans="1:5" x14ac:dyDescent="0.25">
      <c r="A301">
        <v>0</v>
      </c>
      <c r="B301">
        <v>42921</v>
      </c>
      <c r="C301">
        <v>0.56568287037037035</v>
      </c>
      <c r="D301">
        <v>0.56981481481481477</v>
      </c>
      <c r="E301" s="2">
        <f t="shared" si="4"/>
        <v>4.1319444444444242E-3</v>
      </c>
    </row>
    <row r="302" spans="1:5" x14ac:dyDescent="0.25">
      <c r="A302">
        <v>0</v>
      </c>
      <c r="B302">
        <v>42921</v>
      </c>
      <c r="C302">
        <v>0.56703703703703701</v>
      </c>
      <c r="D302">
        <v>0.57664351851851847</v>
      </c>
      <c r="E302" s="2">
        <f t="shared" si="4"/>
        <v>9.6064814814814659E-3</v>
      </c>
    </row>
    <row r="303" spans="1:5" x14ac:dyDescent="0.25">
      <c r="A303">
        <v>0</v>
      </c>
      <c r="B303">
        <v>42921</v>
      </c>
      <c r="C303">
        <v>0.57192129629629629</v>
      </c>
      <c r="D303">
        <v>0.57506944444444441</v>
      </c>
      <c r="E303" s="2">
        <f t="shared" si="4"/>
        <v>3.1481481481481222E-3</v>
      </c>
    </row>
    <row r="304" spans="1:5" x14ac:dyDescent="0.25">
      <c r="A304">
        <v>0</v>
      </c>
      <c r="B304">
        <v>42921</v>
      </c>
      <c r="C304">
        <v>0.57589120370370372</v>
      </c>
      <c r="D304">
        <v>0.57648148148148148</v>
      </c>
      <c r="E304" s="2">
        <f t="shared" si="4"/>
        <v>5.9027777777775903E-4</v>
      </c>
    </row>
    <row r="305" spans="1:5" x14ac:dyDescent="0.25">
      <c r="A305">
        <v>0</v>
      </c>
      <c r="B305">
        <v>42921</v>
      </c>
      <c r="C305">
        <v>0.5786458333333333</v>
      </c>
      <c r="D305">
        <v>0.57954861111111111</v>
      </c>
      <c r="E305" s="2">
        <f t="shared" si="4"/>
        <v>9.0277777777780788E-4</v>
      </c>
    </row>
    <row r="306" spans="1:5" x14ac:dyDescent="0.25">
      <c r="A306">
        <v>0</v>
      </c>
      <c r="B306">
        <v>42921</v>
      </c>
      <c r="C306">
        <v>0.57876157407407403</v>
      </c>
      <c r="D306">
        <v>0.5811574074074074</v>
      </c>
      <c r="E306" s="2">
        <f t="shared" si="4"/>
        <v>2.3958333333333748E-3</v>
      </c>
    </row>
    <row r="307" spans="1:5" x14ac:dyDescent="0.25">
      <c r="A307">
        <v>0</v>
      </c>
      <c r="B307">
        <v>42921</v>
      </c>
      <c r="C307">
        <v>0.57901620370370366</v>
      </c>
      <c r="D307">
        <v>0.58940972222222221</v>
      </c>
      <c r="E307" s="2">
        <f t="shared" si="4"/>
        <v>1.0393518518518552E-2</v>
      </c>
    </row>
    <row r="308" spans="1:5" x14ac:dyDescent="0.25">
      <c r="A308">
        <v>0</v>
      </c>
      <c r="B308">
        <v>42921</v>
      </c>
      <c r="C308">
        <v>0.58275462962962965</v>
      </c>
      <c r="D308">
        <v>0.5852546296296296</v>
      </c>
      <c r="E308" s="2">
        <f t="shared" si="4"/>
        <v>2.4999999999999467E-3</v>
      </c>
    </row>
    <row r="309" spans="1:5" x14ac:dyDescent="0.25">
      <c r="A309">
        <v>0</v>
      </c>
      <c r="B309">
        <v>42921</v>
      </c>
      <c r="C309">
        <v>0.58829861111111115</v>
      </c>
      <c r="D309">
        <v>0.59641203703703705</v>
      </c>
      <c r="E309" s="2">
        <f t="shared" si="4"/>
        <v>8.113425925925899E-3</v>
      </c>
    </row>
    <row r="310" spans="1:5" x14ac:dyDescent="0.25">
      <c r="A310">
        <v>0</v>
      </c>
      <c r="B310">
        <v>42921</v>
      </c>
      <c r="C310">
        <v>0.59281249999999996</v>
      </c>
      <c r="D310">
        <v>0.59871527777777778</v>
      </c>
      <c r="E310" s="2">
        <f t="shared" si="4"/>
        <v>5.9027777777778123E-3</v>
      </c>
    </row>
    <row r="311" spans="1:5" x14ac:dyDescent="0.25">
      <c r="A311">
        <v>0</v>
      </c>
      <c r="B311">
        <v>42921</v>
      </c>
      <c r="C311">
        <v>0.59557870370370369</v>
      </c>
      <c r="D311">
        <v>0.59930555555555554</v>
      </c>
      <c r="E311" s="2">
        <f t="shared" si="4"/>
        <v>3.7268518518518423E-3</v>
      </c>
    </row>
    <row r="312" spans="1:5" x14ac:dyDescent="0.25">
      <c r="A312">
        <v>0</v>
      </c>
      <c r="B312">
        <v>42921</v>
      </c>
      <c r="C312">
        <v>0.59718749999999998</v>
      </c>
      <c r="D312">
        <v>0.60711805555555554</v>
      </c>
      <c r="E312" s="2">
        <f t="shared" si="4"/>
        <v>9.9305555555555536E-3</v>
      </c>
    </row>
    <row r="313" spans="1:5" x14ac:dyDescent="0.25">
      <c r="A313">
        <v>0</v>
      </c>
      <c r="B313">
        <v>42921</v>
      </c>
      <c r="C313">
        <v>0.59803240740740737</v>
      </c>
      <c r="D313">
        <v>0.60223379629629625</v>
      </c>
      <c r="E313" s="2">
        <f t="shared" si="4"/>
        <v>4.2013888888888795E-3</v>
      </c>
    </row>
    <row r="314" spans="1:5" x14ac:dyDescent="0.25">
      <c r="A314">
        <v>0</v>
      </c>
      <c r="B314">
        <v>42921</v>
      </c>
      <c r="C314">
        <v>0.5982291666666667</v>
      </c>
      <c r="D314">
        <v>0.60077546296296291</v>
      </c>
      <c r="E314" s="2">
        <f t="shared" si="4"/>
        <v>2.5462962962962132E-3</v>
      </c>
    </row>
    <row r="315" spans="1:5" x14ac:dyDescent="0.25">
      <c r="A315">
        <v>0</v>
      </c>
      <c r="B315">
        <v>42921</v>
      </c>
      <c r="C315">
        <v>0.60070601851851857</v>
      </c>
      <c r="D315">
        <v>0.6075694444444445</v>
      </c>
      <c r="E315" s="2">
        <f t="shared" si="4"/>
        <v>6.8634259259259256E-3</v>
      </c>
    </row>
    <row r="316" spans="1:5" x14ac:dyDescent="0.25">
      <c r="A316">
        <v>0</v>
      </c>
      <c r="B316">
        <v>42921</v>
      </c>
      <c r="C316">
        <v>0.60379629629629628</v>
      </c>
      <c r="D316">
        <v>0.6139930555555555</v>
      </c>
      <c r="E316" s="2">
        <f t="shared" si="4"/>
        <v>1.0196759259259225E-2</v>
      </c>
    </row>
    <row r="317" spans="1:5" x14ac:dyDescent="0.25">
      <c r="A317">
        <v>0</v>
      </c>
      <c r="B317">
        <v>42921</v>
      </c>
      <c r="C317">
        <v>0.6040740740740741</v>
      </c>
      <c r="D317">
        <v>0.61181712962962964</v>
      </c>
      <c r="E317" s="2">
        <f t="shared" si="4"/>
        <v>7.7430555555555447E-3</v>
      </c>
    </row>
    <row r="318" spans="1:5" x14ac:dyDescent="0.25">
      <c r="A318">
        <v>0</v>
      </c>
      <c r="B318">
        <v>42921</v>
      </c>
      <c r="C318">
        <v>0.60660879629629627</v>
      </c>
      <c r="D318">
        <v>0.6086921296296296</v>
      </c>
      <c r="E318" s="2">
        <f t="shared" si="4"/>
        <v>2.0833333333333259E-3</v>
      </c>
    </row>
    <row r="319" spans="1:5" x14ac:dyDescent="0.25">
      <c r="A319">
        <v>0</v>
      </c>
      <c r="B319">
        <v>42921</v>
      </c>
      <c r="C319">
        <v>0.60927083333333332</v>
      </c>
      <c r="D319">
        <v>0.61127314814814815</v>
      </c>
      <c r="E319" s="2">
        <f t="shared" si="4"/>
        <v>2.0023148148148318E-3</v>
      </c>
    </row>
    <row r="320" spans="1:5" x14ac:dyDescent="0.25">
      <c r="A320">
        <v>0</v>
      </c>
      <c r="B320">
        <v>42921</v>
      </c>
      <c r="C320">
        <v>0.61251157407407408</v>
      </c>
      <c r="D320">
        <v>0.61998842592592596</v>
      </c>
      <c r="E320" s="2">
        <f t="shared" si="4"/>
        <v>7.4768518518518734E-3</v>
      </c>
    </row>
    <row r="321" spans="1:5" x14ac:dyDescent="0.25">
      <c r="A321">
        <v>0</v>
      </c>
      <c r="B321">
        <v>42921</v>
      </c>
      <c r="C321">
        <v>0.61430555555555555</v>
      </c>
      <c r="D321">
        <v>0.61843749999999997</v>
      </c>
      <c r="E321" s="2">
        <f t="shared" si="4"/>
        <v>4.1319444444444242E-3</v>
      </c>
    </row>
    <row r="322" spans="1:5" x14ac:dyDescent="0.25">
      <c r="A322">
        <v>0</v>
      </c>
      <c r="B322">
        <v>42921</v>
      </c>
      <c r="C322">
        <v>0.61957175925925922</v>
      </c>
      <c r="D322">
        <v>0.62241898148148145</v>
      </c>
      <c r="E322" s="2">
        <f t="shared" ref="E322:E385" si="5">D322-C322</f>
        <v>2.8472222222222232E-3</v>
      </c>
    </row>
    <row r="323" spans="1:5" x14ac:dyDescent="0.25">
      <c r="A323">
        <v>0</v>
      </c>
      <c r="B323">
        <v>42921</v>
      </c>
      <c r="C323">
        <v>0.62047453703703703</v>
      </c>
      <c r="D323">
        <v>0.62715277777777778</v>
      </c>
      <c r="E323" s="2">
        <f t="shared" si="5"/>
        <v>6.6782407407407485E-3</v>
      </c>
    </row>
    <row r="324" spans="1:5" x14ac:dyDescent="0.25">
      <c r="A324">
        <v>0</v>
      </c>
      <c r="B324">
        <v>42921</v>
      </c>
      <c r="C324">
        <v>0.62094907407407407</v>
      </c>
      <c r="D324">
        <v>0.62687499999999996</v>
      </c>
      <c r="E324" s="2">
        <f t="shared" si="5"/>
        <v>5.9259259259258901E-3</v>
      </c>
    </row>
    <row r="325" spans="1:5" x14ac:dyDescent="0.25">
      <c r="A325">
        <v>0</v>
      </c>
      <c r="B325">
        <v>42921</v>
      </c>
      <c r="C325">
        <v>0.62251157407407409</v>
      </c>
      <c r="D325">
        <v>0.6234143518518519</v>
      </c>
      <c r="E325" s="2">
        <f t="shared" si="5"/>
        <v>9.0277777777780788E-4</v>
      </c>
    </row>
    <row r="326" spans="1:5" x14ac:dyDescent="0.25">
      <c r="A326">
        <v>0</v>
      </c>
      <c r="B326">
        <v>42921</v>
      </c>
      <c r="C326">
        <v>0.62403935185185189</v>
      </c>
      <c r="D326">
        <v>0.62936342592592598</v>
      </c>
      <c r="E326" s="2">
        <f t="shared" si="5"/>
        <v>5.3240740740740922E-3</v>
      </c>
    </row>
    <row r="327" spans="1:5" x14ac:dyDescent="0.25">
      <c r="A327">
        <v>0</v>
      </c>
      <c r="B327">
        <v>42921</v>
      </c>
      <c r="C327">
        <v>0.62589120370370366</v>
      </c>
      <c r="D327">
        <v>0.62774305555555554</v>
      </c>
      <c r="E327" s="2">
        <f t="shared" si="5"/>
        <v>1.8518518518518823E-3</v>
      </c>
    </row>
    <row r="328" spans="1:5" x14ac:dyDescent="0.25">
      <c r="A328">
        <v>0</v>
      </c>
      <c r="B328">
        <v>42922</v>
      </c>
      <c r="C328">
        <v>0.33555555555555555</v>
      </c>
      <c r="D328">
        <v>0.34137731481481481</v>
      </c>
      <c r="E328" s="2">
        <f t="shared" si="5"/>
        <v>5.8217592592592626E-3</v>
      </c>
    </row>
    <row r="329" spans="1:5" x14ac:dyDescent="0.25">
      <c r="A329">
        <v>0</v>
      </c>
      <c r="B329">
        <v>42922</v>
      </c>
      <c r="C329">
        <v>0.33814814814814814</v>
      </c>
      <c r="D329">
        <v>0.34232638888888889</v>
      </c>
      <c r="E329" s="2">
        <f t="shared" si="5"/>
        <v>4.1782407407407463E-3</v>
      </c>
    </row>
    <row r="330" spans="1:5" x14ac:dyDescent="0.25">
      <c r="A330">
        <v>0</v>
      </c>
      <c r="B330">
        <v>42922</v>
      </c>
      <c r="C330">
        <v>0.34349537037037037</v>
      </c>
      <c r="D330">
        <v>0.34965277777777776</v>
      </c>
      <c r="E330" s="2">
        <f t="shared" si="5"/>
        <v>6.1574074074073892E-3</v>
      </c>
    </row>
    <row r="331" spans="1:5" x14ac:dyDescent="0.25">
      <c r="A331">
        <v>0</v>
      </c>
      <c r="B331">
        <v>42922</v>
      </c>
      <c r="C331">
        <v>0.34708333333333335</v>
      </c>
      <c r="D331">
        <v>0.34912037037037036</v>
      </c>
      <c r="E331" s="2">
        <f t="shared" si="5"/>
        <v>2.0370370370370039E-3</v>
      </c>
    </row>
    <row r="332" spans="1:5" x14ac:dyDescent="0.25">
      <c r="A332">
        <v>0</v>
      </c>
      <c r="B332">
        <v>42922</v>
      </c>
      <c r="C332">
        <v>0.35163194444444446</v>
      </c>
      <c r="D332">
        <v>0.35670138888888892</v>
      </c>
      <c r="E332" s="2">
        <f t="shared" si="5"/>
        <v>5.0694444444444597E-3</v>
      </c>
    </row>
    <row r="333" spans="1:5" x14ac:dyDescent="0.25">
      <c r="A333">
        <v>0</v>
      </c>
      <c r="B333">
        <v>42922</v>
      </c>
      <c r="C333">
        <v>0.35531249999999998</v>
      </c>
      <c r="D333">
        <v>0.3630902777777778</v>
      </c>
      <c r="E333" s="2">
        <f t="shared" si="5"/>
        <v>7.7777777777778279E-3</v>
      </c>
    </row>
    <row r="334" spans="1:5" x14ac:dyDescent="0.25">
      <c r="A334">
        <v>0</v>
      </c>
      <c r="B334">
        <v>42922</v>
      </c>
      <c r="C334">
        <v>0.36097222222222225</v>
      </c>
      <c r="D334">
        <v>0.36534722222222221</v>
      </c>
      <c r="E334" s="2">
        <f t="shared" si="5"/>
        <v>4.3749999999999623E-3</v>
      </c>
    </row>
    <row r="335" spans="1:5" x14ac:dyDescent="0.25">
      <c r="A335">
        <v>0</v>
      </c>
      <c r="B335">
        <v>42922</v>
      </c>
      <c r="C335">
        <v>0.36618055555555556</v>
      </c>
      <c r="D335">
        <v>0.37038194444444444</v>
      </c>
      <c r="E335" s="2">
        <f t="shared" si="5"/>
        <v>4.2013888888888795E-3</v>
      </c>
    </row>
    <row r="336" spans="1:5" x14ac:dyDescent="0.25">
      <c r="A336">
        <v>0</v>
      </c>
      <c r="B336">
        <v>42922</v>
      </c>
      <c r="C336">
        <v>0.3664351851851852</v>
      </c>
      <c r="D336">
        <v>0.37646990740740743</v>
      </c>
      <c r="E336" s="2">
        <f t="shared" si="5"/>
        <v>1.0034722222222237E-2</v>
      </c>
    </row>
    <row r="337" spans="1:5" x14ac:dyDescent="0.25">
      <c r="A337">
        <v>0</v>
      </c>
      <c r="B337">
        <v>42922</v>
      </c>
      <c r="C337">
        <v>0.37092592592592594</v>
      </c>
      <c r="D337">
        <v>0.37193287037037037</v>
      </c>
      <c r="E337" s="2">
        <f t="shared" si="5"/>
        <v>1.0069444444444353E-3</v>
      </c>
    </row>
    <row r="338" spans="1:5" x14ac:dyDescent="0.25">
      <c r="A338">
        <v>0</v>
      </c>
      <c r="B338">
        <v>42922</v>
      </c>
      <c r="C338">
        <v>0.37333333333333335</v>
      </c>
      <c r="D338">
        <v>0.37968750000000001</v>
      </c>
      <c r="E338" s="2">
        <f t="shared" si="5"/>
        <v>6.3541666666666607E-3</v>
      </c>
    </row>
    <row r="339" spans="1:5" x14ac:dyDescent="0.25">
      <c r="A339">
        <v>0</v>
      </c>
      <c r="B339">
        <v>42922</v>
      </c>
      <c r="C339">
        <v>0.37799768518518517</v>
      </c>
      <c r="D339">
        <v>0.38377314814814817</v>
      </c>
      <c r="E339" s="2">
        <f t="shared" si="5"/>
        <v>5.7754629629629961E-3</v>
      </c>
    </row>
    <row r="340" spans="1:5" x14ac:dyDescent="0.25">
      <c r="A340">
        <v>0</v>
      </c>
      <c r="B340">
        <v>42922</v>
      </c>
      <c r="C340">
        <v>0.37913194444444442</v>
      </c>
      <c r="D340">
        <v>0.3800115740740741</v>
      </c>
      <c r="E340" s="2">
        <f t="shared" si="5"/>
        <v>8.7962962962967461E-4</v>
      </c>
    </row>
    <row r="341" spans="1:5" x14ac:dyDescent="0.25">
      <c r="A341">
        <v>0</v>
      </c>
      <c r="B341">
        <v>42922</v>
      </c>
      <c r="C341">
        <v>0.38156250000000003</v>
      </c>
      <c r="D341">
        <v>0.3878240740740741</v>
      </c>
      <c r="E341" s="2">
        <f t="shared" si="5"/>
        <v>6.2615740740740722E-3</v>
      </c>
    </row>
    <row r="342" spans="1:5" x14ac:dyDescent="0.25">
      <c r="A342">
        <v>0</v>
      </c>
      <c r="B342">
        <v>42922</v>
      </c>
      <c r="C342">
        <v>0.38416666666666666</v>
      </c>
      <c r="D342">
        <v>0.39554398148148145</v>
      </c>
      <c r="E342" s="2">
        <f t="shared" si="5"/>
        <v>1.1377314814814798E-2</v>
      </c>
    </row>
    <row r="343" spans="1:5" x14ac:dyDescent="0.25">
      <c r="A343">
        <v>0</v>
      </c>
      <c r="B343">
        <v>42922</v>
      </c>
      <c r="C343">
        <v>0.38806712962962964</v>
      </c>
      <c r="D343">
        <v>0.39144675925925926</v>
      </c>
      <c r="E343" s="2">
        <f t="shared" si="5"/>
        <v>3.3796296296296213E-3</v>
      </c>
    </row>
    <row r="344" spans="1:5" x14ac:dyDescent="0.25">
      <c r="A344">
        <v>0</v>
      </c>
      <c r="B344">
        <v>42922</v>
      </c>
      <c r="C344">
        <v>0.38960648148148147</v>
      </c>
      <c r="D344">
        <v>0.39498842592592592</v>
      </c>
      <c r="E344" s="2">
        <f t="shared" si="5"/>
        <v>5.3819444444444531E-3</v>
      </c>
    </row>
    <row r="345" spans="1:5" x14ac:dyDescent="0.25">
      <c r="A345">
        <v>0</v>
      </c>
      <c r="B345">
        <v>42922</v>
      </c>
      <c r="C345">
        <v>0.39466435185185184</v>
      </c>
      <c r="D345">
        <v>0.40501157407407407</v>
      </c>
      <c r="E345" s="2">
        <f t="shared" si="5"/>
        <v>1.034722222222223E-2</v>
      </c>
    </row>
    <row r="346" spans="1:5" x14ac:dyDescent="0.25">
      <c r="A346">
        <v>0</v>
      </c>
      <c r="B346">
        <v>42922</v>
      </c>
      <c r="C346">
        <v>0.39613425925925927</v>
      </c>
      <c r="D346">
        <v>0.39868055555555554</v>
      </c>
      <c r="E346" s="2">
        <f t="shared" si="5"/>
        <v>2.5462962962962687E-3</v>
      </c>
    </row>
    <row r="347" spans="1:5" x14ac:dyDescent="0.25">
      <c r="A347">
        <v>0</v>
      </c>
      <c r="B347">
        <v>42922</v>
      </c>
      <c r="C347">
        <v>0.39956018518518521</v>
      </c>
      <c r="D347">
        <v>0.40025462962962965</v>
      </c>
      <c r="E347" s="2">
        <f t="shared" si="5"/>
        <v>6.9444444444444198E-4</v>
      </c>
    </row>
    <row r="348" spans="1:5" x14ac:dyDescent="0.25">
      <c r="A348">
        <v>0</v>
      </c>
      <c r="B348">
        <v>42922</v>
      </c>
      <c r="C348">
        <v>0.40255787037037039</v>
      </c>
      <c r="D348">
        <v>0.40554398148148146</v>
      </c>
      <c r="E348" s="2">
        <f t="shared" si="5"/>
        <v>2.9861111111110783E-3</v>
      </c>
    </row>
    <row r="349" spans="1:5" x14ac:dyDescent="0.25">
      <c r="A349">
        <v>0</v>
      </c>
      <c r="B349">
        <v>42922</v>
      </c>
      <c r="C349">
        <v>0.40559027777777779</v>
      </c>
      <c r="D349">
        <v>0.41425925925925927</v>
      </c>
      <c r="E349" s="2">
        <f t="shared" si="5"/>
        <v>8.6689814814814858E-3</v>
      </c>
    </row>
    <row r="350" spans="1:5" x14ac:dyDescent="0.25">
      <c r="A350">
        <v>0</v>
      </c>
      <c r="B350">
        <v>42922</v>
      </c>
      <c r="C350">
        <v>0.40645833333333331</v>
      </c>
      <c r="D350">
        <v>0.41598379629629628</v>
      </c>
      <c r="E350" s="2">
        <f t="shared" si="5"/>
        <v>9.5254629629629717E-3</v>
      </c>
    </row>
    <row r="351" spans="1:5" x14ac:dyDescent="0.25">
      <c r="A351">
        <v>0</v>
      </c>
      <c r="B351">
        <v>42922</v>
      </c>
      <c r="C351">
        <v>0.41142361111111109</v>
      </c>
      <c r="D351">
        <v>0.42168981481481482</v>
      </c>
      <c r="E351" s="2">
        <f t="shared" si="5"/>
        <v>1.0266203703703736E-2</v>
      </c>
    </row>
    <row r="352" spans="1:5" x14ac:dyDescent="0.25">
      <c r="A352">
        <v>0</v>
      </c>
      <c r="B352">
        <v>42922</v>
      </c>
      <c r="C352">
        <v>0.4129976851851852</v>
      </c>
      <c r="D352">
        <v>0.41953703703703704</v>
      </c>
      <c r="E352" s="2">
        <f t="shared" si="5"/>
        <v>6.5393518518518379E-3</v>
      </c>
    </row>
    <row r="353" spans="1:5" x14ac:dyDescent="0.25">
      <c r="A353">
        <v>0</v>
      </c>
      <c r="B353">
        <v>42922</v>
      </c>
      <c r="C353">
        <v>0.41351851851851851</v>
      </c>
      <c r="D353">
        <v>0.41670138888888891</v>
      </c>
      <c r="E353" s="2">
        <f t="shared" si="5"/>
        <v>3.1828703703704053E-3</v>
      </c>
    </row>
    <row r="354" spans="1:5" x14ac:dyDescent="0.25">
      <c r="A354">
        <v>0</v>
      </c>
      <c r="B354">
        <v>42922</v>
      </c>
      <c r="C354">
        <v>0.41638888888888886</v>
      </c>
      <c r="D354">
        <v>0.42116898148148146</v>
      </c>
      <c r="E354" s="2">
        <f t="shared" si="5"/>
        <v>4.7800925925925997E-3</v>
      </c>
    </row>
    <row r="355" spans="1:5" x14ac:dyDescent="0.25">
      <c r="A355">
        <v>0</v>
      </c>
      <c r="B355">
        <v>42922</v>
      </c>
      <c r="C355">
        <v>0.41684027777777777</v>
      </c>
      <c r="D355">
        <v>0.4230902777777778</v>
      </c>
      <c r="E355" s="2">
        <f t="shared" si="5"/>
        <v>6.2500000000000333E-3</v>
      </c>
    </row>
    <row r="356" spans="1:5" x14ac:dyDescent="0.25">
      <c r="A356">
        <v>0</v>
      </c>
      <c r="B356">
        <v>42922</v>
      </c>
      <c r="C356">
        <v>0.42046296296296298</v>
      </c>
      <c r="D356">
        <v>0.42086805555555556</v>
      </c>
      <c r="E356" s="2">
        <f t="shared" si="5"/>
        <v>4.050925925925819E-4</v>
      </c>
    </row>
    <row r="357" spans="1:5" x14ac:dyDescent="0.25">
      <c r="A357">
        <v>0</v>
      </c>
      <c r="B357">
        <v>42922</v>
      </c>
      <c r="C357">
        <v>0.42144675925925928</v>
      </c>
      <c r="D357">
        <v>0.43079861111111112</v>
      </c>
      <c r="E357" s="2">
        <f t="shared" si="5"/>
        <v>9.3518518518518334E-3</v>
      </c>
    </row>
    <row r="358" spans="1:5" x14ac:dyDescent="0.25">
      <c r="A358">
        <v>0</v>
      </c>
      <c r="B358">
        <v>42922</v>
      </c>
      <c r="C358">
        <v>0.42482638888888891</v>
      </c>
      <c r="D358">
        <v>0.43292824074074077</v>
      </c>
      <c r="E358" s="2">
        <f t="shared" si="5"/>
        <v>8.1018518518518601E-3</v>
      </c>
    </row>
    <row r="359" spans="1:5" x14ac:dyDescent="0.25">
      <c r="A359">
        <v>0</v>
      </c>
      <c r="B359">
        <v>42922</v>
      </c>
      <c r="C359">
        <v>0.42880787037037038</v>
      </c>
      <c r="D359">
        <v>0.44034722222222222</v>
      </c>
      <c r="E359" s="2">
        <f t="shared" si="5"/>
        <v>1.1539351851851842E-2</v>
      </c>
    </row>
    <row r="360" spans="1:5" x14ac:dyDescent="0.25">
      <c r="A360">
        <v>0</v>
      </c>
      <c r="B360">
        <v>42922</v>
      </c>
      <c r="C360">
        <v>0.42920138888888887</v>
      </c>
      <c r="D360">
        <v>0.43532407407407409</v>
      </c>
      <c r="E360" s="2">
        <f t="shared" si="5"/>
        <v>6.1226851851852171E-3</v>
      </c>
    </row>
    <row r="361" spans="1:5" x14ac:dyDescent="0.25">
      <c r="A361">
        <v>0</v>
      </c>
      <c r="B361">
        <v>42922</v>
      </c>
      <c r="C361">
        <v>0.43037037037037035</v>
      </c>
      <c r="D361">
        <v>0.4344675925925926</v>
      </c>
      <c r="E361" s="2">
        <f t="shared" si="5"/>
        <v>4.0972222222222521E-3</v>
      </c>
    </row>
    <row r="362" spans="1:5" x14ac:dyDescent="0.25">
      <c r="A362">
        <v>0</v>
      </c>
      <c r="B362">
        <v>42922</v>
      </c>
      <c r="C362">
        <v>0.43266203703703704</v>
      </c>
      <c r="D362">
        <v>0.44364583333333335</v>
      </c>
      <c r="E362" s="2">
        <f t="shared" si="5"/>
        <v>1.0983796296296311E-2</v>
      </c>
    </row>
    <row r="363" spans="1:5" x14ac:dyDescent="0.25">
      <c r="A363">
        <v>0</v>
      </c>
      <c r="B363">
        <v>42922</v>
      </c>
      <c r="C363">
        <v>0.43590277777777775</v>
      </c>
      <c r="D363">
        <v>0.44127314814814816</v>
      </c>
      <c r="E363" s="2">
        <f t="shared" si="5"/>
        <v>5.3703703703704142E-3</v>
      </c>
    </row>
    <row r="364" spans="1:5" x14ac:dyDescent="0.25">
      <c r="A364">
        <v>0</v>
      </c>
      <c r="B364">
        <v>42922</v>
      </c>
      <c r="C364">
        <v>0.44063657407407408</v>
      </c>
      <c r="D364">
        <v>0.44285879629629632</v>
      </c>
      <c r="E364" s="2">
        <f t="shared" si="5"/>
        <v>2.2222222222222365E-3</v>
      </c>
    </row>
    <row r="365" spans="1:5" x14ac:dyDescent="0.25">
      <c r="A365">
        <v>0</v>
      </c>
      <c r="B365">
        <v>42922</v>
      </c>
      <c r="C365">
        <v>0.44200231481481483</v>
      </c>
      <c r="D365">
        <v>0.44886574074074076</v>
      </c>
      <c r="E365" s="2">
        <f t="shared" si="5"/>
        <v>6.8634259259259256E-3</v>
      </c>
    </row>
    <row r="366" spans="1:5" x14ac:dyDescent="0.25">
      <c r="A366">
        <v>0</v>
      </c>
      <c r="B366">
        <v>42922</v>
      </c>
      <c r="C366">
        <v>0.44350694444444444</v>
      </c>
      <c r="D366">
        <v>0.44528935185185187</v>
      </c>
      <c r="E366" s="2">
        <f t="shared" si="5"/>
        <v>1.782407407407427E-3</v>
      </c>
    </row>
    <row r="367" spans="1:5" x14ac:dyDescent="0.25">
      <c r="A367">
        <v>0</v>
      </c>
      <c r="B367">
        <v>42922</v>
      </c>
      <c r="C367">
        <v>0.44452546296296297</v>
      </c>
      <c r="D367">
        <v>0.44923611111111111</v>
      </c>
      <c r="E367" s="2">
        <f t="shared" si="5"/>
        <v>4.7106481481481444E-3</v>
      </c>
    </row>
    <row r="368" spans="1:5" x14ac:dyDescent="0.25">
      <c r="A368">
        <v>0</v>
      </c>
      <c r="B368">
        <v>42922</v>
      </c>
      <c r="C368">
        <v>0.44871527777777775</v>
      </c>
      <c r="D368">
        <v>0.45627314814814812</v>
      </c>
      <c r="E368" s="2">
        <f t="shared" si="5"/>
        <v>7.5578703703703676E-3</v>
      </c>
    </row>
    <row r="369" spans="1:5" x14ac:dyDescent="0.25">
      <c r="A369">
        <v>0</v>
      </c>
      <c r="B369">
        <v>42922</v>
      </c>
      <c r="C369">
        <v>0.45281250000000001</v>
      </c>
      <c r="D369">
        <v>0.45374999999999999</v>
      </c>
      <c r="E369" s="2">
        <f t="shared" si="5"/>
        <v>9.3749999999998002E-4</v>
      </c>
    </row>
    <row r="370" spans="1:5" x14ac:dyDescent="0.25">
      <c r="A370">
        <v>0</v>
      </c>
      <c r="B370">
        <v>42922</v>
      </c>
      <c r="C370">
        <v>0.45401620370370371</v>
      </c>
      <c r="D370">
        <v>0.46406249999999999</v>
      </c>
      <c r="E370" s="2">
        <f t="shared" si="5"/>
        <v>1.0046296296296275E-2</v>
      </c>
    </row>
    <row r="371" spans="1:5" x14ac:dyDescent="0.25">
      <c r="A371">
        <v>0</v>
      </c>
      <c r="B371">
        <v>42922</v>
      </c>
      <c r="C371">
        <v>0.4584259259259259</v>
      </c>
      <c r="D371">
        <v>0.46380787037037036</v>
      </c>
      <c r="E371" s="2">
        <f t="shared" si="5"/>
        <v>5.3819444444444531E-3</v>
      </c>
    </row>
    <row r="372" spans="1:5" x14ac:dyDescent="0.25">
      <c r="A372">
        <v>0</v>
      </c>
      <c r="B372">
        <v>42922</v>
      </c>
      <c r="C372">
        <v>0.45853009259259259</v>
      </c>
      <c r="D372">
        <v>0.46674768518518517</v>
      </c>
      <c r="E372" s="2">
        <f t="shared" si="5"/>
        <v>8.2175925925925819E-3</v>
      </c>
    </row>
    <row r="373" spans="1:5" x14ac:dyDescent="0.25">
      <c r="A373">
        <v>0</v>
      </c>
      <c r="B373">
        <v>42922</v>
      </c>
      <c r="C373">
        <v>0.4613888888888889</v>
      </c>
      <c r="D373">
        <v>0.46836805555555555</v>
      </c>
      <c r="E373" s="2">
        <f t="shared" si="5"/>
        <v>6.9791666666666474E-3</v>
      </c>
    </row>
    <row r="374" spans="1:5" x14ac:dyDescent="0.25">
      <c r="A374">
        <v>0</v>
      </c>
      <c r="B374">
        <v>42922</v>
      </c>
      <c r="C374">
        <v>0.46322916666666669</v>
      </c>
      <c r="D374">
        <v>0.4642013888888889</v>
      </c>
      <c r="E374" s="2">
        <f t="shared" si="5"/>
        <v>9.7222222222220767E-4</v>
      </c>
    </row>
    <row r="375" spans="1:5" x14ac:dyDescent="0.25">
      <c r="A375">
        <v>0</v>
      </c>
      <c r="B375">
        <v>42922</v>
      </c>
      <c r="C375">
        <v>0.46339120370370368</v>
      </c>
      <c r="D375">
        <v>0.47425925925925927</v>
      </c>
      <c r="E375" s="2">
        <f t="shared" si="5"/>
        <v>1.0868055555555589E-2</v>
      </c>
    </row>
    <row r="376" spans="1:5" x14ac:dyDescent="0.25">
      <c r="A376">
        <v>0</v>
      </c>
      <c r="B376">
        <v>42922</v>
      </c>
      <c r="C376">
        <v>0.46871527777777777</v>
      </c>
      <c r="D376">
        <v>0.47319444444444442</v>
      </c>
      <c r="E376" s="2">
        <f t="shared" si="5"/>
        <v>4.4791666666666452E-3</v>
      </c>
    </row>
    <row r="377" spans="1:5" x14ac:dyDescent="0.25">
      <c r="A377">
        <v>0</v>
      </c>
      <c r="B377">
        <v>42922</v>
      </c>
      <c r="C377">
        <v>0.47395833333333331</v>
      </c>
      <c r="D377">
        <v>0.47423611111111114</v>
      </c>
      <c r="E377" s="2">
        <f t="shared" si="5"/>
        <v>2.777777777778212E-4</v>
      </c>
    </row>
    <row r="378" spans="1:5" x14ac:dyDescent="0.25">
      <c r="A378">
        <v>0</v>
      </c>
      <c r="B378">
        <v>42922</v>
      </c>
      <c r="C378">
        <v>0.47865740740740742</v>
      </c>
      <c r="D378">
        <v>0.48923611111111109</v>
      </c>
      <c r="E378" s="2">
        <f t="shared" si="5"/>
        <v>1.0578703703703674E-2</v>
      </c>
    </row>
    <row r="379" spans="1:5" x14ac:dyDescent="0.25">
      <c r="A379">
        <v>0</v>
      </c>
      <c r="B379">
        <v>42922</v>
      </c>
      <c r="C379">
        <v>0.48</v>
      </c>
      <c r="D379">
        <v>0.48539351851851853</v>
      </c>
      <c r="E379" s="2">
        <f t="shared" si="5"/>
        <v>5.3935185185185475E-3</v>
      </c>
    </row>
    <row r="380" spans="1:5" x14ac:dyDescent="0.25">
      <c r="A380">
        <v>0</v>
      </c>
      <c r="B380">
        <v>42922</v>
      </c>
      <c r="C380">
        <v>0.48478009259259258</v>
      </c>
      <c r="D380">
        <v>0.49233796296296295</v>
      </c>
      <c r="E380" s="2">
        <f t="shared" si="5"/>
        <v>7.5578703703703676E-3</v>
      </c>
    </row>
    <row r="381" spans="1:5" x14ac:dyDescent="0.25">
      <c r="A381">
        <v>0</v>
      </c>
      <c r="B381">
        <v>42922</v>
      </c>
      <c r="C381">
        <v>0.48605324074074074</v>
      </c>
      <c r="D381">
        <v>0.49381944444444442</v>
      </c>
      <c r="E381" s="2">
        <f t="shared" si="5"/>
        <v>7.766203703703678E-3</v>
      </c>
    </row>
    <row r="382" spans="1:5" x14ac:dyDescent="0.25">
      <c r="A382">
        <v>0</v>
      </c>
      <c r="B382">
        <v>42922</v>
      </c>
      <c r="C382">
        <v>0.4887037037037037</v>
      </c>
      <c r="D382">
        <v>0.49343749999999997</v>
      </c>
      <c r="E382" s="2">
        <f t="shared" si="5"/>
        <v>4.7337962962962776E-3</v>
      </c>
    </row>
    <row r="383" spans="1:5" x14ac:dyDescent="0.25">
      <c r="A383">
        <v>0</v>
      </c>
      <c r="B383">
        <v>42922</v>
      </c>
      <c r="C383">
        <v>0.49236111111111114</v>
      </c>
      <c r="D383">
        <v>0.49780092592592595</v>
      </c>
      <c r="E383" s="2">
        <f t="shared" si="5"/>
        <v>5.439814814814814E-3</v>
      </c>
    </row>
    <row r="384" spans="1:5" x14ac:dyDescent="0.25">
      <c r="A384">
        <v>0</v>
      </c>
      <c r="B384">
        <v>42922</v>
      </c>
      <c r="C384">
        <v>0.49372685185185183</v>
      </c>
      <c r="D384">
        <v>0.50436342592592598</v>
      </c>
      <c r="E384" s="2">
        <f t="shared" si="5"/>
        <v>1.0636574074074145E-2</v>
      </c>
    </row>
    <row r="385" spans="1:5" x14ac:dyDescent="0.25">
      <c r="A385">
        <v>0</v>
      </c>
      <c r="B385">
        <v>42922</v>
      </c>
      <c r="C385">
        <v>0.49387731481481484</v>
      </c>
      <c r="D385">
        <v>0.50420138888888888</v>
      </c>
      <c r="E385" s="2">
        <f t="shared" si="5"/>
        <v>1.0324074074074041E-2</v>
      </c>
    </row>
    <row r="386" spans="1:5" x14ac:dyDescent="0.25">
      <c r="A386">
        <v>0</v>
      </c>
      <c r="B386">
        <v>42922</v>
      </c>
      <c r="C386">
        <v>0.49438657407407405</v>
      </c>
      <c r="D386">
        <v>0.49909722222222225</v>
      </c>
      <c r="E386" s="2">
        <f t="shared" ref="E386:E449" si="6">D386-C386</f>
        <v>4.7106481481481999E-3</v>
      </c>
    </row>
    <row r="387" spans="1:5" x14ac:dyDescent="0.25">
      <c r="A387">
        <v>0</v>
      </c>
      <c r="B387">
        <v>42922</v>
      </c>
      <c r="C387">
        <v>0.49910879629629629</v>
      </c>
      <c r="D387">
        <v>0.5009837962962963</v>
      </c>
      <c r="E387" s="2">
        <f t="shared" si="6"/>
        <v>1.8750000000000155E-3</v>
      </c>
    </row>
    <row r="388" spans="1:5" x14ac:dyDescent="0.25">
      <c r="A388">
        <v>0</v>
      </c>
      <c r="B388">
        <v>42922</v>
      </c>
      <c r="C388">
        <v>0.50342592592592594</v>
      </c>
      <c r="D388">
        <v>0.51392361111111107</v>
      </c>
      <c r="E388" s="2">
        <f t="shared" si="6"/>
        <v>1.0497685185185124E-2</v>
      </c>
    </row>
    <row r="389" spans="1:5" x14ac:dyDescent="0.25">
      <c r="A389">
        <v>0</v>
      </c>
      <c r="B389">
        <v>42922</v>
      </c>
      <c r="C389">
        <v>0.50700231481481484</v>
      </c>
      <c r="D389">
        <v>0.51186342592592593</v>
      </c>
      <c r="E389" s="2">
        <f t="shared" si="6"/>
        <v>4.8611111111110938E-3</v>
      </c>
    </row>
    <row r="390" spans="1:5" x14ac:dyDescent="0.25">
      <c r="A390">
        <v>0</v>
      </c>
      <c r="B390">
        <v>42922</v>
      </c>
      <c r="C390">
        <v>0.5119097222222222</v>
      </c>
      <c r="D390">
        <v>0.52288194444444447</v>
      </c>
      <c r="E390" s="2">
        <f t="shared" si="6"/>
        <v>1.0972222222222272E-2</v>
      </c>
    </row>
    <row r="391" spans="1:5" x14ac:dyDescent="0.25">
      <c r="A391">
        <v>0</v>
      </c>
      <c r="B391">
        <v>42922</v>
      </c>
      <c r="C391">
        <v>0.51452546296296298</v>
      </c>
      <c r="D391">
        <v>0.51570601851851849</v>
      </c>
      <c r="E391" s="2">
        <f t="shared" si="6"/>
        <v>1.1805555555555181E-3</v>
      </c>
    </row>
    <row r="392" spans="1:5" x14ac:dyDescent="0.25">
      <c r="A392">
        <v>0</v>
      </c>
      <c r="B392">
        <v>42922</v>
      </c>
      <c r="C392">
        <v>0.51556712962962958</v>
      </c>
      <c r="D392">
        <v>0.52572916666666669</v>
      </c>
      <c r="E392" s="2">
        <f t="shared" si="6"/>
        <v>1.0162037037037108E-2</v>
      </c>
    </row>
    <row r="393" spans="1:5" x14ac:dyDescent="0.25">
      <c r="A393">
        <v>0</v>
      </c>
      <c r="B393">
        <v>42922</v>
      </c>
      <c r="C393">
        <v>0.51858796296296295</v>
      </c>
      <c r="D393">
        <v>0.52776620370370375</v>
      </c>
      <c r="E393" s="2">
        <f t="shared" si="6"/>
        <v>9.1782407407408062E-3</v>
      </c>
    </row>
    <row r="394" spans="1:5" x14ac:dyDescent="0.25">
      <c r="A394">
        <v>0</v>
      </c>
      <c r="B394">
        <v>42922</v>
      </c>
      <c r="C394">
        <v>0.52217592592592588</v>
      </c>
      <c r="D394">
        <v>0.53173611111111108</v>
      </c>
      <c r="E394" s="2">
        <f t="shared" si="6"/>
        <v>9.5601851851851993E-3</v>
      </c>
    </row>
    <row r="395" spans="1:5" x14ac:dyDescent="0.25">
      <c r="A395">
        <v>0</v>
      </c>
      <c r="B395">
        <v>42922</v>
      </c>
      <c r="C395">
        <v>0.528900462962963</v>
      </c>
      <c r="D395">
        <v>0.53740740740740744</v>
      </c>
      <c r="E395" s="2">
        <f t="shared" si="6"/>
        <v>8.506944444444442E-3</v>
      </c>
    </row>
    <row r="396" spans="1:5" x14ac:dyDescent="0.25">
      <c r="A396">
        <v>0</v>
      </c>
      <c r="B396">
        <v>42922</v>
      </c>
      <c r="C396">
        <v>0.52986111111111112</v>
      </c>
      <c r="D396">
        <v>0.53047453703703706</v>
      </c>
      <c r="E396" s="2">
        <f t="shared" si="6"/>
        <v>6.134259259259478E-4</v>
      </c>
    </row>
    <row r="397" spans="1:5" x14ac:dyDescent="0.25">
      <c r="A397">
        <v>0</v>
      </c>
      <c r="B397">
        <v>42922</v>
      </c>
      <c r="C397">
        <v>0.53134259259259264</v>
      </c>
      <c r="D397">
        <v>0.53738425925925926</v>
      </c>
      <c r="E397" s="2">
        <f t="shared" si="6"/>
        <v>6.0416666666666119E-3</v>
      </c>
    </row>
    <row r="398" spans="1:5" x14ac:dyDescent="0.25">
      <c r="A398">
        <v>0</v>
      </c>
      <c r="B398">
        <v>42922</v>
      </c>
      <c r="C398">
        <v>0.533599537037037</v>
      </c>
      <c r="D398">
        <v>0.53469907407407402</v>
      </c>
      <c r="E398" s="2">
        <f t="shared" si="6"/>
        <v>1.0995370370370239E-3</v>
      </c>
    </row>
    <row r="399" spans="1:5" x14ac:dyDescent="0.25">
      <c r="A399">
        <v>0</v>
      </c>
      <c r="B399">
        <v>42922</v>
      </c>
      <c r="C399">
        <v>0.53796296296296298</v>
      </c>
      <c r="D399">
        <v>0.54479166666666667</v>
      </c>
      <c r="E399" s="2">
        <f t="shared" si="6"/>
        <v>6.8287037037036979E-3</v>
      </c>
    </row>
    <row r="400" spans="1:5" x14ac:dyDescent="0.25">
      <c r="A400">
        <v>0</v>
      </c>
      <c r="B400">
        <v>42922</v>
      </c>
      <c r="C400">
        <v>0.54072916666666671</v>
      </c>
      <c r="D400">
        <v>0.544525462962963</v>
      </c>
      <c r="E400" s="2">
        <f t="shared" si="6"/>
        <v>3.7962962962962976E-3</v>
      </c>
    </row>
    <row r="401" spans="1:5" x14ac:dyDescent="0.25">
      <c r="A401">
        <v>0</v>
      </c>
      <c r="B401">
        <v>42922</v>
      </c>
      <c r="C401">
        <v>0.54082175925925924</v>
      </c>
      <c r="D401">
        <v>0.54995370370370367</v>
      </c>
      <c r="E401" s="2">
        <f t="shared" si="6"/>
        <v>9.1319444444444287E-3</v>
      </c>
    </row>
    <row r="402" spans="1:5" x14ac:dyDescent="0.25">
      <c r="A402">
        <v>0</v>
      </c>
      <c r="B402">
        <v>42922</v>
      </c>
      <c r="C402">
        <v>0.54207175925925921</v>
      </c>
      <c r="D402">
        <v>0.54953703703703705</v>
      </c>
      <c r="E402" s="2">
        <f t="shared" si="6"/>
        <v>7.4652777777778345E-3</v>
      </c>
    </row>
    <row r="403" spans="1:5" x14ac:dyDescent="0.25">
      <c r="A403">
        <v>0</v>
      </c>
      <c r="B403">
        <v>42922</v>
      </c>
      <c r="C403">
        <v>0.54693287037037042</v>
      </c>
      <c r="D403">
        <v>0.54781250000000004</v>
      </c>
      <c r="E403" s="2">
        <f t="shared" si="6"/>
        <v>8.796296296296191E-4</v>
      </c>
    </row>
    <row r="404" spans="1:5" x14ac:dyDescent="0.25">
      <c r="A404">
        <v>0</v>
      </c>
      <c r="B404">
        <v>42922</v>
      </c>
      <c r="C404">
        <v>0.55115740740740737</v>
      </c>
      <c r="D404">
        <v>0.55248842592592595</v>
      </c>
      <c r="E404" s="2">
        <f t="shared" si="6"/>
        <v>1.3310185185185786E-3</v>
      </c>
    </row>
    <row r="405" spans="1:5" x14ac:dyDescent="0.25">
      <c r="A405">
        <v>0</v>
      </c>
      <c r="B405">
        <v>42922</v>
      </c>
      <c r="C405">
        <v>0.55269675925925921</v>
      </c>
      <c r="D405">
        <v>0.56017361111111108</v>
      </c>
      <c r="E405" s="2">
        <f t="shared" si="6"/>
        <v>7.4768518518518734E-3</v>
      </c>
    </row>
    <row r="406" spans="1:5" x14ac:dyDescent="0.25">
      <c r="A406">
        <v>0</v>
      </c>
      <c r="B406">
        <v>42922</v>
      </c>
      <c r="C406">
        <v>0.55652777777777773</v>
      </c>
      <c r="D406">
        <v>0.55682870370370374</v>
      </c>
      <c r="E406" s="2">
        <f t="shared" si="6"/>
        <v>3.0092592592600997E-4</v>
      </c>
    </row>
    <row r="407" spans="1:5" x14ac:dyDescent="0.25">
      <c r="A407">
        <v>0</v>
      </c>
      <c r="B407">
        <v>42922</v>
      </c>
      <c r="C407">
        <v>0.55969907407407404</v>
      </c>
      <c r="D407">
        <v>0.5655324074074074</v>
      </c>
      <c r="E407" s="2">
        <f t="shared" si="6"/>
        <v>5.833333333333357E-3</v>
      </c>
    </row>
    <row r="408" spans="1:5" x14ac:dyDescent="0.25">
      <c r="A408">
        <v>0</v>
      </c>
      <c r="B408">
        <v>42922</v>
      </c>
      <c r="C408">
        <v>0.55982638888888892</v>
      </c>
      <c r="D408">
        <v>0.57039351851851849</v>
      </c>
      <c r="E408" s="2">
        <f t="shared" si="6"/>
        <v>1.0567129629629579E-2</v>
      </c>
    </row>
    <row r="409" spans="1:5" x14ac:dyDescent="0.25">
      <c r="A409">
        <v>0</v>
      </c>
      <c r="B409">
        <v>42922</v>
      </c>
      <c r="C409">
        <v>0.56123842592592588</v>
      </c>
      <c r="D409">
        <v>0.56376157407407412</v>
      </c>
      <c r="E409" s="2">
        <f t="shared" si="6"/>
        <v>2.5231481481482465E-3</v>
      </c>
    </row>
    <row r="410" spans="1:5" x14ac:dyDescent="0.25">
      <c r="A410">
        <v>0</v>
      </c>
      <c r="B410">
        <v>42922</v>
      </c>
      <c r="C410">
        <v>0.56671296296296292</v>
      </c>
      <c r="D410">
        <v>0.56832175925925921</v>
      </c>
      <c r="E410" s="2">
        <f t="shared" si="6"/>
        <v>1.6087962962962887E-3</v>
      </c>
    </row>
    <row r="411" spans="1:5" x14ac:dyDescent="0.25">
      <c r="A411">
        <v>0</v>
      </c>
      <c r="B411">
        <v>42922</v>
      </c>
      <c r="C411">
        <v>0.56738425925925928</v>
      </c>
      <c r="D411">
        <v>0.578587962962963</v>
      </c>
      <c r="E411" s="2">
        <f t="shared" si="6"/>
        <v>1.1203703703703716E-2</v>
      </c>
    </row>
    <row r="412" spans="1:5" x14ac:dyDescent="0.25">
      <c r="A412">
        <v>0</v>
      </c>
      <c r="B412">
        <v>42922</v>
      </c>
      <c r="C412">
        <v>0.57164351851851847</v>
      </c>
      <c r="D412">
        <v>0.57528935185185182</v>
      </c>
      <c r="E412" s="2">
        <f t="shared" si="6"/>
        <v>3.6458333333333481E-3</v>
      </c>
    </row>
    <row r="413" spans="1:5" x14ac:dyDescent="0.25">
      <c r="A413">
        <v>0</v>
      </c>
      <c r="B413">
        <v>42922</v>
      </c>
      <c r="C413">
        <v>0.57399305555555558</v>
      </c>
      <c r="D413">
        <v>0.58403935185185185</v>
      </c>
      <c r="E413" s="2">
        <f t="shared" si="6"/>
        <v>1.0046296296296275E-2</v>
      </c>
    </row>
    <row r="414" spans="1:5" x14ac:dyDescent="0.25">
      <c r="A414">
        <v>0</v>
      </c>
      <c r="B414">
        <v>42922</v>
      </c>
      <c r="C414">
        <v>0.57586805555555554</v>
      </c>
      <c r="D414">
        <v>0.57981481481481478</v>
      </c>
      <c r="E414" s="2">
        <f t="shared" si="6"/>
        <v>3.9467592592592471E-3</v>
      </c>
    </row>
    <row r="415" spans="1:5" x14ac:dyDescent="0.25">
      <c r="A415">
        <v>0</v>
      </c>
      <c r="B415">
        <v>42922</v>
      </c>
      <c r="C415">
        <v>0.57592592592592595</v>
      </c>
      <c r="D415">
        <v>0.57924768518518521</v>
      </c>
      <c r="E415" s="2">
        <f t="shared" si="6"/>
        <v>3.3217592592592604E-3</v>
      </c>
    </row>
    <row r="416" spans="1:5" x14ac:dyDescent="0.25">
      <c r="A416">
        <v>0</v>
      </c>
      <c r="B416">
        <v>42922</v>
      </c>
      <c r="C416">
        <v>0.57737268518518514</v>
      </c>
      <c r="D416">
        <v>0.58391203703703709</v>
      </c>
      <c r="E416" s="2">
        <f t="shared" si="6"/>
        <v>6.5393518518519489E-3</v>
      </c>
    </row>
    <row r="417" spans="1:5" x14ac:dyDescent="0.25">
      <c r="A417">
        <v>0</v>
      </c>
      <c r="B417">
        <v>42922</v>
      </c>
      <c r="C417">
        <v>0.5827430555555555</v>
      </c>
      <c r="D417">
        <v>0.58309027777777778</v>
      </c>
      <c r="E417" s="2">
        <f t="shared" si="6"/>
        <v>3.472222222222765E-4</v>
      </c>
    </row>
    <row r="418" spans="1:5" x14ac:dyDescent="0.25">
      <c r="A418">
        <v>0</v>
      </c>
      <c r="B418">
        <v>42922</v>
      </c>
      <c r="C418">
        <v>0.58496527777777774</v>
      </c>
      <c r="D418">
        <v>0.59334490740740742</v>
      </c>
      <c r="E418" s="2">
        <f t="shared" si="6"/>
        <v>8.3796296296296813E-3</v>
      </c>
    </row>
    <row r="419" spans="1:5" x14ac:dyDescent="0.25">
      <c r="A419">
        <v>0</v>
      </c>
      <c r="B419">
        <v>42922</v>
      </c>
      <c r="C419">
        <v>0.58890046296296295</v>
      </c>
      <c r="D419">
        <v>0.59614583333333337</v>
      </c>
      <c r="E419" s="2">
        <f t="shared" si="6"/>
        <v>7.2453703703704297E-3</v>
      </c>
    </row>
    <row r="420" spans="1:5" x14ac:dyDescent="0.25">
      <c r="A420">
        <v>0</v>
      </c>
      <c r="B420">
        <v>42922</v>
      </c>
      <c r="C420">
        <v>0.59182870370370366</v>
      </c>
      <c r="D420">
        <v>0.59376157407407404</v>
      </c>
      <c r="E420" s="2">
        <f t="shared" si="6"/>
        <v>1.9328703703703765E-3</v>
      </c>
    </row>
    <row r="421" spans="1:5" x14ac:dyDescent="0.25">
      <c r="A421">
        <v>0</v>
      </c>
      <c r="B421">
        <v>42922</v>
      </c>
      <c r="C421">
        <v>0.59666666666666668</v>
      </c>
      <c r="D421">
        <v>0.5975462962962963</v>
      </c>
      <c r="E421" s="2">
        <f t="shared" si="6"/>
        <v>8.796296296296191E-4</v>
      </c>
    </row>
    <row r="422" spans="1:5" x14ac:dyDescent="0.25">
      <c r="A422">
        <v>0</v>
      </c>
      <c r="B422">
        <v>42922</v>
      </c>
      <c r="C422">
        <v>0.60146990740740736</v>
      </c>
      <c r="D422">
        <v>0.60932870370370373</v>
      </c>
      <c r="E422" s="2">
        <f t="shared" si="6"/>
        <v>7.8587962962963775E-3</v>
      </c>
    </row>
    <row r="423" spans="1:5" x14ac:dyDescent="0.25">
      <c r="A423">
        <v>0</v>
      </c>
      <c r="B423">
        <v>42922</v>
      </c>
      <c r="C423">
        <v>0.60247685185185185</v>
      </c>
      <c r="D423">
        <v>0.60782407407407413</v>
      </c>
      <c r="E423" s="2">
        <f t="shared" si="6"/>
        <v>5.3472222222222809E-3</v>
      </c>
    </row>
    <row r="424" spans="1:5" x14ac:dyDescent="0.25">
      <c r="A424">
        <v>0</v>
      </c>
      <c r="B424">
        <v>42922</v>
      </c>
      <c r="C424">
        <v>0.60774305555555552</v>
      </c>
      <c r="D424">
        <v>0.61297453703703708</v>
      </c>
      <c r="E424" s="2">
        <f t="shared" si="6"/>
        <v>5.2314814814815591E-3</v>
      </c>
    </row>
    <row r="425" spans="1:5" x14ac:dyDescent="0.25">
      <c r="A425">
        <v>0</v>
      </c>
      <c r="B425">
        <v>42922</v>
      </c>
      <c r="C425">
        <v>0.611724537037037</v>
      </c>
      <c r="D425">
        <v>0.62217592592592597</v>
      </c>
      <c r="E425" s="2">
        <f t="shared" si="6"/>
        <v>1.0451388888888968E-2</v>
      </c>
    </row>
    <row r="426" spans="1:5" x14ac:dyDescent="0.25">
      <c r="A426">
        <v>0</v>
      </c>
      <c r="B426">
        <v>42922</v>
      </c>
      <c r="C426">
        <v>0.6139930555555555</v>
      </c>
      <c r="D426">
        <v>0.62364583333333334</v>
      </c>
      <c r="E426" s="2">
        <f t="shared" si="6"/>
        <v>9.6527777777778434E-3</v>
      </c>
    </row>
    <row r="427" spans="1:5" x14ac:dyDescent="0.25">
      <c r="A427">
        <v>0</v>
      </c>
      <c r="B427">
        <v>42922</v>
      </c>
      <c r="C427">
        <v>0.61871527777777779</v>
      </c>
      <c r="D427">
        <v>0.62458333333333338</v>
      </c>
      <c r="E427" s="2">
        <f t="shared" si="6"/>
        <v>5.8680555555555847E-3</v>
      </c>
    </row>
    <row r="428" spans="1:5" x14ac:dyDescent="0.25">
      <c r="A428">
        <v>0</v>
      </c>
      <c r="B428">
        <v>42922</v>
      </c>
      <c r="C428">
        <v>0.6237731481481481</v>
      </c>
      <c r="D428">
        <v>0.63299768518518518</v>
      </c>
      <c r="E428" s="2">
        <f t="shared" si="6"/>
        <v>9.2245370370370727E-3</v>
      </c>
    </row>
    <row r="429" spans="1:5" x14ac:dyDescent="0.25">
      <c r="A429">
        <v>0</v>
      </c>
      <c r="B429">
        <v>42922</v>
      </c>
      <c r="C429">
        <v>0.62396990740740743</v>
      </c>
      <c r="D429">
        <v>0.62693287037037038</v>
      </c>
      <c r="E429" s="2">
        <f t="shared" si="6"/>
        <v>2.962962962962945E-3</v>
      </c>
    </row>
    <row r="430" spans="1:5" x14ac:dyDescent="0.25">
      <c r="A430">
        <v>0</v>
      </c>
      <c r="B430">
        <v>42922</v>
      </c>
      <c r="C430">
        <v>0.62491898148148151</v>
      </c>
      <c r="D430">
        <v>0.63265046296296301</v>
      </c>
      <c r="E430" s="2">
        <f t="shared" si="6"/>
        <v>7.7314814814815058E-3</v>
      </c>
    </row>
    <row r="431" spans="1:5" x14ac:dyDescent="0.25">
      <c r="A431">
        <v>0</v>
      </c>
      <c r="B431">
        <v>42922</v>
      </c>
      <c r="C431">
        <v>0.62614583333333329</v>
      </c>
      <c r="D431">
        <v>0.6318287037037037</v>
      </c>
      <c r="E431" s="2">
        <f t="shared" si="6"/>
        <v>5.6828703703704075E-3</v>
      </c>
    </row>
    <row r="432" spans="1:5" x14ac:dyDescent="0.25">
      <c r="A432">
        <v>0</v>
      </c>
      <c r="B432">
        <v>42923</v>
      </c>
      <c r="C432">
        <v>0.33677083333333335</v>
      </c>
      <c r="D432">
        <v>0.34700231481481481</v>
      </c>
      <c r="E432" s="2">
        <f t="shared" si="6"/>
        <v>1.0231481481481453E-2</v>
      </c>
    </row>
    <row r="433" spans="1:5" x14ac:dyDescent="0.25">
      <c r="A433">
        <v>0</v>
      </c>
      <c r="B433">
        <v>42923</v>
      </c>
      <c r="C433">
        <v>0.34092592592592591</v>
      </c>
      <c r="D433">
        <v>0.3448148148148148</v>
      </c>
      <c r="E433" s="2">
        <f t="shared" si="6"/>
        <v>3.8888888888888862E-3</v>
      </c>
    </row>
    <row r="434" spans="1:5" x14ac:dyDescent="0.25">
      <c r="A434">
        <v>0</v>
      </c>
      <c r="B434">
        <v>42923</v>
      </c>
      <c r="C434">
        <v>0.34288194444444442</v>
      </c>
      <c r="D434">
        <v>0.34506944444444443</v>
      </c>
      <c r="E434" s="2">
        <f t="shared" si="6"/>
        <v>2.1875000000000089E-3</v>
      </c>
    </row>
    <row r="435" spans="1:5" x14ac:dyDescent="0.25">
      <c r="A435">
        <v>0</v>
      </c>
      <c r="B435">
        <v>42923</v>
      </c>
      <c r="C435">
        <v>0.34465277777777775</v>
      </c>
      <c r="D435">
        <v>0.34819444444444442</v>
      </c>
      <c r="E435" s="2">
        <f t="shared" si="6"/>
        <v>3.5416666666666652E-3</v>
      </c>
    </row>
    <row r="436" spans="1:5" x14ac:dyDescent="0.25">
      <c r="A436">
        <v>0</v>
      </c>
      <c r="B436">
        <v>42923</v>
      </c>
      <c r="C436">
        <v>0.34848379629629628</v>
      </c>
      <c r="D436">
        <v>0.35015046296296298</v>
      </c>
      <c r="E436" s="2">
        <f t="shared" si="6"/>
        <v>1.6666666666667052E-3</v>
      </c>
    </row>
    <row r="437" spans="1:5" x14ac:dyDescent="0.25">
      <c r="A437">
        <v>0</v>
      </c>
      <c r="B437">
        <v>42923</v>
      </c>
      <c r="C437">
        <v>0.35130787037037037</v>
      </c>
      <c r="D437">
        <v>0.35899305555555555</v>
      </c>
      <c r="E437" s="2">
        <f t="shared" si="6"/>
        <v>7.6851851851851838E-3</v>
      </c>
    </row>
    <row r="438" spans="1:5" x14ac:dyDescent="0.25">
      <c r="A438">
        <v>0</v>
      </c>
      <c r="B438">
        <v>42923</v>
      </c>
      <c r="C438">
        <v>0.35699074074074072</v>
      </c>
      <c r="D438">
        <v>0.36546296296296299</v>
      </c>
      <c r="E438" s="2">
        <f t="shared" si="6"/>
        <v>8.4722222222222698E-3</v>
      </c>
    </row>
    <row r="439" spans="1:5" x14ac:dyDescent="0.25">
      <c r="A439">
        <v>0</v>
      </c>
      <c r="B439">
        <v>42923</v>
      </c>
      <c r="C439">
        <v>0.36015046296296294</v>
      </c>
      <c r="D439">
        <v>0.36656250000000001</v>
      </c>
      <c r="E439" s="2">
        <f t="shared" si="6"/>
        <v>6.4120370370370772E-3</v>
      </c>
    </row>
    <row r="440" spans="1:5" x14ac:dyDescent="0.25">
      <c r="A440">
        <v>0</v>
      </c>
      <c r="B440">
        <v>42923</v>
      </c>
      <c r="C440">
        <v>0.36069444444444443</v>
      </c>
      <c r="D440">
        <v>0.36572916666666666</v>
      </c>
      <c r="E440" s="2">
        <f t="shared" si="6"/>
        <v>5.0347222222222321E-3</v>
      </c>
    </row>
    <row r="441" spans="1:5" x14ac:dyDescent="0.25">
      <c r="A441">
        <v>0</v>
      </c>
      <c r="B441">
        <v>42923</v>
      </c>
      <c r="C441">
        <v>0.36225694444444445</v>
      </c>
      <c r="D441">
        <v>0.36364583333333333</v>
      </c>
      <c r="E441" s="2">
        <f t="shared" si="6"/>
        <v>1.388888888888884E-3</v>
      </c>
    </row>
    <row r="442" spans="1:5" x14ac:dyDescent="0.25">
      <c r="A442">
        <v>0</v>
      </c>
      <c r="B442">
        <v>42923</v>
      </c>
      <c r="C442">
        <v>0.36267361111111113</v>
      </c>
      <c r="D442">
        <v>0.36622685185185183</v>
      </c>
      <c r="E442" s="2">
        <f t="shared" si="6"/>
        <v>3.5532407407407041E-3</v>
      </c>
    </row>
    <row r="443" spans="1:5" x14ac:dyDescent="0.25">
      <c r="A443">
        <v>0</v>
      </c>
      <c r="B443">
        <v>42923</v>
      </c>
      <c r="C443">
        <v>0.36584490740740738</v>
      </c>
      <c r="D443">
        <v>0.37709490740740742</v>
      </c>
      <c r="E443" s="2">
        <f t="shared" si="6"/>
        <v>1.1250000000000038E-2</v>
      </c>
    </row>
    <row r="444" spans="1:5" x14ac:dyDescent="0.25">
      <c r="A444">
        <v>0</v>
      </c>
      <c r="B444">
        <v>42923</v>
      </c>
      <c r="C444">
        <v>0.36885416666666665</v>
      </c>
      <c r="D444">
        <v>0.36932870370370369</v>
      </c>
      <c r="E444" s="2">
        <f t="shared" si="6"/>
        <v>4.745370370370372E-4</v>
      </c>
    </row>
    <row r="445" spans="1:5" x14ac:dyDescent="0.25">
      <c r="A445">
        <v>0</v>
      </c>
      <c r="B445">
        <v>42923</v>
      </c>
      <c r="C445">
        <v>0.36996527777777777</v>
      </c>
      <c r="D445">
        <v>0.37149305555555556</v>
      </c>
      <c r="E445" s="2">
        <f t="shared" si="6"/>
        <v>1.5277777777777946E-3</v>
      </c>
    </row>
    <row r="446" spans="1:5" x14ac:dyDescent="0.25">
      <c r="A446">
        <v>0</v>
      </c>
      <c r="B446">
        <v>42923</v>
      </c>
      <c r="C446">
        <v>0.37112268518518521</v>
      </c>
      <c r="D446">
        <v>0.37534722222222222</v>
      </c>
      <c r="E446" s="2">
        <f t="shared" si="6"/>
        <v>4.2245370370370128E-3</v>
      </c>
    </row>
    <row r="447" spans="1:5" x14ac:dyDescent="0.25">
      <c r="A447">
        <v>0</v>
      </c>
      <c r="B447">
        <v>42923</v>
      </c>
      <c r="C447">
        <v>0.3721990740740741</v>
      </c>
      <c r="D447">
        <v>0.37956018518518519</v>
      </c>
      <c r="E447" s="2">
        <f t="shared" si="6"/>
        <v>7.3611111111110961E-3</v>
      </c>
    </row>
    <row r="448" spans="1:5" x14ac:dyDescent="0.25">
      <c r="A448">
        <v>0</v>
      </c>
      <c r="B448">
        <v>42923</v>
      </c>
      <c r="C448">
        <v>0.37445601851851851</v>
      </c>
      <c r="D448">
        <v>0.38145833333333334</v>
      </c>
      <c r="E448" s="2">
        <f t="shared" si="6"/>
        <v>7.0023148148148362E-3</v>
      </c>
    </row>
    <row r="449" spans="1:5" x14ac:dyDescent="0.25">
      <c r="A449">
        <v>0</v>
      </c>
      <c r="B449">
        <v>42923</v>
      </c>
      <c r="C449">
        <v>0.3767476851851852</v>
      </c>
      <c r="D449">
        <v>0.38192129629629629</v>
      </c>
      <c r="E449" s="2">
        <f t="shared" si="6"/>
        <v>5.1736111111110872E-3</v>
      </c>
    </row>
    <row r="450" spans="1:5" x14ac:dyDescent="0.25">
      <c r="A450">
        <v>0</v>
      </c>
      <c r="B450">
        <v>42923</v>
      </c>
      <c r="C450">
        <v>0.3778009259259259</v>
      </c>
      <c r="D450">
        <v>0.37927083333333333</v>
      </c>
      <c r="E450" s="2">
        <f t="shared" ref="E450:E513" si="7">D450-C450</f>
        <v>1.4699074074074336E-3</v>
      </c>
    </row>
    <row r="451" spans="1:5" x14ac:dyDescent="0.25">
      <c r="A451">
        <v>0</v>
      </c>
      <c r="B451">
        <v>42923</v>
      </c>
      <c r="C451">
        <v>0.37998842592592591</v>
      </c>
      <c r="D451">
        <v>0.38434027777777779</v>
      </c>
      <c r="E451" s="2">
        <f t="shared" si="7"/>
        <v>4.3518518518518845E-3</v>
      </c>
    </row>
    <row r="452" spans="1:5" x14ac:dyDescent="0.25">
      <c r="A452">
        <v>0</v>
      </c>
      <c r="B452">
        <v>42923</v>
      </c>
      <c r="C452">
        <v>0.3835763888888889</v>
      </c>
      <c r="D452">
        <v>0.38965277777777779</v>
      </c>
      <c r="E452" s="2">
        <f t="shared" si="7"/>
        <v>6.0763888888888951E-3</v>
      </c>
    </row>
    <row r="453" spans="1:5" x14ac:dyDescent="0.25">
      <c r="A453">
        <v>0</v>
      </c>
      <c r="B453">
        <v>42923</v>
      </c>
      <c r="C453">
        <v>0.38922453703703702</v>
      </c>
      <c r="D453">
        <v>0.39096064814814813</v>
      </c>
      <c r="E453" s="2">
        <f t="shared" si="7"/>
        <v>1.7361111111111049E-3</v>
      </c>
    </row>
    <row r="454" spans="1:5" x14ac:dyDescent="0.25">
      <c r="A454">
        <v>0</v>
      </c>
      <c r="B454">
        <v>42923</v>
      </c>
      <c r="C454">
        <v>0.39091435185185186</v>
      </c>
      <c r="D454">
        <v>0.39620370370370372</v>
      </c>
      <c r="E454" s="2">
        <f t="shared" si="7"/>
        <v>5.2893518518518645E-3</v>
      </c>
    </row>
    <row r="455" spans="1:5" x14ac:dyDescent="0.25">
      <c r="A455">
        <v>0</v>
      </c>
      <c r="B455">
        <v>42923</v>
      </c>
      <c r="C455">
        <v>0.39196759259259262</v>
      </c>
      <c r="D455">
        <v>0.39486111111111111</v>
      </c>
      <c r="E455" s="2">
        <f t="shared" si="7"/>
        <v>2.8935185185184897E-3</v>
      </c>
    </row>
    <row r="456" spans="1:5" x14ac:dyDescent="0.25">
      <c r="A456">
        <v>0</v>
      </c>
      <c r="B456">
        <v>42923</v>
      </c>
      <c r="C456">
        <v>0.39731481481481479</v>
      </c>
      <c r="D456">
        <v>0.40688657407407408</v>
      </c>
      <c r="E456" s="2">
        <f t="shared" si="7"/>
        <v>9.5717592592592937E-3</v>
      </c>
    </row>
    <row r="457" spans="1:5" x14ac:dyDescent="0.25">
      <c r="A457">
        <v>0</v>
      </c>
      <c r="B457">
        <v>42923</v>
      </c>
      <c r="C457">
        <v>0.40283564814814815</v>
      </c>
      <c r="D457">
        <v>0.41091435185185188</v>
      </c>
      <c r="E457" s="2">
        <f t="shared" si="7"/>
        <v>8.0787037037037268E-3</v>
      </c>
    </row>
    <row r="458" spans="1:5" x14ac:dyDescent="0.25">
      <c r="A458">
        <v>0</v>
      </c>
      <c r="B458">
        <v>42923</v>
      </c>
      <c r="C458">
        <v>0.4039814814814815</v>
      </c>
      <c r="D458">
        <v>0.41211805555555553</v>
      </c>
      <c r="E458" s="2">
        <f t="shared" si="7"/>
        <v>8.1365740740740322E-3</v>
      </c>
    </row>
    <row r="459" spans="1:5" x14ac:dyDescent="0.25">
      <c r="A459">
        <v>0</v>
      </c>
      <c r="B459">
        <v>42923</v>
      </c>
      <c r="C459">
        <v>0.40534722222222225</v>
      </c>
      <c r="D459">
        <v>0.40887731481481482</v>
      </c>
      <c r="E459" s="2">
        <f t="shared" si="7"/>
        <v>3.5300925925925708E-3</v>
      </c>
    </row>
    <row r="460" spans="1:5" x14ac:dyDescent="0.25">
      <c r="A460">
        <v>0</v>
      </c>
      <c r="B460">
        <v>42923</v>
      </c>
      <c r="C460">
        <v>0.41025462962962961</v>
      </c>
      <c r="D460">
        <v>0.41064814814814815</v>
      </c>
      <c r="E460" s="2">
        <f t="shared" si="7"/>
        <v>3.9351851851854303E-4</v>
      </c>
    </row>
    <row r="461" spans="1:5" x14ac:dyDescent="0.25">
      <c r="A461">
        <v>0</v>
      </c>
      <c r="B461">
        <v>42923</v>
      </c>
      <c r="C461">
        <v>0.4103472222222222</v>
      </c>
      <c r="D461">
        <v>0.41578703703703701</v>
      </c>
      <c r="E461" s="2">
        <f t="shared" si="7"/>
        <v>5.439814814814814E-3</v>
      </c>
    </row>
    <row r="462" spans="1:5" x14ac:dyDescent="0.25">
      <c r="A462">
        <v>0</v>
      </c>
      <c r="B462">
        <v>42923</v>
      </c>
      <c r="C462">
        <v>0.41248842592592594</v>
      </c>
      <c r="D462">
        <v>0.41328703703703706</v>
      </c>
      <c r="E462" s="2">
        <f t="shared" si="7"/>
        <v>7.9861111111112493E-4</v>
      </c>
    </row>
    <row r="463" spans="1:5" x14ac:dyDescent="0.25">
      <c r="A463">
        <v>0</v>
      </c>
      <c r="B463">
        <v>42923</v>
      </c>
      <c r="C463">
        <v>0.41260416666666666</v>
      </c>
      <c r="D463">
        <v>0.41520833333333335</v>
      </c>
      <c r="E463" s="2">
        <f t="shared" si="7"/>
        <v>2.6041666666666852E-3</v>
      </c>
    </row>
    <row r="464" spans="1:5" x14ac:dyDescent="0.25">
      <c r="A464">
        <v>0</v>
      </c>
      <c r="B464">
        <v>42923</v>
      </c>
      <c r="C464">
        <v>0.41680555555555554</v>
      </c>
      <c r="D464">
        <v>0.4243865740740741</v>
      </c>
      <c r="E464" s="2">
        <f t="shared" si="7"/>
        <v>7.5810185185185563E-3</v>
      </c>
    </row>
    <row r="465" spans="1:5" x14ac:dyDescent="0.25">
      <c r="A465">
        <v>0</v>
      </c>
      <c r="B465">
        <v>42923</v>
      </c>
      <c r="C465">
        <v>0.41829861111111111</v>
      </c>
      <c r="D465">
        <v>0.42706018518518518</v>
      </c>
      <c r="E465" s="2">
        <f t="shared" si="7"/>
        <v>8.7615740740740744E-3</v>
      </c>
    </row>
    <row r="466" spans="1:5" x14ac:dyDescent="0.25">
      <c r="A466">
        <v>0</v>
      </c>
      <c r="B466">
        <v>42923</v>
      </c>
      <c r="C466">
        <v>0.4199074074074074</v>
      </c>
      <c r="D466">
        <v>0.42357638888888888</v>
      </c>
      <c r="E466" s="2">
        <f t="shared" si="7"/>
        <v>3.6689814814814814E-3</v>
      </c>
    </row>
    <row r="467" spans="1:5" x14ac:dyDescent="0.25">
      <c r="A467">
        <v>0</v>
      </c>
      <c r="B467">
        <v>42923</v>
      </c>
      <c r="C467">
        <v>0.42149305555555555</v>
      </c>
      <c r="D467">
        <v>0.42736111111111114</v>
      </c>
      <c r="E467" s="2">
        <f t="shared" si="7"/>
        <v>5.8680555555555847E-3</v>
      </c>
    </row>
    <row r="468" spans="1:5" x14ac:dyDescent="0.25">
      <c r="A468">
        <v>0</v>
      </c>
      <c r="B468">
        <v>42923</v>
      </c>
      <c r="C468">
        <v>0.4255902777777778</v>
      </c>
      <c r="D468">
        <v>0.43464120370370368</v>
      </c>
      <c r="E468" s="2">
        <f t="shared" si="7"/>
        <v>9.050925925925879E-3</v>
      </c>
    </row>
    <row r="469" spans="1:5" x14ac:dyDescent="0.25">
      <c r="A469">
        <v>0</v>
      </c>
      <c r="B469">
        <v>42923</v>
      </c>
      <c r="C469">
        <v>0.43016203703703704</v>
      </c>
      <c r="D469">
        <v>0.44123842592592594</v>
      </c>
      <c r="E469" s="2">
        <f t="shared" si="7"/>
        <v>1.1076388888888899E-2</v>
      </c>
    </row>
    <row r="470" spans="1:5" x14ac:dyDescent="0.25">
      <c r="A470">
        <v>0</v>
      </c>
      <c r="B470">
        <v>42923</v>
      </c>
      <c r="C470">
        <v>0.43146990740740743</v>
      </c>
      <c r="D470">
        <v>0.43192129629629628</v>
      </c>
      <c r="E470" s="2">
        <f t="shared" si="7"/>
        <v>4.5138888888884843E-4</v>
      </c>
    </row>
    <row r="471" spans="1:5" x14ac:dyDescent="0.25">
      <c r="A471">
        <v>0</v>
      </c>
      <c r="B471">
        <v>42923</v>
      </c>
      <c r="C471">
        <v>0.43313657407407408</v>
      </c>
      <c r="D471">
        <v>0.43811342592592595</v>
      </c>
      <c r="E471" s="2">
        <f t="shared" si="7"/>
        <v>4.9768518518518712E-3</v>
      </c>
    </row>
    <row r="472" spans="1:5" x14ac:dyDescent="0.25">
      <c r="A472">
        <v>0</v>
      </c>
      <c r="B472">
        <v>42923</v>
      </c>
      <c r="C472">
        <v>0.43752314814814813</v>
      </c>
      <c r="D472">
        <v>0.44806712962962963</v>
      </c>
      <c r="E472" s="2">
        <f t="shared" si="7"/>
        <v>1.0543981481481501E-2</v>
      </c>
    </row>
    <row r="473" spans="1:5" x14ac:dyDescent="0.25">
      <c r="A473">
        <v>0</v>
      </c>
      <c r="B473">
        <v>42923</v>
      </c>
      <c r="C473">
        <v>0.44184027777777779</v>
      </c>
      <c r="D473">
        <v>0.44582175925925926</v>
      </c>
      <c r="E473" s="2">
        <f t="shared" si="7"/>
        <v>3.9814814814814747E-3</v>
      </c>
    </row>
    <row r="474" spans="1:5" x14ac:dyDescent="0.25">
      <c r="A474">
        <v>0</v>
      </c>
      <c r="B474">
        <v>42923</v>
      </c>
      <c r="C474">
        <v>0.44543981481481482</v>
      </c>
      <c r="D474">
        <v>0.45271990740740742</v>
      </c>
      <c r="E474" s="2">
        <f t="shared" si="7"/>
        <v>7.2800925925926019E-3</v>
      </c>
    </row>
    <row r="475" spans="1:5" x14ac:dyDescent="0.25">
      <c r="A475">
        <v>0</v>
      </c>
      <c r="B475">
        <v>42923</v>
      </c>
      <c r="C475">
        <v>0.44775462962962964</v>
      </c>
      <c r="D475">
        <v>0.45450231481481479</v>
      </c>
      <c r="E475" s="2">
        <f t="shared" si="7"/>
        <v>6.7476851851851483E-3</v>
      </c>
    </row>
    <row r="476" spans="1:5" x14ac:dyDescent="0.25">
      <c r="A476">
        <v>0</v>
      </c>
      <c r="B476">
        <v>42923</v>
      </c>
      <c r="C476">
        <v>0.44927083333333334</v>
      </c>
      <c r="D476">
        <v>0.45666666666666667</v>
      </c>
      <c r="E476" s="2">
        <f t="shared" si="7"/>
        <v>7.3958333333333237E-3</v>
      </c>
    </row>
    <row r="477" spans="1:5" x14ac:dyDescent="0.25">
      <c r="A477">
        <v>0</v>
      </c>
      <c r="B477">
        <v>42923</v>
      </c>
      <c r="C477">
        <v>0.45091435185185186</v>
      </c>
      <c r="D477">
        <v>0.4586574074074074</v>
      </c>
      <c r="E477" s="2">
        <f t="shared" si="7"/>
        <v>7.7430555555555447E-3</v>
      </c>
    </row>
    <row r="478" spans="1:5" x14ac:dyDescent="0.25">
      <c r="A478">
        <v>0</v>
      </c>
      <c r="B478">
        <v>42923</v>
      </c>
      <c r="C478">
        <v>0.45416666666666666</v>
      </c>
      <c r="D478">
        <v>0.46155092592592595</v>
      </c>
      <c r="E478" s="2">
        <f t="shared" si="7"/>
        <v>7.3842592592592848E-3</v>
      </c>
    </row>
    <row r="479" spans="1:5" x14ac:dyDescent="0.25">
      <c r="A479">
        <v>0</v>
      </c>
      <c r="B479">
        <v>42923</v>
      </c>
      <c r="C479">
        <v>0.45950231481481479</v>
      </c>
      <c r="D479">
        <v>0.46091435185185187</v>
      </c>
      <c r="E479" s="2">
        <f t="shared" si="7"/>
        <v>1.4120370370370727E-3</v>
      </c>
    </row>
    <row r="480" spans="1:5" x14ac:dyDescent="0.25">
      <c r="A480">
        <v>0</v>
      </c>
      <c r="B480">
        <v>42923</v>
      </c>
      <c r="C480">
        <v>0.45981481481481479</v>
      </c>
      <c r="D480">
        <v>0.46148148148148149</v>
      </c>
      <c r="E480" s="2">
        <f t="shared" si="7"/>
        <v>1.6666666666667052E-3</v>
      </c>
    </row>
    <row r="481" spans="1:5" x14ac:dyDescent="0.25">
      <c r="A481">
        <v>0</v>
      </c>
      <c r="B481">
        <v>42923</v>
      </c>
      <c r="C481">
        <v>0.46357638888888891</v>
      </c>
      <c r="D481">
        <v>0.46807870370370369</v>
      </c>
      <c r="E481" s="2">
        <f t="shared" si="7"/>
        <v>4.5023148148147785E-3</v>
      </c>
    </row>
    <row r="482" spans="1:5" x14ac:dyDescent="0.25">
      <c r="A482">
        <v>0</v>
      </c>
      <c r="B482">
        <v>42923</v>
      </c>
      <c r="C482">
        <v>0.46891203703703704</v>
      </c>
      <c r="D482">
        <v>0.47209490740740739</v>
      </c>
      <c r="E482" s="2">
        <f t="shared" si="7"/>
        <v>3.1828703703703498E-3</v>
      </c>
    </row>
    <row r="483" spans="1:5" x14ac:dyDescent="0.25">
      <c r="A483">
        <v>0</v>
      </c>
      <c r="B483">
        <v>42923</v>
      </c>
      <c r="C483">
        <v>0.47127314814814814</v>
      </c>
      <c r="D483">
        <v>0.47475694444444444</v>
      </c>
      <c r="E483" s="2">
        <f t="shared" si="7"/>
        <v>3.4837962962963043E-3</v>
      </c>
    </row>
    <row r="484" spans="1:5" x14ac:dyDescent="0.25">
      <c r="A484">
        <v>0</v>
      </c>
      <c r="B484">
        <v>42923</v>
      </c>
      <c r="C484">
        <v>0.47285879629629629</v>
      </c>
      <c r="D484">
        <v>0.47479166666666667</v>
      </c>
      <c r="E484" s="2">
        <f t="shared" si="7"/>
        <v>1.9328703703703765E-3</v>
      </c>
    </row>
    <row r="485" spans="1:5" x14ac:dyDescent="0.25">
      <c r="A485">
        <v>0</v>
      </c>
      <c r="B485">
        <v>42923</v>
      </c>
      <c r="C485">
        <v>0.47409722222222223</v>
      </c>
      <c r="D485">
        <v>0.48534722222222221</v>
      </c>
      <c r="E485" s="2">
        <f t="shared" si="7"/>
        <v>1.1249999999999982E-2</v>
      </c>
    </row>
    <row r="486" spans="1:5" x14ac:dyDescent="0.25">
      <c r="A486">
        <v>0</v>
      </c>
      <c r="B486">
        <v>42923</v>
      </c>
      <c r="C486">
        <v>0.47561342592592593</v>
      </c>
      <c r="D486">
        <v>0.47950231481481481</v>
      </c>
      <c r="E486" s="2">
        <f t="shared" si="7"/>
        <v>3.8888888888888862E-3</v>
      </c>
    </row>
    <row r="487" spans="1:5" x14ac:dyDescent="0.25">
      <c r="A487">
        <v>0</v>
      </c>
      <c r="B487">
        <v>42923</v>
      </c>
      <c r="C487">
        <v>0.4788425925925926</v>
      </c>
      <c r="D487">
        <v>0.48685185185185187</v>
      </c>
      <c r="E487" s="2">
        <f t="shared" si="7"/>
        <v>8.0092592592592715E-3</v>
      </c>
    </row>
    <row r="488" spans="1:5" x14ac:dyDescent="0.25">
      <c r="A488">
        <v>0</v>
      </c>
      <c r="B488">
        <v>42923</v>
      </c>
      <c r="C488">
        <v>0.48380787037037037</v>
      </c>
      <c r="D488">
        <v>0.49267361111111113</v>
      </c>
      <c r="E488" s="2">
        <f t="shared" si="7"/>
        <v>8.8657407407407574E-3</v>
      </c>
    </row>
    <row r="489" spans="1:5" x14ac:dyDescent="0.25">
      <c r="A489">
        <v>0</v>
      </c>
      <c r="B489">
        <v>42923</v>
      </c>
      <c r="C489">
        <v>0.48699074074074072</v>
      </c>
      <c r="D489">
        <v>0.48884259259259261</v>
      </c>
      <c r="E489" s="2">
        <f t="shared" si="7"/>
        <v>1.8518518518518823E-3</v>
      </c>
    </row>
    <row r="490" spans="1:5" x14ac:dyDescent="0.25">
      <c r="A490">
        <v>0</v>
      </c>
      <c r="B490">
        <v>42923</v>
      </c>
      <c r="C490">
        <v>0.49206018518518518</v>
      </c>
      <c r="D490">
        <v>0.50086805555555558</v>
      </c>
      <c r="E490" s="2">
        <f t="shared" si="7"/>
        <v>8.8078703703703964E-3</v>
      </c>
    </row>
    <row r="491" spans="1:5" x14ac:dyDescent="0.25">
      <c r="A491">
        <v>0</v>
      </c>
      <c r="B491">
        <v>42923</v>
      </c>
      <c r="C491">
        <v>0.49668981481481483</v>
      </c>
      <c r="D491">
        <v>0.50266203703703705</v>
      </c>
      <c r="E491" s="2">
        <f t="shared" si="7"/>
        <v>5.9722222222222121E-3</v>
      </c>
    </row>
    <row r="492" spans="1:5" x14ac:dyDescent="0.25">
      <c r="A492">
        <v>0</v>
      </c>
      <c r="B492">
        <v>42923</v>
      </c>
      <c r="C492">
        <v>0.50232638888888892</v>
      </c>
      <c r="D492">
        <v>0.50351851851851848</v>
      </c>
      <c r="E492" s="2">
        <f t="shared" si="7"/>
        <v>1.1921296296295569E-3</v>
      </c>
    </row>
    <row r="493" spans="1:5" x14ac:dyDescent="0.25">
      <c r="A493">
        <v>0</v>
      </c>
      <c r="B493">
        <v>42923</v>
      </c>
      <c r="C493">
        <v>0.50498842592592597</v>
      </c>
      <c r="D493">
        <v>0.50807870370370367</v>
      </c>
      <c r="E493" s="2">
        <f t="shared" si="7"/>
        <v>3.0902777777777057E-3</v>
      </c>
    </row>
    <row r="494" spans="1:5" x14ac:dyDescent="0.25">
      <c r="A494">
        <v>0</v>
      </c>
      <c r="B494">
        <v>42923</v>
      </c>
      <c r="C494">
        <v>0.50883101851851853</v>
      </c>
      <c r="D494">
        <v>0.50998842592592597</v>
      </c>
      <c r="E494" s="2">
        <f t="shared" si="7"/>
        <v>1.1574074074074403E-3</v>
      </c>
    </row>
    <row r="495" spans="1:5" x14ac:dyDescent="0.25">
      <c r="A495">
        <v>0</v>
      </c>
      <c r="B495">
        <v>42923</v>
      </c>
      <c r="C495">
        <v>0.51253472222222218</v>
      </c>
      <c r="D495">
        <v>0.51974537037037039</v>
      </c>
      <c r="E495" s="2">
        <f t="shared" si="7"/>
        <v>7.2106481481482021E-3</v>
      </c>
    </row>
    <row r="496" spans="1:5" x14ac:dyDescent="0.25">
      <c r="A496">
        <v>0</v>
      </c>
      <c r="B496">
        <v>42923</v>
      </c>
      <c r="C496">
        <v>0.51744212962962965</v>
      </c>
      <c r="D496">
        <v>0.52157407407407408</v>
      </c>
      <c r="E496" s="2">
        <f t="shared" si="7"/>
        <v>4.1319444444444242E-3</v>
      </c>
    </row>
    <row r="497" spans="1:5" x14ac:dyDescent="0.25">
      <c r="A497">
        <v>0</v>
      </c>
      <c r="B497">
        <v>42923</v>
      </c>
      <c r="C497">
        <v>0.51883101851851854</v>
      </c>
      <c r="D497">
        <v>0.52545138888888887</v>
      </c>
      <c r="E497" s="2">
        <f t="shared" si="7"/>
        <v>6.620370370370332E-3</v>
      </c>
    </row>
    <row r="498" spans="1:5" x14ac:dyDescent="0.25">
      <c r="A498">
        <v>0</v>
      </c>
      <c r="B498">
        <v>42923</v>
      </c>
      <c r="C498">
        <v>0.52357638888888891</v>
      </c>
      <c r="D498">
        <v>0.53096064814814814</v>
      </c>
      <c r="E498" s="2">
        <f t="shared" si="7"/>
        <v>7.3842592592592293E-3</v>
      </c>
    </row>
    <row r="499" spans="1:5" x14ac:dyDescent="0.25">
      <c r="A499">
        <v>0</v>
      </c>
      <c r="B499">
        <v>42923</v>
      </c>
      <c r="C499">
        <v>0.52484953703703707</v>
      </c>
      <c r="D499">
        <v>0.53331018518518514</v>
      </c>
      <c r="E499" s="2">
        <f t="shared" si="7"/>
        <v>8.4606481481480644E-3</v>
      </c>
    </row>
    <row r="500" spans="1:5" x14ac:dyDescent="0.25">
      <c r="A500">
        <v>0</v>
      </c>
      <c r="B500">
        <v>42923</v>
      </c>
      <c r="C500">
        <v>0.52690972222222221</v>
      </c>
      <c r="D500">
        <v>0.53266203703703707</v>
      </c>
      <c r="E500" s="2">
        <f t="shared" si="7"/>
        <v>5.7523148148148628E-3</v>
      </c>
    </row>
    <row r="501" spans="1:5" x14ac:dyDescent="0.25">
      <c r="A501">
        <v>0</v>
      </c>
      <c r="B501">
        <v>42923</v>
      </c>
      <c r="C501">
        <v>0.52921296296296294</v>
      </c>
      <c r="D501">
        <v>0.53706018518518517</v>
      </c>
      <c r="E501" s="2">
        <f t="shared" si="7"/>
        <v>7.8472222222222276E-3</v>
      </c>
    </row>
    <row r="502" spans="1:5" x14ac:dyDescent="0.25">
      <c r="A502">
        <v>0</v>
      </c>
      <c r="B502">
        <v>42923</v>
      </c>
      <c r="C502">
        <v>0.52964120370370371</v>
      </c>
      <c r="D502">
        <v>0.53607638888888887</v>
      </c>
      <c r="E502" s="2">
        <f t="shared" si="7"/>
        <v>6.4351851851851549E-3</v>
      </c>
    </row>
    <row r="503" spans="1:5" x14ac:dyDescent="0.25">
      <c r="A503">
        <v>0</v>
      </c>
      <c r="B503">
        <v>42923</v>
      </c>
      <c r="C503">
        <v>0.52968749999999998</v>
      </c>
      <c r="D503">
        <v>0.53865740740740742</v>
      </c>
      <c r="E503" s="2">
        <f t="shared" si="7"/>
        <v>8.9699074074074403E-3</v>
      </c>
    </row>
    <row r="504" spans="1:5" x14ac:dyDescent="0.25">
      <c r="A504">
        <v>0</v>
      </c>
      <c r="B504">
        <v>42923</v>
      </c>
      <c r="C504">
        <v>0.53372685185185187</v>
      </c>
      <c r="D504">
        <v>0.54082175925925924</v>
      </c>
      <c r="E504" s="2">
        <f t="shared" si="7"/>
        <v>7.0949074074073692E-3</v>
      </c>
    </row>
    <row r="505" spans="1:5" x14ac:dyDescent="0.25">
      <c r="A505">
        <v>0</v>
      </c>
      <c r="B505">
        <v>42923</v>
      </c>
      <c r="C505">
        <v>0.5345833333333333</v>
      </c>
      <c r="D505">
        <v>0.54532407407407413</v>
      </c>
      <c r="E505" s="2">
        <f t="shared" si="7"/>
        <v>1.0740740740740828E-2</v>
      </c>
    </row>
    <row r="506" spans="1:5" x14ac:dyDescent="0.25">
      <c r="A506">
        <v>0</v>
      </c>
      <c r="B506">
        <v>42923</v>
      </c>
      <c r="C506">
        <v>0.5385416666666667</v>
      </c>
      <c r="D506">
        <v>0.53870370370370368</v>
      </c>
      <c r="E506" s="2">
        <f t="shared" si="7"/>
        <v>1.6203703703698835E-4</v>
      </c>
    </row>
    <row r="507" spans="1:5" x14ac:dyDescent="0.25">
      <c r="A507">
        <v>0</v>
      </c>
      <c r="B507">
        <v>42923</v>
      </c>
      <c r="C507">
        <v>0.54137731481481477</v>
      </c>
      <c r="D507">
        <v>0.55253472222222222</v>
      </c>
      <c r="E507" s="2">
        <f t="shared" si="7"/>
        <v>1.1157407407407449E-2</v>
      </c>
    </row>
    <row r="508" spans="1:5" x14ac:dyDescent="0.25">
      <c r="A508">
        <v>0</v>
      </c>
      <c r="B508">
        <v>42923</v>
      </c>
      <c r="C508">
        <v>0.54305555555555551</v>
      </c>
      <c r="D508">
        <v>0.5444444444444444</v>
      </c>
      <c r="E508" s="2">
        <f t="shared" si="7"/>
        <v>1.388888888888884E-3</v>
      </c>
    </row>
    <row r="509" spans="1:5" x14ac:dyDescent="0.25">
      <c r="A509">
        <v>0</v>
      </c>
      <c r="B509">
        <v>42923</v>
      </c>
      <c r="C509">
        <v>0.5434606481481481</v>
      </c>
      <c r="D509">
        <v>0.55003472222222227</v>
      </c>
      <c r="E509" s="2">
        <f t="shared" si="7"/>
        <v>6.5740740740741765E-3</v>
      </c>
    </row>
    <row r="510" spans="1:5" x14ac:dyDescent="0.25">
      <c r="A510">
        <v>0</v>
      </c>
      <c r="B510">
        <v>42923</v>
      </c>
      <c r="C510">
        <v>0.54372685185185188</v>
      </c>
      <c r="D510">
        <v>0.54856481481481478</v>
      </c>
      <c r="E510" s="2">
        <f t="shared" si="7"/>
        <v>4.8379629629629051E-3</v>
      </c>
    </row>
    <row r="511" spans="1:5" x14ac:dyDescent="0.25">
      <c r="A511">
        <v>0</v>
      </c>
      <c r="B511">
        <v>42923</v>
      </c>
      <c r="C511">
        <v>0.54379629629629633</v>
      </c>
      <c r="D511">
        <v>0.54679398148148151</v>
      </c>
      <c r="E511" s="2">
        <f t="shared" si="7"/>
        <v>2.9976851851851727E-3</v>
      </c>
    </row>
    <row r="512" spans="1:5" x14ac:dyDescent="0.25">
      <c r="A512">
        <v>0</v>
      </c>
      <c r="B512">
        <v>42923</v>
      </c>
      <c r="C512">
        <v>0.54752314814814818</v>
      </c>
      <c r="D512">
        <v>0.5486805555555555</v>
      </c>
      <c r="E512" s="2">
        <f t="shared" si="7"/>
        <v>1.1574074074073293E-3</v>
      </c>
    </row>
    <row r="513" spans="1:5" x14ac:dyDescent="0.25">
      <c r="A513">
        <v>0</v>
      </c>
      <c r="B513">
        <v>42923</v>
      </c>
      <c r="C513">
        <v>0.54858796296296297</v>
      </c>
      <c r="D513">
        <v>0.55723379629629632</v>
      </c>
      <c r="E513" s="2">
        <f t="shared" si="7"/>
        <v>8.6458333333333526E-3</v>
      </c>
    </row>
    <row r="514" spans="1:5" x14ac:dyDescent="0.25">
      <c r="A514">
        <v>0</v>
      </c>
      <c r="B514">
        <v>42923</v>
      </c>
      <c r="C514">
        <v>0.55363425925925924</v>
      </c>
      <c r="D514">
        <v>0.55819444444444444</v>
      </c>
      <c r="E514" s="2">
        <f t="shared" ref="E514:E577" si="8">D514-C514</f>
        <v>4.5601851851851949E-3</v>
      </c>
    </row>
    <row r="515" spans="1:5" x14ac:dyDescent="0.25">
      <c r="A515">
        <v>0</v>
      </c>
      <c r="B515">
        <v>42923</v>
      </c>
      <c r="C515">
        <v>0.55532407407407403</v>
      </c>
      <c r="D515">
        <v>0.56598379629629625</v>
      </c>
      <c r="E515" s="2">
        <f t="shared" si="8"/>
        <v>1.0659722222222223E-2</v>
      </c>
    </row>
    <row r="516" spans="1:5" x14ac:dyDescent="0.25">
      <c r="A516">
        <v>0</v>
      </c>
      <c r="B516">
        <v>42923</v>
      </c>
      <c r="C516">
        <v>0.56019675925925927</v>
      </c>
      <c r="D516">
        <v>0.56783564814814813</v>
      </c>
      <c r="E516" s="2">
        <f t="shared" si="8"/>
        <v>7.6388888888888618E-3</v>
      </c>
    </row>
    <row r="517" spans="1:5" x14ac:dyDescent="0.25">
      <c r="A517">
        <v>0</v>
      </c>
      <c r="B517">
        <v>42923</v>
      </c>
      <c r="C517">
        <v>0.56347222222222226</v>
      </c>
      <c r="D517">
        <v>0.57157407407407412</v>
      </c>
      <c r="E517" s="2">
        <f t="shared" si="8"/>
        <v>8.1018518518518601E-3</v>
      </c>
    </row>
    <row r="518" spans="1:5" x14ac:dyDescent="0.25">
      <c r="A518">
        <v>0</v>
      </c>
      <c r="B518">
        <v>42923</v>
      </c>
      <c r="C518">
        <v>0.56795138888888885</v>
      </c>
      <c r="D518">
        <v>0.57596064814814818</v>
      </c>
      <c r="E518" s="2">
        <f t="shared" si="8"/>
        <v>8.009259259259327E-3</v>
      </c>
    </row>
    <row r="519" spans="1:5" x14ac:dyDescent="0.25">
      <c r="A519">
        <v>0</v>
      </c>
      <c r="B519">
        <v>42923</v>
      </c>
      <c r="C519">
        <v>0.57093749999999999</v>
      </c>
      <c r="D519">
        <v>0.5765393518518519</v>
      </c>
      <c r="E519" s="2">
        <f t="shared" si="8"/>
        <v>5.6018518518519134E-3</v>
      </c>
    </row>
    <row r="520" spans="1:5" x14ac:dyDescent="0.25">
      <c r="A520">
        <v>0</v>
      </c>
      <c r="B520">
        <v>42923</v>
      </c>
      <c r="C520">
        <v>0.57523148148148151</v>
      </c>
      <c r="D520">
        <v>0.57535879629629627</v>
      </c>
      <c r="E520" s="2">
        <f t="shared" si="8"/>
        <v>1.273148148147607E-4</v>
      </c>
    </row>
    <row r="521" spans="1:5" x14ac:dyDescent="0.25">
      <c r="A521">
        <v>0</v>
      </c>
      <c r="B521">
        <v>42923</v>
      </c>
      <c r="C521">
        <v>0.57768518518518519</v>
      </c>
      <c r="D521">
        <v>0.58636574074074077</v>
      </c>
      <c r="E521" s="2">
        <f t="shared" si="8"/>
        <v>8.6805555555555802E-3</v>
      </c>
    </row>
    <row r="522" spans="1:5" x14ac:dyDescent="0.25">
      <c r="A522">
        <v>0</v>
      </c>
      <c r="B522">
        <v>42923</v>
      </c>
      <c r="C522">
        <v>0.57922453703703702</v>
      </c>
      <c r="D522">
        <v>0.58821759259259254</v>
      </c>
      <c r="E522" s="2">
        <f t="shared" si="8"/>
        <v>8.9930555555555181E-3</v>
      </c>
    </row>
    <row r="523" spans="1:5" x14ac:dyDescent="0.25">
      <c r="A523">
        <v>0</v>
      </c>
      <c r="B523">
        <v>42923</v>
      </c>
      <c r="C523">
        <v>0.58484953703703701</v>
      </c>
      <c r="D523">
        <v>0.5869212962962963</v>
      </c>
      <c r="E523" s="2">
        <f t="shared" si="8"/>
        <v>2.0717592592592871E-3</v>
      </c>
    </row>
    <row r="524" spans="1:5" x14ac:dyDescent="0.25">
      <c r="A524">
        <v>0</v>
      </c>
      <c r="B524">
        <v>42923</v>
      </c>
      <c r="C524">
        <v>0.58508101851851857</v>
      </c>
      <c r="D524">
        <v>0.58635416666666662</v>
      </c>
      <c r="E524" s="2">
        <f t="shared" si="8"/>
        <v>1.2731481481480511E-3</v>
      </c>
    </row>
    <row r="525" spans="1:5" x14ac:dyDescent="0.25">
      <c r="A525">
        <v>0</v>
      </c>
      <c r="B525">
        <v>42923</v>
      </c>
      <c r="C525">
        <v>0.58832175925925922</v>
      </c>
      <c r="D525">
        <v>0.59277777777777774</v>
      </c>
      <c r="E525" s="2">
        <f t="shared" si="8"/>
        <v>4.4560185185185119E-3</v>
      </c>
    </row>
    <row r="526" spans="1:5" x14ac:dyDescent="0.25">
      <c r="A526">
        <v>0</v>
      </c>
      <c r="B526">
        <v>42923</v>
      </c>
      <c r="C526">
        <v>0.59281249999999996</v>
      </c>
      <c r="D526">
        <v>0.59375</v>
      </c>
      <c r="E526" s="2">
        <f t="shared" si="8"/>
        <v>9.3750000000003553E-4</v>
      </c>
    </row>
    <row r="527" spans="1:5" x14ac:dyDescent="0.25">
      <c r="A527">
        <v>0</v>
      </c>
      <c r="B527">
        <v>42923</v>
      </c>
      <c r="C527">
        <v>0.59672453703703698</v>
      </c>
      <c r="D527">
        <v>0.60435185185185181</v>
      </c>
      <c r="E527" s="2">
        <f t="shared" si="8"/>
        <v>7.6273148148148229E-3</v>
      </c>
    </row>
    <row r="528" spans="1:5" x14ac:dyDescent="0.25">
      <c r="A528">
        <v>0</v>
      </c>
      <c r="B528">
        <v>42923</v>
      </c>
      <c r="C528">
        <v>0.6004976851851852</v>
      </c>
      <c r="D528">
        <v>0.61106481481481478</v>
      </c>
      <c r="E528" s="2">
        <f t="shared" si="8"/>
        <v>1.0567129629629579E-2</v>
      </c>
    </row>
    <row r="529" spans="1:5" x14ac:dyDescent="0.25">
      <c r="A529">
        <v>0</v>
      </c>
      <c r="B529">
        <v>42923</v>
      </c>
      <c r="C529">
        <v>0.60381944444444446</v>
      </c>
      <c r="D529">
        <v>0.60589120370370375</v>
      </c>
      <c r="E529" s="2">
        <f t="shared" si="8"/>
        <v>2.0717592592592871E-3</v>
      </c>
    </row>
    <row r="530" spans="1:5" x14ac:dyDescent="0.25">
      <c r="A530">
        <v>0</v>
      </c>
      <c r="B530">
        <v>42923</v>
      </c>
      <c r="C530">
        <v>0.60758101851851853</v>
      </c>
      <c r="D530">
        <v>0.61008101851851848</v>
      </c>
      <c r="E530" s="2">
        <f t="shared" si="8"/>
        <v>2.4999999999999467E-3</v>
      </c>
    </row>
    <row r="531" spans="1:5" x14ac:dyDescent="0.25">
      <c r="A531">
        <v>0</v>
      </c>
      <c r="B531">
        <v>42923</v>
      </c>
      <c r="C531">
        <v>0.60930555555555554</v>
      </c>
      <c r="D531">
        <v>0.62085648148148154</v>
      </c>
      <c r="E531" s="2">
        <f t="shared" si="8"/>
        <v>1.1550925925925992E-2</v>
      </c>
    </row>
    <row r="532" spans="1:5" x14ac:dyDescent="0.25">
      <c r="A532">
        <v>0</v>
      </c>
      <c r="B532">
        <v>42923</v>
      </c>
      <c r="C532">
        <v>0.61557870370370371</v>
      </c>
      <c r="D532">
        <v>0.61946759259259254</v>
      </c>
      <c r="E532" s="2">
        <f t="shared" si="8"/>
        <v>3.8888888888888307E-3</v>
      </c>
    </row>
    <row r="533" spans="1:5" x14ac:dyDescent="0.25">
      <c r="A533">
        <v>0</v>
      </c>
      <c r="B533">
        <v>42923</v>
      </c>
      <c r="C533">
        <v>0.61901620370370369</v>
      </c>
      <c r="D533">
        <v>0.62861111111111112</v>
      </c>
      <c r="E533" s="2">
        <f t="shared" si="8"/>
        <v>9.594907407407427E-3</v>
      </c>
    </row>
    <row r="534" spans="1:5" x14ac:dyDescent="0.25">
      <c r="A534">
        <v>0</v>
      </c>
      <c r="B534">
        <v>42923</v>
      </c>
      <c r="C534">
        <v>0.62306712962962962</v>
      </c>
      <c r="D534">
        <v>0.63328703703703704</v>
      </c>
      <c r="E534" s="2">
        <f t="shared" si="8"/>
        <v>1.0219907407407414E-2</v>
      </c>
    </row>
    <row r="535" spans="1:5" x14ac:dyDescent="0.25">
      <c r="A535">
        <v>0</v>
      </c>
      <c r="B535">
        <v>42923</v>
      </c>
      <c r="C535">
        <v>0.62537037037037035</v>
      </c>
      <c r="D535">
        <v>0.63498842592592597</v>
      </c>
      <c r="E535" s="2">
        <f t="shared" si="8"/>
        <v>9.6180555555556158E-3</v>
      </c>
    </row>
    <row r="536" spans="1:5" x14ac:dyDescent="0.25">
      <c r="A536">
        <v>0</v>
      </c>
      <c r="B536">
        <v>42926</v>
      </c>
      <c r="C536">
        <v>0.33759259259259261</v>
      </c>
      <c r="D536">
        <v>0.34880787037037037</v>
      </c>
      <c r="E536" s="2">
        <f t="shared" si="8"/>
        <v>1.1215277777777755E-2</v>
      </c>
    </row>
    <row r="537" spans="1:5" x14ac:dyDescent="0.25">
      <c r="A537">
        <v>0</v>
      </c>
      <c r="B537">
        <v>42926</v>
      </c>
      <c r="C537">
        <v>0.34016203703703701</v>
      </c>
      <c r="D537">
        <v>0.3495138888888889</v>
      </c>
      <c r="E537" s="2">
        <f t="shared" si="8"/>
        <v>9.3518518518518889E-3</v>
      </c>
    </row>
    <row r="538" spans="1:5" x14ac:dyDescent="0.25">
      <c r="A538">
        <v>0</v>
      </c>
      <c r="B538">
        <v>42926</v>
      </c>
      <c r="C538">
        <v>0.34312500000000001</v>
      </c>
      <c r="D538">
        <v>0.34373842592592591</v>
      </c>
      <c r="E538" s="2">
        <f t="shared" si="8"/>
        <v>6.1342592592589229E-4</v>
      </c>
    </row>
    <row r="539" spans="1:5" x14ac:dyDescent="0.25">
      <c r="A539">
        <v>0</v>
      </c>
      <c r="B539">
        <v>42926</v>
      </c>
      <c r="C539">
        <v>0.34364583333333332</v>
      </c>
      <c r="D539">
        <v>0.3492824074074074</v>
      </c>
      <c r="E539" s="2">
        <f t="shared" si="8"/>
        <v>5.6365740740740855E-3</v>
      </c>
    </row>
    <row r="540" spans="1:5" x14ac:dyDescent="0.25">
      <c r="A540">
        <v>0</v>
      </c>
      <c r="B540">
        <v>42926</v>
      </c>
      <c r="C540">
        <v>0.34796296296296297</v>
      </c>
      <c r="D540">
        <v>0.35728009259259258</v>
      </c>
      <c r="E540" s="2">
        <f t="shared" si="8"/>
        <v>9.3171296296296058E-3</v>
      </c>
    </row>
    <row r="541" spans="1:5" x14ac:dyDescent="0.25">
      <c r="A541">
        <v>0</v>
      </c>
      <c r="B541">
        <v>42926</v>
      </c>
      <c r="C541">
        <v>0.35249999999999998</v>
      </c>
      <c r="D541">
        <v>0.35278935185185184</v>
      </c>
      <c r="E541" s="2">
        <f t="shared" si="8"/>
        <v>2.8935185185186008E-4</v>
      </c>
    </row>
    <row r="542" spans="1:5" x14ac:dyDescent="0.25">
      <c r="A542">
        <v>0</v>
      </c>
      <c r="B542">
        <v>42926</v>
      </c>
      <c r="C542">
        <v>0.35483796296296294</v>
      </c>
      <c r="D542">
        <v>0.35699074074074072</v>
      </c>
      <c r="E542" s="2">
        <f t="shared" si="8"/>
        <v>2.1527777777777812E-3</v>
      </c>
    </row>
    <row r="543" spans="1:5" x14ac:dyDescent="0.25">
      <c r="A543">
        <v>0</v>
      </c>
      <c r="B543">
        <v>42926</v>
      </c>
      <c r="C543">
        <v>0.35760416666666667</v>
      </c>
      <c r="D543">
        <v>0.35951388888888891</v>
      </c>
      <c r="E543" s="2">
        <f t="shared" si="8"/>
        <v>1.9097222222222432E-3</v>
      </c>
    </row>
    <row r="544" spans="1:5" x14ac:dyDescent="0.25">
      <c r="A544">
        <v>0</v>
      </c>
      <c r="B544">
        <v>42926</v>
      </c>
      <c r="C544">
        <v>0.36282407407407408</v>
      </c>
      <c r="D544">
        <v>0.37093749999999998</v>
      </c>
      <c r="E544" s="2">
        <f t="shared" si="8"/>
        <v>8.113425925925899E-3</v>
      </c>
    </row>
    <row r="545" spans="1:5" x14ac:dyDescent="0.25">
      <c r="A545">
        <v>0</v>
      </c>
      <c r="B545">
        <v>42926</v>
      </c>
      <c r="C545">
        <v>0.36803240740740739</v>
      </c>
      <c r="D545">
        <v>0.37565972222222221</v>
      </c>
      <c r="E545" s="2">
        <f t="shared" si="8"/>
        <v>7.6273148148148229E-3</v>
      </c>
    </row>
    <row r="546" spans="1:5" x14ac:dyDescent="0.25">
      <c r="A546">
        <v>0</v>
      </c>
      <c r="B546">
        <v>42926</v>
      </c>
      <c r="C546">
        <v>0.36895833333333333</v>
      </c>
      <c r="D546">
        <v>0.37655092592592593</v>
      </c>
      <c r="E546" s="2">
        <f t="shared" si="8"/>
        <v>7.5925925925925952E-3</v>
      </c>
    </row>
    <row r="547" spans="1:5" x14ac:dyDescent="0.25">
      <c r="A547">
        <v>0</v>
      </c>
      <c r="B547">
        <v>42926</v>
      </c>
      <c r="C547">
        <v>0.36996527777777777</v>
      </c>
      <c r="D547">
        <v>0.37988425925925928</v>
      </c>
      <c r="E547" s="2">
        <f t="shared" si="8"/>
        <v>9.9189814814815147E-3</v>
      </c>
    </row>
    <row r="548" spans="1:5" x14ac:dyDescent="0.25">
      <c r="A548">
        <v>0</v>
      </c>
      <c r="B548">
        <v>42926</v>
      </c>
      <c r="C548">
        <v>0.37015046296296295</v>
      </c>
      <c r="D548">
        <v>0.37528935185185186</v>
      </c>
      <c r="E548" s="2">
        <f t="shared" si="8"/>
        <v>5.138888888888915E-3</v>
      </c>
    </row>
    <row r="549" spans="1:5" x14ac:dyDescent="0.25">
      <c r="A549">
        <v>0</v>
      </c>
      <c r="B549">
        <v>42926</v>
      </c>
      <c r="C549">
        <v>0.3706712962962963</v>
      </c>
      <c r="D549">
        <v>0.37572916666666667</v>
      </c>
      <c r="E549" s="2">
        <f t="shared" si="8"/>
        <v>5.0578703703703654E-3</v>
      </c>
    </row>
    <row r="550" spans="1:5" x14ac:dyDescent="0.25">
      <c r="A550">
        <v>0</v>
      </c>
      <c r="B550">
        <v>42926</v>
      </c>
      <c r="C550">
        <v>0.37207175925925928</v>
      </c>
      <c r="D550">
        <v>0.37332175925925926</v>
      </c>
      <c r="E550" s="2">
        <f t="shared" si="8"/>
        <v>1.2499999999999734E-3</v>
      </c>
    </row>
    <row r="551" spans="1:5" x14ac:dyDescent="0.25">
      <c r="A551">
        <v>0</v>
      </c>
      <c r="B551">
        <v>42926</v>
      </c>
      <c r="C551">
        <v>0.37747685185185187</v>
      </c>
      <c r="D551">
        <v>0.38609953703703703</v>
      </c>
      <c r="E551" s="2">
        <f t="shared" si="8"/>
        <v>8.6226851851851638E-3</v>
      </c>
    </row>
    <row r="552" spans="1:5" x14ac:dyDescent="0.25">
      <c r="A552">
        <v>0</v>
      </c>
      <c r="B552">
        <v>42926</v>
      </c>
      <c r="C552">
        <v>0.37930555555555556</v>
      </c>
      <c r="D552">
        <v>0.38686342592592593</v>
      </c>
      <c r="E552" s="2">
        <f t="shared" si="8"/>
        <v>7.5578703703703676E-3</v>
      </c>
    </row>
    <row r="553" spans="1:5" x14ac:dyDescent="0.25">
      <c r="A553">
        <v>0</v>
      </c>
      <c r="B553">
        <v>42926</v>
      </c>
      <c r="C553">
        <v>0.38040509259259259</v>
      </c>
      <c r="D553">
        <v>0.38484953703703706</v>
      </c>
      <c r="E553" s="2">
        <f t="shared" si="8"/>
        <v>4.4444444444444731E-3</v>
      </c>
    </row>
    <row r="554" spans="1:5" x14ac:dyDescent="0.25">
      <c r="A554">
        <v>0</v>
      </c>
      <c r="B554">
        <v>42926</v>
      </c>
      <c r="C554">
        <v>0.3835648148148148</v>
      </c>
      <c r="D554">
        <v>0.3941087962962963</v>
      </c>
      <c r="E554" s="2">
        <f t="shared" si="8"/>
        <v>1.0543981481481501E-2</v>
      </c>
    </row>
    <row r="555" spans="1:5" x14ac:dyDescent="0.25">
      <c r="A555">
        <v>0</v>
      </c>
      <c r="B555">
        <v>42926</v>
      </c>
      <c r="C555">
        <v>0.38715277777777779</v>
      </c>
      <c r="D555">
        <v>0.39293981481481483</v>
      </c>
      <c r="E555" s="2">
        <f t="shared" si="8"/>
        <v>5.787037037037035E-3</v>
      </c>
    </row>
    <row r="556" spans="1:5" x14ac:dyDescent="0.25">
      <c r="A556">
        <v>0</v>
      </c>
      <c r="B556">
        <v>42926</v>
      </c>
      <c r="C556">
        <v>0.3894097222222222</v>
      </c>
      <c r="D556">
        <v>0.39869212962962963</v>
      </c>
      <c r="E556" s="2">
        <f t="shared" si="8"/>
        <v>9.2824074074074336E-3</v>
      </c>
    </row>
    <row r="557" spans="1:5" x14ac:dyDescent="0.25">
      <c r="A557">
        <v>0</v>
      </c>
      <c r="B557">
        <v>42926</v>
      </c>
      <c r="C557">
        <v>0.39193287037037039</v>
      </c>
      <c r="D557">
        <v>0.39712962962962961</v>
      </c>
      <c r="E557" s="2">
        <f t="shared" si="8"/>
        <v>5.1967592592592204E-3</v>
      </c>
    </row>
    <row r="558" spans="1:5" x14ac:dyDescent="0.25">
      <c r="A558">
        <v>0</v>
      </c>
      <c r="B558">
        <v>42926</v>
      </c>
      <c r="C558">
        <v>0.39307870370370368</v>
      </c>
      <c r="D558">
        <v>0.39380787037037035</v>
      </c>
      <c r="E558" s="2">
        <f t="shared" si="8"/>
        <v>7.2916666666666963E-4</v>
      </c>
    </row>
    <row r="559" spans="1:5" x14ac:dyDescent="0.25">
      <c r="A559">
        <v>0</v>
      </c>
      <c r="B559">
        <v>42926</v>
      </c>
      <c r="C559">
        <v>0.3984375</v>
      </c>
      <c r="D559">
        <v>0.40802083333333333</v>
      </c>
      <c r="E559" s="2">
        <f t="shared" si="8"/>
        <v>9.5833333333333326E-3</v>
      </c>
    </row>
    <row r="560" spans="1:5" x14ac:dyDescent="0.25">
      <c r="A560">
        <v>0</v>
      </c>
      <c r="B560">
        <v>42926</v>
      </c>
      <c r="C560">
        <v>0.40265046296296297</v>
      </c>
      <c r="D560">
        <v>0.40284722222222225</v>
      </c>
      <c r="E560" s="2">
        <f t="shared" si="8"/>
        <v>1.9675925925927151E-4</v>
      </c>
    </row>
    <row r="561" spans="1:5" x14ac:dyDescent="0.25">
      <c r="A561">
        <v>0</v>
      </c>
      <c r="B561">
        <v>42926</v>
      </c>
      <c r="C561">
        <v>0.40662037037037035</v>
      </c>
      <c r="D561">
        <v>0.41171296296296295</v>
      </c>
      <c r="E561" s="2">
        <f t="shared" si="8"/>
        <v>5.092592592592593E-3</v>
      </c>
    </row>
    <row r="562" spans="1:5" x14ac:dyDescent="0.25">
      <c r="A562">
        <v>0</v>
      </c>
      <c r="B562">
        <v>42926</v>
      </c>
      <c r="C562">
        <v>0.40997685185185184</v>
      </c>
      <c r="D562">
        <v>0.41947916666666668</v>
      </c>
      <c r="E562" s="2">
        <f t="shared" si="8"/>
        <v>9.5023148148148384E-3</v>
      </c>
    </row>
    <row r="563" spans="1:5" x14ac:dyDescent="0.25">
      <c r="A563">
        <v>0</v>
      </c>
      <c r="B563">
        <v>42926</v>
      </c>
      <c r="C563">
        <v>0.41422453703703704</v>
      </c>
      <c r="D563">
        <v>0.42549768518518516</v>
      </c>
      <c r="E563" s="2">
        <f t="shared" si="8"/>
        <v>1.1273148148148115E-2</v>
      </c>
    </row>
    <row r="564" spans="1:5" x14ac:dyDescent="0.25">
      <c r="A564">
        <v>0</v>
      </c>
      <c r="B564">
        <v>42926</v>
      </c>
      <c r="C564">
        <v>0.41553240740740743</v>
      </c>
      <c r="D564">
        <v>0.42593750000000002</v>
      </c>
      <c r="E564" s="2">
        <f t="shared" si="8"/>
        <v>1.0405092592592591E-2</v>
      </c>
    </row>
    <row r="565" spans="1:5" x14ac:dyDescent="0.25">
      <c r="A565">
        <v>0</v>
      </c>
      <c r="B565">
        <v>42926</v>
      </c>
      <c r="C565">
        <v>0.41734953703703703</v>
      </c>
      <c r="D565">
        <v>0.42822916666666666</v>
      </c>
      <c r="E565" s="2">
        <f t="shared" si="8"/>
        <v>1.0879629629629628E-2</v>
      </c>
    </row>
    <row r="566" spans="1:5" x14ac:dyDescent="0.25">
      <c r="A566">
        <v>0</v>
      </c>
      <c r="B566">
        <v>42926</v>
      </c>
      <c r="C566">
        <v>0.41863425925925923</v>
      </c>
      <c r="D566">
        <v>0.42877314814814815</v>
      </c>
      <c r="E566" s="2">
        <f t="shared" si="8"/>
        <v>1.0138888888888919E-2</v>
      </c>
    </row>
    <row r="567" spans="1:5" x14ac:dyDescent="0.25">
      <c r="A567">
        <v>0</v>
      </c>
      <c r="B567">
        <v>42926</v>
      </c>
      <c r="C567">
        <v>0.42002314814814817</v>
      </c>
      <c r="D567">
        <v>0.42700231481481482</v>
      </c>
      <c r="E567" s="2">
        <f t="shared" si="8"/>
        <v>6.9791666666666474E-3</v>
      </c>
    </row>
    <row r="568" spans="1:5" x14ac:dyDescent="0.25">
      <c r="A568">
        <v>0</v>
      </c>
      <c r="B568">
        <v>42926</v>
      </c>
      <c r="C568">
        <v>0.42396990740740742</v>
      </c>
      <c r="D568">
        <v>0.43335648148148148</v>
      </c>
      <c r="E568" s="2">
        <f t="shared" si="8"/>
        <v>9.3865740740740611E-3</v>
      </c>
    </row>
    <row r="569" spans="1:5" x14ac:dyDescent="0.25">
      <c r="A569">
        <v>0</v>
      </c>
      <c r="B569">
        <v>42926</v>
      </c>
      <c r="C569">
        <v>0.42922453703703706</v>
      </c>
      <c r="D569">
        <v>0.43947916666666664</v>
      </c>
      <c r="E569" s="2">
        <f t="shared" si="8"/>
        <v>1.0254629629629586E-2</v>
      </c>
    </row>
    <row r="570" spans="1:5" x14ac:dyDescent="0.25">
      <c r="A570">
        <v>0</v>
      </c>
      <c r="B570">
        <v>42926</v>
      </c>
      <c r="C570">
        <v>0.43475694444444446</v>
      </c>
      <c r="D570">
        <v>0.43590277777777775</v>
      </c>
      <c r="E570" s="2">
        <f t="shared" si="8"/>
        <v>1.1458333333332904E-3</v>
      </c>
    </row>
    <row r="571" spans="1:5" x14ac:dyDescent="0.25">
      <c r="A571">
        <v>0</v>
      </c>
      <c r="B571">
        <v>42926</v>
      </c>
      <c r="C571">
        <v>0.44210648148148146</v>
      </c>
      <c r="D571">
        <v>0.44369212962962962</v>
      </c>
      <c r="E571" s="2">
        <f t="shared" si="8"/>
        <v>1.5856481481481555E-3</v>
      </c>
    </row>
    <row r="572" spans="1:5" x14ac:dyDescent="0.25">
      <c r="A572">
        <v>0</v>
      </c>
      <c r="B572">
        <v>42926</v>
      </c>
      <c r="C572">
        <v>0.44572916666666668</v>
      </c>
      <c r="D572">
        <v>0.4548726851851852</v>
      </c>
      <c r="E572" s="2">
        <f t="shared" si="8"/>
        <v>9.143518518518523E-3</v>
      </c>
    </row>
    <row r="573" spans="1:5" x14ac:dyDescent="0.25">
      <c r="A573">
        <v>0</v>
      </c>
      <c r="B573">
        <v>42926</v>
      </c>
      <c r="C573">
        <v>0.44592592592592595</v>
      </c>
      <c r="D573">
        <v>0.45026620370370368</v>
      </c>
      <c r="E573" s="2">
        <f t="shared" si="8"/>
        <v>4.3402777777777346E-3</v>
      </c>
    </row>
    <row r="574" spans="1:5" x14ac:dyDescent="0.25">
      <c r="A574">
        <v>0</v>
      </c>
      <c r="B574">
        <v>42926</v>
      </c>
      <c r="C574">
        <v>0.44641203703703702</v>
      </c>
      <c r="D574">
        <v>0.45089120370370372</v>
      </c>
      <c r="E574" s="2">
        <f t="shared" si="8"/>
        <v>4.4791666666667007E-3</v>
      </c>
    </row>
    <row r="575" spans="1:5" x14ac:dyDescent="0.25">
      <c r="A575">
        <v>0</v>
      </c>
      <c r="B575">
        <v>42926</v>
      </c>
      <c r="C575">
        <v>0.45106481481481481</v>
      </c>
      <c r="D575">
        <v>0.45603009259259258</v>
      </c>
      <c r="E575" s="2">
        <f t="shared" si="8"/>
        <v>4.9652777777777768E-3</v>
      </c>
    </row>
    <row r="576" spans="1:5" x14ac:dyDescent="0.25">
      <c r="A576">
        <v>0</v>
      </c>
      <c r="B576">
        <v>42926</v>
      </c>
      <c r="C576">
        <v>0.45663194444444444</v>
      </c>
      <c r="D576">
        <v>0.46517361111111111</v>
      </c>
      <c r="E576" s="2">
        <f t="shared" si="8"/>
        <v>8.5416666666666696E-3</v>
      </c>
    </row>
    <row r="577" spans="1:5" x14ac:dyDescent="0.25">
      <c r="A577">
        <v>0</v>
      </c>
      <c r="B577">
        <v>42926</v>
      </c>
      <c r="C577">
        <v>0.46108796296296295</v>
      </c>
      <c r="D577">
        <v>0.46989583333333335</v>
      </c>
      <c r="E577" s="2">
        <f t="shared" si="8"/>
        <v>8.8078703703703964E-3</v>
      </c>
    </row>
    <row r="578" spans="1:5" x14ac:dyDescent="0.25">
      <c r="A578">
        <v>0</v>
      </c>
      <c r="B578">
        <v>42926</v>
      </c>
      <c r="C578">
        <v>0.46597222222222223</v>
      </c>
      <c r="D578">
        <v>0.46732638888888889</v>
      </c>
      <c r="E578" s="2">
        <f t="shared" ref="E578:E641" si="9">D578-C578</f>
        <v>1.3541666666666563E-3</v>
      </c>
    </row>
    <row r="579" spans="1:5" x14ac:dyDescent="0.25">
      <c r="A579">
        <v>0</v>
      </c>
      <c r="B579">
        <v>42926</v>
      </c>
      <c r="C579">
        <v>0.46649305555555554</v>
      </c>
      <c r="D579">
        <v>0.47717592592592595</v>
      </c>
      <c r="E579" s="2">
        <f t="shared" si="9"/>
        <v>1.0682870370370412E-2</v>
      </c>
    </row>
    <row r="580" spans="1:5" x14ac:dyDescent="0.25">
      <c r="A580">
        <v>0</v>
      </c>
      <c r="B580">
        <v>42926</v>
      </c>
      <c r="C580">
        <v>0.46957175925925926</v>
      </c>
      <c r="D580">
        <v>0.47247685185185184</v>
      </c>
      <c r="E580" s="2">
        <f t="shared" si="9"/>
        <v>2.9050925925925841E-3</v>
      </c>
    </row>
    <row r="581" spans="1:5" x14ac:dyDescent="0.25">
      <c r="A581">
        <v>0</v>
      </c>
      <c r="B581">
        <v>42926</v>
      </c>
      <c r="C581">
        <v>0.47462962962962962</v>
      </c>
      <c r="D581">
        <v>0.47839120370370369</v>
      </c>
      <c r="E581" s="2">
        <f t="shared" si="9"/>
        <v>3.76157407407407E-3</v>
      </c>
    </row>
    <row r="582" spans="1:5" x14ac:dyDescent="0.25">
      <c r="A582">
        <v>0</v>
      </c>
      <c r="B582">
        <v>42926</v>
      </c>
      <c r="C582">
        <v>0.47535879629629629</v>
      </c>
      <c r="D582">
        <v>0.48454861111111114</v>
      </c>
      <c r="E582" s="2">
        <f t="shared" si="9"/>
        <v>9.1898148148148451E-3</v>
      </c>
    </row>
    <row r="583" spans="1:5" x14ac:dyDescent="0.25">
      <c r="A583">
        <v>0</v>
      </c>
      <c r="B583">
        <v>42926</v>
      </c>
      <c r="C583">
        <v>0.47989583333333335</v>
      </c>
      <c r="D583">
        <v>0.48138888888888887</v>
      </c>
      <c r="E583" s="2">
        <f t="shared" si="9"/>
        <v>1.4930555555555114E-3</v>
      </c>
    </row>
    <row r="584" spans="1:5" x14ac:dyDescent="0.25">
      <c r="A584">
        <v>0</v>
      </c>
      <c r="B584">
        <v>42926</v>
      </c>
      <c r="C584">
        <v>0.4846759259259259</v>
      </c>
      <c r="D584">
        <v>0.49550925925925926</v>
      </c>
      <c r="E584" s="2">
        <f t="shared" si="9"/>
        <v>1.0833333333333361E-2</v>
      </c>
    </row>
    <row r="585" spans="1:5" x14ac:dyDescent="0.25">
      <c r="A585">
        <v>0</v>
      </c>
      <c r="B585">
        <v>42926</v>
      </c>
      <c r="C585">
        <v>0.4881712962962963</v>
      </c>
      <c r="D585">
        <v>0.49769675925925927</v>
      </c>
      <c r="E585" s="2">
        <f t="shared" si="9"/>
        <v>9.5254629629629717E-3</v>
      </c>
    </row>
    <row r="586" spans="1:5" x14ac:dyDescent="0.25">
      <c r="A586">
        <v>0</v>
      </c>
      <c r="B586">
        <v>42926</v>
      </c>
      <c r="C586">
        <v>0.49055555555555558</v>
      </c>
      <c r="D586">
        <v>0.49449074074074073</v>
      </c>
      <c r="E586" s="2">
        <f t="shared" si="9"/>
        <v>3.9351851851851527E-3</v>
      </c>
    </row>
    <row r="587" spans="1:5" x14ac:dyDescent="0.25">
      <c r="A587">
        <v>0</v>
      </c>
      <c r="B587">
        <v>42926</v>
      </c>
      <c r="C587">
        <v>0.49488425925925927</v>
      </c>
      <c r="D587">
        <v>0.50590277777777781</v>
      </c>
      <c r="E587" s="2">
        <f t="shared" si="9"/>
        <v>1.1018518518518539E-2</v>
      </c>
    </row>
    <row r="588" spans="1:5" x14ac:dyDescent="0.25">
      <c r="A588">
        <v>0</v>
      </c>
      <c r="B588">
        <v>42926</v>
      </c>
      <c r="C588">
        <v>0.49674768518518519</v>
      </c>
      <c r="D588">
        <v>0.50796296296296295</v>
      </c>
      <c r="E588" s="2">
        <f t="shared" si="9"/>
        <v>1.1215277777777755E-2</v>
      </c>
    </row>
    <row r="589" spans="1:5" x14ac:dyDescent="0.25">
      <c r="A589">
        <v>0</v>
      </c>
      <c r="B589">
        <v>42926</v>
      </c>
      <c r="C589">
        <v>0.50089120370370366</v>
      </c>
      <c r="D589">
        <v>0.50109953703703702</v>
      </c>
      <c r="E589" s="2">
        <f t="shared" si="9"/>
        <v>2.083333333333659E-4</v>
      </c>
    </row>
    <row r="590" spans="1:5" x14ac:dyDescent="0.25">
      <c r="A590">
        <v>0</v>
      </c>
      <c r="B590">
        <v>42926</v>
      </c>
      <c r="C590">
        <v>0.50635416666666666</v>
      </c>
      <c r="D590">
        <v>0.51716435185185183</v>
      </c>
      <c r="E590" s="2">
        <f t="shared" si="9"/>
        <v>1.0810185185185173E-2</v>
      </c>
    </row>
    <row r="591" spans="1:5" x14ac:dyDescent="0.25">
      <c r="A591">
        <v>0</v>
      </c>
      <c r="B591">
        <v>42926</v>
      </c>
      <c r="C591">
        <v>0.51010416666666669</v>
      </c>
      <c r="D591">
        <v>0.51879629629629631</v>
      </c>
      <c r="E591" s="2">
        <f t="shared" si="9"/>
        <v>8.6921296296296191E-3</v>
      </c>
    </row>
    <row r="592" spans="1:5" x14ac:dyDescent="0.25">
      <c r="A592">
        <v>0</v>
      </c>
      <c r="B592">
        <v>42926</v>
      </c>
      <c r="C592">
        <v>0.51090277777777782</v>
      </c>
      <c r="D592">
        <v>0.51175925925925925</v>
      </c>
      <c r="E592" s="2">
        <f t="shared" si="9"/>
        <v>8.5648148148143033E-4</v>
      </c>
    </row>
    <row r="593" spans="1:5" x14ac:dyDescent="0.25">
      <c r="A593">
        <v>0</v>
      </c>
      <c r="B593">
        <v>42926</v>
      </c>
      <c r="C593">
        <v>0.51157407407407407</v>
      </c>
      <c r="D593">
        <v>0.51663194444444449</v>
      </c>
      <c r="E593" s="2">
        <f t="shared" si="9"/>
        <v>5.0578703703704209E-3</v>
      </c>
    </row>
    <row r="594" spans="1:5" x14ac:dyDescent="0.25">
      <c r="A594">
        <v>0</v>
      </c>
      <c r="B594">
        <v>42926</v>
      </c>
      <c r="C594">
        <v>0.51328703703703704</v>
      </c>
      <c r="D594">
        <v>0.51821759259259259</v>
      </c>
      <c r="E594" s="2">
        <f t="shared" si="9"/>
        <v>4.9305555555555491E-3</v>
      </c>
    </row>
    <row r="595" spans="1:5" x14ac:dyDescent="0.25">
      <c r="A595">
        <v>0</v>
      </c>
      <c r="B595">
        <v>42926</v>
      </c>
      <c r="C595">
        <v>0.51603009259259258</v>
      </c>
      <c r="D595">
        <v>0.5269907407407407</v>
      </c>
      <c r="E595" s="2">
        <f t="shared" si="9"/>
        <v>1.0960648148148122E-2</v>
      </c>
    </row>
    <row r="596" spans="1:5" x14ac:dyDescent="0.25">
      <c r="A596">
        <v>0</v>
      </c>
      <c r="B596">
        <v>42926</v>
      </c>
      <c r="C596">
        <v>0.52123842592592595</v>
      </c>
      <c r="D596">
        <v>0.53008101851851852</v>
      </c>
      <c r="E596" s="2">
        <f t="shared" si="9"/>
        <v>8.8425925925925686E-3</v>
      </c>
    </row>
    <row r="597" spans="1:5" x14ac:dyDescent="0.25">
      <c r="A597">
        <v>0</v>
      </c>
      <c r="B597">
        <v>42926</v>
      </c>
      <c r="C597">
        <v>0.52134259259259264</v>
      </c>
      <c r="D597">
        <v>0.53226851851851853</v>
      </c>
      <c r="E597" s="2">
        <f t="shared" si="9"/>
        <v>1.0925925925925895E-2</v>
      </c>
    </row>
    <row r="598" spans="1:5" x14ac:dyDescent="0.25">
      <c r="A598">
        <v>0</v>
      </c>
      <c r="B598">
        <v>42926</v>
      </c>
      <c r="C598">
        <v>0.52254629629629634</v>
      </c>
      <c r="D598">
        <v>0.52263888888888888</v>
      </c>
      <c r="E598" s="2">
        <f t="shared" si="9"/>
        <v>9.2592592592533052E-5</v>
      </c>
    </row>
    <row r="599" spans="1:5" x14ac:dyDescent="0.25">
      <c r="A599">
        <v>0</v>
      </c>
      <c r="B599">
        <v>42926</v>
      </c>
      <c r="C599">
        <v>0.52392361111111108</v>
      </c>
      <c r="D599">
        <v>0.53378472222222217</v>
      </c>
      <c r="E599" s="2">
        <f t="shared" si="9"/>
        <v>9.8611111111110983E-3</v>
      </c>
    </row>
    <row r="600" spans="1:5" x14ac:dyDescent="0.25">
      <c r="A600">
        <v>0</v>
      </c>
      <c r="B600">
        <v>42926</v>
      </c>
      <c r="C600">
        <v>0.52837962962962959</v>
      </c>
      <c r="D600">
        <v>0.53084490740740742</v>
      </c>
      <c r="E600" s="2">
        <f t="shared" si="9"/>
        <v>2.4652777777778301E-3</v>
      </c>
    </row>
    <row r="601" spans="1:5" x14ac:dyDescent="0.25">
      <c r="A601">
        <v>0</v>
      </c>
      <c r="B601">
        <v>42926</v>
      </c>
      <c r="C601">
        <v>0.53204861111111112</v>
      </c>
      <c r="D601">
        <v>0.53737268518518522</v>
      </c>
      <c r="E601" s="2">
        <f t="shared" si="9"/>
        <v>5.3240740740740922E-3</v>
      </c>
    </row>
    <row r="602" spans="1:5" x14ac:dyDescent="0.25">
      <c r="A602">
        <v>0</v>
      </c>
      <c r="B602">
        <v>42926</v>
      </c>
      <c r="C602">
        <v>0.53291666666666671</v>
      </c>
      <c r="D602">
        <v>0.53758101851851847</v>
      </c>
      <c r="E602" s="2">
        <f t="shared" si="9"/>
        <v>4.6643518518517668E-3</v>
      </c>
    </row>
    <row r="603" spans="1:5" x14ac:dyDescent="0.25">
      <c r="A603">
        <v>0</v>
      </c>
      <c r="B603">
        <v>42926</v>
      </c>
      <c r="C603">
        <v>0.53843750000000001</v>
      </c>
      <c r="D603">
        <v>0.54283564814814811</v>
      </c>
      <c r="E603" s="2">
        <f t="shared" si="9"/>
        <v>4.3981481481480955E-3</v>
      </c>
    </row>
    <row r="604" spans="1:5" x14ac:dyDescent="0.25">
      <c r="A604">
        <v>0</v>
      </c>
      <c r="B604">
        <v>42926</v>
      </c>
      <c r="C604">
        <v>0.54197916666666668</v>
      </c>
      <c r="D604">
        <v>0.54866898148148147</v>
      </c>
      <c r="E604" s="2">
        <f t="shared" si="9"/>
        <v>6.6898148148147873E-3</v>
      </c>
    </row>
    <row r="605" spans="1:5" x14ac:dyDescent="0.25">
      <c r="A605">
        <v>0</v>
      </c>
      <c r="B605">
        <v>42926</v>
      </c>
      <c r="C605">
        <v>0.54292824074074075</v>
      </c>
      <c r="D605">
        <v>0.5444444444444444</v>
      </c>
      <c r="E605" s="2">
        <f t="shared" si="9"/>
        <v>1.5162037037036447E-3</v>
      </c>
    </row>
    <row r="606" spans="1:5" x14ac:dyDescent="0.25">
      <c r="A606">
        <v>0</v>
      </c>
      <c r="B606">
        <v>42926</v>
      </c>
      <c r="C606">
        <v>0.54432870370370368</v>
      </c>
      <c r="D606">
        <v>0.55090277777777774</v>
      </c>
      <c r="E606" s="2">
        <f t="shared" si="9"/>
        <v>6.5740740740740655E-3</v>
      </c>
    </row>
    <row r="607" spans="1:5" x14ac:dyDescent="0.25">
      <c r="A607">
        <v>0</v>
      </c>
      <c r="B607">
        <v>42926</v>
      </c>
      <c r="C607">
        <v>0.54692129629629627</v>
      </c>
      <c r="D607">
        <v>0.55000000000000004</v>
      </c>
      <c r="E607" s="2">
        <f t="shared" si="9"/>
        <v>3.0787037037037779E-3</v>
      </c>
    </row>
    <row r="608" spans="1:5" x14ac:dyDescent="0.25">
      <c r="A608">
        <v>0</v>
      </c>
      <c r="B608">
        <v>42926</v>
      </c>
      <c r="C608">
        <v>0.55046296296296293</v>
      </c>
      <c r="D608">
        <v>0.55986111111111114</v>
      </c>
      <c r="E608" s="2">
        <f t="shared" si="9"/>
        <v>9.398148148148211E-3</v>
      </c>
    </row>
    <row r="609" spans="1:5" x14ac:dyDescent="0.25">
      <c r="A609">
        <v>0</v>
      </c>
      <c r="B609">
        <v>42926</v>
      </c>
      <c r="C609">
        <v>0.55246527777777776</v>
      </c>
      <c r="D609">
        <v>0.56334490740740739</v>
      </c>
      <c r="E609" s="2">
        <f t="shared" si="9"/>
        <v>1.0879629629629628E-2</v>
      </c>
    </row>
    <row r="610" spans="1:5" x14ac:dyDescent="0.25">
      <c r="A610">
        <v>0</v>
      </c>
      <c r="B610">
        <v>42926</v>
      </c>
      <c r="C610">
        <v>0.55650462962962965</v>
      </c>
      <c r="D610">
        <v>0.55850694444444449</v>
      </c>
      <c r="E610" s="2">
        <f t="shared" si="9"/>
        <v>2.0023148148148318E-3</v>
      </c>
    </row>
    <row r="611" spans="1:5" x14ac:dyDescent="0.25">
      <c r="A611">
        <v>0</v>
      </c>
      <c r="B611">
        <v>42926</v>
      </c>
      <c r="C611">
        <v>0.55832175925925931</v>
      </c>
      <c r="D611">
        <v>0.56265046296296295</v>
      </c>
      <c r="E611" s="2">
        <f t="shared" si="9"/>
        <v>4.3287037037036402E-3</v>
      </c>
    </row>
    <row r="612" spans="1:5" x14ac:dyDescent="0.25">
      <c r="A612">
        <v>0</v>
      </c>
      <c r="B612">
        <v>42926</v>
      </c>
      <c r="C612">
        <v>0.55864583333333329</v>
      </c>
      <c r="D612">
        <v>0.56383101851851847</v>
      </c>
      <c r="E612" s="2">
        <f t="shared" si="9"/>
        <v>5.1851851851851816E-3</v>
      </c>
    </row>
    <row r="613" spans="1:5" x14ac:dyDescent="0.25">
      <c r="A613">
        <v>0</v>
      </c>
      <c r="B613">
        <v>42926</v>
      </c>
      <c r="C613">
        <v>0.56234953703703705</v>
      </c>
      <c r="D613">
        <v>0.57378472222222221</v>
      </c>
      <c r="E613" s="2">
        <f t="shared" si="9"/>
        <v>1.1435185185185159E-2</v>
      </c>
    </row>
    <row r="614" spans="1:5" x14ac:dyDescent="0.25">
      <c r="A614">
        <v>0</v>
      </c>
      <c r="B614">
        <v>42926</v>
      </c>
      <c r="C614">
        <v>0.56688657407407406</v>
      </c>
      <c r="D614">
        <v>0.57342592592592589</v>
      </c>
      <c r="E614" s="2">
        <f t="shared" si="9"/>
        <v>6.5393518518518379E-3</v>
      </c>
    </row>
    <row r="615" spans="1:5" x14ac:dyDescent="0.25">
      <c r="A615">
        <v>0</v>
      </c>
      <c r="B615">
        <v>42926</v>
      </c>
      <c r="C615">
        <v>0.56980324074074074</v>
      </c>
      <c r="D615">
        <v>0.575775462962963</v>
      </c>
      <c r="E615" s="2">
        <f t="shared" si="9"/>
        <v>5.9722222222222676E-3</v>
      </c>
    </row>
    <row r="616" spans="1:5" x14ac:dyDescent="0.25">
      <c r="A616">
        <v>0</v>
      </c>
      <c r="B616">
        <v>42926</v>
      </c>
      <c r="C616">
        <v>0.5755555555555556</v>
      </c>
      <c r="D616">
        <v>0.57737268518518514</v>
      </c>
      <c r="E616" s="2">
        <f t="shared" si="9"/>
        <v>1.8171296296295436E-3</v>
      </c>
    </row>
    <row r="617" spans="1:5" x14ac:dyDescent="0.25">
      <c r="A617">
        <v>0</v>
      </c>
      <c r="B617">
        <v>42926</v>
      </c>
      <c r="C617">
        <v>0.5803935185185185</v>
      </c>
      <c r="D617">
        <v>0.58190972222222226</v>
      </c>
      <c r="E617" s="2">
        <f t="shared" si="9"/>
        <v>1.5162037037037557E-3</v>
      </c>
    </row>
    <row r="618" spans="1:5" x14ac:dyDescent="0.25">
      <c r="A618">
        <v>0</v>
      </c>
      <c r="B618">
        <v>42926</v>
      </c>
      <c r="C618">
        <v>0.58189814814814811</v>
      </c>
      <c r="D618">
        <v>0.59070601851851856</v>
      </c>
      <c r="E618" s="2">
        <f t="shared" si="9"/>
        <v>8.807870370370452E-3</v>
      </c>
    </row>
    <row r="619" spans="1:5" x14ac:dyDescent="0.25">
      <c r="A619">
        <v>0</v>
      </c>
      <c r="B619">
        <v>42926</v>
      </c>
      <c r="C619">
        <v>0.58254629629629628</v>
      </c>
      <c r="D619">
        <v>0.58601851851851849</v>
      </c>
      <c r="E619" s="2">
        <f t="shared" si="9"/>
        <v>3.4722222222222099E-3</v>
      </c>
    </row>
    <row r="620" spans="1:5" x14ac:dyDescent="0.25">
      <c r="A620">
        <v>0</v>
      </c>
      <c r="B620">
        <v>42926</v>
      </c>
      <c r="C620">
        <v>0.58351851851851855</v>
      </c>
      <c r="D620">
        <v>0.59368055555555554</v>
      </c>
      <c r="E620" s="2">
        <f t="shared" si="9"/>
        <v>1.0162037037036997E-2</v>
      </c>
    </row>
    <row r="621" spans="1:5" x14ac:dyDescent="0.25">
      <c r="A621">
        <v>0</v>
      </c>
      <c r="B621">
        <v>42926</v>
      </c>
      <c r="C621">
        <v>0.58677083333333335</v>
      </c>
      <c r="D621">
        <v>0.58759259259259256</v>
      </c>
      <c r="E621" s="2">
        <f t="shared" si="9"/>
        <v>8.2175925925920268E-4</v>
      </c>
    </row>
    <row r="622" spans="1:5" x14ac:dyDescent="0.25">
      <c r="A622">
        <v>0</v>
      </c>
      <c r="B622">
        <v>42926</v>
      </c>
      <c r="C622">
        <v>0.58877314814814818</v>
      </c>
      <c r="D622">
        <v>0.59027777777777779</v>
      </c>
      <c r="E622" s="2">
        <f t="shared" si="9"/>
        <v>1.5046296296296058E-3</v>
      </c>
    </row>
    <row r="623" spans="1:5" x14ac:dyDescent="0.25">
      <c r="A623">
        <v>0</v>
      </c>
      <c r="B623">
        <v>42926</v>
      </c>
      <c r="C623">
        <v>0.58910879629629631</v>
      </c>
      <c r="D623">
        <v>0.59431712962962968</v>
      </c>
      <c r="E623" s="2">
        <f t="shared" si="9"/>
        <v>5.2083333333333703E-3</v>
      </c>
    </row>
    <row r="624" spans="1:5" x14ac:dyDescent="0.25">
      <c r="A624">
        <v>0</v>
      </c>
      <c r="B624">
        <v>42926</v>
      </c>
      <c r="C624">
        <v>0.58976851851851853</v>
      </c>
      <c r="D624">
        <v>0.60074074074074069</v>
      </c>
      <c r="E624" s="2">
        <f t="shared" si="9"/>
        <v>1.0972222222222161E-2</v>
      </c>
    </row>
    <row r="625" spans="1:5" x14ac:dyDescent="0.25">
      <c r="A625">
        <v>0</v>
      </c>
      <c r="B625">
        <v>42926</v>
      </c>
      <c r="C625">
        <v>0.59670138888888891</v>
      </c>
      <c r="D625">
        <v>0.59701388888888884</v>
      </c>
      <c r="E625" s="2">
        <f t="shared" si="9"/>
        <v>3.1249999999993783E-4</v>
      </c>
    </row>
    <row r="626" spans="1:5" x14ac:dyDescent="0.25">
      <c r="A626">
        <v>0</v>
      </c>
      <c r="B626">
        <v>42926</v>
      </c>
      <c r="C626">
        <v>0.60041666666666671</v>
      </c>
      <c r="D626">
        <v>0.6095949074074074</v>
      </c>
      <c r="E626" s="2">
        <f t="shared" si="9"/>
        <v>9.1782407407406952E-3</v>
      </c>
    </row>
    <row r="627" spans="1:5" x14ac:dyDescent="0.25">
      <c r="A627">
        <v>0</v>
      </c>
      <c r="B627">
        <v>42926</v>
      </c>
      <c r="C627">
        <v>0.60517361111111112</v>
      </c>
      <c r="D627">
        <v>0.61063657407407412</v>
      </c>
      <c r="E627" s="2">
        <f t="shared" si="9"/>
        <v>5.4629629629630028E-3</v>
      </c>
    </row>
    <row r="628" spans="1:5" x14ac:dyDescent="0.25">
      <c r="A628">
        <v>0</v>
      </c>
      <c r="B628">
        <v>42926</v>
      </c>
      <c r="C628">
        <v>0.60578703703703707</v>
      </c>
      <c r="D628">
        <v>0.61459490740740741</v>
      </c>
      <c r="E628" s="2">
        <f t="shared" si="9"/>
        <v>8.8078703703703409E-3</v>
      </c>
    </row>
    <row r="629" spans="1:5" x14ac:dyDescent="0.25">
      <c r="A629">
        <v>0</v>
      </c>
      <c r="B629">
        <v>42926</v>
      </c>
      <c r="C629">
        <v>0.61140046296296291</v>
      </c>
      <c r="D629">
        <v>0.61952546296296296</v>
      </c>
      <c r="E629" s="2">
        <f t="shared" si="9"/>
        <v>8.1250000000000488E-3</v>
      </c>
    </row>
    <row r="630" spans="1:5" x14ac:dyDescent="0.25">
      <c r="A630">
        <v>0</v>
      </c>
      <c r="B630">
        <v>42926</v>
      </c>
      <c r="C630">
        <v>0.61699074074074078</v>
      </c>
      <c r="D630">
        <v>0.62163194444444447</v>
      </c>
      <c r="E630" s="2">
        <f t="shared" si="9"/>
        <v>4.6412037037036891E-3</v>
      </c>
    </row>
    <row r="631" spans="1:5" x14ac:dyDescent="0.25">
      <c r="A631">
        <v>0</v>
      </c>
      <c r="B631">
        <v>42926</v>
      </c>
      <c r="C631">
        <v>0.62216435185185182</v>
      </c>
      <c r="D631">
        <v>0.62291666666666667</v>
      </c>
      <c r="E631" s="2">
        <f t="shared" si="9"/>
        <v>7.523148148148584E-4</v>
      </c>
    </row>
    <row r="632" spans="1:5" x14ac:dyDescent="0.25">
      <c r="A632">
        <v>0</v>
      </c>
      <c r="B632">
        <v>42926</v>
      </c>
      <c r="C632">
        <v>0.6272685185185185</v>
      </c>
      <c r="D632">
        <v>0.63475694444444442</v>
      </c>
      <c r="E632" s="2">
        <f t="shared" si="9"/>
        <v>7.4884259259259123E-3</v>
      </c>
    </row>
    <row r="633" spans="1:5" x14ac:dyDescent="0.25">
      <c r="A633">
        <v>0</v>
      </c>
      <c r="B633">
        <v>42927</v>
      </c>
      <c r="C633">
        <v>0.3349537037037037</v>
      </c>
      <c r="D633">
        <v>0.3379861111111111</v>
      </c>
      <c r="E633" s="2">
        <f t="shared" si="9"/>
        <v>3.0324074074074003E-3</v>
      </c>
    </row>
    <row r="634" spans="1:5" x14ac:dyDescent="0.25">
      <c r="A634">
        <v>0</v>
      </c>
      <c r="B634">
        <v>42927</v>
      </c>
      <c r="C634">
        <v>0.33706018518518521</v>
      </c>
      <c r="D634">
        <v>0.33875</v>
      </c>
      <c r="E634" s="2">
        <f t="shared" si="9"/>
        <v>1.6898148148147829E-3</v>
      </c>
    </row>
    <row r="635" spans="1:5" x14ac:dyDescent="0.25">
      <c r="A635">
        <v>0</v>
      </c>
      <c r="B635">
        <v>42927</v>
      </c>
      <c r="C635">
        <v>0.34006944444444442</v>
      </c>
      <c r="D635">
        <v>0.3427546296296296</v>
      </c>
      <c r="E635" s="2">
        <f t="shared" si="9"/>
        <v>2.6851851851851793E-3</v>
      </c>
    </row>
    <row r="636" spans="1:5" x14ac:dyDescent="0.25">
      <c r="A636">
        <v>0</v>
      </c>
      <c r="B636">
        <v>42927</v>
      </c>
      <c r="C636">
        <v>0.34304398148148146</v>
      </c>
      <c r="D636">
        <v>0.34310185185185182</v>
      </c>
      <c r="E636" s="2">
        <f t="shared" si="9"/>
        <v>5.7870370370360913E-5</v>
      </c>
    </row>
    <row r="637" spans="1:5" x14ac:dyDescent="0.25">
      <c r="A637">
        <v>0</v>
      </c>
      <c r="B637">
        <v>42927</v>
      </c>
      <c r="C637">
        <v>0.34778935185185184</v>
      </c>
      <c r="D637">
        <v>0.35474537037037035</v>
      </c>
      <c r="E637" s="2">
        <f t="shared" si="9"/>
        <v>6.9560185185185142E-3</v>
      </c>
    </row>
    <row r="638" spans="1:5" x14ac:dyDescent="0.25">
      <c r="A638">
        <v>0</v>
      </c>
      <c r="B638">
        <v>42927</v>
      </c>
      <c r="C638">
        <v>0.3513425925925926</v>
      </c>
      <c r="D638">
        <v>0.35505787037037034</v>
      </c>
      <c r="E638" s="2">
        <f t="shared" si="9"/>
        <v>3.7152777777777479E-3</v>
      </c>
    </row>
    <row r="639" spans="1:5" x14ac:dyDescent="0.25">
      <c r="A639">
        <v>0</v>
      </c>
      <c r="B639">
        <v>42927</v>
      </c>
      <c r="C639">
        <v>0.35575231481481484</v>
      </c>
      <c r="D639">
        <v>0.35851851851851851</v>
      </c>
      <c r="E639" s="2">
        <f t="shared" si="9"/>
        <v>2.7662037037036735E-3</v>
      </c>
    </row>
    <row r="640" spans="1:5" x14ac:dyDescent="0.25">
      <c r="A640">
        <v>0</v>
      </c>
      <c r="B640">
        <v>42927</v>
      </c>
      <c r="C640">
        <v>0.3596759259259259</v>
      </c>
      <c r="D640">
        <v>0.36363425925925924</v>
      </c>
      <c r="E640" s="2">
        <f t="shared" si="9"/>
        <v>3.9583333333333415E-3</v>
      </c>
    </row>
    <row r="641" spans="1:5" x14ac:dyDescent="0.25">
      <c r="A641">
        <v>0</v>
      </c>
      <c r="B641">
        <v>42927</v>
      </c>
      <c r="C641">
        <v>0.36203703703703705</v>
      </c>
      <c r="D641">
        <v>0.37155092592592592</v>
      </c>
      <c r="E641" s="2">
        <f t="shared" si="9"/>
        <v>9.5138888888888773E-3</v>
      </c>
    </row>
    <row r="642" spans="1:5" x14ac:dyDescent="0.25">
      <c r="A642">
        <v>0</v>
      </c>
      <c r="B642">
        <v>42927</v>
      </c>
      <c r="C642">
        <v>0.36394675925925923</v>
      </c>
      <c r="D642">
        <v>0.36422453703703705</v>
      </c>
      <c r="E642" s="2">
        <f t="shared" ref="E642:E705" si="10">D642-C642</f>
        <v>2.777777777778212E-4</v>
      </c>
    </row>
    <row r="643" spans="1:5" x14ac:dyDescent="0.25">
      <c r="A643">
        <v>0</v>
      </c>
      <c r="B643">
        <v>42927</v>
      </c>
      <c r="C643">
        <v>0.36930555555555555</v>
      </c>
      <c r="D643">
        <v>0.37052083333333335</v>
      </c>
      <c r="E643" s="2">
        <f t="shared" si="10"/>
        <v>1.2152777777778012E-3</v>
      </c>
    </row>
    <row r="644" spans="1:5" x14ac:dyDescent="0.25">
      <c r="A644">
        <v>0</v>
      </c>
      <c r="B644">
        <v>42927</v>
      </c>
      <c r="C644">
        <v>0.37684027777777779</v>
      </c>
      <c r="D644">
        <v>0.38072916666666667</v>
      </c>
      <c r="E644" s="2">
        <f t="shared" si="10"/>
        <v>3.8888888888888862E-3</v>
      </c>
    </row>
    <row r="645" spans="1:5" x14ac:dyDescent="0.25">
      <c r="A645">
        <v>0</v>
      </c>
      <c r="B645">
        <v>42927</v>
      </c>
      <c r="C645">
        <v>0.37695601851851851</v>
      </c>
      <c r="D645">
        <v>0.38138888888888889</v>
      </c>
      <c r="E645" s="2">
        <f t="shared" si="10"/>
        <v>4.4328703703703787E-3</v>
      </c>
    </row>
    <row r="646" spans="1:5" x14ac:dyDescent="0.25">
      <c r="A646">
        <v>0</v>
      </c>
      <c r="B646">
        <v>42927</v>
      </c>
      <c r="C646">
        <v>0.38233796296296296</v>
      </c>
      <c r="D646">
        <v>0.39034722222222223</v>
      </c>
      <c r="E646" s="2">
        <f t="shared" si="10"/>
        <v>8.0092592592592715E-3</v>
      </c>
    </row>
    <row r="647" spans="1:5" x14ac:dyDescent="0.25">
      <c r="A647">
        <v>0</v>
      </c>
      <c r="B647">
        <v>42927</v>
      </c>
      <c r="C647">
        <v>0.3850925925925926</v>
      </c>
      <c r="D647">
        <v>0.38929398148148148</v>
      </c>
      <c r="E647" s="2">
        <f t="shared" si="10"/>
        <v>4.2013888888888795E-3</v>
      </c>
    </row>
    <row r="648" spans="1:5" x14ac:dyDescent="0.25">
      <c r="A648">
        <v>0</v>
      </c>
      <c r="B648">
        <v>42927</v>
      </c>
      <c r="C648">
        <v>0.38797453703703705</v>
      </c>
      <c r="D648">
        <v>0.39458333333333334</v>
      </c>
      <c r="E648" s="2">
        <f t="shared" si="10"/>
        <v>6.6087962962962932E-3</v>
      </c>
    </row>
    <row r="649" spans="1:5" x14ac:dyDescent="0.25">
      <c r="A649">
        <v>0</v>
      </c>
      <c r="B649">
        <v>42927</v>
      </c>
      <c r="C649">
        <v>0.39199074074074075</v>
      </c>
      <c r="D649">
        <v>0.39934027777777775</v>
      </c>
      <c r="E649" s="2">
        <f t="shared" si="10"/>
        <v>7.3495370370370017E-3</v>
      </c>
    </row>
    <row r="650" spans="1:5" x14ac:dyDescent="0.25">
      <c r="A650">
        <v>0</v>
      </c>
      <c r="B650">
        <v>42927</v>
      </c>
      <c r="C650">
        <v>0.39260416666666664</v>
      </c>
      <c r="D650">
        <v>0.40322916666666669</v>
      </c>
      <c r="E650" s="2">
        <f t="shared" si="10"/>
        <v>1.0625000000000051E-2</v>
      </c>
    </row>
    <row r="651" spans="1:5" x14ac:dyDescent="0.25">
      <c r="A651">
        <v>0</v>
      </c>
      <c r="B651">
        <v>42927</v>
      </c>
      <c r="C651">
        <v>0.39659722222222221</v>
      </c>
      <c r="D651">
        <v>0.4042824074074074</v>
      </c>
      <c r="E651" s="2">
        <f t="shared" si="10"/>
        <v>7.6851851851851838E-3</v>
      </c>
    </row>
    <row r="652" spans="1:5" x14ac:dyDescent="0.25">
      <c r="A652">
        <v>0</v>
      </c>
      <c r="B652">
        <v>42927</v>
      </c>
      <c r="C652">
        <v>0.39817129629629627</v>
      </c>
      <c r="D652">
        <v>0.4045023148148148</v>
      </c>
      <c r="E652" s="2">
        <f t="shared" si="10"/>
        <v>6.3310185185185275E-3</v>
      </c>
    </row>
    <row r="653" spans="1:5" x14ac:dyDescent="0.25">
      <c r="A653">
        <v>0</v>
      </c>
      <c r="B653">
        <v>42927</v>
      </c>
      <c r="C653">
        <v>0.40379629629629632</v>
      </c>
      <c r="D653">
        <v>0.4100462962962963</v>
      </c>
      <c r="E653" s="2">
        <f t="shared" si="10"/>
        <v>6.2499999999999778E-3</v>
      </c>
    </row>
    <row r="654" spans="1:5" x14ac:dyDescent="0.25">
      <c r="A654">
        <v>0</v>
      </c>
      <c r="B654">
        <v>42927</v>
      </c>
      <c r="C654">
        <v>0.40777777777777779</v>
      </c>
      <c r="D654">
        <v>0.4181597222222222</v>
      </c>
      <c r="E654" s="2">
        <f t="shared" si="10"/>
        <v>1.0381944444444402E-2</v>
      </c>
    </row>
    <row r="655" spans="1:5" x14ac:dyDescent="0.25">
      <c r="A655">
        <v>0</v>
      </c>
      <c r="B655">
        <v>42927</v>
      </c>
      <c r="C655">
        <v>0.41239583333333335</v>
      </c>
      <c r="D655">
        <v>0.41844907407407406</v>
      </c>
      <c r="E655" s="2">
        <f t="shared" si="10"/>
        <v>6.0532407407407063E-3</v>
      </c>
    </row>
    <row r="656" spans="1:5" x14ac:dyDescent="0.25">
      <c r="A656">
        <v>0</v>
      </c>
      <c r="B656">
        <v>42927</v>
      </c>
      <c r="C656">
        <v>0.41431712962962963</v>
      </c>
      <c r="D656">
        <v>0.41986111111111113</v>
      </c>
      <c r="E656" s="2">
        <f t="shared" si="10"/>
        <v>5.5439814814814969E-3</v>
      </c>
    </row>
    <row r="657" spans="1:5" x14ac:dyDescent="0.25">
      <c r="A657">
        <v>0</v>
      </c>
      <c r="B657">
        <v>42927</v>
      </c>
      <c r="C657">
        <v>0.41666666666666669</v>
      </c>
      <c r="D657">
        <v>0.42190972222222223</v>
      </c>
      <c r="E657" s="2">
        <f t="shared" si="10"/>
        <v>5.2430555555555425E-3</v>
      </c>
    </row>
    <row r="658" spans="1:5" x14ac:dyDescent="0.25">
      <c r="A658">
        <v>0</v>
      </c>
      <c r="B658">
        <v>42927</v>
      </c>
      <c r="C658">
        <v>0.41935185185185186</v>
      </c>
      <c r="D658">
        <v>0.43002314814814813</v>
      </c>
      <c r="E658" s="2">
        <f t="shared" si="10"/>
        <v>1.0671296296296262E-2</v>
      </c>
    </row>
    <row r="659" spans="1:5" x14ac:dyDescent="0.25">
      <c r="A659">
        <v>0</v>
      </c>
      <c r="B659">
        <v>42927</v>
      </c>
      <c r="C659">
        <v>0.4238425925925926</v>
      </c>
      <c r="D659">
        <v>0.4321875</v>
      </c>
      <c r="E659" s="2">
        <f t="shared" si="10"/>
        <v>8.3449074074073981E-3</v>
      </c>
    </row>
    <row r="660" spans="1:5" x14ac:dyDescent="0.25">
      <c r="A660">
        <v>0</v>
      </c>
      <c r="B660">
        <v>42927</v>
      </c>
      <c r="C660">
        <v>0.42818287037037039</v>
      </c>
      <c r="D660">
        <v>0.43273148148148149</v>
      </c>
      <c r="E660" s="2">
        <f t="shared" si="10"/>
        <v>4.5486111111111005E-3</v>
      </c>
    </row>
    <row r="661" spans="1:5" x14ac:dyDescent="0.25">
      <c r="A661">
        <v>0</v>
      </c>
      <c r="B661">
        <v>42927</v>
      </c>
      <c r="C661">
        <v>0.42995370370370373</v>
      </c>
      <c r="D661">
        <v>0.43024305555555553</v>
      </c>
      <c r="E661" s="2">
        <f t="shared" si="10"/>
        <v>2.8935185185180456E-4</v>
      </c>
    </row>
    <row r="662" spans="1:5" x14ac:dyDescent="0.25">
      <c r="A662">
        <v>0</v>
      </c>
      <c r="B662">
        <v>42927</v>
      </c>
      <c r="C662">
        <v>0.43539351851851854</v>
      </c>
      <c r="D662">
        <v>0.43763888888888891</v>
      </c>
      <c r="E662" s="2">
        <f t="shared" si="10"/>
        <v>2.2453703703703698E-3</v>
      </c>
    </row>
    <row r="663" spans="1:5" x14ac:dyDescent="0.25">
      <c r="A663">
        <v>0</v>
      </c>
      <c r="B663">
        <v>42927</v>
      </c>
      <c r="C663">
        <v>0.44013888888888891</v>
      </c>
      <c r="D663">
        <v>0.44690972222222225</v>
      </c>
      <c r="E663" s="2">
        <f t="shared" si="10"/>
        <v>6.770833333333337E-3</v>
      </c>
    </row>
    <row r="664" spans="1:5" x14ac:dyDescent="0.25">
      <c r="A664">
        <v>0</v>
      </c>
      <c r="B664">
        <v>42927</v>
      </c>
      <c r="C664">
        <v>0.44381944444444443</v>
      </c>
      <c r="D664">
        <v>0.45199074074074075</v>
      </c>
      <c r="E664" s="2">
        <f t="shared" si="10"/>
        <v>8.1712962962963154E-3</v>
      </c>
    </row>
    <row r="665" spans="1:5" x14ac:dyDescent="0.25">
      <c r="A665">
        <v>0</v>
      </c>
      <c r="B665">
        <v>42927</v>
      </c>
      <c r="C665">
        <v>0.44657407407407407</v>
      </c>
      <c r="D665">
        <v>0.44774305555555555</v>
      </c>
      <c r="E665" s="2">
        <f t="shared" si="10"/>
        <v>1.1689814814814792E-3</v>
      </c>
    </row>
    <row r="666" spans="1:5" x14ac:dyDescent="0.25">
      <c r="A666">
        <v>0</v>
      </c>
      <c r="B666">
        <v>42927</v>
      </c>
      <c r="C666">
        <v>0.44751157407407405</v>
      </c>
      <c r="D666">
        <v>0.45284722222222223</v>
      </c>
      <c r="E666" s="2">
        <f t="shared" si="10"/>
        <v>5.3356481481481866E-3</v>
      </c>
    </row>
    <row r="667" spans="1:5" x14ac:dyDescent="0.25">
      <c r="A667">
        <v>0</v>
      </c>
      <c r="B667">
        <v>42927</v>
      </c>
      <c r="C667">
        <v>0.45091435185185186</v>
      </c>
      <c r="D667">
        <v>0.45429398148148148</v>
      </c>
      <c r="E667" s="2">
        <f t="shared" si="10"/>
        <v>3.3796296296296213E-3</v>
      </c>
    </row>
    <row r="668" spans="1:5" x14ac:dyDescent="0.25">
      <c r="A668">
        <v>0</v>
      </c>
      <c r="B668">
        <v>42927</v>
      </c>
      <c r="C668">
        <v>0.45157407407407407</v>
      </c>
      <c r="D668">
        <v>0.45738425925925924</v>
      </c>
      <c r="E668" s="2">
        <f t="shared" si="10"/>
        <v>5.8101851851851682E-3</v>
      </c>
    </row>
    <row r="669" spans="1:5" x14ac:dyDescent="0.25">
      <c r="A669">
        <v>0</v>
      </c>
      <c r="B669">
        <v>42927</v>
      </c>
      <c r="C669">
        <v>0.45475694444444442</v>
      </c>
      <c r="D669">
        <v>0.4566898148148148</v>
      </c>
      <c r="E669" s="2">
        <f t="shared" si="10"/>
        <v>1.9328703703703765E-3</v>
      </c>
    </row>
    <row r="670" spans="1:5" x14ac:dyDescent="0.25">
      <c r="A670">
        <v>0</v>
      </c>
      <c r="B670">
        <v>42927</v>
      </c>
      <c r="C670">
        <v>0.45873842592592595</v>
      </c>
      <c r="D670">
        <v>0.46986111111111112</v>
      </c>
      <c r="E670" s="2">
        <f t="shared" si="10"/>
        <v>1.1122685185185166E-2</v>
      </c>
    </row>
    <row r="671" spans="1:5" x14ac:dyDescent="0.25">
      <c r="A671">
        <v>0</v>
      </c>
      <c r="B671">
        <v>42927</v>
      </c>
      <c r="C671">
        <v>0.46413194444444444</v>
      </c>
      <c r="D671">
        <v>0.46585648148148145</v>
      </c>
      <c r="E671" s="2">
        <f t="shared" si="10"/>
        <v>1.7245370370370106E-3</v>
      </c>
    </row>
    <row r="672" spans="1:5" x14ac:dyDescent="0.25">
      <c r="A672">
        <v>0</v>
      </c>
      <c r="B672">
        <v>42927</v>
      </c>
      <c r="C672">
        <v>0.46738425925925925</v>
      </c>
      <c r="D672">
        <v>0.46800925925925924</v>
      </c>
      <c r="E672" s="2">
        <f t="shared" si="10"/>
        <v>6.2499999999998668E-4</v>
      </c>
    </row>
    <row r="673" spans="1:5" x14ac:dyDescent="0.25">
      <c r="A673">
        <v>0</v>
      </c>
      <c r="B673">
        <v>42927</v>
      </c>
      <c r="C673">
        <v>0.46942129629629631</v>
      </c>
      <c r="D673">
        <v>0.47766203703703702</v>
      </c>
      <c r="E673" s="2">
        <f t="shared" si="10"/>
        <v>8.2407407407407152E-3</v>
      </c>
    </row>
    <row r="674" spans="1:5" x14ac:dyDescent="0.25">
      <c r="A674">
        <v>0</v>
      </c>
      <c r="B674">
        <v>42927</v>
      </c>
      <c r="C674">
        <v>0.47193287037037035</v>
      </c>
      <c r="D674">
        <v>0.47763888888888889</v>
      </c>
      <c r="E674" s="2">
        <f t="shared" si="10"/>
        <v>5.7060185185185408E-3</v>
      </c>
    </row>
    <row r="675" spans="1:5" x14ac:dyDescent="0.25">
      <c r="A675">
        <v>0</v>
      </c>
      <c r="B675">
        <v>42927</v>
      </c>
      <c r="C675">
        <v>0.47739583333333335</v>
      </c>
      <c r="D675">
        <v>0.48168981481481482</v>
      </c>
      <c r="E675" s="2">
        <f t="shared" si="10"/>
        <v>4.2939814814814681E-3</v>
      </c>
    </row>
    <row r="676" spans="1:5" x14ac:dyDescent="0.25">
      <c r="A676">
        <v>0</v>
      </c>
      <c r="B676">
        <v>42927</v>
      </c>
      <c r="C676">
        <v>0.48005787037037034</v>
      </c>
      <c r="D676">
        <v>0.48971064814814813</v>
      </c>
      <c r="E676" s="2">
        <f t="shared" si="10"/>
        <v>9.6527777777777879E-3</v>
      </c>
    </row>
    <row r="677" spans="1:5" x14ac:dyDescent="0.25">
      <c r="A677">
        <v>0</v>
      </c>
      <c r="B677">
        <v>42927</v>
      </c>
      <c r="C677">
        <v>0.48511574074074076</v>
      </c>
      <c r="D677">
        <v>0.49502314814814813</v>
      </c>
      <c r="E677" s="2">
        <f t="shared" si="10"/>
        <v>9.9074074074073648E-3</v>
      </c>
    </row>
    <row r="678" spans="1:5" x14ac:dyDescent="0.25">
      <c r="A678">
        <v>0</v>
      </c>
      <c r="B678">
        <v>42927</v>
      </c>
      <c r="C678">
        <v>0.48994212962962963</v>
      </c>
      <c r="D678">
        <v>0.4914351851851852</v>
      </c>
      <c r="E678" s="2">
        <f t="shared" si="10"/>
        <v>1.4930555555555669E-3</v>
      </c>
    </row>
    <row r="679" spans="1:5" x14ac:dyDescent="0.25">
      <c r="A679">
        <v>0</v>
      </c>
      <c r="B679">
        <v>42927</v>
      </c>
      <c r="C679">
        <v>0.49035879629629631</v>
      </c>
      <c r="D679">
        <v>0.49082175925925925</v>
      </c>
      <c r="E679" s="2">
        <f t="shared" si="10"/>
        <v>4.6296296296294281E-4</v>
      </c>
    </row>
    <row r="680" spans="1:5" x14ac:dyDescent="0.25">
      <c r="A680">
        <v>0</v>
      </c>
      <c r="B680">
        <v>42927</v>
      </c>
      <c r="C680">
        <v>0.49399305555555556</v>
      </c>
      <c r="D680">
        <v>0.4959027777777778</v>
      </c>
      <c r="E680" s="2">
        <f t="shared" si="10"/>
        <v>1.9097222222222432E-3</v>
      </c>
    </row>
    <row r="681" spans="1:5" x14ac:dyDescent="0.25">
      <c r="A681">
        <v>0</v>
      </c>
      <c r="B681">
        <v>42927</v>
      </c>
      <c r="C681">
        <v>0.49949074074074074</v>
      </c>
      <c r="D681">
        <v>0.50931712962962961</v>
      </c>
      <c r="E681" s="2">
        <f t="shared" si="10"/>
        <v>9.8263888888888706E-3</v>
      </c>
    </row>
    <row r="682" spans="1:5" x14ac:dyDescent="0.25">
      <c r="A682">
        <v>0</v>
      </c>
      <c r="B682">
        <v>42927</v>
      </c>
      <c r="C682">
        <v>0.50326388888888884</v>
      </c>
      <c r="D682">
        <v>0.50407407407407412</v>
      </c>
      <c r="E682" s="2">
        <f t="shared" si="10"/>
        <v>8.1018518518527483E-4</v>
      </c>
    </row>
    <row r="683" spans="1:5" x14ac:dyDescent="0.25">
      <c r="A683">
        <v>0</v>
      </c>
      <c r="B683">
        <v>42927</v>
      </c>
      <c r="C683">
        <v>0.50376157407407407</v>
      </c>
      <c r="D683">
        <v>0.50907407407407412</v>
      </c>
      <c r="E683" s="2">
        <f t="shared" si="10"/>
        <v>5.3125000000000533E-3</v>
      </c>
    </row>
    <row r="684" spans="1:5" x14ac:dyDescent="0.25">
      <c r="A684">
        <v>0</v>
      </c>
      <c r="B684">
        <v>42927</v>
      </c>
      <c r="C684">
        <v>0.50866898148148143</v>
      </c>
      <c r="D684">
        <v>0.51324074074074078</v>
      </c>
      <c r="E684" s="2">
        <f t="shared" si="10"/>
        <v>4.5717592592593448E-3</v>
      </c>
    </row>
    <row r="685" spans="1:5" x14ac:dyDescent="0.25">
      <c r="A685">
        <v>0</v>
      </c>
      <c r="B685">
        <v>42927</v>
      </c>
      <c r="C685">
        <v>0.51282407407407404</v>
      </c>
      <c r="D685">
        <v>0.51666666666666672</v>
      </c>
      <c r="E685" s="2">
        <f t="shared" si="10"/>
        <v>3.8425925925926752E-3</v>
      </c>
    </row>
    <row r="686" spans="1:5" x14ac:dyDescent="0.25">
      <c r="A686">
        <v>0</v>
      </c>
      <c r="B686">
        <v>42927</v>
      </c>
      <c r="C686">
        <v>0.51854166666666668</v>
      </c>
      <c r="D686">
        <v>0.52810185185185188</v>
      </c>
      <c r="E686" s="2">
        <f t="shared" si="10"/>
        <v>9.5601851851851993E-3</v>
      </c>
    </row>
    <row r="687" spans="1:5" x14ac:dyDescent="0.25">
      <c r="A687">
        <v>0</v>
      </c>
      <c r="B687">
        <v>42927</v>
      </c>
      <c r="C687">
        <v>0.52399305555555553</v>
      </c>
      <c r="D687">
        <v>0.53120370370370373</v>
      </c>
      <c r="E687" s="2">
        <f t="shared" si="10"/>
        <v>7.2106481481482021E-3</v>
      </c>
    </row>
    <row r="688" spans="1:5" x14ac:dyDescent="0.25">
      <c r="A688">
        <v>0</v>
      </c>
      <c r="B688">
        <v>42927</v>
      </c>
      <c r="C688">
        <v>0.52592592592592591</v>
      </c>
      <c r="D688">
        <v>0.53515046296296298</v>
      </c>
      <c r="E688" s="2">
        <f t="shared" si="10"/>
        <v>9.2245370370370727E-3</v>
      </c>
    </row>
    <row r="689" spans="1:5" x14ac:dyDescent="0.25">
      <c r="A689">
        <v>0</v>
      </c>
      <c r="B689">
        <v>42927</v>
      </c>
      <c r="C689">
        <v>0.53164351851851854</v>
      </c>
      <c r="D689">
        <v>0.53324074074074079</v>
      </c>
      <c r="E689" s="2">
        <f t="shared" si="10"/>
        <v>1.5972222222222499E-3</v>
      </c>
    </row>
    <row r="690" spans="1:5" x14ac:dyDescent="0.25">
      <c r="A690">
        <v>0</v>
      </c>
      <c r="B690">
        <v>42927</v>
      </c>
      <c r="C690">
        <v>0.53401620370370373</v>
      </c>
      <c r="D690">
        <v>0.54462962962962957</v>
      </c>
      <c r="E690" s="2">
        <f t="shared" si="10"/>
        <v>1.0613425925925846E-2</v>
      </c>
    </row>
    <row r="691" spans="1:5" x14ac:dyDescent="0.25">
      <c r="A691">
        <v>0</v>
      </c>
      <c r="B691">
        <v>42927</v>
      </c>
      <c r="C691">
        <v>0.53920138888888891</v>
      </c>
      <c r="D691">
        <v>0.54092592592592592</v>
      </c>
      <c r="E691" s="2">
        <f t="shared" si="10"/>
        <v>1.7245370370370106E-3</v>
      </c>
    </row>
    <row r="692" spans="1:5" x14ac:dyDescent="0.25">
      <c r="A692">
        <v>0</v>
      </c>
      <c r="B692">
        <v>42927</v>
      </c>
      <c r="C692">
        <v>0.53920138888888891</v>
      </c>
      <c r="D692">
        <v>0.55046296296296293</v>
      </c>
      <c r="E692" s="2">
        <f t="shared" si="10"/>
        <v>1.1261574074074021E-2</v>
      </c>
    </row>
    <row r="693" spans="1:5" x14ac:dyDescent="0.25">
      <c r="A693">
        <v>0</v>
      </c>
      <c r="B693">
        <v>42927</v>
      </c>
      <c r="C693">
        <v>0.53950231481481481</v>
      </c>
      <c r="D693">
        <v>0.55071759259259256</v>
      </c>
      <c r="E693" s="2">
        <f t="shared" si="10"/>
        <v>1.1215277777777755E-2</v>
      </c>
    </row>
    <row r="694" spans="1:5" x14ac:dyDescent="0.25">
      <c r="A694">
        <v>0</v>
      </c>
      <c r="B694">
        <v>42927</v>
      </c>
      <c r="C694">
        <v>0.539525462962963</v>
      </c>
      <c r="D694">
        <v>0.54025462962962967</v>
      </c>
      <c r="E694" s="2">
        <f t="shared" si="10"/>
        <v>7.2916666666666963E-4</v>
      </c>
    </row>
    <row r="695" spans="1:5" x14ac:dyDescent="0.25">
      <c r="A695">
        <v>0</v>
      </c>
      <c r="B695">
        <v>42927</v>
      </c>
      <c r="C695">
        <v>0.54137731481481477</v>
      </c>
      <c r="D695">
        <v>0.54577546296296298</v>
      </c>
      <c r="E695" s="2">
        <f t="shared" si="10"/>
        <v>4.3981481481482065E-3</v>
      </c>
    </row>
    <row r="696" spans="1:5" x14ac:dyDescent="0.25">
      <c r="A696">
        <v>0</v>
      </c>
      <c r="B696">
        <v>42927</v>
      </c>
      <c r="C696">
        <v>0.54408564814814819</v>
      </c>
      <c r="D696">
        <v>0.55355324074074075</v>
      </c>
      <c r="E696" s="2">
        <f t="shared" si="10"/>
        <v>9.4675925925925553E-3</v>
      </c>
    </row>
    <row r="697" spans="1:5" x14ac:dyDescent="0.25">
      <c r="A697">
        <v>0</v>
      </c>
      <c r="B697">
        <v>42927</v>
      </c>
      <c r="C697">
        <v>0.54431712962962964</v>
      </c>
      <c r="D697">
        <v>0.54921296296296296</v>
      </c>
      <c r="E697" s="2">
        <f t="shared" si="10"/>
        <v>4.8958333333333215E-3</v>
      </c>
    </row>
    <row r="698" spans="1:5" x14ac:dyDescent="0.25">
      <c r="A698">
        <v>0</v>
      </c>
      <c r="B698">
        <v>42927</v>
      </c>
      <c r="C698">
        <v>0.54797453703703702</v>
      </c>
      <c r="D698">
        <v>0.55550925925925931</v>
      </c>
      <c r="E698" s="2">
        <f t="shared" si="10"/>
        <v>7.5347222222222898E-3</v>
      </c>
    </row>
    <row r="699" spans="1:5" x14ac:dyDescent="0.25">
      <c r="A699">
        <v>0</v>
      </c>
      <c r="B699">
        <v>42927</v>
      </c>
      <c r="C699">
        <v>0.55070601851851853</v>
      </c>
      <c r="D699">
        <v>0.55662037037037038</v>
      </c>
      <c r="E699" s="2">
        <f t="shared" si="10"/>
        <v>5.9143518518518512E-3</v>
      </c>
    </row>
    <row r="700" spans="1:5" x14ac:dyDescent="0.25">
      <c r="A700">
        <v>0</v>
      </c>
      <c r="B700">
        <v>42927</v>
      </c>
      <c r="C700">
        <v>0.55374999999999996</v>
      </c>
      <c r="D700">
        <v>0.56312499999999999</v>
      </c>
      <c r="E700" s="2">
        <f t="shared" si="10"/>
        <v>9.3750000000000222E-3</v>
      </c>
    </row>
    <row r="701" spans="1:5" x14ac:dyDescent="0.25">
      <c r="A701">
        <v>0</v>
      </c>
      <c r="B701">
        <v>42927</v>
      </c>
      <c r="C701">
        <v>0.554224537037037</v>
      </c>
      <c r="D701">
        <v>0.56221064814814814</v>
      </c>
      <c r="E701" s="2">
        <f t="shared" si="10"/>
        <v>7.9861111111111382E-3</v>
      </c>
    </row>
    <row r="702" spans="1:5" x14ac:dyDescent="0.25">
      <c r="A702">
        <v>0</v>
      </c>
      <c r="B702">
        <v>42927</v>
      </c>
      <c r="C702">
        <v>0.55982638888888892</v>
      </c>
      <c r="D702">
        <v>0.56802083333333331</v>
      </c>
      <c r="E702" s="2">
        <f t="shared" si="10"/>
        <v>8.1944444444443931E-3</v>
      </c>
    </row>
    <row r="703" spans="1:5" x14ac:dyDescent="0.25">
      <c r="A703">
        <v>0</v>
      </c>
      <c r="B703">
        <v>42927</v>
      </c>
      <c r="C703">
        <v>0.56560185185185186</v>
      </c>
      <c r="D703">
        <v>0.56677083333333333</v>
      </c>
      <c r="E703" s="2">
        <f t="shared" si="10"/>
        <v>1.1689814814814792E-3</v>
      </c>
    </row>
    <row r="704" spans="1:5" x14ac:dyDescent="0.25">
      <c r="A704">
        <v>0</v>
      </c>
      <c r="B704">
        <v>42927</v>
      </c>
      <c r="C704">
        <v>0.56940972222222219</v>
      </c>
      <c r="D704">
        <v>0.57149305555555552</v>
      </c>
      <c r="E704" s="2">
        <f t="shared" si="10"/>
        <v>2.0833333333333259E-3</v>
      </c>
    </row>
    <row r="705" spans="1:5" x14ac:dyDescent="0.25">
      <c r="A705">
        <v>0</v>
      </c>
      <c r="B705">
        <v>42927</v>
      </c>
      <c r="C705">
        <v>0.57185185185185183</v>
      </c>
      <c r="D705">
        <v>0.58304398148148151</v>
      </c>
      <c r="E705" s="2">
        <f t="shared" si="10"/>
        <v>1.1192129629629677E-2</v>
      </c>
    </row>
    <row r="706" spans="1:5" x14ac:dyDescent="0.25">
      <c r="A706">
        <v>0</v>
      </c>
      <c r="B706">
        <v>42927</v>
      </c>
      <c r="C706">
        <v>0.57592592592592595</v>
      </c>
      <c r="D706">
        <v>0.58302083333333332</v>
      </c>
      <c r="E706" s="2">
        <f t="shared" ref="E706:E769" si="11">D706-C706</f>
        <v>7.0949074074073692E-3</v>
      </c>
    </row>
    <row r="707" spans="1:5" x14ac:dyDescent="0.25">
      <c r="A707">
        <v>0</v>
      </c>
      <c r="B707">
        <v>42927</v>
      </c>
      <c r="C707">
        <v>0.57593749999999999</v>
      </c>
      <c r="D707">
        <v>0.58310185185185182</v>
      </c>
      <c r="E707" s="2">
        <f t="shared" si="11"/>
        <v>7.1643518518518245E-3</v>
      </c>
    </row>
    <row r="708" spans="1:5" x14ac:dyDescent="0.25">
      <c r="A708">
        <v>0</v>
      </c>
      <c r="B708">
        <v>42927</v>
      </c>
      <c r="C708">
        <v>0.57939814814814816</v>
      </c>
      <c r="D708">
        <v>0.5795717592592593</v>
      </c>
      <c r="E708" s="2">
        <f t="shared" si="11"/>
        <v>1.7361111111113825E-4</v>
      </c>
    </row>
    <row r="709" spans="1:5" x14ac:dyDescent="0.25">
      <c r="A709">
        <v>0</v>
      </c>
      <c r="B709">
        <v>42927</v>
      </c>
      <c r="C709">
        <v>0.5823842592592593</v>
      </c>
      <c r="D709">
        <v>0.58479166666666671</v>
      </c>
      <c r="E709" s="2">
        <f t="shared" si="11"/>
        <v>2.4074074074074137E-3</v>
      </c>
    </row>
    <row r="710" spans="1:5" x14ac:dyDescent="0.25">
      <c r="A710">
        <v>0</v>
      </c>
      <c r="B710">
        <v>42927</v>
      </c>
      <c r="C710">
        <v>0.58656249999999999</v>
      </c>
      <c r="D710">
        <v>0.59008101851851846</v>
      </c>
      <c r="E710" s="2">
        <f t="shared" si="11"/>
        <v>3.5185185185184764E-3</v>
      </c>
    </row>
    <row r="711" spans="1:5" x14ac:dyDescent="0.25">
      <c r="A711">
        <v>0</v>
      </c>
      <c r="B711">
        <v>42927</v>
      </c>
      <c r="C711">
        <v>0.58711805555555552</v>
      </c>
      <c r="D711">
        <v>0.59739583333333335</v>
      </c>
      <c r="E711" s="2">
        <f t="shared" si="11"/>
        <v>1.027777777777783E-2</v>
      </c>
    </row>
    <row r="712" spans="1:5" x14ac:dyDescent="0.25">
      <c r="A712">
        <v>0</v>
      </c>
      <c r="B712">
        <v>42927</v>
      </c>
      <c r="C712">
        <v>0.5889699074074074</v>
      </c>
      <c r="D712">
        <v>0.59409722222222228</v>
      </c>
      <c r="E712" s="2">
        <f t="shared" si="11"/>
        <v>5.1273148148148762E-3</v>
      </c>
    </row>
    <row r="713" spans="1:5" x14ac:dyDescent="0.25">
      <c r="A713">
        <v>0</v>
      </c>
      <c r="B713">
        <v>42927</v>
      </c>
      <c r="C713">
        <v>0.5900347222222222</v>
      </c>
      <c r="D713">
        <v>0.59217592592592594</v>
      </c>
      <c r="E713" s="2">
        <f t="shared" si="11"/>
        <v>2.1412037037037424E-3</v>
      </c>
    </row>
    <row r="714" spans="1:5" x14ac:dyDescent="0.25">
      <c r="A714">
        <v>0</v>
      </c>
      <c r="B714">
        <v>42927</v>
      </c>
      <c r="C714">
        <v>0.59010416666666665</v>
      </c>
      <c r="D714">
        <v>0.59864583333333332</v>
      </c>
      <c r="E714" s="2">
        <f t="shared" si="11"/>
        <v>8.5416666666666696E-3</v>
      </c>
    </row>
    <row r="715" spans="1:5" x14ac:dyDescent="0.25">
      <c r="A715">
        <v>0</v>
      </c>
      <c r="B715">
        <v>42927</v>
      </c>
      <c r="C715">
        <v>0.59370370370370373</v>
      </c>
      <c r="D715">
        <v>0.60396990740740741</v>
      </c>
      <c r="E715" s="2">
        <f t="shared" si="11"/>
        <v>1.026620370370368E-2</v>
      </c>
    </row>
    <row r="716" spans="1:5" x14ac:dyDescent="0.25">
      <c r="A716">
        <v>0</v>
      </c>
      <c r="B716">
        <v>42927</v>
      </c>
      <c r="C716">
        <v>0.59593750000000001</v>
      </c>
      <c r="D716">
        <v>0.6004976851851852</v>
      </c>
      <c r="E716" s="2">
        <f t="shared" si="11"/>
        <v>4.5601851851851949E-3</v>
      </c>
    </row>
    <row r="717" spans="1:5" x14ac:dyDescent="0.25">
      <c r="A717">
        <v>0</v>
      </c>
      <c r="B717">
        <v>42927</v>
      </c>
      <c r="C717">
        <v>0.60037037037037033</v>
      </c>
      <c r="D717">
        <v>0.60719907407407403</v>
      </c>
      <c r="E717" s="2">
        <f t="shared" si="11"/>
        <v>6.8287037037036979E-3</v>
      </c>
    </row>
    <row r="718" spans="1:5" x14ac:dyDescent="0.25">
      <c r="A718">
        <v>0</v>
      </c>
      <c r="B718">
        <v>42927</v>
      </c>
      <c r="C718">
        <v>0.60077546296296291</v>
      </c>
      <c r="D718">
        <v>0.60853009259259261</v>
      </c>
      <c r="E718" s="2">
        <f t="shared" si="11"/>
        <v>7.7546296296296946E-3</v>
      </c>
    </row>
    <row r="719" spans="1:5" x14ac:dyDescent="0.25">
      <c r="A719">
        <v>0</v>
      </c>
      <c r="B719">
        <v>42927</v>
      </c>
      <c r="C719">
        <v>0.60320601851851852</v>
      </c>
      <c r="D719">
        <v>0.61459490740740741</v>
      </c>
      <c r="E719" s="2">
        <f t="shared" si="11"/>
        <v>1.1388888888888893E-2</v>
      </c>
    </row>
    <row r="720" spans="1:5" x14ac:dyDescent="0.25">
      <c r="A720">
        <v>0</v>
      </c>
      <c r="B720">
        <v>42927</v>
      </c>
      <c r="C720">
        <v>0.60721064814814818</v>
      </c>
      <c r="D720">
        <v>0.61490740740740746</v>
      </c>
      <c r="E720" s="2">
        <f t="shared" si="11"/>
        <v>7.6967592592592782E-3</v>
      </c>
    </row>
    <row r="721" spans="1:5" x14ac:dyDescent="0.25">
      <c r="A721">
        <v>0</v>
      </c>
      <c r="B721">
        <v>42927</v>
      </c>
      <c r="C721">
        <v>0.61179398148148145</v>
      </c>
      <c r="D721">
        <v>0.61260416666666662</v>
      </c>
      <c r="E721" s="2">
        <f t="shared" si="11"/>
        <v>8.101851851851638E-4</v>
      </c>
    </row>
    <row r="722" spans="1:5" x14ac:dyDescent="0.25">
      <c r="A722">
        <v>0</v>
      </c>
      <c r="B722">
        <v>42927</v>
      </c>
      <c r="C722">
        <v>0.61664351851851851</v>
      </c>
      <c r="D722">
        <v>0.61856481481481485</v>
      </c>
      <c r="E722" s="2">
        <f t="shared" si="11"/>
        <v>1.9212962962963376E-3</v>
      </c>
    </row>
    <row r="723" spans="1:5" x14ac:dyDescent="0.25">
      <c r="A723">
        <v>0</v>
      </c>
      <c r="B723">
        <v>42927</v>
      </c>
      <c r="C723">
        <v>0.62067129629629625</v>
      </c>
      <c r="D723">
        <v>0.62475694444444441</v>
      </c>
      <c r="E723" s="2">
        <f t="shared" si="11"/>
        <v>4.0856481481481577E-3</v>
      </c>
    </row>
    <row r="724" spans="1:5" x14ac:dyDescent="0.25">
      <c r="A724">
        <v>0</v>
      </c>
      <c r="B724">
        <v>42928</v>
      </c>
      <c r="C724">
        <v>0.33568287037037037</v>
      </c>
      <c r="D724">
        <v>0.34125</v>
      </c>
      <c r="E724" s="2">
        <f t="shared" si="11"/>
        <v>5.5671296296296302E-3</v>
      </c>
    </row>
    <row r="725" spans="1:5" x14ac:dyDescent="0.25">
      <c r="A725">
        <v>0</v>
      </c>
      <c r="B725">
        <v>42928</v>
      </c>
      <c r="C725">
        <v>0.33716435185185184</v>
      </c>
      <c r="D725">
        <v>0.33778935185185183</v>
      </c>
      <c r="E725" s="2">
        <f t="shared" si="11"/>
        <v>6.2499999999998668E-4</v>
      </c>
    </row>
    <row r="726" spans="1:5" x14ac:dyDescent="0.25">
      <c r="A726">
        <v>0</v>
      </c>
      <c r="B726">
        <v>42928</v>
      </c>
      <c r="C726">
        <v>0.34185185185185185</v>
      </c>
      <c r="D726">
        <v>0.34375</v>
      </c>
      <c r="E726" s="2">
        <f t="shared" si="11"/>
        <v>1.8981481481481488E-3</v>
      </c>
    </row>
    <row r="727" spans="1:5" x14ac:dyDescent="0.25">
      <c r="A727">
        <v>0</v>
      </c>
      <c r="B727">
        <v>42928</v>
      </c>
      <c r="C727">
        <v>0.34646990740740741</v>
      </c>
      <c r="D727">
        <v>0.3550462962962963</v>
      </c>
      <c r="E727" s="2">
        <f t="shared" si="11"/>
        <v>8.5763888888888973E-3</v>
      </c>
    </row>
    <row r="728" spans="1:5" x14ac:dyDescent="0.25">
      <c r="A728">
        <v>0</v>
      </c>
      <c r="B728">
        <v>42928</v>
      </c>
      <c r="C728">
        <v>0.34722222222222221</v>
      </c>
      <c r="D728">
        <v>0.3532986111111111</v>
      </c>
      <c r="E728" s="2">
        <f t="shared" si="11"/>
        <v>6.0763888888888951E-3</v>
      </c>
    </row>
    <row r="729" spans="1:5" x14ac:dyDescent="0.25">
      <c r="A729">
        <v>0</v>
      </c>
      <c r="B729">
        <v>42928</v>
      </c>
      <c r="C729">
        <v>0.35115740740740742</v>
      </c>
      <c r="D729">
        <v>0.35447916666666668</v>
      </c>
      <c r="E729" s="2">
        <f t="shared" si="11"/>
        <v>3.3217592592592604E-3</v>
      </c>
    </row>
    <row r="730" spans="1:5" x14ac:dyDescent="0.25">
      <c r="A730">
        <v>0</v>
      </c>
      <c r="B730">
        <v>42928</v>
      </c>
      <c r="C730">
        <v>0.35636574074074073</v>
      </c>
      <c r="D730">
        <v>0.36511574074074077</v>
      </c>
      <c r="E730" s="2">
        <f t="shared" si="11"/>
        <v>8.7500000000000355E-3</v>
      </c>
    </row>
    <row r="731" spans="1:5" x14ac:dyDescent="0.25">
      <c r="A731">
        <v>0</v>
      </c>
      <c r="B731">
        <v>42928</v>
      </c>
      <c r="C731">
        <v>0.36060185185185184</v>
      </c>
      <c r="D731">
        <v>0.36312499999999998</v>
      </c>
      <c r="E731" s="2">
        <f t="shared" si="11"/>
        <v>2.5231481481481355E-3</v>
      </c>
    </row>
    <row r="732" spans="1:5" x14ac:dyDescent="0.25">
      <c r="A732">
        <v>0</v>
      </c>
      <c r="B732">
        <v>42928</v>
      </c>
      <c r="C732">
        <v>0.36519675925925926</v>
      </c>
      <c r="D732">
        <v>0.36751157407407409</v>
      </c>
      <c r="E732" s="2">
        <f t="shared" si="11"/>
        <v>2.3148148148148251E-3</v>
      </c>
    </row>
    <row r="733" spans="1:5" x14ac:dyDescent="0.25">
      <c r="A733">
        <v>0</v>
      </c>
      <c r="B733">
        <v>42928</v>
      </c>
      <c r="C733">
        <v>0.36787037037037035</v>
      </c>
      <c r="D733">
        <v>0.36855324074074075</v>
      </c>
      <c r="E733" s="2">
        <f t="shared" si="11"/>
        <v>6.828703703704031E-4</v>
      </c>
    </row>
    <row r="734" spans="1:5" x14ac:dyDescent="0.25">
      <c r="A734">
        <v>0</v>
      </c>
      <c r="B734">
        <v>42928</v>
      </c>
      <c r="C734">
        <v>0.37017361111111113</v>
      </c>
      <c r="D734">
        <v>0.38035879629629632</v>
      </c>
      <c r="E734" s="2">
        <f t="shared" si="11"/>
        <v>1.0185185185185186E-2</v>
      </c>
    </row>
    <row r="735" spans="1:5" x14ac:dyDescent="0.25">
      <c r="A735">
        <v>0</v>
      </c>
      <c r="B735">
        <v>42928</v>
      </c>
      <c r="C735">
        <v>0.37504629629629632</v>
      </c>
      <c r="D735">
        <v>0.37731481481481483</v>
      </c>
      <c r="E735" s="2">
        <f t="shared" si="11"/>
        <v>2.2685185185185031E-3</v>
      </c>
    </row>
    <row r="736" spans="1:5" x14ac:dyDescent="0.25">
      <c r="A736">
        <v>0</v>
      </c>
      <c r="B736">
        <v>42928</v>
      </c>
      <c r="C736">
        <v>0.37615740740740738</v>
      </c>
      <c r="D736">
        <v>0.38158564814814816</v>
      </c>
      <c r="E736" s="2">
        <f t="shared" si="11"/>
        <v>5.4282407407407751E-3</v>
      </c>
    </row>
    <row r="737" spans="1:5" x14ac:dyDescent="0.25">
      <c r="A737">
        <v>0</v>
      </c>
      <c r="B737">
        <v>42928</v>
      </c>
      <c r="C737">
        <v>0.37644675925925924</v>
      </c>
      <c r="D737">
        <v>0.38192129629629629</v>
      </c>
      <c r="E737" s="2">
        <f t="shared" si="11"/>
        <v>5.4745370370370416E-3</v>
      </c>
    </row>
    <row r="738" spans="1:5" x14ac:dyDescent="0.25">
      <c r="A738">
        <v>0</v>
      </c>
      <c r="B738">
        <v>42928</v>
      </c>
      <c r="C738">
        <v>0.37934027777777779</v>
      </c>
      <c r="D738">
        <v>0.38925925925925925</v>
      </c>
      <c r="E738" s="2">
        <f t="shared" si="11"/>
        <v>9.9189814814814592E-3</v>
      </c>
    </row>
    <row r="739" spans="1:5" x14ac:dyDescent="0.25">
      <c r="A739">
        <v>0</v>
      </c>
      <c r="B739">
        <v>42928</v>
      </c>
      <c r="C739">
        <v>0.38046296296296295</v>
      </c>
      <c r="D739">
        <v>0.38739583333333333</v>
      </c>
      <c r="E739" s="2">
        <f t="shared" si="11"/>
        <v>6.9328703703703809E-3</v>
      </c>
    </row>
    <row r="740" spans="1:5" x14ac:dyDescent="0.25">
      <c r="A740">
        <v>0</v>
      </c>
      <c r="B740">
        <v>42928</v>
      </c>
      <c r="C740">
        <v>0.38292824074074072</v>
      </c>
      <c r="D740">
        <v>0.38613425925925926</v>
      </c>
      <c r="E740" s="2">
        <f t="shared" si="11"/>
        <v>3.2060185185185386E-3</v>
      </c>
    </row>
    <row r="741" spans="1:5" x14ac:dyDescent="0.25">
      <c r="A741">
        <v>0</v>
      </c>
      <c r="B741">
        <v>42928</v>
      </c>
      <c r="C741">
        <v>0.38317129629629632</v>
      </c>
      <c r="D741">
        <v>0.39157407407407407</v>
      </c>
      <c r="E741" s="2">
        <f t="shared" si="11"/>
        <v>8.402777777777759E-3</v>
      </c>
    </row>
    <row r="742" spans="1:5" x14ac:dyDescent="0.25">
      <c r="A742">
        <v>0</v>
      </c>
      <c r="B742">
        <v>42928</v>
      </c>
      <c r="C742">
        <v>0.38767361111111109</v>
      </c>
      <c r="D742">
        <v>0.38848379629629631</v>
      </c>
      <c r="E742" s="2">
        <f t="shared" si="11"/>
        <v>8.1018518518521931E-4</v>
      </c>
    </row>
    <row r="743" spans="1:5" x14ac:dyDescent="0.25">
      <c r="A743">
        <v>0</v>
      </c>
      <c r="B743">
        <v>42928</v>
      </c>
      <c r="C743">
        <v>0.38968750000000002</v>
      </c>
      <c r="D743">
        <v>0.39152777777777775</v>
      </c>
      <c r="E743" s="2">
        <f t="shared" si="11"/>
        <v>1.8402777777777324E-3</v>
      </c>
    </row>
    <row r="744" spans="1:5" x14ac:dyDescent="0.25">
      <c r="A744">
        <v>0</v>
      </c>
      <c r="B744">
        <v>42928</v>
      </c>
      <c r="C744">
        <v>0.39206018518518521</v>
      </c>
      <c r="D744">
        <v>0.39436342592592594</v>
      </c>
      <c r="E744" s="2">
        <f t="shared" si="11"/>
        <v>2.3032407407407307E-3</v>
      </c>
    </row>
    <row r="745" spans="1:5" x14ac:dyDescent="0.25">
      <c r="A745">
        <v>0</v>
      </c>
      <c r="B745">
        <v>42928</v>
      </c>
      <c r="C745">
        <v>0.39709490740740738</v>
      </c>
      <c r="D745">
        <v>0.40651620370370373</v>
      </c>
      <c r="E745" s="2">
        <f t="shared" si="11"/>
        <v>9.4212962962963442E-3</v>
      </c>
    </row>
    <row r="746" spans="1:5" x14ac:dyDescent="0.25">
      <c r="A746">
        <v>0</v>
      </c>
      <c r="B746">
        <v>42928</v>
      </c>
      <c r="C746">
        <v>0.40822916666666664</v>
      </c>
      <c r="D746">
        <v>0.41586805555555556</v>
      </c>
      <c r="E746" s="2">
        <f t="shared" si="11"/>
        <v>7.6388888888889173E-3</v>
      </c>
    </row>
    <row r="747" spans="1:5" x14ac:dyDescent="0.25">
      <c r="A747">
        <v>0</v>
      </c>
      <c r="B747">
        <v>42928</v>
      </c>
      <c r="C747">
        <v>0.40881944444444446</v>
      </c>
      <c r="D747">
        <v>0.40950231481481481</v>
      </c>
      <c r="E747" s="2">
        <f t="shared" si="11"/>
        <v>6.8287037037034759E-4</v>
      </c>
    </row>
    <row r="748" spans="1:5" x14ac:dyDescent="0.25">
      <c r="A748">
        <v>0</v>
      </c>
      <c r="B748">
        <v>42928</v>
      </c>
      <c r="C748">
        <v>0.41078703703703706</v>
      </c>
      <c r="D748">
        <v>0.41078703703703706</v>
      </c>
      <c r="E748" s="2">
        <f t="shared" si="11"/>
        <v>0</v>
      </c>
    </row>
    <row r="749" spans="1:5" x14ac:dyDescent="0.25">
      <c r="A749">
        <v>0</v>
      </c>
      <c r="B749">
        <v>42928</v>
      </c>
      <c r="C749">
        <v>0.41218749999999998</v>
      </c>
      <c r="D749">
        <v>0.41280092592592593</v>
      </c>
      <c r="E749" s="2">
        <f t="shared" si="11"/>
        <v>6.134259259259478E-4</v>
      </c>
    </row>
    <row r="750" spans="1:5" x14ac:dyDescent="0.25">
      <c r="A750">
        <v>0</v>
      </c>
      <c r="B750">
        <v>42928</v>
      </c>
      <c r="C750">
        <v>0.41414351851851849</v>
      </c>
      <c r="D750">
        <v>0.42015046296296299</v>
      </c>
      <c r="E750" s="2">
        <f t="shared" si="11"/>
        <v>6.0069444444444953E-3</v>
      </c>
    </row>
    <row r="751" spans="1:5" x14ac:dyDescent="0.25">
      <c r="A751">
        <v>0</v>
      </c>
      <c r="B751">
        <v>42928</v>
      </c>
      <c r="C751">
        <v>0.41853009259259261</v>
      </c>
      <c r="D751">
        <v>0.42037037037037039</v>
      </c>
      <c r="E751" s="2">
        <f t="shared" si="11"/>
        <v>1.8402777777777879E-3</v>
      </c>
    </row>
    <row r="752" spans="1:5" x14ac:dyDescent="0.25">
      <c r="A752">
        <v>0</v>
      </c>
      <c r="B752">
        <v>42928</v>
      </c>
      <c r="C752">
        <v>0.42370370370370369</v>
      </c>
      <c r="D752">
        <v>0.43412037037037038</v>
      </c>
      <c r="E752" s="2">
        <f t="shared" si="11"/>
        <v>1.0416666666666685E-2</v>
      </c>
    </row>
    <row r="753" spans="1:5" x14ac:dyDescent="0.25">
      <c r="A753">
        <v>0</v>
      </c>
      <c r="B753">
        <v>42928</v>
      </c>
      <c r="C753">
        <v>0.42650462962962965</v>
      </c>
      <c r="D753">
        <v>0.43417824074074074</v>
      </c>
      <c r="E753" s="2">
        <f t="shared" si="11"/>
        <v>7.6736111111110894E-3</v>
      </c>
    </row>
    <row r="754" spans="1:5" x14ac:dyDescent="0.25">
      <c r="A754">
        <v>0</v>
      </c>
      <c r="B754">
        <v>42928</v>
      </c>
      <c r="C754">
        <v>0.42766203703703703</v>
      </c>
      <c r="D754">
        <v>0.43533564814814812</v>
      </c>
      <c r="E754" s="2">
        <f t="shared" si="11"/>
        <v>7.6736111111110894E-3</v>
      </c>
    </row>
    <row r="755" spans="1:5" x14ac:dyDescent="0.25">
      <c r="A755">
        <v>0</v>
      </c>
      <c r="B755">
        <v>42928</v>
      </c>
      <c r="C755">
        <v>0.43041666666666667</v>
      </c>
      <c r="D755">
        <v>0.43164351851851851</v>
      </c>
      <c r="E755" s="2">
        <f t="shared" si="11"/>
        <v>1.2268518518518401E-3</v>
      </c>
    </row>
    <row r="756" spans="1:5" x14ac:dyDescent="0.25">
      <c r="A756">
        <v>0</v>
      </c>
      <c r="B756">
        <v>42928</v>
      </c>
      <c r="C756">
        <v>0.43381944444444442</v>
      </c>
      <c r="D756">
        <v>0.44515046296296296</v>
      </c>
      <c r="E756" s="2">
        <f t="shared" si="11"/>
        <v>1.1331018518518532E-2</v>
      </c>
    </row>
    <row r="757" spans="1:5" x14ac:dyDescent="0.25">
      <c r="A757">
        <v>0</v>
      </c>
      <c r="B757">
        <v>42928</v>
      </c>
      <c r="C757">
        <v>0.43717592592592591</v>
      </c>
      <c r="D757">
        <v>0.44695601851851852</v>
      </c>
      <c r="E757" s="2">
        <f t="shared" si="11"/>
        <v>9.7800925925926041E-3</v>
      </c>
    </row>
    <row r="758" spans="1:5" x14ac:dyDescent="0.25">
      <c r="A758">
        <v>0</v>
      </c>
      <c r="B758">
        <v>42928</v>
      </c>
      <c r="C758">
        <v>0.44146990740740738</v>
      </c>
      <c r="D758">
        <v>0.44412037037037039</v>
      </c>
      <c r="E758" s="2">
        <f t="shared" si="11"/>
        <v>2.6504629629630072E-3</v>
      </c>
    </row>
    <row r="759" spans="1:5" x14ac:dyDescent="0.25">
      <c r="A759">
        <v>0</v>
      </c>
      <c r="B759">
        <v>42928</v>
      </c>
      <c r="C759">
        <v>0.44663194444444443</v>
      </c>
      <c r="D759">
        <v>0.45378472222222221</v>
      </c>
      <c r="E759" s="2">
        <f t="shared" si="11"/>
        <v>7.1527777777777857E-3</v>
      </c>
    </row>
    <row r="760" spans="1:5" x14ac:dyDescent="0.25">
      <c r="A760">
        <v>0</v>
      </c>
      <c r="B760">
        <v>42928</v>
      </c>
      <c r="C760">
        <v>0.44809027777777777</v>
      </c>
      <c r="D760">
        <v>0.45256944444444447</v>
      </c>
      <c r="E760" s="2">
        <f t="shared" si="11"/>
        <v>4.4791666666667007E-3</v>
      </c>
    </row>
    <row r="761" spans="1:5" x14ac:dyDescent="0.25">
      <c r="A761">
        <v>0</v>
      </c>
      <c r="B761">
        <v>42928</v>
      </c>
      <c r="C761">
        <v>0.44817129629629632</v>
      </c>
      <c r="D761">
        <v>0.4506134259259259</v>
      </c>
      <c r="E761" s="2">
        <f t="shared" si="11"/>
        <v>2.4421296296295858E-3</v>
      </c>
    </row>
    <row r="762" spans="1:5" x14ac:dyDescent="0.25">
      <c r="A762">
        <v>0</v>
      </c>
      <c r="B762">
        <v>42928</v>
      </c>
      <c r="C762">
        <v>0.45010416666666669</v>
      </c>
      <c r="D762">
        <v>0.46153935185185185</v>
      </c>
      <c r="E762" s="2">
        <f t="shared" si="11"/>
        <v>1.1435185185185159E-2</v>
      </c>
    </row>
    <row r="763" spans="1:5" x14ac:dyDescent="0.25">
      <c r="A763">
        <v>0</v>
      </c>
      <c r="B763">
        <v>42928</v>
      </c>
      <c r="C763">
        <v>0.45504629629629628</v>
      </c>
      <c r="D763">
        <v>0.4607175925925926</v>
      </c>
      <c r="E763" s="2">
        <f t="shared" si="11"/>
        <v>5.6712962962963132E-3</v>
      </c>
    </row>
    <row r="764" spans="1:5" x14ac:dyDescent="0.25">
      <c r="A764">
        <v>0</v>
      </c>
      <c r="B764">
        <v>42928</v>
      </c>
      <c r="C764">
        <v>0.45673611111111112</v>
      </c>
      <c r="D764">
        <v>0.4586574074074074</v>
      </c>
      <c r="E764" s="2">
        <f t="shared" si="11"/>
        <v>1.9212962962962821E-3</v>
      </c>
    </row>
    <row r="765" spans="1:5" x14ac:dyDescent="0.25">
      <c r="A765">
        <v>0</v>
      </c>
      <c r="B765">
        <v>42928</v>
      </c>
      <c r="C765">
        <v>0.46217592592592593</v>
      </c>
      <c r="D765">
        <v>0.47150462962962963</v>
      </c>
      <c r="E765" s="2">
        <f t="shared" si="11"/>
        <v>9.3287037037037002E-3</v>
      </c>
    </row>
    <row r="766" spans="1:5" x14ac:dyDescent="0.25">
      <c r="A766">
        <v>0</v>
      </c>
      <c r="B766">
        <v>42928</v>
      </c>
      <c r="C766">
        <v>0.46663194444444445</v>
      </c>
      <c r="D766">
        <v>0.47532407407407407</v>
      </c>
      <c r="E766" s="2">
        <f t="shared" si="11"/>
        <v>8.6921296296296191E-3</v>
      </c>
    </row>
    <row r="767" spans="1:5" x14ac:dyDescent="0.25">
      <c r="A767">
        <v>0</v>
      </c>
      <c r="B767">
        <v>42928</v>
      </c>
      <c r="C767">
        <v>0.47358796296296296</v>
      </c>
      <c r="D767">
        <v>0.47878472222222224</v>
      </c>
      <c r="E767" s="2">
        <f t="shared" si="11"/>
        <v>5.196759259259276E-3</v>
      </c>
    </row>
    <row r="768" spans="1:5" x14ac:dyDescent="0.25">
      <c r="A768">
        <v>0</v>
      </c>
      <c r="B768">
        <v>42928</v>
      </c>
      <c r="C768">
        <v>0.47819444444444442</v>
      </c>
      <c r="D768">
        <v>0.48442129629629632</v>
      </c>
      <c r="E768" s="2">
        <f t="shared" si="11"/>
        <v>6.2268518518519E-3</v>
      </c>
    </row>
    <row r="769" spans="1:5" x14ac:dyDescent="0.25">
      <c r="A769">
        <v>0</v>
      </c>
      <c r="B769">
        <v>42928</v>
      </c>
      <c r="C769">
        <v>0.48251157407407408</v>
      </c>
      <c r="D769">
        <v>0.48732638888888891</v>
      </c>
      <c r="E769" s="2">
        <f t="shared" si="11"/>
        <v>4.8148148148148273E-3</v>
      </c>
    </row>
    <row r="770" spans="1:5" x14ac:dyDescent="0.25">
      <c r="A770">
        <v>0</v>
      </c>
      <c r="B770">
        <v>42928</v>
      </c>
      <c r="C770">
        <v>0.48827546296296298</v>
      </c>
      <c r="D770">
        <v>0.49432870370370369</v>
      </c>
      <c r="E770" s="2">
        <f t="shared" ref="E770:E833" si="12">D770-C770</f>
        <v>6.0532407407407063E-3</v>
      </c>
    </row>
    <row r="771" spans="1:5" x14ac:dyDescent="0.25">
      <c r="A771">
        <v>0</v>
      </c>
      <c r="B771">
        <v>42928</v>
      </c>
      <c r="C771">
        <v>0.49062499999999998</v>
      </c>
      <c r="D771">
        <v>0.49535879629629631</v>
      </c>
      <c r="E771" s="2">
        <f t="shared" si="12"/>
        <v>4.7337962962963331E-3</v>
      </c>
    </row>
    <row r="772" spans="1:5" x14ac:dyDescent="0.25">
      <c r="A772">
        <v>0</v>
      </c>
      <c r="B772">
        <v>42928</v>
      </c>
      <c r="C772">
        <v>0.49552083333333335</v>
      </c>
      <c r="D772">
        <v>0.50263888888888886</v>
      </c>
      <c r="E772" s="2">
        <f t="shared" si="12"/>
        <v>7.1180555555555025E-3</v>
      </c>
    </row>
    <row r="773" spans="1:5" x14ac:dyDescent="0.25">
      <c r="A773">
        <v>0</v>
      </c>
      <c r="B773">
        <v>42928</v>
      </c>
      <c r="C773">
        <v>0.50025462962962963</v>
      </c>
      <c r="D773">
        <v>0.50344907407407402</v>
      </c>
      <c r="E773" s="2">
        <f t="shared" si="12"/>
        <v>3.1944444444443887E-3</v>
      </c>
    </row>
    <row r="774" spans="1:5" x14ac:dyDescent="0.25">
      <c r="A774">
        <v>0</v>
      </c>
      <c r="B774">
        <v>42928</v>
      </c>
      <c r="C774">
        <v>0.50071759259259263</v>
      </c>
      <c r="D774">
        <v>0.5085763888888889</v>
      </c>
      <c r="E774" s="2">
        <f t="shared" si="12"/>
        <v>7.8587962962962665E-3</v>
      </c>
    </row>
    <row r="775" spans="1:5" x14ac:dyDescent="0.25">
      <c r="A775">
        <v>0</v>
      </c>
      <c r="B775">
        <v>42928</v>
      </c>
      <c r="C775">
        <v>0.50597222222222227</v>
      </c>
      <c r="D775">
        <v>0.51633101851851848</v>
      </c>
      <c r="E775" s="2">
        <f t="shared" si="12"/>
        <v>1.0358796296296213E-2</v>
      </c>
    </row>
    <row r="776" spans="1:5" x14ac:dyDescent="0.25">
      <c r="A776">
        <v>0</v>
      </c>
      <c r="B776">
        <v>42928</v>
      </c>
      <c r="C776">
        <v>0.5087962962962963</v>
      </c>
      <c r="D776">
        <v>0.51349537037037041</v>
      </c>
      <c r="E776" s="2">
        <f t="shared" si="12"/>
        <v>4.6990740740741055E-3</v>
      </c>
    </row>
    <row r="777" spans="1:5" x14ac:dyDescent="0.25">
      <c r="A777">
        <v>0</v>
      </c>
      <c r="B777">
        <v>42928</v>
      </c>
      <c r="C777">
        <v>0.50974537037037038</v>
      </c>
      <c r="D777">
        <v>0.51072916666666668</v>
      </c>
      <c r="E777" s="2">
        <f t="shared" si="12"/>
        <v>9.8379629629630205E-4</v>
      </c>
    </row>
    <row r="778" spans="1:5" x14ac:dyDescent="0.25">
      <c r="A778">
        <v>0</v>
      </c>
      <c r="B778">
        <v>42928</v>
      </c>
      <c r="C778">
        <v>0.51549768518518524</v>
      </c>
      <c r="D778">
        <v>0.51550925925925928</v>
      </c>
      <c r="E778" s="2">
        <f t="shared" si="12"/>
        <v>1.1574074074038876E-5</v>
      </c>
    </row>
    <row r="779" spans="1:5" x14ac:dyDescent="0.25">
      <c r="A779">
        <v>0</v>
      </c>
      <c r="B779">
        <v>42928</v>
      </c>
      <c r="C779">
        <v>0.51561342592592596</v>
      </c>
      <c r="D779">
        <v>0.52171296296296299</v>
      </c>
      <c r="E779" s="2">
        <f t="shared" si="12"/>
        <v>6.0995370370370283E-3</v>
      </c>
    </row>
    <row r="780" spans="1:5" x14ac:dyDescent="0.25">
      <c r="A780">
        <v>0</v>
      </c>
      <c r="B780">
        <v>42928</v>
      </c>
      <c r="C780">
        <v>0.52009259259259255</v>
      </c>
      <c r="D780">
        <v>0.52987268518518515</v>
      </c>
      <c r="E780" s="2">
        <f t="shared" si="12"/>
        <v>9.7800925925926041E-3</v>
      </c>
    </row>
    <row r="781" spans="1:5" x14ac:dyDescent="0.25">
      <c r="A781">
        <v>0</v>
      </c>
      <c r="B781">
        <v>42928</v>
      </c>
      <c r="C781">
        <v>0.52172453703703703</v>
      </c>
      <c r="D781">
        <v>0.52606481481481482</v>
      </c>
      <c r="E781" s="2">
        <f t="shared" si="12"/>
        <v>4.3402777777777901E-3</v>
      </c>
    </row>
    <row r="782" spans="1:5" x14ac:dyDescent="0.25">
      <c r="A782">
        <v>0</v>
      </c>
      <c r="B782">
        <v>42928</v>
      </c>
      <c r="C782">
        <v>0.52298611111111115</v>
      </c>
      <c r="D782">
        <v>0.53249999999999997</v>
      </c>
      <c r="E782" s="2">
        <f t="shared" si="12"/>
        <v>9.5138888888888218E-3</v>
      </c>
    </row>
    <row r="783" spans="1:5" x14ac:dyDescent="0.25">
      <c r="A783">
        <v>0</v>
      </c>
      <c r="B783">
        <v>42928</v>
      </c>
      <c r="C783">
        <v>0.52342592592592596</v>
      </c>
      <c r="D783">
        <v>0.52350694444444446</v>
      </c>
      <c r="E783" s="2">
        <f t="shared" si="12"/>
        <v>8.1018518518494176E-5</v>
      </c>
    </row>
    <row r="784" spans="1:5" x14ac:dyDescent="0.25">
      <c r="A784">
        <v>0</v>
      </c>
      <c r="B784">
        <v>42928</v>
      </c>
      <c r="C784">
        <v>0.52649305555555559</v>
      </c>
      <c r="D784">
        <v>0.53123842592592596</v>
      </c>
      <c r="E784" s="2">
        <f t="shared" si="12"/>
        <v>4.745370370370372E-3</v>
      </c>
    </row>
    <row r="785" spans="1:5" x14ac:dyDescent="0.25">
      <c r="A785">
        <v>0</v>
      </c>
      <c r="B785">
        <v>42928</v>
      </c>
      <c r="C785">
        <v>0.52834490740740736</v>
      </c>
      <c r="D785">
        <v>0.53267361111111111</v>
      </c>
      <c r="E785" s="2">
        <f t="shared" si="12"/>
        <v>4.3287037037037512E-3</v>
      </c>
    </row>
    <row r="786" spans="1:5" x14ac:dyDescent="0.25">
      <c r="A786">
        <v>0</v>
      </c>
      <c r="B786">
        <v>42928</v>
      </c>
      <c r="C786">
        <v>0.53126157407407404</v>
      </c>
      <c r="D786">
        <v>0.5326157407407407</v>
      </c>
      <c r="E786" s="2">
        <f t="shared" si="12"/>
        <v>1.3541666666666563E-3</v>
      </c>
    </row>
    <row r="787" spans="1:5" x14ac:dyDescent="0.25">
      <c r="A787">
        <v>0</v>
      </c>
      <c r="B787">
        <v>42928</v>
      </c>
      <c r="C787">
        <v>0.53608796296296302</v>
      </c>
      <c r="D787">
        <v>0.53631944444444446</v>
      </c>
      <c r="E787" s="2">
        <f t="shared" si="12"/>
        <v>2.3148148148144365E-4</v>
      </c>
    </row>
    <row r="788" spans="1:5" x14ac:dyDescent="0.25">
      <c r="A788">
        <v>0</v>
      </c>
      <c r="B788">
        <v>42928</v>
      </c>
      <c r="C788">
        <v>0.53798611111111116</v>
      </c>
      <c r="D788">
        <v>0.54011574074074076</v>
      </c>
      <c r="E788" s="2">
        <f t="shared" si="12"/>
        <v>2.1296296296295925E-3</v>
      </c>
    </row>
    <row r="789" spans="1:5" x14ac:dyDescent="0.25">
      <c r="A789">
        <v>0</v>
      </c>
      <c r="B789">
        <v>42928</v>
      </c>
      <c r="C789">
        <v>0.53827546296296291</v>
      </c>
      <c r="D789">
        <v>0.54309027777777774</v>
      </c>
      <c r="E789" s="2">
        <f t="shared" si="12"/>
        <v>4.8148148148148273E-3</v>
      </c>
    </row>
    <row r="790" spans="1:5" x14ac:dyDescent="0.25">
      <c r="A790">
        <v>0</v>
      </c>
      <c r="B790">
        <v>42928</v>
      </c>
      <c r="C790">
        <v>0.53873842592592591</v>
      </c>
      <c r="D790">
        <v>0.54084490740740743</v>
      </c>
      <c r="E790" s="2">
        <f t="shared" si="12"/>
        <v>2.1064814814815147E-3</v>
      </c>
    </row>
    <row r="791" spans="1:5" x14ac:dyDescent="0.25">
      <c r="A791">
        <v>0</v>
      </c>
      <c r="B791">
        <v>42928</v>
      </c>
      <c r="C791">
        <v>0.54391203703703705</v>
      </c>
      <c r="D791">
        <v>0.54538194444444443</v>
      </c>
      <c r="E791" s="2">
        <f t="shared" si="12"/>
        <v>1.4699074074073781E-3</v>
      </c>
    </row>
    <row r="792" spans="1:5" x14ac:dyDescent="0.25">
      <c r="A792">
        <v>0</v>
      </c>
      <c r="B792">
        <v>42928</v>
      </c>
      <c r="C792">
        <v>0.54689814814814819</v>
      </c>
      <c r="D792">
        <v>0.54949074074074078</v>
      </c>
      <c r="E792" s="2">
        <f t="shared" si="12"/>
        <v>2.5925925925925908E-3</v>
      </c>
    </row>
    <row r="793" spans="1:5" x14ac:dyDescent="0.25">
      <c r="A793">
        <v>0</v>
      </c>
      <c r="B793">
        <v>42928</v>
      </c>
      <c r="C793">
        <v>0.54826388888888888</v>
      </c>
      <c r="D793">
        <v>0.54920138888888892</v>
      </c>
      <c r="E793" s="2">
        <f t="shared" si="12"/>
        <v>9.3750000000003553E-4</v>
      </c>
    </row>
    <row r="794" spans="1:5" x14ac:dyDescent="0.25">
      <c r="A794">
        <v>0</v>
      </c>
      <c r="B794">
        <v>42928</v>
      </c>
      <c r="C794">
        <v>0.55118055555555556</v>
      </c>
      <c r="D794">
        <v>0.56003472222222217</v>
      </c>
      <c r="E794" s="2">
        <f t="shared" si="12"/>
        <v>8.8541666666666075E-3</v>
      </c>
    </row>
    <row r="795" spans="1:5" x14ac:dyDescent="0.25">
      <c r="A795">
        <v>0</v>
      </c>
      <c r="B795">
        <v>42928</v>
      </c>
      <c r="C795">
        <v>0.55717592592592591</v>
      </c>
      <c r="D795">
        <v>0.56753472222222223</v>
      </c>
      <c r="E795" s="2">
        <f t="shared" si="12"/>
        <v>1.0358796296296324E-2</v>
      </c>
    </row>
    <row r="796" spans="1:5" x14ac:dyDescent="0.25">
      <c r="A796">
        <v>0</v>
      </c>
      <c r="B796">
        <v>42928</v>
      </c>
      <c r="C796">
        <v>0.55869212962962966</v>
      </c>
      <c r="D796">
        <v>0.55922453703703701</v>
      </c>
      <c r="E796" s="2">
        <f t="shared" si="12"/>
        <v>5.324074074073426E-4</v>
      </c>
    </row>
    <row r="797" spans="1:5" x14ac:dyDescent="0.25">
      <c r="A797">
        <v>0</v>
      </c>
      <c r="B797">
        <v>42928</v>
      </c>
      <c r="C797">
        <v>0.55907407407407406</v>
      </c>
      <c r="D797">
        <v>0.56937499999999996</v>
      </c>
      <c r="E797" s="2">
        <f t="shared" si="12"/>
        <v>1.0300925925925908E-2</v>
      </c>
    </row>
    <row r="798" spans="1:5" x14ac:dyDescent="0.25">
      <c r="A798">
        <v>0</v>
      </c>
      <c r="B798">
        <v>42928</v>
      </c>
      <c r="C798">
        <v>0.56074074074074076</v>
      </c>
      <c r="D798">
        <v>0.56283564814814813</v>
      </c>
      <c r="E798" s="2">
        <f t="shared" si="12"/>
        <v>2.0949074074073648E-3</v>
      </c>
    </row>
    <row r="799" spans="1:5" x14ac:dyDescent="0.25">
      <c r="A799">
        <v>0</v>
      </c>
      <c r="B799">
        <v>42928</v>
      </c>
      <c r="C799">
        <v>0.56398148148148153</v>
      </c>
      <c r="D799">
        <v>0.57387731481481485</v>
      </c>
      <c r="E799" s="2">
        <f t="shared" si="12"/>
        <v>9.8958333333333259E-3</v>
      </c>
    </row>
    <row r="800" spans="1:5" x14ac:dyDescent="0.25">
      <c r="A800">
        <v>0</v>
      </c>
      <c r="B800">
        <v>42928</v>
      </c>
      <c r="C800">
        <v>0.56509259259259259</v>
      </c>
      <c r="D800">
        <v>0.56554398148148144</v>
      </c>
      <c r="E800" s="2">
        <f t="shared" si="12"/>
        <v>4.5138888888884843E-4</v>
      </c>
    </row>
    <row r="801" spans="1:5" x14ac:dyDescent="0.25">
      <c r="A801">
        <v>0</v>
      </c>
      <c r="B801">
        <v>42928</v>
      </c>
      <c r="C801">
        <v>0.56527777777777777</v>
      </c>
      <c r="D801">
        <v>0.56814814814814818</v>
      </c>
      <c r="E801" s="2">
        <f t="shared" si="12"/>
        <v>2.870370370370412E-3</v>
      </c>
    </row>
    <row r="802" spans="1:5" x14ac:dyDescent="0.25">
      <c r="A802">
        <v>0</v>
      </c>
      <c r="B802">
        <v>42928</v>
      </c>
      <c r="C802">
        <v>0.56555555555555559</v>
      </c>
      <c r="D802">
        <v>0.5697106481481482</v>
      </c>
      <c r="E802" s="2">
        <f t="shared" si="12"/>
        <v>4.155092592592613E-3</v>
      </c>
    </row>
    <row r="803" spans="1:5" x14ac:dyDescent="0.25">
      <c r="A803">
        <v>0</v>
      </c>
      <c r="B803">
        <v>42928</v>
      </c>
      <c r="C803">
        <v>0.56918981481481479</v>
      </c>
      <c r="D803">
        <v>0.5784259259259259</v>
      </c>
      <c r="E803" s="2">
        <f t="shared" si="12"/>
        <v>9.2361111111111116E-3</v>
      </c>
    </row>
    <row r="804" spans="1:5" x14ac:dyDescent="0.25">
      <c r="A804">
        <v>0</v>
      </c>
      <c r="B804">
        <v>42928</v>
      </c>
      <c r="C804">
        <v>0.56953703703703706</v>
      </c>
      <c r="D804">
        <v>0.57401620370370365</v>
      </c>
      <c r="E804" s="2">
        <f t="shared" si="12"/>
        <v>4.4791666666665897E-3</v>
      </c>
    </row>
    <row r="805" spans="1:5" x14ac:dyDescent="0.25">
      <c r="A805">
        <v>0</v>
      </c>
      <c r="B805">
        <v>42928</v>
      </c>
      <c r="C805">
        <v>0.57231481481481483</v>
      </c>
      <c r="D805">
        <v>0.57403935185185184</v>
      </c>
      <c r="E805" s="2">
        <f t="shared" si="12"/>
        <v>1.7245370370370106E-3</v>
      </c>
    </row>
    <row r="806" spans="1:5" x14ac:dyDescent="0.25">
      <c r="A806">
        <v>0</v>
      </c>
      <c r="B806">
        <v>42928</v>
      </c>
      <c r="C806">
        <v>0.57445601851851846</v>
      </c>
      <c r="D806">
        <v>0.57703703703703701</v>
      </c>
      <c r="E806" s="2">
        <f t="shared" si="12"/>
        <v>2.5810185185185519E-3</v>
      </c>
    </row>
    <row r="807" spans="1:5" x14ac:dyDescent="0.25">
      <c r="A807">
        <v>0</v>
      </c>
      <c r="B807">
        <v>42928</v>
      </c>
      <c r="C807">
        <v>0.57445601851851846</v>
      </c>
      <c r="D807">
        <v>0.58512731481481484</v>
      </c>
      <c r="E807" s="2">
        <f t="shared" si="12"/>
        <v>1.0671296296296373E-2</v>
      </c>
    </row>
    <row r="808" spans="1:5" x14ac:dyDescent="0.25">
      <c r="A808">
        <v>0</v>
      </c>
      <c r="B808">
        <v>42928</v>
      </c>
      <c r="C808">
        <v>0.57828703703703699</v>
      </c>
      <c r="D808">
        <v>0.58834490740740741</v>
      </c>
      <c r="E808" s="2">
        <f t="shared" si="12"/>
        <v>1.0057870370370425E-2</v>
      </c>
    </row>
    <row r="809" spans="1:5" x14ac:dyDescent="0.25">
      <c r="A809">
        <v>0</v>
      </c>
      <c r="B809">
        <v>42928</v>
      </c>
      <c r="C809">
        <v>0.58054398148148145</v>
      </c>
      <c r="D809">
        <v>0.58196759259259256</v>
      </c>
      <c r="E809" s="2">
        <f t="shared" si="12"/>
        <v>1.4236111111111116E-3</v>
      </c>
    </row>
    <row r="810" spans="1:5" x14ac:dyDescent="0.25">
      <c r="A810">
        <v>0</v>
      </c>
      <c r="B810">
        <v>42928</v>
      </c>
      <c r="C810">
        <v>0.58266203703703701</v>
      </c>
      <c r="D810">
        <v>0.59348379629629633</v>
      </c>
      <c r="E810" s="2">
        <f t="shared" si="12"/>
        <v>1.0821759259259323E-2</v>
      </c>
    </row>
    <row r="811" spans="1:5" x14ac:dyDescent="0.25">
      <c r="A811">
        <v>0</v>
      </c>
      <c r="B811">
        <v>42928</v>
      </c>
      <c r="C811">
        <v>0.58592592592592596</v>
      </c>
      <c r="D811">
        <v>0.59038194444444447</v>
      </c>
      <c r="E811" s="2">
        <f t="shared" si="12"/>
        <v>4.4560185185185119E-3</v>
      </c>
    </row>
    <row r="812" spans="1:5" x14ac:dyDescent="0.25">
      <c r="A812">
        <v>0</v>
      </c>
      <c r="B812">
        <v>42928</v>
      </c>
      <c r="C812">
        <v>0.58909722222222227</v>
      </c>
      <c r="D812">
        <v>0.5993518518518518</v>
      </c>
      <c r="E812" s="2">
        <f t="shared" si="12"/>
        <v>1.025462962962953E-2</v>
      </c>
    </row>
    <row r="813" spans="1:5" x14ac:dyDescent="0.25">
      <c r="A813">
        <v>0</v>
      </c>
      <c r="B813">
        <v>42928</v>
      </c>
      <c r="C813">
        <v>0.59354166666666663</v>
      </c>
      <c r="D813">
        <v>0.59888888888888892</v>
      </c>
      <c r="E813" s="2">
        <f t="shared" si="12"/>
        <v>5.3472222222222809E-3</v>
      </c>
    </row>
    <row r="814" spans="1:5" x14ac:dyDescent="0.25">
      <c r="A814">
        <v>0</v>
      </c>
      <c r="B814">
        <v>42928</v>
      </c>
      <c r="C814">
        <v>0.59873842592592597</v>
      </c>
      <c r="D814">
        <v>0.60127314814814814</v>
      </c>
      <c r="E814" s="2">
        <f t="shared" si="12"/>
        <v>2.5347222222221744E-3</v>
      </c>
    </row>
    <row r="815" spans="1:5" x14ac:dyDescent="0.25">
      <c r="A815">
        <v>0</v>
      </c>
      <c r="B815">
        <v>42928</v>
      </c>
      <c r="C815">
        <v>0.59928240740740746</v>
      </c>
      <c r="D815">
        <v>0.60182870370370367</v>
      </c>
      <c r="E815" s="2">
        <f t="shared" si="12"/>
        <v>2.5462962962962132E-3</v>
      </c>
    </row>
    <row r="816" spans="1:5" x14ac:dyDescent="0.25">
      <c r="A816">
        <v>0</v>
      </c>
      <c r="B816">
        <v>42928</v>
      </c>
      <c r="C816">
        <v>0.60065972222222219</v>
      </c>
      <c r="D816">
        <v>0.60902777777777772</v>
      </c>
      <c r="E816" s="2">
        <f t="shared" si="12"/>
        <v>8.3680555555555314E-3</v>
      </c>
    </row>
    <row r="817" spans="1:5" x14ac:dyDescent="0.25">
      <c r="A817">
        <v>0</v>
      </c>
      <c r="B817">
        <v>42928</v>
      </c>
      <c r="C817">
        <v>0.60528935185185184</v>
      </c>
      <c r="D817">
        <v>0.60805555555555557</v>
      </c>
      <c r="E817" s="2">
        <f t="shared" si="12"/>
        <v>2.766203703703729E-3</v>
      </c>
    </row>
    <row r="818" spans="1:5" x14ac:dyDescent="0.25">
      <c r="A818">
        <v>0</v>
      </c>
      <c r="B818">
        <v>42928</v>
      </c>
      <c r="C818">
        <v>0.61028935185185185</v>
      </c>
      <c r="D818">
        <v>0.61681712962962965</v>
      </c>
      <c r="E818" s="2">
        <f t="shared" si="12"/>
        <v>6.527777777777799E-3</v>
      </c>
    </row>
    <row r="819" spans="1:5" x14ac:dyDescent="0.25">
      <c r="A819">
        <v>0</v>
      </c>
      <c r="B819">
        <v>42928</v>
      </c>
      <c r="C819">
        <v>0.61534722222222227</v>
      </c>
      <c r="D819">
        <v>0.61554398148148148</v>
      </c>
      <c r="E819" s="2">
        <f t="shared" si="12"/>
        <v>1.96759259259216E-4</v>
      </c>
    </row>
    <row r="820" spans="1:5" x14ac:dyDescent="0.25">
      <c r="A820">
        <v>0</v>
      </c>
      <c r="B820">
        <v>42928</v>
      </c>
      <c r="C820">
        <v>0.62077546296296293</v>
      </c>
      <c r="D820">
        <v>0.62708333333333333</v>
      </c>
      <c r="E820" s="2">
        <f t="shared" si="12"/>
        <v>6.3078703703703942E-3</v>
      </c>
    </row>
    <row r="821" spans="1:5" x14ac:dyDescent="0.25">
      <c r="A821">
        <v>0</v>
      </c>
      <c r="B821">
        <v>42928</v>
      </c>
      <c r="C821">
        <v>0.62372685185185184</v>
      </c>
      <c r="D821">
        <v>0.63241898148148146</v>
      </c>
      <c r="E821" s="2">
        <f t="shared" si="12"/>
        <v>8.6921296296296191E-3</v>
      </c>
    </row>
    <row r="822" spans="1:5" x14ac:dyDescent="0.25">
      <c r="A822">
        <v>0</v>
      </c>
      <c r="B822">
        <v>42928</v>
      </c>
      <c r="C822">
        <v>0.62449074074074074</v>
      </c>
      <c r="D822">
        <v>0.62653935185185183</v>
      </c>
      <c r="E822" s="2">
        <f t="shared" si="12"/>
        <v>2.0486111111110983E-3</v>
      </c>
    </row>
    <row r="823" spans="1:5" x14ac:dyDescent="0.25">
      <c r="A823">
        <v>0</v>
      </c>
      <c r="B823">
        <v>42928</v>
      </c>
      <c r="C823">
        <v>0.62615740740740744</v>
      </c>
      <c r="D823">
        <v>0.63491898148148151</v>
      </c>
      <c r="E823" s="2">
        <f t="shared" si="12"/>
        <v>8.7615740740740744E-3</v>
      </c>
    </row>
    <row r="824" spans="1:5" x14ac:dyDescent="0.25">
      <c r="A824">
        <v>0</v>
      </c>
      <c r="B824">
        <v>42929</v>
      </c>
      <c r="C824">
        <v>0.33812500000000001</v>
      </c>
      <c r="D824">
        <v>0.34457175925925926</v>
      </c>
      <c r="E824" s="2">
        <f t="shared" si="12"/>
        <v>6.4467592592592493E-3</v>
      </c>
    </row>
    <row r="825" spans="1:5" x14ac:dyDescent="0.25">
      <c r="A825">
        <v>0</v>
      </c>
      <c r="B825">
        <v>42929</v>
      </c>
      <c r="C825">
        <v>0.34258101851851852</v>
      </c>
      <c r="D825">
        <v>0.34574074074074074</v>
      </c>
      <c r="E825" s="2">
        <f t="shared" si="12"/>
        <v>3.1597222222222165E-3</v>
      </c>
    </row>
    <row r="826" spans="1:5" x14ac:dyDescent="0.25">
      <c r="A826">
        <v>0</v>
      </c>
      <c r="B826">
        <v>42929</v>
      </c>
      <c r="C826">
        <v>0.34833333333333333</v>
      </c>
      <c r="D826">
        <v>0.35206018518518517</v>
      </c>
      <c r="E826" s="2">
        <f t="shared" si="12"/>
        <v>3.7268518518518423E-3</v>
      </c>
    </row>
    <row r="827" spans="1:5" x14ac:dyDescent="0.25">
      <c r="A827">
        <v>0</v>
      </c>
      <c r="B827">
        <v>42929</v>
      </c>
      <c r="C827">
        <v>0.35311342592592593</v>
      </c>
      <c r="D827">
        <v>0.35888888888888887</v>
      </c>
      <c r="E827" s="2">
        <f t="shared" si="12"/>
        <v>5.7754629629629406E-3</v>
      </c>
    </row>
    <row r="828" spans="1:5" x14ac:dyDescent="0.25">
      <c r="A828">
        <v>0</v>
      </c>
      <c r="B828">
        <v>42929</v>
      </c>
      <c r="C828">
        <v>0.35885416666666664</v>
      </c>
      <c r="D828">
        <v>0.36913194444444447</v>
      </c>
      <c r="E828" s="2">
        <f t="shared" si="12"/>
        <v>1.027777777777783E-2</v>
      </c>
    </row>
    <row r="829" spans="1:5" x14ac:dyDescent="0.25">
      <c r="A829">
        <v>0</v>
      </c>
      <c r="B829">
        <v>42929</v>
      </c>
      <c r="C829">
        <v>0.36204861111111108</v>
      </c>
      <c r="D829">
        <v>0.37230324074074073</v>
      </c>
      <c r="E829" s="2">
        <f t="shared" si="12"/>
        <v>1.0254629629629641E-2</v>
      </c>
    </row>
    <row r="830" spans="1:5" x14ac:dyDescent="0.25">
      <c r="A830">
        <v>0</v>
      </c>
      <c r="B830">
        <v>42929</v>
      </c>
      <c r="C830">
        <v>0.36341435185185184</v>
      </c>
      <c r="D830">
        <v>0.36506944444444445</v>
      </c>
      <c r="E830" s="2">
        <f t="shared" si="12"/>
        <v>1.6550925925926108E-3</v>
      </c>
    </row>
    <row r="831" spans="1:5" x14ac:dyDescent="0.25">
      <c r="A831">
        <v>0</v>
      </c>
      <c r="B831">
        <v>42929</v>
      </c>
      <c r="C831">
        <v>0.36505787037037035</v>
      </c>
      <c r="D831">
        <v>0.37204861111111109</v>
      </c>
      <c r="E831" s="2">
        <f t="shared" si="12"/>
        <v>6.9907407407407418E-3</v>
      </c>
    </row>
    <row r="832" spans="1:5" x14ac:dyDescent="0.25">
      <c r="A832">
        <v>0</v>
      </c>
      <c r="B832">
        <v>42929</v>
      </c>
      <c r="C832">
        <v>0.36586805555555557</v>
      </c>
      <c r="D832">
        <v>0.36783564814814818</v>
      </c>
      <c r="E832" s="2">
        <f t="shared" si="12"/>
        <v>1.9675925925926041E-3</v>
      </c>
    </row>
    <row r="833" spans="1:5" x14ac:dyDescent="0.25">
      <c r="A833">
        <v>0</v>
      </c>
      <c r="B833">
        <v>42929</v>
      </c>
      <c r="C833">
        <v>0.36704861111111109</v>
      </c>
      <c r="D833">
        <v>0.37783564814814813</v>
      </c>
      <c r="E833" s="2">
        <f t="shared" si="12"/>
        <v>1.0787037037037039E-2</v>
      </c>
    </row>
    <row r="834" spans="1:5" x14ac:dyDescent="0.25">
      <c r="A834">
        <v>0</v>
      </c>
      <c r="B834">
        <v>42929</v>
      </c>
      <c r="C834">
        <v>0.37074074074074076</v>
      </c>
      <c r="D834">
        <v>0.37601851851851853</v>
      </c>
      <c r="E834" s="2">
        <f t="shared" ref="E834:E897" si="13">D834-C834</f>
        <v>5.2777777777777701E-3</v>
      </c>
    </row>
    <row r="835" spans="1:5" x14ac:dyDescent="0.25">
      <c r="A835">
        <v>0</v>
      </c>
      <c r="B835">
        <v>42929</v>
      </c>
      <c r="C835">
        <v>0.37334490740740739</v>
      </c>
      <c r="D835">
        <v>0.37408564814814815</v>
      </c>
      <c r="E835" s="2">
        <f t="shared" si="13"/>
        <v>7.4074074074076401E-4</v>
      </c>
    </row>
    <row r="836" spans="1:5" x14ac:dyDescent="0.25">
      <c r="A836">
        <v>0</v>
      </c>
      <c r="B836">
        <v>42929</v>
      </c>
      <c r="C836">
        <v>0.37653935185185183</v>
      </c>
      <c r="D836">
        <v>0.37709490740740742</v>
      </c>
      <c r="E836" s="2">
        <f t="shared" si="13"/>
        <v>5.5555555555558689E-4</v>
      </c>
    </row>
    <row r="837" spans="1:5" x14ac:dyDescent="0.25">
      <c r="A837">
        <v>0</v>
      </c>
      <c r="B837">
        <v>42929</v>
      </c>
      <c r="C837">
        <v>0.37748842592592591</v>
      </c>
      <c r="D837">
        <v>0.37763888888888891</v>
      </c>
      <c r="E837" s="2">
        <f t="shared" si="13"/>
        <v>1.5046296296300499E-4</v>
      </c>
    </row>
    <row r="838" spans="1:5" x14ac:dyDescent="0.25">
      <c r="A838">
        <v>0</v>
      </c>
      <c r="B838">
        <v>42929</v>
      </c>
      <c r="C838">
        <v>0.3790162037037037</v>
      </c>
      <c r="D838">
        <v>0.38123842592592594</v>
      </c>
      <c r="E838" s="2">
        <f t="shared" si="13"/>
        <v>2.2222222222222365E-3</v>
      </c>
    </row>
    <row r="839" spans="1:5" x14ac:dyDescent="0.25">
      <c r="A839">
        <v>0</v>
      </c>
      <c r="B839">
        <v>42929</v>
      </c>
      <c r="C839">
        <v>0.38018518518518518</v>
      </c>
      <c r="D839">
        <v>0.38339120370370372</v>
      </c>
      <c r="E839" s="2">
        <f t="shared" si="13"/>
        <v>3.2060185185185386E-3</v>
      </c>
    </row>
    <row r="840" spans="1:5" x14ac:dyDescent="0.25">
      <c r="A840">
        <v>0</v>
      </c>
      <c r="B840">
        <v>42929</v>
      </c>
      <c r="C840">
        <v>0.38480324074074074</v>
      </c>
      <c r="D840">
        <v>0.39057870370370368</v>
      </c>
      <c r="E840" s="2">
        <f t="shared" si="13"/>
        <v>5.7754629629629406E-3</v>
      </c>
    </row>
    <row r="841" spans="1:5" x14ac:dyDescent="0.25">
      <c r="A841">
        <v>0</v>
      </c>
      <c r="B841">
        <v>42929</v>
      </c>
      <c r="C841">
        <v>0.38966435185185183</v>
      </c>
      <c r="D841">
        <v>0.40104166666666669</v>
      </c>
      <c r="E841" s="2">
        <f t="shared" si="13"/>
        <v>1.1377314814814854E-2</v>
      </c>
    </row>
    <row r="842" spans="1:5" x14ac:dyDescent="0.25">
      <c r="A842">
        <v>0</v>
      </c>
      <c r="B842">
        <v>42929</v>
      </c>
      <c r="C842">
        <v>0.39194444444444443</v>
      </c>
      <c r="D842">
        <v>0.39535879629629628</v>
      </c>
      <c r="E842" s="2">
        <f t="shared" si="13"/>
        <v>3.414351851851849E-3</v>
      </c>
    </row>
    <row r="843" spans="1:5" x14ac:dyDescent="0.25">
      <c r="A843">
        <v>0</v>
      </c>
      <c r="B843">
        <v>42929</v>
      </c>
      <c r="C843">
        <v>0.3972222222222222</v>
      </c>
      <c r="D843">
        <v>0.40084490740740741</v>
      </c>
      <c r="E843" s="2">
        <f t="shared" si="13"/>
        <v>3.6226851851852149E-3</v>
      </c>
    </row>
    <row r="844" spans="1:5" x14ac:dyDescent="0.25">
      <c r="A844">
        <v>0</v>
      </c>
      <c r="B844">
        <v>42929</v>
      </c>
      <c r="C844">
        <v>0.39988425925925924</v>
      </c>
      <c r="D844">
        <v>0.4100462962962963</v>
      </c>
      <c r="E844" s="2">
        <f t="shared" si="13"/>
        <v>1.0162037037037053E-2</v>
      </c>
    </row>
    <row r="845" spans="1:5" x14ac:dyDescent="0.25">
      <c r="A845">
        <v>0</v>
      </c>
      <c r="B845">
        <v>42929</v>
      </c>
      <c r="C845">
        <v>0.40539351851851851</v>
      </c>
      <c r="D845">
        <v>0.4143634259259259</v>
      </c>
      <c r="E845" s="2">
        <f t="shared" si="13"/>
        <v>8.9699074074073848E-3</v>
      </c>
    </row>
    <row r="846" spans="1:5" x14ac:dyDescent="0.25">
      <c r="A846">
        <v>0</v>
      </c>
      <c r="B846">
        <v>42929</v>
      </c>
      <c r="C846">
        <v>0.4064814814814815</v>
      </c>
      <c r="D846">
        <v>0.41630787037037037</v>
      </c>
      <c r="E846" s="2">
        <f t="shared" si="13"/>
        <v>9.8263888888888706E-3</v>
      </c>
    </row>
    <row r="847" spans="1:5" x14ac:dyDescent="0.25">
      <c r="A847">
        <v>0</v>
      </c>
      <c r="B847">
        <v>42929</v>
      </c>
      <c r="C847">
        <v>0.41149305555555554</v>
      </c>
      <c r="D847">
        <v>0.41928240740740741</v>
      </c>
      <c r="E847" s="2">
        <f t="shared" si="13"/>
        <v>7.7893518518518667E-3</v>
      </c>
    </row>
    <row r="848" spans="1:5" x14ac:dyDescent="0.25">
      <c r="A848">
        <v>0</v>
      </c>
      <c r="B848">
        <v>42929</v>
      </c>
      <c r="C848">
        <v>0.41172453703703704</v>
      </c>
      <c r="D848">
        <v>0.42146990740740742</v>
      </c>
      <c r="E848" s="2">
        <f t="shared" si="13"/>
        <v>9.7453703703703765E-3</v>
      </c>
    </row>
    <row r="849" spans="1:5" x14ac:dyDescent="0.25">
      <c r="A849">
        <v>0</v>
      </c>
      <c r="B849">
        <v>42929</v>
      </c>
      <c r="C849">
        <v>0.41729166666666667</v>
      </c>
      <c r="D849">
        <v>0.42122685185185182</v>
      </c>
      <c r="E849" s="2">
        <f t="shared" si="13"/>
        <v>3.9351851851851527E-3</v>
      </c>
    </row>
    <row r="850" spans="1:5" x14ac:dyDescent="0.25">
      <c r="A850">
        <v>0</v>
      </c>
      <c r="B850">
        <v>42929</v>
      </c>
      <c r="C850">
        <v>0.41979166666666667</v>
      </c>
      <c r="D850">
        <v>0.42586805555555557</v>
      </c>
      <c r="E850" s="2">
        <f t="shared" si="13"/>
        <v>6.0763888888888951E-3</v>
      </c>
    </row>
    <row r="851" spans="1:5" x14ac:dyDescent="0.25">
      <c r="A851">
        <v>0</v>
      </c>
      <c r="B851">
        <v>42929</v>
      </c>
      <c r="C851">
        <v>0.42091435185185183</v>
      </c>
      <c r="D851">
        <v>0.42609953703703701</v>
      </c>
      <c r="E851" s="2">
        <f t="shared" si="13"/>
        <v>5.1851851851851816E-3</v>
      </c>
    </row>
    <row r="852" spans="1:5" x14ac:dyDescent="0.25">
      <c r="A852">
        <v>0</v>
      </c>
      <c r="B852">
        <v>42929</v>
      </c>
      <c r="C852">
        <v>0.42418981481481483</v>
      </c>
      <c r="D852">
        <v>0.42598379629629629</v>
      </c>
      <c r="E852" s="2">
        <f t="shared" si="13"/>
        <v>1.7939814814814659E-3</v>
      </c>
    </row>
    <row r="853" spans="1:5" x14ac:dyDescent="0.25">
      <c r="A853">
        <v>0</v>
      </c>
      <c r="B853">
        <v>42929</v>
      </c>
      <c r="C853">
        <v>0.4291550925925926</v>
      </c>
      <c r="D853">
        <v>0.4339351851851852</v>
      </c>
      <c r="E853" s="2">
        <f t="shared" si="13"/>
        <v>4.7800925925925997E-3</v>
      </c>
    </row>
    <row r="854" spans="1:5" x14ac:dyDescent="0.25">
      <c r="A854">
        <v>0</v>
      </c>
      <c r="B854">
        <v>42929</v>
      </c>
      <c r="C854">
        <v>0.43297453703703703</v>
      </c>
      <c r="D854">
        <v>0.43424768518518519</v>
      </c>
      <c r="E854" s="2">
        <f t="shared" si="13"/>
        <v>1.2731481481481621E-3</v>
      </c>
    </row>
    <row r="855" spans="1:5" x14ac:dyDescent="0.25">
      <c r="A855">
        <v>0</v>
      </c>
      <c r="B855">
        <v>42929</v>
      </c>
      <c r="C855">
        <v>0.43782407407407409</v>
      </c>
      <c r="D855">
        <v>0.44560185185185186</v>
      </c>
      <c r="E855" s="2">
        <f t="shared" si="13"/>
        <v>7.7777777777777724E-3</v>
      </c>
    </row>
    <row r="856" spans="1:5" x14ac:dyDescent="0.25">
      <c r="A856">
        <v>0</v>
      </c>
      <c r="B856">
        <v>42929</v>
      </c>
      <c r="C856">
        <v>0.43986111111111109</v>
      </c>
      <c r="D856">
        <v>0.44298611111111114</v>
      </c>
      <c r="E856" s="2">
        <f t="shared" si="13"/>
        <v>3.1250000000000444E-3</v>
      </c>
    </row>
    <row r="857" spans="1:5" x14ac:dyDescent="0.25">
      <c r="A857">
        <v>0</v>
      </c>
      <c r="B857">
        <v>42929</v>
      </c>
      <c r="C857">
        <v>0.44278935185185186</v>
      </c>
      <c r="D857">
        <v>0.44480324074074074</v>
      </c>
      <c r="E857" s="2">
        <f t="shared" si="13"/>
        <v>2.0138888888888706E-3</v>
      </c>
    </row>
    <row r="858" spans="1:5" x14ac:dyDescent="0.25">
      <c r="A858">
        <v>0</v>
      </c>
      <c r="B858">
        <v>42929</v>
      </c>
      <c r="C858">
        <v>0.44732638888888887</v>
      </c>
      <c r="D858">
        <v>0.45466435185185183</v>
      </c>
      <c r="E858" s="2">
        <f t="shared" si="13"/>
        <v>7.3379629629629628E-3</v>
      </c>
    </row>
    <row r="859" spans="1:5" x14ac:dyDescent="0.25">
      <c r="A859">
        <v>0</v>
      </c>
      <c r="B859">
        <v>42929</v>
      </c>
      <c r="C859">
        <v>0.45131944444444444</v>
      </c>
      <c r="D859">
        <v>0.45689814814814816</v>
      </c>
      <c r="E859" s="2">
        <f t="shared" si="13"/>
        <v>5.5787037037037246E-3</v>
      </c>
    </row>
    <row r="860" spans="1:5" x14ac:dyDescent="0.25">
      <c r="A860">
        <v>0</v>
      </c>
      <c r="B860">
        <v>42929</v>
      </c>
      <c r="C860">
        <v>0.45489583333333333</v>
      </c>
      <c r="D860">
        <v>0.46451388888888889</v>
      </c>
      <c r="E860" s="2">
        <f t="shared" si="13"/>
        <v>9.6180555555555602E-3</v>
      </c>
    </row>
    <row r="861" spans="1:5" x14ac:dyDescent="0.25">
      <c r="A861">
        <v>0</v>
      </c>
      <c r="B861">
        <v>42929</v>
      </c>
      <c r="C861">
        <v>0.45682870370370371</v>
      </c>
      <c r="D861">
        <v>0.4664699074074074</v>
      </c>
      <c r="E861" s="2">
        <f t="shared" si="13"/>
        <v>9.6412037037036935E-3</v>
      </c>
    </row>
    <row r="862" spans="1:5" x14ac:dyDescent="0.25">
      <c r="A862">
        <v>0</v>
      </c>
      <c r="B862">
        <v>42929</v>
      </c>
      <c r="C862">
        <v>0.45968750000000003</v>
      </c>
      <c r="D862">
        <v>0.46520833333333333</v>
      </c>
      <c r="E862" s="2">
        <f t="shared" si="13"/>
        <v>5.5208333333333082E-3</v>
      </c>
    </row>
    <row r="863" spans="1:5" x14ac:dyDescent="0.25">
      <c r="A863">
        <v>0</v>
      </c>
      <c r="B863">
        <v>42929</v>
      </c>
      <c r="C863">
        <v>0.46444444444444444</v>
      </c>
      <c r="D863">
        <v>0.46787037037037038</v>
      </c>
      <c r="E863" s="2">
        <f t="shared" si="13"/>
        <v>3.4259259259259434E-3</v>
      </c>
    </row>
    <row r="864" spans="1:5" x14ac:dyDescent="0.25">
      <c r="A864">
        <v>0</v>
      </c>
      <c r="B864">
        <v>42929</v>
      </c>
      <c r="C864">
        <v>0.46581018518518519</v>
      </c>
      <c r="D864">
        <v>0.46589120370370368</v>
      </c>
      <c r="E864" s="2">
        <f t="shared" si="13"/>
        <v>8.1018518518494176E-5</v>
      </c>
    </row>
    <row r="865" spans="1:5" x14ac:dyDescent="0.25">
      <c r="A865">
        <v>0</v>
      </c>
      <c r="B865">
        <v>42929</v>
      </c>
      <c r="C865">
        <v>0.47099537037037037</v>
      </c>
      <c r="D865">
        <v>0.47175925925925927</v>
      </c>
      <c r="E865" s="2">
        <f t="shared" si="13"/>
        <v>7.6388888888889728E-4</v>
      </c>
    </row>
    <row r="866" spans="1:5" x14ac:dyDescent="0.25">
      <c r="A866">
        <v>0</v>
      </c>
      <c r="B866">
        <v>42929</v>
      </c>
      <c r="C866">
        <v>0.47134259259259259</v>
      </c>
      <c r="D866">
        <v>0.47659722222222223</v>
      </c>
      <c r="E866" s="2">
        <f t="shared" si="13"/>
        <v>5.2546296296296369E-3</v>
      </c>
    </row>
    <row r="867" spans="1:5" x14ac:dyDescent="0.25">
      <c r="A867">
        <v>0</v>
      </c>
      <c r="B867">
        <v>42929</v>
      </c>
      <c r="C867">
        <v>0.47321759259259261</v>
      </c>
      <c r="D867">
        <v>0.48008101851851853</v>
      </c>
      <c r="E867" s="2">
        <f t="shared" si="13"/>
        <v>6.8634259259259256E-3</v>
      </c>
    </row>
    <row r="868" spans="1:5" x14ac:dyDescent="0.25">
      <c r="A868">
        <v>0</v>
      </c>
      <c r="B868">
        <v>42929</v>
      </c>
      <c r="C868">
        <v>0.47890046296296296</v>
      </c>
      <c r="D868">
        <v>0.48042824074074075</v>
      </c>
      <c r="E868" s="2">
        <f t="shared" si="13"/>
        <v>1.5277777777777946E-3</v>
      </c>
    </row>
    <row r="869" spans="1:5" x14ac:dyDescent="0.25">
      <c r="A869">
        <v>0</v>
      </c>
      <c r="B869">
        <v>42929</v>
      </c>
      <c r="C869">
        <v>0.48312500000000003</v>
      </c>
      <c r="D869">
        <v>0.4889236111111111</v>
      </c>
      <c r="E869" s="2">
        <f t="shared" si="13"/>
        <v>5.7986111111110739E-3</v>
      </c>
    </row>
    <row r="870" spans="1:5" x14ac:dyDescent="0.25">
      <c r="A870">
        <v>0</v>
      </c>
      <c r="B870">
        <v>42929</v>
      </c>
      <c r="C870">
        <v>0.4878587962962963</v>
      </c>
      <c r="D870">
        <v>0.49609953703703702</v>
      </c>
      <c r="E870" s="2">
        <f t="shared" si="13"/>
        <v>8.2407407407407152E-3</v>
      </c>
    </row>
    <row r="871" spans="1:5" x14ac:dyDescent="0.25">
      <c r="A871">
        <v>0</v>
      </c>
      <c r="B871">
        <v>42929</v>
      </c>
      <c r="C871">
        <v>0.4911226851851852</v>
      </c>
      <c r="D871">
        <v>0.49859953703703702</v>
      </c>
      <c r="E871" s="2">
        <f t="shared" si="13"/>
        <v>7.4768518518518179E-3</v>
      </c>
    </row>
    <row r="872" spans="1:5" x14ac:dyDescent="0.25">
      <c r="A872">
        <v>0</v>
      </c>
      <c r="B872">
        <v>42929</v>
      </c>
      <c r="C872">
        <v>0.49283564814814818</v>
      </c>
      <c r="D872">
        <v>0.50396990740740744</v>
      </c>
      <c r="E872" s="2">
        <f t="shared" si="13"/>
        <v>1.113425925925926E-2</v>
      </c>
    </row>
    <row r="873" spans="1:5" x14ac:dyDescent="0.25">
      <c r="A873">
        <v>0</v>
      </c>
      <c r="B873">
        <v>42929</v>
      </c>
      <c r="C873">
        <v>0.49493055555555554</v>
      </c>
      <c r="D873">
        <v>0.49898148148148147</v>
      </c>
      <c r="E873" s="2">
        <f t="shared" si="13"/>
        <v>4.05092592592593E-3</v>
      </c>
    </row>
    <row r="874" spans="1:5" x14ac:dyDescent="0.25">
      <c r="A874">
        <v>0</v>
      </c>
      <c r="B874">
        <v>42929</v>
      </c>
      <c r="C874">
        <v>0.5006018518518518</v>
      </c>
      <c r="D874">
        <v>0.50388888888888894</v>
      </c>
      <c r="E874" s="2">
        <f t="shared" si="13"/>
        <v>3.2870370370371438E-3</v>
      </c>
    </row>
    <row r="875" spans="1:5" x14ac:dyDescent="0.25">
      <c r="A875">
        <v>0</v>
      </c>
      <c r="B875">
        <v>42929</v>
      </c>
      <c r="C875">
        <v>0.50173611111111116</v>
      </c>
      <c r="D875">
        <v>0.50722222222222224</v>
      </c>
      <c r="E875" s="2">
        <f t="shared" si="13"/>
        <v>5.4861111111110805E-3</v>
      </c>
    </row>
    <row r="876" spans="1:5" x14ac:dyDescent="0.25">
      <c r="A876">
        <v>0</v>
      </c>
      <c r="B876">
        <v>42929</v>
      </c>
      <c r="C876">
        <v>0.50675925925925924</v>
      </c>
      <c r="D876">
        <v>0.5138194444444445</v>
      </c>
      <c r="E876" s="2">
        <f t="shared" si="13"/>
        <v>7.0601851851852526E-3</v>
      </c>
    </row>
    <row r="877" spans="1:5" x14ac:dyDescent="0.25">
      <c r="A877">
        <v>0</v>
      </c>
      <c r="B877">
        <v>42929</v>
      </c>
      <c r="C877">
        <v>0.50732638888888892</v>
      </c>
      <c r="D877">
        <v>0.51005787037037043</v>
      </c>
      <c r="E877" s="2">
        <f t="shared" si="13"/>
        <v>2.7314814814815014E-3</v>
      </c>
    </row>
    <row r="878" spans="1:5" x14ac:dyDescent="0.25">
      <c r="A878">
        <v>0</v>
      </c>
      <c r="B878">
        <v>42929</v>
      </c>
      <c r="C878">
        <v>0.51061342592592596</v>
      </c>
      <c r="D878">
        <v>0.5118287037037037</v>
      </c>
      <c r="E878" s="2">
        <f t="shared" si="13"/>
        <v>1.2152777777777457E-3</v>
      </c>
    </row>
    <row r="879" spans="1:5" x14ac:dyDescent="0.25">
      <c r="A879">
        <v>0</v>
      </c>
      <c r="B879">
        <v>42929</v>
      </c>
      <c r="C879">
        <v>0.51224537037037032</v>
      </c>
      <c r="D879">
        <v>0.51730324074074074</v>
      </c>
      <c r="E879" s="2">
        <f t="shared" si="13"/>
        <v>5.0578703703704209E-3</v>
      </c>
    </row>
    <row r="880" spans="1:5" x14ac:dyDescent="0.25">
      <c r="A880">
        <v>0</v>
      </c>
      <c r="B880">
        <v>42929</v>
      </c>
      <c r="C880">
        <v>0.51616898148148149</v>
      </c>
      <c r="D880">
        <v>0.52461805555555552</v>
      </c>
      <c r="E880" s="2">
        <f t="shared" si="13"/>
        <v>8.4490740740740256E-3</v>
      </c>
    </row>
    <row r="881" spans="1:5" x14ac:dyDescent="0.25">
      <c r="A881">
        <v>0</v>
      </c>
      <c r="B881">
        <v>42929</v>
      </c>
      <c r="C881">
        <v>0.51709490740740738</v>
      </c>
      <c r="D881">
        <v>0.52684027777777775</v>
      </c>
      <c r="E881" s="2">
        <f t="shared" si="13"/>
        <v>9.7453703703703765E-3</v>
      </c>
    </row>
    <row r="882" spans="1:5" x14ac:dyDescent="0.25">
      <c r="A882">
        <v>0</v>
      </c>
      <c r="B882">
        <v>42929</v>
      </c>
      <c r="C882">
        <v>0.51986111111111111</v>
      </c>
      <c r="D882">
        <v>0.52924768518518517</v>
      </c>
      <c r="E882" s="2">
        <f t="shared" si="13"/>
        <v>9.3865740740740611E-3</v>
      </c>
    </row>
    <row r="883" spans="1:5" x14ac:dyDescent="0.25">
      <c r="A883">
        <v>0</v>
      </c>
      <c r="B883">
        <v>42929</v>
      </c>
      <c r="C883">
        <v>0.5232175925925926</v>
      </c>
      <c r="D883">
        <v>0.52965277777777775</v>
      </c>
      <c r="E883" s="2">
        <f t="shared" si="13"/>
        <v>6.4351851851851549E-3</v>
      </c>
    </row>
    <row r="884" spans="1:5" x14ac:dyDescent="0.25">
      <c r="A884">
        <v>0</v>
      </c>
      <c r="B884">
        <v>42929</v>
      </c>
      <c r="C884">
        <v>0.52353009259259264</v>
      </c>
      <c r="D884">
        <v>0.53097222222222218</v>
      </c>
      <c r="E884" s="2">
        <f t="shared" si="13"/>
        <v>7.4421296296295347E-3</v>
      </c>
    </row>
    <row r="885" spans="1:5" x14ac:dyDescent="0.25">
      <c r="A885">
        <v>0</v>
      </c>
      <c r="B885">
        <v>42929</v>
      </c>
      <c r="C885">
        <v>0.52668981481481481</v>
      </c>
      <c r="D885">
        <v>0.53594907407407411</v>
      </c>
      <c r="E885" s="2">
        <f t="shared" si="13"/>
        <v>9.2592592592593004E-3</v>
      </c>
    </row>
    <row r="886" spans="1:5" x14ac:dyDescent="0.25">
      <c r="A886">
        <v>0</v>
      </c>
      <c r="B886">
        <v>42929</v>
      </c>
      <c r="C886">
        <v>0.52906249999999999</v>
      </c>
      <c r="D886">
        <v>0.5294444444444445</v>
      </c>
      <c r="E886" s="2">
        <f t="shared" si="13"/>
        <v>3.8194444444450415E-4</v>
      </c>
    </row>
    <row r="887" spans="1:5" x14ac:dyDescent="0.25">
      <c r="A887">
        <v>0</v>
      </c>
      <c r="B887">
        <v>42929</v>
      </c>
      <c r="C887">
        <v>0.53047453703703706</v>
      </c>
      <c r="D887">
        <v>0.53797453703703701</v>
      </c>
      <c r="E887" s="2">
        <f t="shared" si="13"/>
        <v>7.4999999999999512E-3</v>
      </c>
    </row>
    <row r="888" spans="1:5" x14ac:dyDescent="0.25">
      <c r="A888">
        <v>0</v>
      </c>
      <c r="B888">
        <v>42929</v>
      </c>
      <c r="C888">
        <v>0.53484953703703708</v>
      </c>
      <c r="D888">
        <v>0.538599537037037</v>
      </c>
      <c r="E888" s="2">
        <f t="shared" si="13"/>
        <v>3.7499999999999201E-3</v>
      </c>
    </row>
    <row r="889" spans="1:5" x14ac:dyDescent="0.25">
      <c r="A889">
        <v>0</v>
      </c>
      <c r="B889">
        <v>42929</v>
      </c>
      <c r="C889">
        <v>0.54039351851851847</v>
      </c>
      <c r="D889">
        <v>0.55039351851851848</v>
      </c>
      <c r="E889" s="2">
        <f t="shared" si="13"/>
        <v>1.0000000000000009E-2</v>
      </c>
    </row>
    <row r="890" spans="1:5" x14ac:dyDescent="0.25">
      <c r="A890">
        <v>0</v>
      </c>
      <c r="B890">
        <v>42929</v>
      </c>
      <c r="C890">
        <v>0.54342592592592598</v>
      </c>
      <c r="D890">
        <v>0.54971064814814818</v>
      </c>
      <c r="E890" s="2">
        <f t="shared" si="13"/>
        <v>6.2847222222222054E-3</v>
      </c>
    </row>
    <row r="891" spans="1:5" x14ac:dyDescent="0.25">
      <c r="A891">
        <v>0</v>
      </c>
      <c r="B891">
        <v>42929</v>
      </c>
      <c r="C891">
        <v>0.5471759259259259</v>
      </c>
      <c r="D891">
        <v>0.55871527777777774</v>
      </c>
      <c r="E891" s="2">
        <f t="shared" si="13"/>
        <v>1.1539351851851842E-2</v>
      </c>
    </row>
    <row r="892" spans="1:5" x14ac:dyDescent="0.25">
      <c r="A892">
        <v>0</v>
      </c>
      <c r="B892">
        <v>42929</v>
      </c>
      <c r="C892">
        <v>0.54806712962962967</v>
      </c>
      <c r="D892">
        <v>0.54826388888888888</v>
      </c>
      <c r="E892" s="2">
        <f t="shared" si="13"/>
        <v>1.96759259259216E-4</v>
      </c>
    </row>
    <row r="893" spans="1:5" x14ac:dyDescent="0.25">
      <c r="A893">
        <v>0</v>
      </c>
      <c r="B893">
        <v>42929</v>
      </c>
      <c r="C893">
        <v>0.55315972222222221</v>
      </c>
      <c r="D893">
        <v>0.56252314814814819</v>
      </c>
      <c r="E893" s="2">
        <f t="shared" si="13"/>
        <v>9.3634259259259833E-3</v>
      </c>
    </row>
    <row r="894" spans="1:5" x14ac:dyDescent="0.25">
      <c r="A894">
        <v>0</v>
      </c>
      <c r="B894">
        <v>42929</v>
      </c>
      <c r="C894">
        <v>0.55543981481481486</v>
      </c>
      <c r="D894">
        <v>0.56340277777777781</v>
      </c>
      <c r="E894" s="2">
        <f t="shared" si="13"/>
        <v>7.9629629629629495E-3</v>
      </c>
    </row>
    <row r="895" spans="1:5" x14ac:dyDescent="0.25">
      <c r="A895">
        <v>0</v>
      </c>
      <c r="B895">
        <v>42929</v>
      </c>
      <c r="C895">
        <v>0.55556712962962962</v>
      </c>
      <c r="D895">
        <v>0.56344907407407407</v>
      </c>
      <c r="E895" s="2">
        <f t="shared" si="13"/>
        <v>7.8819444444444553E-3</v>
      </c>
    </row>
    <row r="896" spans="1:5" x14ac:dyDescent="0.25">
      <c r="A896">
        <v>0</v>
      </c>
      <c r="B896">
        <v>42929</v>
      </c>
      <c r="C896">
        <v>0.55923611111111116</v>
      </c>
      <c r="D896">
        <v>0.5665162037037037</v>
      </c>
      <c r="E896" s="2">
        <f t="shared" si="13"/>
        <v>7.2800925925925464E-3</v>
      </c>
    </row>
    <row r="897" spans="1:5" x14ac:dyDescent="0.25">
      <c r="A897">
        <v>0</v>
      </c>
      <c r="B897">
        <v>42929</v>
      </c>
      <c r="C897">
        <v>0.56371527777777775</v>
      </c>
      <c r="D897">
        <v>0.57344907407407408</v>
      </c>
      <c r="E897" s="2">
        <f t="shared" si="13"/>
        <v>9.7337962962963376E-3</v>
      </c>
    </row>
    <row r="898" spans="1:5" x14ac:dyDescent="0.25">
      <c r="A898">
        <v>0</v>
      </c>
      <c r="B898">
        <v>42929</v>
      </c>
      <c r="C898">
        <v>0.56581018518518522</v>
      </c>
      <c r="D898">
        <v>0.57694444444444448</v>
      </c>
      <c r="E898" s="2">
        <f t="shared" ref="E898:E961" si="14">D898-C898</f>
        <v>1.113425925925926E-2</v>
      </c>
    </row>
    <row r="899" spans="1:5" x14ac:dyDescent="0.25">
      <c r="A899">
        <v>0</v>
      </c>
      <c r="B899">
        <v>42929</v>
      </c>
      <c r="C899">
        <v>0.57054398148148144</v>
      </c>
      <c r="D899">
        <v>0.57388888888888889</v>
      </c>
      <c r="E899" s="2">
        <f t="shared" si="14"/>
        <v>3.3449074074074492E-3</v>
      </c>
    </row>
    <row r="900" spans="1:5" x14ac:dyDescent="0.25">
      <c r="A900">
        <v>0</v>
      </c>
      <c r="B900">
        <v>42929</v>
      </c>
      <c r="C900">
        <v>0.57287037037037036</v>
      </c>
      <c r="D900">
        <v>0.57663194444444443</v>
      </c>
      <c r="E900" s="2">
        <f t="shared" si="14"/>
        <v>3.76157407407407E-3</v>
      </c>
    </row>
    <row r="901" spans="1:5" x14ac:dyDescent="0.25">
      <c r="A901">
        <v>0</v>
      </c>
      <c r="B901">
        <v>42929</v>
      </c>
      <c r="C901">
        <v>0.57331018518518517</v>
      </c>
      <c r="D901">
        <v>0.57547453703703699</v>
      </c>
      <c r="E901" s="2">
        <f t="shared" si="14"/>
        <v>2.1643518518518201E-3</v>
      </c>
    </row>
    <row r="902" spans="1:5" x14ac:dyDescent="0.25">
      <c r="A902">
        <v>0</v>
      </c>
      <c r="B902">
        <v>42929</v>
      </c>
      <c r="C902">
        <v>0.57648148148148148</v>
      </c>
      <c r="D902">
        <v>0.57916666666666672</v>
      </c>
      <c r="E902" s="2">
        <f t="shared" si="14"/>
        <v>2.6851851851852349E-3</v>
      </c>
    </row>
    <row r="903" spans="1:5" x14ac:dyDescent="0.25">
      <c r="A903">
        <v>0</v>
      </c>
      <c r="B903">
        <v>42929</v>
      </c>
      <c r="C903">
        <v>0.58067129629629632</v>
      </c>
      <c r="D903">
        <v>0.59149305555555554</v>
      </c>
      <c r="E903" s="2">
        <f t="shared" si="14"/>
        <v>1.0821759259259212E-2</v>
      </c>
    </row>
    <row r="904" spans="1:5" x14ac:dyDescent="0.25">
      <c r="A904">
        <v>0</v>
      </c>
      <c r="B904">
        <v>42929</v>
      </c>
      <c r="C904">
        <v>0.58644675925925926</v>
      </c>
      <c r="D904">
        <v>0.5978472222222222</v>
      </c>
      <c r="E904" s="2">
        <f t="shared" si="14"/>
        <v>1.1400462962962932E-2</v>
      </c>
    </row>
    <row r="905" spans="1:5" x14ac:dyDescent="0.25">
      <c r="A905">
        <v>0</v>
      </c>
      <c r="B905">
        <v>42929</v>
      </c>
      <c r="C905">
        <v>0.59179398148148143</v>
      </c>
      <c r="D905">
        <v>0.60054398148148147</v>
      </c>
      <c r="E905" s="2">
        <f t="shared" si="14"/>
        <v>8.7500000000000355E-3</v>
      </c>
    </row>
    <row r="906" spans="1:5" x14ac:dyDescent="0.25">
      <c r="A906">
        <v>0</v>
      </c>
      <c r="B906">
        <v>42929</v>
      </c>
      <c r="C906">
        <v>0.59266203703703701</v>
      </c>
      <c r="D906">
        <v>0.59672453703703698</v>
      </c>
      <c r="E906" s="2">
        <f t="shared" si="14"/>
        <v>4.0624999999999689E-3</v>
      </c>
    </row>
    <row r="907" spans="1:5" x14ac:dyDescent="0.25">
      <c r="A907">
        <v>0</v>
      </c>
      <c r="B907">
        <v>42929</v>
      </c>
      <c r="C907">
        <v>0.59437499999999999</v>
      </c>
      <c r="D907">
        <v>0.60349537037037038</v>
      </c>
      <c r="E907" s="2">
        <f t="shared" si="14"/>
        <v>9.1203703703703898E-3</v>
      </c>
    </row>
    <row r="908" spans="1:5" x14ac:dyDescent="0.25">
      <c r="A908">
        <v>0</v>
      </c>
      <c r="B908">
        <v>42929</v>
      </c>
      <c r="C908">
        <v>0.59745370370370365</v>
      </c>
      <c r="D908">
        <v>0.607025462962963</v>
      </c>
      <c r="E908" s="2">
        <f t="shared" si="14"/>
        <v>9.5717592592593492E-3</v>
      </c>
    </row>
    <row r="909" spans="1:5" x14ac:dyDescent="0.25">
      <c r="A909">
        <v>0</v>
      </c>
      <c r="B909">
        <v>42929</v>
      </c>
      <c r="C909">
        <v>0.60008101851851847</v>
      </c>
      <c r="D909">
        <v>0.60182870370370367</v>
      </c>
      <c r="E909" s="2">
        <f t="shared" si="14"/>
        <v>1.7476851851851993E-3</v>
      </c>
    </row>
    <row r="910" spans="1:5" x14ac:dyDescent="0.25">
      <c r="A910">
        <v>0</v>
      </c>
      <c r="B910">
        <v>42929</v>
      </c>
      <c r="C910">
        <v>0.60311342592592587</v>
      </c>
      <c r="D910">
        <v>0.61048611111111106</v>
      </c>
      <c r="E910" s="2">
        <f t="shared" si="14"/>
        <v>7.3726851851851904E-3</v>
      </c>
    </row>
    <row r="911" spans="1:5" x14ac:dyDescent="0.25">
      <c r="A911">
        <v>0</v>
      </c>
      <c r="B911">
        <v>42929</v>
      </c>
      <c r="C911">
        <v>0.60773148148148148</v>
      </c>
      <c r="D911">
        <v>0.60799768518518515</v>
      </c>
      <c r="E911" s="2">
        <f t="shared" si="14"/>
        <v>2.662037037036713E-4</v>
      </c>
    </row>
    <row r="912" spans="1:5" x14ac:dyDescent="0.25">
      <c r="A912">
        <v>0</v>
      </c>
      <c r="B912">
        <v>42929</v>
      </c>
      <c r="C912">
        <v>0.61346064814814816</v>
      </c>
      <c r="D912">
        <v>0.62468749999999995</v>
      </c>
      <c r="E912" s="2">
        <f t="shared" si="14"/>
        <v>1.1226851851851793E-2</v>
      </c>
    </row>
    <row r="913" spans="1:5" x14ac:dyDescent="0.25">
      <c r="A913">
        <v>0</v>
      </c>
      <c r="B913">
        <v>42929</v>
      </c>
      <c r="C913">
        <v>0.61614583333333328</v>
      </c>
      <c r="D913">
        <v>0.62736111111111115</v>
      </c>
      <c r="E913" s="2">
        <f t="shared" si="14"/>
        <v>1.1215277777777866E-2</v>
      </c>
    </row>
    <row r="914" spans="1:5" x14ac:dyDescent="0.25">
      <c r="A914">
        <v>0</v>
      </c>
      <c r="B914">
        <v>42929</v>
      </c>
      <c r="C914">
        <v>0.61686342592592591</v>
      </c>
      <c r="D914">
        <v>0.61760416666666662</v>
      </c>
      <c r="E914" s="2">
        <f t="shared" si="14"/>
        <v>7.407407407407085E-4</v>
      </c>
    </row>
    <row r="915" spans="1:5" x14ac:dyDescent="0.25">
      <c r="A915">
        <v>0</v>
      </c>
      <c r="B915">
        <v>42929</v>
      </c>
      <c r="C915">
        <v>0.62046296296296299</v>
      </c>
      <c r="D915">
        <v>0.62071759259259263</v>
      </c>
      <c r="E915" s="2">
        <f t="shared" si="14"/>
        <v>2.5462962962963243E-4</v>
      </c>
    </row>
    <row r="916" spans="1:5" x14ac:dyDescent="0.25">
      <c r="A916">
        <v>0</v>
      </c>
      <c r="B916">
        <v>42929</v>
      </c>
      <c r="C916">
        <v>0.62178240740740742</v>
      </c>
      <c r="D916">
        <v>0.62540509259259258</v>
      </c>
      <c r="E916" s="2">
        <f t="shared" si="14"/>
        <v>3.6226851851851594E-3</v>
      </c>
    </row>
    <row r="917" spans="1:5" x14ac:dyDescent="0.25">
      <c r="A917">
        <v>0</v>
      </c>
      <c r="B917">
        <v>42929</v>
      </c>
      <c r="C917">
        <v>0.62749999999999995</v>
      </c>
      <c r="D917">
        <v>0.63146990740740738</v>
      </c>
      <c r="E917" s="2">
        <f t="shared" si="14"/>
        <v>3.9699074074074359E-3</v>
      </c>
    </row>
    <row r="918" spans="1:5" x14ac:dyDescent="0.25">
      <c r="A918">
        <v>0</v>
      </c>
      <c r="B918">
        <v>42930</v>
      </c>
      <c r="C918">
        <v>0.33658564814814818</v>
      </c>
      <c r="D918">
        <v>0.34384259259259259</v>
      </c>
      <c r="E918" s="2">
        <f t="shared" si="14"/>
        <v>7.2569444444444131E-3</v>
      </c>
    </row>
    <row r="919" spans="1:5" x14ac:dyDescent="0.25">
      <c r="A919">
        <v>0</v>
      </c>
      <c r="B919">
        <v>42930</v>
      </c>
      <c r="C919">
        <v>0.3369212962962963</v>
      </c>
      <c r="D919">
        <v>0.34468749999999998</v>
      </c>
      <c r="E919" s="2">
        <f t="shared" si="14"/>
        <v>7.766203703703678E-3</v>
      </c>
    </row>
    <row r="920" spans="1:5" x14ac:dyDescent="0.25">
      <c r="A920">
        <v>0</v>
      </c>
      <c r="B920">
        <v>42930</v>
      </c>
      <c r="C920">
        <v>0.33802083333333333</v>
      </c>
      <c r="D920">
        <v>0.34233796296296298</v>
      </c>
      <c r="E920" s="2">
        <f t="shared" si="14"/>
        <v>4.3171296296296569E-3</v>
      </c>
    </row>
    <row r="921" spans="1:5" x14ac:dyDescent="0.25">
      <c r="A921">
        <v>0</v>
      </c>
      <c r="B921">
        <v>42930</v>
      </c>
      <c r="C921">
        <v>0.34062500000000001</v>
      </c>
      <c r="D921">
        <v>0.34333333333333332</v>
      </c>
      <c r="E921" s="2">
        <f t="shared" si="14"/>
        <v>2.7083333333333126E-3</v>
      </c>
    </row>
    <row r="922" spans="1:5" x14ac:dyDescent="0.25">
      <c r="A922">
        <v>0</v>
      </c>
      <c r="B922">
        <v>42930</v>
      </c>
      <c r="C922">
        <v>0.34262731481481479</v>
      </c>
      <c r="D922">
        <v>0.34824074074074074</v>
      </c>
      <c r="E922" s="2">
        <f t="shared" si="14"/>
        <v>5.6134259259259522E-3</v>
      </c>
    </row>
    <row r="923" spans="1:5" x14ac:dyDescent="0.25">
      <c r="A923">
        <v>0</v>
      </c>
      <c r="B923">
        <v>42930</v>
      </c>
      <c r="C923">
        <v>0.34431712962962963</v>
      </c>
      <c r="D923">
        <v>0.34605324074074073</v>
      </c>
      <c r="E923" s="2">
        <f t="shared" si="14"/>
        <v>1.7361111111111049E-3</v>
      </c>
    </row>
    <row r="924" spans="1:5" x14ac:dyDescent="0.25">
      <c r="A924">
        <v>0</v>
      </c>
      <c r="B924">
        <v>42930</v>
      </c>
      <c r="C924">
        <v>0.34528935185185183</v>
      </c>
      <c r="D924">
        <v>0.3541435185185185</v>
      </c>
      <c r="E924" s="2">
        <f t="shared" si="14"/>
        <v>8.854166666666663E-3</v>
      </c>
    </row>
    <row r="925" spans="1:5" x14ac:dyDescent="0.25">
      <c r="A925">
        <v>0</v>
      </c>
      <c r="B925">
        <v>42930</v>
      </c>
      <c r="C925">
        <v>0.34848379629629628</v>
      </c>
      <c r="D925">
        <v>0.35927083333333332</v>
      </c>
      <c r="E925" s="2">
        <f t="shared" si="14"/>
        <v>1.0787037037037039E-2</v>
      </c>
    </row>
    <row r="926" spans="1:5" x14ac:dyDescent="0.25">
      <c r="A926">
        <v>0</v>
      </c>
      <c r="B926">
        <v>42930</v>
      </c>
      <c r="C926">
        <v>0.35270833333333335</v>
      </c>
      <c r="D926">
        <v>0.36254629629629631</v>
      </c>
      <c r="E926" s="2">
        <f t="shared" si="14"/>
        <v>9.837962962962965E-3</v>
      </c>
    </row>
    <row r="927" spans="1:5" x14ac:dyDescent="0.25">
      <c r="A927">
        <v>0</v>
      </c>
      <c r="B927">
        <v>42930</v>
      </c>
      <c r="C927">
        <v>0.35497685185185185</v>
      </c>
      <c r="D927">
        <v>0.36493055555555554</v>
      </c>
      <c r="E927" s="2">
        <f t="shared" si="14"/>
        <v>9.9537037037036868E-3</v>
      </c>
    </row>
    <row r="928" spans="1:5" x14ac:dyDescent="0.25">
      <c r="A928">
        <v>0</v>
      </c>
      <c r="B928">
        <v>42930</v>
      </c>
      <c r="C928">
        <v>0.35699074074074072</v>
      </c>
      <c r="D928">
        <v>0.36554398148148148</v>
      </c>
      <c r="E928" s="2">
        <f t="shared" si="14"/>
        <v>8.553240740740764E-3</v>
      </c>
    </row>
    <row r="929" spans="1:5" x14ac:dyDescent="0.25">
      <c r="A929">
        <v>0</v>
      </c>
      <c r="B929">
        <v>42930</v>
      </c>
      <c r="C929">
        <v>0.36056712962962961</v>
      </c>
      <c r="D929">
        <v>0.36929398148148146</v>
      </c>
      <c r="E929" s="2">
        <f t="shared" si="14"/>
        <v>8.7268518518518468E-3</v>
      </c>
    </row>
    <row r="930" spans="1:5" x14ac:dyDescent="0.25">
      <c r="A930">
        <v>0</v>
      </c>
      <c r="B930">
        <v>42930</v>
      </c>
      <c r="C930">
        <v>0.36212962962962963</v>
      </c>
      <c r="D930">
        <v>0.36342592592592593</v>
      </c>
      <c r="E930" s="2">
        <f t="shared" si="14"/>
        <v>1.2962962962962954E-3</v>
      </c>
    </row>
    <row r="931" spans="1:5" x14ac:dyDescent="0.25">
      <c r="A931">
        <v>0</v>
      </c>
      <c r="B931">
        <v>42930</v>
      </c>
      <c r="C931">
        <v>0.36516203703703703</v>
      </c>
      <c r="D931">
        <v>0.37596064814814817</v>
      </c>
      <c r="E931" s="2">
        <f t="shared" si="14"/>
        <v>1.0798611111111134E-2</v>
      </c>
    </row>
    <row r="932" spans="1:5" x14ac:dyDescent="0.25">
      <c r="A932">
        <v>0</v>
      </c>
      <c r="B932">
        <v>42930</v>
      </c>
      <c r="C932">
        <v>0.36922453703703706</v>
      </c>
      <c r="D932">
        <v>0.36994212962962963</v>
      </c>
      <c r="E932" s="2">
        <f t="shared" si="14"/>
        <v>7.1759259259257524E-4</v>
      </c>
    </row>
    <row r="933" spans="1:5" x14ac:dyDescent="0.25">
      <c r="A933">
        <v>0</v>
      </c>
      <c r="B933">
        <v>42930</v>
      </c>
      <c r="C933">
        <v>0.3712037037037037</v>
      </c>
      <c r="D933">
        <v>0.38064814814814812</v>
      </c>
      <c r="E933" s="2">
        <f t="shared" si="14"/>
        <v>9.444444444444422E-3</v>
      </c>
    </row>
    <row r="934" spans="1:5" x14ac:dyDescent="0.25">
      <c r="A934">
        <v>0</v>
      </c>
      <c r="B934">
        <v>42930</v>
      </c>
      <c r="C934">
        <v>0.37480324074074073</v>
      </c>
      <c r="D934">
        <v>0.38201388888888888</v>
      </c>
      <c r="E934" s="2">
        <f t="shared" si="14"/>
        <v>7.2106481481481466E-3</v>
      </c>
    </row>
    <row r="935" spans="1:5" x14ac:dyDescent="0.25">
      <c r="A935">
        <v>0</v>
      </c>
      <c r="B935">
        <v>42930</v>
      </c>
      <c r="C935">
        <v>0.37506944444444446</v>
      </c>
      <c r="D935">
        <v>0.37829861111111113</v>
      </c>
      <c r="E935" s="2">
        <f t="shared" si="14"/>
        <v>3.2291666666666718E-3</v>
      </c>
    </row>
    <row r="936" spans="1:5" x14ac:dyDescent="0.25">
      <c r="A936">
        <v>0</v>
      </c>
      <c r="B936">
        <v>42930</v>
      </c>
      <c r="C936">
        <v>0.37942129629629628</v>
      </c>
      <c r="D936">
        <v>0.38388888888888889</v>
      </c>
      <c r="E936" s="2">
        <f t="shared" si="14"/>
        <v>4.4675925925926063E-3</v>
      </c>
    </row>
    <row r="937" spans="1:5" x14ac:dyDescent="0.25">
      <c r="A937">
        <v>0</v>
      </c>
      <c r="B937">
        <v>42930</v>
      </c>
      <c r="C937">
        <v>0.38447916666666665</v>
      </c>
      <c r="D937">
        <v>0.39068287037037036</v>
      </c>
      <c r="E937" s="2">
        <f t="shared" si="14"/>
        <v>6.2037037037037113E-3</v>
      </c>
    </row>
    <row r="938" spans="1:5" x14ac:dyDescent="0.25">
      <c r="A938">
        <v>0</v>
      </c>
      <c r="B938">
        <v>42930</v>
      </c>
      <c r="C938">
        <v>0.38571759259259258</v>
      </c>
      <c r="D938">
        <v>0.39630787037037035</v>
      </c>
      <c r="E938" s="2">
        <f t="shared" si="14"/>
        <v>1.0590277777777768E-2</v>
      </c>
    </row>
    <row r="939" spans="1:5" x14ac:dyDescent="0.25">
      <c r="A939">
        <v>0</v>
      </c>
      <c r="B939">
        <v>42930</v>
      </c>
      <c r="C939">
        <v>0.38942129629629629</v>
      </c>
      <c r="D939">
        <v>0.39034722222222223</v>
      </c>
      <c r="E939" s="2">
        <f t="shared" si="14"/>
        <v>9.2592592592594114E-4</v>
      </c>
    </row>
    <row r="940" spans="1:5" x14ac:dyDescent="0.25">
      <c r="A940">
        <v>0</v>
      </c>
      <c r="B940">
        <v>42930</v>
      </c>
      <c r="C940">
        <v>0.39506944444444442</v>
      </c>
      <c r="D940">
        <v>0.40261574074074075</v>
      </c>
      <c r="E940" s="2">
        <f t="shared" si="14"/>
        <v>7.5462962962963287E-3</v>
      </c>
    </row>
    <row r="941" spans="1:5" x14ac:dyDescent="0.25">
      <c r="A941">
        <v>0</v>
      </c>
      <c r="B941">
        <v>42930</v>
      </c>
      <c r="C941">
        <v>0.4001736111111111</v>
      </c>
      <c r="D941">
        <v>0.40182870370370372</v>
      </c>
      <c r="E941" s="2">
        <f t="shared" si="14"/>
        <v>1.6550925925926108E-3</v>
      </c>
    </row>
    <row r="942" spans="1:5" x14ac:dyDescent="0.25">
      <c r="A942">
        <v>0</v>
      </c>
      <c r="B942">
        <v>42930</v>
      </c>
      <c r="C942">
        <v>0.40337962962962964</v>
      </c>
      <c r="D942">
        <v>0.41137731481481482</v>
      </c>
      <c r="E942" s="2">
        <f t="shared" si="14"/>
        <v>7.9976851851851771E-3</v>
      </c>
    </row>
    <row r="943" spans="1:5" x14ac:dyDescent="0.25">
      <c r="A943">
        <v>0</v>
      </c>
      <c r="B943">
        <v>42930</v>
      </c>
      <c r="C943">
        <v>0.40635416666666668</v>
      </c>
      <c r="D943">
        <v>0.40642361111111114</v>
      </c>
      <c r="E943" s="2">
        <f t="shared" si="14"/>
        <v>6.94444444444553E-5</v>
      </c>
    </row>
    <row r="944" spans="1:5" x14ac:dyDescent="0.25">
      <c r="A944">
        <v>0</v>
      </c>
      <c r="B944">
        <v>42930</v>
      </c>
      <c r="C944">
        <v>0.4098148148148148</v>
      </c>
      <c r="D944">
        <v>0.41626157407407405</v>
      </c>
      <c r="E944" s="2">
        <f t="shared" si="14"/>
        <v>6.4467592592592493E-3</v>
      </c>
    </row>
    <row r="945" spans="1:5" x14ac:dyDescent="0.25">
      <c r="A945">
        <v>0</v>
      </c>
      <c r="B945">
        <v>42930</v>
      </c>
      <c r="C945">
        <v>0.41068287037037038</v>
      </c>
      <c r="D945">
        <v>0.41288194444444443</v>
      </c>
      <c r="E945" s="2">
        <f t="shared" si="14"/>
        <v>2.1990740740740478E-3</v>
      </c>
    </row>
    <row r="946" spans="1:5" x14ac:dyDescent="0.25">
      <c r="A946">
        <v>0</v>
      </c>
      <c r="B946">
        <v>42930</v>
      </c>
      <c r="C946">
        <v>0.41601851851851851</v>
      </c>
      <c r="D946">
        <v>0.41792824074074075</v>
      </c>
      <c r="E946" s="2">
        <f t="shared" si="14"/>
        <v>1.9097222222222432E-3</v>
      </c>
    </row>
    <row r="947" spans="1:5" x14ac:dyDescent="0.25">
      <c r="A947">
        <v>0</v>
      </c>
      <c r="B947">
        <v>42930</v>
      </c>
      <c r="C947">
        <v>0.41616898148148146</v>
      </c>
      <c r="D947">
        <v>0.42019675925925926</v>
      </c>
      <c r="E947" s="2">
        <f t="shared" si="14"/>
        <v>4.0277777777777968E-3</v>
      </c>
    </row>
    <row r="948" spans="1:5" x14ac:dyDescent="0.25">
      <c r="A948">
        <v>0</v>
      </c>
      <c r="B948">
        <v>42930</v>
      </c>
      <c r="C948">
        <v>0.41781249999999998</v>
      </c>
      <c r="D948">
        <v>0.42886574074074074</v>
      </c>
      <c r="E948" s="2">
        <f t="shared" si="14"/>
        <v>1.1053240740740766E-2</v>
      </c>
    </row>
    <row r="949" spans="1:5" x14ac:dyDescent="0.25">
      <c r="A949">
        <v>0</v>
      </c>
      <c r="B949">
        <v>42930</v>
      </c>
      <c r="C949">
        <v>0.42238425925925926</v>
      </c>
      <c r="D949">
        <v>0.42388888888888887</v>
      </c>
      <c r="E949" s="2">
        <f t="shared" si="14"/>
        <v>1.5046296296296058E-3</v>
      </c>
    </row>
    <row r="950" spans="1:5" x14ac:dyDescent="0.25">
      <c r="A950">
        <v>0</v>
      </c>
      <c r="B950">
        <v>42930</v>
      </c>
      <c r="C950">
        <v>0.42584490740740738</v>
      </c>
      <c r="D950">
        <v>0.43512731481481481</v>
      </c>
      <c r="E950" s="2">
        <f t="shared" si="14"/>
        <v>9.2824074074074336E-3</v>
      </c>
    </row>
    <row r="951" spans="1:5" x14ac:dyDescent="0.25">
      <c r="A951">
        <v>0</v>
      </c>
      <c r="B951">
        <v>42930</v>
      </c>
      <c r="C951">
        <v>0.43115740740740743</v>
      </c>
      <c r="D951">
        <v>0.43990740740740741</v>
      </c>
      <c r="E951" s="2">
        <f t="shared" si="14"/>
        <v>8.74999999999998E-3</v>
      </c>
    </row>
    <row r="952" spans="1:5" x14ac:dyDescent="0.25">
      <c r="A952">
        <v>0</v>
      </c>
      <c r="B952">
        <v>42930</v>
      </c>
      <c r="C952">
        <v>0.43362268518518521</v>
      </c>
      <c r="D952">
        <v>0.44447916666666665</v>
      </c>
      <c r="E952" s="2">
        <f t="shared" si="14"/>
        <v>1.0856481481481439E-2</v>
      </c>
    </row>
    <row r="953" spans="1:5" x14ac:dyDescent="0.25">
      <c r="A953">
        <v>0</v>
      </c>
      <c r="B953">
        <v>42930</v>
      </c>
      <c r="C953">
        <v>0.43517361111111114</v>
      </c>
      <c r="D953">
        <v>0.4466087962962963</v>
      </c>
      <c r="E953" s="2">
        <f t="shared" si="14"/>
        <v>1.1435185185185159E-2</v>
      </c>
    </row>
    <row r="954" spans="1:5" x14ac:dyDescent="0.25">
      <c r="A954">
        <v>0</v>
      </c>
      <c r="B954">
        <v>42930</v>
      </c>
      <c r="C954">
        <v>0.43956018518518519</v>
      </c>
      <c r="D954">
        <v>0.44253472222222223</v>
      </c>
      <c r="E954" s="2">
        <f t="shared" si="14"/>
        <v>2.9745370370370394E-3</v>
      </c>
    </row>
    <row r="955" spans="1:5" x14ac:dyDescent="0.25">
      <c r="A955">
        <v>0</v>
      </c>
      <c r="B955">
        <v>42930</v>
      </c>
      <c r="C955">
        <v>0.44060185185185186</v>
      </c>
      <c r="D955">
        <v>0.44655092592592593</v>
      </c>
      <c r="E955" s="2">
        <f t="shared" si="14"/>
        <v>5.9490740740740788E-3</v>
      </c>
    </row>
    <row r="956" spans="1:5" x14ac:dyDescent="0.25">
      <c r="A956">
        <v>0</v>
      </c>
      <c r="B956">
        <v>42930</v>
      </c>
      <c r="C956">
        <v>0.44072916666666667</v>
      </c>
      <c r="D956">
        <v>0.4496412037037037</v>
      </c>
      <c r="E956" s="2">
        <f t="shared" si="14"/>
        <v>8.9120370370370239E-3</v>
      </c>
    </row>
    <row r="957" spans="1:5" x14ac:dyDescent="0.25">
      <c r="A957">
        <v>0</v>
      </c>
      <c r="B957">
        <v>42930</v>
      </c>
      <c r="C957">
        <v>0.44295138888888891</v>
      </c>
      <c r="D957">
        <v>0.44545138888888891</v>
      </c>
      <c r="E957" s="2">
        <f t="shared" si="14"/>
        <v>2.5000000000000022E-3</v>
      </c>
    </row>
    <row r="958" spans="1:5" x14ac:dyDescent="0.25">
      <c r="A958">
        <v>0</v>
      </c>
      <c r="B958">
        <v>42930</v>
      </c>
      <c r="C958">
        <v>0.4450925925925926</v>
      </c>
      <c r="D958">
        <v>0.44888888888888889</v>
      </c>
      <c r="E958" s="2">
        <f t="shared" si="14"/>
        <v>3.7962962962962976E-3</v>
      </c>
    </row>
    <row r="959" spans="1:5" x14ac:dyDescent="0.25">
      <c r="A959">
        <v>0</v>
      </c>
      <c r="B959">
        <v>42930</v>
      </c>
      <c r="C959">
        <v>0.44538194444444446</v>
      </c>
      <c r="D959">
        <v>0.4525925925925926</v>
      </c>
      <c r="E959" s="2">
        <f t="shared" si="14"/>
        <v>7.2106481481481466E-3</v>
      </c>
    </row>
    <row r="960" spans="1:5" x14ac:dyDescent="0.25">
      <c r="A960">
        <v>0</v>
      </c>
      <c r="B960">
        <v>42930</v>
      </c>
      <c r="C960">
        <v>0.44593749999999999</v>
      </c>
      <c r="D960">
        <v>0.44957175925925924</v>
      </c>
      <c r="E960" s="2">
        <f t="shared" si="14"/>
        <v>3.6342592592592537E-3</v>
      </c>
    </row>
    <row r="961" spans="1:5" x14ac:dyDescent="0.25">
      <c r="A961">
        <v>0</v>
      </c>
      <c r="B961">
        <v>42930</v>
      </c>
      <c r="C961">
        <v>0.4478935185185185</v>
      </c>
      <c r="D961">
        <v>0.44805555555555554</v>
      </c>
      <c r="E961" s="2">
        <f t="shared" si="14"/>
        <v>1.6203703703704386E-4</v>
      </c>
    </row>
    <row r="962" spans="1:5" x14ac:dyDescent="0.25">
      <c r="A962">
        <v>0</v>
      </c>
      <c r="B962">
        <v>42930</v>
      </c>
      <c r="C962">
        <v>0.44916666666666666</v>
      </c>
      <c r="D962">
        <v>0.46023148148148146</v>
      </c>
      <c r="E962" s="2">
        <f t="shared" ref="E962:E1025" si="15">D962-C962</f>
        <v>1.1064814814814805E-2</v>
      </c>
    </row>
    <row r="963" spans="1:5" x14ac:dyDescent="0.25">
      <c r="A963">
        <v>0</v>
      </c>
      <c r="B963">
        <v>42930</v>
      </c>
      <c r="C963">
        <v>0.45233796296296297</v>
      </c>
      <c r="D963">
        <v>0.45649305555555558</v>
      </c>
      <c r="E963" s="2">
        <f t="shared" si="15"/>
        <v>4.155092592592613E-3</v>
      </c>
    </row>
    <row r="964" spans="1:5" x14ac:dyDescent="0.25">
      <c r="A964">
        <v>0</v>
      </c>
      <c r="B964">
        <v>42930</v>
      </c>
      <c r="C964">
        <v>0.45667824074074076</v>
      </c>
      <c r="D964">
        <v>0.45679398148148148</v>
      </c>
      <c r="E964" s="2">
        <f t="shared" si="15"/>
        <v>1.1574074074072183E-4</v>
      </c>
    </row>
    <row r="965" spans="1:5" x14ac:dyDescent="0.25">
      <c r="A965">
        <v>0</v>
      </c>
      <c r="B965">
        <v>42930</v>
      </c>
      <c r="C965">
        <v>0.45930555555555558</v>
      </c>
      <c r="D965">
        <v>0.4634375</v>
      </c>
      <c r="E965" s="2">
        <f t="shared" si="15"/>
        <v>4.1319444444444242E-3</v>
      </c>
    </row>
    <row r="966" spans="1:5" x14ac:dyDescent="0.25">
      <c r="A966">
        <v>0</v>
      </c>
      <c r="B966">
        <v>42930</v>
      </c>
      <c r="C966">
        <v>0.45950231481481479</v>
      </c>
      <c r="D966">
        <v>0.46177083333333335</v>
      </c>
      <c r="E966" s="2">
        <f t="shared" si="15"/>
        <v>2.2685185185185586E-3</v>
      </c>
    </row>
    <row r="967" spans="1:5" x14ac:dyDescent="0.25">
      <c r="A967">
        <v>0</v>
      </c>
      <c r="B967">
        <v>42930</v>
      </c>
      <c r="C967">
        <v>0.46333333333333332</v>
      </c>
      <c r="D967">
        <v>0.46409722222222222</v>
      </c>
      <c r="E967" s="2">
        <f t="shared" si="15"/>
        <v>7.6388888888889728E-4</v>
      </c>
    </row>
    <row r="968" spans="1:5" x14ac:dyDescent="0.25">
      <c r="A968">
        <v>0</v>
      </c>
      <c r="B968">
        <v>42930</v>
      </c>
      <c r="C968">
        <v>0.46587962962962964</v>
      </c>
      <c r="D968">
        <v>0.46755787037037039</v>
      </c>
      <c r="E968" s="2">
        <f t="shared" si="15"/>
        <v>1.678240740740744E-3</v>
      </c>
    </row>
    <row r="969" spans="1:5" x14ac:dyDescent="0.25">
      <c r="A969">
        <v>0</v>
      </c>
      <c r="B969">
        <v>42930</v>
      </c>
      <c r="C969">
        <v>0.46988425925925925</v>
      </c>
      <c r="D969">
        <v>0.47721064814814818</v>
      </c>
      <c r="E969" s="2">
        <f t="shared" si="15"/>
        <v>7.3263888888889239E-3</v>
      </c>
    </row>
    <row r="970" spans="1:5" x14ac:dyDescent="0.25">
      <c r="A970">
        <v>0</v>
      </c>
      <c r="B970">
        <v>42930</v>
      </c>
      <c r="C970">
        <v>0.47028935185185183</v>
      </c>
      <c r="D970">
        <v>0.47052083333333333</v>
      </c>
      <c r="E970" s="2">
        <f t="shared" si="15"/>
        <v>2.3148148148149916E-4</v>
      </c>
    </row>
    <row r="971" spans="1:5" x14ac:dyDescent="0.25">
      <c r="A971">
        <v>0</v>
      </c>
      <c r="B971">
        <v>42930</v>
      </c>
      <c r="C971">
        <v>0.4742824074074074</v>
      </c>
      <c r="D971">
        <v>0.48538194444444444</v>
      </c>
      <c r="E971" s="2">
        <f t="shared" si="15"/>
        <v>1.1099537037037033E-2</v>
      </c>
    </row>
    <row r="972" spans="1:5" x14ac:dyDescent="0.25">
      <c r="A972">
        <v>0</v>
      </c>
      <c r="B972">
        <v>42930</v>
      </c>
      <c r="C972">
        <v>0.47594907407407405</v>
      </c>
      <c r="D972">
        <v>0.47641203703703705</v>
      </c>
      <c r="E972" s="2">
        <f t="shared" si="15"/>
        <v>4.6296296296299833E-4</v>
      </c>
    </row>
    <row r="973" spans="1:5" x14ac:dyDescent="0.25">
      <c r="A973">
        <v>0</v>
      </c>
      <c r="B973">
        <v>42930</v>
      </c>
      <c r="C973">
        <v>0.47799768518518521</v>
      </c>
      <c r="D973">
        <v>0.47905092592592591</v>
      </c>
      <c r="E973" s="2">
        <f t="shared" si="15"/>
        <v>1.0532407407407018E-3</v>
      </c>
    </row>
    <row r="974" spans="1:5" x14ac:dyDescent="0.25">
      <c r="A974">
        <v>0</v>
      </c>
      <c r="B974">
        <v>42930</v>
      </c>
      <c r="C974">
        <v>0.47825231481481484</v>
      </c>
      <c r="D974">
        <v>0.48502314814814818</v>
      </c>
      <c r="E974" s="2">
        <f t="shared" si="15"/>
        <v>6.770833333333337E-3</v>
      </c>
    </row>
    <row r="975" spans="1:5" x14ac:dyDescent="0.25">
      <c r="A975">
        <v>0</v>
      </c>
      <c r="B975">
        <v>42930</v>
      </c>
      <c r="C975">
        <v>0.48138888888888887</v>
      </c>
      <c r="D975">
        <v>0.48574074074074075</v>
      </c>
      <c r="E975" s="2">
        <f t="shared" si="15"/>
        <v>4.3518518518518845E-3</v>
      </c>
    </row>
    <row r="976" spans="1:5" x14ac:dyDescent="0.25">
      <c r="A976">
        <v>0</v>
      </c>
      <c r="B976">
        <v>42930</v>
      </c>
      <c r="C976">
        <v>0.48422453703703705</v>
      </c>
      <c r="D976">
        <v>0.48562499999999997</v>
      </c>
      <c r="E976" s="2">
        <f t="shared" si="15"/>
        <v>1.4004629629629228E-3</v>
      </c>
    </row>
    <row r="977" spans="1:5" x14ac:dyDescent="0.25">
      <c r="A977">
        <v>0</v>
      </c>
      <c r="B977">
        <v>42930</v>
      </c>
      <c r="C977">
        <v>0.48579861111111111</v>
      </c>
      <c r="D977">
        <v>0.49395833333333333</v>
      </c>
      <c r="E977" s="2">
        <f t="shared" si="15"/>
        <v>8.159722222222221E-3</v>
      </c>
    </row>
    <row r="978" spans="1:5" x14ac:dyDescent="0.25">
      <c r="A978">
        <v>0</v>
      </c>
      <c r="B978">
        <v>42930</v>
      </c>
      <c r="C978">
        <v>0.48832175925925925</v>
      </c>
      <c r="D978">
        <v>0.49005787037037035</v>
      </c>
      <c r="E978" s="2">
        <f t="shared" si="15"/>
        <v>1.7361111111111049E-3</v>
      </c>
    </row>
    <row r="979" spans="1:5" x14ac:dyDescent="0.25">
      <c r="A979">
        <v>0</v>
      </c>
      <c r="B979">
        <v>42930</v>
      </c>
      <c r="C979">
        <v>0.49302083333333335</v>
      </c>
      <c r="D979">
        <v>0.50244212962962964</v>
      </c>
      <c r="E979" s="2">
        <f t="shared" si="15"/>
        <v>9.4212962962962887E-3</v>
      </c>
    </row>
    <row r="980" spans="1:5" x14ac:dyDescent="0.25">
      <c r="A980">
        <v>0</v>
      </c>
      <c r="B980">
        <v>42930</v>
      </c>
      <c r="C980">
        <v>0.4959722222222222</v>
      </c>
      <c r="D980">
        <v>0.50451388888888893</v>
      </c>
      <c r="E980" s="2">
        <f t="shared" si="15"/>
        <v>8.5416666666667251E-3</v>
      </c>
    </row>
    <row r="981" spans="1:5" x14ac:dyDescent="0.25">
      <c r="A981">
        <v>0</v>
      </c>
      <c r="B981">
        <v>42930</v>
      </c>
      <c r="C981">
        <v>0.50378472222222226</v>
      </c>
      <c r="D981">
        <v>0.51043981481481482</v>
      </c>
      <c r="E981" s="2">
        <f t="shared" si="15"/>
        <v>6.6550925925925597E-3</v>
      </c>
    </row>
    <row r="982" spans="1:5" x14ac:dyDescent="0.25">
      <c r="A982">
        <v>0</v>
      </c>
      <c r="B982">
        <v>42930</v>
      </c>
      <c r="C982">
        <v>0.50812500000000005</v>
      </c>
      <c r="D982">
        <v>0.50862268518518516</v>
      </c>
      <c r="E982" s="2">
        <f t="shared" si="15"/>
        <v>4.9768518518511495E-4</v>
      </c>
    </row>
    <row r="983" spans="1:5" x14ac:dyDescent="0.25">
      <c r="A983">
        <v>0</v>
      </c>
      <c r="B983">
        <v>42930</v>
      </c>
      <c r="C983">
        <v>0.51179398148148147</v>
      </c>
      <c r="D983">
        <v>0.51231481481481478</v>
      </c>
      <c r="E983" s="2">
        <f t="shared" si="15"/>
        <v>5.2083333333330373E-4</v>
      </c>
    </row>
    <row r="984" spans="1:5" x14ac:dyDescent="0.25">
      <c r="A984">
        <v>0</v>
      </c>
      <c r="B984">
        <v>42930</v>
      </c>
      <c r="C984">
        <v>0.51645833333333335</v>
      </c>
      <c r="D984">
        <v>0.51701388888888888</v>
      </c>
      <c r="E984" s="2">
        <f t="shared" si="15"/>
        <v>5.5555555555553138E-4</v>
      </c>
    </row>
    <row r="985" spans="1:5" x14ac:dyDescent="0.25">
      <c r="A985">
        <v>0</v>
      </c>
      <c r="B985">
        <v>42930</v>
      </c>
      <c r="C985">
        <v>0.52056712962962959</v>
      </c>
      <c r="D985">
        <v>0.52818287037037037</v>
      </c>
      <c r="E985" s="2">
        <f t="shared" si="15"/>
        <v>7.615740740740784E-3</v>
      </c>
    </row>
    <row r="986" spans="1:5" x14ac:dyDescent="0.25">
      <c r="A986">
        <v>0</v>
      </c>
      <c r="B986">
        <v>42930</v>
      </c>
      <c r="C986">
        <v>0.52427083333333335</v>
      </c>
      <c r="D986">
        <v>0.52818287037037037</v>
      </c>
      <c r="E986" s="2">
        <f t="shared" si="15"/>
        <v>3.9120370370370194E-3</v>
      </c>
    </row>
    <row r="987" spans="1:5" x14ac:dyDescent="0.25">
      <c r="A987">
        <v>0</v>
      </c>
      <c r="B987">
        <v>42930</v>
      </c>
      <c r="C987">
        <v>0.52953703703703703</v>
      </c>
      <c r="D987">
        <v>0.54078703703703701</v>
      </c>
      <c r="E987" s="2">
        <f t="shared" si="15"/>
        <v>1.1249999999999982E-2</v>
      </c>
    </row>
    <row r="988" spans="1:5" x14ac:dyDescent="0.25">
      <c r="A988">
        <v>0</v>
      </c>
      <c r="B988">
        <v>42930</v>
      </c>
      <c r="C988">
        <v>0.53237268518518521</v>
      </c>
      <c r="D988">
        <v>0.53413194444444445</v>
      </c>
      <c r="E988" s="2">
        <f t="shared" si="15"/>
        <v>1.7592592592592382E-3</v>
      </c>
    </row>
    <row r="989" spans="1:5" x14ac:dyDescent="0.25">
      <c r="A989">
        <v>0</v>
      </c>
      <c r="B989">
        <v>42930</v>
      </c>
      <c r="C989">
        <v>0.53268518518518515</v>
      </c>
      <c r="D989">
        <v>0.54135416666666669</v>
      </c>
      <c r="E989" s="2">
        <f t="shared" si="15"/>
        <v>8.6689814814815414E-3</v>
      </c>
    </row>
    <row r="990" spans="1:5" x14ac:dyDescent="0.25">
      <c r="A990">
        <v>0</v>
      </c>
      <c r="B990">
        <v>42930</v>
      </c>
      <c r="C990">
        <v>0.53740740740740744</v>
      </c>
      <c r="D990">
        <v>0.54893518518518514</v>
      </c>
      <c r="E990" s="2">
        <f t="shared" si="15"/>
        <v>1.1527777777777692E-2</v>
      </c>
    </row>
    <row r="991" spans="1:5" x14ac:dyDescent="0.25">
      <c r="A991">
        <v>0</v>
      </c>
      <c r="B991">
        <v>42930</v>
      </c>
      <c r="C991">
        <v>0.53768518518518515</v>
      </c>
      <c r="D991">
        <v>0.53770833333333334</v>
      </c>
      <c r="E991" s="2">
        <f t="shared" si="15"/>
        <v>2.3148148148188774E-5</v>
      </c>
    </row>
    <row r="992" spans="1:5" x14ac:dyDescent="0.25">
      <c r="A992">
        <v>0</v>
      </c>
      <c r="B992">
        <v>42930</v>
      </c>
      <c r="C992">
        <v>0.53909722222222223</v>
      </c>
      <c r="D992">
        <v>0.54540509259259262</v>
      </c>
      <c r="E992" s="2">
        <f t="shared" si="15"/>
        <v>6.3078703703703942E-3</v>
      </c>
    </row>
    <row r="993" spans="1:5" x14ac:dyDescent="0.25">
      <c r="A993">
        <v>0</v>
      </c>
      <c r="B993">
        <v>42930</v>
      </c>
      <c r="C993">
        <v>0.54118055555555555</v>
      </c>
      <c r="D993">
        <v>0.54894675925925929</v>
      </c>
      <c r="E993" s="2">
        <f t="shared" si="15"/>
        <v>7.7662037037037335E-3</v>
      </c>
    </row>
    <row r="994" spans="1:5" x14ac:dyDescent="0.25">
      <c r="A994">
        <v>0</v>
      </c>
      <c r="B994">
        <v>42930</v>
      </c>
      <c r="C994">
        <v>0.54415509259259254</v>
      </c>
      <c r="D994">
        <v>0.55156249999999996</v>
      </c>
      <c r="E994" s="2">
        <f t="shared" si="15"/>
        <v>7.4074074074074181E-3</v>
      </c>
    </row>
    <row r="995" spans="1:5" x14ac:dyDescent="0.25">
      <c r="A995">
        <v>0</v>
      </c>
      <c r="B995">
        <v>42930</v>
      </c>
      <c r="C995">
        <v>0.54498842592592589</v>
      </c>
      <c r="D995">
        <v>0.54879629629629634</v>
      </c>
      <c r="E995" s="2">
        <f t="shared" si="15"/>
        <v>3.8078703703704475E-3</v>
      </c>
    </row>
    <row r="996" spans="1:5" x14ac:dyDescent="0.25">
      <c r="A996">
        <v>0</v>
      </c>
      <c r="B996">
        <v>42930</v>
      </c>
      <c r="C996">
        <v>0.54616898148148152</v>
      </c>
      <c r="D996">
        <v>0.55153935185185188</v>
      </c>
      <c r="E996" s="2">
        <f t="shared" si="15"/>
        <v>5.3703703703703587E-3</v>
      </c>
    </row>
    <row r="997" spans="1:5" x14ac:dyDescent="0.25">
      <c r="A997">
        <v>0</v>
      </c>
      <c r="B997">
        <v>42930</v>
      </c>
      <c r="C997">
        <v>0.55155092592592592</v>
      </c>
      <c r="D997">
        <v>0.55709490740740741</v>
      </c>
      <c r="E997" s="2">
        <f t="shared" si="15"/>
        <v>5.5439814814814969E-3</v>
      </c>
    </row>
    <row r="998" spans="1:5" x14ac:dyDescent="0.25">
      <c r="A998">
        <v>0</v>
      </c>
      <c r="B998">
        <v>42930</v>
      </c>
      <c r="C998">
        <v>0.55473379629629627</v>
      </c>
      <c r="D998">
        <v>0.56253472222222223</v>
      </c>
      <c r="E998" s="2">
        <f t="shared" si="15"/>
        <v>7.8009259259259611E-3</v>
      </c>
    </row>
    <row r="999" spans="1:5" x14ac:dyDescent="0.25">
      <c r="A999">
        <v>0</v>
      </c>
      <c r="B999">
        <v>42930</v>
      </c>
      <c r="C999">
        <v>0.5561342592592593</v>
      </c>
      <c r="D999">
        <v>0.56366898148148148</v>
      </c>
      <c r="E999" s="2">
        <f t="shared" si="15"/>
        <v>7.5347222222221788E-3</v>
      </c>
    </row>
    <row r="1000" spans="1:5" x14ac:dyDescent="0.25">
      <c r="A1000">
        <v>0</v>
      </c>
      <c r="B1000">
        <v>42930</v>
      </c>
      <c r="C1000">
        <v>0.56141203703703701</v>
      </c>
      <c r="D1000">
        <v>0.57055555555555559</v>
      </c>
      <c r="E1000" s="2">
        <f t="shared" si="15"/>
        <v>9.1435185185185786E-3</v>
      </c>
    </row>
    <row r="1001" spans="1:5" x14ac:dyDescent="0.25">
      <c r="A1001">
        <v>0</v>
      </c>
      <c r="B1001">
        <v>42930</v>
      </c>
      <c r="C1001">
        <v>0.56650462962962966</v>
      </c>
      <c r="D1001">
        <v>0.57533564814814819</v>
      </c>
      <c r="E1001" s="2">
        <f t="shared" si="15"/>
        <v>8.8310185185185297E-3</v>
      </c>
    </row>
    <row r="1002" spans="1:5" x14ac:dyDescent="0.25">
      <c r="A1002">
        <v>0</v>
      </c>
      <c r="B1002">
        <v>42930</v>
      </c>
      <c r="C1002">
        <v>0.57197916666666671</v>
      </c>
      <c r="D1002">
        <v>0.58081018518518523</v>
      </c>
      <c r="E1002" s="2">
        <f t="shared" si="15"/>
        <v>8.8310185185185297E-3</v>
      </c>
    </row>
    <row r="1003" spans="1:5" x14ac:dyDescent="0.25">
      <c r="A1003">
        <v>0</v>
      </c>
      <c r="B1003">
        <v>42930</v>
      </c>
      <c r="C1003">
        <v>0.57262731481481477</v>
      </c>
      <c r="D1003">
        <v>0.57991898148148147</v>
      </c>
      <c r="E1003" s="2">
        <f t="shared" si="15"/>
        <v>7.2916666666666963E-3</v>
      </c>
    </row>
    <row r="1004" spans="1:5" x14ac:dyDescent="0.25">
      <c r="A1004">
        <v>0</v>
      </c>
      <c r="B1004">
        <v>42930</v>
      </c>
      <c r="C1004">
        <v>0.57451388888888888</v>
      </c>
      <c r="D1004">
        <v>0.57847222222222228</v>
      </c>
      <c r="E1004" s="2">
        <f t="shared" si="15"/>
        <v>3.958333333333397E-3</v>
      </c>
    </row>
    <row r="1005" spans="1:5" x14ac:dyDescent="0.25">
      <c r="A1005">
        <v>0</v>
      </c>
      <c r="B1005">
        <v>42930</v>
      </c>
      <c r="C1005">
        <v>0.57810185185185181</v>
      </c>
      <c r="D1005">
        <v>0.58810185185185182</v>
      </c>
      <c r="E1005" s="2">
        <f t="shared" si="15"/>
        <v>1.0000000000000009E-2</v>
      </c>
    </row>
    <row r="1006" spans="1:5" x14ac:dyDescent="0.25">
      <c r="A1006">
        <v>0</v>
      </c>
      <c r="B1006">
        <v>42930</v>
      </c>
      <c r="C1006">
        <v>0.58233796296296292</v>
      </c>
      <c r="D1006">
        <v>0.58734953703703707</v>
      </c>
      <c r="E1006" s="2">
        <f t="shared" si="15"/>
        <v>5.0115740740741543E-3</v>
      </c>
    </row>
    <row r="1007" spans="1:5" x14ac:dyDescent="0.25">
      <c r="A1007">
        <v>0</v>
      </c>
      <c r="B1007">
        <v>42930</v>
      </c>
      <c r="C1007">
        <v>0.58810185185185182</v>
      </c>
      <c r="D1007">
        <v>0.59134259259259259</v>
      </c>
      <c r="E1007" s="2">
        <f t="shared" si="15"/>
        <v>3.2407407407407662E-3</v>
      </c>
    </row>
    <row r="1008" spans="1:5" x14ac:dyDescent="0.25">
      <c r="A1008">
        <v>0</v>
      </c>
      <c r="B1008">
        <v>42930</v>
      </c>
      <c r="C1008">
        <v>0.58959490740740739</v>
      </c>
      <c r="D1008">
        <v>0.59105324074074073</v>
      </c>
      <c r="E1008" s="2">
        <f t="shared" si="15"/>
        <v>1.4583333333333393E-3</v>
      </c>
    </row>
    <row r="1009" spans="1:5" x14ac:dyDescent="0.25">
      <c r="A1009">
        <v>0</v>
      </c>
      <c r="B1009">
        <v>42930</v>
      </c>
      <c r="C1009">
        <v>0.59284722222222219</v>
      </c>
      <c r="D1009">
        <v>0.59662037037037041</v>
      </c>
      <c r="E1009" s="2">
        <f t="shared" si="15"/>
        <v>3.7731481481482199E-3</v>
      </c>
    </row>
    <row r="1010" spans="1:5" x14ac:dyDescent="0.25">
      <c r="A1010">
        <v>0</v>
      </c>
      <c r="B1010">
        <v>42930</v>
      </c>
      <c r="C1010">
        <v>0.59467592592592589</v>
      </c>
      <c r="D1010">
        <v>0.60392361111111115</v>
      </c>
      <c r="E1010" s="2">
        <f t="shared" si="15"/>
        <v>9.2476851851852615E-3</v>
      </c>
    </row>
    <row r="1011" spans="1:5" x14ac:dyDescent="0.25">
      <c r="A1011">
        <v>0</v>
      </c>
      <c r="B1011">
        <v>42930</v>
      </c>
      <c r="C1011">
        <v>0.5981481481481481</v>
      </c>
      <c r="D1011">
        <v>0.60513888888888889</v>
      </c>
      <c r="E1011" s="2">
        <f t="shared" si="15"/>
        <v>6.9907407407407973E-3</v>
      </c>
    </row>
    <row r="1012" spans="1:5" x14ac:dyDescent="0.25">
      <c r="A1012">
        <v>0</v>
      </c>
      <c r="B1012">
        <v>42930</v>
      </c>
      <c r="C1012">
        <v>0.6001967592592593</v>
      </c>
      <c r="D1012">
        <v>0.60023148148148153</v>
      </c>
      <c r="E1012" s="2">
        <f t="shared" si="15"/>
        <v>3.472222222222765E-5</v>
      </c>
    </row>
    <row r="1013" spans="1:5" x14ac:dyDescent="0.25">
      <c r="A1013">
        <v>0</v>
      </c>
      <c r="B1013">
        <v>42930</v>
      </c>
      <c r="C1013">
        <v>0.60204861111111108</v>
      </c>
      <c r="D1013">
        <v>0.60319444444444448</v>
      </c>
      <c r="E1013" s="2">
        <f t="shared" si="15"/>
        <v>1.1458333333334014E-3</v>
      </c>
    </row>
    <row r="1014" spans="1:5" x14ac:dyDescent="0.25">
      <c r="A1014">
        <v>0</v>
      </c>
      <c r="B1014">
        <v>42930</v>
      </c>
      <c r="C1014">
        <v>0.60775462962962967</v>
      </c>
      <c r="D1014">
        <v>0.61614583333333328</v>
      </c>
      <c r="E1014" s="2">
        <f t="shared" si="15"/>
        <v>8.3912037037036091E-3</v>
      </c>
    </row>
    <row r="1015" spans="1:5" x14ac:dyDescent="0.25">
      <c r="A1015">
        <v>0</v>
      </c>
      <c r="B1015">
        <v>42930</v>
      </c>
      <c r="C1015">
        <v>0.61174768518518519</v>
      </c>
      <c r="D1015">
        <v>0.61697916666666663</v>
      </c>
      <c r="E1015" s="2">
        <f t="shared" si="15"/>
        <v>5.2314814814814481E-3</v>
      </c>
    </row>
    <row r="1016" spans="1:5" x14ac:dyDescent="0.25">
      <c r="A1016">
        <v>0</v>
      </c>
      <c r="B1016">
        <v>42930</v>
      </c>
      <c r="C1016">
        <v>0.61546296296296299</v>
      </c>
      <c r="D1016">
        <v>0.62185185185185188</v>
      </c>
      <c r="E1016" s="2">
        <f t="shared" si="15"/>
        <v>6.3888888888888884E-3</v>
      </c>
    </row>
    <row r="1017" spans="1:5" x14ac:dyDescent="0.25">
      <c r="A1017">
        <v>0</v>
      </c>
      <c r="B1017">
        <v>42930</v>
      </c>
      <c r="C1017">
        <v>0.62111111111111106</v>
      </c>
      <c r="D1017">
        <v>0.62814814814814812</v>
      </c>
      <c r="E1017" s="2">
        <f t="shared" si="15"/>
        <v>7.0370370370370638E-3</v>
      </c>
    </row>
    <row r="1018" spans="1:5" x14ac:dyDescent="0.25">
      <c r="A1018">
        <v>0</v>
      </c>
      <c r="B1018">
        <v>42930</v>
      </c>
      <c r="C1018">
        <v>0.62517361111111114</v>
      </c>
      <c r="D1018">
        <v>0.62518518518518518</v>
      </c>
      <c r="E1018" s="2">
        <f t="shared" si="15"/>
        <v>1.1574074074038876E-5</v>
      </c>
    </row>
    <row r="1019" spans="1:5" x14ac:dyDescent="0.25">
      <c r="A1019">
        <v>0</v>
      </c>
      <c r="B1019">
        <v>42933</v>
      </c>
      <c r="C1019">
        <v>0.33702546296296299</v>
      </c>
      <c r="D1019">
        <v>0.34466435185185185</v>
      </c>
      <c r="E1019" s="2">
        <f t="shared" si="15"/>
        <v>7.6388888888888618E-3</v>
      </c>
    </row>
    <row r="1020" spans="1:5" x14ac:dyDescent="0.25">
      <c r="A1020">
        <v>0</v>
      </c>
      <c r="B1020">
        <v>42933</v>
      </c>
      <c r="C1020">
        <v>0.34074074074074073</v>
      </c>
      <c r="D1020">
        <v>0.34971064814814817</v>
      </c>
      <c r="E1020" s="2">
        <f t="shared" si="15"/>
        <v>8.9699074074074403E-3</v>
      </c>
    </row>
    <row r="1021" spans="1:5" x14ac:dyDescent="0.25">
      <c r="A1021">
        <v>0</v>
      </c>
      <c r="B1021">
        <v>42933</v>
      </c>
      <c r="C1021">
        <v>0.34233796296296298</v>
      </c>
      <c r="D1021">
        <v>0.34569444444444447</v>
      </c>
      <c r="E1021" s="2">
        <f t="shared" si="15"/>
        <v>3.3564814814814881E-3</v>
      </c>
    </row>
    <row r="1022" spans="1:5" x14ac:dyDescent="0.25">
      <c r="A1022">
        <v>0</v>
      </c>
      <c r="B1022">
        <v>42933</v>
      </c>
      <c r="C1022">
        <v>0.34688657407407408</v>
      </c>
      <c r="D1022">
        <v>0.35810185185185184</v>
      </c>
      <c r="E1022" s="2">
        <f t="shared" si="15"/>
        <v>1.1215277777777755E-2</v>
      </c>
    </row>
    <row r="1023" spans="1:5" x14ac:dyDescent="0.25">
      <c r="A1023">
        <v>0</v>
      </c>
      <c r="B1023">
        <v>42933</v>
      </c>
      <c r="C1023">
        <v>0.34866898148148145</v>
      </c>
      <c r="D1023">
        <v>0.35778935185185184</v>
      </c>
      <c r="E1023" s="2">
        <f t="shared" si="15"/>
        <v>9.1203703703703898E-3</v>
      </c>
    </row>
    <row r="1024" spans="1:5" x14ac:dyDescent="0.25">
      <c r="A1024">
        <v>0</v>
      </c>
      <c r="B1024">
        <v>42933</v>
      </c>
      <c r="C1024">
        <v>0.3525578703703704</v>
      </c>
      <c r="D1024">
        <v>0.36346064814814816</v>
      </c>
      <c r="E1024" s="2">
        <f t="shared" si="15"/>
        <v>1.0902777777777761E-2</v>
      </c>
    </row>
    <row r="1025" spans="1:5" x14ac:dyDescent="0.25">
      <c r="A1025">
        <v>0</v>
      </c>
      <c r="B1025">
        <v>42933</v>
      </c>
      <c r="C1025">
        <v>0.35569444444444442</v>
      </c>
      <c r="D1025">
        <v>0.35796296296296298</v>
      </c>
      <c r="E1025" s="2">
        <f t="shared" si="15"/>
        <v>2.2685185185185586E-3</v>
      </c>
    </row>
    <row r="1026" spans="1:5" x14ac:dyDescent="0.25">
      <c r="A1026">
        <v>0</v>
      </c>
      <c r="B1026">
        <v>42933</v>
      </c>
      <c r="C1026">
        <v>0.35920138888888886</v>
      </c>
      <c r="D1026">
        <v>0.36319444444444443</v>
      </c>
      <c r="E1026" s="2">
        <f t="shared" ref="E1026:E1089" si="16">D1026-C1026</f>
        <v>3.9930555555555691E-3</v>
      </c>
    </row>
    <row r="1027" spans="1:5" x14ac:dyDescent="0.25">
      <c r="A1027">
        <v>0</v>
      </c>
      <c r="B1027">
        <v>42933</v>
      </c>
      <c r="C1027">
        <v>0.36114583333333333</v>
      </c>
      <c r="D1027">
        <v>0.36629629629629629</v>
      </c>
      <c r="E1027" s="2">
        <f t="shared" si="16"/>
        <v>5.1504629629629539E-3</v>
      </c>
    </row>
    <row r="1028" spans="1:5" x14ac:dyDescent="0.25">
      <c r="A1028">
        <v>0</v>
      </c>
      <c r="B1028">
        <v>42933</v>
      </c>
      <c r="C1028">
        <v>0.36208333333333331</v>
      </c>
      <c r="D1028">
        <v>0.36282407407407408</v>
      </c>
      <c r="E1028" s="2">
        <f t="shared" si="16"/>
        <v>7.4074074074076401E-4</v>
      </c>
    </row>
    <row r="1029" spans="1:5" x14ac:dyDescent="0.25">
      <c r="A1029">
        <v>0</v>
      </c>
      <c r="B1029">
        <v>42933</v>
      </c>
      <c r="C1029">
        <v>0.36373842592592592</v>
      </c>
      <c r="D1029">
        <v>0.36895833333333333</v>
      </c>
      <c r="E1029" s="2">
        <f t="shared" si="16"/>
        <v>5.2199074074074092E-3</v>
      </c>
    </row>
    <row r="1030" spans="1:5" x14ac:dyDescent="0.25">
      <c r="A1030">
        <v>0</v>
      </c>
      <c r="B1030">
        <v>42933</v>
      </c>
      <c r="C1030">
        <v>0.36928240740740742</v>
      </c>
      <c r="D1030">
        <v>0.37148148148148147</v>
      </c>
      <c r="E1030" s="2">
        <f t="shared" si="16"/>
        <v>2.1990740740740478E-3</v>
      </c>
    </row>
    <row r="1031" spans="1:5" x14ac:dyDescent="0.25">
      <c r="A1031">
        <v>0</v>
      </c>
      <c r="B1031">
        <v>42933</v>
      </c>
      <c r="C1031">
        <v>0.37144675925925924</v>
      </c>
      <c r="D1031">
        <v>0.37270833333333331</v>
      </c>
      <c r="E1031" s="2">
        <f t="shared" si="16"/>
        <v>1.2615740740740677E-3</v>
      </c>
    </row>
    <row r="1032" spans="1:5" x14ac:dyDescent="0.25">
      <c r="A1032">
        <v>0</v>
      </c>
      <c r="B1032">
        <v>42933</v>
      </c>
      <c r="C1032">
        <v>0.37627314814814816</v>
      </c>
      <c r="D1032">
        <v>0.37802083333333331</v>
      </c>
      <c r="E1032" s="2">
        <f t="shared" si="16"/>
        <v>1.7476851851851438E-3</v>
      </c>
    </row>
    <row r="1033" spans="1:5" x14ac:dyDescent="0.25">
      <c r="A1033">
        <v>0</v>
      </c>
      <c r="B1033">
        <v>42933</v>
      </c>
      <c r="C1033">
        <v>0.38178240740740743</v>
      </c>
      <c r="D1033">
        <v>0.38648148148148148</v>
      </c>
      <c r="E1033" s="2">
        <f t="shared" si="16"/>
        <v>4.69907407407405E-3</v>
      </c>
    </row>
    <row r="1034" spans="1:5" x14ac:dyDescent="0.25">
      <c r="A1034">
        <v>0</v>
      </c>
      <c r="B1034">
        <v>42933</v>
      </c>
      <c r="C1034">
        <v>0.38622685185185185</v>
      </c>
      <c r="D1034">
        <v>0.38957175925925924</v>
      </c>
      <c r="E1034" s="2">
        <f t="shared" si="16"/>
        <v>3.3449074074073937E-3</v>
      </c>
    </row>
    <row r="1035" spans="1:5" x14ac:dyDescent="0.25">
      <c r="A1035">
        <v>0</v>
      </c>
      <c r="B1035">
        <v>42933</v>
      </c>
      <c r="C1035">
        <v>0.38754629629629628</v>
      </c>
      <c r="D1035">
        <v>0.39260416666666664</v>
      </c>
      <c r="E1035" s="2">
        <f t="shared" si="16"/>
        <v>5.0578703703703654E-3</v>
      </c>
    </row>
    <row r="1036" spans="1:5" x14ac:dyDescent="0.25">
      <c r="A1036">
        <v>0</v>
      </c>
      <c r="B1036">
        <v>42933</v>
      </c>
      <c r="C1036">
        <v>0.38991898148148146</v>
      </c>
      <c r="D1036">
        <v>0.40072916666666669</v>
      </c>
      <c r="E1036" s="2">
        <f t="shared" si="16"/>
        <v>1.0810185185185228E-2</v>
      </c>
    </row>
    <row r="1037" spans="1:5" x14ac:dyDescent="0.25">
      <c r="A1037">
        <v>0</v>
      </c>
      <c r="B1037">
        <v>42933</v>
      </c>
      <c r="C1037">
        <v>0.39103009259259258</v>
      </c>
      <c r="D1037">
        <v>0.39221064814814816</v>
      </c>
      <c r="E1037" s="2">
        <f t="shared" si="16"/>
        <v>1.1805555555555736E-3</v>
      </c>
    </row>
    <row r="1038" spans="1:5" x14ac:dyDescent="0.25">
      <c r="A1038">
        <v>0</v>
      </c>
      <c r="B1038">
        <v>42933</v>
      </c>
      <c r="C1038">
        <v>0.3948726851851852</v>
      </c>
      <c r="D1038">
        <v>0.39504629629629628</v>
      </c>
      <c r="E1038" s="2">
        <f t="shared" si="16"/>
        <v>1.7361111111108274E-4</v>
      </c>
    </row>
    <row r="1039" spans="1:5" x14ac:dyDescent="0.25">
      <c r="A1039">
        <v>0</v>
      </c>
      <c r="B1039">
        <v>42933</v>
      </c>
      <c r="C1039">
        <v>0.3951736111111111</v>
      </c>
      <c r="D1039">
        <v>0.39697916666666666</v>
      </c>
      <c r="E1039" s="2">
        <f t="shared" si="16"/>
        <v>1.8055555555555602E-3</v>
      </c>
    </row>
    <row r="1040" spans="1:5" x14ac:dyDescent="0.25">
      <c r="A1040">
        <v>0</v>
      </c>
      <c r="B1040">
        <v>42933</v>
      </c>
      <c r="C1040">
        <v>0.39962962962962961</v>
      </c>
      <c r="D1040">
        <v>0.40937499999999999</v>
      </c>
      <c r="E1040" s="2">
        <f t="shared" si="16"/>
        <v>9.7453703703703765E-3</v>
      </c>
    </row>
    <row r="1041" spans="1:5" x14ac:dyDescent="0.25">
      <c r="A1041">
        <v>0</v>
      </c>
      <c r="B1041">
        <v>42933</v>
      </c>
      <c r="C1041">
        <v>0.40104166666666669</v>
      </c>
      <c r="D1041">
        <v>0.40837962962962965</v>
      </c>
      <c r="E1041" s="2">
        <f t="shared" si="16"/>
        <v>7.3379629629629628E-3</v>
      </c>
    </row>
    <row r="1042" spans="1:5" x14ac:dyDescent="0.25">
      <c r="A1042">
        <v>0</v>
      </c>
      <c r="B1042">
        <v>42933</v>
      </c>
      <c r="C1042">
        <v>0.40575231481481483</v>
      </c>
      <c r="D1042">
        <v>0.41274305555555557</v>
      </c>
      <c r="E1042" s="2">
        <f t="shared" si="16"/>
        <v>6.9907407407407418E-3</v>
      </c>
    </row>
    <row r="1043" spans="1:5" x14ac:dyDescent="0.25">
      <c r="A1043">
        <v>0</v>
      </c>
      <c r="B1043">
        <v>42933</v>
      </c>
      <c r="C1043">
        <v>0.40719907407407407</v>
      </c>
      <c r="D1043">
        <v>0.41578703703703701</v>
      </c>
      <c r="E1043" s="2">
        <f t="shared" si="16"/>
        <v>8.5879629629629362E-3</v>
      </c>
    </row>
    <row r="1044" spans="1:5" x14ac:dyDescent="0.25">
      <c r="A1044">
        <v>0</v>
      </c>
      <c r="B1044">
        <v>42933</v>
      </c>
      <c r="C1044">
        <v>0.41060185185185183</v>
      </c>
      <c r="D1044">
        <v>0.41334490740740742</v>
      </c>
      <c r="E1044" s="2">
        <f t="shared" si="16"/>
        <v>2.7430555555555958E-3</v>
      </c>
    </row>
    <row r="1045" spans="1:5" x14ac:dyDescent="0.25">
      <c r="A1045">
        <v>0</v>
      </c>
      <c r="B1045">
        <v>42933</v>
      </c>
      <c r="C1045">
        <v>0.41253472222222221</v>
      </c>
      <c r="D1045">
        <v>0.41753472222222221</v>
      </c>
      <c r="E1045" s="2">
        <f t="shared" si="16"/>
        <v>5.0000000000000044E-3</v>
      </c>
    </row>
    <row r="1046" spans="1:5" x14ac:dyDescent="0.25">
      <c r="A1046">
        <v>0</v>
      </c>
      <c r="B1046">
        <v>42933</v>
      </c>
      <c r="C1046">
        <v>0.41317129629629629</v>
      </c>
      <c r="D1046">
        <v>0.41466435185185185</v>
      </c>
      <c r="E1046" s="2">
        <f t="shared" si="16"/>
        <v>1.4930555555555669E-3</v>
      </c>
    </row>
    <row r="1047" spans="1:5" x14ac:dyDescent="0.25">
      <c r="A1047">
        <v>0</v>
      </c>
      <c r="B1047">
        <v>42933</v>
      </c>
      <c r="C1047">
        <v>0.41572916666666665</v>
      </c>
      <c r="D1047">
        <v>0.41825231481481484</v>
      </c>
      <c r="E1047" s="2">
        <f t="shared" si="16"/>
        <v>2.523148148148191E-3</v>
      </c>
    </row>
    <row r="1048" spans="1:5" x14ac:dyDescent="0.25">
      <c r="A1048">
        <v>0</v>
      </c>
      <c r="B1048">
        <v>42933</v>
      </c>
      <c r="C1048">
        <v>0.41716435185185186</v>
      </c>
      <c r="D1048">
        <v>0.4284722222222222</v>
      </c>
      <c r="E1048" s="2">
        <f t="shared" si="16"/>
        <v>1.1307870370370343E-2</v>
      </c>
    </row>
    <row r="1049" spans="1:5" x14ac:dyDescent="0.25">
      <c r="A1049">
        <v>0</v>
      </c>
      <c r="B1049">
        <v>42933</v>
      </c>
      <c r="C1049">
        <v>0.41899305555555555</v>
      </c>
      <c r="D1049">
        <v>0.41968749999999999</v>
      </c>
      <c r="E1049" s="2">
        <f t="shared" si="16"/>
        <v>6.9444444444444198E-4</v>
      </c>
    </row>
    <row r="1050" spans="1:5" x14ac:dyDescent="0.25">
      <c r="A1050">
        <v>0</v>
      </c>
      <c r="B1050">
        <v>42933</v>
      </c>
      <c r="C1050">
        <v>0.42386574074074074</v>
      </c>
      <c r="D1050">
        <v>0.42885416666666665</v>
      </c>
      <c r="E1050" s="2">
        <f t="shared" si="16"/>
        <v>4.9884259259259101E-3</v>
      </c>
    </row>
    <row r="1051" spans="1:5" x14ac:dyDescent="0.25">
      <c r="A1051">
        <v>0</v>
      </c>
      <c r="B1051">
        <v>42933</v>
      </c>
      <c r="C1051">
        <v>0.42664351851851851</v>
      </c>
      <c r="D1051">
        <v>0.42697916666666669</v>
      </c>
      <c r="E1051" s="2">
        <f t="shared" si="16"/>
        <v>3.3564814814818211E-4</v>
      </c>
    </row>
    <row r="1052" spans="1:5" x14ac:dyDescent="0.25">
      <c r="A1052">
        <v>0</v>
      </c>
      <c r="B1052">
        <v>42933</v>
      </c>
      <c r="C1052">
        <v>0.42983796296296295</v>
      </c>
      <c r="D1052">
        <v>0.43975694444444446</v>
      </c>
      <c r="E1052" s="2">
        <f t="shared" si="16"/>
        <v>9.9189814814815147E-3</v>
      </c>
    </row>
    <row r="1053" spans="1:5" x14ac:dyDescent="0.25">
      <c r="A1053">
        <v>0</v>
      </c>
      <c r="B1053">
        <v>42933</v>
      </c>
      <c r="C1053">
        <v>0.43086805555555557</v>
      </c>
      <c r="D1053">
        <v>0.43388888888888888</v>
      </c>
      <c r="E1053" s="2">
        <f t="shared" si="16"/>
        <v>3.0208333333333059E-3</v>
      </c>
    </row>
    <row r="1054" spans="1:5" x14ac:dyDescent="0.25">
      <c r="A1054">
        <v>0</v>
      </c>
      <c r="B1054">
        <v>42933</v>
      </c>
      <c r="C1054">
        <v>0.43375000000000002</v>
      </c>
      <c r="D1054">
        <v>0.43592592592592594</v>
      </c>
      <c r="E1054" s="2">
        <f t="shared" si="16"/>
        <v>2.1759259259259145E-3</v>
      </c>
    </row>
    <row r="1055" spans="1:5" x14ac:dyDescent="0.25">
      <c r="A1055">
        <v>0</v>
      </c>
      <c r="B1055">
        <v>42933</v>
      </c>
      <c r="C1055">
        <v>0.43546296296296294</v>
      </c>
      <c r="D1055">
        <v>0.43662037037037038</v>
      </c>
      <c r="E1055" s="2">
        <f t="shared" si="16"/>
        <v>1.1574074074074403E-3</v>
      </c>
    </row>
    <row r="1056" spans="1:5" x14ac:dyDescent="0.25">
      <c r="A1056">
        <v>0</v>
      </c>
      <c r="B1056">
        <v>42933</v>
      </c>
      <c r="C1056">
        <v>0.43569444444444444</v>
      </c>
      <c r="D1056">
        <v>0.4362037037037037</v>
      </c>
      <c r="E1056" s="2">
        <f t="shared" si="16"/>
        <v>5.0925925925926485E-4</v>
      </c>
    </row>
    <row r="1057" spans="1:5" x14ac:dyDescent="0.25">
      <c r="A1057">
        <v>0</v>
      </c>
      <c r="B1057">
        <v>42933</v>
      </c>
      <c r="C1057">
        <v>0.44103009259259257</v>
      </c>
      <c r="D1057">
        <v>0.44807870370370373</v>
      </c>
      <c r="E1057" s="2">
        <f t="shared" si="16"/>
        <v>7.0486111111111582E-3</v>
      </c>
    </row>
    <row r="1058" spans="1:5" x14ac:dyDescent="0.25">
      <c r="A1058">
        <v>0</v>
      </c>
      <c r="B1058">
        <v>42933</v>
      </c>
      <c r="C1058">
        <v>0.44421296296296298</v>
      </c>
      <c r="D1058">
        <v>0.44739583333333333</v>
      </c>
      <c r="E1058" s="2">
        <f t="shared" si="16"/>
        <v>3.1828703703703498E-3</v>
      </c>
    </row>
    <row r="1059" spans="1:5" x14ac:dyDescent="0.25">
      <c r="A1059">
        <v>0</v>
      </c>
      <c r="B1059">
        <v>42933</v>
      </c>
      <c r="C1059">
        <v>0.44609953703703703</v>
      </c>
      <c r="D1059">
        <v>0.44979166666666665</v>
      </c>
      <c r="E1059" s="2">
        <f t="shared" si="16"/>
        <v>3.6921296296296147E-3</v>
      </c>
    </row>
    <row r="1060" spans="1:5" x14ac:dyDescent="0.25">
      <c r="A1060">
        <v>0</v>
      </c>
      <c r="B1060">
        <v>42933</v>
      </c>
      <c r="C1060">
        <v>0.45122685185185185</v>
      </c>
      <c r="D1060">
        <v>0.45480324074074074</v>
      </c>
      <c r="E1060" s="2">
        <f t="shared" si="16"/>
        <v>3.5763888888888928E-3</v>
      </c>
    </row>
    <row r="1061" spans="1:5" x14ac:dyDescent="0.25">
      <c r="A1061">
        <v>0</v>
      </c>
      <c r="B1061">
        <v>42933</v>
      </c>
      <c r="C1061">
        <v>0.45623842592592595</v>
      </c>
      <c r="D1061">
        <v>0.46062500000000001</v>
      </c>
      <c r="E1061" s="2">
        <f t="shared" si="16"/>
        <v>4.3865740740740566E-3</v>
      </c>
    </row>
    <row r="1062" spans="1:5" x14ac:dyDescent="0.25">
      <c r="A1062">
        <v>0</v>
      </c>
      <c r="B1062">
        <v>42933</v>
      </c>
      <c r="C1062">
        <v>0.4611574074074074</v>
      </c>
      <c r="D1062">
        <v>0.46372685185185186</v>
      </c>
      <c r="E1062" s="2">
        <f t="shared" si="16"/>
        <v>2.5694444444444575E-3</v>
      </c>
    </row>
    <row r="1063" spans="1:5" x14ac:dyDescent="0.25">
      <c r="A1063">
        <v>0</v>
      </c>
      <c r="B1063">
        <v>42933</v>
      </c>
      <c r="C1063">
        <v>0.46481481481481479</v>
      </c>
      <c r="D1063">
        <v>0.47425925925925927</v>
      </c>
      <c r="E1063" s="2">
        <f t="shared" si="16"/>
        <v>9.4444444444444775E-3</v>
      </c>
    </row>
    <row r="1064" spans="1:5" x14ac:dyDescent="0.25">
      <c r="A1064">
        <v>0</v>
      </c>
      <c r="B1064">
        <v>42933</v>
      </c>
      <c r="C1064">
        <v>0.46655092592592595</v>
      </c>
      <c r="D1064">
        <v>0.47357638888888887</v>
      </c>
      <c r="E1064" s="2">
        <f t="shared" si="16"/>
        <v>7.0254629629629139E-3</v>
      </c>
    </row>
    <row r="1065" spans="1:5" x14ac:dyDescent="0.25">
      <c r="A1065">
        <v>0</v>
      </c>
      <c r="B1065">
        <v>42933</v>
      </c>
      <c r="C1065">
        <v>0.46711805555555558</v>
      </c>
      <c r="D1065">
        <v>0.47856481481481483</v>
      </c>
      <c r="E1065" s="2">
        <f t="shared" si="16"/>
        <v>1.1446759259259254E-2</v>
      </c>
    </row>
    <row r="1066" spans="1:5" x14ac:dyDescent="0.25">
      <c r="A1066">
        <v>0</v>
      </c>
      <c r="B1066">
        <v>42933</v>
      </c>
      <c r="C1066">
        <v>0.46939814814814818</v>
      </c>
      <c r="D1066">
        <v>0.47047453703703701</v>
      </c>
      <c r="E1066" s="2">
        <f t="shared" si="16"/>
        <v>1.0763888888888351E-3</v>
      </c>
    </row>
    <row r="1067" spans="1:5" x14ac:dyDescent="0.25">
      <c r="A1067">
        <v>0</v>
      </c>
      <c r="B1067">
        <v>42933</v>
      </c>
      <c r="C1067">
        <v>0.47302083333333333</v>
      </c>
      <c r="D1067">
        <v>0.47939814814814813</v>
      </c>
      <c r="E1067" s="2">
        <f t="shared" si="16"/>
        <v>6.377314814814794E-3</v>
      </c>
    </row>
    <row r="1068" spans="1:5" x14ac:dyDescent="0.25">
      <c r="A1068">
        <v>0</v>
      </c>
      <c r="B1068">
        <v>42933</v>
      </c>
      <c r="C1068">
        <v>0.47604166666666664</v>
      </c>
      <c r="D1068">
        <v>0.48714120370370373</v>
      </c>
      <c r="E1068" s="2">
        <f t="shared" si="16"/>
        <v>1.1099537037037088E-2</v>
      </c>
    </row>
    <row r="1069" spans="1:5" x14ac:dyDescent="0.25">
      <c r="A1069">
        <v>0</v>
      </c>
      <c r="B1069">
        <v>42933</v>
      </c>
      <c r="C1069">
        <v>0.47706018518518517</v>
      </c>
      <c r="D1069">
        <v>0.47881944444444446</v>
      </c>
      <c r="E1069" s="2">
        <f t="shared" si="16"/>
        <v>1.7592592592592937E-3</v>
      </c>
    </row>
    <row r="1070" spans="1:5" x14ac:dyDescent="0.25">
      <c r="A1070">
        <v>0</v>
      </c>
      <c r="B1070">
        <v>42933</v>
      </c>
      <c r="C1070">
        <v>0.47714120370370372</v>
      </c>
      <c r="D1070">
        <v>0.47728009259259258</v>
      </c>
      <c r="E1070" s="2">
        <f t="shared" si="16"/>
        <v>1.3888888888885509E-4</v>
      </c>
    </row>
    <row r="1071" spans="1:5" x14ac:dyDescent="0.25">
      <c r="A1071">
        <v>0</v>
      </c>
      <c r="B1071">
        <v>42933</v>
      </c>
      <c r="C1071">
        <v>0.48119212962962965</v>
      </c>
      <c r="D1071">
        <v>0.49038194444444444</v>
      </c>
      <c r="E1071" s="2">
        <f t="shared" si="16"/>
        <v>9.1898148148147896E-3</v>
      </c>
    </row>
    <row r="1072" spans="1:5" x14ac:dyDescent="0.25">
      <c r="A1072">
        <v>0</v>
      </c>
      <c r="B1072">
        <v>42933</v>
      </c>
      <c r="C1072">
        <v>0.4838425925925926</v>
      </c>
      <c r="D1072">
        <v>0.49107638888888888</v>
      </c>
      <c r="E1072" s="2">
        <f t="shared" si="16"/>
        <v>7.2337962962962798E-3</v>
      </c>
    </row>
    <row r="1073" spans="1:5" x14ac:dyDescent="0.25">
      <c r="A1073">
        <v>0</v>
      </c>
      <c r="B1073">
        <v>42933</v>
      </c>
      <c r="C1073">
        <v>0.48430555555555554</v>
      </c>
      <c r="D1073">
        <v>0.49372685185185183</v>
      </c>
      <c r="E1073" s="2">
        <f t="shared" si="16"/>
        <v>9.4212962962962887E-3</v>
      </c>
    </row>
    <row r="1074" spans="1:5" x14ac:dyDescent="0.25">
      <c r="A1074">
        <v>0</v>
      </c>
      <c r="B1074">
        <v>42933</v>
      </c>
      <c r="C1074">
        <v>0.48533564814814817</v>
      </c>
      <c r="D1074">
        <v>0.49689814814814814</v>
      </c>
      <c r="E1074" s="2">
        <f t="shared" si="16"/>
        <v>1.1562499999999976E-2</v>
      </c>
    </row>
    <row r="1075" spans="1:5" x14ac:dyDescent="0.25">
      <c r="A1075">
        <v>0</v>
      </c>
      <c r="B1075">
        <v>42933</v>
      </c>
      <c r="C1075">
        <v>0.48542824074074076</v>
      </c>
      <c r="D1075">
        <v>0.49109953703703701</v>
      </c>
      <c r="E1075" s="2">
        <f t="shared" si="16"/>
        <v>5.6712962962962576E-3</v>
      </c>
    </row>
    <row r="1076" spans="1:5" x14ac:dyDescent="0.25">
      <c r="A1076">
        <v>0</v>
      </c>
      <c r="B1076">
        <v>42933</v>
      </c>
      <c r="C1076">
        <v>0.48833333333333334</v>
      </c>
      <c r="D1076">
        <v>0.49960648148148146</v>
      </c>
      <c r="E1076" s="2">
        <f t="shared" si="16"/>
        <v>1.1273148148148115E-2</v>
      </c>
    </row>
    <row r="1077" spans="1:5" x14ac:dyDescent="0.25">
      <c r="A1077">
        <v>0</v>
      </c>
      <c r="B1077">
        <v>42933</v>
      </c>
      <c r="C1077">
        <v>0.49362268518518521</v>
      </c>
      <c r="D1077">
        <v>0.49859953703703702</v>
      </c>
      <c r="E1077" s="2">
        <f t="shared" si="16"/>
        <v>4.9768518518518157E-3</v>
      </c>
    </row>
    <row r="1078" spans="1:5" x14ac:dyDescent="0.25">
      <c r="A1078">
        <v>0</v>
      </c>
      <c r="B1078">
        <v>42933</v>
      </c>
      <c r="C1078">
        <v>0.49658564814814815</v>
      </c>
      <c r="D1078">
        <v>0.49866898148148148</v>
      </c>
      <c r="E1078" s="2">
        <f t="shared" si="16"/>
        <v>2.0833333333333259E-3</v>
      </c>
    </row>
    <row r="1079" spans="1:5" x14ac:dyDescent="0.25">
      <c r="A1079">
        <v>0</v>
      </c>
      <c r="B1079">
        <v>42933</v>
      </c>
      <c r="C1079">
        <v>0.49760416666666668</v>
      </c>
      <c r="D1079">
        <v>0.50249999999999995</v>
      </c>
      <c r="E1079" s="2">
        <f t="shared" si="16"/>
        <v>4.895833333333266E-3</v>
      </c>
    </row>
    <row r="1080" spans="1:5" x14ac:dyDescent="0.25">
      <c r="A1080">
        <v>0</v>
      </c>
      <c r="B1080">
        <v>42933</v>
      </c>
      <c r="C1080">
        <v>0.50284722222222222</v>
      </c>
      <c r="D1080">
        <v>0.50736111111111115</v>
      </c>
      <c r="E1080" s="2">
        <f t="shared" si="16"/>
        <v>4.5138888888889284E-3</v>
      </c>
    </row>
    <row r="1081" spans="1:5" x14ac:dyDescent="0.25">
      <c r="A1081">
        <v>0</v>
      </c>
      <c r="B1081">
        <v>42933</v>
      </c>
      <c r="C1081">
        <v>0.50768518518518524</v>
      </c>
      <c r="D1081">
        <v>0.51817129629629632</v>
      </c>
      <c r="E1081" s="2">
        <f t="shared" si="16"/>
        <v>1.0486111111111085E-2</v>
      </c>
    </row>
    <row r="1082" spans="1:5" x14ac:dyDescent="0.25">
      <c r="A1082">
        <v>0</v>
      </c>
      <c r="B1082">
        <v>42933</v>
      </c>
      <c r="C1082">
        <v>0.51271990740740736</v>
      </c>
      <c r="D1082">
        <v>0.51616898148148149</v>
      </c>
      <c r="E1082" s="2">
        <f t="shared" si="16"/>
        <v>3.4490740740741321E-3</v>
      </c>
    </row>
    <row r="1083" spans="1:5" x14ac:dyDescent="0.25">
      <c r="A1083">
        <v>0</v>
      </c>
      <c r="B1083">
        <v>42933</v>
      </c>
      <c r="C1083">
        <v>0.51468749999999996</v>
      </c>
      <c r="D1083">
        <v>0.5204050925925926</v>
      </c>
      <c r="E1083" s="2">
        <f t="shared" si="16"/>
        <v>5.7175925925926352E-3</v>
      </c>
    </row>
    <row r="1084" spans="1:5" x14ac:dyDescent="0.25">
      <c r="A1084">
        <v>0</v>
      </c>
      <c r="B1084">
        <v>42933</v>
      </c>
      <c r="C1084">
        <v>0.51894675925925926</v>
      </c>
      <c r="D1084">
        <v>0.52336805555555554</v>
      </c>
      <c r="E1084" s="2">
        <f t="shared" si="16"/>
        <v>4.4212962962962843E-3</v>
      </c>
    </row>
    <row r="1085" spans="1:5" x14ac:dyDescent="0.25">
      <c r="A1085">
        <v>0</v>
      </c>
      <c r="B1085">
        <v>42933</v>
      </c>
      <c r="C1085">
        <v>0.52460648148148148</v>
      </c>
      <c r="D1085">
        <v>0.53292824074074074</v>
      </c>
      <c r="E1085" s="2">
        <f t="shared" si="16"/>
        <v>8.3217592592592649E-3</v>
      </c>
    </row>
    <row r="1086" spans="1:5" x14ac:dyDescent="0.25">
      <c r="A1086">
        <v>0</v>
      </c>
      <c r="B1086">
        <v>42933</v>
      </c>
      <c r="C1086">
        <v>0.52500000000000002</v>
      </c>
      <c r="D1086">
        <v>0.53071759259259255</v>
      </c>
      <c r="E1086" s="2">
        <f t="shared" si="16"/>
        <v>5.7175925925925242E-3</v>
      </c>
    </row>
    <row r="1087" spans="1:5" x14ac:dyDescent="0.25">
      <c r="A1087">
        <v>0</v>
      </c>
      <c r="B1087">
        <v>42933</v>
      </c>
      <c r="C1087">
        <v>0.52508101851851852</v>
      </c>
      <c r="D1087">
        <v>0.53238425925925925</v>
      </c>
      <c r="E1087" s="2">
        <f t="shared" si="16"/>
        <v>7.3032407407407351E-3</v>
      </c>
    </row>
    <row r="1088" spans="1:5" x14ac:dyDescent="0.25">
      <c r="A1088">
        <v>0</v>
      </c>
      <c r="B1088">
        <v>42933</v>
      </c>
      <c r="C1088">
        <v>0.52612268518518523</v>
      </c>
      <c r="D1088">
        <v>0.52849537037037042</v>
      </c>
      <c r="E1088" s="2">
        <f t="shared" si="16"/>
        <v>2.372685185185186E-3</v>
      </c>
    </row>
    <row r="1089" spans="1:5" x14ac:dyDescent="0.25">
      <c r="A1089">
        <v>0</v>
      </c>
      <c r="B1089">
        <v>42933</v>
      </c>
      <c r="C1089">
        <v>0.52707175925925931</v>
      </c>
      <c r="D1089">
        <v>0.53460648148148149</v>
      </c>
      <c r="E1089" s="2">
        <f t="shared" si="16"/>
        <v>7.5347222222221788E-3</v>
      </c>
    </row>
    <row r="1090" spans="1:5" x14ac:dyDescent="0.25">
      <c r="A1090">
        <v>0</v>
      </c>
      <c r="B1090">
        <v>42933</v>
      </c>
      <c r="C1090">
        <v>0.52788194444444447</v>
      </c>
      <c r="D1090">
        <v>0.52908564814814818</v>
      </c>
      <c r="E1090" s="2">
        <f t="shared" ref="E1090:E1153" si="17">D1090-C1090</f>
        <v>1.2037037037037068E-3</v>
      </c>
    </row>
    <row r="1091" spans="1:5" x14ac:dyDescent="0.25">
      <c r="A1091">
        <v>0</v>
      </c>
      <c r="B1091">
        <v>42933</v>
      </c>
      <c r="C1091">
        <v>0.53150462962962963</v>
      </c>
      <c r="D1091">
        <v>0.54208333333333336</v>
      </c>
      <c r="E1091" s="2">
        <f t="shared" si="17"/>
        <v>1.0578703703703729E-2</v>
      </c>
    </row>
    <row r="1092" spans="1:5" x14ac:dyDescent="0.25">
      <c r="A1092">
        <v>0</v>
      </c>
      <c r="B1092">
        <v>42933</v>
      </c>
      <c r="C1092">
        <v>0.53174768518518523</v>
      </c>
      <c r="D1092">
        <v>0.53931712962962963</v>
      </c>
      <c r="E1092" s="2">
        <f t="shared" si="17"/>
        <v>7.5694444444444065E-3</v>
      </c>
    </row>
    <row r="1093" spans="1:5" x14ac:dyDescent="0.25">
      <c r="A1093">
        <v>0</v>
      </c>
      <c r="B1093">
        <v>42933</v>
      </c>
      <c r="C1093">
        <v>0.53241898148148148</v>
      </c>
      <c r="D1093">
        <v>0.54011574074074076</v>
      </c>
      <c r="E1093" s="2">
        <f t="shared" si="17"/>
        <v>7.6967592592592782E-3</v>
      </c>
    </row>
    <row r="1094" spans="1:5" x14ac:dyDescent="0.25">
      <c r="A1094">
        <v>0</v>
      </c>
      <c r="B1094">
        <v>42933</v>
      </c>
      <c r="C1094">
        <v>0.53608796296296302</v>
      </c>
      <c r="D1094">
        <v>0.53657407407407409</v>
      </c>
      <c r="E1094" s="2">
        <f t="shared" si="17"/>
        <v>4.8611111111107608E-4</v>
      </c>
    </row>
    <row r="1095" spans="1:5" x14ac:dyDescent="0.25">
      <c r="A1095">
        <v>0</v>
      </c>
      <c r="B1095">
        <v>42933</v>
      </c>
      <c r="C1095">
        <v>0.54048611111111111</v>
      </c>
      <c r="D1095">
        <v>0.54954861111111108</v>
      </c>
      <c r="E1095" s="2">
        <f t="shared" si="17"/>
        <v>9.0624999999999734E-3</v>
      </c>
    </row>
    <row r="1096" spans="1:5" x14ac:dyDescent="0.25">
      <c r="A1096">
        <v>0</v>
      </c>
      <c r="B1096">
        <v>42933</v>
      </c>
      <c r="C1096">
        <v>0.54495370370370366</v>
      </c>
      <c r="D1096">
        <v>0.5471759259259259</v>
      </c>
      <c r="E1096" s="2">
        <f t="shared" si="17"/>
        <v>2.2222222222222365E-3</v>
      </c>
    </row>
    <row r="1097" spans="1:5" x14ac:dyDescent="0.25">
      <c r="A1097">
        <v>0</v>
      </c>
      <c r="B1097">
        <v>42933</v>
      </c>
      <c r="C1097">
        <v>0.546412037037037</v>
      </c>
      <c r="D1097">
        <v>0.54829861111111111</v>
      </c>
      <c r="E1097" s="2">
        <f t="shared" si="17"/>
        <v>1.8865740740741099E-3</v>
      </c>
    </row>
    <row r="1098" spans="1:5" x14ac:dyDescent="0.25">
      <c r="A1098">
        <v>0</v>
      </c>
      <c r="B1098">
        <v>42933</v>
      </c>
      <c r="C1098">
        <v>0.54907407407407405</v>
      </c>
      <c r="D1098">
        <v>0.55969907407407404</v>
      </c>
      <c r="E1098" s="2">
        <f t="shared" si="17"/>
        <v>1.0624999999999996E-2</v>
      </c>
    </row>
    <row r="1099" spans="1:5" x14ac:dyDescent="0.25">
      <c r="A1099">
        <v>0</v>
      </c>
      <c r="B1099">
        <v>42933</v>
      </c>
      <c r="C1099">
        <v>0.55456018518518524</v>
      </c>
      <c r="D1099">
        <v>0.5642476851851852</v>
      </c>
      <c r="E1099" s="2">
        <f t="shared" si="17"/>
        <v>9.68749999999996E-3</v>
      </c>
    </row>
    <row r="1100" spans="1:5" x14ac:dyDescent="0.25">
      <c r="A1100">
        <v>0</v>
      </c>
      <c r="B1100">
        <v>42933</v>
      </c>
      <c r="C1100">
        <v>0.55519675925925926</v>
      </c>
      <c r="D1100">
        <v>0.55809027777777775</v>
      </c>
      <c r="E1100" s="2">
        <f t="shared" si="17"/>
        <v>2.8935185185184897E-3</v>
      </c>
    </row>
    <row r="1101" spans="1:5" x14ac:dyDescent="0.25">
      <c r="A1101">
        <v>0</v>
      </c>
      <c r="B1101">
        <v>42933</v>
      </c>
      <c r="C1101">
        <v>0.56083333333333329</v>
      </c>
      <c r="D1101">
        <v>0.56415509259259256</v>
      </c>
      <c r="E1101" s="2">
        <f t="shared" si="17"/>
        <v>3.3217592592592604E-3</v>
      </c>
    </row>
    <row r="1102" spans="1:5" x14ac:dyDescent="0.25">
      <c r="A1102">
        <v>0</v>
      </c>
      <c r="B1102">
        <v>42933</v>
      </c>
      <c r="C1102">
        <v>0.56462962962962959</v>
      </c>
      <c r="D1102">
        <v>0.56841435185185185</v>
      </c>
      <c r="E1102" s="2">
        <f t="shared" si="17"/>
        <v>3.7847222222222587E-3</v>
      </c>
    </row>
    <row r="1103" spans="1:5" x14ac:dyDescent="0.25">
      <c r="A1103">
        <v>0</v>
      </c>
      <c r="B1103">
        <v>42933</v>
      </c>
      <c r="C1103">
        <v>0.56511574074074078</v>
      </c>
      <c r="D1103">
        <v>0.57498842592592592</v>
      </c>
      <c r="E1103" s="2">
        <f t="shared" si="17"/>
        <v>9.8726851851851372E-3</v>
      </c>
    </row>
    <row r="1104" spans="1:5" x14ac:dyDescent="0.25">
      <c r="A1104">
        <v>0</v>
      </c>
      <c r="B1104">
        <v>42933</v>
      </c>
      <c r="C1104">
        <v>0.56893518518518515</v>
      </c>
      <c r="D1104">
        <v>0.57289351851851855</v>
      </c>
      <c r="E1104" s="2">
        <f t="shared" si="17"/>
        <v>3.958333333333397E-3</v>
      </c>
    </row>
    <row r="1105" spans="1:5" x14ac:dyDescent="0.25">
      <c r="A1105">
        <v>0</v>
      </c>
      <c r="B1105">
        <v>42933</v>
      </c>
      <c r="C1105">
        <v>0.57038194444444446</v>
      </c>
      <c r="D1105">
        <v>0.57341435185185186</v>
      </c>
      <c r="E1105" s="2">
        <f t="shared" si="17"/>
        <v>3.0324074074074003E-3</v>
      </c>
    </row>
    <row r="1106" spans="1:5" x14ac:dyDescent="0.25">
      <c r="A1106">
        <v>0</v>
      </c>
      <c r="B1106">
        <v>42933</v>
      </c>
      <c r="C1106">
        <v>0.57170138888888888</v>
      </c>
      <c r="D1106">
        <v>0.58212962962962966</v>
      </c>
      <c r="E1106" s="2">
        <f t="shared" si="17"/>
        <v>1.042824074074078E-2</v>
      </c>
    </row>
    <row r="1107" spans="1:5" x14ac:dyDescent="0.25">
      <c r="A1107">
        <v>0</v>
      </c>
      <c r="B1107">
        <v>42933</v>
      </c>
      <c r="C1107">
        <v>0.57466435185185183</v>
      </c>
      <c r="D1107">
        <v>0.58538194444444447</v>
      </c>
      <c r="E1107" s="2">
        <f t="shared" si="17"/>
        <v>1.071759259259264E-2</v>
      </c>
    </row>
    <row r="1108" spans="1:5" x14ac:dyDescent="0.25">
      <c r="A1108">
        <v>0</v>
      </c>
      <c r="B1108">
        <v>42933</v>
      </c>
      <c r="C1108">
        <v>0.58010416666666664</v>
      </c>
      <c r="D1108">
        <v>0.58166666666666667</v>
      </c>
      <c r="E1108" s="2">
        <f t="shared" si="17"/>
        <v>1.5625000000000222E-3</v>
      </c>
    </row>
    <row r="1109" spans="1:5" x14ac:dyDescent="0.25">
      <c r="A1109">
        <v>0</v>
      </c>
      <c r="B1109">
        <v>42933</v>
      </c>
      <c r="C1109">
        <v>0.58545138888888892</v>
      </c>
      <c r="D1109">
        <v>0.59214120370370371</v>
      </c>
      <c r="E1109" s="2">
        <f t="shared" si="17"/>
        <v>6.6898148148147873E-3</v>
      </c>
    </row>
    <row r="1110" spans="1:5" x14ac:dyDescent="0.25">
      <c r="A1110">
        <v>0</v>
      </c>
      <c r="B1110">
        <v>42933</v>
      </c>
      <c r="C1110">
        <v>0.59004629629629635</v>
      </c>
      <c r="D1110">
        <v>0.59799768518518515</v>
      </c>
      <c r="E1110" s="2">
        <f t="shared" si="17"/>
        <v>7.9513888888887996E-3</v>
      </c>
    </row>
    <row r="1111" spans="1:5" x14ac:dyDescent="0.25">
      <c r="A1111">
        <v>0</v>
      </c>
      <c r="B1111">
        <v>42933</v>
      </c>
      <c r="C1111">
        <v>0.59471064814814811</v>
      </c>
      <c r="D1111">
        <v>0.60624999999999996</v>
      </c>
      <c r="E1111" s="2">
        <f t="shared" si="17"/>
        <v>1.1539351851851842E-2</v>
      </c>
    </row>
    <row r="1112" spans="1:5" x14ac:dyDescent="0.25">
      <c r="A1112">
        <v>0</v>
      </c>
      <c r="B1112">
        <v>42933</v>
      </c>
      <c r="C1112">
        <v>0.59578703703703706</v>
      </c>
      <c r="D1112">
        <v>0.59671296296296295</v>
      </c>
      <c r="E1112" s="2">
        <f t="shared" si="17"/>
        <v>9.2592592592588563E-4</v>
      </c>
    </row>
    <row r="1113" spans="1:5" x14ac:dyDescent="0.25">
      <c r="A1113">
        <v>0</v>
      </c>
      <c r="B1113">
        <v>42933</v>
      </c>
      <c r="C1113">
        <v>0.5962615740740741</v>
      </c>
      <c r="D1113">
        <v>0.59780092592592593</v>
      </c>
      <c r="E1113" s="2">
        <f t="shared" si="17"/>
        <v>1.5393518518518334E-3</v>
      </c>
    </row>
    <row r="1114" spans="1:5" x14ac:dyDescent="0.25">
      <c r="A1114">
        <v>0</v>
      </c>
      <c r="B1114">
        <v>42933</v>
      </c>
      <c r="C1114">
        <v>0.59650462962962958</v>
      </c>
      <c r="D1114">
        <v>0.60144675925925928</v>
      </c>
      <c r="E1114" s="2">
        <f t="shared" si="17"/>
        <v>4.942129629629699E-3</v>
      </c>
    </row>
    <row r="1115" spans="1:5" x14ac:dyDescent="0.25">
      <c r="A1115">
        <v>0</v>
      </c>
      <c r="B1115">
        <v>42933</v>
      </c>
      <c r="C1115">
        <v>0.60025462962962961</v>
      </c>
      <c r="D1115">
        <v>0.60699074074074078</v>
      </c>
      <c r="E1115" s="2">
        <f t="shared" si="17"/>
        <v>6.7361111111111649E-3</v>
      </c>
    </row>
    <row r="1116" spans="1:5" x14ac:dyDescent="0.25">
      <c r="A1116">
        <v>0</v>
      </c>
      <c r="B1116">
        <v>42933</v>
      </c>
      <c r="C1116">
        <v>0.60083333333333333</v>
      </c>
      <c r="D1116">
        <v>0.60971064814814813</v>
      </c>
      <c r="E1116" s="2">
        <f t="shared" si="17"/>
        <v>8.8773148148147962E-3</v>
      </c>
    </row>
    <row r="1117" spans="1:5" x14ac:dyDescent="0.25">
      <c r="A1117">
        <v>0</v>
      </c>
      <c r="B1117">
        <v>42933</v>
      </c>
      <c r="C1117">
        <v>0.6021643518518518</v>
      </c>
      <c r="D1117">
        <v>0.60636574074074079</v>
      </c>
      <c r="E1117" s="2">
        <f t="shared" si="17"/>
        <v>4.2013888888889905E-3</v>
      </c>
    </row>
    <row r="1118" spans="1:5" x14ac:dyDescent="0.25">
      <c r="A1118">
        <v>0</v>
      </c>
      <c r="B1118">
        <v>42933</v>
      </c>
      <c r="C1118">
        <v>0.60495370370370372</v>
      </c>
      <c r="D1118">
        <v>0.61153935185185182</v>
      </c>
      <c r="E1118" s="2">
        <f t="shared" si="17"/>
        <v>6.5856481481481044E-3</v>
      </c>
    </row>
    <row r="1119" spans="1:5" x14ac:dyDescent="0.25">
      <c r="A1119">
        <v>0</v>
      </c>
      <c r="B1119">
        <v>42933</v>
      </c>
      <c r="C1119">
        <v>0.60783564814814817</v>
      </c>
      <c r="D1119">
        <v>0.60846064814814815</v>
      </c>
      <c r="E1119" s="2">
        <f t="shared" si="17"/>
        <v>6.2499999999998668E-4</v>
      </c>
    </row>
    <row r="1120" spans="1:5" x14ac:dyDescent="0.25">
      <c r="A1120">
        <v>0</v>
      </c>
      <c r="B1120">
        <v>42933</v>
      </c>
      <c r="C1120">
        <v>0.61261574074074077</v>
      </c>
      <c r="D1120">
        <v>0.62048611111111107</v>
      </c>
      <c r="E1120" s="2">
        <f t="shared" si="17"/>
        <v>7.8703703703703054E-3</v>
      </c>
    </row>
    <row r="1121" spans="1:5" x14ac:dyDescent="0.25">
      <c r="A1121">
        <v>0</v>
      </c>
      <c r="B1121">
        <v>42933</v>
      </c>
      <c r="C1121">
        <v>0.61473379629629632</v>
      </c>
      <c r="D1121">
        <v>0.61660879629629628</v>
      </c>
      <c r="E1121" s="2">
        <f t="shared" si="17"/>
        <v>1.87499999999996E-3</v>
      </c>
    </row>
    <row r="1122" spans="1:5" x14ac:dyDescent="0.25">
      <c r="A1122">
        <v>0</v>
      </c>
      <c r="B1122">
        <v>42933</v>
      </c>
      <c r="C1122">
        <v>0.61943287037037043</v>
      </c>
      <c r="D1122">
        <v>0.62100694444444449</v>
      </c>
      <c r="E1122" s="2">
        <f t="shared" si="17"/>
        <v>1.5740740740740611E-3</v>
      </c>
    </row>
    <row r="1123" spans="1:5" x14ac:dyDescent="0.25">
      <c r="A1123">
        <v>0</v>
      </c>
      <c r="B1123">
        <v>42933</v>
      </c>
      <c r="C1123">
        <v>0.62657407407407406</v>
      </c>
      <c r="D1123">
        <v>0.62818287037037035</v>
      </c>
      <c r="E1123" s="2">
        <f t="shared" si="17"/>
        <v>1.6087962962962887E-3</v>
      </c>
    </row>
    <row r="1124" spans="1:5" x14ac:dyDescent="0.25">
      <c r="A1124">
        <v>0</v>
      </c>
      <c r="B1124">
        <v>42934</v>
      </c>
      <c r="C1124">
        <v>0.33355324074074072</v>
      </c>
      <c r="D1124">
        <v>0.33859953703703705</v>
      </c>
      <c r="E1124" s="2">
        <f t="shared" si="17"/>
        <v>5.0462962962963265E-3</v>
      </c>
    </row>
    <row r="1125" spans="1:5" x14ac:dyDescent="0.25">
      <c r="A1125">
        <v>0</v>
      </c>
      <c r="B1125">
        <v>42934</v>
      </c>
      <c r="C1125">
        <v>0.33582175925925928</v>
      </c>
      <c r="D1125">
        <v>0.34681712962962963</v>
      </c>
      <c r="E1125" s="2">
        <f t="shared" si="17"/>
        <v>1.099537037037035E-2</v>
      </c>
    </row>
    <row r="1126" spans="1:5" x14ac:dyDescent="0.25">
      <c r="A1126">
        <v>0</v>
      </c>
      <c r="B1126">
        <v>42934</v>
      </c>
      <c r="C1126">
        <v>0.34134259259259259</v>
      </c>
      <c r="D1126">
        <v>0.34931712962962963</v>
      </c>
      <c r="E1126" s="2">
        <f t="shared" si="17"/>
        <v>7.9745370370370439E-3</v>
      </c>
    </row>
    <row r="1127" spans="1:5" x14ac:dyDescent="0.25">
      <c r="A1127">
        <v>0</v>
      </c>
      <c r="B1127">
        <v>42934</v>
      </c>
      <c r="C1127">
        <v>0.34586805555555555</v>
      </c>
      <c r="D1127">
        <v>0.34684027777777776</v>
      </c>
      <c r="E1127" s="2">
        <f t="shared" si="17"/>
        <v>9.7222222222220767E-4</v>
      </c>
    </row>
    <row r="1128" spans="1:5" x14ac:dyDescent="0.25">
      <c r="A1128">
        <v>0</v>
      </c>
      <c r="B1128">
        <v>42934</v>
      </c>
      <c r="C1128">
        <v>0.35076388888888888</v>
      </c>
      <c r="D1128">
        <v>0.35863425925925924</v>
      </c>
      <c r="E1128" s="2">
        <f t="shared" si="17"/>
        <v>7.8703703703703609E-3</v>
      </c>
    </row>
    <row r="1129" spans="1:5" x14ac:dyDescent="0.25">
      <c r="A1129">
        <v>0</v>
      </c>
      <c r="B1129">
        <v>42934</v>
      </c>
      <c r="C1129">
        <v>0.35430555555555554</v>
      </c>
      <c r="D1129">
        <v>0.36318287037037039</v>
      </c>
      <c r="E1129" s="2">
        <f t="shared" si="17"/>
        <v>8.8773148148148517E-3</v>
      </c>
    </row>
    <row r="1130" spans="1:5" x14ac:dyDescent="0.25">
      <c r="A1130">
        <v>0</v>
      </c>
      <c r="B1130">
        <v>42934</v>
      </c>
      <c r="C1130">
        <v>0.35718749999999999</v>
      </c>
      <c r="D1130">
        <v>0.36684027777777778</v>
      </c>
      <c r="E1130" s="2">
        <f t="shared" si="17"/>
        <v>9.6527777777777879E-3</v>
      </c>
    </row>
    <row r="1131" spans="1:5" x14ac:dyDescent="0.25">
      <c r="A1131">
        <v>0</v>
      </c>
      <c r="B1131">
        <v>42934</v>
      </c>
      <c r="C1131">
        <v>0.36151620370370369</v>
      </c>
      <c r="D1131">
        <v>0.3712037037037037</v>
      </c>
      <c r="E1131" s="2">
        <f t="shared" si="17"/>
        <v>9.6875000000000155E-3</v>
      </c>
    </row>
    <row r="1132" spans="1:5" x14ac:dyDescent="0.25">
      <c r="A1132">
        <v>0</v>
      </c>
      <c r="B1132">
        <v>42934</v>
      </c>
      <c r="C1132">
        <v>0.36421296296296296</v>
      </c>
      <c r="D1132">
        <v>0.36640046296296297</v>
      </c>
      <c r="E1132" s="2">
        <f t="shared" si="17"/>
        <v>2.1875000000000089E-3</v>
      </c>
    </row>
    <row r="1133" spans="1:5" x14ac:dyDescent="0.25">
      <c r="A1133">
        <v>0</v>
      </c>
      <c r="B1133">
        <v>42934</v>
      </c>
      <c r="C1133">
        <v>0.36937500000000001</v>
      </c>
      <c r="D1133">
        <v>0.37585648148148149</v>
      </c>
      <c r="E1133" s="2">
        <f t="shared" si="17"/>
        <v>6.481481481481477E-3</v>
      </c>
    </row>
    <row r="1134" spans="1:5" x14ac:dyDescent="0.25">
      <c r="A1134">
        <v>0</v>
      </c>
      <c r="B1134">
        <v>42934</v>
      </c>
      <c r="C1134">
        <v>0.37179398148148146</v>
      </c>
      <c r="D1134">
        <v>0.3828125</v>
      </c>
      <c r="E1134" s="2">
        <f t="shared" si="17"/>
        <v>1.1018518518518539E-2</v>
      </c>
    </row>
    <row r="1135" spans="1:5" x14ac:dyDescent="0.25">
      <c r="A1135">
        <v>0</v>
      </c>
      <c r="B1135">
        <v>42934</v>
      </c>
      <c r="C1135">
        <v>0.3772800925925926</v>
      </c>
      <c r="D1135">
        <v>0.3837962962962963</v>
      </c>
      <c r="E1135" s="2">
        <f t="shared" si="17"/>
        <v>6.5162037037037046E-3</v>
      </c>
    </row>
    <row r="1136" spans="1:5" x14ac:dyDescent="0.25">
      <c r="A1136">
        <v>0</v>
      </c>
      <c r="B1136">
        <v>42934</v>
      </c>
      <c r="C1136">
        <v>0.38017361111111109</v>
      </c>
      <c r="D1136">
        <v>0.38291666666666668</v>
      </c>
      <c r="E1136" s="2">
        <f t="shared" si="17"/>
        <v>2.7430555555555958E-3</v>
      </c>
    </row>
    <row r="1137" spans="1:5" x14ac:dyDescent="0.25">
      <c r="A1137">
        <v>0</v>
      </c>
      <c r="B1137">
        <v>42934</v>
      </c>
      <c r="C1137">
        <v>0.38452546296296297</v>
      </c>
      <c r="D1137">
        <v>0.38978009259259261</v>
      </c>
      <c r="E1137" s="2">
        <f t="shared" si="17"/>
        <v>5.2546296296296369E-3</v>
      </c>
    </row>
    <row r="1138" spans="1:5" x14ac:dyDescent="0.25">
      <c r="A1138">
        <v>0</v>
      </c>
      <c r="B1138">
        <v>42934</v>
      </c>
      <c r="C1138">
        <v>0.39093749999999999</v>
      </c>
      <c r="D1138">
        <v>0.39787037037037037</v>
      </c>
      <c r="E1138" s="2">
        <f t="shared" si="17"/>
        <v>6.9328703703703809E-3</v>
      </c>
    </row>
    <row r="1139" spans="1:5" x14ac:dyDescent="0.25">
      <c r="A1139">
        <v>0</v>
      </c>
      <c r="B1139">
        <v>42934</v>
      </c>
      <c r="C1139">
        <v>0.39552083333333332</v>
      </c>
      <c r="D1139">
        <v>0.4007175925925926</v>
      </c>
      <c r="E1139" s="2">
        <f t="shared" si="17"/>
        <v>5.196759259259276E-3</v>
      </c>
    </row>
    <row r="1140" spans="1:5" x14ac:dyDescent="0.25">
      <c r="A1140">
        <v>0</v>
      </c>
      <c r="B1140">
        <v>42934</v>
      </c>
      <c r="C1140">
        <v>0.39964120370370371</v>
      </c>
      <c r="D1140">
        <v>0.4074652777777778</v>
      </c>
      <c r="E1140" s="2">
        <f t="shared" si="17"/>
        <v>7.8240740740740944E-3</v>
      </c>
    </row>
    <row r="1141" spans="1:5" x14ac:dyDescent="0.25">
      <c r="A1141">
        <v>0</v>
      </c>
      <c r="B1141">
        <v>42934</v>
      </c>
      <c r="C1141">
        <v>0.40263888888888888</v>
      </c>
      <c r="D1141">
        <v>0.40846064814814814</v>
      </c>
      <c r="E1141" s="2">
        <f t="shared" si="17"/>
        <v>5.8217592592592626E-3</v>
      </c>
    </row>
    <row r="1142" spans="1:5" x14ac:dyDescent="0.25">
      <c r="A1142">
        <v>0</v>
      </c>
      <c r="B1142">
        <v>42934</v>
      </c>
      <c r="C1142">
        <v>0.40328703703703705</v>
      </c>
      <c r="D1142">
        <v>0.4140625</v>
      </c>
      <c r="E1142" s="2">
        <f t="shared" si="17"/>
        <v>1.0775462962962945E-2</v>
      </c>
    </row>
    <row r="1143" spans="1:5" x14ac:dyDescent="0.25">
      <c r="A1143">
        <v>0</v>
      </c>
      <c r="B1143">
        <v>42934</v>
      </c>
      <c r="C1143">
        <v>0.40337962962962964</v>
      </c>
      <c r="D1143">
        <v>0.41432870370370373</v>
      </c>
      <c r="E1143" s="2">
        <f t="shared" si="17"/>
        <v>1.0949074074074083E-2</v>
      </c>
    </row>
    <row r="1144" spans="1:5" x14ac:dyDescent="0.25">
      <c r="A1144">
        <v>0</v>
      </c>
      <c r="B1144">
        <v>42934</v>
      </c>
      <c r="C1144">
        <v>0.4034490740740741</v>
      </c>
      <c r="D1144">
        <v>0.40371527777777777</v>
      </c>
      <c r="E1144" s="2">
        <f t="shared" si="17"/>
        <v>2.662037037036713E-4</v>
      </c>
    </row>
    <row r="1145" spans="1:5" x14ac:dyDescent="0.25">
      <c r="A1145">
        <v>0</v>
      </c>
      <c r="B1145">
        <v>42934</v>
      </c>
      <c r="C1145">
        <v>0.40690972222222221</v>
      </c>
      <c r="D1145">
        <v>0.4103472222222222</v>
      </c>
      <c r="E1145" s="2">
        <f t="shared" si="17"/>
        <v>3.4374999999999822E-3</v>
      </c>
    </row>
    <row r="1146" spans="1:5" x14ac:dyDescent="0.25">
      <c r="A1146">
        <v>0</v>
      </c>
      <c r="B1146">
        <v>42934</v>
      </c>
      <c r="C1146">
        <v>0.40699074074074076</v>
      </c>
      <c r="D1146">
        <v>0.41368055555555555</v>
      </c>
      <c r="E1146" s="2">
        <f t="shared" si="17"/>
        <v>6.6898148148147873E-3</v>
      </c>
    </row>
    <row r="1147" spans="1:5" x14ac:dyDescent="0.25">
      <c r="A1147">
        <v>0</v>
      </c>
      <c r="B1147">
        <v>42934</v>
      </c>
      <c r="C1147">
        <v>0.40822916666666664</v>
      </c>
      <c r="D1147">
        <v>0.41090277777777778</v>
      </c>
      <c r="E1147" s="2">
        <f t="shared" si="17"/>
        <v>2.6736111111111405E-3</v>
      </c>
    </row>
    <row r="1148" spans="1:5" x14ac:dyDescent="0.25">
      <c r="A1148">
        <v>0</v>
      </c>
      <c r="B1148">
        <v>42934</v>
      </c>
      <c r="C1148">
        <v>0.40974537037037034</v>
      </c>
      <c r="D1148">
        <v>0.41177083333333331</v>
      </c>
      <c r="E1148" s="2">
        <f t="shared" si="17"/>
        <v>2.025462962962965E-3</v>
      </c>
    </row>
    <row r="1149" spans="1:5" x14ac:dyDescent="0.25">
      <c r="A1149">
        <v>0</v>
      </c>
      <c r="B1149">
        <v>42934</v>
      </c>
      <c r="C1149">
        <v>0.41120370370370368</v>
      </c>
      <c r="D1149">
        <v>0.41769675925925925</v>
      </c>
      <c r="E1149" s="2">
        <f t="shared" si="17"/>
        <v>6.4930555555555713E-3</v>
      </c>
    </row>
    <row r="1150" spans="1:5" x14ac:dyDescent="0.25">
      <c r="A1150">
        <v>0</v>
      </c>
      <c r="B1150">
        <v>42934</v>
      </c>
      <c r="C1150">
        <v>0.41260416666666666</v>
      </c>
      <c r="D1150">
        <v>0.41688657407407409</v>
      </c>
      <c r="E1150" s="2">
        <f t="shared" si="17"/>
        <v>4.2824074074074292E-3</v>
      </c>
    </row>
    <row r="1151" spans="1:5" x14ac:dyDescent="0.25">
      <c r="A1151">
        <v>0</v>
      </c>
      <c r="B1151">
        <v>42934</v>
      </c>
      <c r="C1151">
        <v>0.41450231481481481</v>
      </c>
      <c r="D1151">
        <v>0.41574074074074074</v>
      </c>
      <c r="E1151" s="2">
        <f t="shared" si="17"/>
        <v>1.2384259259259345E-3</v>
      </c>
    </row>
    <row r="1152" spans="1:5" x14ac:dyDescent="0.25">
      <c r="A1152">
        <v>0</v>
      </c>
      <c r="B1152">
        <v>42934</v>
      </c>
      <c r="C1152">
        <v>0.41652777777777777</v>
      </c>
      <c r="D1152">
        <v>0.42443287037037036</v>
      </c>
      <c r="E1152" s="2">
        <f t="shared" si="17"/>
        <v>7.9050925925925886E-3</v>
      </c>
    </row>
    <row r="1153" spans="1:5" x14ac:dyDescent="0.25">
      <c r="A1153">
        <v>0</v>
      </c>
      <c r="B1153">
        <v>42934</v>
      </c>
      <c r="C1153">
        <v>0.42114583333333333</v>
      </c>
      <c r="D1153">
        <v>0.4230902777777778</v>
      </c>
      <c r="E1153" s="2">
        <f t="shared" si="17"/>
        <v>1.9444444444444708E-3</v>
      </c>
    </row>
    <row r="1154" spans="1:5" x14ac:dyDescent="0.25">
      <c r="A1154">
        <v>0</v>
      </c>
      <c r="B1154">
        <v>42934</v>
      </c>
      <c r="C1154">
        <v>0.42533564814814817</v>
      </c>
      <c r="D1154">
        <v>0.43167824074074074</v>
      </c>
      <c r="E1154" s="2">
        <f t="shared" ref="E1154:E1217" si="18">D1154-C1154</f>
        <v>6.3425925925925664E-3</v>
      </c>
    </row>
    <row r="1155" spans="1:5" x14ac:dyDescent="0.25">
      <c r="A1155">
        <v>0</v>
      </c>
      <c r="B1155">
        <v>42934</v>
      </c>
      <c r="C1155">
        <v>0.42988425925925927</v>
      </c>
      <c r="D1155">
        <v>0.43424768518518519</v>
      </c>
      <c r="E1155" s="2">
        <f t="shared" si="18"/>
        <v>4.3634259259259234E-3</v>
      </c>
    </row>
    <row r="1156" spans="1:5" x14ac:dyDescent="0.25">
      <c r="A1156">
        <v>0</v>
      </c>
      <c r="B1156">
        <v>42934</v>
      </c>
      <c r="C1156">
        <v>0.42997685185185186</v>
      </c>
      <c r="D1156">
        <v>0.43590277777777775</v>
      </c>
      <c r="E1156" s="2">
        <f t="shared" si="18"/>
        <v>5.9259259259258901E-3</v>
      </c>
    </row>
    <row r="1157" spans="1:5" x14ac:dyDescent="0.25">
      <c r="A1157">
        <v>0</v>
      </c>
      <c r="B1157">
        <v>42934</v>
      </c>
      <c r="C1157">
        <v>0.43025462962962963</v>
      </c>
      <c r="D1157">
        <v>0.43677083333333333</v>
      </c>
      <c r="E1157" s="2">
        <f t="shared" si="18"/>
        <v>6.5162037037037046E-3</v>
      </c>
    </row>
    <row r="1158" spans="1:5" x14ac:dyDescent="0.25">
      <c r="A1158">
        <v>0</v>
      </c>
      <c r="B1158">
        <v>42934</v>
      </c>
      <c r="C1158">
        <v>0.43420138888888887</v>
      </c>
      <c r="D1158">
        <v>0.43973379629629628</v>
      </c>
      <c r="E1158" s="2">
        <f t="shared" si="18"/>
        <v>5.5324074074074026E-3</v>
      </c>
    </row>
    <row r="1159" spans="1:5" x14ac:dyDescent="0.25">
      <c r="A1159">
        <v>0</v>
      </c>
      <c r="B1159">
        <v>42934</v>
      </c>
      <c r="C1159">
        <v>0.4354513888888889</v>
      </c>
      <c r="D1159">
        <v>0.43745370370370368</v>
      </c>
      <c r="E1159" s="2">
        <f t="shared" si="18"/>
        <v>2.0023148148147762E-3</v>
      </c>
    </row>
    <row r="1160" spans="1:5" x14ac:dyDescent="0.25">
      <c r="A1160">
        <v>0</v>
      </c>
      <c r="B1160">
        <v>42934</v>
      </c>
      <c r="C1160">
        <v>0.43821759259259258</v>
      </c>
      <c r="D1160">
        <v>0.44969907407407406</v>
      </c>
      <c r="E1160" s="2">
        <f t="shared" si="18"/>
        <v>1.1481481481481481E-2</v>
      </c>
    </row>
    <row r="1161" spans="1:5" x14ac:dyDescent="0.25">
      <c r="A1161">
        <v>0</v>
      </c>
      <c r="B1161">
        <v>42934</v>
      </c>
      <c r="C1161">
        <v>0.4403125</v>
      </c>
      <c r="D1161">
        <v>0.4490972222222222</v>
      </c>
      <c r="E1161" s="2">
        <f t="shared" si="18"/>
        <v>8.7847222222222077E-3</v>
      </c>
    </row>
    <row r="1162" spans="1:5" x14ac:dyDescent="0.25">
      <c r="A1162">
        <v>0</v>
      </c>
      <c r="B1162">
        <v>42934</v>
      </c>
      <c r="C1162">
        <v>0.44385416666666666</v>
      </c>
      <c r="D1162">
        <v>0.45193287037037039</v>
      </c>
      <c r="E1162" s="2">
        <f t="shared" si="18"/>
        <v>8.0787037037037268E-3</v>
      </c>
    </row>
    <row r="1163" spans="1:5" x14ac:dyDescent="0.25">
      <c r="A1163">
        <v>0</v>
      </c>
      <c r="B1163">
        <v>42934</v>
      </c>
      <c r="C1163">
        <v>0.44744212962962965</v>
      </c>
      <c r="D1163">
        <v>0.45751157407407406</v>
      </c>
      <c r="E1163" s="2">
        <f t="shared" si="18"/>
        <v>1.0069444444444409E-2</v>
      </c>
    </row>
    <row r="1164" spans="1:5" x14ac:dyDescent="0.25">
      <c r="A1164">
        <v>0</v>
      </c>
      <c r="B1164">
        <v>42934</v>
      </c>
      <c r="C1164">
        <v>0.45238425925925924</v>
      </c>
      <c r="D1164">
        <v>0.45937499999999998</v>
      </c>
      <c r="E1164" s="2">
        <f t="shared" si="18"/>
        <v>6.9907407407407418E-3</v>
      </c>
    </row>
    <row r="1165" spans="1:5" x14ac:dyDescent="0.25">
      <c r="A1165">
        <v>0</v>
      </c>
      <c r="B1165">
        <v>42934</v>
      </c>
      <c r="C1165">
        <v>0.45417824074074076</v>
      </c>
      <c r="D1165">
        <v>0.46438657407407408</v>
      </c>
      <c r="E1165" s="2">
        <f t="shared" si="18"/>
        <v>1.0208333333333319E-2</v>
      </c>
    </row>
    <row r="1166" spans="1:5" x14ac:dyDescent="0.25">
      <c r="A1166">
        <v>0</v>
      </c>
      <c r="B1166">
        <v>42934</v>
      </c>
      <c r="C1166">
        <v>0.45437499999999997</v>
      </c>
      <c r="D1166">
        <v>0.45770833333333333</v>
      </c>
      <c r="E1166" s="2">
        <f t="shared" si="18"/>
        <v>3.3333333333333548E-3</v>
      </c>
    </row>
    <row r="1167" spans="1:5" x14ac:dyDescent="0.25">
      <c r="A1167">
        <v>0</v>
      </c>
      <c r="B1167">
        <v>42934</v>
      </c>
      <c r="C1167">
        <v>0.45680555555555558</v>
      </c>
      <c r="D1167">
        <v>0.4636689814814815</v>
      </c>
      <c r="E1167" s="2">
        <f t="shared" si="18"/>
        <v>6.8634259259259256E-3</v>
      </c>
    </row>
    <row r="1168" spans="1:5" x14ac:dyDescent="0.25">
      <c r="A1168">
        <v>0</v>
      </c>
      <c r="B1168">
        <v>42934</v>
      </c>
      <c r="C1168">
        <v>0.45947916666666666</v>
      </c>
      <c r="D1168">
        <v>0.46460648148148148</v>
      </c>
      <c r="E1168" s="2">
        <f t="shared" si="18"/>
        <v>5.1273148148148207E-3</v>
      </c>
    </row>
    <row r="1169" spans="1:5" x14ac:dyDescent="0.25">
      <c r="A1169">
        <v>0</v>
      </c>
      <c r="B1169">
        <v>42934</v>
      </c>
      <c r="C1169">
        <v>0.46127314814814813</v>
      </c>
      <c r="D1169">
        <v>0.46726851851851853</v>
      </c>
      <c r="E1169" s="2">
        <f t="shared" si="18"/>
        <v>5.9953703703704009E-3</v>
      </c>
    </row>
    <row r="1170" spans="1:5" x14ac:dyDescent="0.25">
      <c r="A1170">
        <v>0</v>
      </c>
      <c r="B1170">
        <v>42934</v>
      </c>
      <c r="C1170">
        <v>0.46130787037037035</v>
      </c>
      <c r="D1170">
        <v>0.47226851851851853</v>
      </c>
      <c r="E1170" s="2">
        <f t="shared" si="18"/>
        <v>1.0960648148148178E-2</v>
      </c>
    </row>
    <row r="1171" spans="1:5" x14ac:dyDescent="0.25">
      <c r="A1171">
        <v>0</v>
      </c>
      <c r="B1171">
        <v>42934</v>
      </c>
      <c r="C1171">
        <v>0.46574074074074073</v>
      </c>
      <c r="D1171">
        <v>0.47495370370370371</v>
      </c>
      <c r="E1171" s="2">
        <f t="shared" si="18"/>
        <v>9.2129629629629783E-3</v>
      </c>
    </row>
    <row r="1172" spans="1:5" x14ac:dyDescent="0.25">
      <c r="A1172">
        <v>0</v>
      </c>
      <c r="B1172">
        <v>42934</v>
      </c>
      <c r="C1172">
        <v>0.46872685185185187</v>
      </c>
      <c r="D1172">
        <v>0.47244212962962961</v>
      </c>
      <c r="E1172" s="2">
        <f t="shared" si="18"/>
        <v>3.7152777777777479E-3</v>
      </c>
    </row>
    <row r="1173" spans="1:5" x14ac:dyDescent="0.25">
      <c r="A1173">
        <v>0</v>
      </c>
      <c r="B1173">
        <v>42934</v>
      </c>
      <c r="C1173">
        <v>0.47074074074074074</v>
      </c>
      <c r="D1173">
        <v>0.47409722222222223</v>
      </c>
      <c r="E1173" s="2">
        <f t="shared" si="18"/>
        <v>3.3564814814814881E-3</v>
      </c>
    </row>
    <row r="1174" spans="1:5" x14ac:dyDescent="0.25">
      <c r="A1174">
        <v>0</v>
      </c>
      <c r="B1174">
        <v>42934</v>
      </c>
      <c r="C1174">
        <v>0.47208333333333335</v>
      </c>
      <c r="D1174">
        <v>0.48284722222222221</v>
      </c>
      <c r="E1174" s="2">
        <f t="shared" si="18"/>
        <v>1.0763888888888851E-2</v>
      </c>
    </row>
    <row r="1175" spans="1:5" x14ac:dyDescent="0.25">
      <c r="A1175">
        <v>0</v>
      </c>
      <c r="B1175">
        <v>42934</v>
      </c>
      <c r="C1175">
        <v>0.47394675925925928</v>
      </c>
      <c r="D1175">
        <v>0.48170138888888892</v>
      </c>
      <c r="E1175" s="2">
        <f t="shared" si="18"/>
        <v>7.7546296296296391E-3</v>
      </c>
    </row>
    <row r="1176" spans="1:5" x14ac:dyDescent="0.25">
      <c r="A1176">
        <v>0</v>
      </c>
      <c r="B1176">
        <v>42934</v>
      </c>
      <c r="C1176">
        <v>0.4750462962962963</v>
      </c>
      <c r="D1176">
        <v>0.47592592592592592</v>
      </c>
      <c r="E1176" s="2">
        <f t="shared" si="18"/>
        <v>8.796296296296191E-4</v>
      </c>
    </row>
    <row r="1177" spans="1:5" x14ac:dyDescent="0.25">
      <c r="A1177">
        <v>0</v>
      </c>
      <c r="B1177">
        <v>42934</v>
      </c>
      <c r="C1177">
        <v>0.47505787037037039</v>
      </c>
      <c r="D1177">
        <v>0.48318287037037039</v>
      </c>
      <c r="E1177" s="2">
        <f t="shared" si="18"/>
        <v>8.1249999999999933E-3</v>
      </c>
    </row>
    <row r="1178" spans="1:5" x14ac:dyDescent="0.25">
      <c r="A1178">
        <v>0</v>
      </c>
      <c r="B1178">
        <v>42934</v>
      </c>
      <c r="C1178">
        <v>0.47949074074074072</v>
      </c>
      <c r="D1178">
        <v>0.48335648148148147</v>
      </c>
      <c r="E1178" s="2">
        <f t="shared" si="18"/>
        <v>3.8657407407407529E-3</v>
      </c>
    </row>
    <row r="1179" spans="1:5" x14ac:dyDescent="0.25">
      <c r="A1179">
        <v>0</v>
      </c>
      <c r="B1179">
        <v>42934</v>
      </c>
      <c r="C1179">
        <v>0.48378472222222224</v>
      </c>
      <c r="D1179">
        <v>0.48681712962962964</v>
      </c>
      <c r="E1179" s="2">
        <f t="shared" si="18"/>
        <v>3.0324074074074003E-3</v>
      </c>
    </row>
    <row r="1180" spans="1:5" x14ac:dyDescent="0.25">
      <c r="A1180">
        <v>0</v>
      </c>
      <c r="B1180">
        <v>42934</v>
      </c>
      <c r="C1180">
        <v>0.48379629629629628</v>
      </c>
      <c r="D1180">
        <v>0.49018518518518517</v>
      </c>
      <c r="E1180" s="2">
        <f t="shared" si="18"/>
        <v>6.3888888888888884E-3</v>
      </c>
    </row>
    <row r="1181" spans="1:5" x14ac:dyDescent="0.25">
      <c r="A1181">
        <v>0</v>
      </c>
      <c r="B1181">
        <v>42934</v>
      </c>
      <c r="C1181">
        <v>0.48715277777777777</v>
      </c>
      <c r="D1181">
        <v>0.49586805555555558</v>
      </c>
      <c r="E1181" s="2">
        <f t="shared" si="18"/>
        <v>8.7152777777778079E-3</v>
      </c>
    </row>
    <row r="1182" spans="1:5" x14ac:dyDescent="0.25">
      <c r="A1182">
        <v>0</v>
      </c>
      <c r="B1182">
        <v>42934</v>
      </c>
      <c r="C1182">
        <v>0.48723379629629632</v>
      </c>
      <c r="D1182">
        <v>0.4914351851851852</v>
      </c>
      <c r="E1182" s="2">
        <f t="shared" si="18"/>
        <v>4.2013888888888795E-3</v>
      </c>
    </row>
    <row r="1183" spans="1:5" x14ac:dyDescent="0.25">
      <c r="A1183">
        <v>0</v>
      </c>
      <c r="B1183">
        <v>42934</v>
      </c>
      <c r="C1183">
        <v>0.48899305555555556</v>
      </c>
      <c r="D1183">
        <v>0.49456018518518519</v>
      </c>
      <c r="E1183" s="2">
        <f t="shared" si="18"/>
        <v>5.5671296296296302E-3</v>
      </c>
    </row>
    <row r="1184" spans="1:5" x14ac:dyDescent="0.25">
      <c r="A1184">
        <v>0</v>
      </c>
      <c r="B1184">
        <v>42934</v>
      </c>
      <c r="C1184">
        <v>0.49277777777777776</v>
      </c>
      <c r="D1184">
        <v>0.49600694444444443</v>
      </c>
      <c r="E1184" s="2">
        <f t="shared" si="18"/>
        <v>3.2291666666666718E-3</v>
      </c>
    </row>
    <row r="1185" spans="1:5" x14ac:dyDescent="0.25">
      <c r="A1185">
        <v>0</v>
      </c>
      <c r="B1185">
        <v>42934</v>
      </c>
      <c r="C1185">
        <v>0.49465277777777777</v>
      </c>
      <c r="D1185">
        <v>0.49899305555555556</v>
      </c>
      <c r="E1185" s="2">
        <f t="shared" si="18"/>
        <v>4.3402777777777901E-3</v>
      </c>
    </row>
    <row r="1186" spans="1:5" x14ac:dyDescent="0.25">
      <c r="A1186">
        <v>0</v>
      </c>
      <c r="B1186">
        <v>42934</v>
      </c>
      <c r="C1186">
        <v>0.49968750000000001</v>
      </c>
      <c r="D1186">
        <v>0.50692129629629634</v>
      </c>
      <c r="E1186" s="2">
        <f t="shared" si="18"/>
        <v>7.2337962962963354E-3</v>
      </c>
    </row>
    <row r="1187" spans="1:5" x14ac:dyDescent="0.25">
      <c r="A1187">
        <v>0</v>
      </c>
      <c r="B1187">
        <v>42934</v>
      </c>
      <c r="C1187">
        <v>0.50384259259259256</v>
      </c>
      <c r="D1187">
        <v>0.50868055555555558</v>
      </c>
      <c r="E1187" s="2">
        <f t="shared" si="18"/>
        <v>4.8379629629630161E-3</v>
      </c>
    </row>
    <row r="1188" spans="1:5" x14ac:dyDescent="0.25">
      <c r="A1188">
        <v>0</v>
      </c>
      <c r="B1188">
        <v>42934</v>
      </c>
      <c r="C1188">
        <v>0.50648148148148153</v>
      </c>
      <c r="D1188">
        <v>0.51042824074074078</v>
      </c>
      <c r="E1188" s="2">
        <f t="shared" si="18"/>
        <v>3.9467592592592471E-3</v>
      </c>
    </row>
    <row r="1189" spans="1:5" x14ac:dyDescent="0.25">
      <c r="A1189">
        <v>0</v>
      </c>
      <c r="B1189">
        <v>42934</v>
      </c>
      <c r="C1189">
        <v>0.50979166666666664</v>
      </c>
      <c r="D1189">
        <v>0.51483796296296291</v>
      </c>
      <c r="E1189" s="2">
        <f t="shared" si="18"/>
        <v>5.046296296296271E-3</v>
      </c>
    </row>
    <row r="1190" spans="1:5" x14ac:dyDescent="0.25">
      <c r="A1190">
        <v>0</v>
      </c>
      <c r="B1190">
        <v>42934</v>
      </c>
      <c r="C1190">
        <v>0.51164351851851853</v>
      </c>
      <c r="D1190">
        <v>0.51975694444444442</v>
      </c>
      <c r="E1190" s="2">
        <f t="shared" si="18"/>
        <v>8.113425925925899E-3</v>
      </c>
    </row>
    <row r="1191" spans="1:5" x14ac:dyDescent="0.25">
      <c r="A1191">
        <v>0</v>
      </c>
      <c r="B1191">
        <v>42934</v>
      </c>
      <c r="C1191">
        <v>0.5161458333333333</v>
      </c>
      <c r="D1191">
        <v>0.5222106481481481</v>
      </c>
      <c r="E1191" s="2">
        <f t="shared" si="18"/>
        <v>6.0648148148148007E-3</v>
      </c>
    </row>
    <row r="1192" spans="1:5" x14ac:dyDescent="0.25">
      <c r="A1192">
        <v>0</v>
      </c>
      <c r="B1192">
        <v>42934</v>
      </c>
      <c r="C1192">
        <v>0.51627314814814818</v>
      </c>
      <c r="D1192">
        <v>0.51844907407407403</v>
      </c>
      <c r="E1192" s="2">
        <f t="shared" si="18"/>
        <v>2.175925925925859E-3</v>
      </c>
    </row>
    <row r="1193" spans="1:5" x14ac:dyDescent="0.25">
      <c r="A1193">
        <v>0</v>
      </c>
      <c r="B1193">
        <v>42934</v>
      </c>
      <c r="C1193">
        <v>0.52061342592592597</v>
      </c>
      <c r="D1193">
        <v>0.52561342592592597</v>
      </c>
      <c r="E1193" s="2">
        <f t="shared" si="18"/>
        <v>5.0000000000000044E-3</v>
      </c>
    </row>
    <row r="1194" spans="1:5" x14ac:dyDescent="0.25">
      <c r="A1194">
        <v>0</v>
      </c>
      <c r="B1194">
        <v>42934</v>
      </c>
      <c r="C1194">
        <v>0.5259490740740741</v>
      </c>
      <c r="D1194">
        <v>0.53439814814814812</v>
      </c>
      <c r="E1194" s="2">
        <f t="shared" si="18"/>
        <v>8.4490740740740256E-3</v>
      </c>
    </row>
    <row r="1195" spans="1:5" x14ac:dyDescent="0.25">
      <c r="A1195">
        <v>0</v>
      </c>
      <c r="B1195">
        <v>42934</v>
      </c>
      <c r="C1195">
        <v>0.53025462962962966</v>
      </c>
      <c r="D1195">
        <v>0.53217592592592589</v>
      </c>
      <c r="E1195" s="2">
        <f t="shared" si="18"/>
        <v>1.9212962962962266E-3</v>
      </c>
    </row>
    <row r="1196" spans="1:5" x14ac:dyDescent="0.25">
      <c r="A1196">
        <v>0</v>
      </c>
      <c r="B1196">
        <v>42934</v>
      </c>
      <c r="C1196">
        <v>0.53412037037037041</v>
      </c>
      <c r="D1196">
        <v>0.53467592592592594</v>
      </c>
      <c r="E1196" s="2">
        <f t="shared" si="18"/>
        <v>5.5555555555553138E-4</v>
      </c>
    </row>
    <row r="1197" spans="1:5" x14ac:dyDescent="0.25">
      <c r="A1197">
        <v>0</v>
      </c>
      <c r="B1197">
        <v>42934</v>
      </c>
      <c r="C1197">
        <v>0.53760416666666666</v>
      </c>
      <c r="D1197">
        <v>0.546412037037037</v>
      </c>
      <c r="E1197" s="2">
        <f t="shared" si="18"/>
        <v>8.8078703703703409E-3</v>
      </c>
    </row>
    <row r="1198" spans="1:5" x14ac:dyDescent="0.25">
      <c r="A1198">
        <v>0</v>
      </c>
      <c r="B1198">
        <v>42934</v>
      </c>
      <c r="C1198">
        <v>0.54335648148148152</v>
      </c>
      <c r="D1198">
        <v>0.55396990740740737</v>
      </c>
      <c r="E1198" s="2">
        <f t="shared" si="18"/>
        <v>1.0613425925925846E-2</v>
      </c>
    </row>
    <row r="1199" spans="1:5" x14ac:dyDescent="0.25">
      <c r="A1199">
        <v>0</v>
      </c>
      <c r="B1199">
        <v>42934</v>
      </c>
      <c r="C1199">
        <v>0.54686342592592596</v>
      </c>
      <c r="D1199">
        <v>0.54782407407407407</v>
      </c>
      <c r="E1199" s="2">
        <f t="shared" si="18"/>
        <v>9.6064814814811328E-4</v>
      </c>
    </row>
    <row r="1200" spans="1:5" x14ac:dyDescent="0.25">
      <c r="A1200">
        <v>0</v>
      </c>
      <c r="B1200">
        <v>42934</v>
      </c>
      <c r="C1200">
        <v>0.55008101851851854</v>
      </c>
      <c r="D1200">
        <v>0.55730324074074078</v>
      </c>
      <c r="E1200" s="2">
        <f t="shared" si="18"/>
        <v>7.222222222222241E-3</v>
      </c>
    </row>
    <row r="1201" spans="1:5" x14ac:dyDescent="0.25">
      <c r="A1201">
        <v>0</v>
      </c>
      <c r="B1201">
        <v>42934</v>
      </c>
      <c r="C1201">
        <v>0.55039351851851848</v>
      </c>
      <c r="D1201">
        <v>0.5572569444444444</v>
      </c>
      <c r="E1201" s="2">
        <f t="shared" si="18"/>
        <v>6.8634259259259256E-3</v>
      </c>
    </row>
    <row r="1202" spans="1:5" x14ac:dyDescent="0.25">
      <c r="A1202">
        <v>0</v>
      </c>
      <c r="B1202">
        <v>42934</v>
      </c>
      <c r="C1202">
        <v>0.55447916666666663</v>
      </c>
      <c r="D1202">
        <v>0.56332175925925931</v>
      </c>
      <c r="E1202" s="2">
        <f t="shared" si="18"/>
        <v>8.8425925925926796E-3</v>
      </c>
    </row>
    <row r="1203" spans="1:5" x14ac:dyDescent="0.25">
      <c r="A1203">
        <v>0</v>
      </c>
      <c r="B1203">
        <v>42934</v>
      </c>
      <c r="C1203">
        <v>0.55645833333333339</v>
      </c>
      <c r="D1203">
        <v>0.55648148148148147</v>
      </c>
      <c r="E1203" s="2">
        <f t="shared" si="18"/>
        <v>2.3148148148077752E-5</v>
      </c>
    </row>
    <row r="1204" spans="1:5" x14ac:dyDescent="0.25">
      <c r="A1204">
        <v>0</v>
      </c>
      <c r="B1204">
        <v>42934</v>
      </c>
      <c r="C1204">
        <v>0.5621990740740741</v>
      </c>
      <c r="D1204">
        <v>0.56353009259259257</v>
      </c>
      <c r="E1204" s="2">
        <f t="shared" si="18"/>
        <v>1.3310185185184675E-3</v>
      </c>
    </row>
    <row r="1205" spans="1:5" x14ac:dyDescent="0.25">
      <c r="A1205">
        <v>0</v>
      </c>
      <c r="B1205">
        <v>42934</v>
      </c>
      <c r="C1205">
        <v>0.56714120370370369</v>
      </c>
      <c r="D1205">
        <v>0.56869212962962967</v>
      </c>
      <c r="E1205" s="2">
        <f t="shared" si="18"/>
        <v>1.5509259259259833E-3</v>
      </c>
    </row>
    <row r="1206" spans="1:5" x14ac:dyDescent="0.25">
      <c r="A1206">
        <v>0</v>
      </c>
      <c r="B1206">
        <v>42934</v>
      </c>
      <c r="C1206">
        <v>0.57276620370370368</v>
      </c>
      <c r="D1206">
        <v>0.57995370370370369</v>
      </c>
      <c r="E1206" s="2">
        <f t="shared" si="18"/>
        <v>7.1875000000000133E-3</v>
      </c>
    </row>
    <row r="1207" spans="1:5" x14ac:dyDescent="0.25">
      <c r="A1207">
        <v>0</v>
      </c>
      <c r="B1207">
        <v>42934</v>
      </c>
      <c r="C1207">
        <v>0.57841435185185186</v>
      </c>
      <c r="D1207">
        <v>0.58364583333333331</v>
      </c>
      <c r="E1207" s="2">
        <f t="shared" si="18"/>
        <v>5.2314814814814481E-3</v>
      </c>
    </row>
    <row r="1208" spans="1:5" x14ac:dyDescent="0.25">
      <c r="A1208">
        <v>0</v>
      </c>
      <c r="B1208">
        <v>42934</v>
      </c>
      <c r="C1208">
        <v>0.57988425925925924</v>
      </c>
      <c r="D1208">
        <v>0.58928240740740745</v>
      </c>
      <c r="E1208" s="2">
        <f t="shared" si="18"/>
        <v>9.398148148148211E-3</v>
      </c>
    </row>
    <row r="1209" spans="1:5" x14ac:dyDescent="0.25">
      <c r="A1209">
        <v>0</v>
      </c>
      <c r="B1209">
        <v>42934</v>
      </c>
      <c r="C1209">
        <v>0.58524305555555556</v>
      </c>
      <c r="D1209">
        <v>0.591400462962963</v>
      </c>
      <c r="E1209" s="2">
        <f t="shared" si="18"/>
        <v>6.1574074074074447E-3</v>
      </c>
    </row>
    <row r="1210" spans="1:5" x14ac:dyDescent="0.25">
      <c r="A1210">
        <v>0</v>
      </c>
      <c r="B1210">
        <v>42934</v>
      </c>
      <c r="C1210">
        <v>0.58543981481481477</v>
      </c>
      <c r="D1210">
        <v>0.58929398148148149</v>
      </c>
      <c r="E1210" s="2">
        <f t="shared" si="18"/>
        <v>3.854166666666714E-3</v>
      </c>
    </row>
    <row r="1211" spans="1:5" x14ac:dyDescent="0.25">
      <c r="A1211">
        <v>0</v>
      </c>
      <c r="B1211">
        <v>42934</v>
      </c>
      <c r="C1211">
        <v>0.58942129629629625</v>
      </c>
      <c r="D1211">
        <v>0.59734953703703708</v>
      </c>
      <c r="E1211" s="2">
        <f t="shared" si="18"/>
        <v>7.9282407407408328E-3</v>
      </c>
    </row>
    <row r="1212" spans="1:5" x14ac:dyDescent="0.25">
      <c r="A1212">
        <v>0</v>
      </c>
      <c r="B1212">
        <v>42934</v>
      </c>
      <c r="C1212">
        <v>0.59495370370370371</v>
      </c>
      <c r="D1212">
        <v>0.5965625</v>
      </c>
      <c r="E1212" s="2">
        <f t="shared" si="18"/>
        <v>1.6087962962962887E-3</v>
      </c>
    </row>
    <row r="1213" spans="1:5" x14ac:dyDescent="0.25">
      <c r="A1213">
        <v>0</v>
      </c>
      <c r="B1213">
        <v>42934</v>
      </c>
      <c r="C1213">
        <v>0.59964120370370366</v>
      </c>
      <c r="D1213">
        <v>0.60444444444444445</v>
      </c>
      <c r="E1213" s="2">
        <f t="shared" si="18"/>
        <v>4.8032407407407884E-3</v>
      </c>
    </row>
    <row r="1214" spans="1:5" x14ac:dyDescent="0.25">
      <c r="A1214">
        <v>0</v>
      </c>
      <c r="B1214">
        <v>42934</v>
      </c>
      <c r="C1214">
        <v>0.60268518518518521</v>
      </c>
      <c r="D1214">
        <v>0.60929398148148151</v>
      </c>
      <c r="E1214" s="2">
        <f t="shared" si="18"/>
        <v>6.6087962962962932E-3</v>
      </c>
    </row>
    <row r="1215" spans="1:5" x14ac:dyDescent="0.25">
      <c r="A1215">
        <v>0</v>
      </c>
      <c r="B1215">
        <v>42934</v>
      </c>
      <c r="C1215">
        <v>0.60423611111111108</v>
      </c>
      <c r="D1215">
        <v>0.61535879629629631</v>
      </c>
      <c r="E1215" s="2">
        <f t="shared" si="18"/>
        <v>1.1122685185185222E-2</v>
      </c>
    </row>
    <row r="1216" spans="1:5" x14ac:dyDescent="0.25">
      <c r="A1216">
        <v>0</v>
      </c>
      <c r="B1216">
        <v>42934</v>
      </c>
      <c r="C1216">
        <v>0.60932870370370373</v>
      </c>
      <c r="D1216">
        <v>0.61124999999999996</v>
      </c>
      <c r="E1216" s="2">
        <f t="shared" si="18"/>
        <v>1.9212962962962266E-3</v>
      </c>
    </row>
    <row r="1217" spans="1:5" x14ac:dyDescent="0.25">
      <c r="A1217">
        <v>0</v>
      </c>
      <c r="B1217">
        <v>42934</v>
      </c>
      <c r="C1217">
        <v>0.61365740740740737</v>
      </c>
      <c r="D1217">
        <v>0.61829861111111106</v>
      </c>
      <c r="E1217" s="2">
        <f t="shared" si="18"/>
        <v>4.6412037037036891E-3</v>
      </c>
    </row>
    <row r="1218" spans="1:5" x14ac:dyDescent="0.25">
      <c r="A1218">
        <v>0</v>
      </c>
      <c r="B1218">
        <v>42934</v>
      </c>
      <c r="C1218">
        <v>0.61675925925925923</v>
      </c>
      <c r="D1218">
        <v>0.61790509259259263</v>
      </c>
      <c r="E1218" s="2">
        <f t="shared" ref="E1218:E1281" si="19">D1218-C1218</f>
        <v>1.1458333333334014E-3</v>
      </c>
    </row>
    <row r="1219" spans="1:5" x14ac:dyDescent="0.25">
      <c r="A1219">
        <v>0</v>
      </c>
      <c r="B1219">
        <v>42934</v>
      </c>
      <c r="C1219">
        <v>0.62184027777777773</v>
      </c>
      <c r="D1219">
        <v>0.63255787037037037</v>
      </c>
      <c r="E1219" s="2">
        <f t="shared" si="19"/>
        <v>1.071759259259264E-2</v>
      </c>
    </row>
    <row r="1220" spans="1:5" x14ac:dyDescent="0.25">
      <c r="A1220">
        <v>0</v>
      </c>
      <c r="B1220">
        <v>42934</v>
      </c>
      <c r="C1220">
        <v>0.62197916666666664</v>
      </c>
      <c r="D1220">
        <v>0.62238425925925922</v>
      </c>
      <c r="E1220" s="2">
        <f t="shared" si="19"/>
        <v>4.050925925925819E-4</v>
      </c>
    </row>
    <row r="1221" spans="1:5" x14ac:dyDescent="0.25">
      <c r="A1221">
        <v>0</v>
      </c>
      <c r="B1221">
        <v>42934</v>
      </c>
      <c r="C1221">
        <v>0.62556712962962968</v>
      </c>
      <c r="D1221">
        <v>0.63491898148148151</v>
      </c>
      <c r="E1221" s="2">
        <f t="shared" si="19"/>
        <v>9.3518518518518334E-3</v>
      </c>
    </row>
    <row r="1222" spans="1:5" x14ac:dyDescent="0.25">
      <c r="A1222">
        <v>0</v>
      </c>
      <c r="B1222">
        <v>42935</v>
      </c>
      <c r="C1222">
        <v>0.33592592592592591</v>
      </c>
      <c r="D1222">
        <v>0.34680555555555553</v>
      </c>
      <c r="E1222" s="2">
        <f t="shared" si="19"/>
        <v>1.0879629629629628E-2</v>
      </c>
    </row>
    <row r="1223" spans="1:5" x14ac:dyDescent="0.25">
      <c r="A1223">
        <v>0</v>
      </c>
      <c r="B1223">
        <v>42935</v>
      </c>
      <c r="C1223">
        <v>0.33888888888888891</v>
      </c>
      <c r="D1223">
        <v>0.3502777777777778</v>
      </c>
      <c r="E1223" s="2">
        <f t="shared" si="19"/>
        <v>1.1388888888888893E-2</v>
      </c>
    </row>
    <row r="1224" spans="1:5" x14ac:dyDescent="0.25">
      <c r="A1224">
        <v>0</v>
      </c>
      <c r="B1224">
        <v>42935</v>
      </c>
      <c r="C1224">
        <v>0.34309027777777779</v>
      </c>
      <c r="D1224">
        <v>0.34798611111111111</v>
      </c>
      <c r="E1224" s="2">
        <f t="shared" si="19"/>
        <v>4.8958333333333215E-3</v>
      </c>
    </row>
    <row r="1225" spans="1:5" x14ac:dyDescent="0.25">
      <c r="A1225">
        <v>0</v>
      </c>
      <c r="B1225">
        <v>42935</v>
      </c>
      <c r="C1225">
        <v>0.34704861111111113</v>
      </c>
      <c r="D1225">
        <v>0.35386574074074073</v>
      </c>
      <c r="E1225" s="2">
        <f t="shared" si="19"/>
        <v>6.8171296296296036E-3</v>
      </c>
    </row>
    <row r="1226" spans="1:5" x14ac:dyDescent="0.25">
      <c r="A1226">
        <v>0</v>
      </c>
      <c r="B1226">
        <v>42935</v>
      </c>
      <c r="C1226">
        <v>0.35040509259259262</v>
      </c>
      <c r="D1226">
        <v>0.35600694444444442</v>
      </c>
      <c r="E1226" s="2">
        <f t="shared" si="19"/>
        <v>5.6018518518518023E-3</v>
      </c>
    </row>
    <row r="1227" spans="1:5" x14ac:dyDescent="0.25">
      <c r="A1227">
        <v>0</v>
      </c>
      <c r="B1227">
        <v>42935</v>
      </c>
      <c r="C1227">
        <v>0.35304398148148147</v>
      </c>
      <c r="D1227">
        <v>0.35793981481481479</v>
      </c>
      <c r="E1227" s="2">
        <f t="shared" si="19"/>
        <v>4.8958333333333215E-3</v>
      </c>
    </row>
    <row r="1228" spans="1:5" x14ac:dyDescent="0.25">
      <c r="A1228">
        <v>0</v>
      </c>
      <c r="B1228">
        <v>42935</v>
      </c>
      <c r="C1228">
        <v>0.35712962962962963</v>
      </c>
      <c r="D1228">
        <v>0.36243055555555553</v>
      </c>
      <c r="E1228" s="2">
        <f t="shared" si="19"/>
        <v>5.3009259259259034E-3</v>
      </c>
    </row>
    <row r="1229" spans="1:5" x14ac:dyDescent="0.25">
      <c r="A1229">
        <v>0</v>
      </c>
      <c r="B1229">
        <v>42935</v>
      </c>
      <c r="C1229">
        <v>0.35835648148148147</v>
      </c>
      <c r="D1229">
        <v>0.36712962962962964</v>
      </c>
      <c r="E1229" s="2">
        <f t="shared" si="19"/>
        <v>8.7731481481481688E-3</v>
      </c>
    </row>
    <row r="1230" spans="1:5" x14ac:dyDescent="0.25">
      <c r="A1230">
        <v>0</v>
      </c>
      <c r="B1230">
        <v>42935</v>
      </c>
      <c r="C1230">
        <v>0.36310185185185184</v>
      </c>
      <c r="D1230">
        <v>0.36723379629629632</v>
      </c>
      <c r="E1230" s="2">
        <f t="shared" si="19"/>
        <v>4.1319444444444797E-3</v>
      </c>
    </row>
    <row r="1231" spans="1:5" x14ac:dyDescent="0.25">
      <c r="A1231">
        <v>0</v>
      </c>
      <c r="B1231">
        <v>42935</v>
      </c>
      <c r="C1231">
        <v>0.36886574074074074</v>
      </c>
      <c r="D1231">
        <v>0.37324074074074076</v>
      </c>
      <c r="E1231" s="2">
        <f t="shared" si="19"/>
        <v>4.3750000000000178E-3</v>
      </c>
    </row>
    <row r="1232" spans="1:5" x14ac:dyDescent="0.25">
      <c r="A1232">
        <v>0</v>
      </c>
      <c r="B1232">
        <v>42935</v>
      </c>
      <c r="C1232">
        <v>0.37094907407407407</v>
      </c>
      <c r="D1232">
        <v>0.37517361111111114</v>
      </c>
      <c r="E1232" s="2">
        <f t="shared" si="19"/>
        <v>4.2245370370370683E-3</v>
      </c>
    </row>
    <row r="1233" spans="1:5" x14ac:dyDescent="0.25">
      <c r="A1233">
        <v>0</v>
      </c>
      <c r="B1233">
        <v>42935</v>
      </c>
      <c r="C1233">
        <v>0.37484953703703705</v>
      </c>
      <c r="D1233">
        <v>0.38143518518518521</v>
      </c>
      <c r="E1233" s="2">
        <f t="shared" si="19"/>
        <v>6.5856481481481599E-3</v>
      </c>
    </row>
    <row r="1234" spans="1:5" x14ac:dyDescent="0.25">
      <c r="A1234">
        <v>0</v>
      </c>
      <c r="B1234">
        <v>42935</v>
      </c>
      <c r="C1234">
        <v>0.38028935185185186</v>
      </c>
      <c r="D1234">
        <v>0.38239583333333332</v>
      </c>
      <c r="E1234" s="2">
        <f t="shared" si="19"/>
        <v>2.1064814814814592E-3</v>
      </c>
    </row>
    <row r="1235" spans="1:5" x14ac:dyDescent="0.25">
      <c r="A1235">
        <v>0</v>
      </c>
      <c r="B1235">
        <v>42935</v>
      </c>
      <c r="C1235">
        <v>0.38059027777777776</v>
      </c>
      <c r="D1235">
        <v>0.38280092592592591</v>
      </c>
      <c r="E1235" s="2">
        <f t="shared" si="19"/>
        <v>2.2106481481481421E-3</v>
      </c>
    </row>
    <row r="1236" spans="1:5" x14ac:dyDescent="0.25">
      <c r="A1236">
        <v>0</v>
      </c>
      <c r="B1236">
        <v>42935</v>
      </c>
      <c r="C1236">
        <v>0.38173611111111111</v>
      </c>
      <c r="D1236">
        <v>0.38915509259259257</v>
      </c>
      <c r="E1236" s="2">
        <f t="shared" si="19"/>
        <v>7.418981481481457E-3</v>
      </c>
    </row>
    <row r="1237" spans="1:5" x14ac:dyDescent="0.25">
      <c r="A1237">
        <v>0</v>
      </c>
      <c r="B1237">
        <v>42935</v>
      </c>
      <c r="C1237">
        <v>0.38512731481481483</v>
      </c>
      <c r="D1237">
        <v>0.3947222222222222</v>
      </c>
      <c r="E1237" s="2">
        <f t="shared" si="19"/>
        <v>9.5949074074073715E-3</v>
      </c>
    </row>
    <row r="1238" spans="1:5" x14ac:dyDescent="0.25">
      <c r="A1238">
        <v>0</v>
      </c>
      <c r="B1238">
        <v>42935</v>
      </c>
      <c r="C1238">
        <v>0.38533564814814814</v>
      </c>
      <c r="D1238">
        <v>0.39521990740740742</v>
      </c>
      <c r="E1238" s="2">
        <f t="shared" si="19"/>
        <v>9.8842592592592871E-3</v>
      </c>
    </row>
    <row r="1239" spans="1:5" x14ac:dyDescent="0.25">
      <c r="A1239">
        <v>0</v>
      </c>
      <c r="B1239">
        <v>42935</v>
      </c>
      <c r="C1239">
        <v>0.38833333333333331</v>
      </c>
      <c r="D1239">
        <v>0.39069444444444446</v>
      </c>
      <c r="E1239" s="2">
        <f t="shared" si="19"/>
        <v>2.3611111111111471E-3</v>
      </c>
    </row>
    <row r="1240" spans="1:5" x14ac:dyDescent="0.25">
      <c r="A1240">
        <v>0</v>
      </c>
      <c r="B1240">
        <v>42935</v>
      </c>
      <c r="C1240">
        <v>0.38979166666666665</v>
      </c>
      <c r="D1240">
        <v>0.39171296296296299</v>
      </c>
      <c r="E1240" s="2">
        <f t="shared" si="19"/>
        <v>1.9212962962963376E-3</v>
      </c>
    </row>
    <row r="1241" spans="1:5" x14ac:dyDescent="0.25">
      <c r="A1241">
        <v>0</v>
      </c>
      <c r="B1241">
        <v>42935</v>
      </c>
      <c r="C1241">
        <v>0.3898611111111111</v>
      </c>
      <c r="D1241">
        <v>0.39067129629629632</v>
      </c>
      <c r="E1241" s="2">
        <f t="shared" si="19"/>
        <v>8.1018518518521931E-4</v>
      </c>
    </row>
    <row r="1242" spans="1:5" x14ac:dyDescent="0.25">
      <c r="A1242">
        <v>0</v>
      </c>
      <c r="B1242">
        <v>42935</v>
      </c>
      <c r="C1242">
        <v>0.3941898148148148</v>
      </c>
      <c r="D1242">
        <v>0.40530092592592593</v>
      </c>
      <c r="E1242" s="2">
        <f t="shared" si="19"/>
        <v>1.1111111111111127E-2</v>
      </c>
    </row>
    <row r="1243" spans="1:5" x14ac:dyDescent="0.25">
      <c r="A1243">
        <v>0</v>
      </c>
      <c r="B1243">
        <v>42935</v>
      </c>
      <c r="C1243">
        <v>0.39607638888888891</v>
      </c>
      <c r="D1243">
        <v>0.40442129629629631</v>
      </c>
      <c r="E1243" s="2">
        <f t="shared" si="19"/>
        <v>8.3449074074073981E-3</v>
      </c>
    </row>
    <row r="1244" spans="1:5" x14ac:dyDescent="0.25">
      <c r="A1244">
        <v>0</v>
      </c>
      <c r="B1244">
        <v>42935</v>
      </c>
      <c r="C1244">
        <v>0.39937499999999998</v>
      </c>
      <c r="D1244">
        <v>0.40332175925925928</v>
      </c>
      <c r="E1244" s="2">
        <f t="shared" si="19"/>
        <v>3.9467592592593026E-3</v>
      </c>
    </row>
    <row r="1245" spans="1:5" x14ac:dyDescent="0.25">
      <c r="A1245">
        <v>0</v>
      </c>
      <c r="B1245">
        <v>42935</v>
      </c>
      <c r="C1245">
        <v>0.39959490740740738</v>
      </c>
      <c r="D1245">
        <v>0.41099537037037037</v>
      </c>
      <c r="E1245" s="2">
        <f t="shared" si="19"/>
        <v>1.1400462962962987E-2</v>
      </c>
    </row>
    <row r="1246" spans="1:5" x14ac:dyDescent="0.25">
      <c r="A1246">
        <v>0</v>
      </c>
      <c r="B1246">
        <v>42935</v>
      </c>
      <c r="C1246">
        <v>0.40234953703703702</v>
      </c>
      <c r="D1246">
        <v>0.40469907407407407</v>
      </c>
      <c r="E1246" s="2">
        <f t="shared" si="19"/>
        <v>2.3495370370370527E-3</v>
      </c>
    </row>
    <row r="1247" spans="1:5" x14ac:dyDescent="0.25">
      <c r="A1247">
        <v>0</v>
      </c>
      <c r="B1247">
        <v>42935</v>
      </c>
      <c r="C1247">
        <v>0.40743055555555557</v>
      </c>
      <c r="D1247">
        <v>0.41255787037037039</v>
      </c>
      <c r="E1247" s="2">
        <f t="shared" si="19"/>
        <v>5.1273148148148207E-3</v>
      </c>
    </row>
    <row r="1248" spans="1:5" x14ac:dyDescent="0.25">
      <c r="A1248">
        <v>0</v>
      </c>
      <c r="B1248">
        <v>42935</v>
      </c>
      <c r="C1248">
        <v>0.41121527777777778</v>
      </c>
      <c r="D1248">
        <v>0.41483796296296294</v>
      </c>
      <c r="E1248" s="2">
        <f t="shared" si="19"/>
        <v>3.6226851851851594E-3</v>
      </c>
    </row>
    <row r="1249" spans="1:5" x14ac:dyDescent="0.25">
      <c r="A1249">
        <v>0</v>
      </c>
      <c r="B1249">
        <v>42935</v>
      </c>
      <c r="C1249">
        <v>0.4127662037037037</v>
      </c>
      <c r="D1249">
        <v>0.42182870370370368</v>
      </c>
      <c r="E1249" s="2">
        <f t="shared" si="19"/>
        <v>9.0624999999999734E-3</v>
      </c>
    </row>
    <row r="1250" spans="1:5" x14ac:dyDescent="0.25">
      <c r="A1250">
        <v>0</v>
      </c>
      <c r="B1250">
        <v>42935</v>
      </c>
      <c r="C1250">
        <v>0.41616898148148146</v>
      </c>
      <c r="D1250">
        <v>0.41717592592592595</v>
      </c>
      <c r="E1250" s="2">
        <f t="shared" si="19"/>
        <v>1.0069444444444908E-3</v>
      </c>
    </row>
    <row r="1251" spans="1:5" x14ac:dyDescent="0.25">
      <c r="A1251">
        <v>0</v>
      </c>
      <c r="B1251">
        <v>42935</v>
      </c>
      <c r="C1251">
        <v>0.41996527777777776</v>
      </c>
      <c r="D1251">
        <v>0.42766203703703703</v>
      </c>
      <c r="E1251" s="2">
        <f t="shared" si="19"/>
        <v>7.6967592592592782E-3</v>
      </c>
    </row>
    <row r="1252" spans="1:5" x14ac:dyDescent="0.25">
      <c r="A1252">
        <v>0</v>
      </c>
      <c r="B1252">
        <v>42935</v>
      </c>
      <c r="C1252">
        <v>0.42166666666666669</v>
      </c>
      <c r="D1252">
        <v>0.43111111111111111</v>
      </c>
      <c r="E1252" s="2">
        <f t="shared" si="19"/>
        <v>9.444444444444422E-3</v>
      </c>
    </row>
    <row r="1253" spans="1:5" x14ac:dyDescent="0.25">
      <c r="A1253">
        <v>0</v>
      </c>
      <c r="B1253">
        <v>42935</v>
      </c>
      <c r="C1253">
        <v>0.42422453703703705</v>
      </c>
      <c r="D1253">
        <v>0.43512731481481481</v>
      </c>
      <c r="E1253" s="2">
        <f t="shared" si="19"/>
        <v>1.0902777777777761E-2</v>
      </c>
    </row>
    <row r="1254" spans="1:5" x14ac:dyDescent="0.25">
      <c r="A1254">
        <v>0</v>
      </c>
      <c r="B1254">
        <v>42935</v>
      </c>
      <c r="C1254">
        <v>0.42684027777777778</v>
      </c>
      <c r="D1254">
        <v>0.43207175925925928</v>
      </c>
      <c r="E1254" s="2">
        <f t="shared" si="19"/>
        <v>5.2314814814815036E-3</v>
      </c>
    </row>
    <row r="1255" spans="1:5" x14ac:dyDescent="0.25">
      <c r="A1255">
        <v>0</v>
      </c>
      <c r="B1255">
        <v>42935</v>
      </c>
      <c r="C1255">
        <v>0.42912037037037037</v>
      </c>
      <c r="D1255">
        <v>0.43425925925925923</v>
      </c>
      <c r="E1255" s="2">
        <f t="shared" si="19"/>
        <v>5.1388888888888595E-3</v>
      </c>
    </row>
    <row r="1256" spans="1:5" x14ac:dyDescent="0.25">
      <c r="A1256">
        <v>0</v>
      </c>
      <c r="B1256">
        <v>42935</v>
      </c>
      <c r="C1256">
        <v>0.43180555555555555</v>
      </c>
      <c r="D1256">
        <v>0.44175925925925924</v>
      </c>
      <c r="E1256" s="2">
        <f t="shared" si="19"/>
        <v>9.9537037037036868E-3</v>
      </c>
    </row>
    <row r="1257" spans="1:5" x14ac:dyDescent="0.25">
      <c r="A1257">
        <v>0</v>
      </c>
      <c r="B1257">
        <v>42935</v>
      </c>
      <c r="C1257">
        <v>0.43185185185185188</v>
      </c>
      <c r="D1257">
        <v>0.4382638888888889</v>
      </c>
      <c r="E1257" s="2">
        <f t="shared" si="19"/>
        <v>6.4120370370370217E-3</v>
      </c>
    </row>
    <row r="1258" spans="1:5" x14ac:dyDescent="0.25">
      <c r="A1258">
        <v>0</v>
      </c>
      <c r="B1258">
        <v>42935</v>
      </c>
      <c r="C1258">
        <v>0.43365740740740738</v>
      </c>
      <c r="D1258">
        <v>0.43964120370370369</v>
      </c>
      <c r="E1258" s="2">
        <f t="shared" si="19"/>
        <v>5.9837962962963065E-3</v>
      </c>
    </row>
    <row r="1259" spans="1:5" x14ac:dyDescent="0.25">
      <c r="A1259">
        <v>0</v>
      </c>
      <c r="B1259">
        <v>42935</v>
      </c>
      <c r="C1259">
        <v>0.43509259259259259</v>
      </c>
      <c r="D1259">
        <v>0.44364583333333335</v>
      </c>
      <c r="E1259" s="2">
        <f t="shared" si="19"/>
        <v>8.553240740740764E-3</v>
      </c>
    </row>
    <row r="1260" spans="1:5" x14ac:dyDescent="0.25">
      <c r="A1260">
        <v>0</v>
      </c>
      <c r="B1260">
        <v>42935</v>
      </c>
      <c r="C1260">
        <v>0.43734953703703705</v>
      </c>
      <c r="D1260">
        <v>0.44071759259259258</v>
      </c>
      <c r="E1260" s="2">
        <f t="shared" si="19"/>
        <v>3.3680555555555269E-3</v>
      </c>
    </row>
    <row r="1261" spans="1:5" x14ac:dyDescent="0.25">
      <c r="A1261">
        <v>0</v>
      </c>
      <c r="B1261">
        <v>42935</v>
      </c>
      <c r="C1261">
        <v>0.43827546296296294</v>
      </c>
      <c r="D1261">
        <v>0.44968750000000002</v>
      </c>
      <c r="E1261" s="2">
        <f t="shared" si="19"/>
        <v>1.1412037037037082E-2</v>
      </c>
    </row>
    <row r="1262" spans="1:5" x14ac:dyDescent="0.25">
      <c r="A1262">
        <v>0</v>
      </c>
      <c r="B1262">
        <v>42935</v>
      </c>
      <c r="C1262">
        <v>0.44305555555555554</v>
      </c>
      <c r="D1262">
        <v>0.45006944444444447</v>
      </c>
      <c r="E1262" s="2">
        <f t="shared" si="19"/>
        <v>7.0138888888889306E-3</v>
      </c>
    </row>
    <row r="1263" spans="1:5" x14ac:dyDescent="0.25">
      <c r="A1263">
        <v>0</v>
      </c>
      <c r="B1263">
        <v>42935</v>
      </c>
      <c r="C1263">
        <v>0.44664351851851852</v>
      </c>
      <c r="D1263">
        <v>0.45725694444444442</v>
      </c>
      <c r="E1263" s="2">
        <f t="shared" si="19"/>
        <v>1.0613425925925901E-2</v>
      </c>
    </row>
    <row r="1264" spans="1:5" x14ac:dyDescent="0.25">
      <c r="A1264">
        <v>0</v>
      </c>
      <c r="B1264">
        <v>42935</v>
      </c>
      <c r="C1264">
        <v>0.45211805555555556</v>
      </c>
      <c r="D1264">
        <v>0.4598726851851852</v>
      </c>
      <c r="E1264" s="2">
        <f t="shared" si="19"/>
        <v>7.7546296296296391E-3</v>
      </c>
    </row>
    <row r="1265" spans="1:5" x14ac:dyDescent="0.25">
      <c r="A1265">
        <v>0</v>
      </c>
      <c r="B1265">
        <v>42935</v>
      </c>
      <c r="C1265">
        <v>0.45768518518518519</v>
      </c>
      <c r="D1265">
        <v>0.45837962962962964</v>
      </c>
      <c r="E1265" s="2">
        <f t="shared" si="19"/>
        <v>6.9444444444444198E-4</v>
      </c>
    </row>
    <row r="1266" spans="1:5" x14ac:dyDescent="0.25">
      <c r="A1266">
        <v>0</v>
      </c>
      <c r="B1266">
        <v>42935</v>
      </c>
      <c r="C1266">
        <v>0.46217592592592593</v>
      </c>
      <c r="D1266">
        <v>0.46263888888888888</v>
      </c>
      <c r="E1266" s="2">
        <f t="shared" si="19"/>
        <v>4.6296296296294281E-4</v>
      </c>
    </row>
    <row r="1267" spans="1:5" x14ac:dyDescent="0.25">
      <c r="A1267">
        <v>0</v>
      </c>
      <c r="B1267">
        <v>42935</v>
      </c>
      <c r="C1267">
        <v>0.46546296296296297</v>
      </c>
      <c r="D1267">
        <v>0.4740509259259259</v>
      </c>
      <c r="E1267" s="2">
        <f t="shared" si="19"/>
        <v>8.5879629629629362E-3</v>
      </c>
    </row>
    <row r="1268" spans="1:5" x14ac:dyDescent="0.25">
      <c r="A1268">
        <v>0</v>
      </c>
      <c r="B1268">
        <v>42935</v>
      </c>
      <c r="C1268">
        <v>0.46773148148148147</v>
      </c>
      <c r="D1268">
        <v>0.47054398148148147</v>
      </c>
      <c r="E1268" s="2">
        <f t="shared" si="19"/>
        <v>2.8124999999999956E-3</v>
      </c>
    </row>
    <row r="1269" spans="1:5" x14ac:dyDescent="0.25">
      <c r="A1269">
        <v>0</v>
      </c>
      <c r="B1269">
        <v>42935</v>
      </c>
      <c r="C1269">
        <v>0.47298611111111111</v>
      </c>
      <c r="D1269">
        <v>0.48247685185185185</v>
      </c>
      <c r="E1269" s="2">
        <f t="shared" si="19"/>
        <v>9.490740740740744E-3</v>
      </c>
    </row>
    <row r="1270" spans="1:5" x14ac:dyDescent="0.25">
      <c r="A1270">
        <v>0</v>
      </c>
      <c r="B1270">
        <v>42935</v>
      </c>
      <c r="C1270">
        <v>0.47843750000000002</v>
      </c>
      <c r="D1270">
        <v>0.48951388888888892</v>
      </c>
      <c r="E1270" s="2">
        <f t="shared" si="19"/>
        <v>1.1076388888888899E-2</v>
      </c>
    </row>
    <row r="1271" spans="1:5" x14ac:dyDescent="0.25">
      <c r="A1271">
        <v>0</v>
      </c>
      <c r="B1271">
        <v>42935</v>
      </c>
      <c r="C1271">
        <v>0.47843750000000002</v>
      </c>
      <c r="D1271">
        <v>0.48879629629629628</v>
      </c>
      <c r="E1271" s="2">
        <f t="shared" si="19"/>
        <v>1.0358796296296269E-2</v>
      </c>
    </row>
    <row r="1272" spans="1:5" x14ac:dyDescent="0.25">
      <c r="A1272">
        <v>0</v>
      </c>
      <c r="B1272">
        <v>42935</v>
      </c>
      <c r="C1272">
        <v>0.48381944444444447</v>
      </c>
      <c r="D1272">
        <v>0.49505787037037036</v>
      </c>
      <c r="E1272" s="2">
        <f t="shared" si="19"/>
        <v>1.1238425925925888E-2</v>
      </c>
    </row>
    <row r="1273" spans="1:5" x14ac:dyDescent="0.25">
      <c r="A1273">
        <v>0</v>
      </c>
      <c r="B1273">
        <v>42935</v>
      </c>
      <c r="C1273">
        <v>0.48822916666666666</v>
      </c>
      <c r="D1273">
        <v>0.49540509259259258</v>
      </c>
      <c r="E1273" s="2">
        <f t="shared" si="19"/>
        <v>7.1759259259259189E-3</v>
      </c>
    </row>
    <row r="1274" spans="1:5" x14ac:dyDescent="0.25">
      <c r="A1274">
        <v>0</v>
      </c>
      <c r="B1274">
        <v>42935</v>
      </c>
      <c r="C1274">
        <v>0.4896064814814815</v>
      </c>
      <c r="D1274">
        <v>0.49828703703703703</v>
      </c>
      <c r="E1274" s="2">
        <f t="shared" si="19"/>
        <v>8.6805555555555247E-3</v>
      </c>
    </row>
    <row r="1275" spans="1:5" x14ac:dyDescent="0.25">
      <c r="A1275">
        <v>0</v>
      </c>
      <c r="B1275">
        <v>42935</v>
      </c>
      <c r="C1275">
        <v>0.49270833333333336</v>
      </c>
      <c r="D1275">
        <v>0.49774305555555554</v>
      </c>
      <c r="E1275" s="2">
        <f t="shared" si="19"/>
        <v>5.0347222222221766E-3</v>
      </c>
    </row>
    <row r="1276" spans="1:5" x14ac:dyDescent="0.25">
      <c r="A1276">
        <v>0</v>
      </c>
      <c r="B1276">
        <v>42935</v>
      </c>
      <c r="C1276">
        <v>0.49625000000000002</v>
      </c>
      <c r="D1276">
        <v>0.5058449074074074</v>
      </c>
      <c r="E1276" s="2">
        <f t="shared" si="19"/>
        <v>9.5949074074073715E-3</v>
      </c>
    </row>
    <row r="1277" spans="1:5" x14ac:dyDescent="0.25">
      <c r="A1277">
        <v>0</v>
      </c>
      <c r="B1277">
        <v>42935</v>
      </c>
      <c r="C1277">
        <v>0.50173611111111116</v>
      </c>
      <c r="D1277">
        <v>0.5130555555555556</v>
      </c>
      <c r="E1277" s="2">
        <f t="shared" si="19"/>
        <v>1.1319444444444438E-2</v>
      </c>
    </row>
    <row r="1278" spans="1:5" x14ac:dyDescent="0.25">
      <c r="A1278">
        <v>0</v>
      </c>
      <c r="B1278">
        <v>42935</v>
      </c>
      <c r="C1278">
        <v>0.50219907407407405</v>
      </c>
      <c r="D1278">
        <v>0.50804398148148144</v>
      </c>
      <c r="E1278" s="2">
        <f t="shared" si="19"/>
        <v>5.8449074074073959E-3</v>
      </c>
    </row>
    <row r="1279" spans="1:5" x14ac:dyDescent="0.25">
      <c r="A1279">
        <v>0</v>
      </c>
      <c r="B1279">
        <v>42935</v>
      </c>
      <c r="C1279">
        <v>0.50749999999999995</v>
      </c>
      <c r="D1279">
        <v>0.51290509259259254</v>
      </c>
      <c r="E1279" s="2">
        <f t="shared" si="19"/>
        <v>5.4050925925925863E-3</v>
      </c>
    </row>
    <row r="1280" spans="1:5" x14ac:dyDescent="0.25">
      <c r="A1280">
        <v>0</v>
      </c>
      <c r="B1280">
        <v>42935</v>
      </c>
      <c r="C1280">
        <v>0.50756944444444441</v>
      </c>
      <c r="D1280">
        <v>0.51126157407407402</v>
      </c>
      <c r="E1280" s="2">
        <f t="shared" si="19"/>
        <v>3.6921296296296147E-3</v>
      </c>
    </row>
    <row r="1281" spans="1:5" x14ac:dyDescent="0.25">
      <c r="A1281">
        <v>0</v>
      </c>
      <c r="B1281">
        <v>42935</v>
      </c>
      <c r="C1281">
        <v>0.51325231481481481</v>
      </c>
      <c r="D1281">
        <v>0.51627314814814818</v>
      </c>
      <c r="E1281" s="2">
        <f t="shared" si="19"/>
        <v>3.0208333333333615E-3</v>
      </c>
    </row>
    <row r="1282" spans="1:5" x14ac:dyDescent="0.25">
      <c r="A1282">
        <v>0</v>
      </c>
      <c r="B1282">
        <v>42935</v>
      </c>
      <c r="C1282">
        <v>0.5173726851851852</v>
      </c>
      <c r="D1282">
        <v>0.52055555555555555</v>
      </c>
      <c r="E1282" s="2">
        <f t="shared" ref="E1282:E1345" si="20">D1282-C1282</f>
        <v>3.1828703703703498E-3</v>
      </c>
    </row>
    <row r="1283" spans="1:5" x14ac:dyDescent="0.25">
      <c r="A1283">
        <v>0</v>
      </c>
      <c r="B1283">
        <v>42935</v>
      </c>
      <c r="C1283">
        <v>0.52288194444444447</v>
      </c>
      <c r="D1283">
        <v>0.52722222222222226</v>
      </c>
      <c r="E1283" s="2">
        <f t="shared" si="20"/>
        <v>4.3402777777777901E-3</v>
      </c>
    </row>
    <row r="1284" spans="1:5" x14ac:dyDescent="0.25">
      <c r="A1284">
        <v>0</v>
      </c>
      <c r="B1284">
        <v>42935</v>
      </c>
      <c r="C1284">
        <v>0.52349537037037042</v>
      </c>
      <c r="D1284">
        <v>0.53362268518518519</v>
      </c>
      <c r="E1284" s="2">
        <f t="shared" si="20"/>
        <v>1.012731481481477E-2</v>
      </c>
    </row>
    <row r="1285" spans="1:5" x14ac:dyDescent="0.25">
      <c r="A1285">
        <v>0</v>
      </c>
      <c r="B1285">
        <v>42935</v>
      </c>
      <c r="C1285">
        <v>0.52766203703703707</v>
      </c>
      <c r="D1285">
        <v>0.53917824074074072</v>
      </c>
      <c r="E1285" s="2">
        <f t="shared" si="20"/>
        <v>1.1516203703703654E-2</v>
      </c>
    </row>
    <row r="1286" spans="1:5" x14ac:dyDescent="0.25">
      <c r="A1286">
        <v>0</v>
      </c>
      <c r="B1286">
        <v>42935</v>
      </c>
      <c r="C1286">
        <v>0.53209490740740739</v>
      </c>
      <c r="D1286">
        <v>0.53931712962962963</v>
      </c>
      <c r="E1286" s="2">
        <f t="shared" si="20"/>
        <v>7.222222222222241E-3</v>
      </c>
    </row>
    <row r="1287" spans="1:5" x14ac:dyDescent="0.25">
      <c r="A1287">
        <v>0</v>
      </c>
      <c r="B1287">
        <v>42935</v>
      </c>
      <c r="C1287">
        <v>0.53540509259259261</v>
      </c>
      <c r="D1287">
        <v>0.53540509259259261</v>
      </c>
      <c r="E1287" s="2">
        <f t="shared" si="20"/>
        <v>0</v>
      </c>
    </row>
    <row r="1288" spans="1:5" x14ac:dyDescent="0.25">
      <c r="A1288">
        <v>0</v>
      </c>
      <c r="B1288">
        <v>42935</v>
      </c>
      <c r="C1288">
        <v>0.53594907407407411</v>
      </c>
      <c r="D1288">
        <v>0.54584490740740743</v>
      </c>
      <c r="E1288" s="2">
        <f t="shared" si="20"/>
        <v>9.8958333333333259E-3</v>
      </c>
    </row>
    <row r="1289" spans="1:5" x14ac:dyDescent="0.25">
      <c r="A1289">
        <v>0</v>
      </c>
      <c r="B1289">
        <v>42935</v>
      </c>
      <c r="C1289">
        <v>0.54052083333333334</v>
      </c>
      <c r="D1289">
        <v>0.54195601851851849</v>
      </c>
      <c r="E1289" s="2">
        <f t="shared" si="20"/>
        <v>1.4351851851851505E-3</v>
      </c>
    </row>
    <row r="1290" spans="1:5" x14ac:dyDescent="0.25">
      <c r="A1290">
        <v>0</v>
      </c>
      <c r="B1290">
        <v>42935</v>
      </c>
      <c r="C1290">
        <v>0.54439814814814813</v>
      </c>
      <c r="D1290">
        <v>0.54800925925925925</v>
      </c>
      <c r="E1290" s="2">
        <f t="shared" si="20"/>
        <v>3.6111111111111205E-3</v>
      </c>
    </row>
    <row r="1291" spans="1:5" x14ac:dyDescent="0.25">
      <c r="A1291">
        <v>0</v>
      </c>
      <c r="B1291">
        <v>42935</v>
      </c>
      <c r="C1291">
        <v>0.54996527777777782</v>
      </c>
      <c r="D1291">
        <v>0.55228009259259259</v>
      </c>
      <c r="E1291" s="2">
        <f t="shared" si="20"/>
        <v>2.3148148148147696E-3</v>
      </c>
    </row>
    <row r="1292" spans="1:5" x14ac:dyDescent="0.25">
      <c r="A1292">
        <v>0</v>
      </c>
      <c r="B1292">
        <v>42935</v>
      </c>
      <c r="C1292">
        <v>0.55121527777777779</v>
      </c>
      <c r="D1292">
        <v>0.55539351851851848</v>
      </c>
      <c r="E1292" s="2">
        <f t="shared" si="20"/>
        <v>4.1782407407406907E-3</v>
      </c>
    </row>
    <row r="1293" spans="1:5" x14ac:dyDescent="0.25">
      <c r="A1293">
        <v>0</v>
      </c>
      <c r="B1293">
        <v>42935</v>
      </c>
      <c r="C1293">
        <v>0.55174768518518513</v>
      </c>
      <c r="D1293">
        <v>0.5575</v>
      </c>
      <c r="E1293" s="2">
        <f t="shared" si="20"/>
        <v>5.7523148148148628E-3</v>
      </c>
    </row>
    <row r="1294" spans="1:5" x14ac:dyDescent="0.25">
      <c r="A1294">
        <v>0</v>
      </c>
      <c r="B1294">
        <v>42935</v>
      </c>
      <c r="C1294">
        <v>0.55387731481481484</v>
      </c>
      <c r="D1294">
        <v>0.5645486111111111</v>
      </c>
      <c r="E1294" s="2">
        <f t="shared" si="20"/>
        <v>1.0671296296296262E-2</v>
      </c>
    </row>
    <row r="1295" spans="1:5" x14ac:dyDescent="0.25">
      <c r="A1295">
        <v>0</v>
      </c>
      <c r="B1295">
        <v>42935</v>
      </c>
      <c r="C1295">
        <v>0.5591666666666667</v>
      </c>
      <c r="D1295">
        <v>0.56074074074074076</v>
      </c>
      <c r="E1295" s="2">
        <f t="shared" si="20"/>
        <v>1.5740740740740611E-3</v>
      </c>
    </row>
    <row r="1296" spans="1:5" x14ac:dyDescent="0.25">
      <c r="A1296">
        <v>0</v>
      </c>
      <c r="B1296">
        <v>42935</v>
      </c>
      <c r="C1296">
        <v>0.56276620370370367</v>
      </c>
      <c r="D1296">
        <v>0.56792824074074078</v>
      </c>
      <c r="E1296" s="2">
        <f t="shared" si="20"/>
        <v>5.1620370370371038E-3</v>
      </c>
    </row>
    <row r="1297" spans="1:5" x14ac:dyDescent="0.25">
      <c r="A1297">
        <v>0</v>
      </c>
      <c r="B1297">
        <v>42935</v>
      </c>
      <c r="C1297">
        <v>0.5682638888888889</v>
      </c>
      <c r="D1297">
        <v>0.57974537037037033</v>
      </c>
      <c r="E1297" s="2">
        <f t="shared" si="20"/>
        <v>1.1481481481481426E-2</v>
      </c>
    </row>
    <row r="1298" spans="1:5" x14ac:dyDescent="0.25">
      <c r="A1298">
        <v>0</v>
      </c>
      <c r="B1298">
        <v>42935</v>
      </c>
      <c r="C1298">
        <v>0.56847222222222227</v>
      </c>
      <c r="D1298">
        <v>0.57787037037037037</v>
      </c>
      <c r="E1298" s="2">
        <f t="shared" si="20"/>
        <v>9.3981481481481E-3</v>
      </c>
    </row>
    <row r="1299" spans="1:5" x14ac:dyDescent="0.25">
      <c r="A1299">
        <v>0</v>
      </c>
      <c r="B1299">
        <v>42935</v>
      </c>
      <c r="C1299">
        <v>0.5703125</v>
      </c>
      <c r="D1299">
        <v>0.57703703703703701</v>
      </c>
      <c r="E1299" s="2">
        <f t="shared" si="20"/>
        <v>6.724537037037015E-3</v>
      </c>
    </row>
    <row r="1300" spans="1:5" x14ac:dyDescent="0.25">
      <c r="A1300">
        <v>0</v>
      </c>
      <c r="B1300">
        <v>42935</v>
      </c>
      <c r="C1300">
        <v>0.57313657407407403</v>
      </c>
      <c r="D1300">
        <v>0.57559027777777783</v>
      </c>
      <c r="E1300" s="2">
        <f t="shared" si="20"/>
        <v>2.4537037037037912E-3</v>
      </c>
    </row>
    <row r="1301" spans="1:5" x14ac:dyDescent="0.25">
      <c r="A1301">
        <v>0</v>
      </c>
      <c r="B1301">
        <v>42935</v>
      </c>
      <c r="C1301">
        <v>0.57525462962962959</v>
      </c>
      <c r="D1301">
        <v>0.58087962962962958</v>
      </c>
      <c r="E1301" s="2">
        <f t="shared" si="20"/>
        <v>5.6249999999999911E-3</v>
      </c>
    </row>
    <row r="1302" spans="1:5" x14ac:dyDescent="0.25">
      <c r="A1302">
        <v>0</v>
      </c>
      <c r="B1302">
        <v>42935</v>
      </c>
      <c r="C1302">
        <v>0.57974537037037033</v>
      </c>
      <c r="D1302">
        <v>0.58975694444444449</v>
      </c>
      <c r="E1302" s="2">
        <f t="shared" si="20"/>
        <v>1.0011574074074159E-2</v>
      </c>
    </row>
    <row r="1303" spans="1:5" x14ac:dyDescent="0.25">
      <c r="A1303">
        <v>0</v>
      </c>
      <c r="B1303">
        <v>42935</v>
      </c>
      <c r="C1303">
        <v>0.58071759259259259</v>
      </c>
      <c r="D1303">
        <v>0.59002314814814816</v>
      </c>
      <c r="E1303" s="2">
        <f t="shared" si="20"/>
        <v>9.3055555555555669E-3</v>
      </c>
    </row>
    <row r="1304" spans="1:5" x14ac:dyDescent="0.25">
      <c r="A1304">
        <v>0</v>
      </c>
      <c r="B1304">
        <v>42935</v>
      </c>
      <c r="C1304">
        <v>0.58622685185185186</v>
      </c>
      <c r="D1304">
        <v>0.5921643518518519</v>
      </c>
      <c r="E1304" s="2">
        <f t="shared" si="20"/>
        <v>5.93750000000004E-3</v>
      </c>
    </row>
    <row r="1305" spans="1:5" x14ac:dyDescent="0.25">
      <c r="A1305">
        <v>0</v>
      </c>
      <c r="B1305">
        <v>42935</v>
      </c>
      <c r="C1305">
        <v>0.5879861111111111</v>
      </c>
      <c r="D1305">
        <v>0.59103009259259254</v>
      </c>
      <c r="E1305" s="2">
        <f t="shared" si="20"/>
        <v>3.0439814814814392E-3</v>
      </c>
    </row>
    <row r="1306" spans="1:5" x14ac:dyDescent="0.25">
      <c r="A1306">
        <v>0</v>
      </c>
      <c r="B1306">
        <v>42935</v>
      </c>
      <c r="C1306">
        <v>0.58810185185185182</v>
      </c>
      <c r="D1306">
        <v>0.59202546296296299</v>
      </c>
      <c r="E1306" s="2">
        <f t="shared" si="20"/>
        <v>3.9236111111111693E-3</v>
      </c>
    </row>
    <row r="1307" spans="1:5" x14ac:dyDescent="0.25">
      <c r="A1307">
        <v>0</v>
      </c>
      <c r="B1307">
        <v>42935</v>
      </c>
      <c r="C1307">
        <v>0.59090277777777778</v>
      </c>
      <c r="D1307">
        <v>0.5923842592592593</v>
      </c>
      <c r="E1307" s="2">
        <f t="shared" si="20"/>
        <v>1.481481481481528E-3</v>
      </c>
    </row>
    <row r="1308" spans="1:5" x14ac:dyDescent="0.25">
      <c r="A1308">
        <v>0</v>
      </c>
      <c r="B1308">
        <v>42935</v>
      </c>
      <c r="C1308">
        <v>0.59659722222222222</v>
      </c>
      <c r="D1308">
        <v>0.60329861111111116</v>
      </c>
      <c r="E1308" s="2">
        <f t="shared" si="20"/>
        <v>6.7013888888889372E-3</v>
      </c>
    </row>
    <row r="1309" spans="1:5" x14ac:dyDescent="0.25">
      <c r="A1309">
        <v>0</v>
      </c>
      <c r="B1309">
        <v>42935</v>
      </c>
      <c r="C1309">
        <v>0.5971643518518519</v>
      </c>
      <c r="D1309">
        <v>0.60538194444444449</v>
      </c>
      <c r="E1309" s="2">
        <f t="shared" si="20"/>
        <v>8.2175925925925819E-3</v>
      </c>
    </row>
    <row r="1310" spans="1:5" x14ac:dyDescent="0.25">
      <c r="A1310">
        <v>0</v>
      </c>
      <c r="B1310">
        <v>42935</v>
      </c>
      <c r="C1310">
        <v>0.59719907407407402</v>
      </c>
      <c r="D1310">
        <v>0.60488425925925926</v>
      </c>
      <c r="E1310" s="2">
        <f t="shared" si="20"/>
        <v>7.6851851851852393E-3</v>
      </c>
    </row>
    <row r="1311" spans="1:5" x14ac:dyDescent="0.25">
      <c r="A1311">
        <v>0</v>
      </c>
      <c r="B1311">
        <v>42935</v>
      </c>
      <c r="C1311">
        <v>0.6021643518518518</v>
      </c>
      <c r="D1311">
        <v>0.61331018518518521</v>
      </c>
      <c r="E1311" s="2">
        <f t="shared" si="20"/>
        <v>1.114583333333341E-2</v>
      </c>
    </row>
    <row r="1312" spans="1:5" x14ac:dyDescent="0.25">
      <c r="A1312">
        <v>0</v>
      </c>
      <c r="B1312">
        <v>42935</v>
      </c>
      <c r="C1312">
        <v>0.60291666666666666</v>
      </c>
      <c r="D1312">
        <v>0.61086805555555557</v>
      </c>
      <c r="E1312" s="2">
        <f t="shared" si="20"/>
        <v>7.9513888888889106E-3</v>
      </c>
    </row>
    <row r="1313" spans="1:5" x14ac:dyDescent="0.25">
      <c r="A1313">
        <v>0</v>
      </c>
      <c r="B1313">
        <v>42935</v>
      </c>
      <c r="C1313">
        <v>0.60624999999999996</v>
      </c>
      <c r="D1313">
        <v>0.6083912037037037</v>
      </c>
      <c r="E1313" s="2">
        <f t="shared" si="20"/>
        <v>2.1412037037037424E-3</v>
      </c>
    </row>
    <row r="1314" spans="1:5" x14ac:dyDescent="0.25">
      <c r="A1314">
        <v>0</v>
      </c>
      <c r="B1314">
        <v>42935</v>
      </c>
      <c r="C1314">
        <v>0.60868055555555556</v>
      </c>
      <c r="D1314">
        <v>0.61019675925925931</v>
      </c>
      <c r="E1314" s="2">
        <f t="shared" si="20"/>
        <v>1.5162037037037557E-3</v>
      </c>
    </row>
    <row r="1315" spans="1:5" x14ac:dyDescent="0.25">
      <c r="A1315">
        <v>0</v>
      </c>
      <c r="B1315">
        <v>42935</v>
      </c>
      <c r="C1315">
        <v>0.61081018518518515</v>
      </c>
      <c r="D1315">
        <v>0.62118055555555551</v>
      </c>
      <c r="E1315" s="2">
        <f t="shared" si="20"/>
        <v>1.0370370370370363E-2</v>
      </c>
    </row>
    <row r="1316" spans="1:5" x14ac:dyDescent="0.25">
      <c r="A1316">
        <v>0</v>
      </c>
      <c r="B1316">
        <v>42935</v>
      </c>
      <c r="C1316">
        <v>0.61207175925925927</v>
      </c>
      <c r="D1316">
        <v>0.61613425925925924</v>
      </c>
      <c r="E1316" s="2">
        <f t="shared" si="20"/>
        <v>4.0624999999999689E-3</v>
      </c>
    </row>
    <row r="1317" spans="1:5" x14ac:dyDescent="0.25">
      <c r="A1317">
        <v>0</v>
      </c>
      <c r="B1317">
        <v>42935</v>
      </c>
      <c r="C1317">
        <v>0.61648148148148152</v>
      </c>
      <c r="D1317">
        <v>0.62589120370370366</v>
      </c>
      <c r="E1317" s="2">
        <f t="shared" si="20"/>
        <v>9.4097222222221388E-3</v>
      </c>
    </row>
    <row r="1318" spans="1:5" x14ac:dyDescent="0.25">
      <c r="A1318">
        <v>0</v>
      </c>
      <c r="B1318">
        <v>42935</v>
      </c>
      <c r="C1318">
        <v>0.62137731481481484</v>
      </c>
      <c r="D1318">
        <v>0.63218750000000001</v>
      </c>
      <c r="E1318" s="2">
        <f t="shared" si="20"/>
        <v>1.0810185185185173E-2</v>
      </c>
    </row>
    <row r="1319" spans="1:5" x14ac:dyDescent="0.25">
      <c r="A1319">
        <v>0</v>
      </c>
      <c r="B1319">
        <v>42935</v>
      </c>
      <c r="C1319">
        <v>0.62288194444444445</v>
      </c>
      <c r="D1319">
        <v>0.63325231481481481</v>
      </c>
      <c r="E1319" s="2">
        <f t="shared" si="20"/>
        <v>1.0370370370370363E-2</v>
      </c>
    </row>
    <row r="1320" spans="1:5" x14ac:dyDescent="0.25">
      <c r="A1320">
        <v>0</v>
      </c>
      <c r="B1320">
        <v>42935</v>
      </c>
      <c r="C1320">
        <v>0.62394675925925924</v>
      </c>
      <c r="D1320">
        <v>0.62461805555555561</v>
      </c>
      <c r="E1320" s="2">
        <f t="shared" si="20"/>
        <v>6.7129629629636423E-4</v>
      </c>
    </row>
    <row r="1321" spans="1:5" x14ac:dyDescent="0.25">
      <c r="A1321">
        <v>0</v>
      </c>
      <c r="B1321">
        <v>42935</v>
      </c>
      <c r="C1321">
        <v>0.62967592592592592</v>
      </c>
      <c r="D1321">
        <v>0.63277777777777777</v>
      </c>
      <c r="E1321" s="2">
        <f t="shared" si="20"/>
        <v>3.1018518518518556E-3</v>
      </c>
    </row>
    <row r="1322" spans="1:5" x14ac:dyDescent="0.25">
      <c r="A1322">
        <v>0</v>
      </c>
      <c r="B1322">
        <v>42936</v>
      </c>
      <c r="C1322">
        <v>0.33447916666666666</v>
      </c>
      <c r="D1322">
        <v>0.33721064814814816</v>
      </c>
      <c r="E1322" s="2">
        <f t="shared" si="20"/>
        <v>2.7314814814815014E-3</v>
      </c>
    </row>
    <row r="1323" spans="1:5" x14ac:dyDescent="0.25">
      <c r="A1323">
        <v>0</v>
      </c>
      <c r="B1323">
        <v>42936</v>
      </c>
      <c r="C1323">
        <v>0.34012731481481484</v>
      </c>
      <c r="D1323">
        <v>0.34192129629629631</v>
      </c>
      <c r="E1323" s="2">
        <f t="shared" si="20"/>
        <v>1.7939814814814659E-3</v>
      </c>
    </row>
    <row r="1324" spans="1:5" x14ac:dyDescent="0.25">
      <c r="A1324">
        <v>0</v>
      </c>
      <c r="B1324">
        <v>42936</v>
      </c>
      <c r="C1324">
        <v>0.34114583333333331</v>
      </c>
      <c r="D1324">
        <v>0.3525578703703704</v>
      </c>
      <c r="E1324" s="2">
        <f t="shared" si="20"/>
        <v>1.1412037037037082E-2</v>
      </c>
    </row>
    <row r="1325" spans="1:5" x14ac:dyDescent="0.25">
      <c r="A1325">
        <v>0</v>
      </c>
      <c r="B1325">
        <v>42936</v>
      </c>
      <c r="C1325">
        <v>0.34371527777777777</v>
      </c>
      <c r="D1325">
        <v>0.34609953703703705</v>
      </c>
      <c r="E1325" s="2">
        <f t="shared" si="20"/>
        <v>2.3842592592592804E-3</v>
      </c>
    </row>
    <row r="1326" spans="1:5" x14ac:dyDescent="0.25">
      <c r="A1326">
        <v>0</v>
      </c>
      <c r="B1326">
        <v>42936</v>
      </c>
      <c r="C1326">
        <v>0.34857638888888887</v>
      </c>
      <c r="D1326">
        <v>0.34998842592592594</v>
      </c>
      <c r="E1326" s="2">
        <f t="shared" si="20"/>
        <v>1.4120370370370727E-3</v>
      </c>
    </row>
    <row r="1327" spans="1:5" x14ac:dyDescent="0.25">
      <c r="A1327">
        <v>0</v>
      </c>
      <c r="B1327">
        <v>42936</v>
      </c>
      <c r="C1327">
        <v>0.3533101851851852</v>
      </c>
      <c r="D1327">
        <v>0.3555787037037037</v>
      </c>
      <c r="E1327" s="2">
        <f t="shared" si="20"/>
        <v>2.2685185185185031E-3</v>
      </c>
    </row>
    <row r="1328" spans="1:5" x14ac:dyDescent="0.25">
      <c r="A1328">
        <v>0</v>
      </c>
      <c r="B1328">
        <v>42936</v>
      </c>
      <c r="C1328">
        <v>0.3558912037037037</v>
      </c>
      <c r="D1328">
        <v>0.36550925925925926</v>
      </c>
      <c r="E1328" s="2">
        <f t="shared" si="20"/>
        <v>9.6180555555555602E-3</v>
      </c>
    </row>
    <row r="1329" spans="1:5" x14ac:dyDescent="0.25">
      <c r="A1329">
        <v>0</v>
      </c>
      <c r="B1329">
        <v>42936</v>
      </c>
      <c r="C1329">
        <v>0.35894675925925928</v>
      </c>
      <c r="D1329">
        <v>0.3689351851851852</v>
      </c>
      <c r="E1329" s="2">
        <f t="shared" si="20"/>
        <v>9.9884259259259145E-3</v>
      </c>
    </row>
    <row r="1330" spans="1:5" x14ac:dyDescent="0.25">
      <c r="A1330">
        <v>0</v>
      </c>
      <c r="B1330">
        <v>42936</v>
      </c>
      <c r="C1330">
        <v>0.36222222222222222</v>
      </c>
      <c r="D1330">
        <v>0.36548611111111112</v>
      </c>
      <c r="E1330" s="2">
        <f t="shared" si="20"/>
        <v>3.2638888888888995E-3</v>
      </c>
    </row>
    <row r="1331" spans="1:5" x14ac:dyDescent="0.25">
      <c r="A1331">
        <v>0</v>
      </c>
      <c r="B1331">
        <v>42936</v>
      </c>
      <c r="C1331">
        <v>0.36473379629629632</v>
      </c>
      <c r="D1331">
        <v>0.36630787037037038</v>
      </c>
      <c r="E1331" s="2">
        <f t="shared" si="20"/>
        <v>1.5740740740740611E-3</v>
      </c>
    </row>
    <row r="1332" spans="1:5" x14ac:dyDescent="0.25">
      <c r="A1332">
        <v>0</v>
      </c>
      <c r="B1332">
        <v>42936</v>
      </c>
      <c r="C1332">
        <v>0.37011574074074072</v>
      </c>
      <c r="D1332">
        <v>0.37928240740740743</v>
      </c>
      <c r="E1332" s="2">
        <f t="shared" si="20"/>
        <v>9.1666666666667118E-3</v>
      </c>
    </row>
    <row r="1333" spans="1:5" x14ac:dyDescent="0.25">
      <c r="A1333">
        <v>0</v>
      </c>
      <c r="B1333">
        <v>42936</v>
      </c>
      <c r="C1333">
        <v>0.37506944444444446</v>
      </c>
      <c r="D1333">
        <v>0.38142361111111112</v>
      </c>
      <c r="E1333" s="2">
        <f t="shared" si="20"/>
        <v>6.3541666666666607E-3</v>
      </c>
    </row>
    <row r="1334" spans="1:5" x14ac:dyDescent="0.25">
      <c r="A1334">
        <v>0</v>
      </c>
      <c r="B1334">
        <v>42936</v>
      </c>
      <c r="C1334">
        <v>0.37658564814814816</v>
      </c>
      <c r="D1334">
        <v>0.37936342592592592</v>
      </c>
      <c r="E1334" s="2">
        <f t="shared" si="20"/>
        <v>2.7777777777777679E-3</v>
      </c>
    </row>
    <row r="1335" spans="1:5" x14ac:dyDescent="0.25">
      <c r="A1335">
        <v>0</v>
      </c>
      <c r="B1335">
        <v>42936</v>
      </c>
      <c r="C1335">
        <v>0.38047453703703704</v>
      </c>
      <c r="D1335">
        <v>0.39142361111111112</v>
      </c>
      <c r="E1335" s="2">
        <f t="shared" si="20"/>
        <v>1.0949074074074083E-2</v>
      </c>
    </row>
    <row r="1336" spans="1:5" x14ac:dyDescent="0.25">
      <c r="A1336">
        <v>0</v>
      </c>
      <c r="B1336">
        <v>42936</v>
      </c>
      <c r="C1336">
        <v>0.38394675925925925</v>
      </c>
      <c r="D1336">
        <v>0.39547453703703705</v>
      </c>
      <c r="E1336" s="2">
        <f t="shared" si="20"/>
        <v>1.1527777777777803E-2</v>
      </c>
    </row>
    <row r="1337" spans="1:5" x14ac:dyDescent="0.25">
      <c r="A1337">
        <v>0</v>
      </c>
      <c r="B1337">
        <v>42936</v>
      </c>
      <c r="C1337">
        <v>0.38599537037037035</v>
      </c>
      <c r="D1337">
        <v>0.39438657407407407</v>
      </c>
      <c r="E1337" s="2">
        <f t="shared" si="20"/>
        <v>8.3912037037037202E-3</v>
      </c>
    </row>
    <row r="1338" spans="1:5" x14ac:dyDescent="0.25">
      <c r="A1338">
        <v>0</v>
      </c>
      <c r="B1338">
        <v>42936</v>
      </c>
      <c r="C1338">
        <v>0.39055555555555554</v>
      </c>
      <c r="D1338">
        <v>0.39101851851851854</v>
      </c>
      <c r="E1338" s="2">
        <f t="shared" si="20"/>
        <v>4.6296296296299833E-4</v>
      </c>
    </row>
    <row r="1339" spans="1:5" x14ac:dyDescent="0.25">
      <c r="A1339">
        <v>0</v>
      </c>
      <c r="B1339">
        <v>42936</v>
      </c>
      <c r="C1339">
        <v>0.39373842592592595</v>
      </c>
      <c r="D1339">
        <v>0.40292824074074074</v>
      </c>
      <c r="E1339" s="2">
        <f t="shared" si="20"/>
        <v>9.1898148148147896E-3</v>
      </c>
    </row>
    <row r="1340" spans="1:5" x14ac:dyDescent="0.25">
      <c r="A1340">
        <v>0</v>
      </c>
      <c r="B1340">
        <v>42936</v>
      </c>
      <c r="C1340">
        <v>0.39446759259259262</v>
      </c>
      <c r="D1340">
        <v>0.39841435185185187</v>
      </c>
      <c r="E1340" s="2">
        <f t="shared" si="20"/>
        <v>3.9467592592592471E-3</v>
      </c>
    </row>
    <row r="1341" spans="1:5" x14ac:dyDescent="0.25">
      <c r="A1341">
        <v>0</v>
      </c>
      <c r="B1341">
        <v>42936</v>
      </c>
      <c r="C1341">
        <v>0.39810185185185187</v>
      </c>
      <c r="D1341">
        <v>0.39876157407407409</v>
      </c>
      <c r="E1341" s="2">
        <f t="shared" si="20"/>
        <v>6.5972222222221433E-4</v>
      </c>
    </row>
    <row r="1342" spans="1:5" x14ac:dyDescent="0.25">
      <c r="A1342">
        <v>0</v>
      </c>
      <c r="B1342">
        <v>42936</v>
      </c>
      <c r="C1342">
        <v>0.39906249999999999</v>
      </c>
      <c r="D1342">
        <v>0.40487268518518521</v>
      </c>
      <c r="E1342" s="2">
        <f t="shared" si="20"/>
        <v>5.8101851851852238E-3</v>
      </c>
    </row>
    <row r="1343" spans="1:5" x14ac:dyDescent="0.25">
      <c r="A1343">
        <v>0</v>
      </c>
      <c r="B1343">
        <v>42936</v>
      </c>
      <c r="C1343">
        <v>0.40190972222222221</v>
      </c>
      <c r="D1343">
        <v>0.40715277777777775</v>
      </c>
      <c r="E1343" s="2">
        <f t="shared" si="20"/>
        <v>5.2430555555555425E-3</v>
      </c>
    </row>
    <row r="1344" spans="1:5" x14ac:dyDescent="0.25">
      <c r="A1344">
        <v>0</v>
      </c>
      <c r="B1344">
        <v>42936</v>
      </c>
      <c r="C1344">
        <v>0.40709490740740739</v>
      </c>
      <c r="D1344">
        <v>0.40795138888888888</v>
      </c>
      <c r="E1344" s="2">
        <f t="shared" si="20"/>
        <v>8.5648148148148584E-4</v>
      </c>
    </row>
    <row r="1345" spans="1:5" x14ac:dyDescent="0.25">
      <c r="A1345">
        <v>0</v>
      </c>
      <c r="B1345">
        <v>42936</v>
      </c>
      <c r="C1345">
        <v>0.41228009259259257</v>
      </c>
      <c r="D1345">
        <v>0.42214120370370373</v>
      </c>
      <c r="E1345" s="2">
        <f t="shared" si="20"/>
        <v>9.8611111111111538E-3</v>
      </c>
    </row>
    <row r="1346" spans="1:5" x14ac:dyDescent="0.25">
      <c r="A1346">
        <v>0</v>
      </c>
      <c r="B1346">
        <v>42936</v>
      </c>
      <c r="C1346">
        <v>0.41271990740740738</v>
      </c>
      <c r="D1346">
        <v>0.41487268518518516</v>
      </c>
      <c r="E1346" s="2">
        <f t="shared" ref="E1346:E1409" si="21">D1346-C1346</f>
        <v>2.1527777777777812E-3</v>
      </c>
    </row>
    <row r="1347" spans="1:5" x14ac:dyDescent="0.25">
      <c r="A1347">
        <v>0</v>
      </c>
      <c r="B1347">
        <v>42936</v>
      </c>
      <c r="C1347">
        <v>0.41456018518518517</v>
      </c>
      <c r="D1347">
        <v>0.41495370370370371</v>
      </c>
      <c r="E1347" s="2">
        <f t="shared" si="21"/>
        <v>3.9351851851854303E-4</v>
      </c>
    </row>
    <row r="1348" spans="1:5" x14ac:dyDescent="0.25">
      <c r="A1348">
        <v>0</v>
      </c>
      <c r="B1348">
        <v>42936</v>
      </c>
      <c r="C1348">
        <v>0.41677083333333331</v>
      </c>
      <c r="D1348">
        <v>0.42192129629629632</v>
      </c>
      <c r="E1348" s="2">
        <f t="shared" si="21"/>
        <v>5.1504629629630094E-3</v>
      </c>
    </row>
    <row r="1349" spans="1:5" x14ac:dyDescent="0.25">
      <c r="A1349">
        <v>0</v>
      </c>
      <c r="B1349">
        <v>42936</v>
      </c>
      <c r="C1349">
        <v>0.41980324074074077</v>
      </c>
      <c r="D1349">
        <v>0.42957175925925928</v>
      </c>
      <c r="E1349" s="2">
        <f t="shared" si="21"/>
        <v>9.7685185185185097E-3</v>
      </c>
    </row>
    <row r="1350" spans="1:5" x14ac:dyDescent="0.25">
      <c r="A1350">
        <v>0</v>
      </c>
      <c r="B1350">
        <v>42936</v>
      </c>
      <c r="C1350">
        <v>0.42534722222222221</v>
      </c>
      <c r="D1350">
        <v>0.43634259259259262</v>
      </c>
      <c r="E1350" s="2">
        <f t="shared" si="21"/>
        <v>1.0995370370370405E-2</v>
      </c>
    </row>
    <row r="1351" spans="1:5" x14ac:dyDescent="0.25">
      <c r="A1351">
        <v>0</v>
      </c>
      <c r="B1351">
        <v>42936</v>
      </c>
      <c r="C1351">
        <v>0.42761574074074077</v>
      </c>
      <c r="D1351">
        <v>0.4314236111111111</v>
      </c>
      <c r="E1351" s="2">
        <f t="shared" si="21"/>
        <v>3.8078703703703365E-3</v>
      </c>
    </row>
    <row r="1352" spans="1:5" x14ac:dyDescent="0.25">
      <c r="A1352">
        <v>0</v>
      </c>
      <c r="B1352">
        <v>42936</v>
      </c>
      <c r="C1352">
        <v>0.43606481481481479</v>
      </c>
      <c r="D1352">
        <v>0.44609953703703703</v>
      </c>
      <c r="E1352" s="2">
        <f t="shared" si="21"/>
        <v>1.0034722222222237E-2</v>
      </c>
    </row>
    <row r="1353" spans="1:5" x14ac:dyDescent="0.25">
      <c r="A1353">
        <v>0</v>
      </c>
      <c r="B1353">
        <v>42936</v>
      </c>
      <c r="C1353">
        <v>0.44170138888888888</v>
      </c>
      <c r="D1353">
        <v>0.44903935185185184</v>
      </c>
      <c r="E1353" s="2">
        <f t="shared" si="21"/>
        <v>7.3379629629629628E-3</v>
      </c>
    </row>
    <row r="1354" spans="1:5" x14ac:dyDescent="0.25">
      <c r="A1354">
        <v>0</v>
      </c>
      <c r="B1354">
        <v>42936</v>
      </c>
      <c r="C1354">
        <v>0.44615740740740739</v>
      </c>
      <c r="D1354">
        <v>0.45019675925925928</v>
      </c>
      <c r="E1354" s="2">
        <f t="shared" si="21"/>
        <v>4.0393518518518912E-3</v>
      </c>
    </row>
    <row r="1355" spans="1:5" x14ac:dyDescent="0.25">
      <c r="A1355">
        <v>0</v>
      </c>
      <c r="B1355">
        <v>42936</v>
      </c>
      <c r="C1355">
        <v>0.4503935185185185</v>
      </c>
      <c r="D1355">
        <v>0.46037037037037037</v>
      </c>
      <c r="E1355" s="2">
        <f t="shared" si="21"/>
        <v>9.9768518518518756E-3</v>
      </c>
    </row>
    <row r="1356" spans="1:5" x14ac:dyDescent="0.25">
      <c r="A1356">
        <v>0</v>
      </c>
      <c r="B1356">
        <v>42936</v>
      </c>
      <c r="C1356">
        <v>0.45503472222222224</v>
      </c>
      <c r="D1356">
        <v>0.45876157407407409</v>
      </c>
      <c r="E1356" s="2">
        <f t="shared" si="21"/>
        <v>3.7268518518518423E-3</v>
      </c>
    </row>
    <row r="1357" spans="1:5" x14ac:dyDescent="0.25">
      <c r="A1357">
        <v>0</v>
      </c>
      <c r="B1357">
        <v>42936</v>
      </c>
      <c r="C1357">
        <v>0.45795138888888887</v>
      </c>
      <c r="D1357">
        <v>0.46004629629629629</v>
      </c>
      <c r="E1357" s="2">
        <f t="shared" si="21"/>
        <v>2.0949074074074203E-3</v>
      </c>
    </row>
    <row r="1358" spans="1:5" x14ac:dyDescent="0.25">
      <c r="A1358">
        <v>0</v>
      </c>
      <c r="B1358">
        <v>42936</v>
      </c>
      <c r="C1358">
        <v>0.46164351851851854</v>
      </c>
      <c r="D1358">
        <v>0.46197916666666666</v>
      </c>
      <c r="E1358" s="2">
        <f t="shared" si="21"/>
        <v>3.356481481481266E-4</v>
      </c>
    </row>
    <row r="1359" spans="1:5" x14ac:dyDescent="0.25">
      <c r="A1359">
        <v>0</v>
      </c>
      <c r="B1359">
        <v>42936</v>
      </c>
      <c r="C1359">
        <v>0.46225694444444443</v>
      </c>
      <c r="D1359">
        <v>0.46591435185185187</v>
      </c>
      <c r="E1359" s="2">
        <f t="shared" si="21"/>
        <v>3.6574074074074425E-3</v>
      </c>
    </row>
    <row r="1360" spans="1:5" x14ac:dyDescent="0.25">
      <c r="A1360">
        <v>0</v>
      </c>
      <c r="B1360">
        <v>42936</v>
      </c>
      <c r="C1360">
        <v>0.46606481481481482</v>
      </c>
      <c r="D1360">
        <v>0.47375</v>
      </c>
      <c r="E1360" s="2">
        <f t="shared" si="21"/>
        <v>7.6851851851851838E-3</v>
      </c>
    </row>
    <row r="1361" spans="1:5" x14ac:dyDescent="0.25">
      <c r="A1361">
        <v>0</v>
      </c>
      <c r="B1361">
        <v>42936</v>
      </c>
      <c r="C1361">
        <v>0.47105324074074073</v>
      </c>
      <c r="D1361">
        <v>0.47146990740740741</v>
      </c>
      <c r="E1361" s="2">
        <f t="shared" si="21"/>
        <v>4.1666666666667629E-4</v>
      </c>
    </row>
    <row r="1362" spans="1:5" x14ac:dyDescent="0.25">
      <c r="A1362">
        <v>0</v>
      </c>
      <c r="B1362">
        <v>42936</v>
      </c>
      <c r="C1362">
        <v>0.47244212962962961</v>
      </c>
      <c r="D1362">
        <v>0.48127314814814814</v>
      </c>
      <c r="E1362" s="2">
        <f t="shared" si="21"/>
        <v>8.8310185185185297E-3</v>
      </c>
    </row>
    <row r="1363" spans="1:5" x14ac:dyDescent="0.25">
      <c r="A1363">
        <v>0</v>
      </c>
      <c r="B1363">
        <v>42936</v>
      </c>
      <c r="C1363">
        <v>0.47531250000000003</v>
      </c>
      <c r="D1363">
        <v>0.47684027777777777</v>
      </c>
      <c r="E1363" s="2">
        <f t="shared" si="21"/>
        <v>1.527777777777739E-3</v>
      </c>
    </row>
    <row r="1364" spans="1:5" x14ac:dyDescent="0.25">
      <c r="A1364">
        <v>0</v>
      </c>
      <c r="B1364">
        <v>42936</v>
      </c>
      <c r="C1364">
        <v>0.48032407407407407</v>
      </c>
      <c r="D1364">
        <v>0.4916550925925926</v>
      </c>
      <c r="E1364" s="2">
        <f t="shared" si="21"/>
        <v>1.1331018518518532E-2</v>
      </c>
    </row>
    <row r="1365" spans="1:5" x14ac:dyDescent="0.25">
      <c r="A1365">
        <v>0</v>
      </c>
      <c r="B1365">
        <v>42936</v>
      </c>
      <c r="C1365">
        <v>0.48280092592592594</v>
      </c>
      <c r="D1365">
        <v>0.48798611111111112</v>
      </c>
      <c r="E1365" s="2">
        <f t="shared" si="21"/>
        <v>5.1851851851851816E-3</v>
      </c>
    </row>
    <row r="1366" spans="1:5" x14ac:dyDescent="0.25">
      <c r="A1366">
        <v>0</v>
      </c>
      <c r="B1366">
        <v>42936</v>
      </c>
      <c r="C1366">
        <v>0.48813657407407407</v>
      </c>
      <c r="D1366">
        <v>0.49116898148148147</v>
      </c>
      <c r="E1366" s="2">
        <f t="shared" si="21"/>
        <v>3.0324074074074003E-3</v>
      </c>
    </row>
    <row r="1367" spans="1:5" x14ac:dyDescent="0.25">
      <c r="A1367">
        <v>0</v>
      </c>
      <c r="B1367">
        <v>42936</v>
      </c>
      <c r="C1367">
        <v>0.49015046296296294</v>
      </c>
      <c r="D1367">
        <v>0.49456018518518519</v>
      </c>
      <c r="E1367" s="2">
        <f t="shared" si="21"/>
        <v>4.4097222222222454E-3</v>
      </c>
    </row>
    <row r="1368" spans="1:5" x14ac:dyDescent="0.25">
      <c r="A1368">
        <v>0</v>
      </c>
      <c r="B1368">
        <v>42936</v>
      </c>
      <c r="C1368">
        <v>0.49103009259259262</v>
      </c>
      <c r="D1368">
        <v>0.4937037037037037</v>
      </c>
      <c r="E1368" s="2">
        <f t="shared" si="21"/>
        <v>2.673611111111085E-3</v>
      </c>
    </row>
    <row r="1369" spans="1:5" x14ac:dyDescent="0.25">
      <c r="A1369">
        <v>0</v>
      </c>
      <c r="B1369">
        <v>42936</v>
      </c>
      <c r="C1369">
        <v>0.49519675925925927</v>
      </c>
      <c r="D1369">
        <v>0.49532407407407408</v>
      </c>
      <c r="E1369" s="2">
        <f t="shared" si="21"/>
        <v>1.2731481481481621E-4</v>
      </c>
    </row>
    <row r="1370" spans="1:5" x14ac:dyDescent="0.25">
      <c r="A1370">
        <v>0</v>
      </c>
      <c r="B1370">
        <v>42936</v>
      </c>
      <c r="C1370">
        <v>0.49833333333333335</v>
      </c>
      <c r="D1370">
        <v>0.50942129629629629</v>
      </c>
      <c r="E1370" s="2">
        <f t="shared" si="21"/>
        <v>1.1087962962962938E-2</v>
      </c>
    </row>
    <row r="1371" spans="1:5" x14ac:dyDescent="0.25">
      <c r="A1371">
        <v>0</v>
      </c>
      <c r="B1371">
        <v>42936</v>
      </c>
      <c r="C1371">
        <v>0.50298611111111113</v>
      </c>
      <c r="D1371">
        <v>0.50312500000000004</v>
      </c>
      <c r="E1371" s="2">
        <f t="shared" si="21"/>
        <v>1.388888888889106E-4</v>
      </c>
    </row>
    <row r="1372" spans="1:5" x14ac:dyDescent="0.25">
      <c r="A1372">
        <v>0</v>
      </c>
      <c r="B1372">
        <v>42936</v>
      </c>
      <c r="C1372">
        <v>0.50581018518518517</v>
      </c>
      <c r="D1372">
        <v>0.51442129629629629</v>
      </c>
      <c r="E1372" s="2">
        <f t="shared" si="21"/>
        <v>8.6111111111111249E-3</v>
      </c>
    </row>
    <row r="1373" spans="1:5" x14ac:dyDescent="0.25">
      <c r="A1373">
        <v>0</v>
      </c>
      <c r="B1373">
        <v>42936</v>
      </c>
      <c r="C1373">
        <v>0.508275462962963</v>
      </c>
      <c r="D1373">
        <v>0.51652777777777781</v>
      </c>
      <c r="E1373" s="2">
        <f t="shared" si="21"/>
        <v>8.2523148148148096E-3</v>
      </c>
    </row>
    <row r="1374" spans="1:5" x14ac:dyDescent="0.25">
      <c r="A1374">
        <v>0</v>
      </c>
      <c r="B1374">
        <v>42936</v>
      </c>
      <c r="C1374">
        <v>0.50880787037037034</v>
      </c>
      <c r="D1374">
        <v>0.51409722222222221</v>
      </c>
      <c r="E1374" s="2">
        <f t="shared" si="21"/>
        <v>5.2893518518518645E-3</v>
      </c>
    </row>
    <row r="1375" spans="1:5" x14ac:dyDescent="0.25">
      <c r="A1375">
        <v>0</v>
      </c>
      <c r="B1375">
        <v>42936</v>
      </c>
      <c r="C1375">
        <v>0.51028935185185187</v>
      </c>
      <c r="D1375">
        <v>0.52089120370370368</v>
      </c>
      <c r="E1375" s="2">
        <f t="shared" si="21"/>
        <v>1.0601851851851807E-2</v>
      </c>
    </row>
    <row r="1376" spans="1:5" x14ac:dyDescent="0.25">
      <c r="A1376">
        <v>0</v>
      </c>
      <c r="B1376">
        <v>42936</v>
      </c>
      <c r="C1376">
        <v>0.51511574074074074</v>
      </c>
      <c r="D1376">
        <v>0.51787037037037043</v>
      </c>
      <c r="E1376" s="2">
        <f t="shared" si="21"/>
        <v>2.7546296296296902E-3</v>
      </c>
    </row>
    <row r="1377" spans="1:5" x14ac:dyDescent="0.25">
      <c r="A1377">
        <v>0</v>
      </c>
      <c r="B1377">
        <v>42936</v>
      </c>
      <c r="C1377">
        <v>0.51512731481481477</v>
      </c>
      <c r="D1377">
        <v>0.51556712962962958</v>
      </c>
      <c r="E1377" s="2">
        <f t="shared" si="21"/>
        <v>4.3981481481480955E-4</v>
      </c>
    </row>
    <row r="1378" spans="1:5" x14ac:dyDescent="0.25">
      <c r="A1378">
        <v>0</v>
      </c>
      <c r="B1378">
        <v>42936</v>
      </c>
      <c r="C1378">
        <v>0.51928240740740739</v>
      </c>
      <c r="D1378">
        <v>0.53030092592592593</v>
      </c>
      <c r="E1378" s="2">
        <f t="shared" si="21"/>
        <v>1.1018518518518539E-2</v>
      </c>
    </row>
    <row r="1379" spans="1:5" x14ac:dyDescent="0.25">
      <c r="A1379">
        <v>0</v>
      </c>
      <c r="B1379">
        <v>42936</v>
      </c>
      <c r="C1379">
        <v>0.52225694444444448</v>
      </c>
      <c r="D1379">
        <v>0.5236574074074074</v>
      </c>
      <c r="E1379" s="2">
        <f t="shared" si="21"/>
        <v>1.4004629629629228E-3</v>
      </c>
    </row>
    <row r="1380" spans="1:5" x14ac:dyDescent="0.25">
      <c r="A1380">
        <v>0</v>
      </c>
      <c r="B1380">
        <v>42936</v>
      </c>
      <c r="C1380">
        <v>0.52240740740740743</v>
      </c>
      <c r="D1380">
        <v>0.53074074074074074</v>
      </c>
      <c r="E1380" s="2">
        <f t="shared" si="21"/>
        <v>8.3333333333333037E-3</v>
      </c>
    </row>
    <row r="1381" spans="1:5" x14ac:dyDescent="0.25">
      <c r="A1381">
        <v>0</v>
      </c>
      <c r="B1381">
        <v>42936</v>
      </c>
      <c r="C1381">
        <v>0.52379629629629632</v>
      </c>
      <c r="D1381">
        <v>0.52883101851851855</v>
      </c>
      <c r="E1381" s="2">
        <f t="shared" si="21"/>
        <v>5.0347222222222321E-3</v>
      </c>
    </row>
    <row r="1382" spans="1:5" x14ac:dyDescent="0.25">
      <c r="A1382">
        <v>0</v>
      </c>
      <c r="B1382">
        <v>42936</v>
      </c>
      <c r="C1382">
        <v>0.52813657407407411</v>
      </c>
      <c r="D1382">
        <v>0.53877314814814814</v>
      </c>
      <c r="E1382" s="2">
        <f t="shared" si="21"/>
        <v>1.0636574074074034E-2</v>
      </c>
    </row>
    <row r="1383" spans="1:5" x14ac:dyDescent="0.25">
      <c r="A1383">
        <v>0</v>
      </c>
      <c r="B1383">
        <v>42936</v>
      </c>
      <c r="C1383">
        <v>0.53083333333333338</v>
      </c>
      <c r="D1383">
        <v>0.53511574074074075</v>
      </c>
      <c r="E1383" s="2">
        <f t="shared" si="21"/>
        <v>4.2824074074073737E-3</v>
      </c>
    </row>
    <row r="1384" spans="1:5" x14ac:dyDescent="0.25">
      <c r="A1384">
        <v>0</v>
      </c>
      <c r="B1384">
        <v>42936</v>
      </c>
      <c r="C1384">
        <v>0.5330555555555555</v>
      </c>
      <c r="D1384">
        <v>0.54049768518518515</v>
      </c>
      <c r="E1384" s="2">
        <f t="shared" si="21"/>
        <v>7.4421296296296457E-3</v>
      </c>
    </row>
    <row r="1385" spans="1:5" x14ac:dyDescent="0.25">
      <c r="A1385">
        <v>0</v>
      </c>
      <c r="B1385">
        <v>42936</v>
      </c>
      <c r="C1385">
        <v>0.53820601851851857</v>
      </c>
      <c r="D1385">
        <v>0.54369212962962965</v>
      </c>
      <c r="E1385" s="2">
        <f t="shared" si="21"/>
        <v>5.4861111111110805E-3</v>
      </c>
    </row>
    <row r="1386" spans="1:5" x14ac:dyDescent="0.25">
      <c r="A1386">
        <v>0</v>
      </c>
      <c r="B1386">
        <v>42936</v>
      </c>
      <c r="C1386">
        <v>0.53964120370370372</v>
      </c>
      <c r="D1386">
        <v>0.54423611111111114</v>
      </c>
      <c r="E1386" s="2">
        <f t="shared" si="21"/>
        <v>4.5949074074074225E-3</v>
      </c>
    </row>
    <row r="1387" spans="1:5" x14ac:dyDescent="0.25">
      <c r="A1387">
        <v>0</v>
      </c>
      <c r="B1387">
        <v>42936</v>
      </c>
      <c r="C1387">
        <v>0.54450231481481481</v>
      </c>
      <c r="D1387">
        <v>0.55406250000000001</v>
      </c>
      <c r="E1387" s="2">
        <f t="shared" si="21"/>
        <v>9.5601851851851993E-3</v>
      </c>
    </row>
    <row r="1388" spans="1:5" x14ac:dyDescent="0.25">
      <c r="A1388">
        <v>0</v>
      </c>
      <c r="B1388">
        <v>42936</v>
      </c>
      <c r="C1388">
        <v>0.54556712962962961</v>
      </c>
      <c r="D1388">
        <v>0.54894675925925929</v>
      </c>
      <c r="E1388" s="2">
        <f t="shared" si="21"/>
        <v>3.3796296296296768E-3</v>
      </c>
    </row>
    <row r="1389" spans="1:5" x14ac:dyDescent="0.25">
      <c r="A1389">
        <v>0</v>
      </c>
      <c r="B1389">
        <v>42936</v>
      </c>
      <c r="C1389">
        <v>0.54946759259259259</v>
      </c>
      <c r="D1389">
        <v>0.55583333333333329</v>
      </c>
      <c r="E1389" s="2">
        <f t="shared" si="21"/>
        <v>6.3657407407406996E-3</v>
      </c>
    </row>
    <row r="1390" spans="1:5" x14ac:dyDescent="0.25">
      <c r="A1390">
        <v>0</v>
      </c>
      <c r="B1390">
        <v>42936</v>
      </c>
      <c r="C1390">
        <v>0.55306712962962967</v>
      </c>
      <c r="D1390">
        <v>0.56304398148148149</v>
      </c>
      <c r="E1390" s="2">
        <f t="shared" si="21"/>
        <v>9.9768518518518201E-3</v>
      </c>
    </row>
    <row r="1391" spans="1:5" x14ac:dyDescent="0.25">
      <c r="A1391">
        <v>0</v>
      </c>
      <c r="B1391">
        <v>42936</v>
      </c>
      <c r="C1391">
        <v>0.55476851851851849</v>
      </c>
      <c r="D1391">
        <v>0.56596064814814817</v>
      </c>
      <c r="E1391" s="2">
        <f t="shared" si="21"/>
        <v>1.1192129629629677E-2</v>
      </c>
    </row>
    <row r="1392" spans="1:5" x14ac:dyDescent="0.25">
      <c r="A1392">
        <v>0</v>
      </c>
      <c r="B1392">
        <v>42936</v>
      </c>
      <c r="C1392">
        <v>0.55827546296296293</v>
      </c>
      <c r="D1392">
        <v>0.55864583333333329</v>
      </c>
      <c r="E1392" s="2">
        <f t="shared" si="21"/>
        <v>3.7037037037035425E-4</v>
      </c>
    </row>
    <row r="1393" spans="1:5" x14ac:dyDescent="0.25">
      <c r="A1393">
        <v>0</v>
      </c>
      <c r="B1393">
        <v>42936</v>
      </c>
      <c r="C1393">
        <v>0.56180555555555556</v>
      </c>
      <c r="D1393">
        <v>0.56400462962962961</v>
      </c>
      <c r="E1393" s="2">
        <f t="shared" si="21"/>
        <v>2.1990740740740478E-3</v>
      </c>
    </row>
    <row r="1394" spans="1:5" x14ac:dyDescent="0.25">
      <c r="A1394">
        <v>0</v>
      </c>
      <c r="B1394">
        <v>42936</v>
      </c>
      <c r="C1394">
        <v>0.56320601851851848</v>
      </c>
      <c r="D1394">
        <v>0.57020833333333332</v>
      </c>
      <c r="E1394" s="2">
        <f t="shared" si="21"/>
        <v>7.0023148148148362E-3</v>
      </c>
    </row>
    <row r="1395" spans="1:5" x14ac:dyDescent="0.25">
      <c r="A1395">
        <v>0</v>
      </c>
      <c r="B1395">
        <v>42936</v>
      </c>
      <c r="C1395">
        <v>0.56537037037037041</v>
      </c>
      <c r="D1395">
        <v>0.57611111111111113</v>
      </c>
      <c r="E1395" s="2">
        <f t="shared" si="21"/>
        <v>1.0740740740740717E-2</v>
      </c>
    </row>
    <row r="1396" spans="1:5" x14ac:dyDescent="0.25">
      <c r="A1396">
        <v>0</v>
      </c>
      <c r="B1396">
        <v>42936</v>
      </c>
      <c r="C1396">
        <v>0.57105324074074071</v>
      </c>
      <c r="D1396">
        <v>0.57465277777777779</v>
      </c>
      <c r="E1396" s="2">
        <f t="shared" si="21"/>
        <v>3.5995370370370816E-3</v>
      </c>
    </row>
    <row r="1397" spans="1:5" x14ac:dyDescent="0.25">
      <c r="A1397">
        <v>0</v>
      </c>
      <c r="B1397">
        <v>42936</v>
      </c>
      <c r="C1397">
        <v>0.57517361111111109</v>
      </c>
      <c r="D1397">
        <v>0.57784722222222218</v>
      </c>
      <c r="E1397" s="2">
        <f t="shared" si="21"/>
        <v>2.673611111111085E-3</v>
      </c>
    </row>
    <row r="1398" spans="1:5" x14ac:dyDescent="0.25">
      <c r="A1398">
        <v>0</v>
      </c>
      <c r="B1398">
        <v>42936</v>
      </c>
      <c r="C1398">
        <v>0.57671296296296293</v>
      </c>
      <c r="D1398">
        <v>0.58539351851851851</v>
      </c>
      <c r="E1398" s="2">
        <f t="shared" si="21"/>
        <v>8.6805555555555802E-3</v>
      </c>
    </row>
    <row r="1399" spans="1:5" x14ac:dyDescent="0.25">
      <c r="A1399">
        <v>0</v>
      </c>
      <c r="B1399">
        <v>42936</v>
      </c>
      <c r="C1399">
        <v>0.57781249999999995</v>
      </c>
      <c r="D1399">
        <v>0.57953703703703707</v>
      </c>
      <c r="E1399" s="2">
        <f t="shared" si="21"/>
        <v>1.7245370370371216E-3</v>
      </c>
    </row>
    <row r="1400" spans="1:5" x14ac:dyDescent="0.25">
      <c r="A1400">
        <v>0</v>
      </c>
      <c r="B1400">
        <v>42936</v>
      </c>
      <c r="C1400">
        <v>0.58206018518518521</v>
      </c>
      <c r="D1400">
        <v>0.59037037037037032</v>
      </c>
      <c r="E1400" s="2">
        <f t="shared" si="21"/>
        <v>8.310185185185115E-3</v>
      </c>
    </row>
    <row r="1401" spans="1:5" x14ac:dyDescent="0.25">
      <c r="A1401">
        <v>0</v>
      </c>
      <c r="B1401">
        <v>42936</v>
      </c>
      <c r="C1401">
        <v>0.58328703703703699</v>
      </c>
      <c r="D1401">
        <v>0.5920023148148148</v>
      </c>
      <c r="E1401" s="2">
        <f t="shared" si="21"/>
        <v>8.7152777777778079E-3</v>
      </c>
    </row>
    <row r="1402" spans="1:5" x14ac:dyDescent="0.25">
      <c r="A1402">
        <v>0</v>
      </c>
      <c r="B1402">
        <v>42936</v>
      </c>
      <c r="C1402">
        <v>0.58564814814814814</v>
      </c>
      <c r="D1402">
        <v>0.58964120370370365</v>
      </c>
      <c r="E1402" s="2">
        <f t="shared" si="21"/>
        <v>3.9930555555555136E-3</v>
      </c>
    </row>
    <row r="1403" spans="1:5" x14ac:dyDescent="0.25">
      <c r="A1403">
        <v>0</v>
      </c>
      <c r="B1403">
        <v>42936</v>
      </c>
      <c r="C1403">
        <v>0.59053240740740742</v>
      </c>
      <c r="D1403">
        <v>0.59318287037037032</v>
      </c>
      <c r="E1403" s="2">
        <f t="shared" si="21"/>
        <v>2.6504629629628962E-3</v>
      </c>
    </row>
    <row r="1404" spans="1:5" x14ac:dyDescent="0.25">
      <c r="A1404">
        <v>0</v>
      </c>
      <c r="B1404">
        <v>42936</v>
      </c>
      <c r="C1404">
        <v>0.59621527777777783</v>
      </c>
      <c r="D1404">
        <v>0.59906250000000005</v>
      </c>
      <c r="E1404" s="2">
        <f t="shared" si="21"/>
        <v>2.8472222222222232E-3</v>
      </c>
    </row>
    <row r="1405" spans="1:5" x14ac:dyDescent="0.25">
      <c r="A1405">
        <v>0</v>
      </c>
      <c r="B1405">
        <v>42936</v>
      </c>
      <c r="C1405">
        <v>0.59693287037037035</v>
      </c>
      <c r="D1405">
        <v>0.59743055555555558</v>
      </c>
      <c r="E1405" s="2">
        <f t="shared" si="21"/>
        <v>4.9768518518522598E-4</v>
      </c>
    </row>
    <row r="1406" spans="1:5" x14ac:dyDescent="0.25">
      <c r="A1406">
        <v>0</v>
      </c>
      <c r="B1406">
        <v>42936</v>
      </c>
      <c r="C1406">
        <v>0.60048611111111116</v>
      </c>
      <c r="D1406">
        <v>0.60371527777777778</v>
      </c>
      <c r="E1406" s="2">
        <f t="shared" si="21"/>
        <v>3.2291666666666163E-3</v>
      </c>
    </row>
    <row r="1407" spans="1:5" x14ac:dyDescent="0.25">
      <c r="A1407">
        <v>0</v>
      </c>
      <c r="B1407">
        <v>42936</v>
      </c>
      <c r="C1407">
        <v>0.60251157407407407</v>
      </c>
      <c r="D1407">
        <v>0.60608796296296297</v>
      </c>
      <c r="E1407" s="2">
        <f t="shared" si="21"/>
        <v>3.5763888888888928E-3</v>
      </c>
    </row>
    <row r="1408" spans="1:5" x14ac:dyDescent="0.25">
      <c r="A1408">
        <v>0</v>
      </c>
      <c r="B1408">
        <v>42936</v>
      </c>
      <c r="C1408">
        <v>0.60277777777777775</v>
      </c>
      <c r="D1408">
        <v>0.61222222222222222</v>
      </c>
      <c r="E1408" s="2">
        <f t="shared" si="21"/>
        <v>9.4444444444444775E-3</v>
      </c>
    </row>
    <row r="1409" spans="1:5" x14ac:dyDescent="0.25">
      <c r="A1409">
        <v>0</v>
      </c>
      <c r="B1409">
        <v>42936</v>
      </c>
      <c r="C1409">
        <v>0.60282407407407412</v>
      </c>
      <c r="D1409">
        <v>0.61041666666666672</v>
      </c>
      <c r="E1409" s="2">
        <f t="shared" si="21"/>
        <v>7.5925925925925952E-3</v>
      </c>
    </row>
    <row r="1410" spans="1:5" x14ac:dyDescent="0.25">
      <c r="A1410">
        <v>0</v>
      </c>
      <c r="B1410">
        <v>42936</v>
      </c>
      <c r="C1410">
        <v>0.60693287037037036</v>
      </c>
      <c r="D1410">
        <v>0.61001157407407403</v>
      </c>
      <c r="E1410" s="2">
        <f t="shared" ref="E1410:E1473" si="22">D1410-C1410</f>
        <v>3.0787037037036669E-3</v>
      </c>
    </row>
    <row r="1411" spans="1:5" x14ac:dyDescent="0.25">
      <c r="A1411">
        <v>0</v>
      </c>
      <c r="B1411">
        <v>42936</v>
      </c>
      <c r="C1411">
        <v>0.60990740740740745</v>
      </c>
      <c r="D1411">
        <v>0.61383101851851851</v>
      </c>
      <c r="E1411" s="2">
        <f t="shared" si="22"/>
        <v>3.9236111111110583E-3</v>
      </c>
    </row>
    <row r="1412" spans="1:5" x14ac:dyDescent="0.25">
      <c r="A1412">
        <v>0</v>
      </c>
      <c r="B1412">
        <v>42936</v>
      </c>
      <c r="C1412">
        <v>0.61320601851851853</v>
      </c>
      <c r="D1412">
        <v>0.62115740740740744</v>
      </c>
      <c r="E1412" s="2">
        <f t="shared" si="22"/>
        <v>7.9513888888889106E-3</v>
      </c>
    </row>
    <row r="1413" spans="1:5" x14ac:dyDescent="0.25">
      <c r="A1413">
        <v>0</v>
      </c>
      <c r="B1413">
        <v>42936</v>
      </c>
      <c r="C1413">
        <v>0.61535879629629631</v>
      </c>
      <c r="D1413">
        <v>0.62503472222222223</v>
      </c>
      <c r="E1413" s="2">
        <f t="shared" si="22"/>
        <v>9.6759259259259212E-3</v>
      </c>
    </row>
    <row r="1414" spans="1:5" x14ac:dyDescent="0.25">
      <c r="A1414">
        <v>0</v>
      </c>
      <c r="B1414">
        <v>42936</v>
      </c>
      <c r="C1414">
        <v>0.61559027777777775</v>
      </c>
      <c r="D1414">
        <v>0.62532407407407409</v>
      </c>
      <c r="E1414" s="2">
        <f t="shared" si="22"/>
        <v>9.7337962962963376E-3</v>
      </c>
    </row>
    <row r="1415" spans="1:5" x14ac:dyDescent="0.25">
      <c r="A1415">
        <v>0</v>
      </c>
      <c r="B1415">
        <v>42936</v>
      </c>
      <c r="C1415">
        <v>0.62078703703703708</v>
      </c>
      <c r="D1415">
        <v>0.62863425925925931</v>
      </c>
      <c r="E1415" s="2">
        <f t="shared" si="22"/>
        <v>7.8472222222222276E-3</v>
      </c>
    </row>
    <row r="1416" spans="1:5" x14ac:dyDescent="0.25">
      <c r="A1416">
        <v>0</v>
      </c>
      <c r="B1416">
        <v>42936</v>
      </c>
      <c r="C1416">
        <v>0.62524305555555559</v>
      </c>
      <c r="D1416">
        <v>0.62846064814814817</v>
      </c>
      <c r="E1416" s="2">
        <f t="shared" si="22"/>
        <v>3.2175925925925775E-3</v>
      </c>
    </row>
    <row r="1417" spans="1:5" x14ac:dyDescent="0.25">
      <c r="A1417">
        <v>0</v>
      </c>
      <c r="B1417">
        <v>42937</v>
      </c>
      <c r="C1417">
        <v>0.33421296296296299</v>
      </c>
      <c r="D1417">
        <v>0.33674768518518516</v>
      </c>
      <c r="E1417" s="2">
        <f t="shared" si="22"/>
        <v>2.5347222222221744E-3</v>
      </c>
    </row>
    <row r="1418" spans="1:5" x14ac:dyDescent="0.25">
      <c r="A1418">
        <v>0</v>
      </c>
      <c r="B1418">
        <v>42937</v>
      </c>
      <c r="C1418">
        <v>0.33513888888888888</v>
      </c>
      <c r="D1418">
        <v>0.33787037037037038</v>
      </c>
      <c r="E1418" s="2">
        <f t="shared" si="22"/>
        <v>2.7314814814815014E-3</v>
      </c>
    </row>
    <row r="1419" spans="1:5" x14ac:dyDescent="0.25">
      <c r="A1419">
        <v>0</v>
      </c>
      <c r="B1419">
        <v>42937</v>
      </c>
      <c r="C1419">
        <v>0.33642361111111113</v>
      </c>
      <c r="D1419">
        <v>0.33778935185185183</v>
      </c>
      <c r="E1419" s="2">
        <f t="shared" si="22"/>
        <v>1.3657407407406952E-3</v>
      </c>
    </row>
    <row r="1420" spans="1:5" x14ac:dyDescent="0.25">
      <c r="A1420">
        <v>0</v>
      </c>
      <c r="B1420">
        <v>42937</v>
      </c>
      <c r="C1420">
        <v>0.34157407407407409</v>
      </c>
      <c r="D1420">
        <v>0.34684027777777776</v>
      </c>
      <c r="E1420" s="2">
        <f t="shared" si="22"/>
        <v>5.2662037037036757E-3</v>
      </c>
    </row>
    <row r="1421" spans="1:5" x14ac:dyDescent="0.25">
      <c r="A1421">
        <v>0</v>
      </c>
      <c r="B1421">
        <v>42937</v>
      </c>
      <c r="C1421">
        <v>0.34197916666666667</v>
      </c>
      <c r="D1421">
        <v>0.3460300925925926</v>
      </c>
      <c r="E1421" s="2">
        <f t="shared" si="22"/>
        <v>4.05092592592593E-3</v>
      </c>
    </row>
    <row r="1422" spans="1:5" x14ac:dyDescent="0.25">
      <c r="A1422">
        <v>0</v>
      </c>
      <c r="B1422">
        <v>42937</v>
      </c>
      <c r="C1422">
        <v>0.34567129629629628</v>
      </c>
      <c r="D1422">
        <v>0.34745370370370371</v>
      </c>
      <c r="E1422" s="2">
        <f t="shared" si="22"/>
        <v>1.782407407407427E-3</v>
      </c>
    </row>
    <row r="1423" spans="1:5" x14ac:dyDescent="0.25">
      <c r="A1423">
        <v>0</v>
      </c>
      <c r="B1423">
        <v>42937</v>
      </c>
      <c r="C1423">
        <v>0.34690972222222222</v>
      </c>
      <c r="D1423">
        <v>0.35206018518518517</v>
      </c>
      <c r="E1423" s="2">
        <f t="shared" si="22"/>
        <v>5.1504629629629539E-3</v>
      </c>
    </row>
    <row r="1424" spans="1:5" x14ac:dyDescent="0.25">
      <c r="A1424">
        <v>0</v>
      </c>
      <c r="B1424">
        <v>42937</v>
      </c>
      <c r="C1424">
        <v>0.34745370370370371</v>
      </c>
      <c r="D1424">
        <v>0.3526273148148148</v>
      </c>
      <c r="E1424" s="2">
        <f t="shared" si="22"/>
        <v>5.1736111111110872E-3</v>
      </c>
    </row>
    <row r="1425" spans="1:5" x14ac:dyDescent="0.25">
      <c r="A1425">
        <v>0</v>
      </c>
      <c r="B1425">
        <v>42937</v>
      </c>
      <c r="C1425">
        <v>0.34961805555555553</v>
      </c>
      <c r="D1425">
        <v>0.3535300925925926</v>
      </c>
      <c r="E1425" s="2">
        <f t="shared" si="22"/>
        <v>3.9120370370370749E-3</v>
      </c>
    </row>
    <row r="1426" spans="1:5" x14ac:dyDescent="0.25">
      <c r="A1426">
        <v>0</v>
      </c>
      <c r="B1426">
        <v>42937</v>
      </c>
      <c r="C1426">
        <v>0.35003472222222221</v>
      </c>
      <c r="D1426">
        <v>0.35540509259259262</v>
      </c>
      <c r="E1426" s="2">
        <f t="shared" si="22"/>
        <v>5.3703703703704142E-3</v>
      </c>
    </row>
    <row r="1427" spans="1:5" x14ac:dyDescent="0.25">
      <c r="A1427">
        <v>0</v>
      </c>
      <c r="B1427">
        <v>42937</v>
      </c>
      <c r="C1427">
        <v>0.3515625</v>
      </c>
      <c r="D1427">
        <v>0.35299768518518521</v>
      </c>
      <c r="E1427" s="2">
        <f t="shared" si="22"/>
        <v>1.435185185185206E-3</v>
      </c>
    </row>
    <row r="1428" spans="1:5" x14ac:dyDescent="0.25">
      <c r="A1428">
        <v>0</v>
      </c>
      <c r="B1428">
        <v>42937</v>
      </c>
      <c r="C1428">
        <v>0.35401620370370368</v>
      </c>
      <c r="D1428">
        <v>0.35944444444444446</v>
      </c>
      <c r="E1428" s="2">
        <f t="shared" si="22"/>
        <v>5.4282407407407751E-3</v>
      </c>
    </row>
    <row r="1429" spans="1:5" x14ac:dyDescent="0.25">
      <c r="A1429">
        <v>0</v>
      </c>
      <c r="B1429">
        <v>42937</v>
      </c>
      <c r="C1429">
        <v>0.35912037037037037</v>
      </c>
      <c r="D1429">
        <v>0.36318287037037039</v>
      </c>
      <c r="E1429" s="2">
        <f t="shared" si="22"/>
        <v>4.0625000000000244E-3</v>
      </c>
    </row>
    <row r="1430" spans="1:5" x14ac:dyDescent="0.25">
      <c r="A1430">
        <v>0</v>
      </c>
      <c r="B1430">
        <v>42937</v>
      </c>
      <c r="C1430">
        <v>0.36155092592592591</v>
      </c>
      <c r="D1430">
        <v>0.36355324074074075</v>
      </c>
      <c r="E1430" s="2">
        <f t="shared" si="22"/>
        <v>2.0023148148148318E-3</v>
      </c>
    </row>
    <row r="1431" spans="1:5" x14ac:dyDescent="0.25">
      <c r="A1431">
        <v>0</v>
      </c>
      <c r="B1431">
        <v>42937</v>
      </c>
      <c r="C1431">
        <v>0.36631944444444442</v>
      </c>
      <c r="D1431">
        <v>0.37376157407407407</v>
      </c>
      <c r="E1431" s="2">
        <f t="shared" si="22"/>
        <v>7.4421296296296457E-3</v>
      </c>
    </row>
    <row r="1432" spans="1:5" x14ac:dyDescent="0.25">
      <c r="A1432">
        <v>0</v>
      </c>
      <c r="B1432">
        <v>42937</v>
      </c>
      <c r="C1432">
        <v>0.37133101851851852</v>
      </c>
      <c r="D1432">
        <v>0.38075231481481481</v>
      </c>
      <c r="E1432" s="2">
        <f t="shared" si="22"/>
        <v>9.4212962962962887E-3</v>
      </c>
    </row>
    <row r="1433" spans="1:5" x14ac:dyDescent="0.25">
      <c r="A1433">
        <v>0</v>
      </c>
      <c r="B1433">
        <v>42937</v>
      </c>
      <c r="C1433">
        <v>0.37569444444444444</v>
      </c>
      <c r="D1433">
        <v>0.38611111111111113</v>
      </c>
      <c r="E1433" s="2">
        <f t="shared" si="22"/>
        <v>1.0416666666666685E-2</v>
      </c>
    </row>
    <row r="1434" spans="1:5" x14ac:dyDescent="0.25">
      <c r="A1434">
        <v>0</v>
      </c>
      <c r="B1434">
        <v>42937</v>
      </c>
      <c r="C1434">
        <v>0.37891203703703702</v>
      </c>
      <c r="D1434">
        <v>0.38443287037037038</v>
      </c>
      <c r="E1434" s="2">
        <f t="shared" si="22"/>
        <v>5.5208333333333637E-3</v>
      </c>
    </row>
    <row r="1435" spans="1:5" x14ac:dyDescent="0.25">
      <c r="A1435">
        <v>0</v>
      </c>
      <c r="B1435">
        <v>42937</v>
      </c>
      <c r="C1435">
        <v>0.38086805555555553</v>
      </c>
      <c r="D1435">
        <v>0.38918981481481479</v>
      </c>
      <c r="E1435" s="2">
        <f t="shared" si="22"/>
        <v>8.3217592592592649E-3</v>
      </c>
    </row>
    <row r="1436" spans="1:5" x14ac:dyDescent="0.25">
      <c r="A1436">
        <v>0</v>
      </c>
      <c r="B1436">
        <v>42937</v>
      </c>
      <c r="C1436">
        <v>0.38633101851851853</v>
      </c>
      <c r="D1436">
        <v>0.38923611111111112</v>
      </c>
      <c r="E1436" s="2">
        <f t="shared" si="22"/>
        <v>2.9050925925925841E-3</v>
      </c>
    </row>
    <row r="1437" spans="1:5" x14ac:dyDescent="0.25">
      <c r="A1437">
        <v>0</v>
      </c>
      <c r="B1437">
        <v>42937</v>
      </c>
      <c r="C1437">
        <v>0.38848379629629631</v>
      </c>
      <c r="D1437">
        <v>0.39874999999999999</v>
      </c>
      <c r="E1437" s="2">
        <f t="shared" si="22"/>
        <v>1.026620370370368E-2</v>
      </c>
    </row>
    <row r="1438" spans="1:5" x14ac:dyDescent="0.25">
      <c r="A1438">
        <v>0</v>
      </c>
      <c r="B1438">
        <v>42937</v>
      </c>
      <c r="C1438">
        <v>0.39089120370370373</v>
      </c>
      <c r="D1438">
        <v>0.39620370370370372</v>
      </c>
      <c r="E1438" s="2">
        <f t="shared" si="22"/>
        <v>5.3124999999999978E-3</v>
      </c>
    </row>
    <row r="1439" spans="1:5" x14ac:dyDescent="0.25">
      <c r="A1439">
        <v>0</v>
      </c>
      <c r="B1439">
        <v>42937</v>
      </c>
      <c r="C1439">
        <v>0.39469907407407406</v>
      </c>
      <c r="D1439">
        <v>0.40141203703703704</v>
      </c>
      <c r="E1439" s="2">
        <f t="shared" si="22"/>
        <v>6.7129629629629761E-3</v>
      </c>
    </row>
    <row r="1440" spans="1:5" x14ac:dyDescent="0.25">
      <c r="A1440">
        <v>0</v>
      </c>
      <c r="B1440">
        <v>42937</v>
      </c>
      <c r="C1440">
        <v>0.39953703703703702</v>
      </c>
      <c r="D1440">
        <v>0.40038194444444447</v>
      </c>
      <c r="E1440" s="2">
        <f t="shared" si="22"/>
        <v>8.4490740740744696E-4</v>
      </c>
    </row>
    <row r="1441" spans="1:5" x14ac:dyDescent="0.25">
      <c r="A1441">
        <v>0</v>
      </c>
      <c r="B1441">
        <v>42937</v>
      </c>
      <c r="C1441">
        <v>0.40379629629629632</v>
      </c>
      <c r="D1441">
        <v>0.40822916666666664</v>
      </c>
      <c r="E1441" s="2">
        <f t="shared" si="22"/>
        <v>4.4328703703703232E-3</v>
      </c>
    </row>
    <row r="1442" spans="1:5" x14ac:dyDescent="0.25">
      <c r="A1442">
        <v>0</v>
      </c>
      <c r="B1442">
        <v>42937</v>
      </c>
      <c r="C1442">
        <v>0.40462962962962962</v>
      </c>
      <c r="D1442">
        <v>0.40875</v>
      </c>
      <c r="E1442" s="2">
        <f t="shared" si="22"/>
        <v>4.1203703703703853E-3</v>
      </c>
    </row>
    <row r="1443" spans="1:5" x14ac:dyDescent="0.25">
      <c r="A1443">
        <v>0</v>
      </c>
      <c r="B1443">
        <v>42937</v>
      </c>
      <c r="C1443">
        <v>0.40465277777777775</v>
      </c>
      <c r="D1443">
        <v>0.40887731481481482</v>
      </c>
      <c r="E1443" s="2">
        <f t="shared" si="22"/>
        <v>4.2245370370370683E-3</v>
      </c>
    </row>
    <row r="1444" spans="1:5" x14ac:dyDescent="0.25">
      <c r="A1444">
        <v>0</v>
      </c>
      <c r="B1444">
        <v>42937</v>
      </c>
      <c r="C1444">
        <v>0.40505787037037039</v>
      </c>
      <c r="D1444">
        <v>0.40561342592592592</v>
      </c>
      <c r="E1444" s="2">
        <f t="shared" si="22"/>
        <v>5.5555555555553138E-4</v>
      </c>
    </row>
    <row r="1445" spans="1:5" x14ac:dyDescent="0.25">
      <c r="A1445">
        <v>0</v>
      </c>
      <c r="B1445">
        <v>42937</v>
      </c>
      <c r="C1445">
        <v>0.40694444444444444</v>
      </c>
      <c r="D1445">
        <v>0.40991898148148148</v>
      </c>
      <c r="E1445" s="2">
        <f t="shared" si="22"/>
        <v>2.9745370370370394E-3</v>
      </c>
    </row>
    <row r="1446" spans="1:5" x14ac:dyDescent="0.25">
      <c r="A1446">
        <v>0</v>
      </c>
      <c r="B1446">
        <v>42937</v>
      </c>
      <c r="C1446">
        <v>0.41228009259259257</v>
      </c>
      <c r="D1446">
        <v>0.41648148148148151</v>
      </c>
      <c r="E1446" s="2">
        <f t="shared" si="22"/>
        <v>4.201388888888935E-3</v>
      </c>
    </row>
    <row r="1447" spans="1:5" x14ac:dyDescent="0.25">
      <c r="A1447">
        <v>0</v>
      </c>
      <c r="B1447">
        <v>42937</v>
      </c>
      <c r="C1447">
        <v>0.41494212962962962</v>
      </c>
      <c r="D1447">
        <v>0.41641203703703705</v>
      </c>
      <c r="E1447" s="2">
        <f t="shared" si="22"/>
        <v>1.4699074074074336E-3</v>
      </c>
    </row>
    <row r="1448" spans="1:5" x14ac:dyDescent="0.25">
      <c r="A1448">
        <v>0</v>
      </c>
      <c r="B1448">
        <v>42937</v>
      </c>
      <c r="C1448">
        <v>0.42054398148148148</v>
      </c>
      <c r="D1448">
        <v>0.42721064814814813</v>
      </c>
      <c r="E1448" s="2">
        <f t="shared" si="22"/>
        <v>6.6666666666666541E-3</v>
      </c>
    </row>
    <row r="1449" spans="1:5" x14ac:dyDescent="0.25">
      <c r="A1449">
        <v>0</v>
      </c>
      <c r="B1449">
        <v>42937</v>
      </c>
      <c r="C1449">
        <v>0.42084490740740743</v>
      </c>
      <c r="D1449">
        <v>0.43167824074074074</v>
      </c>
      <c r="E1449" s="2">
        <f t="shared" si="22"/>
        <v>1.0833333333333306E-2</v>
      </c>
    </row>
    <row r="1450" spans="1:5" x14ac:dyDescent="0.25">
      <c r="A1450">
        <v>0</v>
      </c>
      <c r="B1450">
        <v>42937</v>
      </c>
      <c r="C1450">
        <v>0.42357638888888888</v>
      </c>
      <c r="D1450">
        <v>0.4322685185185185</v>
      </c>
      <c r="E1450" s="2">
        <f t="shared" si="22"/>
        <v>8.6921296296296191E-3</v>
      </c>
    </row>
    <row r="1451" spans="1:5" x14ac:dyDescent="0.25">
      <c r="A1451">
        <v>0</v>
      </c>
      <c r="B1451">
        <v>42937</v>
      </c>
      <c r="C1451">
        <v>0.42814814814814817</v>
      </c>
      <c r="D1451">
        <v>0.43784722222222222</v>
      </c>
      <c r="E1451" s="2">
        <f t="shared" si="22"/>
        <v>9.6990740740740544E-3</v>
      </c>
    </row>
    <row r="1452" spans="1:5" x14ac:dyDescent="0.25">
      <c r="A1452">
        <v>0</v>
      </c>
      <c r="B1452">
        <v>42937</v>
      </c>
      <c r="C1452">
        <v>0.43002314814814813</v>
      </c>
      <c r="D1452">
        <v>0.43030092592592595</v>
      </c>
      <c r="E1452" s="2">
        <f t="shared" si="22"/>
        <v>2.777777777778212E-4</v>
      </c>
    </row>
    <row r="1453" spans="1:5" x14ac:dyDescent="0.25">
      <c r="A1453">
        <v>0</v>
      </c>
      <c r="B1453">
        <v>42937</v>
      </c>
      <c r="C1453">
        <v>0.4307523148148148</v>
      </c>
      <c r="D1453">
        <v>0.4412847222222222</v>
      </c>
      <c r="E1453" s="2">
        <f t="shared" si="22"/>
        <v>1.0532407407407407E-2</v>
      </c>
    </row>
    <row r="1454" spans="1:5" x14ac:dyDescent="0.25">
      <c r="A1454">
        <v>0</v>
      </c>
      <c r="B1454">
        <v>42937</v>
      </c>
      <c r="C1454">
        <v>0.43400462962962966</v>
      </c>
      <c r="D1454">
        <v>0.44041666666666668</v>
      </c>
      <c r="E1454" s="2">
        <f t="shared" si="22"/>
        <v>6.4120370370370217E-3</v>
      </c>
    </row>
    <row r="1455" spans="1:5" x14ac:dyDescent="0.25">
      <c r="A1455">
        <v>0</v>
      </c>
      <c r="B1455">
        <v>42937</v>
      </c>
      <c r="C1455">
        <v>0.43582175925925926</v>
      </c>
      <c r="D1455">
        <v>0.44550925925925927</v>
      </c>
      <c r="E1455" s="2">
        <f t="shared" si="22"/>
        <v>9.6875000000000155E-3</v>
      </c>
    </row>
    <row r="1456" spans="1:5" x14ac:dyDescent="0.25">
      <c r="A1456">
        <v>0</v>
      </c>
      <c r="B1456">
        <v>42937</v>
      </c>
      <c r="C1456">
        <v>0.43730324074074073</v>
      </c>
      <c r="D1456">
        <v>0.44869212962962962</v>
      </c>
      <c r="E1456" s="2">
        <f t="shared" si="22"/>
        <v>1.1388888888888893E-2</v>
      </c>
    </row>
    <row r="1457" spans="1:5" x14ac:dyDescent="0.25">
      <c r="A1457">
        <v>0</v>
      </c>
      <c r="B1457">
        <v>42937</v>
      </c>
      <c r="C1457">
        <v>0.44291666666666668</v>
      </c>
      <c r="D1457">
        <v>0.45256944444444447</v>
      </c>
      <c r="E1457" s="2">
        <f t="shared" si="22"/>
        <v>9.6527777777777879E-3</v>
      </c>
    </row>
    <row r="1458" spans="1:5" x14ac:dyDescent="0.25">
      <c r="A1458">
        <v>0</v>
      </c>
      <c r="B1458">
        <v>42937</v>
      </c>
      <c r="C1458">
        <v>0.4478240740740741</v>
      </c>
      <c r="D1458">
        <v>0.45548611111111109</v>
      </c>
      <c r="E1458" s="2">
        <f t="shared" si="22"/>
        <v>7.662037037036995E-3</v>
      </c>
    </row>
    <row r="1459" spans="1:5" x14ac:dyDescent="0.25">
      <c r="A1459">
        <v>0</v>
      </c>
      <c r="B1459">
        <v>42937</v>
      </c>
      <c r="C1459">
        <v>0.45187500000000003</v>
      </c>
      <c r="D1459">
        <v>0.45925925925925926</v>
      </c>
      <c r="E1459" s="2">
        <f t="shared" si="22"/>
        <v>7.3842592592592293E-3</v>
      </c>
    </row>
    <row r="1460" spans="1:5" x14ac:dyDescent="0.25">
      <c r="A1460">
        <v>0</v>
      </c>
      <c r="B1460">
        <v>42937</v>
      </c>
      <c r="C1460">
        <v>0.45458333333333334</v>
      </c>
      <c r="D1460">
        <v>0.46295138888888887</v>
      </c>
      <c r="E1460" s="2">
        <f t="shared" si="22"/>
        <v>8.3680555555555314E-3</v>
      </c>
    </row>
    <row r="1461" spans="1:5" x14ac:dyDescent="0.25">
      <c r="A1461">
        <v>0</v>
      </c>
      <c r="B1461">
        <v>42937</v>
      </c>
      <c r="C1461">
        <v>0.45689814814814816</v>
      </c>
      <c r="D1461">
        <v>0.4574537037037037</v>
      </c>
      <c r="E1461" s="2">
        <f t="shared" si="22"/>
        <v>5.5555555555553138E-4</v>
      </c>
    </row>
    <row r="1462" spans="1:5" x14ac:dyDescent="0.25">
      <c r="A1462">
        <v>0</v>
      </c>
      <c r="B1462">
        <v>42937</v>
      </c>
      <c r="C1462">
        <v>0.4612384259259259</v>
      </c>
      <c r="D1462">
        <v>0.46285879629629628</v>
      </c>
      <c r="E1462" s="2">
        <f t="shared" si="22"/>
        <v>1.6203703703703831E-3</v>
      </c>
    </row>
    <row r="1463" spans="1:5" x14ac:dyDescent="0.25">
      <c r="A1463">
        <v>0</v>
      </c>
      <c r="B1463">
        <v>42937</v>
      </c>
      <c r="C1463">
        <v>0.46553240740740742</v>
      </c>
      <c r="D1463">
        <v>0.47234953703703703</v>
      </c>
      <c r="E1463" s="2">
        <f t="shared" si="22"/>
        <v>6.8171296296296036E-3</v>
      </c>
    </row>
    <row r="1464" spans="1:5" x14ac:dyDescent="0.25">
      <c r="A1464">
        <v>0</v>
      </c>
      <c r="B1464">
        <v>42937</v>
      </c>
      <c r="C1464">
        <v>0.47075231481481483</v>
      </c>
      <c r="D1464">
        <v>0.47239583333333335</v>
      </c>
      <c r="E1464" s="2">
        <f t="shared" si="22"/>
        <v>1.6435185185185164E-3</v>
      </c>
    </row>
    <row r="1465" spans="1:5" x14ac:dyDescent="0.25">
      <c r="A1465">
        <v>0</v>
      </c>
      <c r="B1465">
        <v>42937</v>
      </c>
      <c r="C1465">
        <v>0.47105324074074073</v>
      </c>
      <c r="D1465">
        <v>0.48011574074074076</v>
      </c>
      <c r="E1465" s="2">
        <f t="shared" si="22"/>
        <v>9.0625000000000289E-3</v>
      </c>
    </row>
    <row r="1466" spans="1:5" x14ac:dyDescent="0.25">
      <c r="A1466">
        <v>0</v>
      </c>
      <c r="B1466">
        <v>42937</v>
      </c>
      <c r="C1466">
        <v>0.47285879629629629</v>
      </c>
      <c r="D1466">
        <v>0.47846064814814815</v>
      </c>
      <c r="E1466" s="2">
        <f t="shared" si="22"/>
        <v>5.6018518518518579E-3</v>
      </c>
    </row>
    <row r="1467" spans="1:5" x14ac:dyDescent="0.25">
      <c r="A1467">
        <v>0</v>
      </c>
      <c r="B1467">
        <v>42937</v>
      </c>
      <c r="C1467">
        <v>0.4729976851851852</v>
      </c>
      <c r="D1467">
        <v>0.48243055555555553</v>
      </c>
      <c r="E1467" s="2">
        <f t="shared" si="22"/>
        <v>9.4328703703703276E-3</v>
      </c>
    </row>
    <row r="1468" spans="1:5" x14ac:dyDescent="0.25">
      <c r="A1468">
        <v>0</v>
      </c>
      <c r="B1468">
        <v>42937</v>
      </c>
      <c r="C1468">
        <v>0.47697916666666668</v>
      </c>
      <c r="D1468">
        <v>0.48678240740740741</v>
      </c>
      <c r="E1468" s="2">
        <f t="shared" si="22"/>
        <v>9.8032407407407374E-3</v>
      </c>
    </row>
    <row r="1469" spans="1:5" x14ac:dyDescent="0.25">
      <c r="A1469">
        <v>0</v>
      </c>
      <c r="B1469">
        <v>42937</v>
      </c>
      <c r="C1469">
        <v>0.47833333333333333</v>
      </c>
      <c r="D1469">
        <v>0.48989583333333331</v>
      </c>
      <c r="E1469" s="2">
        <f t="shared" si="22"/>
        <v>1.1562499999999976E-2</v>
      </c>
    </row>
    <row r="1470" spans="1:5" x14ac:dyDescent="0.25">
      <c r="A1470">
        <v>0</v>
      </c>
      <c r="B1470">
        <v>42937</v>
      </c>
      <c r="C1470">
        <v>0.4828587962962963</v>
      </c>
      <c r="D1470">
        <v>0.48295138888888889</v>
      </c>
      <c r="E1470" s="2">
        <f t="shared" si="22"/>
        <v>9.2592592592588563E-5</v>
      </c>
    </row>
    <row r="1471" spans="1:5" x14ac:dyDescent="0.25">
      <c r="A1471">
        <v>0</v>
      </c>
      <c r="B1471">
        <v>42937</v>
      </c>
      <c r="C1471">
        <v>0.48439814814814813</v>
      </c>
      <c r="D1471">
        <v>0.4878587962962963</v>
      </c>
      <c r="E1471" s="2">
        <f t="shared" si="22"/>
        <v>3.460648148148171E-3</v>
      </c>
    </row>
    <row r="1472" spans="1:5" x14ac:dyDescent="0.25">
      <c r="A1472">
        <v>0</v>
      </c>
      <c r="B1472">
        <v>42937</v>
      </c>
      <c r="C1472">
        <v>0.48690972222222223</v>
      </c>
      <c r="D1472">
        <v>0.49665509259259261</v>
      </c>
      <c r="E1472" s="2">
        <f t="shared" si="22"/>
        <v>9.7453703703703765E-3</v>
      </c>
    </row>
    <row r="1473" spans="1:5" x14ac:dyDescent="0.25">
      <c r="A1473">
        <v>0</v>
      </c>
      <c r="B1473">
        <v>42937</v>
      </c>
      <c r="C1473">
        <v>0.4924189814814815</v>
      </c>
      <c r="D1473">
        <v>0.49381944444444442</v>
      </c>
      <c r="E1473" s="2">
        <f t="shared" si="22"/>
        <v>1.4004629629629228E-3</v>
      </c>
    </row>
    <row r="1474" spans="1:5" x14ac:dyDescent="0.25">
      <c r="A1474">
        <v>0</v>
      </c>
      <c r="B1474">
        <v>42937</v>
      </c>
      <c r="C1474">
        <v>0.49327546296296299</v>
      </c>
      <c r="D1474">
        <v>0.50351851851851848</v>
      </c>
      <c r="E1474" s="2">
        <f t="shared" ref="E1474:E1537" si="23">D1474-C1474</f>
        <v>1.0243055555555491E-2</v>
      </c>
    </row>
    <row r="1475" spans="1:5" x14ac:dyDescent="0.25">
      <c r="A1475">
        <v>0</v>
      </c>
      <c r="B1475">
        <v>42937</v>
      </c>
      <c r="C1475">
        <v>0.49811342592592595</v>
      </c>
      <c r="D1475">
        <v>0.5065277777777778</v>
      </c>
      <c r="E1475" s="2">
        <f t="shared" si="23"/>
        <v>8.4143518518518534E-3</v>
      </c>
    </row>
    <row r="1476" spans="1:5" x14ac:dyDescent="0.25">
      <c r="A1476">
        <v>0</v>
      </c>
      <c r="B1476">
        <v>42937</v>
      </c>
      <c r="C1476">
        <v>0.50016203703703699</v>
      </c>
      <c r="D1476">
        <v>0.50506944444444446</v>
      </c>
      <c r="E1476" s="2">
        <f t="shared" si="23"/>
        <v>4.9074074074074714E-3</v>
      </c>
    </row>
    <row r="1477" spans="1:5" x14ac:dyDescent="0.25">
      <c r="A1477">
        <v>0</v>
      </c>
      <c r="B1477">
        <v>42937</v>
      </c>
      <c r="C1477">
        <v>0.50284722222222222</v>
      </c>
      <c r="D1477">
        <v>0.51432870370370365</v>
      </c>
      <c r="E1477" s="2">
        <f t="shared" si="23"/>
        <v>1.1481481481481426E-2</v>
      </c>
    </row>
    <row r="1478" spans="1:5" x14ac:dyDescent="0.25">
      <c r="A1478">
        <v>0</v>
      </c>
      <c r="B1478">
        <v>42937</v>
      </c>
      <c r="C1478">
        <v>0.50840277777777776</v>
      </c>
      <c r="D1478">
        <v>0.50968749999999996</v>
      </c>
      <c r="E1478" s="2">
        <f t="shared" si="23"/>
        <v>1.284722222222201E-3</v>
      </c>
    </row>
    <row r="1479" spans="1:5" x14ac:dyDescent="0.25">
      <c r="A1479">
        <v>0</v>
      </c>
      <c r="B1479">
        <v>42937</v>
      </c>
      <c r="C1479">
        <v>0.51200231481481484</v>
      </c>
      <c r="D1479">
        <v>0.52253472222222219</v>
      </c>
      <c r="E1479" s="2">
        <f t="shared" si="23"/>
        <v>1.0532407407407351E-2</v>
      </c>
    </row>
    <row r="1480" spans="1:5" x14ac:dyDescent="0.25">
      <c r="A1480">
        <v>0</v>
      </c>
      <c r="B1480">
        <v>42937</v>
      </c>
      <c r="C1480">
        <v>0.51249999999999996</v>
      </c>
      <c r="D1480">
        <v>0.51405092592592594</v>
      </c>
      <c r="E1480" s="2">
        <f t="shared" si="23"/>
        <v>1.5509259259259833E-3</v>
      </c>
    </row>
    <row r="1481" spans="1:5" x14ac:dyDescent="0.25">
      <c r="A1481">
        <v>0</v>
      </c>
      <c r="B1481">
        <v>42937</v>
      </c>
      <c r="C1481">
        <v>0.51520833333333338</v>
      </c>
      <c r="D1481">
        <v>0.51918981481481485</v>
      </c>
      <c r="E1481" s="2">
        <f t="shared" si="23"/>
        <v>3.9814814814814747E-3</v>
      </c>
    </row>
    <row r="1482" spans="1:5" x14ac:dyDescent="0.25">
      <c r="A1482">
        <v>0</v>
      </c>
      <c r="B1482">
        <v>42937</v>
      </c>
      <c r="C1482">
        <v>0.51936342592592588</v>
      </c>
      <c r="D1482">
        <v>0.52559027777777778</v>
      </c>
      <c r="E1482" s="2">
        <f t="shared" si="23"/>
        <v>6.2268518518519E-3</v>
      </c>
    </row>
    <row r="1483" spans="1:5" x14ac:dyDescent="0.25">
      <c r="A1483">
        <v>0</v>
      </c>
      <c r="B1483">
        <v>42937</v>
      </c>
      <c r="C1483">
        <v>0.52243055555555551</v>
      </c>
      <c r="D1483">
        <v>0.52681712962962968</v>
      </c>
      <c r="E1483" s="2">
        <f t="shared" si="23"/>
        <v>4.3865740740741677E-3</v>
      </c>
    </row>
    <row r="1484" spans="1:5" x14ac:dyDescent="0.25">
      <c r="A1484">
        <v>0</v>
      </c>
      <c r="B1484">
        <v>42937</v>
      </c>
      <c r="C1484">
        <v>0.52469907407407412</v>
      </c>
      <c r="D1484">
        <v>0.53218750000000004</v>
      </c>
      <c r="E1484" s="2">
        <f t="shared" si="23"/>
        <v>7.4884259259259123E-3</v>
      </c>
    </row>
    <row r="1485" spans="1:5" x14ac:dyDescent="0.25">
      <c r="A1485">
        <v>0</v>
      </c>
      <c r="B1485">
        <v>42937</v>
      </c>
      <c r="C1485">
        <v>0.52749999999999997</v>
      </c>
      <c r="D1485">
        <v>0.53034722222222219</v>
      </c>
      <c r="E1485" s="2">
        <f t="shared" si="23"/>
        <v>2.8472222222222232E-3</v>
      </c>
    </row>
    <row r="1486" spans="1:5" x14ac:dyDescent="0.25">
      <c r="A1486">
        <v>0</v>
      </c>
      <c r="B1486">
        <v>42937</v>
      </c>
      <c r="C1486">
        <v>0.53240740740740744</v>
      </c>
      <c r="D1486">
        <v>0.53785879629629629</v>
      </c>
      <c r="E1486" s="2">
        <f t="shared" si="23"/>
        <v>5.4513888888888529E-3</v>
      </c>
    </row>
    <row r="1487" spans="1:5" x14ac:dyDescent="0.25">
      <c r="A1487">
        <v>0</v>
      </c>
      <c r="B1487">
        <v>42937</v>
      </c>
      <c r="C1487">
        <v>0.53811342592592593</v>
      </c>
      <c r="D1487">
        <v>0.54365740740740742</v>
      </c>
      <c r="E1487" s="2">
        <f t="shared" si="23"/>
        <v>5.5439814814814969E-3</v>
      </c>
    </row>
    <row r="1488" spans="1:5" x14ac:dyDescent="0.25">
      <c r="A1488">
        <v>0</v>
      </c>
      <c r="B1488">
        <v>42937</v>
      </c>
      <c r="C1488">
        <v>0.53831018518518514</v>
      </c>
      <c r="D1488">
        <v>0.53998842592592589</v>
      </c>
      <c r="E1488" s="2">
        <f t="shared" si="23"/>
        <v>1.678240740740744E-3</v>
      </c>
    </row>
    <row r="1489" spans="1:5" x14ac:dyDescent="0.25">
      <c r="A1489">
        <v>0</v>
      </c>
      <c r="B1489">
        <v>42937</v>
      </c>
      <c r="C1489">
        <v>0.54233796296296299</v>
      </c>
      <c r="D1489">
        <v>0.55148148148148146</v>
      </c>
      <c r="E1489" s="2">
        <f t="shared" si="23"/>
        <v>9.1435185185184675E-3</v>
      </c>
    </row>
    <row r="1490" spans="1:5" x14ac:dyDescent="0.25">
      <c r="A1490">
        <v>0</v>
      </c>
      <c r="B1490">
        <v>42937</v>
      </c>
      <c r="C1490">
        <v>0.54631944444444447</v>
      </c>
      <c r="D1490">
        <v>0.55652777777777773</v>
      </c>
      <c r="E1490" s="2">
        <f t="shared" si="23"/>
        <v>1.0208333333333264E-2</v>
      </c>
    </row>
    <row r="1491" spans="1:5" x14ac:dyDescent="0.25">
      <c r="A1491">
        <v>0</v>
      </c>
      <c r="B1491">
        <v>42937</v>
      </c>
      <c r="C1491">
        <v>0.54761574074074071</v>
      </c>
      <c r="D1491">
        <v>0.55443287037037037</v>
      </c>
      <c r="E1491" s="2">
        <f t="shared" si="23"/>
        <v>6.8171296296296591E-3</v>
      </c>
    </row>
    <row r="1492" spans="1:5" x14ac:dyDescent="0.25">
      <c r="A1492">
        <v>0</v>
      </c>
      <c r="B1492">
        <v>42937</v>
      </c>
      <c r="C1492">
        <v>0.54953703703703705</v>
      </c>
      <c r="D1492">
        <v>0.55783564814814812</v>
      </c>
      <c r="E1492" s="2">
        <f t="shared" si="23"/>
        <v>8.2986111111110761E-3</v>
      </c>
    </row>
    <row r="1493" spans="1:5" x14ac:dyDescent="0.25">
      <c r="A1493">
        <v>0</v>
      </c>
      <c r="B1493">
        <v>42937</v>
      </c>
      <c r="C1493">
        <v>0.55311342592592594</v>
      </c>
      <c r="D1493">
        <v>0.55469907407407404</v>
      </c>
      <c r="E1493" s="2">
        <f t="shared" si="23"/>
        <v>1.5856481481481E-3</v>
      </c>
    </row>
    <row r="1494" spans="1:5" x14ac:dyDescent="0.25">
      <c r="A1494">
        <v>0</v>
      </c>
      <c r="B1494">
        <v>42937</v>
      </c>
      <c r="C1494">
        <v>0.55652777777777773</v>
      </c>
      <c r="D1494">
        <v>0.56657407407407412</v>
      </c>
      <c r="E1494" s="2">
        <f t="shared" si="23"/>
        <v>1.0046296296296386E-2</v>
      </c>
    </row>
    <row r="1495" spans="1:5" x14ac:dyDescent="0.25">
      <c r="A1495">
        <v>0</v>
      </c>
      <c r="B1495">
        <v>42937</v>
      </c>
      <c r="C1495">
        <v>0.5575</v>
      </c>
      <c r="D1495">
        <v>0.56418981481481478</v>
      </c>
      <c r="E1495" s="2">
        <f t="shared" si="23"/>
        <v>6.6898148148147873E-3</v>
      </c>
    </row>
    <row r="1496" spans="1:5" x14ac:dyDescent="0.25">
      <c r="A1496">
        <v>0</v>
      </c>
      <c r="B1496">
        <v>42937</v>
      </c>
      <c r="C1496">
        <v>0.56297453703703704</v>
      </c>
      <c r="D1496">
        <v>0.56752314814814819</v>
      </c>
      <c r="E1496" s="2">
        <f t="shared" si="23"/>
        <v>4.548611111111156E-3</v>
      </c>
    </row>
    <row r="1497" spans="1:5" x14ac:dyDescent="0.25">
      <c r="A1497">
        <v>0</v>
      </c>
      <c r="B1497">
        <v>42937</v>
      </c>
      <c r="C1497">
        <v>0.56578703703703703</v>
      </c>
      <c r="D1497">
        <v>0.57518518518518513</v>
      </c>
      <c r="E1497" s="2">
        <f t="shared" si="23"/>
        <v>9.3981481481481E-3</v>
      </c>
    </row>
    <row r="1498" spans="1:5" x14ac:dyDescent="0.25">
      <c r="A1498">
        <v>0</v>
      </c>
      <c r="B1498">
        <v>42937</v>
      </c>
      <c r="C1498">
        <v>0.5713773148148148</v>
      </c>
      <c r="D1498">
        <v>0.58107638888888891</v>
      </c>
      <c r="E1498" s="2">
        <f t="shared" si="23"/>
        <v>9.6990740740741099E-3</v>
      </c>
    </row>
    <row r="1499" spans="1:5" x14ac:dyDescent="0.25">
      <c r="A1499">
        <v>0</v>
      </c>
      <c r="B1499">
        <v>42937</v>
      </c>
      <c r="C1499">
        <v>0.57549768518518518</v>
      </c>
      <c r="D1499">
        <v>0.57925925925925925</v>
      </c>
      <c r="E1499" s="2">
        <f t="shared" si="23"/>
        <v>3.76157407407407E-3</v>
      </c>
    </row>
    <row r="1500" spans="1:5" x14ac:dyDescent="0.25">
      <c r="A1500">
        <v>0</v>
      </c>
      <c r="B1500">
        <v>42937</v>
      </c>
      <c r="C1500">
        <v>0.57828703703703699</v>
      </c>
      <c r="D1500">
        <v>0.58940972222222221</v>
      </c>
      <c r="E1500" s="2">
        <f t="shared" si="23"/>
        <v>1.1122685185185222E-2</v>
      </c>
    </row>
    <row r="1501" spans="1:5" x14ac:dyDescent="0.25">
      <c r="A1501">
        <v>0</v>
      </c>
      <c r="B1501">
        <v>42937</v>
      </c>
      <c r="C1501">
        <v>0.57983796296296297</v>
      </c>
      <c r="D1501">
        <v>0.58756944444444448</v>
      </c>
      <c r="E1501" s="2">
        <f t="shared" si="23"/>
        <v>7.7314814814815058E-3</v>
      </c>
    </row>
    <row r="1502" spans="1:5" x14ac:dyDescent="0.25">
      <c r="A1502">
        <v>0</v>
      </c>
      <c r="B1502">
        <v>42937</v>
      </c>
      <c r="C1502">
        <v>0.58520833333333333</v>
      </c>
      <c r="D1502">
        <v>0.59646990740740746</v>
      </c>
      <c r="E1502" s="2">
        <f t="shared" si="23"/>
        <v>1.1261574074074132E-2</v>
      </c>
    </row>
    <row r="1503" spans="1:5" x14ac:dyDescent="0.25">
      <c r="A1503">
        <v>0</v>
      </c>
      <c r="B1503">
        <v>42937</v>
      </c>
      <c r="C1503">
        <v>0.59026620370370375</v>
      </c>
      <c r="D1503">
        <v>0.59652777777777777</v>
      </c>
      <c r="E1503" s="2">
        <f t="shared" si="23"/>
        <v>6.2615740740740167E-3</v>
      </c>
    </row>
    <row r="1504" spans="1:5" x14ac:dyDescent="0.25">
      <c r="A1504">
        <v>0</v>
      </c>
      <c r="B1504">
        <v>42937</v>
      </c>
      <c r="C1504">
        <v>0.59401620370370367</v>
      </c>
      <c r="D1504">
        <v>0.60012731481481485</v>
      </c>
      <c r="E1504" s="2">
        <f t="shared" si="23"/>
        <v>6.1111111111111782E-3</v>
      </c>
    </row>
    <row r="1505" spans="1:5" x14ac:dyDescent="0.25">
      <c r="A1505">
        <v>0</v>
      </c>
      <c r="B1505">
        <v>42937</v>
      </c>
      <c r="C1505">
        <v>0.60185185185185186</v>
      </c>
      <c r="D1505">
        <v>0.61021990740740739</v>
      </c>
      <c r="E1505" s="2">
        <f t="shared" si="23"/>
        <v>8.3680555555555314E-3</v>
      </c>
    </row>
    <row r="1506" spans="1:5" x14ac:dyDescent="0.25">
      <c r="A1506">
        <v>0</v>
      </c>
      <c r="B1506">
        <v>42937</v>
      </c>
      <c r="C1506">
        <v>0.60196759259259258</v>
      </c>
      <c r="D1506">
        <v>0.60356481481481483</v>
      </c>
      <c r="E1506" s="2">
        <f t="shared" si="23"/>
        <v>1.5972222222222499E-3</v>
      </c>
    </row>
    <row r="1507" spans="1:5" x14ac:dyDescent="0.25">
      <c r="A1507">
        <v>0</v>
      </c>
      <c r="B1507">
        <v>42937</v>
      </c>
      <c r="C1507">
        <v>0.60465277777777782</v>
      </c>
      <c r="D1507">
        <v>0.60886574074074074</v>
      </c>
      <c r="E1507" s="2">
        <f t="shared" si="23"/>
        <v>4.2129629629629184E-3</v>
      </c>
    </row>
    <row r="1508" spans="1:5" x14ac:dyDescent="0.25">
      <c r="A1508">
        <v>0</v>
      </c>
      <c r="B1508">
        <v>42937</v>
      </c>
      <c r="C1508">
        <v>0.60782407407407413</v>
      </c>
      <c r="D1508">
        <v>0.61331018518518521</v>
      </c>
      <c r="E1508" s="2">
        <f t="shared" si="23"/>
        <v>5.4861111111110805E-3</v>
      </c>
    </row>
    <row r="1509" spans="1:5" x14ac:dyDescent="0.25">
      <c r="A1509">
        <v>0</v>
      </c>
      <c r="B1509">
        <v>42937</v>
      </c>
      <c r="C1509">
        <v>0.6121875</v>
      </c>
      <c r="D1509">
        <v>0.6181712962962963</v>
      </c>
      <c r="E1509" s="2">
        <f t="shared" si="23"/>
        <v>5.9837962962963065E-3</v>
      </c>
    </row>
    <row r="1510" spans="1:5" x14ac:dyDescent="0.25">
      <c r="A1510">
        <v>0</v>
      </c>
      <c r="B1510">
        <v>42937</v>
      </c>
      <c r="C1510">
        <v>0.6147569444444444</v>
      </c>
      <c r="D1510">
        <v>0.62420138888888888</v>
      </c>
      <c r="E1510" s="2">
        <f t="shared" si="23"/>
        <v>9.4444444444444775E-3</v>
      </c>
    </row>
    <row r="1511" spans="1:5" x14ac:dyDescent="0.25">
      <c r="A1511">
        <v>0</v>
      </c>
      <c r="B1511">
        <v>42937</v>
      </c>
      <c r="C1511">
        <v>0.61690972222222218</v>
      </c>
      <c r="D1511">
        <v>0.62290509259259264</v>
      </c>
      <c r="E1511" s="2">
        <f t="shared" si="23"/>
        <v>5.9953703703704564E-3</v>
      </c>
    </row>
    <row r="1512" spans="1:5" x14ac:dyDescent="0.25">
      <c r="A1512">
        <v>0</v>
      </c>
      <c r="B1512">
        <v>42937</v>
      </c>
      <c r="C1512">
        <v>0.6206828703703704</v>
      </c>
      <c r="D1512">
        <v>0.62291666666666667</v>
      </c>
      <c r="E1512" s="2">
        <f t="shared" si="23"/>
        <v>2.2337962962962754E-3</v>
      </c>
    </row>
    <row r="1513" spans="1:5" x14ac:dyDescent="0.25">
      <c r="A1513">
        <v>0</v>
      </c>
      <c r="B1513">
        <v>42937</v>
      </c>
      <c r="C1513">
        <v>0.62484953703703705</v>
      </c>
      <c r="D1513">
        <v>0.62848379629629625</v>
      </c>
      <c r="E1513" s="2">
        <f t="shared" si="23"/>
        <v>3.6342592592591982E-3</v>
      </c>
    </row>
    <row r="1514" spans="1:5" x14ac:dyDescent="0.25">
      <c r="A1514">
        <v>0</v>
      </c>
      <c r="B1514">
        <v>42937</v>
      </c>
      <c r="C1514">
        <v>0.62612268518518521</v>
      </c>
      <c r="D1514">
        <v>0.62835648148148149</v>
      </c>
      <c r="E1514" s="2">
        <f t="shared" si="23"/>
        <v>2.2337962962962754E-3</v>
      </c>
    </row>
    <row r="1515" spans="1:5" x14ac:dyDescent="0.25">
      <c r="A1515">
        <v>0</v>
      </c>
      <c r="B1515">
        <v>42940</v>
      </c>
      <c r="C1515">
        <v>0.33624999999999999</v>
      </c>
      <c r="D1515">
        <v>0.34670138888888891</v>
      </c>
      <c r="E1515" s="2">
        <f t="shared" si="23"/>
        <v>1.0451388888888913E-2</v>
      </c>
    </row>
    <row r="1516" spans="1:5" x14ac:dyDescent="0.25">
      <c r="A1516">
        <v>0</v>
      </c>
      <c r="B1516">
        <v>42940</v>
      </c>
      <c r="C1516">
        <v>0.33728009259259262</v>
      </c>
      <c r="D1516">
        <v>0.34291666666666665</v>
      </c>
      <c r="E1516" s="2">
        <f t="shared" si="23"/>
        <v>5.63657407407403E-3</v>
      </c>
    </row>
    <row r="1517" spans="1:5" x14ac:dyDescent="0.25">
      <c r="A1517">
        <v>0</v>
      </c>
      <c r="B1517">
        <v>42940</v>
      </c>
      <c r="C1517">
        <v>0.3402662037037037</v>
      </c>
      <c r="D1517">
        <v>0.34250000000000003</v>
      </c>
      <c r="E1517" s="2">
        <f t="shared" si="23"/>
        <v>2.2337962962963309E-3</v>
      </c>
    </row>
    <row r="1518" spans="1:5" x14ac:dyDescent="0.25">
      <c r="A1518">
        <v>0</v>
      </c>
      <c r="B1518">
        <v>42940</v>
      </c>
      <c r="C1518">
        <v>0.34495370370370371</v>
      </c>
      <c r="D1518">
        <v>0.3467824074074074</v>
      </c>
      <c r="E1518" s="2">
        <f t="shared" si="23"/>
        <v>1.8287037037036935E-3</v>
      </c>
    </row>
    <row r="1519" spans="1:5" x14ac:dyDescent="0.25">
      <c r="A1519">
        <v>0</v>
      </c>
      <c r="B1519">
        <v>42940</v>
      </c>
      <c r="C1519">
        <v>0.3480787037037037</v>
      </c>
      <c r="D1519">
        <v>0.35413194444444446</v>
      </c>
      <c r="E1519" s="2">
        <f t="shared" si="23"/>
        <v>6.0532407407407618E-3</v>
      </c>
    </row>
    <row r="1520" spans="1:5" x14ac:dyDescent="0.25">
      <c r="A1520">
        <v>0</v>
      </c>
      <c r="B1520">
        <v>42940</v>
      </c>
      <c r="C1520">
        <v>0.34879629629629627</v>
      </c>
      <c r="D1520">
        <v>0.35699074074074072</v>
      </c>
      <c r="E1520" s="2">
        <f t="shared" si="23"/>
        <v>8.1944444444444486E-3</v>
      </c>
    </row>
    <row r="1521" spans="1:5" x14ac:dyDescent="0.25">
      <c r="A1521">
        <v>0</v>
      </c>
      <c r="B1521">
        <v>42940</v>
      </c>
      <c r="C1521">
        <v>0.35041666666666665</v>
      </c>
      <c r="D1521">
        <v>0.35834490740740743</v>
      </c>
      <c r="E1521" s="2">
        <f t="shared" si="23"/>
        <v>7.9282407407407773E-3</v>
      </c>
    </row>
    <row r="1522" spans="1:5" x14ac:dyDescent="0.25">
      <c r="A1522">
        <v>0</v>
      </c>
      <c r="B1522">
        <v>42940</v>
      </c>
      <c r="C1522">
        <v>0.35129629629629627</v>
      </c>
      <c r="D1522">
        <v>0.35626157407407405</v>
      </c>
      <c r="E1522" s="2">
        <f t="shared" si="23"/>
        <v>4.9652777777777768E-3</v>
      </c>
    </row>
    <row r="1523" spans="1:5" x14ac:dyDescent="0.25">
      <c r="A1523">
        <v>0</v>
      </c>
      <c r="B1523">
        <v>42940</v>
      </c>
      <c r="C1523">
        <v>0.35653935185185187</v>
      </c>
      <c r="D1523">
        <v>0.35864583333333333</v>
      </c>
      <c r="E1523" s="2">
        <f t="shared" si="23"/>
        <v>2.1064814814814592E-3</v>
      </c>
    </row>
    <row r="1524" spans="1:5" x14ac:dyDescent="0.25">
      <c r="A1524">
        <v>0</v>
      </c>
      <c r="B1524">
        <v>42940</v>
      </c>
      <c r="C1524">
        <v>0.35991898148148149</v>
      </c>
      <c r="D1524">
        <v>0.36880787037037038</v>
      </c>
      <c r="E1524" s="2">
        <f t="shared" si="23"/>
        <v>8.8888888888888906E-3</v>
      </c>
    </row>
    <row r="1525" spans="1:5" x14ac:dyDescent="0.25">
      <c r="A1525">
        <v>0</v>
      </c>
      <c r="B1525">
        <v>42940</v>
      </c>
      <c r="C1525">
        <v>0.36061342592592593</v>
      </c>
      <c r="D1525">
        <v>0.36667824074074074</v>
      </c>
      <c r="E1525" s="2">
        <f t="shared" si="23"/>
        <v>6.0648148148148007E-3</v>
      </c>
    </row>
    <row r="1526" spans="1:5" x14ac:dyDescent="0.25">
      <c r="A1526">
        <v>0</v>
      </c>
      <c r="B1526">
        <v>42940</v>
      </c>
      <c r="C1526">
        <v>0.36243055555555553</v>
      </c>
      <c r="D1526">
        <v>0.36993055555555554</v>
      </c>
      <c r="E1526" s="2">
        <f t="shared" si="23"/>
        <v>7.5000000000000067E-3</v>
      </c>
    </row>
    <row r="1527" spans="1:5" x14ac:dyDescent="0.25">
      <c r="A1527">
        <v>0</v>
      </c>
      <c r="B1527">
        <v>42940</v>
      </c>
      <c r="C1527">
        <v>0.36334490740740738</v>
      </c>
      <c r="D1527">
        <v>0.3696875</v>
      </c>
      <c r="E1527" s="2">
        <f t="shared" si="23"/>
        <v>6.3425925925926219E-3</v>
      </c>
    </row>
    <row r="1528" spans="1:5" x14ac:dyDescent="0.25">
      <c r="A1528">
        <v>0</v>
      </c>
      <c r="B1528">
        <v>42940</v>
      </c>
      <c r="C1528">
        <v>0.36887731481481484</v>
      </c>
      <c r="D1528">
        <v>0.37443287037037037</v>
      </c>
      <c r="E1528" s="2">
        <f t="shared" si="23"/>
        <v>5.5555555555555358E-3</v>
      </c>
    </row>
    <row r="1529" spans="1:5" x14ac:dyDescent="0.25">
      <c r="A1529">
        <v>0</v>
      </c>
      <c r="B1529">
        <v>42940</v>
      </c>
      <c r="C1529">
        <v>0.37025462962962963</v>
      </c>
      <c r="D1529">
        <v>0.3785648148148148</v>
      </c>
      <c r="E1529" s="2">
        <f t="shared" si="23"/>
        <v>8.3101851851851705E-3</v>
      </c>
    </row>
    <row r="1530" spans="1:5" x14ac:dyDescent="0.25">
      <c r="A1530">
        <v>0</v>
      </c>
      <c r="B1530">
        <v>42940</v>
      </c>
      <c r="C1530">
        <v>0.37150462962962966</v>
      </c>
      <c r="D1530">
        <v>0.37246527777777777</v>
      </c>
      <c r="E1530" s="2">
        <f t="shared" si="23"/>
        <v>9.6064814814811328E-4</v>
      </c>
    </row>
    <row r="1531" spans="1:5" x14ac:dyDescent="0.25">
      <c r="A1531">
        <v>0</v>
      </c>
      <c r="B1531">
        <v>42940</v>
      </c>
      <c r="C1531">
        <v>0.37296296296296294</v>
      </c>
      <c r="D1531">
        <v>0.38413194444444443</v>
      </c>
      <c r="E1531" s="2">
        <f t="shared" si="23"/>
        <v>1.1168981481481488E-2</v>
      </c>
    </row>
    <row r="1532" spans="1:5" x14ac:dyDescent="0.25">
      <c r="A1532">
        <v>0</v>
      </c>
      <c r="B1532">
        <v>42940</v>
      </c>
      <c r="C1532">
        <v>0.3777314814814815</v>
      </c>
      <c r="D1532">
        <v>0.38680555555555557</v>
      </c>
      <c r="E1532" s="2">
        <f t="shared" si="23"/>
        <v>9.0740740740740677E-3</v>
      </c>
    </row>
    <row r="1533" spans="1:5" x14ac:dyDescent="0.25">
      <c r="A1533">
        <v>0</v>
      </c>
      <c r="B1533">
        <v>42940</v>
      </c>
      <c r="C1533">
        <v>0.37983796296296296</v>
      </c>
      <c r="D1533">
        <v>0.38929398148148148</v>
      </c>
      <c r="E1533" s="2">
        <f t="shared" si="23"/>
        <v>9.4560185185185164E-3</v>
      </c>
    </row>
    <row r="1534" spans="1:5" x14ac:dyDescent="0.25">
      <c r="A1534">
        <v>0</v>
      </c>
      <c r="B1534">
        <v>42940</v>
      </c>
      <c r="C1534">
        <v>0.38046296296296295</v>
      </c>
      <c r="D1534">
        <v>0.38836805555555554</v>
      </c>
      <c r="E1534" s="2">
        <f t="shared" si="23"/>
        <v>7.9050925925925886E-3</v>
      </c>
    </row>
    <row r="1535" spans="1:5" x14ac:dyDescent="0.25">
      <c r="A1535">
        <v>0</v>
      </c>
      <c r="B1535">
        <v>42940</v>
      </c>
      <c r="C1535">
        <v>0.38156250000000003</v>
      </c>
      <c r="D1535">
        <v>0.3893402777777778</v>
      </c>
      <c r="E1535" s="2">
        <f t="shared" si="23"/>
        <v>7.7777777777777724E-3</v>
      </c>
    </row>
    <row r="1536" spans="1:5" x14ac:dyDescent="0.25">
      <c r="A1536">
        <v>0</v>
      </c>
      <c r="B1536">
        <v>42940</v>
      </c>
      <c r="C1536">
        <v>0.3837962962962963</v>
      </c>
      <c r="D1536">
        <v>0.39385416666666667</v>
      </c>
      <c r="E1536" s="2">
        <f t="shared" si="23"/>
        <v>1.005787037037037E-2</v>
      </c>
    </row>
    <row r="1537" spans="1:5" x14ac:dyDescent="0.25">
      <c r="A1537">
        <v>0</v>
      </c>
      <c r="B1537">
        <v>42940</v>
      </c>
      <c r="C1537">
        <v>0.38635416666666667</v>
      </c>
      <c r="D1537">
        <v>0.39378472222222222</v>
      </c>
      <c r="E1537" s="2">
        <f t="shared" si="23"/>
        <v>7.4305555555555514E-3</v>
      </c>
    </row>
    <row r="1538" spans="1:5" x14ac:dyDescent="0.25">
      <c r="A1538">
        <v>0</v>
      </c>
      <c r="B1538">
        <v>42940</v>
      </c>
      <c r="C1538">
        <v>0.39209490740740743</v>
      </c>
      <c r="D1538">
        <v>0.39672453703703703</v>
      </c>
      <c r="E1538" s="2">
        <f t="shared" ref="E1538:E1601" si="24">D1538-C1538</f>
        <v>4.6296296296295947E-3</v>
      </c>
    </row>
    <row r="1539" spans="1:5" x14ac:dyDescent="0.25">
      <c r="A1539">
        <v>0</v>
      </c>
      <c r="B1539">
        <v>42940</v>
      </c>
      <c r="C1539">
        <v>0.39383101851851854</v>
      </c>
      <c r="D1539">
        <v>0.39630787037037035</v>
      </c>
      <c r="E1539" s="2">
        <f t="shared" si="24"/>
        <v>2.4768518518518134E-3</v>
      </c>
    </row>
    <row r="1540" spans="1:5" x14ac:dyDescent="0.25">
      <c r="A1540">
        <v>0</v>
      </c>
      <c r="B1540">
        <v>42940</v>
      </c>
      <c r="C1540">
        <v>0.39391203703703703</v>
      </c>
      <c r="D1540">
        <v>0.39478009259259261</v>
      </c>
      <c r="E1540" s="2">
        <f t="shared" si="24"/>
        <v>8.6805555555558023E-4</v>
      </c>
    </row>
    <row r="1541" spans="1:5" x14ac:dyDescent="0.25">
      <c r="A1541">
        <v>0</v>
      </c>
      <c r="B1541">
        <v>42940</v>
      </c>
      <c r="C1541">
        <v>0.39516203703703706</v>
      </c>
      <c r="D1541">
        <v>0.4057986111111111</v>
      </c>
      <c r="E1541" s="2">
        <f t="shared" si="24"/>
        <v>1.0636574074074034E-2</v>
      </c>
    </row>
    <row r="1542" spans="1:5" x14ac:dyDescent="0.25">
      <c r="A1542">
        <v>0</v>
      </c>
      <c r="B1542">
        <v>42940</v>
      </c>
      <c r="C1542">
        <v>0.39614583333333331</v>
      </c>
      <c r="D1542">
        <v>0.39976851851851852</v>
      </c>
      <c r="E1542" s="2">
        <f t="shared" si="24"/>
        <v>3.6226851851852149E-3</v>
      </c>
    </row>
    <row r="1543" spans="1:5" x14ac:dyDescent="0.25">
      <c r="A1543">
        <v>0</v>
      </c>
      <c r="B1543">
        <v>42940</v>
      </c>
      <c r="C1543">
        <v>0.39864583333333331</v>
      </c>
      <c r="D1543">
        <v>0.40440972222222221</v>
      </c>
      <c r="E1543" s="2">
        <f t="shared" si="24"/>
        <v>5.7638888888889017E-3</v>
      </c>
    </row>
    <row r="1544" spans="1:5" x14ac:dyDescent="0.25">
      <c r="A1544">
        <v>0</v>
      </c>
      <c r="B1544">
        <v>42940</v>
      </c>
      <c r="C1544">
        <v>0.39956018518518521</v>
      </c>
      <c r="D1544">
        <v>0.40803240740740743</v>
      </c>
      <c r="E1544" s="2">
        <f t="shared" si="24"/>
        <v>8.4722222222222143E-3</v>
      </c>
    </row>
    <row r="1545" spans="1:5" x14ac:dyDescent="0.25">
      <c r="A1545">
        <v>0</v>
      </c>
      <c r="B1545">
        <v>42940</v>
      </c>
      <c r="C1545">
        <v>0.40263888888888888</v>
      </c>
      <c r="D1545">
        <v>0.40825231481481483</v>
      </c>
      <c r="E1545" s="2">
        <f t="shared" si="24"/>
        <v>5.6134259259259522E-3</v>
      </c>
    </row>
    <row r="1546" spans="1:5" x14ac:dyDescent="0.25">
      <c r="A1546">
        <v>0</v>
      </c>
      <c r="B1546">
        <v>42940</v>
      </c>
      <c r="C1546">
        <v>0.40641203703703704</v>
      </c>
      <c r="D1546">
        <v>0.41187499999999999</v>
      </c>
      <c r="E1546" s="2">
        <f t="shared" si="24"/>
        <v>5.4629629629629473E-3</v>
      </c>
    </row>
    <row r="1547" spans="1:5" x14ac:dyDescent="0.25">
      <c r="A1547">
        <v>0</v>
      </c>
      <c r="B1547">
        <v>42940</v>
      </c>
      <c r="C1547">
        <v>0.40930555555555553</v>
      </c>
      <c r="D1547">
        <v>0.41968749999999999</v>
      </c>
      <c r="E1547" s="2">
        <f t="shared" si="24"/>
        <v>1.0381944444444458E-2</v>
      </c>
    </row>
    <row r="1548" spans="1:5" x14ac:dyDescent="0.25">
      <c r="A1548">
        <v>0</v>
      </c>
      <c r="B1548">
        <v>42940</v>
      </c>
      <c r="C1548">
        <v>0.41351851851851851</v>
      </c>
      <c r="D1548">
        <v>0.41790509259259262</v>
      </c>
      <c r="E1548" s="2">
        <f t="shared" si="24"/>
        <v>4.3865740740741122E-3</v>
      </c>
    </row>
    <row r="1549" spans="1:5" x14ac:dyDescent="0.25">
      <c r="A1549">
        <v>0</v>
      </c>
      <c r="B1549">
        <v>42940</v>
      </c>
      <c r="C1549">
        <v>0.41853009259259261</v>
      </c>
      <c r="D1549">
        <v>0.42252314814814818</v>
      </c>
      <c r="E1549" s="2">
        <f t="shared" si="24"/>
        <v>3.9930555555555691E-3</v>
      </c>
    </row>
    <row r="1550" spans="1:5" x14ac:dyDescent="0.25">
      <c r="A1550">
        <v>0</v>
      </c>
      <c r="B1550">
        <v>42940</v>
      </c>
      <c r="C1550">
        <v>0.42241898148148149</v>
      </c>
      <c r="D1550">
        <v>0.42863425925925924</v>
      </c>
      <c r="E1550" s="2">
        <f t="shared" si="24"/>
        <v>6.2152777777777501E-3</v>
      </c>
    </row>
    <row r="1551" spans="1:5" x14ac:dyDescent="0.25">
      <c r="A1551">
        <v>0</v>
      </c>
      <c r="B1551">
        <v>42940</v>
      </c>
      <c r="C1551">
        <v>0.42561342592592594</v>
      </c>
      <c r="D1551">
        <v>0.42799768518518516</v>
      </c>
      <c r="E1551" s="2">
        <f t="shared" si="24"/>
        <v>2.3842592592592249E-3</v>
      </c>
    </row>
    <row r="1552" spans="1:5" x14ac:dyDescent="0.25">
      <c r="A1552">
        <v>0</v>
      </c>
      <c r="B1552">
        <v>42940</v>
      </c>
      <c r="C1552">
        <v>0.42563657407407407</v>
      </c>
      <c r="D1552">
        <v>0.42670138888888887</v>
      </c>
      <c r="E1552" s="2">
        <f t="shared" si="24"/>
        <v>1.0648148148147962E-3</v>
      </c>
    </row>
    <row r="1553" spans="1:5" x14ac:dyDescent="0.25">
      <c r="A1553">
        <v>0</v>
      </c>
      <c r="B1553">
        <v>42940</v>
      </c>
      <c r="C1553">
        <v>0.42951388888888886</v>
      </c>
      <c r="D1553">
        <v>0.44059027777777776</v>
      </c>
      <c r="E1553" s="2">
        <f t="shared" si="24"/>
        <v>1.1076388888888899E-2</v>
      </c>
    </row>
    <row r="1554" spans="1:5" x14ac:dyDescent="0.25">
      <c r="A1554">
        <v>0</v>
      </c>
      <c r="B1554">
        <v>42940</v>
      </c>
      <c r="C1554">
        <v>0.43133101851851852</v>
      </c>
      <c r="D1554">
        <v>0.43762731481481482</v>
      </c>
      <c r="E1554" s="2">
        <f t="shared" si="24"/>
        <v>6.2962962962962998E-3</v>
      </c>
    </row>
    <row r="1555" spans="1:5" x14ac:dyDescent="0.25">
      <c r="A1555">
        <v>0</v>
      </c>
      <c r="B1555">
        <v>42940</v>
      </c>
      <c r="C1555">
        <v>0.43637731481481479</v>
      </c>
      <c r="D1555">
        <v>0.44526620370370368</v>
      </c>
      <c r="E1555" s="2">
        <f t="shared" si="24"/>
        <v>8.8888888888888906E-3</v>
      </c>
    </row>
    <row r="1556" spans="1:5" x14ac:dyDescent="0.25">
      <c r="A1556">
        <v>0</v>
      </c>
      <c r="B1556">
        <v>42940</v>
      </c>
      <c r="C1556">
        <v>0.44081018518518517</v>
      </c>
      <c r="D1556">
        <v>0.44767361111111109</v>
      </c>
      <c r="E1556" s="2">
        <f t="shared" si="24"/>
        <v>6.8634259259259256E-3</v>
      </c>
    </row>
    <row r="1557" spans="1:5" x14ac:dyDescent="0.25">
      <c r="A1557">
        <v>0</v>
      </c>
      <c r="B1557">
        <v>42940</v>
      </c>
      <c r="C1557">
        <v>0.44185185185185183</v>
      </c>
      <c r="D1557">
        <v>0.44634259259259257</v>
      </c>
      <c r="E1557" s="2">
        <f t="shared" si="24"/>
        <v>4.4907407407407396E-3</v>
      </c>
    </row>
    <row r="1558" spans="1:5" x14ac:dyDescent="0.25">
      <c r="A1558">
        <v>0</v>
      </c>
      <c r="B1558">
        <v>42940</v>
      </c>
      <c r="C1558">
        <v>0.4462962962962963</v>
      </c>
      <c r="D1558">
        <v>0.44753472222222224</v>
      </c>
      <c r="E1558" s="2">
        <f t="shared" si="24"/>
        <v>1.2384259259259345E-3</v>
      </c>
    </row>
    <row r="1559" spans="1:5" x14ac:dyDescent="0.25">
      <c r="A1559">
        <v>0</v>
      </c>
      <c r="B1559">
        <v>42940</v>
      </c>
      <c r="C1559">
        <v>0.44680555555555557</v>
      </c>
      <c r="D1559">
        <v>0.45518518518518519</v>
      </c>
      <c r="E1559" s="2">
        <f t="shared" si="24"/>
        <v>8.3796296296296258E-3</v>
      </c>
    </row>
    <row r="1560" spans="1:5" x14ac:dyDescent="0.25">
      <c r="A1560">
        <v>0</v>
      </c>
      <c r="B1560">
        <v>42940</v>
      </c>
      <c r="C1560">
        <v>0.4490277777777778</v>
      </c>
      <c r="D1560">
        <v>0.45984953703703701</v>
      </c>
      <c r="E1560" s="2">
        <f t="shared" si="24"/>
        <v>1.0821759259259212E-2</v>
      </c>
    </row>
    <row r="1561" spans="1:5" x14ac:dyDescent="0.25">
      <c r="A1561">
        <v>0</v>
      </c>
      <c r="B1561">
        <v>42940</v>
      </c>
      <c r="C1561">
        <v>0.45392361111111112</v>
      </c>
      <c r="D1561">
        <v>0.4582060185185185</v>
      </c>
      <c r="E1561" s="2">
        <f t="shared" si="24"/>
        <v>4.2824074074073737E-3</v>
      </c>
    </row>
    <row r="1562" spans="1:5" x14ac:dyDescent="0.25">
      <c r="A1562">
        <v>0</v>
      </c>
      <c r="B1562">
        <v>42940</v>
      </c>
      <c r="C1562">
        <v>0.45481481481481484</v>
      </c>
      <c r="D1562">
        <v>0.45863425925925927</v>
      </c>
      <c r="E1562" s="2">
        <f t="shared" si="24"/>
        <v>3.8194444444444309E-3</v>
      </c>
    </row>
    <row r="1563" spans="1:5" x14ac:dyDescent="0.25">
      <c r="A1563">
        <v>0</v>
      </c>
      <c r="B1563">
        <v>42940</v>
      </c>
      <c r="C1563">
        <v>0.45930555555555558</v>
      </c>
      <c r="D1563">
        <v>0.46885416666666668</v>
      </c>
      <c r="E1563" s="2">
        <f t="shared" si="24"/>
        <v>9.5486111111111049E-3</v>
      </c>
    </row>
    <row r="1564" spans="1:5" x14ac:dyDescent="0.25">
      <c r="A1564">
        <v>0</v>
      </c>
      <c r="B1564">
        <v>42940</v>
      </c>
      <c r="C1564">
        <v>0.46489583333333334</v>
      </c>
      <c r="D1564">
        <v>0.47530092592592593</v>
      </c>
      <c r="E1564" s="2">
        <f t="shared" si="24"/>
        <v>1.0405092592592591E-2</v>
      </c>
    </row>
    <row r="1565" spans="1:5" x14ac:dyDescent="0.25">
      <c r="A1565">
        <v>0</v>
      </c>
      <c r="B1565">
        <v>42940</v>
      </c>
      <c r="C1565">
        <v>0.46971064814814817</v>
      </c>
      <c r="D1565">
        <v>0.47116898148148151</v>
      </c>
      <c r="E1565" s="2">
        <f t="shared" si="24"/>
        <v>1.4583333333333393E-3</v>
      </c>
    </row>
    <row r="1566" spans="1:5" x14ac:dyDescent="0.25">
      <c r="A1566">
        <v>0</v>
      </c>
      <c r="B1566">
        <v>42940</v>
      </c>
      <c r="C1566">
        <v>0.47188657407407408</v>
      </c>
      <c r="D1566">
        <v>0.47260416666666666</v>
      </c>
      <c r="E1566" s="2">
        <f t="shared" si="24"/>
        <v>7.1759259259257524E-4</v>
      </c>
    </row>
    <row r="1567" spans="1:5" x14ac:dyDescent="0.25">
      <c r="A1567">
        <v>0</v>
      </c>
      <c r="B1567">
        <v>42940</v>
      </c>
      <c r="C1567">
        <v>0.47590277777777779</v>
      </c>
      <c r="D1567">
        <v>0.47621527777777778</v>
      </c>
      <c r="E1567" s="2">
        <f t="shared" si="24"/>
        <v>3.1249999999999334E-4</v>
      </c>
    </row>
    <row r="1568" spans="1:5" x14ac:dyDescent="0.25">
      <c r="A1568">
        <v>0</v>
      </c>
      <c r="B1568">
        <v>42940</v>
      </c>
      <c r="C1568">
        <v>0.48082175925925924</v>
      </c>
      <c r="D1568">
        <v>0.49135416666666665</v>
      </c>
      <c r="E1568" s="2">
        <f t="shared" si="24"/>
        <v>1.0532407407407407E-2</v>
      </c>
    </row>
    <row r="1569" spans="1:5" x14ac:dyDescent="0.25">
      <c r="A1569">
        <v>0</v>
      </c>
      <c r="B1569">
        <v>42940</v>
      </c>
      <c r="C1569">
        <v>0.48358796296296297</v>
      </c>
      <c r="D1569">
        <v>0.48965277777777777</v>
      </c>
      <c r="E1569" s="2">
        <f t="shared" si="24"/>
        <v>6.0648148148148007E-3</v>
      </c>
    </row>
    <row r="1570" spans="1:5" x14ac:dyDescent="0.25">
      <c r="A1570">
        <v>0</v>
      </c>
      <c r="B1570">
        <v>42940</v>
      </c>
      <c r="C1570">
        <v>0.4866550925925926</v>
      </c>
      <c r="D1570">
        <v>0.49528935185185186</v>
      </c>
      <c r="E1570" s="2">
        <f t="shared" si="24"/>
        <v>8.6342592592592582E-3</v>
      </c>
    </row>
    <row r="1571" spans="1:5" x14ac:dyDescent="0.25">
      <c r="A1571">
        <v>0</v>
      </c>
      <c r="B1571">
        <v>42940</v>
      </c>
      <c r="C1571">
        <v>0.48770833333333335</v>
      </c>
      <c r="D1571">
        <v>0.49613425925925925</v>
      </c>
      <c r="E1571" s="2">
        <f t="shared" si="24"/>
        <v>8.4259259259258923E-3</v>
      </c>
    </row>
    <row r="1572" spans="1:5" x14ac:dyDescent="0.25">
      <c r="A1572">
        <v>0</v>
      </c>
      <c r="B1572">
        <v>42940</v>
      </c>
      <c r="C1572">
        <v>0.48836805555555557</v>
      </c>
      <c r="D1572">
        <v>0.48893518518518519</v>
      </c>
      <c r="E1572" s="2">
        <f t="shared" si="24"/>
        <v>5.6712962962962576E-4</v>
      </c>
    </row>
    <row r="1573" spans="1:5" x14ac:dyDescent="0.25">
      <c r="A1573">
        <v>0</v>
      </c>
      <c r="B1573">
        <v>42940</v>
      </c>
      <c r="C1573">
        <v>0.49062499999999998</v>
      </c>
      <c r="D1573">
        <v>0.49767361111111114</v>
      </c>
      <c r="E1573" s="2">
        <f t="shared" si="24"/>
        <v>7.0486111111111582E-3</v>
      </c>
    </row>
    <row r="1574" spans="1:5" x14ac:dyDescent="0.25">
      <c r="A1574">
        <v>0</v>
      </c>
      <c r="B1574">
        <v>42940</v>
      </c>
      <c r="C1574">
        <v>0.49229166666666668</v>
      </c>
      <c r="D1574">
        <v>0.49554398148148149</v>
      </c>
      <c r="E1574" s="2">
        <f t="shared" si="24"/>
        <v>3.2523148148148051E-3</v>
      </c>
    </row>
    <row r="1575" spans="1:5" x14ac:dyDescent="0.25">
      <c r="A1575">
        <v>0</v>
      </c>
      <c r="B1575">
        <v>42940</v>
      </c>
      <c r="C1575">
        <v>0.49274305555555553</v>
      </c>
      <c r="D1575">
        <v>0.50315972222222227</v>
      </c>
      <c r="E1575" s="2">
        <f t="shared" si="24"/>
        <v>1.0416666666666741E-2</v>
      </c>
    </row>
    <row r="1576" spans="1:5" x14ac:dyDescent="0.25">
      <c r="A1576">
        <v>0</v>
      </c>
      <c r="B1576">
        <v>42940</v>
      </c>
      <c r="C1576">
        <v>0.49416666666666664</v>
      </c>
      <c r="D1576">
        <v>0.49465277777777777</v>
      </c>
      <c r="E1576" s="2">
        <f t="shared" si="24"/>
        <v>4.8611111111113159E-4</v>
      </c>
    </row>
    <row r="1577" spans="1:5" x14ac:dyDescent="0.25">
      <c r="A1577">
        <v>0</v>
      </c>
      <c r="B1577">
        <v>42940</v>
      </c>
      <c r="C1577">
        <v>0.49633101851851852</v>
      </c>
      <c r="D1577">
        <v>0.50209490740740736</v>
      </c>
      <c r="E1577" s="2">
        <f t="shared" si="24"/>
        <v>5.7638888888888462E-3</v>
      </c>
    </row>
    <row r="1578" spans="1:5" x14ac:dyDescent="0.25">
      <c r="A1578">
        <v>0</v>
      </c>
      <c r="B1578">
        <v>42940</v>
      </c>
      <c r="C1578">
        <v>0.49857638888888889</v>
      </c>
      <c r="D1578">
        <v>0.50195601851851857</v>
      </c>
      <c r="E1578" s="2">
        <f t="shared" si="24"/>
        <v>3.3796296296296768E-3</v>
      </c>
    </row>
    <row r="1579" spans="1:5" x14ac:dyDescent="0.25">
      <c r="A1579">
        <v>0</v>
      </c>
      <c r="B1579">
        <v>42940</v>
      </c>
      <c r="C1579">
        <v>0.50306712962962963</v>
      </c>
      <c r="D1579">
        <v>0.51333333333333331</v>
      </c>
      <c r="E1579" s="2">
        <f t="shared" si="24"/>
        <v>1.026620370370368E-2</v>
      </c>
    </row>
    <row r="1580" spans="1:5" x14ac:dyDescent="0.25">
      <c r="A1580">
        <v>0</v>
      </c>
      <c r="B1580">
        <v>42940</v>
      </c>
      <c r="C1580">
        <v>0.50583333333333336</v>
      </c>
      <c r="D1580">
        <v>0.51407407407407413</v>
      </c>
      <c r="E1580" s="2">
        <f t="shared" si="24"/>
        <v>8.2407407407407707E-3</v>
      </c>
    </row>
    <row r="1581" spans="1:5" x14ac:dyDescent="0.25">
      <c r="A1581">
        <v>0</v>
      </c>
      <c r="B1581">
        <v>42940</v>
      </c>
      <c r="C1581">
        <v>0.50611111111111107</v>
      </c>
      <c r="D1581">
        <v>0.51354166666666667</v>
      </c>
      <c r="E1581" s="2">
        <f t="shared" si="24"/>
        <v>7.4305555555556069E-3</v>
      </c>
    </row>
    <row r="1582" spans="1:5" x14ac:dyDescent="0.25">
      <c r="A1582">
        <v>0</v>
      </c>
      <c r="B1582">
        <v>42940</v>
      </c>
      <c r="C1582">
        <v>0.50714120370370375</v>
      </c>
      <c r="D1582">
        <v>0.51232638888888893</v>
      </c>
      <c r="E1582" s="2">
        <f t="shared" si="24"/>
        <v>5.1851851851851816E-3</v>
      </c>
    </row>
    <row r="1583" spans="1:5" x14ac:dyDescent="0.25">
      <c r="A1583">
        <v>0</v>
      </c>
      <c r="B1583">
        <v>42940</v>
      </c>
      <c r="C1583">
        <v>0.51270833333333332</v>
      </c>
      <c r="D1583">
        <v>0.52407407407407403</v>
      </c>
      <c r="E1583" s="2">
        <f t="shared" si="24"/>
        <v>1.1365740740740704E-2</v>
      </c>
    </row>
    <row r="1584" spans="1:5" x14ac:dyDescent="0.25">
      <c r="A1584">
        <v>0</v>
      </c>
      <c r="B1584">
        <v>42940</v>
      </c>
      <c r="C1584">
        <v>0.51512731481481477</v>
      </c>
      <c r="D1584">
        <v>0.51954861111111106</v>
      </c>
      <c r="E1584" s="2">
        <f t="shared" si="24"/>
        <v>4.4212962962962843E-3</v>
      </c>
    </row>
    <row r="1585" spans="1:5" x14ac:dyDescent="0.25">
      <c r="A1585">
        <v>0</v>
      </c>
      <c r="B1585">
        <v>42940</v>
      </c>
      <c r="C1585">
        <v>0.51746527777777773</v>
      </c>
      <c r="D1585">
        <v>0.52686342592592594</v>
      </c>
      <c r="E1585" s="2">
        <f t="shared" si="24"/>
        <v>9.398148148148211E-3</v>
      </c>
    </row>
    <row r="1586" spans="1:5" x14ac:dyDescent="0.25">
      <c r="A1586">
        <v>0</v>
      </c>
      <c r="B1586">
        <v>42940</v>
      </c>
      <c r="C1586">
        <v>0.51962962962962966</v>
      </c>
      <c r="D1586">
        <v>0.53030092592592593</v>
      </c>
      <c r="E1586" s="2">
        <f t="shared" si="24"/>
        <v>1.0671296296296262E-2</v>
      </c>
    </row>
    <row r="1587" spans="1:5" x14ac:dyDescent="0.25">
      <c r="A1587">
        <v>0</v>
      </c>
      <c r="B1587">
        <v>42940</v>
      </c>
      <c r="C1587">
        <v>0.52520833333333339</v>
      </c>
      <c r="D1587">
        <v>0.52866898148148145</v>
      </c>
      <c r="E1587" s="2">
        <f t="shared" si="24"/>
        <v>3.46064814814806E-3</v>
      </c>
    </row>
    <row r="1588" spans="1:5" x14ac:dyDescent="0.25">
      <c r="A1588">
        <v>0</v>
      </c>
      <c r="B1588">
        <v>42940</v>
      </c>
      <c r="C1588">
        <v>0.5285185185185185</v>
      </c>
      <c r="D1588">
        <v>0.53349537037037043</v>
      </c>
      <c r="E1588" s="2">
        <f t="shared" si="24"/>
        <v>4.9768518518519267E-3</v>
      </c>
    </row>
    <row r="1589" spans="1:5" x14ac:dyDescent="0.25">
      <c r="A1589">
        <v>0</v>
      </c>
      <c r="B1589">
        <v>42940</v>
      </c>
      <c r="C1589">
        <v>0.53403935185185181</v>
      </c>
      <c r="D1589">
        <v>0.54538194444444443</v>
      </c>
      <c r="E1589" s="2">
        <f t="shared" si="24"/>
        <v>1.1342592592592626E-2</v>
      </c>
    </row>
    <row r="1590" spans="1:5" x14ac:dyDescent="0.25">
      <c r="A1590">
        <v>0</v>
      </c>
      <c r="B1590">
        <v>42940</v>
      </c>
      <c r="C1590">
        <v>0.53949074074074077</v>
      </c>
      <c r="D1590">
        <v>0.54844907407407406</v>
      </c>
      <c r="E1590" s="2">
        <f t="shared" si="24"/>
        <v>8.9583333333332904E-3</v>
      </c>
    </row>
    <row r="1591" spans="1:5" x14ac:dyDescent="0.25">
      <c r="A1591">
        <v>0</v>
      </c>
      <c r="B1591">
        <v>42940</v>
      </c>
      <c r="C1591">
        <v>0.54060185185185183</v>
      </c>
      <c r="D1591">
        <v>0.54240740740740745</v>
      </c>
      <c r="E1591" s="2">
        <f t="shared" si="24"/>
        <v>1.8055555555556158E-3</v>
      </c>
    </row>
    <row r="1592" spans="1:5" x14ac:dyDescent="0.25">
      <c r="A1592">
        <v>0</v>
      </c>
      <c r="B1592">
        <v>42940</v>
      </c>
      <c r="C1592">
        <v>0.54410879629629627</v>
      </c>
      <c r="D1592">
        <v>0.55207175925925922</v>
      </c>
      <c r="E1592" s="2">
        <f t="shared" si="24"/>
        <v>7.9629629629629495E-3</v>
      </c>
    </row>
    <row r="1593" spans="1:5" x14ac:dyDescent="0.25">
      <c r="A1593">
        <v>0</v>
      </c>
      <c r="B1593">
        <v>42940</v>
      </c>
      <c r="C1593">
        <v>0.54478009259259264</v>
      </c>
      <c r="D1593">
        <v>0.55106481481481484</v>
      </c>
      <c r="E1593" s="2">
        <f t="shared" si="24"/>
        <v>6.2847222222222054E-3</v>
      </c>
    </row>
    <row r="1594" spans="1:5" x14ac:dyDescent="0.25">
      <c r="A1594">
        <v>0</v>
      </c>
      <c r="B1594">
        <v>42940</v>
      </c>
      <c r="C1594">
        <v>0.54741898148148149</v>
      </c>
      <c r="D1594">
        <v>0.54915509259259254</v>
      </c>
      <c r="E1594" s="2">
        <f t="shared" si="24"/>
        <v>1.7361111111110494E-3</v>
      </c>
    </row>
    <row r="1595" spans="1:5" x14ac:dyDescent="0.25">
      <c r="A1595">
        <v>0</v>
      </c>
      <c r="B1595">
        <v>42940</v>
      </c>
      <c r="C1595">
        <v>0.54773148148148143</v>
      </c>
      <c r="D1595">
        <v>0.55074074074074075</v>
      </c>
      <c r="E1595" s="2">
        <f t="shared" si="24"/>
        <v>3.0092592592593226E-3</v>
      </c>
    </row>
    <row r="1596" spans="1:5" x14ac:dyDescent="0.25">
      <c r="A1596">
        <v>0</v>
      </c>
      <c r="B1596">
        <v>42940</v>
      </c>
      <c r="C1596">
        <v>0.55153935185185188</v>
      </c>
      <c r="D1596">
        <v>0.56090277777777775</v>
      </c>
      <c r="E1596" s="2">
        <f t="shared" si="24"/>
        <v>9.3634259259258723E-3</v>
      </c>
    </row>
    <row r="1597" spans="1:5" x14ac:dyDescent="0.25">
      <c r="A1597">
        <v>0</v>
      </c>
      <c r="B1597">
        <v>42940</v>
      </c>
      <c r="C1597">
        <v>0.55491898148148144</v>
      </c>
      <c r="D1597">
        <v>0.55787037037037035</v>
      </c>
      <c r="E1597" s="2">
        <f t="shared" si="24"/>
        <v>2.9513888888889062E-3</v>
      </c>
    </row>
    <row r="1598" spans="1:5" x14ac:dyDescent="0.25">
      <c r="A1598">
        <v>0</v>
      </c>
      <c r="B1598">
        <v>42940</v>
      </c>
      <c r="C1598">
        <v>0.5602893518518518</v>
      </c>
      <c r="D1598">
        <v>0.57128472222222226</v>
      </c>
      <c r="E1598" s="2">
        <f t="shared" si="24"/>
        <v>1.0995370370370461E-2</v>
      </c>
    </row>
    <row r="1599" spans="1:5" x14ac:dyDescent="0.25">
      <c r="A1599">
        <v>0</v>
      </c>
      <c r="B1599">
        <v>42940</v>
      </c>
      <c r="C1599">
        <v>0.56196759259259255</v>
      </c>
      <c r="D1599">
        <v>0.57019675925925928</v>
      </c>
      <c r="E1599" s="2">
        <f t="shared" si="24"/>
        <v>8.2291666666667318E-3</v>
      </c>
    </row>
    <row r="1600" spans="1:5" x14ac:dyDescent="0.25">
      <c r="A1600">
        <v>0</v>
      </c>
      <c r="B1600">
        <v>42940</v>
      </c>
      <c r="C1600">
        <v>0.5634837962962963</v>
      </c>
      <c r="D1600">
        <v>0.56763888888888892</v>
      </c>
      <c r="E1600" s="2">
        <f t="shared" si="24"/>
        <v>4.155092592592613E-3</v>
      </c>
    </row>
    <row r="1601" spans="1:5" x14ac:dyDescent="0.25">
      <c r="A1601">
        <v>0</v>
      </c>
      <c r="B1601">
        <v>42940</v>
      </c>
      <c r="C1601">
        <v>0.56879629629629624</v>
      </c>
      <c r="D1601">
        <v>0.56934027777777774</v>
      </c>
      <c r="E1601" s="2">
        <f t="shared" si="24"/>
        <v>5.439814814814925E-4</v>
      </c>
    </row>
    <row r="1602" spans="1:5" x14ac:dyDescent="0.25">
      <c r="A1602">
        <v>0</v>
      </c>
      <c r="B1602">
        <v>42940</v>
      </c>
      <c r="C1602">
        <v>0.56980324074074074</v>
      </c>
      <c r="D1602">
        <v>0.57826388888888891</v>
      </c>
      <c r="E1602" s="2">
        <f t="shared" ref="E1602:E1665" si="25">D1602-C1602</f>
        <v>8.4606481481481755E-3</v>
      </c>
    </row>
    <row r="1603" spans="1:5" x14ac:dyDescent="0.25">
      <c r="A1603">
        <v>0</v>
      </c>
      <c r="B1603">
        <v>42940</v>
      </c>
      <c r="C1603">
        <v>0.57262731481481477</v>
      </c>
      <c r="D1603">
        <v>0.57846064814814813</v>
      </c>
      <c r="E1603" s="2">
        <f t="shared" si="25"/>
        <v>5.833333333333357E-3</v>
      </c>
    </row>
    <row r="1604" spans="1:5" x14ac:dyDescent="0.25">
      <c r="A1604">
        <v>0</v>
      </c>
      <c r="B1604">
        <v>42940</v>
      </c>
      <c r="C1604">
        <v>0.57321759259259264</v>
      </c>
      <c r="D1604">
        <v>0.57461805555555556</v>
      </c>
      <c r="E1604" s="2">
        <f t="shared" si="25"/>
        <v>1.4004629629629228E-3</v>
      </c>
    </row>
    <row r="1605" spans="1:5" x14ac:dyDescent="0.25">
      <c r="A1605">
        <v>0</v>
      </c>
      <c r="B1605">
        <v>42940</v>
      </c>
      <c r="C1605">
        <v>0.57322916666666668</v>
      </c>
      <c r="D1605">
        <v>0.58089120370370373</v>
      </c>
      <c r="E1605" s="2">
        <f t="shared" si="25"/>
        <v>7.6620370370370505E-3</v>
      </c>
    </row>
    <row r="1606" spans="1:5" x14ac:dyDescent="0.25">
      <c r="A1606">
        <v>0</v>
      </c>
      <c r="B1606">
        <v>42940</v>
      </c>
      <c r="C1606">
        <v>0.57582175925925927</v>
      </c>
      <c r="D1606">
        <v>0.57693287037037033</v>
      </c>
      <c r="E1606" s="2">
        <f t="shared" si="25"/>
        <v>1.1111111111110628E-3</v>
      </c>
    </row>
    <row r="1607" spans="1:5" x14ac:dyDescent="0.25">
      <c r="A1607">
        <v>0</v>
      </c>
      <c r="B1607">
        <v>42940</v>
      </c>
      <c r="C1607">
        <v>0.57660879629629624</v>
      </c>
      <c r="D1607">
        <v>0.58250000000000002</v>
      </c>
      <c r="E1607" s="2">
        <f t="shared" si="25"/>
        <v>5.8912037037037734E-3</v>
      </c>
    </row>
    <row r="1608" spans="1:5" x14ac:dyDescent="0.25">
      <c r="A1608">
        <v>0</v>
      </c>
      <c r="B1608">
        <v>42940</v>
      </c>
      <c r="C1608">
        <v>0.57850694444444439</v>
      </c>
      <c r="D1608">
        <v>0.58456018518518515</v>
      </c>
      <c r="E1608" s="2">
        <f t="shared" si="25"/>
        <v>6.0532407407407618E-3</v>
      </c>
    </row>
    <row r="1609" spans="1:5" x14ac:dyDescent="0.25">
      <c r="A1609">
        <v>0</v>
      </c>
      <c r="B1609">
        <v>42940</v>
      </c>
      <c r="C1609">
        <v>0.58304398148148151</v>
      </c>
      <c r="D1609">
        <v>0.58518518518518514</v>
      </c>
      <c r="E1609" s="2">
        <f t="shared" si="25"/>
        <v>2.1412037037036313E-3</v>
      </c>
    </row>
    <row r="1610" spans="1:5" x14ac:dyDescent="0.25">
      <c r="A1610">
        <v>0</v>
      </c>
      <c r="B1610">
        <v>42940</v>
      </c>
      <c r="C1610">
        <v>0.58652777777777776</v>
      </c>
      <c r="D1610">
        <v>0.5917824074074074</v>
      </c>
      <c r="E1610" s="2">
        <f t="shared" si="25"/>
        <v>5.2546296296296369E-3</v>
      </c>
    </row>
    <row r="1611" spans="1:5" x14ac:dyDescent="0.25">
      <c r="A1611">
        <v>0</v>
      </c>
      <c r="B1611">
        <v>42940</v>
      </c>
      <c r="C1611">
        <v>0.58981481481481479</v>
      </c>
      <c r="D1611">
        <v>0.59037037037037032</v>
      </c>
      <c r="E1611" s="2">
        <f t="shared" si="25"/>
        <v>5.5555555555553138E-4</v>
      </c>
    </row>
    <row r="1612" spans="1:5" x14ac:dyDescent="0.25">
      <c r="A1612">
        <v>0</v>
      </c>
      <c r="B1612">
        <v>42940</v>
      </c>
      <c r="C1612">
        <v>0.59325231481481477</v>
      </c>
      <c r="D1612">
        <v>0.59866898148148151</v>
      </c>
      <c r="E1612" s="2">
        <f t="shared" si="25"/>
        <v>5.4166666666667362E-3</v>
      </c>
    </row>
    <row r="1613" spans="1:5" x14ac:dyDescent="0.25">
      <c r="A1613">
        <v>0</v>
      </c>
      <c r="B1613">
        <v>42940</v>
      </c>
      <c r="C1613">
        <v>0.59351851851851856</v>
      </c>
      <c r="D1613">
        <v>0.60163194444444446</v>
      </c>
      <c r="E1613" s="2">
        <f t="shared" si="25"/>
        <v>8.113425925925899E-3</v>
      </c>
    </row>
    <row r="1614" spans="1:5" x14ac:dyDescent="0.25">
      <c r="A1614">
        <v>0</v>
      </c>
      <c r="B1614">
        <v>42940</v>
      </c>
      <c r="C1614">
        <v>0.59663194444444445</v>
      </c>
      <c r="D1614">
        <v>0.60359953703703706</v>
      </c>
      <c r="E1614" s="2">
        <f t="shared" si="25"/>
        <v>6.9675925925926085E-3</v>
      </c>
    </row>
    <row r="1615" spans="1:5" x14ac:dyDescent="0.25">
      <c r="A1615">
        <v>0</v>
      </c>
      <c r="B1615">
        <v>42940</v>
      </c>
      <c r="C1615">
        <v>0.59864583333333332</v>
      </c>
      <c r="D1615">
        <v>0.6056597222222222</v>
      </c>
      <c r="E1615" s="2">
        <f t="shared" si="25"/>
        <v>7.0138888888888751E-3</v>
      </c>
    </row>
    <row r="1616" spans="1:5" x14ac:dyDescent="0.25">
      <c r="A1616">
        <v>0</v>
      </c>
      <c r="B1616">
        <v>42940</v>
      </c>
      <c r="C1616">
        <v>0.6005787037037037</v>
      </c>
      <c r="D1616">
        <v>0.6107407407407407</v>
      </c>
      <c r="E1616" s="2">
        <f t="shared" si="25"/>
        <v>1.0162037037036997E-2</v>
      </c>
    </row>
    <row r="1617" spans="1:5" x14ac:dyDescent="0.25">
      <c r="A1617">
        <v>0</v>
      </c>
      <c r="B1617">
        <v>42940</v>
      </c>
      <c r="C1617">
        <v>0.60211805555555553</v>
      </c>
      <c r="D1617">
        <v>0.60282407407407412</v>
      </c>
      <c r="E1617" s="2">
        <f t="shared" si="25"/>
        <v>7.0601851851859188E-4</v>
      </c>
    </row>
    <row r="1618" spans="1:5" x14ac:dyDescent="0.25">
      <c r="A1618">
        <v>0</v>
      </c>
      <c r="B1618">
        <v>42940</v>
      </c>
      <c r="C1618">
        <v>0.6068634259259259</v>
      </c>
      <c r="D1618">
        <v>0.61152777777777778</v>
      </c>
      <c r="E1618" s="2">
        <f t="shared" si="25"/>
        <v>4.6643518518518778E-3</v>
      </c>
    </row>
    <row r="1619" spans="1:5" x14ac:dyDescent="0.25">
      <c r="A1619">
        <v>0</v>
      </c>
      <c r="B1619">
        <v>42940</v>
      </c>
      <c r="C1619">
        <v>0.61100694444444448</v>
      </c>
      <c r="D1619">
        <v>0.62071759259259263</v>
      </c>
      <c r="E1619" s="2">
        <f t="shared" si="25"/>
        <v>9.7106481481481488E-3</v>
      </c>
    </row>
    <row r="1620" spans="1:5" x14ac:dyDescent="0.25">
      <c r="A1620">
        <v>0</v>
      </c>
      <c r="B1620">
        <v>42940</v>
      </c>
      <c r="C1620">
        <v>0.61471064814814813</v>
      </c>
      <c r="D1620">
        <v>0.62232638888888892</v>
      </c>
      <c r="E1620" s="2">
        <f t="shared" si="25"/>
        <v>7.615740740740784E-3</v>
      </c>
    </row>
    <row r="1621" spans="1:5" x14ac:dyDescent="0.25">
      <c r="A1621">
        <v>0</v>
      </c>
      <c r="B1621">
        <v>42940</v>
      </c>
      <c r="C1621">
        <v>0.61826388888888884</v>
      </c>
      <c r="D1621">
        <v>0.62091435185185184</v>
      </c>
      <c r="E1621" s="2">
        <f t="shared" si="25"/>
        <v>2.6504629629630072E-3</v>
      </c>
    </row>
    <row r="1622" spans="1:5" x14ac:dyDescent="0.25">
      <c r="A1622">
        <v>0</v>
      </c>
      <c r="B1622">
        <v>42940</v>
      </c>
      <c r="C1622">
        <v>0.62152777777777779</v>
      </c>
      <c r="D1622">
        <v>0.62572916666666667</v>
      </c>
      <c r="E1622" s="2">
        <f t="shared" si="25"/>
        <v>4.2013888888888795E-3</v>
      </c>
    </row>
    <row r="1623" spans="1:5" x14ac:dyDescent="0.25">
      <c r="A1623">
        <v>0</v>
      </c>
      <c r="B1623">
        <v>42940</v>
      </c>
      <c r="C1623">
        <v>0.62605324074074076</v>
      </c>
      <c r="D1623">
        <v>0.63655092592592588</v>
      </c>
      <c r="E1623" s="2">
        <f t="shared" si="25"/>
        <v>1.0497685185185124E-2</v>
      </c>
    </row>
    <row r="1624" spans="1:5" x14ac:dyDescent="0.25">
      <c r="A1624">
        <v>0</v>
      </c>
      <c r="B1624">
        <v>42941</v>
      </c>
      <c r="C1624">
        <v>0.33688657407407407</v>
      </c>
      <c r="D1624">
        <v>0.34452546296296294</v>
      </c>
      <c r="E1624" s="2">
        <f t="shared" si="25"/>
        <v>7.6388888888888618E-3</v>
      </c>
    </row>
    <row r="1625" spans="1:5" x14ac:dyDescent="0.25">
      <c r="A1625">
        <v>0</v>
      </c>
      <c r="B1625">
        <v>42941</v>
      </c>
      <c r="C1625">
        <v>0.34145833333333331</v>
      </c>
      <c r="D1625">
        <v>0.34645833333333331</v>
      </c>
      <c r="E1625" s="2">
        <f t="shared" si="25"/>
        <v>5.0000000000000044E-3</v>
      </c>
    </row>
    <row r="1626" spans="1:5" x14ac:dyDescent="0.25">
      <c r="A1626">
        <v>0</v>
      </c>
      <c r="B1626">
        <v>42941</v>
      </c>
      <c r="C1626">
        <v>0.34278935185185183</v>
      </c>
      <c r="D1626">
        <v>0.34370370370370368</v>
      </c>
      <c r="E1626" s="2">
        <f t="shared" si="25"/>
        <v>9.1435185185184675E-4</v>
      </c>
    </row>
    <row r="1627" spans="1:5" x14ac:dyDescent="0.25">
      <c r="A1627">
        <v>0</v>
      </c>
      <c r="B1627">
        <v>42941</v>
      </c>
      <c r="C1627">
        <v>0.34605324074074073</v>
      </c>
      <c r="D1627">
        <v>0.35744212962962962</v>
      </c>
      <c r="E1627" s="2">
        <f t="shared" si="25"/>
        <v>1.1388888888888893E-2</v>
      </c>
    </row>
    <row r="1628" spans="1:5" x14ac:dyDescent="0.25">
      <c r="A1628">
        <v>0</v>
      </c>
      <c r="B1628">
        <v>42941</v>
      </c>
      <c r="C1628">
        <v>0.34989583333333335</v>
      </c>
      <c r="D1628">
        <v>0.35214120370370372</v>
      </c>
      <c r="E1628" s="2">
        <f t="shared" si="25"/>
        <v>2.2453703703703698E-3</v>
      </c>
    </row>
    <row r="1629" spans="1:5" x14ac:dyDescent="0.25">
      <c r="A1629">
        <v>0</v>
      </c>
      <c r="B1629">
        <v>42941</v>
      </c>
      <c r="C1629">
        <v>0.35267361111111112</v>
      </c>
      <c r="D1629">
        <v>0.36171296296296296</v>
      </c>
      <c r="E1629" s="2">
        <f t="shared" si="25"/>
        <v>9.0393518518518401E-3</v>
      </c>
    </row>
    <row r="1630" spans="1:5" x14ac:dyDescent="0.25">
      <c r="A1630">
        <v>0</v>
      </c>
      <c r="B1630">
        <v>42941</v>
      </c>
      <c r="C1630">
        <v>0.35335648148148147</v>
      </c>
      <c r="D1630">
        <v>0.36329861111111111</v>
      </c>
      <c r="E1630" s="2">
        <f t="shared" si="25"/>
        <v>9.942129629629648E-3</v>
      </c>
    </row>
    <row r="1631" spans="1:5" x14ac:dyDescent="0.25">
      <c r="A1631">
        <v>0</v>
      </c>
      <c r="B1631">
        <v>42941</v>
      </c>
      <c r="C1631">
        <v>0.35603009259259261</v>
      </c>
      <c r="D1631">
        <v>0.35928240740740741</v>
      </c>
      <c r="E1631" s="2">
        <f t="shared" si="25"/>
        <v>3.2523148148148051E-3</v>
      </c>
    </row>
    <row r="1632" spans="1:5" x14ac:dyDescent="0.25">
      <c r="A1632">
        <v>0</v>
      </c>
      <c r="B1632">
        <v>42941</v>
      </c>
      <c r="C1632">
        <v>0.35881944444444447</v>
      </c>
      <c r="D1632">
        <v>0.36379629629629628</v>
      </c>
      <c r="E1632" s="2">
        <f t="shared" si="25"/>
        <v>4.9768518518518157E-3</v>
      </c>
    </row>
    <row r="1633" spans="1:5" x14ac:dyDescent="0.25">
      <c r="A1633">
        <v>0</v>
      </c>
      <c r="B1633">
        <v>42941</v>
      </c>
      <c r="C1633">
        <v>0.3634722222222222</v>
      </c>
      <c r="D1633">
        <v>0.37498842592592591</v>
      </c>
      <c r="E1633" s="2">
        <f t="shared" si="25"/>
        <v>1.1516203703703709E-2</v>
      </c>
    </row>
    <row r="1634" spans="1:5" x14ac:dyDescent="0.25">
      <c r="A1634">
        <v>0</v>
      </c>
      <c r="B1634">
        <v>42941</v>
      </c>
      <c r="C1634">
        <v>0.36773148148148149</v>
      </c>
      <c r="D1634">
        <v>0.37118055555555557</v>
      </c>
      <c r="E1634" s="2">
        <f t="shared" si="25"/>
        <v>3.4490740740740766E-3</v>
      </c>
    </row>
    <row r="1635" spans="1:5" x14ac:dyDescent="0.25">
      <c r="A1635">
        <v>0</v>
      </c>
      <c r="B1635">
        <v>42941</v>
      </c>
      <c r="C1635">
        <v>0.36854166666666666</v>
      </c>
      <c r="D1635">
        <v>0.37072916666666667</v>
      </c>
      <c r="E1635" s="2">
        <f t="shared" si="25"/>
        <v>2.1875000000000089E-3</v>
      </c>
    </row>
    <row r="1636" spans="1:5" x14ac:dyDescent="0.25">
      <c r="A1636">
        <v>0</v>
      </c>
      <c r="B1636">
        <v>42941</v>
      </c>
      <c r="C1636">
        <v>0.36930555555555555</v>
      </c>
      <c r="D1636">
        <v>0.37615740740740738</v>
      </c>
      <c r="E1636" s="2">
        <f t="shared" si="25"/>
        <v>6.8518518518518312E-3</v>
      </c>
    </row>
    <row r="1637" spans="1:5" x14ac:dyDescent="0.25">
      <c r="A1637">
        <v>0</v>
      </c>
      <c r="B1637">
        <v>42941</v>
      </c>
      <c r="C1637">
        <v>0.37222222222222223</v>
      </c>
      <c r="D1637">
        <v>0.37883101851851853</v>
      </c>
      <c r="E1637" s="2">
        <f t="shared" si="25"/>
        <v>6.6087962962962932E-3</v>
      </c>
    </row>
    <row r="1638" spans="1:5" x14ac:dyDescent="0.25">
      <c r="A1638">
        <v>0</v>
      </c>
      <c r="B1638">
        <v>42941</v>
      </c>
      <c r="C1638">
        <v>0.37277777777777776</v>
      </c>
      <c r="D1638">
        <v>0.37791666666666668</v>
      </c>
      <c r="E1638" s="2">
        <f t="shared" si="25"/>
        <v>5.138888888888915E-3</v>
      </c>
    </row>
    <row r="1639" spans="1:5" x14ac:dyDescent="0.25">
      <c r="A1639">
        <v>0</v>
      </c>
      <c r="B1639">
        <v>42941</v>
      </c>
      <c r="C1639">
        <v>0.37805555555555553</v>
      </c>
      <c r="D1639">
        <v>0.38770833333333332</v>
      </c>
      <c r="E1639" s="2">
        <f t="shared" si="25"/>
        <v>9.6527777777777879E-3</v>
      </c>
    </row>
    <row r="1640" spans="1:5" x14ac:dyDescent="0.25">
      <c r="A1640">
        <v>0</v>
      </c>
      <c r="B1640">
        <v>42941</v>
      </c>
      <c r="C1640">
        <v>0.38230324074074074</v>
      </c>
      <c r="D1640">
        <v>0.39293981481481483</v>
      </c>
      <c r="E1640" s="2">
        <f t="shared" si="25"/>
        <v>1.063657407407409E-2</v>
      </c>
    </row>
    <row r="1641" spans="1:5" x14ac:dyDescent="0.25">
      <c r="A1641">
        <v>0</v>
      </c>
      <c r="B1641">
        <v>42941</v>
      </c>
      <c r="C1641">
        <v>0.38638888888888889</v>
      </c>
      <c r="D1641">
        <v>0.38983796296296297</v>
      </c>
      <c r="E1641" s="2">
        <f t="shared" si="25"/>
        <v>3.4490740740740766E-3</v>
      </c>
    </row>
    <row r="1642" spans="1:5" x14ac:dyDescent="0.25">
      <c r="A1642">
        <v>0</v>
      </c>
      <c r="B1642">
        <v>42941</v>
      </c>
      <c r="C1642">
        <v>0.38668981481481479</v>
      </c>
      <c r="D1642">
        <v>0.3913773148148148</v>
      </c>
      <c r="E1642" s="2">
        <f t="shared" si="25"/>
        <v>4.6875000000000111E-3</v>
      </c>
    </row>
    <row r="1643" spans="1:5" x14ac:dyDescent="0.25">
      <c r="A1643">
        <v>0</v>
      </c>
      <c r="B1643">
        <v>42941</v>
      </c>
      <c r="C1643">
        <v>0.39038194444444446</v>
      </c>
      <c r="D1643">
        <v>0.39797453703703706</v>
      </c>
      <c r="E1643" s="2">
        <f t="shared" si="25"/>
        <v>7.5925925925925952E-3</v>
      </c>
    </row>
    <row r="1644" spans="1:5" x14ac:dyDescent="0.25">
      <c r="A1644">
        <v>0</v>
      </c>
      <c r="B1644">
        <v>42941</v>
      </c>
      <c r="C1644">
        <v>0.39152777777777775</v>
      </c>
      <c r="D1644">
        <v>0.39559027777777778</v>
      </c>
      <c r="E1644" s="2">
        <f t="shared" si="25"/>
        <v>4.0625000000000244E-3</v>
      </c>
    </row>
    <row r="1645" spans="1:5" x14ac:dyDescent="0.25">
      <c r="A1645">
        <v>0</v>
      </c>
      <c r="B1645">
        <v>42941</v>
      </c>
      <c r="C1645">
        <v>0.39195601851851852</v>
      </c>
      <c r="D1645">
        <v>0.39401620370370372</v>
      </c>
      <c r="E1645" s="2">
        <f t="shared" si="25"/>
        <v>2.0601851851851927E-3</v>
      </c>
    </row>
    <row r="1646" spans="1:5" x14ac:dyDescent="0.25">
      <c r="A1646">
        <v>0</v>
      </c>
      <c r="B1646">
        <v>42941</v>
      </c>
      <c r="C1646">
        <v>0.39753472222222225</v>
      </c>
      <c r="D1646">
        <v>0.40424768518518517</v>
      </c>
      <c r="E1646" s="2">
        <f t="shared" si="25"/>
        <v>6.7129629629629206E-3</v>
      </c>
    </row>
    <row r="1647" spans="1:5" x14ac:dyDescent="0.25">
      <c r="A1647">
        <v>0</v>
      </c>
      <c r="B1647">
        <v>42941</v>
      </c>
      <c r="C1647">
        <v>0.39881944444444445</v>
      </c>
      <c r="D1647">
        <v>0.40244212962962961</v>
      </c>
      <c r="E1647" s="2">
        <f t="shared" si="25"/>
        <v>3.6226851851851594E-3</v>
      </c>
    </row>
    <row r="1648" spans="1:5" x14ac:dyDescent="0.25">
      <c r="A1648">
        <v>0</v>
      </c>
      <c r="B1648">
        <v>42941</v>
      </c>
      <c r="C1648">
        <v>0.3991898148148148</v>
      </c>
      <c r="D1648">
        <v>0.40934027777777776</v>
      </c>
      <c r="E1648" s="2">
        <f t="shared" si="25"/>
        <v>1.0150462962962958E-2</v>
      </c>
    </row>
    <row r="1649" spans="1:5" x14ac:dyDescent="0.25">
      <c r="A1649">
        <v>0</v>
      </c>
      <c r="B1649">
        <v>42941</v>
      </c>
      <c r="C1649">
        <v>0.40263888888888888</v>
      </c>
      <c r="D1649">
        <v>0.40636574074074072</v>
      </c>
      <c r="E1649" s="2">
        <f t="shared" si="25"/>
        <v>3.7268518518518423E-3</v>
      </c>
    </row>
    <row r="1650" spans="1:5" x14ac:dyDescent="0.25">
      <c r="A1650">
        <v>0</v>
      </c>
      <c r="B1650">
        <v>42941</v>
      </c>
      <c r="C1650">
        <v>0.40552083333333333</v>
      </c>
      <c r="D1650">
        <v>0.41104166666666669</v>
      </c>
      <c r="E1650" s="2">
        <f t="shared" si="25"/>
        <v>5.5208333333333637E-3</v>
      </c>
    </row>
    <row r="1651" spans="1:5" x14ac:dyDescent="0.25">
      <c r="A1651">
        <v>0</v>
      </c>
      <c r="B1651">
        <v>42941</v>
      </c>
      <c r="C1651">
        <v>0.40979166666666667</v>
      </c>
      <c r="D1651">
        <v>0.41252314814814817</v>
      </c>
      <c r="E1651" s="2">
        <f t="shared" si="25"/>
        <v>2.7314814814815014E-3</v>
      </c>
    </row>
    <row r="1652" spans="1:5" x14ac:dyDescent="0.25">
      <c r="A1652">
        <v>0</v>
      </c>
      <c r="B1652">
        <v>42941</v>
      </c>
      <c r="C1652">
        <v>0.40988425925925925</v>
      </c>
      <c r="D1652">
        <v>0.41157407407407409</v>
      </c>
      <c r="E1652" s="2">
        <f t="shared" si="25"/>
        <v>1.6898148148148384E-3</v>
      </c>
    </row>
    <row r="1653" spans="1:5" x14ac:dyDescent="0.25">
      <c r="A1653">
        <v>0</v>
      </c>
      <c r="B1653">
        <v>42941</v>
      </c>
      <c r="C1653">
        <v>0.41054398148148147</v>
      </c>
      <c r="D1653">
        <v>0.41620370370370369</v>
      </c>
      <c r="E1653" s="2">
        <f t="shared" si="25"/>
        <v>5.6597222222222188E-3</v>
      </c>
    </row>
    <row r="1654" spans="1:5" x14ac:dyDescent="0.25">
      <c r="A1654">
        <v>0</v>
      </c>
      <c r="B1654">
        <v>42941</v>
      </c>
      <c r="C1654">
        <v>0.41449074074074072</v>
      </c>
      <c r="D1654">
        <v>0.42371527777777779</v>
      </c>
      <c r="E1654" s="2">
        <f t="shared" si="25"/>
        <v>9.2245370370370727E-3</v>
      </c>
    </row>
    <row r="1655" spans="1:5" x14ac:dyDescent="0.25">
      <c r="A1655">
        <v>0</v>
      </c>
      <c r="B1655">
        <v>42941</v>
      </c>
      <c r="C1655">
        <v>0.42008101851851853</v>
      </c>
      <c r="D1655">
        <v>0.4206597222222222</v>
      </c>
      <c r="E1655" s="2">
        <f t="shared" si="25"/>
        <v>5.7870370370366464E-4</v>
      </c>
    </row>
    <row r="1656" spans="1:5" x14ac:dyDescent="0.25">
      <c r="A1656">
        <v>0</v>
      </c>
      <c r="B1656">
        <v>42941</v>
      </c>
      <c r="C1656">
        <v>0.42188657407407409</v>
      </c>
      <c r="D1656">
        <v>0.43138888888888888</v>
      </c>
      <c r="E1656" s="2">
        <f t="shared" si="25"/>
        <v>9.5023148148147829E-3</v>
      </c>
    </row>
    <row r="1657" spans="1:5" x14ac:dyDescent="0.25">
      <c r="A1657">
        <v>0</v>
      </c>
      <c r="B1657">
        <v>42941</v>
      </c>
      <c r="C1657">
        <v>0.42711805555555554</v>
      </c>
      <c r="D1657">
        <v>0.43450231481481483</v>
      </c>
      <c r="E1657" s="2">
        <f t="shared" si="25"/>
        <v>7.3842592592592848E-3</v>
      </c>
    </row>
    <row r="1658" spans="1:5" x14ac:dyDescent="0.25">
      <c r="A1658">
        <v>0</v>
      </c>
      <c r="B1658">
        <v>42941</v>
      </c>
      <c r="C1658">
        <v>0.43004629629629632</v>
      </c>
      <c r="D1658">
        <v>0.43855324074074076</v>
      </c>
      <c r="E1658" s="2">
        <f t="shared" si="25"/>
        <v>8.506944444444442E-3</v>
      </c>
    </row>
    <row r="1659" spans="1:5" x14ac:dyDescent="0.25">
      <c r="A1659">
        <v>0</v>
      </c>
      <c r="B1659">
        <v>42941</v>
      </c>
      <c r="C1659">
        <v>0.4344675925925926</v>
      </c>
      <c r="D1659">
        <v>0.44442129629629629</v>
      </c>
      <c r="E1659" s="2">
        <f t="shared" si="25"/>
        <v>9.9537037037036868E-3</v>
      </c>
    </row>
    <row r="1660" spans="1:5" x14ac:dyDescent="0.25">
      <c r="A1660">
        <v>0</v>
      </c>
      <c r="B1660">
        <v>42941</v>
      </c>
      <c r="C1660">
        <v>0.43884259259259262</v>
      </c>
      <c r="D1660">
        <v>0.44464120370370369</v>
      </c>
      <c r="E1660" s="2">
        <f t="shared" si="25"/>
        <v>5.7986111111110739E-3</v>
      </c>
    </row>
    <row r="1661" spans="1:5" x14ac:dyDescent="0.25">
      <c r="A1661">
        <v>0</v>
      </c>
      <c r="B1661">
        <v>42941</v>
      </c>
      <c r="C1661">
        <v>0.44231481481481483</v>
      </c>
      <c r="D1661">
        <v>0.45185185185185184</v>
      </c>
      <c r="E1661" s="2">
        <f t="shared" si="25"/>
        <v>9.5370370370370106E-3</v>
      </c>
    </row>
    <row r="1662" spans="1:5" x14ac:dyDescent="0.25">
      <c r="A1662">
        <v>0</v>
      </c>
      <c r="B1662">
        <v>42941</v>
      </c>
      <c r="C1662">
        <v>0.44594907407407408</v>
      </c>
      <c r="D1662">
        <v>0.45099537037037035</v>
      </c>
      <c r="E1662" s="2">
        <f t="shared" si="25"/>
        <v>5.046296296296271E-3</v>
      </c>
    </row>
    <row r="1663" spans="1:5" x14ac:dyDescent="0.25">
      <c r="A1663">
        <v>0</v>
      </c>
      <c r="B1663">
        <v>42941</v>
      </c>
      <c r="C1663">
        <v>0.45004629629629628</v>
      </c>
      <c r="D1663">
        <v>0.45568287037037036</v>
      </c>
      <c r="E1663" s="2">
        <f t="shared" si="25"/>
        <v>5.6365740740740855E-3</v>
      </c>
    </row>
    <row r="1664" spans="1:5" x14ac:dyDescent="0.25">
      <c r="A1664">
        <v>0</v>
      </c>
      <c r="B1664">
        <v>42941</v>
      </c>
      <c r="C1664">
        <v>0.45217592592592593</v>
      </c>
      <c r="D1664">
        <v>0.4568402777777778</v>
      </c>
      <c r="E1664" s="2">
        <f t="shared" si="25"/>
        <v>4.6643518518518778E-3</v>
      </c>
    </row>
    <row r="1665" spans="1:5" x14ac:dyDescent="0.25">
      <c r="A1665">
        <v>0</v>
      </c>
      <c r="B1665">
        <v>42941</v>
      </c>
      <c r="C1665">
        <v>0.45377314814814818</v>
      </c>
      <c r="D1665">
        <v>0.45409722222222221</v>
      </c>
      <c r="E1665" s="2">
        <f t="shared" si="25"/>
        <v>3.2407407407403221E-4</v>
      </c>
    </row>
    <row r="1666" spans="1:5" x14ac:dyDescent="0.25">
      <c r="A1666">
        <v>0</v>
      </c>
      <c r="B1666">
        <v>42941</v>
      </c>
      <c r="C1666">
        <v>0.45886574074074077</v>
      </c>
      <c r="D1666">
        <v>0.46630787037037036</v>
      </c>
      <c r="E1666" s="2">
        <f t="shared" ref="E1666:E1729" si="26">D1666-C1666</f>
        <v>7.4421296296295902E-3</v>
      </c>
    </row>
    <row r="1667" spans="1:5" x14ac:dyDescent="0.25">
      <c r="A1667">
        <v>0</v>
      </c>
      <c r="B1667">
        <v>42941</v>
      </c>
      <c r="C1667">
        <v>0.46381944444444445</v>
      </c>
      <c r="D1667">
        <v>0.47520833333333334</v>
      </c>
      <c r="E1667" s="2">
        <f t="shared" si="26"/>
        <v>1.1388888888888893E-2</v>
      </c>
    </row>
    <row r="1668" spans="1:5" x14ac:dyDescent="0.25">
      <c r="A1668">
        <v>0</v>
      </c>
      <c r="B1668">
        <v>42941</v>
      </c>
      <c r="C1668">
        <v>0.46564814814814814</v>
      </c>
      <c r="D1668">
        <v>0.47028935185185183</v>
      </c>
      <c r="E1668" s="2">
        <f t="shared" si="26"/>
        <v>4.6412037037036891E-3</v>
      </c>
    </row>
    <row r="1669" spans="1:5" x14ac:dyDescent="0.25">
      <c r="A1669">
        <v>0</v>
      </c>
      <c r="B1669">
        <v>42941</v>
      </c>
      <c r="C1669">
        <v>0.47077546296296297</v>
      </c>
      <c r="D1669">
        <v>0.47538194444444443</v>
      </c>
      <c r="E1669" s="2">
        <f t="shared" si="26"/>
        <v>4.6064814814814614E-3</v>
      </c>
    </row>
    <row r="1670" spans="1:5" x14ac:dyDescent="0.25">
      <c r="A1670">
        <v>0</v>
      </c>
      <c r="B1670">
        <v>42941</v>
      </c>
      <c r="C1670">
        <v>0.4729976851851852</v>
      </c>
      <c r="D1670">
        <v>0.47553240740740743</v>
      </c>
      <c r="E1670" s="2">
        <f t="shared" si="26"/>
        <v>2.5347222222222299E-3</v>
      </c>
    </row>
    <row r="1671" spans="1:5" x14ac:dyDescent="0.25">
      <c r="A1671">
        <v>0</v>
      </c>
      <c r="B1671">
        <v>42941</v>
      </c>
      <c r="C1671">
        <v>0.47385416666666669</v>
      </c>
      <c r="D1671">
        <v>0.47505787037037039</v>
      </c>
      <c r="E1671" s="2">
        <f t="shared" si="26"/>
        <v>1.2037037037037068E-3</v>
      </c>
    </row>
    <row r="1672" spans="1:5" x14ac:dyDescent="0.25">
      <c r="A1672">
        <v>0</v>
      </c>
      <c r="B1672">
        <v>42941</v>
      </c>
      <c r="C1672">
        <v>0.47591435185185182</v>
      </c>
      <c r="D1672">
        <v>0.47734953703703703</v>
      </c>
      <c r="E1672" s="2">
        <f t="shared" si="26"/>
        <v>1.435185185185206E-3</v>
      </c>
    </row>
    <row r="1673" spans="1:5" x14ac:dyDescent="0.25">
      <c r="A1673">
        <v>0</v>
      </c>
      <c r="B1673">
        <v>42941</v>
      </c>
      <c r="C1673">
        <v>0.4770138888888889</v>
      </c>
      <c r="D1673">
        <v>0.48685185185185187</v>
      </c>
      <c r="E1673" s="2">
        <f t="shared" si="26"/>
        <v>9.837962962962965E-3</v>
      </c>
    </row>
    <row r="1674" spans="1:5" x14ac:dyDescent="0.25">
      <c r="A1674">
        <v>0</v>
      </c>
      <c r="B1674">
        <v>42941</v>
      </c>
      <c r="C1674">
        <v>0.47781249999999997</v>
      </c>
      <c r="D1674">
        <v>0.48425925925925928</v>
      </c>
      <c r="E1674" s="2">
        <f t="shared" si="26"/>
        <v>6.4467592592593048E-3</v>
      </c>
    </row>
    <row r="1675" spans="1:5" x14ac:dyDescent="0.25">
      <c r="A1675">
        <v>0</v>
      </c>
      <c r="B1675">
        <v>42941</v>
      </c>
      <c r="C1675">
        <v>0.47957175925925927</v>
      </c>
      <c r="D1675">
        <v>0.48254629629629631</v>
      </c>
      <c r="E1675" s="2">
        <f t="shared" si="26"/>
        <v>2.9745370370370394E-3</v>
      </c>
    </row>
    <row r="1676" spans="1:5" x14ac:dyDescent="0.25">
      <c r="A1676">
        <v>0</v>
      </c>
      <c r="B1676">
        <v>42941</v>
      </c>
      <c r="C1676">
        <v>0.48457175925925927</v>
      </c>
      <c r="D1676">
        <v>0.48851851851851852</v>
      </c>
      <c r="E1676" s="2">
        <f t="shared" si="26"/>
        <v>3.9467592592592471E-3</v>
      </c>
    </row>
    <row r="1677" spans="1:5" x14ac:dyDescent="0.25">
      <c r="A1677">
        <v>0</v>
      </c>
      <c r="B1677">
        <v>42941</v>
      </c>
      <c r="C1677">
        <v>0.48563657407407407</v>
      </c>
      <c r="D1677">
        <v>0.49687500000000001</v>
      </c>
      <c r="E1677" s="2">
        <f t="shared" si="26"/>
        <v>1.1238425925925943E-2</v>
      </c>
    </row>
    <row r="1678" spans="1:5" x14ac:dyDescent="0.25">
      <c r="A1678">
        <v>0</v>
      </c>
      <c r="B1678">
        <v>42941</v>
      </c>
      <c r="C1678">
        <v>0.48615740740740743</v>
      </c>
      <c r="D1678">
        <v>0.49478009259259259</v>
      </c>
      <c r="E1678" s="2">
        <f t="shared" si="26"/>
        <v>8.6226851851851638E-3</v>
      </c>
    </row>
    <row r="1679" spans="1:5" x14ac:dyDescent="0.25">
      <c r="A1679">
        <v>0</v>
      </c>
      <c r="B1679">
        <v>42941</v>
      </c>
      <c r="C1679">
        <v>0.48975694444444445</v>
      </c>
      <c r="D1679">
        <v>0.49530092592592595</v>
      </c>
      <c r="E1679" s="2">
        <f t="shared" si="26"/>
        <v>5.5439814814814969E-3</v>
      </c>
    </row>
    <row r="1680" spans="1:5" x14ac:dyDescent="0.25">
      <c r="A1680">
        <v>0</v>
      </c>
      <c r="B1680">
        <v>42941</v>
      </c>
      <c r="C1680">
        <v>0.49523148148148149</v>
      </c>
      <c r="D1680">
        <v>0.49962962962962965</v>
      </c>
      <c r="E1680" s="2">
        <f t="shared" si="26"/>
        <v>4.398148148148151E-3</v>
      </c>
    </row>
    <row r="1681" spans="1:5" x14ac:dyDescent="0.25">
      <c r="A1681">
        <v>0</v>
      </c>
      <c r="B1681">
        <v>42941</v>
      </c>
      <c r="C1681">
        <v>0.49556712962962962</v>
      </c>
      <c r="D1681">
        <v>0.49927083333333333</v>
      </c>
      <c r="E1681" s="2">
        <f t="shared" si="26"/>
        <v>3.703703703703709E-3</v>
      </c>
    </row>
    <row r="1682" spans="1:5" x14ac:dyDescent="0.25">
      <c r="A1682">
        <v>0</v>
      </c>
      <c r="B1682">
        <v>42941</v>
      </c>
      <c r="C1682">
        <v>0.49739583333333331</v>
      </c>
      <c r="D1682">
        <v>0.49787037037037035</v>
      </c>
      <c r="E1682" s="2">
        <f t="shared" si="26"/>
        <v>4.745370370370372E-4</v>
      </c>
    </row>
    <row r="1683" spans="1:5" x14ac:dyDescent="0.25">
      <c r="A1683">
        <v>0</v>
      </c>
      <c r="B1683">
        <v>42941</v>
      </c>
      <c r="C1683">
        <v>0.49796296296296294</v>
      </c>
      <c r="D1683">
        <v>0.5053009259259259</v>
      </c>
      <c r="E1683" s="2">
        <f t="shared" si="26"/>
        <v>7.3379629629629628E-3</v>
      </c>
    </row>
    <row r="1684" spans="1:5" x14ac:dyDescent="0.25">
      <c r="A1684">
        <v>0</v>
      </c>
      <c r="B1684">
        <v>42941</v>
      </c>
      <c r="C1684">
        <v>0.50027777777777782</v>
      </c>
      <c r="D1684">
        <v>0.50983796296296291</v>
      </c>
      <c r="E1684" s="2">
        <f t="shared" si="26"/>
        <v>9.5601851851850883E-3</v>
      </c>
    </row>
    <row r="1685" spans="1:5" x14ac:dyDescent="0.25">
      <c r="A1685">
        <v>0</v>
      </c>
      <c r="B1685">
        <v>42941</v>
      </c>
      <c r="C1685">
        <v>0.50436342592592598</v>
      </c>
      <c r="D1685">
        <v>0.51339120370370372</v>
      </c>
      <c r="E1685" s="2">
        <f t="shared" si="26"/>
        <v>9.0277777777777457E-3</v>
      </c>
    </row>
    <row r="1686" spans="1:5" x14ac:dyDescent="0.25">
      <c r="A1686">
        <v>0</v>
      </c>
      <c r="B1686">
        <v>42941</v>
      </c>
      <c r="C1686">
        <v>0.50545138888888885</v>
      </c>
      <c r="D1686">
        <v>0.50761574074074078</v>
      </c>
      <c r="E1686" s="2">
        <f t="shared" si="26"/>
        <v>2.1643518518519311E-3</v>
      </c>
    </row>
    <row r="1687" spans="1:5" x14ac:dyDescent="0.25">
      <c r="A1687">
        <v>0</v>
      </c>
      <c r="B1687">
        <v>42941</v>
      </c>
      <c r="C1687">
        <v>0.51025462962962964</v>
      </c>
      <c r="D1687">
        <v>0.52134259259259264</v>
      </c>
      <c r="E1687" s="2">
        <f t="shared" si="26"/>
        <v>1.1087962962962994E-2</v>
      </c>
    </row>
    <row r="1688" spans="1:5" x14ac:dyDescent="0.25">
      <c r="A1688">
        <v>0</v>
      </c>
      <c r="B1688">
        <v>42941</v>
      </c>
      <c r="C1688">
        <v>0.51373842592592589</v>
      </c>
      <c r="D1688">
        <v>0.52304398148148146</v>
      </c>
      <c r="E1688" s="2">
        <f t="shared" si="26"/>
        <v>9.3055555555555669E-3</v>
      </c>
    </row>
    <row r="1689" spans="1:5" x14ac:dyDescent="0.25">
      <c r="A1689">
        <v>0</v>
      </c>
      <c r="B1689">
        <v>42941</v>
      </c>
      <c r="C1689">
        <v>0.51447916666666671</v>
      </c>
      <c r="D1689">
        <v>0.51800925925925922</v>
      </c>
      <c r="E1689" s="2">
        <f t="shared" si="26"/>
        <v>3.5300925925925153E-3</v>
      </c>
    </row>
    <row r="1690" spans="1:5" x14ac:dyDescent="0.25">
      <c r="A1690">
        <v>0</v>
      </c>
      <c r="B1690">
        <v>42941</v>
      </c>
      <c r="C1690">
        <v>0.51847222222222222</v>
      </c>
      <c r="D1690">
        <v>0.5267708333333333</v>
      </c>
      <c r="E1690" s="2">
        <f t="shared" si="26"/>
        <v>8.2986111111110761E-3</v>
      </c>
    </row>
    <row r="1691" spans="1:5" x14ac:dyDescent="0.25">
      <c r="A1691">
        <v>0</v>
      </c>
      <c r="B1691">
        <v>42941</v>
      </c>
      <c r="C1691">
        <v>0.52155092592592589</v>
      </c>
      <c r="D1691">
        <v>0.52667824074074077</v>
      </c>
      <c r="E1691" s="2">
        <f t="shared" si="26"/>
        <v>5.1273148148148762E-3</v>
      </c>
    </row>
    <row r="1692" spans="1:5" x14ac:dyDescent="0.25">
      <c r="A1692">
        <v>0</v>
      </c>
      <c r="B1692">
        <v>42941</v>
      </c>
      <c r="C1692">
        <v>0.52232638888888894</v>
      </c>
      <c r="D1692">
        <v>0.52666666666666662</v>
      </c>
      <c r="E1692" s="2">
        <f t="shared" si="26"/>
        <v>4.3402777777776791E-3</v>
      </c>
    </row>
    <row r="1693" spans="1:5" x14ac:dyDescent="0.25">
      <c r="A1693">
        <v>0</v>
      </c>
      <c r="B1693">
        <v>42941</v>
      </c>
      <c r="C1693">
        <v>0.52393518518518523</v>
      </c>
      <c r="D1693">
        <v>0.53479166666666667</v>
      </c>
      <c r="E1693" s="2">
        <f t="shared" si="26"/>
        <v>1.0856481481481439E-2</v>
      </c>
    </row>
    <row r="1694" spans="1:5" x14ac:dyDescent="0.25">
      <c r="A1694">
        <v>0</v>
      </c>
      <c r="B1694">
        <v>42941</v>
      </c>
      <c r="C1694">
        <v>0.52584490740740741</v>
      </c>
      <c r="D1694">
        <v>0.53660879629629632</v>
      </c>
      <c r="E1694" s="2">
        <f t="shared" si="26"/>
        <v>1.0763888888888906E-2</v>
      </c>
    </row>
    <row r="1695" spans="1:5" x14ac:dyDescent="0.25">
      <c r="A1695">
        <v>0</v>
      </c>
      <c r="B1695">
        <v>42941</v>
      </c>
      <c r="C1695">
        <v>0.52655092592592589</v>
      </c>
      <c r="D1695">
        <v>0.52703703703703708</v>
      </c>
      <c r="E1695" s="2">
        <f t="shared" si="26"/>
        <v>4.861111111111871E-4</v>
      </c>
    </row>
    <row r="1696" spans="1:5" x14ac:dyDescent="0.25">
      <c r="A1696">
        <v>0</v>
      </c>
      <c r="B1696">
        <v>42941</v>
      </c>
      <c r="C1696">
        <v>0.5317708333333333</v>
      </c>
      <c r="D1696">
        <v>0.53724537037037035</v>
      </c>
      <c r="E1696" s="2">
        <f t="shared" si="26"/>
        <v>5.4745370370370416E-3</v>
      </c>
    </row>
    <row r="1697" spans="1:5" x14ac:dyDescent="0.25">
      <c r="A1697">
        <v>0</v>
      </c>
      <c r="B1697">
        <v>42941</v>
      </c>
      <c r="C1697">
        <v>0.53456018518518522</v>
      </c>
      <c r="D1697">
        <v>0.53718750000000004</v>
      </c>
      <c r="E1697" s="2">
        <f t="shared" si="26"/>
        <v>2.6273148148148184E-3</v>
      </c>
    </row>
    <row r="1698" spans="1:5" x14ac:dyDescent="0.25">
      <c r="A1698">
        <v>0</v>
      </c>
      <c r="B1698">
        <v>42941</v>
      </c>
      <c r="C1698">
        <v>0.53535879629629635</v>
      </c>
      <c r="D1698">
        <v>0.54219907407407408</v>
      </c>
      <c r="E1698" s="2">
        <f t="shared" si="26"/>
        <v>6.8402777777777368E-3</v>
      </c>
    </row>
    <row r="1699" spans="1:5" x14ac:dyDescent="0.25">
      <c r="A1699">
        <v>0</v>
      </c>
      <c r="B1699">
        <v>42941</v>
      </c>
      <c r="C1699">
        <v>0.53964120370370372</v>
      </c>
      <c r="D1699">
        <v>0.54101851851851857</v>
      </c>
      <c r="E1699" s="2">
        <f t="shared" si="26"/>
        <v>1.3773148148148451E-3</v>
      </c>
    </row>
    <row r="1700" spans="1:5" x14ac:dyDescent="0.25">
      <c r="A1700">
        <v>0</v>
      </c>
      <c r="B1700">
        <v>42941</v>
      </c>
      <c r="C1700">
        <v>0.54324074074074069</v>
      </c>
      <c r="D1700">
        <v>0.54956018518518523</v>
      </c>
      <c r="E1700" s="2">
        <f t="shared" si="26"/>
        <v>6.3194444444445441E-3</v>
      </c>
    </row>
    <row r="1701" spans="1:5" x14ac:dyDescent="0.25">
      <c r="A1701">
        <v>0</v>
      </c>
      <c r="B1701">
        <v>42941</v>
      </c>
      <c r="C1701">
        <v>0.54350694444444447</v>
      </c>
      <c r="D1701">
        <v>0.54767361111111112</v>
      </c>
      <c r="E1701" s="2">
        <f t="shared" si="26"/>
        <v>4.1666666666666519E-3</v>
      </c>
    </row>
    <row r="1702" spans="1:5" x14ac:dyDescent="0.25">
      <c r="A1702">
        <v>0</v>
      </c>
      <c r="B1702">
        <v>42941</v>
      </c>
      <c r="C1702">
        <v>0.54858796296296297</v>
      </c>
      <c r="D1702">
        <v>0.55077546296296298</v>
      </c>
      <c r="E1702" s="2">
        <f t="shared" si="26"/>
        <v>2.1875000000000089E-3</v>
      </c>
    </row>
    <row r="1703" spans="1:5" x14ac:dyDescent="0.25">
      <c r="A1703">
        <v>0</v>
      </c>
      <c r="B1703">
        <v>42941</v>
      </c>
      <c r="C1703">
        <v>0.5519560185185185</v>
      </c>
      <c r="D1703">
        <v>0.55625000000000002</v>
      </c>
      <c r="E1703" s="2">
        <f t="shared" si="26"/>
        <v>4.2939814814815236E-3</v>
      </c>
    </row>
    <row r="1704" spans="1:5" x14ac:dyDescent="0.25">
      <c r="A1704">
        <v>0</v>
      </c>
      <c r="B1704">
        <v>42941</v>
      </c>
      <c r="C1704">
        <v>0.55320601851851847</v>
      </c>
      <c r="D1704">
        <v>0.55569444444444449</v>
      </c>
      <c r="E1704" s="2">
        <f t="shared" si="26"/>
        <v>2.4884259259260189E-3</v>
      </c>
    </row>
    <row r="1705" spans="1:5" x14ac:dyDescent="0.25">
      <c r="A1705">
        <v>0</v>
      </c>
      <c r="B1705">
        <v>42941</v>
      </c>
      <c r="C1705">
        <v>0.55517361111111108</v>
      </c>
      <c r="D1705">
        <v>0.56013888888888885</v>
      </c>
      <c r="E1705" s="2">
        <f t="shared" si="26"/>
        <v>4.9652777777777768E-3</v>
      </c>
    </row>
    <row r="1706" spans="1:5" x14ac:dyDescent="0.25">
      <c r="A1706">
        <v>0</v>
      </c>
      <c r="B1706">
        <v>42941</v>
      </c>
      <c r="C1706">
        <v>0.56033564814814818</v>
      </c>
      <c r="D1706">
        <v>0.56570601851851854</v>
      </c>
      <c r="E1706" s="2">
        <f t="shared" si="26"/>
        <v>5.3703703703703587E-3</v>
      </c>
    </row>
    <row r="1707" spans="1:5" x14ac:dyDescent="0.25">
      <c r="A1707">
        <v>0</v>
      </c>
      <c r="B1707">
        <v>42941</v>
      </c>
      <c r="C1707">
        <v>0.56459490740740736</v>
      </c>
      <c r="D1707">
        <v>0.56638888888888894</v>
      </c>
      <c r="E1707" s="2">
        <f t="shared" si="26"/>
        <v>1.7939814814815769E-3</v>
      </c>
    </row>
    <row r="1708" spans="1:5" x14ac:dyDescent="0.25">
      <c r="A1708">
        <v>0</v>
      </c>
      <c r="B1708">
        <v>42941</v>
      </c>
      <c r="C1708">
        <v>0.56620370370370365</v>
      </c>
      <c r="D1708">
        <v>0.57226851851851857</v>
      </c>
      <c r="E1708" s="2">
        <f t="shared" si="26"/>
        <v>6.0648148148149117E-3</v>
      </c>
    </row>
    <row r="1709" spans="1:5" x14ac:dyDescent="0.25">
      <c r="A1709">
        <v>0</v>
      </c>
      <c r="B1709">
        <v>42941</v>
      </c>
      <c r="C1709">
        <v>0.56643518518518521</v>
      </c>
      <c r="D1709">
        <v>0.5687268518518519</v>
      </c>
      <c r="E1709" s="2">
        <f t="shared" si="26"/>
        <v>2.2916666666666918E-3</v>
      </c>
    </row>
    <row r="1710" spans="1:5" x14ac:dyDescent="0.25">
      <c r="A1710">
        <v>0</v>
      </c>
      <c r="B1710">
        <v>42941</v>
      </c>
      <c r="C1710">
        <v>0.56959490740740737</v>
      </c>
      <c r="D1710">
        <v>0.57927083333333329</v>
      </c>
      <c r="E1710" s="2">
        <f t="shared" si="26"/>
        <v>9.6759259259259212E-3</v>
      </c>
    </row>
    <row r="1711" spans="1:5" x14ac:dyDescent="0.25">
      <c r="A1711">
        <v>0</v>
      </c>
      <c r="B1711">
        <v>42941</v>
      </c>
      <c r="C1711">
        <v>0.56974537037037032</v>
      </c>
      <c r="D1711">
        <v>0.57015046296296301</v>
      </c>
      <c r="E1711" s="2">
        <f t="shared" si="26"/>
        <v>4.0509259259269292E-4</v>
      </c>
    </row>
    <row r="1712" spans="1:5" x14ac:dyDescent="0.25">
      <c r="A1712">
        <v>0</v>
      </c>
      <c r="B1712">
        <v>42941</v>
      </c>
      <c r="C1712">
        <v>0.57284722222222217</v>
      </c>
      <c r="D1712">
        <v>0.58149305555555553</v>
      </c>
      <c r="E1712" s="2">
        <f t="shared" si="26"/>
        <v>8.6458333333333526E-3</v>
      </c>
    </row>
    <row r="1713" spans="1:5" x14ac:dyDescent="0.25">
      <c r="A1713">
        <v>0</v>
      </c>
      <c r="B1713">
        <v>42941</v>
      </c>
      <c r="C1713">
        <v>0.57335648148148144</v>
      </c>
      <c r="D1713">
        <v>0.5735069444444445</v>
      </c>
      <c r="E1713" s="2">
        <f t="shared" si="26"/>
        <v>1.504629629630605E-4</v>
      </c>
    </row>
    <row r="1714" spans="1:5" x14ac:dyDescent="0.25">
      <c r="A1714">
        <v>0</v>
      </c>
      <c r="B1714">
        <v>42941</v>
      </c>
      <c r="C1714">
        <v>0.57863425925925926</v>
      </c>
      <c r="D1714">
        <v>0.58030092592592597</v>
      </c>
      <c r="E1714" s="2">
        <f t="shared" si="26"/>
        <v>1.6666666666667052E-3</v>
      </c>
    </row>
    <row r="1715" spans="1:5" x14ac:dyDescent="0.25">
      <c r="A1715">
        <v>0</v>
      </c>
      <c r="B1715">
        <v>42941</v>
      </c>
      <c r="C1715">
        <v>0.57974537037037033</v>
      </c>
      <c r="D1715">
        <v>0.59083333333333332</v>
      </c>
      <c r="E1715" s="2">
        <f t="shared" si="26"/>
        <v>1.1087962962962994E-2</v>
      </c>
    </row>
    <row r="1716" spans="1:5" x14ac:dyDescent="0.25">
      <c r="A1716">
        <v>0</v>
      </c>
      <c r="B1716">
        <v>42941</v>
      </c>
      <c r="C1716">
        <v>0.58423611111111107</v>
      </c>
      <c r="D1716">
        <v>0.59392361111111114</v>
      </c>
      <c r="E1716" s="2">
        <f t="shared" si="26"/>
        <v>9.6875000000000711E-3</v>
      </c>
    </row>
    <row r="1717" spans="1:5" x14ac:dyDescent="0.25">
      <c r="A1717">
        <v>0</v>
      </c>
      <c r="B1717">
        <v>42941</v>
      </c>
      <c r="C1717">
        <v>0.58784722222222219</v>
      </c>
      <c r="D1717">
        <v>0.59894675925925922</v>
      </c>
      <c r="E1717" s="2">
        <f t="shared" si="26"/>
        <v>1.1099537037037033E-2</v>
      </c>
    </row>
    <row r="1718" spans="1:5" x14ac:dyDescent="0.25">
      <c r="A1718">
        <v>0</v>
      </c>
      <c r="B1718">
        <v>42941</v>
      </c>
      <c r="C1718">
        <v>0.58899305555555559</v>
      </c>
      <c r="D1718">
        <v>0.59116898148148145</v>
      </c>
      <c r="E1718" s="2">
        <f t="shared" si="26"/>
        <v>2.175925925925859E-3</v>
      </c>
    </row>
    <row r="1719" spans="1:5" x14ac:dyDescent="0.25">
      <c r="A1719">
        <v>0</v>
      </c>
      <c r="B1719">
        <v>42941</v>
      </c>
      <c r="C1719">
        <v>0.59350694444444441</v>
      </c>
      <c r="D1719">
        <v>0.59811342592592598</v>
      </c>
      <c r="E1719" s="2">
        <f t="shared" si="26"/>
        <v>4.6064814814815724E-3</v>
      </c>
    </row>
    <row r="1720" spans="1:5" x14ac:dyDescent="0.25">
      <c r="A1720">
        <v>0</v>
      </c>
      <c r="B1720">
        <v>42941</v>
      </c>
      <c r="C1720">
        <v>0.596099537037037</v>
      </c>
      <c r="D1720">
        <v>0.60069444444444442</v>
      </c>
      <c r="E1720" s="2">
        <f t="shared" si="26"/>
        <v>4.5949074074074225E-3</v>
      </c>
    </row>
    <row r="1721" spans="1:5" x14ac:dyDescent="0.25">
      <c r="A1721">
        <v>0</v>
      </c>
      <c r="B1721">
        <v>42941</v>
      </c>
      <c r="C1721">
        <v>0.5995138888888889</v>
      </c>
      <c r="D1721">
        <v>0.60322916666666671</v>
      </c>
      <c r="E1721" s="2">
        <f t="shared" si="26"/>
        <v>3.7152777777778034E-3</v>
      </c>
    </row>
    <row r="1722" spans="1:5" x14ac:dyDescent="0.25">
      <c r="A1722">
        <v>0</v>
      </c>
      <c r="B1722">
        <v>42941</v>
      </c>
      <c r="C1722">
        <v>0.60341435185185188</v>
      </c>
      <c r="D1722">
        <v>0.60423611111111108</v>
      </c>
      <c r="E1722" s="2">
        <f t="shared" si="26"/>
        <v>8.2175925925920268E-4</v>
      </c>
    </row>
    <row r="1723" spans="1:5" x14ac:dyDescent="0.25">
      <c r="A1723">
        <v>0</v>
      </c>
      <c r="B1723">
        <v>42941</v>
      </c>
      <c r="C1723">
        <v>0.60442129629629626</v>
      </c>
      <c r="D1723">
        <v>0.61266203703703703</v>
      </c>
      <c r="E1723" s="2">
        <f t="shared" si="26"/>
        <v>8.2407407407407707E-3</v>
      </c>
    </row>
    <row r="1724" spans="1:5" x14ac:dyDescent="0.25">
      <c r="A1724">
        <v>0</v>
      </c>
      <c r="B1724">
        <v>42941</v>
      </c>
      <c r="C1724">
        <v>0.60601851851851851</v>
      </c>
      <c r="D1724">
        <v>0.60782407407407413</v>
      </c>
      <c r="E1724" s="2">
        <f t="shared" si="26"/>
        <v>1.8055555555556158E-3</v>
      </c>
    </row>
    <row r="1725" spans="1:5" x14ac:dyDescent="0.25">
      <c r="A1725">
        <v>0</v>
      </c>
      <c r="B1725">
        <v>42941</v>
      </c>
      <c r="C1725">
        <v>0.60879629629629628</v>
      </c>
      <c r="D1725">
        <v>0.61106481481481478</v>
      </c>
      <c r="E1725" s="2">
        <f t="shared" si="26"/>
        <v>2.2685185185185031E-3</v>
      </c>
    </row>
    <row r="1726" spans="1:5" x14ac:dyDescent="0.25">
      <c r="A1726">
        <v>0</v>
      </c>
      <c r="B1726">
        <v>42941</v>
      </c>
      <c r="C1726">
        <v>0.61460648148148145</v>
      </c>
      <c r="D1726">
        <v>0.62116898148148147</v>
      </c>
      <c r="E1726" s="2">
        <f t="shared" si="26"/>
        <v>6.5625000000000266E-3</v>
      </c>
    </row>
    <row r="1727" spans="1:5" x14ac:dyDescent="0.25">
      <c r="A1727">
        <v>0</v>
      </c>
      <c r="B1727">
        <v>42941</v>
      </c>
      <c r="C1727">
        <v>0.61895833333333339</v>
      </c>
      <c r="D1727">
        <v>0.61971064814814814</v>
      </c>
      <c r="E1727" s="2">
        <f t="shared" si="26"/>
        <v>7.5231481481474738E-4</v>
      </c>
    </row>
    <row r="1728" spans="1:5" x14ac:dyDescent="0.25">
      <c r="A1728">
        <v>0</v>
      </c>
      <c r="B1728">
        <v>42941</v>
      </c>
      <c r="C1728">
        <v>0.61971064814814814</v>
      </c>
      <c r="D1728">
        <v>0.62334490740740744</v>
      </c>
      <c r="E1728" s="2">
        <f t="shared" si="26"/>
        <v>3.6342592592593093E-3</v>
      </c>
    </row>
    <row r="1729" spans="1:5" x14ac:dyDescent="0.25">
      <c r="A1729">
        <v>0</v>
      </c>
      <c r="B1729">
        <v>42941</v>
      </c>
      <c r="C1729">
        <v>0.62008101851851849</v>
      </c>
      <c r="D1729">
        <v>0.62776620370370373</v>
      </c>
      <c r="E1729" s="2">
        <f t="shared" si="26"/>
        <v>7.6851851851852393E-3</v>
      </c>
    </row>
    <row r="1730" spans="1:5" x14ac:dyDescent="0.25">
      <c r="A1730">
        <v>0</v>
      </c>
      <c r="B1730">
        <v>42941</v>
      </c>
      <c r="C1730">
        <v>0.62149305555555556</v>
      </c>
      <c r="D1730">
        <v>0.624537037037037</v>
      </c>
      <c r="E1730" s="2">
        <f t="shared" ref="E1730:E1793" si="27">D1730-C1730</f>
        <v>3.0439814814814392E-3</v>
      </c>
    </row>
    <row r="1731" spans="1:5" x14ac:dyDescent="0.25">
      <c r="A1731">
        <v>0</v>
      </c>
      <c r="B1731">
        <v>42941</v>
      </c>
      <c r="C1731">
        <v>0.62472222222222218</v>
      </c>
      <c r="D1731">
        <v>0.6360069444444445</v>
      </c>
      <c r="E1731" s="2">
        <f t="shared" si="27"/>
        <v>1.1284722222222321E-2</v>
      </c>
    </row>
    <row r="1732" spans="1:5" x14ac:dyDescent="0.25">
      <c r="A1732">
        <v>0</v>
      </c>
      <c r="B1732">
        <v>42941</v>
      </c>
      <c r="C1732">
        <v>0.6292592592592593</v>
      </c>
      <c r="D1732">
        <v>0.63806712962962964</v>
      </c>
      <c r="E1732" s="2">
        <f t="shared" si="27"/>
        <v>8.8078703703703409E-3</v>
      </c>
    </row>
    <row r="1733" spans="1:5" x14ac:dyDescent="0.25">
      <c r="A1733">
        <v>0</v>
      </c>
      <c r="B1733">
        <v>42942</v>
      </c>
      <c r="C1733">
        <v>0.33584490740740741</v>
      </c>
      <c r="D1733">
        <v>0.33677083333333335</v>
      </c>
      <c r="E1733" s="2">
        <f t="shared" si="27"/>
        <v>9.2592592592594114E-4</v>
      </c>
    </row>
    <row r="1734" spans="1:5" x14ac:dyDescent="0.25">
      <c r="A1734">
        <v>0</v>
      </c>
      <c r="B1734">
        <v>42942</v>
      </c>
      <c r="C1734">
        <v>0.33710648148148148</v>
      </c>
      <c r="D1734">
        <v>0.34759259259259262</v>
      </c>
      <c r="E1734" s="2">
        <f t="shared" si="27"/>
        <v>1.048611111111114E-2</v>
      </c>
    </row>
    <row r="1735" spans="1:5" x14ac:dyDescent="0.25">
      <c r="A1735">
        <v>0</v>
      </c>
      <c r="B1735">
        <v>42942</v>
      </c>
      <c r="C1735">
        <v>0.34250000000000003</v>
      </c>
      <c r="D1735">
        <v>0.35003472222222221</v>
      </c>
      <c r="E1735" s="2">
        <f t="shared" si="27"/>
        <v>7.5347222222221788E-3</v>
      </c>
    </row>
    <row r="1736" spans="1:5" x14ac:dyDescent="0.25">
      <c r="A1736">
        <v>0</v>
      </c>
      <c r="B1736">
        <v>42942</v>
      </c>
      <c r="C1736">
        <v>0.34575231481481483</v>
      </c>
      <c r="D1736">
        <v>0.35645833333333332</v>
      </c>
      <c r="E1736" s="2">
        <f t="shared" si="27"/>
        <v>1.070601851851849E-2</v>
      </c>
    </row>
    <row r="1737" spans="1:5" x14ac:dyDescent="0.25">
      <c r="A1737">
        <v>0</v>
      </c>
      <c r="B1737">
        <v>42942</v>
      </c>
      <c r="C1737">
        <v>0.34759259259259262</v>
      </c>
      <c r="D1737">
        <v>0.35511574074074076</v>
      </c>
      <c r="E1737" s="2">
        <f t="shared" si="27"/>
        <v>7.5231481481481399E-3</v>
      </c>
    </row>
    <row r="1738" spans="1:5" x14ac:dyDescent="0.25">
      <c r="A1738">
        <v>0</v>
      </c>
      <c r="B1738">
        <v>42942</v>
      </c>
      <c r="C1738">
        <v>0.34994212962962962</v>
      </c>
      <c r="D1738">
        <v>0.35781249999999998</v>
      </c>
      <c r="E1738" s="2">
        <f t="shared" si="27"/>
        <v>7.8703703703703609E-3</v>
      </c>
    </row>
    <row r="1739" spans="1:5" x14ac:dyDescent="0.25">
      <c r="A1739">
        <v>0</v>
      </c>
      <c r="B1739">
        <v>42942</v>
      </c>
      <c r="C1739">
        <v>0.35454861111111113</v>
      </c>
      <c r="D1739">
        <v>0.3629398148148148</v>
      </c>
      <c r="E1739" s="2">
        <f t="shared" si="27"/>
        <v>8.3912037037036646E-3</v>
      </c>
    </row>
    <row r="1740" spans="1:5" x14ac:dyDescent="0.25">
      <c r="A1740">
        <v>0</v>
      </c>
      <c r="B1740">
        <v>42942</v>
      </c>
      <c r="C1740">
        <v>0.3590740740740741</v>
      </c>
      <c r="D1740">
        <v>0.36600694444444443</v>
      </c>
      <c r="E1740" s="2">
        <f t="shared" si="27"/>
        <v>6.9328703703703254E-3</v>
      </c>
    </row>
    <row r="1741" spans="1:5" x14ac:dyDescent="0.25">
      <c r="A1741">
        <v>0</v>
      </c>
      <c r="B1741">
        <v>42942</v>
      </c>
      <c r="C1741">
        <v>0.36476851851851849</v>
      </c>
      <c r="D1741">
        <v>0.37505787037037036</v>
      </c>
      <c r="E1741" s="2">
        <f t="shared" si="27"/>
        <v>1.0289351851851869E-2</v>
      </c>
    </row>
    <row r="1742" spans="1:5" x14ac:dyDescent="0.25">
      <c r="A1742">
        <v>0</v>
      </c>
      <c r="B1742">
        <v>42942</v>
      </c>
      <c r="C1742">
        <v>0.3697685185185185</v>
      </c>
      <c r="D1742">
        <v>0.37656250000000002</v>
      </c>
      <c r="E1742" s="2">
        <f t="shared" si="27"/>
        <v>6.7939814814815258E-3</v>
      </c>
    </row>
    <row r="1743" spans="1:5" x14ac:dyDescent="0.25">
      <c r="A1743">
        <v>0</v>
      </c>
      <c r="B1743">
        <v>42942</v>
      </c>
      <c r="C1743">
        <v>0.37305555555555553</v>
      </c>
      <c r="D1743">
        <v>0.38090277777777776</v>
      </c>
      <c r="E1743" s="2">
        <f t="shared" si="27"/>
        <v>7.8472222222222276E-3</v>
      </c>
    </row>
    <row r="1744" spans="1:5" x14ac:dyDescent="0.25">
      <c r="A1744">
        <v>0</v>
      </c>
      <c r="B1744">
        <v>42942</v>
      </c>
      <c r="C1744">
        <v>0.37843749999999998</v>
      </c>
      <c r="D1744">
        <v>0.38879629629629631</v>
      </c>
      <c r="E1744" s="2">
        <f t="shared" si="27"/>
        <v>1.0358796296296324E-2</v>
      </c>
    </row>
    <row r="1745" spans="1:5" x14ac:dyDescent="0.25">
      <c r="A1745">
        <v>0</v>
      </c>
      <c r="B1745">
        <v>42942</v>
      </c>
      <c r="C1745">
        <v>0.37895833333333334</v>
      </c>
      <c r="D1745">
        <v>0.38263888888888886</v>
      </c>
      <c r="E1745" s="2">
        <f t="shared" si="27"/>
        <v>3.6805555555555203E-3</v>
      </c>
    </row>
    <row r="1746" spans="1:5" x14ac:dyDescent="0.25">
      <c r="A1746">
        <v>0</v>
      </c>
      <c r="B1746">
        <v>42942</v>
      </c>
      <c r="C1746">
        <v>0.37965277777777778</v>
      </c>
      <c r="D1746">
        <v>0.39068287037037036</v>
      </c>
      <c r="E1746" s="2">
        <f t="shared" si="27"/>
        <v>1.1030092592592577E-2</v>
      </c>
    </row>
    <row r="1747" spans="1:5" x14ac:dyDescent="0.25">
      <c r="A1747">
        <v>0</v>
      </c>
      <c r="B1747">
        <v>42942</v>
      </c>
      <c r="C1747">
        <v>0.38013888888888892</v>
      </c>
      <c r="D1747">
        <v>0.385625</v>
      </c>
      <c r="E1747" s="2">
        <f t="shared" si="27"/>
        <v>5.4861111111110805E-3</v>
      </c>
    </row>
    <row r="1748" spans="1:5" x14ac:dyDescent="0.25">
      <c r="A1748">
        <v>0</v>
      </c>
      <c r="B1748">
        <v>42942</v>
      </c>
      <c r="C1748">
        <v>0.38197916666666665</v>
      </c>
      <c r="D1748">
        <v>0.38288194444444446</v>
      </c>
      <c r="E1748" s="2">
        <f t="shared" si="27"/>
        <v>9.0277777777780788E-4</v>
      </c>
    </row>
    <row r="1749" spans="1:5" x14ac:dyDescent="0.25">
      <c r="A1749">
        <v>0</v>
      </c>
      <c r="B1749">
        <v>42942</v>
      </c>
      <c r="C1749">
        <v>0.38309027777777777</v>
      </c>
      <c r="D1749">
        <v>0.38425925925925924</v>
      </c>
      <c r="E1749" s="2">
        <f t="shared" si="27"/>
        <v>1.1689814814814792E-3</v>
      </c>
    </row>
    <row r="1750" spans="1:5" x14ac:dyDescent="0.25">
      <c r="A1750">
        <v>0</v>
      </c>
      <c r="B1750">
        <v>42942</v>
      </c>
      <c r="C1750">
        <v>0.38337962962962963</v>
      </c>
      <c r="D1750">
        <v>0.38748842592592592</v>
      </c>
      <c r="E1750" s="2">
        <f t="shared" si="27"/>
        <v>4.108796296296291E-3</v>
      </c>
    </row>
    <row r="1751" spans="1:5" x14ac:dyDescent="0.25">
      <c r="A1751">
        <v>0</v>
      </c>
      <c r="B1751">
        <v>42942</v>
      </c>
      <c r="C1751">
        <v>0.38601851851851854</v>
      </c>
      <c r="D1751">
        <v>0.39283564814814814</v>
      </c>
      <c r="E1751" s="2">
        <f t="shared" si="27"/>
        <v>6.8171296296296036E-3</v>
      </c>
    </row>
    <row r="1752" spans="1:5" x14ac:dyDescent="0.25">
      <c r="A1752">
        <v>0</v>
      </c>
      <c r="B1752">
        <v>42942</v>
      </c>
      <c r="C1752">
        <v>0.38871527777777776</v>
      </c>
      <c r="D1752">
        <v>0.38982638888888888</v>
      </c>
      <c r="E1752" s="2">
        <f t="shared" si="27"/>
        <v>1.1111111111111183E-3</v>
      </c>
    </row>
    <row r="1753" spans="1:5" x14ac:dyDescent="0.25">
      <c r="A1753">
        <v>0</v>
      </c>
      <c r="B1753">
        <v>42942</v>
      </c>
      <c r="C1753">
        <v>0.3895601851851852</v>
      </c>
      <c r="D1753">
        <v>0.39548611111111109</v>
      </c>
      <c r="E1753" s="2">
        <f t="shared" si="27"/>
        <v>5.9259259259258901E-3</v>
      </c>
    </row>
    <row r="1754" spans="1:5" x14ac:dyDescent="0.25">
      <c r="A1754">
        <v>0</v>
      </c>
      <c r="B1754">
        <v>42942</v>
      </c>
      <c r="C1754">
        <v>0.39533564814814814</v>
      </c>
      <c r="D1754">
        <v>0.39599537037037036</v>
      </c>
      <c r="E1754" s="2">
        <f t="shared" si="27"/>
        <v>6.5972222222221433E-4</v>
      </c>
    </row>
    <row r="1755" spans="1:5" x14ac:dyDescent="0.25">
      <c r="A1755">
        <v>0</v>
      </c>
      <c r="B1755">
        <v>42942</v>
      </c>
      <c r="C1755">
        <v>0.4001736111111111</v>
      </c>
      <c r="D1755">
        <v>0.40406249999999999</v>
      </c>
      <c r="E1755" s="2">
        <f t="shared" si="27"/>
        <v>3.8888888888888862E-3</v>
      </c>
    </row>
    <row r="1756" spans="1:5" x14ac:dyDescent="0.25">
      <c r="A1756">
        <v>0</v>
      </c>
      <c r="B1756">
        <v>42942</v>
      </c>
      <c r="C1756">
        <v>0.40130787037037036</v>
      </c>
      <c r="D1756">
        <v>0.40658564814814813</v>
      </c>
      <c r="E1756" s="2">
        <f t="shared" si="27"/>
        <v>5.2777777777777701E-3</v>
      </c>
    </row>
    <row r="1757" spans="1:5" x14ac:dyDescent="0.25">
      <c r="A1757">
        <v>0</v>
      </c>
      <c r="B1757">
        <v>42942</v>
      </c>
      <c r="C1757">
        <v>0.40415509259259258</v>
      </c>
      <c r="D1757">
        <v>0.40443287037037035</v>
      </c>
      <c r="E1757" s="2">
        <f t="shared" si="27"/>
        <v>2.7777777777776569E-4</v>
      </c>
    </row>
    <row r="1758" spans="1:5" x14ac:dyDescent="0.25">
      <c r="A1758">
        <v>0</v>
      </c>
      <c r="B1758">
        <v>42942</v>
      </c>
      <c r="C1758">
        <v>0.40771990740740743</v>
      </c>
      <c r="D1758">
        <v>0.41290509259259262</v>
      </c>
      <c r="E1758" s="2">
        <f t="shared" si="27"/>
        <v>5.1851851851851816E-3</v>
      </c>
    </row>
    <row r="1759" spans="1:5" x14ac:dyDescent="0.25">
      <c r="A1759">
        <v>0</v>
      </c>
      <c r="B1759">
        <v>42942</v>
      </c>
      <c r="C1759">
        <v>0.41269675925925925</v>
      </c>
      <c r="D1759">
        <v>0.42046296296296298</v>
      </c>
      <c r="E1759" s="2">
        <f t="shared" si="27"/>
        <v>7.7662037037037335E-3</v>
      </c>
    </row>
    <row r="1760" spans="1:5" x14ac:dyDescent="0.25">
      <c r="A1760">
        <v>0</v>
      </c>
      <c r="B1760">
        <v>42942</v>
      </c>
      <c r="C1760">
        <v>0.41390046296296296</v>
      </c>
      <c r="D1760">
        <v>0.42016203703703703</v>
      </c>
      <c r="E1760" s="2">
        <f t="shared" si="27"/>
        <v>6.2615740740740722E-3</v>
      </c>
    </row>
    <row r="1761" spans="1:5" x14ac:dyDescent="0.25">
      <c r="A1761">
        <v>0</v>
      </c>
      <c r="B1761">
        <v>42942</v>
      </c>
      <c r="C1761">
        <v>0.41413194444444446</v>
      </c>
      <c r="D1761">
        <v>0.41684027777777777</v>
      </c>
      <c r="E1761" s="2">
        <f t="shared" si="27"/>
        <v>2.7083333333333126E-3</v>
      </c>
    </row>
    <row r="1762" spans="1:5" x14ac:dyDescent="0.25">
      <c r="A1762">
        <v>0</v>
      </c>
      <c r="B1762">
        <v>42942</v>
      </c>
      <c r="C1762">
        <v>0.41935185185185186</v>
      </c>
      <c r="D1762">
        <v>0.42133101851851851</v>
      </c>
      <c r="E1762" s="2">
        <f t="shared" si="27"/>
        <v>1.979166666666643E-3</v>
      </c>
    </row>
    <row r="1763" spans="1:5" x14ac:dyDescent="0.25">
      <c r="A1763">
        <v>0</v>
      </c>
      <c r="B1763">
        <v>42942</v>
      </c>
      <c r="C1763">
        <v>0.42229166666666668</v>
      </c>
      <c r="D1763">
        <v>0.42271990740740739</v>
      </c>
      <c r="E1763" s="2">
        <f t="shared" si="27"/>
        <v>4.2824074074071516E-4</v>
      </c>
    </row>
    <row r="1764" spans="1:5" x14ac:dyDescent="0.25">
      <c r="A1764">
        <v>0</v>
      </c>
      <c r="B1764">
        <v>42942</v>
      </c>
      <c r="C1764">
        <v>0.42366898148148147</v>
      </c>
      <c r="D1764">
        <v>0.42792824074074076</v>
      </c>
      <c r="E1764" s="2">
        <f t="shared" si="27"/>
        <v>4.2592592592592959E-3</v>
      </c>
    </row>
    <row r="1765" spans="1:5" x14ac:dyDescent="0.25">
      <c r="A1765">
        <v>0</v>
      </c>
      <c r="B1765">
        <v>42942</v>
      </c>
      <c r="C1765">
        <v>0.42912037037037037</v>
      </c>
      <c r="D1765">
        <v>0.43753472222222223</v>
      </c>
      <c r="E1765" s="2">
        <f t="shared" si="27"/>
        <v>8.4143518518518534E-3</v>
      </c>
    </row>
    <row r="1766" spans="1:5" x14ac:dyDescent="0.25">
      <c r="A1766">
        <v>0</v>
      </c>
      <c r="B1766">
        <v>42942</v>
      </c>
      <c r="C1766">
        <v>0.43304398148148149</v>
      </c>
      <c r="D1766">
        <v>0.43761574074074072</v>
      </c>
      <c r="E1766" s="2">
        <f t="shared" si="27"/>
        <v>4.5717592592592338E-3</v>
      </c>
    </row>
    <row r="1767" spans="1:5" x14ac:dyDescent="0.25">
      <c r="A1767">
        <v>0</v>
      </c>
      <c r="B1767">
        <v>42942</v>
      </c>
      <c r="C1767">
        <v>0.43815972222222221</v>
      </c>
      <c r="D1767">
        <v>0.44572916666666668</v>
      </c>
      <c r="E1767" s="2">
        <f t="shared" si="27"/>
        <v>7.569444444444462E-3</v>
      </c>
    </row>
    <row r="1768" spans="1:5" x14ac:dyDescent="0.25">
      <c r="A1768">
        <v>0</v>
      </c>
      <c r="B1768">
        <v>42942</v>
      </c>
      <c r="C1768">
        <v>0.43896990740740743</v>
      </c>
      <c r="D1768">
        <v>0.44863425925925926</v>
      </c>
      <c r="E1768" s="2">
        <f t="shared" si="27"/>
        <v>9.6643518518518268E-3</v>
      </c>
    </row>
    <row r="1769" spans="1:5" x14ac:dyDescent="0.25">
      <c r="A1769">
        <v>0</v>
      </c>
      <c r="B1769">
        <v>42942</v>
      </c>
      <c r="C1769">
        <v>0.44265046296296295</v>
      </c>
      <c r="D1769">
        <v>0.45337962962962963</v>
      </c>
      <c r="E1769" s="2">
        <f t="shared" si="27"/>
        <v>1.0729166666666679E-2</v>
      </c>
    </row>
    <row r="1770" spans="1:5" x14ac:dyDescent="0.25">
      <c r="A1770">
        <v>0</v>
      </c>
      <c r="B1770">
        <v>42942</v>
      </c>
      <c r="C1770">
        <v>0.44289351851851849</v>
      </c>
      <c r="D1770">
        <v>0.44364583333333335</v>
      </c>
      <c r="E1770" s="2">
        <f t="shared" si="27"/>
        <v>7.523148148148584E-4</v>
      </c>
    </row>
    <row r="1771" spans="1:5" x14ac:dyDescent="0.25">
      <c r="A1771">
        <v>0</v>
      </c>
      <c r="B1771">
        <v>42942</v>
      </c>
      <c r="C1771">
        <v>0.44298611111111114</v>
      </c>
      <c r="D1771">
        <v>0.45023148148148145</v>
      </c>
      <c r="E1771" s="2">
        <f t="shared" si="27"/>
        <v>7.2453703703703187E-3</v>
      </c>
    </row>
    <row r="1772" spans="1:5" x14ac:dyDescent="0.25">
      <c r="A1772">
        <v>0</v>
      </c>
      <c r="B1772">
        <v>42942</v>
      </c>
      <c r="C1772">
        <v>0.44300925925925927</v>
      </c>
      <c r="D1772">
        <v>0.4513773148148148</v>
      </c>
      <c r="E1772" s="2">
        <f t="shared" si="27"/>
        <v>8.3680555555555314E-3</v>
      </c>
    </row>
    <row r="1773" spans="1:5" x14ac:dyDescent="0.25">
      <c r="A1773">
        <v>0</v>
      </c>
      <c r="B1773">
        <v>42942</v>
      </c>
      <c r="C1773">
        <v>0.44710648148148147</v>
      </c>
      <c r="D1773">
        <v>0.45658564814814817</v>
      </c>
      <c r="E1773" s="2">
        <f t="shared" si="27"/>
        <v>9.4791666666667052E-3</v>
      </c>
    </row>
    <row r="1774" spans="1:5" x14ac:dyDescent="0.25">
      <c r="A1774">
        <v>0</v>
      </c>
      <c r="B1774">
        <v>42942</v>
      </c>
      <c r="C1774">
        <v>0.44815972222222222</v>
      </c>
      <c r="D1774">
        <v>0.45435185185185184</v>
      </c>
      <c r="E1774" s="2">
        <f t="shared" si="27"/>
        <v>6.1921296296296169E-3</v>
      </c>
    </row>
    <row r="1775" spans="1:5" x14ac:dyDescent="0.25">
      <c r="A1775">
        <v>0</v>
      </c>
      <c r="B1775">
        <v>42942</v>
      </c>
      <c r="C1775">
        <v>0.44972222222222225</v>
      </c>
      <c r="D1775">
        <v>0.45559027777777777</v>
      </c>
      <c r="E1775" s="2">
        <f t="shared" si="27"/>
        <v>5.8680555555555292E-3</v>
      </c>
    </row>
    <row r="1776" spans="1:5" x14ac:dyDescent="0.25">
      <c r="A1776">
        <v>0</v>
      </c>
      <c r="B1776">
        <v>42942</v>
      </c>
      <c r="C1776">
        <v>0.45021990740740742</v>
      </c>
      <c r="D1776">
        <v>0.46079861111111109</v>
      </c>
      <c r="E1776" s="2">
        <f t="shared" si="27"/>
        <v>1.0578703703703674E-2</v>
      </c>
    </row>
    <row r="1777" spans="1:5" x14ac:dyDescent="0.25">
      <c r="A1777">
        <v>0</v>
      </c>
      <c r="B1777">
        <v>42942</v>
      </c>
      <c r="C1777">
        <v>0.4503125</v>
      </c>
      <c r="D1777">
        <v>0.4601736111111111</v>
      </c>
      <c r="E1777" s="2">
        <f t="shared" si="27"/>
        <v>9.8611111111110983E-3</v>
      </c>
    </row>
    <row r="1778" spans="1:5" x14ac:dyDescent="0.25">
      <c r="A1778">
        <v>0</v>
      </c>
      <c r="B1778">
        <v>42942</v>
      </c>
      <c r="C1778">
        <v>0.45333333333333331</v>
      </c>
      <c r="D1778">
        <v>0.45443287037037039</v>
      </c>
      <c r="E1778" s="2">
        <f t="shared" si="27"/>
        <v>1.0995370370370794E-3</v>
      </c>
    </row>
    <row r="1779" spans="1:5" x14ac:dyDescent="0.25">
      <c r="A1779">
        <v>0</v>
      </c>
      <c r="B1779">
        <v>42942</v>
      </c>
      <c r="C1779">
        <v>0.45531250000000001</v>
      </c>
      <c r="D1779">
        <v>0.45717592592592593</v>
      </c>
      <c r="E1779" s="2">
        <f t="shared" si="27"/>
        <v>1.8634259259259212E-3</v>
      </c>
    </row>
    <row r="1780" spans="1:5" x14ac:dyDescent="0.25">
      <c r="A1780">
        <v>0</v>
      </c>
      <c r="B1780">
        <v>42942</v>
      </c>
      <c r="C1780">
        <v>0.45554398148148151</v>
      </c>
      <c r="D1780">
        <v>0.45913194444444444</v>
      </c>
      <c r="E1780" s="2">
        <f t="shared" si="27"/>
        <v>3.5879629629629317E-3</v>
      </c>
    </row>
    <row r="1781" spans="1:5" x14ac:dyDescent="0.25">
      <c r="A1781">
        <v>0</v>
      </c>
      <c r="B1781">
        <v>42942</v>
      </c>
      <c r="C1781">
        <v>0.45726851851851852</v>
      </c>
      <c r="D1781">
        <v>0.46751157407407407</v>
      </c>
      <c r="E1781" s="2">
        <f t="shared" si="27"/>
        <v>1.0243055555555547E-2</v>
      </c>
    </row>
    <row r="1782" spans="1:5" x14ac:dyDescent="0.25">
      <c r="A1782">
        <v>0</v>
      </c>
      <c r="B1782">
        <v>42942</v>
      </c>
      <c r="C1782">
        <v>0.46297453703703706</v>
      </c>
      <c r="D1782">
        <v>0.47129629629629627</v>
      </c>
      <c r="E1782" s="2">
        <f t="shared" si="27"/>
        <v>8.3217592592592093E-3</v>
      </c>
    </row>
    <row r="1783" spans="1:5" x14ac:dyDescent="0.25">
      <c r="A1783">
        <v>0</v>
      </c>
      <c r="B1783">
        <v>42942</v>
      </c>
      <c r="C1783">
        <v>0.46431712962962962</v>
      </c>
      <c r="D1783">
        <v>0.47060185185185183</v>
      </c>
      <c r="E1783" s="2">
        <f t="shared" si="27"/>
        <v>6.2847222222222054E-3</v>
      </c>
    </row>
    <row r="1784" spans="1:5" x14ac:dyDescent="0.25">
      <c r="A1784">
        <v>0</v>
      </c>
      <c r="B1784">
        <v>42942</v>
      </c>
      <c r="C1784">
        <v>0.46703703703703703</v>
      </c>
      <c r="D1784">
        <v>0.47262731481481479</v>
      </c>
      <c r="E1784" s="2">
        <f t="shared" si="27"/>
        <v>5.5902777777777635E-3</v>
      </c>
    </row>
    <row r="1785" spans="1:5" x14ac:dyDescent="0.25">
      <c r="A1785">
        <v>0</v>
      </c>
      <c r="B1785">
        <v>42942</v>
      </c>
      <c r="C1785">
        <v>0.46703703703703703</v>
      </c>
      <c r="D1785">
        <v>0.47568287037037038</v>
      </c>
      <c r="E1785" s="2">
        <f t="shared" si="27"/>
        <v>8.6458333333333526E-3</v>
      </c>
    </row>
    <row r="1786" spans="1:5" x14ac:dyDescent="0.25">
      <c r="A1786">
        <v>0</v>
      </c>
      <c r="B1786">
        <v>42942</v>
      </c>
      <c r="C1786">
        <v>0.47266203703703702</v>
      </c>
      <c r="D1786">
        <v>0.48297453703703702</v>
      </c>
      <c r="E1786" s="2">
        <f t="shared" si="27"/>
        <v>1.0312500000000002E-2</v>
      </c>
    </row>
    <row r="1787" spans="1:5" x14ac:dyDescent="0.25">
      <c r="A1787">
        <v>0</v>
      </c>
      <c r="B1787">
        <v>42942</v>
      </c>
      <c r="C1787">
        <v>0.47515046296296298</v>
      </c>
      <c r="D1787">
        <v>0.47552083333333334</v>
      </c>
      <c r="E1787" s="2">
        <f t="shared" si="27"/>
        <v>3.7037037037035425E-4</v>
      </c>
    </row>
    <row r="1788" spans="1:5" x14ac:dyDescent="0.25">
      <c r="A1788">
        <v>0</v>
      </c>
      <c r="B1788">
        <v>42942</v>
      </c>
      <c r="C1788">
        <v>0.48082175925925924</v>
      </c>
      <c r="D1788">
        <v>0.48585648148148147</v>
      </c>
      <c r="E1788" s="2">
        <f t="shared" si="27"/>
        <v>5.0347222222222321E-3</v>
      </c>
    </row>
    <row r="1789" spans="1:5" x14ac:dyDescent="0.25">
      <c r="A1789">
        <v>0</v>
      </c>
      <c r="B1789">
        <v>42942</v>
      </c>
      <c r="C1789">
        <v>0.48534722222222221</v>
      </c>
      <c r="D1789">
        <v>0.48814814814814816</v>
      </c>
      <c r="E1789" s="2">
        <f t="shared" si="27"/>
        <v>2.8009259259259567E-3</v>
      </c>
    </row>
    <row r="1790" spans="1:5" x14ac:dyDescent="0.25">
      <c r="A1790">
        <v>0</v>
      </c>
      <c r="B1790">
        <v>42942</v>
      </c>
      <c r="C1790">
        <v>0.48700231481481482</v>
      </c>
      <c r="D1790">
        <v>0.49305555555555558</v>
      </c>
      <c r="E1790" s="2">
        <f t="shared" si="27"/>
        <v>6.0532407407407618E-3</v>
      </c>
    </row>
    <row r="1791" spans="1:5" x14ac:dyDescent="0.25">
      <c r="A1791">
        <v>0</v>
      </c>
      <c r="B1791">
        <v>42942</v>
      </c>
      <c r="C1791">
        <v>0.48849537037037039</v>
      </c>
      <c r="D1791">
        <v>0.49665509259259261</v>
      </c>
      <c r="E1791" s="2">
        <f t="shared" si="27"/>
        <v>8.159722222222221E-3</v>
      </c>
    </row>
    <row r="1792" spans="1:5" x14ac:dyDescent="0.25">
      <c r="A1792">
        <v>0</v>
      </c>
      <c r="B1792">
        <v>42942</v>
      </c>
      <c r="C1792">
        <v>0.49020833333333336</v>
      </c>
      <c r="D1792">
        <v>0.49932870370370369</v>
      </c>
      <c r="E1792" s="2">
        <f t="shared" si="27"/>
        <v>9.1203703703703343E-3</v>
      </c>
    </row>
    <row r="1793" spans="1:5" x14ac:dyDescent="0.25">
      <c r="A1793">
        <v>0</v>
      </c>
      <c r="B1793">
        <v>42942</v>
      </c>
      <c r="C1793">
        <v>0.49135416666666665</v>
      </c>
      <c r="D1793">
        <v>0.49472222222222223</v>
      </c>
      <c r="E1793" s="2">
        <f t="shared" si="27"/>
        <v>3.3680555555555824E-3</v>
      </c>
    </row>
    <row r="1794" spans="1:5" x14ac:dyDescent="0.25">
      <c r="A1794">
        <v>0</v>
      </c>
      <c r="B1794">
        <v>42942</v>
      </c>
      <c r="C1794">
        <v>0.49417824074074074</v>
      </c>
      <c r="D1794">
        <v>0.50312500000000004</v>
      </c>
      <c r="E1794" s="2">
        <f t="shared" ref="E1794:E1857" si="28">D1794-C1794</f>
        <v>8.946759259259307E-3</v>
      </c>
    </row>
    <row r="1795" spans="1:5" x14ac:dyDescent="0.25">
      <c r="A1795">
        <v>0</v>
      </c>
      <c r="B1795">
        <v>42942</v>
      </c>
      <c r="C1795">
        <v>0.49541666666666667</v>
      </c>
      <c r="D1795">
        <v>0.49947916666666664</v>
      </c>
      <c r="E1795" s="2">
        <f t="shared" si="28"/>
        <v>4.0624999999999689E-3</v>
      </c>
    </row>
    <row r="1796" spans="1:5" x14ac:dyDescent="0.25">
      <c r="A1796">
        <v>0</v>
      </c>
      <c r="B1796">
        <v>42942</v>
      </c>
      <c r="C1796">
        <v>0.49952546296296296</v>
      </c>
      <c r="D1796">
        <v>0.50207175925925929</v>
      </c>
      <c r="E1796" s="2">
        <f t="shared" si="28"/>
        <v>2.5462962962963243E-3</v>
      </c>
    </row>
    <row r="1797" spans="1:5" x14ac:dyDescent="0.25">
      <c r="A1797">
        <v>0</v>
      </c>
      <c r="B1797">
        <v>42942</v>
      </c>
      <c r="C1797">
        <v>0.5046180555555555</v>
      </c>
      <c r="D1797">
        <v>0.50491898148148151</v>
      </c>
      <c r="E1797" s="2">
        <f t="shared" si="28"/>
        <v>3.0092592592600997E-4</v>
      </c>
    </row>
    <row r="1798" spans="1:5" x14ac:dyDescent="0.25">
      <c r="A1798">
        <v>0</v>
      </c>
      <c r="B1798">
        <v>42942</v>
      </c>
      <c r="C1798">
        <v>0.50671296296296298</v>
      </c>
      <c r="D1798">
        <v>0.51233796296296297</v>
      </c>
      <c r="E1798" s="2">
        <f t="shared" si="28"/>
        <v>5.6249999999999911E-3</v>
      </c>
    </row>
    <row r="1799" spans="1:5" x14ac:dyDescent="0.25">
      <c r="A1799">
        <v>0</v>
      </c>
      <c r="B1799">
        <v>42942</v>
      </c>
      <c r="C1799">
        <v>0.50876157407407407</v>
      </c>
      <c r="D1799">
        <v>0.51472222222222219</v>
      </c>
      <c r="E1799" s="2">
        <f t="shared" si="28"/>
        <v>5.9606481481481177E-3</v>
      </c>
    </row>
    <row r="1800" spans="1:5" x14ac:dyDescent="0.25">
      <c r="A1800">
        <v>0</v>
      </c>
      <c r="B1800">
        <v>42942</v>
      </c>
      <c r="C1800">
        <v>0.51140046296296293</v>
      </c>
      <c r="D1800">
        <v>0.5186574074074074</v>
      </c>
      <c r="E1800" s="2">
        <f t="shared" si="28"/>
        <v>7.2569444444444686E-3</v>
      </c>
    </row>
    <row r="1801" spans="1:5" x14ac:dyDescent="0.25">
      <c r="A1801">
        <v>0</v>
      </c>
      <c r="B1801">
        <v>42942</v>
      </c>
      <c r="C1801">
        <v>0.51546296296296301</v>
      </c>
      <c r="D1801">
        <v>0.52481481481481485</v>
      </c>
      <c r="E1801" s="2">
        <f t="shared" si="28"/>
        <v>9.3518518518518334E-3</v>
      </c>
    </row>
    <row r="1802" spans="1:5" x14ac:dyDescent="0.25">
      <c r="A1802">
        <v>0</v>
      </c>
      <c r="B1802">
        <v>42942</v>
      </c>
      <c r="C1802">
        <v>0.51712962962962961</v>
      </c>
      <c r="D1802">
        <v>0.52177083333333329</v>
      </c>
      <c r="E1802" s="2">
        <f t="shared" si="28"/>
        <v>4.6412037037036891E-3</v>
      </c>
    </row>
    <row r="1803" spans="1:5" x14ac:dyDescent="0.25">
      <c r="A1803">
        <v>0</v>
      </c>
      <c r="B1803">
        <v>42942</v>
      </c>
      <c r="C1803">
        <v>0.52173611111111107</v>
      </c>
      <c r="D1803">
        <v>0.52998842592592588</v>
      </c>
      <c r="E1803" s="2">
        <f t="shared" si="28"/>
        <v>8.2523148148148096E-3</v>
      </c>
    </row>
    <row r="1804" spans="1:5" x14ac:dyDescent="0.25">
      <c r="A1804">
        <v>0</v>
      </c>
      <c r="B1804">
        <v>42942</v>
      </c>
      <c r="C1804">
        <v>0.52265046296296291</v>
      </c>
      <c r="D1804">
        <v>0.53091435185185187</v>
      </c>
      <c r="E1804" s="2">
        <f t="shared" si="28"/>
        <v>8.2638888888889594E-3</v>
      </c>
    </row>
    <row r="1805" spans="1:5" x14ac:dyDescent="0.25">
      <c r="A1805">
        <v>0</v>
      </c>
      <c r="B1805">
        <v>42942</v>
      </c>
      <c r="C1805">
        <v>0.52790509259259255</v>
      </c>
      <c r="D1805">
        <v>0.53581018518518519</v>
      </c>
      <c r="E1805" s="2">
        <f t="shared" si="28"/>
        <v>7.9050925925926441E-3</v>
      </c>
    </row>
    <row r="1806" spans="1:5" x14ac:dyDescent="0.25">
      <c r="A1806">
        <v>0</v>
      </c>
      <c r="B1806">
        <v>42942</v>
      </c>
      <c r="C1806">
        <v>0.52937500000000004</v>
      </c>
      <c r="D1806">
        <v>0.53609953703703705</v>
      </c>
      <c r="E1806" s="2">
        <f t="shared" si="28"/>
        <v>6.724537037037015E-3</v>
      </c>
    </row>
    <row r="1807" spans="1:5" x14ac:dyDescent="0.25">
      <c r="A1807">
        <v>0</v>
      </c>
      <c r="B1807">
        <v>42942</v>
      </c>
      <c r="C1807">
        <v>0.53282407407407406</v>
      </c>
      <c r="D1807">
        <v>0.53501157407407407</v>
      </c>
      <c r="E1807" s="2">
        <f t="shared" si="28"/>
        <v>2.1875000000000089E-3</v>
      </c>
    </row>
    <row r="1808" spans="1:5" x14ac:dyDescent="0.25">
      <c r="A1808">
        <v>0</v>
      </c>
      <c r="B1808">
        <v>42942</v>
      </c>
      <c r="C1808">
        <v>0.53344907407407405</v>
      </c>
      <c r="D1808">
        <v>0.54386574074074079</v>
      </c>
      <c r="E1808" s="2">
        <f t="shared" si="28"/>
        <v>1.0416666666666741E-2</v>
      </c>
    </row>
    <row r="1809" spans="1:5" x14ac:dyDescent="0.25">
      <c r="A1809">
        <v>0</v>
      </c>
      <c r="B1809">
        <v>42942</v>
      </c>
      <c r="C1809">
        <v>0.53439814814814812</v>
      </c>
      <c r="D1809">
        <v>0.53813657407407411</v>
      </c>
      <c r="E1809" s="2">
        <f t="shared" si="28"/>
        <v>3.7384259259259922E-3</v>
      </c>
    </row>
    <row r="1810" spans="1:5" x14ac:dyDescent="0.25">
      <c r="A1810">
        <v>0</v>
      </c>
      <c r="B1810">
        <v>42942</v>
      </c>
      <c r="C1810">
        <v>0.53601851851851856</v>
      </c>
      <c r="D1810">
        <v>0.54394675925925928</v>
      </c>
      <c r="E1810" s="2">
        <f t="shared" si="28"/>
        <v>7.9282407407407218E-3</v>
      </c>
    </row>
    <row r="1811" spans="1:5" x14ac:dyDescent="0.25">
      <c r="A1811">
        <v>0</v>
      </c>
      <c r="B1811">
        <v>42942</v>
      </c>
      <c r="C1811">
        <v>0.53666666666666663</v>
      </c>
      <c r="D1811">
        <v>0.5370949074074074</v>
      </c>
      <c r="E1811" s="2">
        <f t="shared" si="28"/>
        <v>4.2824074074077068E-4</v>
      </c>
    </row>
    <row r="1812" spans="1:5" x14ac:dyDescent="0.25">
      <c r="A1812">
        <v>0</v>
      </c>
      <c r="B1812">
        <v>42942</v>
      </c>
      <c r="C1812">
        <v>0.54017361111111106</v>
      </c>
      <c r="D1812">
        <v>0.54915509259259254</v>
      </c>
      <c r="E1812" s="2">
        <f t="shared" si="28"/>
        <v>8.9814814814814792E-3</v>
      </c>
    </row>
    <row r="1813" spans="1:5" x14ac:dyDescent="0.25">
      <c r="A1813">
        <v>0</v>
      </c>
      <c r="B1813">
        <v>42942</v>
      </c>
      <c r="C1813">
        <v>0.54069444444444448</v>
      </c>
      <c r="D1813">
        <v>0.55103009259259261</v>
      </c>
      <c r="E1813" s="2">
        <f t="shared" si="28"/>
        <v>1.0335648148148135E-2</v>
      </c>
    </row>
    <row r="1814" spans="1:5" x14ac:dyDescent="0.25">
      <c r="A1814">
        <v>0</v>
      </c>
      <c r="B1814">
        <v>42942</v>
      </c>
      <c r="C1814">
        <v>0.54593749999999996</v>
      </c>
      <c r="D1814">
        <v>0.55622685185185183</v>
      </c>
      <c r="E1814" s="2">
        <f t="shared" si="28"/>
        <v>1.0289351851851869E-2</v>
      </c>
    </row>
    <row r="1815" spans="1:5" x14ac:dyDescent="0.25">
      <c r="A1815">
        <v>0</v>
      </c>
      <c r="B1815">
        <v>42942</v>
      </c>
      <c r="C1815">
        <v>0.55053240740740739</v>
      </c>
      <c r="D1815">
        <v>0.55672453703703706</v>
      </c>
      <c r="E1815" s="2">
        <f t="shared" si="28"/>
        <v>6.1921296296296724E-3</v>
      </c>
    </row>
    <row r="1816" spans="1:5" x14ac:dyDescent="0.25">
      <c r="A1816">
        <v>0</v>
      </c>
      <c r="B1816">
        <v>42942</v>
      </c>
      <c r="C1816">
        <v>0.55462962962962958</v>
      </c>
      <c r="D1816">
        <v>0.56101851851851847</v>
      </c>
      <c r="E1816" s="2">
        <f t="shared" si="28"/>
        <v>6.3888888888888884E-3</v>
      </c>
    </row>
    <row r="1817" spans="1:5" x14ac:dyDescent="0.25">
      <c r="A1817">
        <v>0</v>
      </c>
      <c r="B1817">
        <v>42942</v>
      </c>
      <c r="C1817">
        <v>0.55604166666666666</v>
      </c>
      <c r="D1817">
        <v>0.56381944444444443</v>
      </c>
      <c r="E1817" s="2">
        <f t="shared" si="28"/>
        <v>7.7777777777777724E-3</v>
      </c>
    </row>
    <row r="1818" spans="1:5" x14ac:dyDescent="0.25">
      <c r="A1818">
        <v>0</v>
      </c>
      <c r="B1818">
        <v>42942</v>
      </c>
      <c r="C1818">
        <v>0.56098379629629624</v>
      </c>
      <c r="D1818">
        <v>0.56753472222222223</v>
      </c>
      <c r="E1818" s="2">
        <f t="shared" si="28"/>
        <v>6.5509259259259878E-3</v>
      </c>
    </row>
    <row r="1819" spans="1:5" x14ac:dyDescent="0.25">
      <c r="A1819">
        <v>0</v>
      </c>
      <c r="B1819">
        <v>42942</v>
      </c>
      <c r="C1819">
        <v>0.56232638888888886</v>
      </c>
      <c r="D1819">
        <v>0.56594907407407402</v>
      </c>
      <c r="E1819" s="2">
        <f t="shared" si="28"/>
        <v>3.6226851851851594E-3</v>
      </c>
    </row>
    <row r="1820" spans="1:5" x14ac:dyDescent="0.25">
      <c r="A1820">
        <v>0</v>
      </c>
      <c r="B1820">
        <v>42942</v>
      </c>
      <c r="C1820">
        <v>0.56283564814814813</v>
      </c>
      <c r="D1820">
        <v>0.56427083333333339</v>
      </c>
      <c r="E1820" s="2">
        <f t="shared" si="28"/>
        <v>1.4351851851852615E-3</v>
      </c>
    </row>
    <row r="1821" spans="1:5" x14ac:dyDescent="0.25">
      <c r="A1821">
        <v>0</v>
      </c>
      <c r="B1821">
        <v>42942</v>
      </c>
      <c r="C1821">
        <v>0.56481481481481477</v>
      </c>
      <c r="D1821">
        <v>0.57565972222222217</v>
      </c>
      <c r="E1821" s="2">
        <f t="shared" si="28"/>
        <v>1.08449074074074E-2</v>
      </c>
    </row>
    <row r="1822" spans="1:5" x14ac:dyDescent="0.25">
      <c r="A1822">
        <v>0</v>
      </c>
      <c r="B1822">
        <v>42942</v>
      </c>
      <c r="C1822">
        <v>0.56805555555555554</v>
      </c>
      <c r="D1822">
        <v>0.56937499999999996</v>
      </c>
      <c r="E1822" s="2">
        <f t="shared" si="28"/>
        <v>1.3194444444444287E-3</v>
      </c>
    </row>
    <row r="1823" spans="1:5" x14ac:dyDescent="0.25">
      <c r="A1823">
        <v>0</v>
      </c>
      <c r="B1823">
        <v>42942</v>
      </c>
      <c r="C1823">
        <v>0.56945601851851857</v>
      </c>
      <c r="D1823">
        <v>0.5776041666666667</v>
      </c>
      <c r="E1823" s="2">
        <f t="shared" si="28"/>
        <v>8.1481481481481266E-3</v>
      </c>
    </row>
    <row r="1824" spans="1:5" x14ac:dyDescent="0.25">
      <c r="A1824">
        <v>0</v>
      </c>
      <c r="B1824">
        <v>42942</v>
      </c>
      <c r="C1824">
        <v>0.57263888888888892</v>
      </c>
      <c r="D1824">
        <v>0.57309027777777777</v>
      </c>
      <c r="E1824" s="2">
        <f t="shared" si="28"/>
        <v>4.5138888888884843E-4</v>
      </c>
    </row>
    <row r="1825" spans="1:5" x14ac:dyDescent="0.25">
      <c r="A1825">
        <v>0</v>
      </c>
      <c r="B1825">
        <v>42942</v>
      </c>
      <c r="C1825">
        <v>0.57662037037037039</v>
      </c>
      <c r="D1825">
        <v>0.58204861111111106</v>
      </c>
      <c r="E1825" s="2">
        <f t="shared" si="28"/>
        <v>5.4282407407406641E-3</v>
      </c>
    </row>
    <row r="1826" spans="1:5" x14ac:dyDescent="0.25">
      <c r="A1826">
        <v>0</v>
      </c>
      <c r="B1826">
        <v>42942</v>
      </c>
      <c r="C1826">
        <v>0.58021990740740736</v>
      </c>
      <c r="D1826">
        <v>0.58726851851851847</v>
      </c>
      <c r="E1826" s="2">
        <f t="shared" si="28"/>
        <v>7.0486111111111027E-3</v>
      </c>
    </row>
    <row r="1827" spans="1:5" x14ac:dyDescent="0.25">
      <c r="A1827">
        <v>0</v>
      </c>
      <c r="B1827">
        <v>42942</v>
      </c>
      <c r="C1827">
        <v>0.58101851851851849</v>
      </c>
      <c r="D1827">
        <v>0.58164351851851848</v>
      </c>
      <c r="E1827" s="2">
        <f t="shared" si="28"/>
        <v>6.2499999999998668E-4</v>
      </c>
    </row>
    <row r="1828" spans="1:5" x14ac:dyDescent="0.25">
      <c r="A1828">
        <v>0</v>
      </c>
      <c r="B1828">
        <v>42942</v>
      </c>
      <c r="C1828">
        <v>0.58408564814814812</v>
      </c>
      <c r="D1828">
        <v>0.58677083333333335</v>
      </c>
      <c r="E1828" s="2">
        <f t="shared" si="28"/>
        <v>2.6851851851852349E-3</v>
      </c>
    </row>
    <row r="1829" spans="1:5" x14ac:dyDescent="0.25">
      <c r="A1829">
        <v>0</v>
      </c>
      <c r="B1829">
        <v>42942</v>
      </c>
      <c r="C1829">
        <v>0.58770833333333339</v>
      </c>
      <c r="D1829">
        <v>0.59591435185185182</v>
      </c>
      <c r="E1829" s="2">
        <f t="shared" si="28"/>
        <v>8.206018518518432E-3</v>
      </c>
    </row>
    <row r="1830" spans="1:5" x14ac:dyDescent="0.25">
      <c r="A1830">
        <v>0</v>
      </c>
      <c r="B1830">
        <v>42942</v>
      </c>
      <c r="C1830">
        <v>0.59261574074074075</v>
      </c>
      <c r="D1830">
        <v>0.60343749999999996</v>
      </c>
      <c r="E1830" s="2">
        <f t="shared" si="28"/>
        <v>1.0821759259259212E-2</v>
      </c>
    </row>
    <row r="1831" spans="1:5" x14ac:dyDescent="0.25">
      <c r="A1831">
        <v>0</v>
      </c>
      <c r="B1831">
        <v>42942</v>
      </c>
      <c r="C1831">
        <v>0.5932291666666667</v>
      </c>
      <c r="D1831">
        <v>0.59943287037037041</v>
      </c>
      <c r="E1831" s="2">
        <f t="shared" si="28"/>
        <v>6.2037037037037113E-3</v>
      </c>
    </row>
    <row r="1832" spans="1:5" x14ac:dyDescent="0.25">
      <c r="A1832">
        <v>0</v>
      </c>
      <c r="B1832">
        <v>42942</v>
      </c>
      <c r="C1832">
        <v>0.59876157407407404</v>
      </c>
      <c r="D1832">
        <v>0.60951388888888891</v>
      </c>
      <c r="E1832" s="2">
        <f t="shared" si="28"/>
        <v>1.0752314814814867E-2</v>
      </c>
    </row>
    <row r="1833" spans="1:5" x14ac:dyDescent="0.25">
      <c r="A1833">
        <v>0</v>
      </c>
      <c r="B1833">
        <v>42942</v>
      </c>
      <c r="C1833">
        <v>0.60384259259259254</v>
      </c>
      <c r="D1833">
        <v>0.60452546296296295</v>
      </c>
      <c r="E1833" s="2">
        <f t="shared" si="28"/>
        <v>6.828703703704031E-4</v>
      </c>
    </row>
    <row r="1834" spans="1:5" x14ac:dyDescent="0.25">
      <c r="A1834">
        <v>0</v>
      </c>
      <c r="B1834">
        <v>42942</v>
      </c>
      <c r="C1834">
        <v>0.60623842592592592</v>
      </c>
      <c r="D1834">
        <v>0.61055555555555552</v>
      </c>
      <c r="E1834" s="2">
        <f t="shared" si="28"/>
        <v>4.3171296296296013E-3</v>
      </c>
    </row>
    <row r="1835" spans="1:5" x14ac:dyDescent="0.25">
      <c r="A1835">
        <v>0</v>
      </c>
      <c r="B1835">
        <v>42942</v>
      </c>
      <c r="C1835">
        <v>0.60950231481481476</v>
      </c>
      <c r="D1835">
        <v>0.61940972222222224</v>
      </c>
      <c r="E1835" s="2">
        <f t="shared" si="28"/>
        <v>9.9074074074074758E-3</v>
      </c>
    </row>
    <row r="1836" spans="1:5" x14ac:dyDescent="0.25">
      <c r="A1836">
        <v>0</v>
      </c>
      <c r="B1836">
        <v>42942</v>
      </c>
      <c r="C1836">
        <v>0.61371527777777779</v>
      </c>
      <c r="D1836">
        <v>0.6235532407407407</v>
      </c>
      <c r="E1836" s="2">
        <f t="shared" si="28"/>
        <v>9.8379629629629095E-3</v>
      </c>
    </row>
    <row r="1837" spans="1:5" x14ac:dyDescent="0.25">
      <c r="A1837">
        <v>0</v>
      </c>
      <c r="B1837">
        <v>42942</v>
      </c>
      <c r="C1837">
        <v>0.61724537037037042</v>
      </c>
      <c r="D1837">
        <v>0.62866898148148154</v>
      </c>
      <c r="E1837" s="2">
        <f t="shared" si="28"/>
        <v>1.142361111111112E-2</v>
      </c>
    </row>
    <row r="1838" spans="1:5" x14ac:dyDescent="0.25">
      <c r="A1838">
        <v>0</v>
      </c>
      <c r="B1838">
        <v>42942</v>
      </c>
      <c r="C1838">
        <v>0.62089120370370365</v>
      </c>
      <c r="D1838">
        <v>0.62159722222222225</v>
      </c>
      <c r="E1838" s="2">
        <f t="shared" si="28"/>
        <v>7.0601851851859188E-4</v>
      </c>
    </row>
    <row r="1839" spans="1:5" x14ac:dyDescent="0.25">
      <c r="A1839">
        <v>0</v>
      </c>
      <c r="B1839">
        <v>42942</v>
      </c>
      <c r="C1839">
        <v>0.62467592592592591</v>
      </c>
      <c r="D1839">
        <v>0.62690972222222219</v>
      </c>
      <c r="E1839" s="2">
        <f t="shared" si="28"/>
        <v>2.2337962962962754E-3</v>
      </c>
    </row>
    <row r="1840" spans="1:5" x14ac:dyDescent="0.25">
      <c r="A1840">
        <v>0</v>
      </c>
      <c r="B1840">
        <v>42942</v>
      </c>
      <c r="C1840">
        <v>0.6277314814814815</v>
      </c>
      <c r="D1840">
        <v>0.63423611111111111</v>
      </c>
      <c r="E1840" s="2">
        <f t="shared" si="28"/>
        <v>6.5046296296296102E-3</v>
      </c>
    </row>
    <row r="1841" spans="1:5" x14ac:dyDescent="0.25">
      <c r="A1841">
        <v>0</v>
      </c>
      <c r="B1841">
        <v>42943</v>
      </c>
      <c r="C1841">
        <v>0.33751157407407406</v>
      </c>
      <c r="D1841">
        <v>0.33754629629629629</v>
      </c>
      <c r="E1841" s="2">
        <f t="shared" si="28"/>
        <v>3.472222222222765E-5</v>
      </c>
    </row>
    <row r="1842" spans="1:5" x14ac:dyDescent="0.25">
      <c r="A1842">
        <v>0</v>
      </c>
      <c r="B1842">
        <v>42943</v>
      </c>
      <c r="C1842">
        <v>0.33943287037037034</v>
      </c>
      <c r="D1842">
        <v>0.34292824074074074</v>
      </c>
      <c r="E1842" s="2">
        <f t="shared" si="28"/>
        <v>3.4953703703703987E-3</v>
      </c>
    </row>
    <row r="1843" spans="1:5" x14ac:dyDescent="0.25">
      <c r="A1843">
        <v>0</v>
      </c>
      <c r="B1843">
        <v>42943</v>
      </c>
      <c r="C1843">
        <v>0.34219907407407407</v>
      </c>
      <c r="D1843">
        <v>0.35170138888888891</v>
      </c>
      <c r="E1843" s="2">
        <f t="shared" si="28"/>
        <v>9.5023148148148384E-3</v>
      </c>
    </row>
    <row r="1844" spans="1:5" x14ac:dyDescent="0.25">
      <c r="A1844">
        <v>0</v>
      </c>
      <c r="B1844">
        <v>42943</v>
      </c>
      <c r="C1844">
        <v>0.34658564814814813</v>
      </c>
      <c r="D1844">
        <v>0.34666666666666668</v>
      </c>
      <c r="E1844" s="2">
        <f t="shared" si="28"/>
        <v>8.1018518518549687E-5</v>
      </c>
    </row>
    <row r="1845" spans="1:5" x14ac:dyDescent="0.25">
      <c r="A1845">
        <v>0</v>
      </c>
      <c r="B1845">
        <v>42943</v>
      </c>
      <c r="C1845">
        <v>0.3490509259259259</v>
      </c>
      <c r="D1845">
        <v>0.35481481481481481</v>
      </c>
      <c r="E1845" s="2">
        <f t="shared" si="28"/>
        <v>5.7638888888889017E-3</v>
      </c>
    </row>
    <row r="1846" spans="1:5" x14ac:dyDescent="0.25">
      <c r="A1846">
        <v>0</v>
      </c>
      <c r="B1846">
        <v>42943</v>
      </c>
      <c r="C1846">
        <v>0.34975694444444444</v>
      </c>
      <c r="D1846">
        <v>0.35971064814814813</v>
      </c>
      <c r="E1846" s="2">
        <f t="shared" si="28"/>
        <v>9.9537037037036868E-3</v>
      </c>
    </row>
    <row r="1847" spans="1:5" x14ac:dyDescent="0.25">
      <c r="A1847">
        <v>0</v>
      </c>
      <c r="B1847">
        <v>42943</v>
      </c>
      <c r="C1847">
        <v>0.35116898148148146</v>
      </c>
      <c r="D1847">
        <v>0.35408564814814814</v>
      </c>
      <c r="E1847" s="2">
        <f t="shared" si="28"/>
        <v>2.9166666666666785E-3</v>
      </c>
    </row>
    <row r="1848" spans="1:5" x14ac:dyDescent="0.25">
      <c r="A1848">
        <v>0</v>
      </c>
      <c r="B1848">
        <v>42943</v>
      </c>
      <c r="C1848">
        <v>0.35136574074074073</v>
      </c>
      <c r="D1848">
        <v>0.35390046296296296</v>
      </c>
      <c r="E1848" s="2">
        <f t="shared" si="28"/>
        <v>2.5347222222222299E-3</v>
      </c>
    </row>
    <row r="1849" spans="1:5" x14ac:dyDescent="0.25">
      <c r="A1849">
        <v>0</v>
      </c>
      <c r="B1849">
        <v>42943</v>
      </c>
      <c r="C1849">
        <v>0.35487268518518517</v>
      </c>
      <c r="D1849">
        <v>0.36251157407407408</v>
      </c>
      <c r="E1849" s="2">
        <f t="shared" si="28"/>
        <v>7.6388888888889173E-3</v>
      </c>
    </row>
    <row r="1850" spans="1:5" x14ac:dyDescent="0.25">
      <c r="A1850">
        <v>0</v>
      </c>
      <c r="B1850">
        <v>42943</v>
      </c>
      <c r="C1850">
        <v>0.35592592592592592</v>
      </c>
      <c r="D1850">
        <v>0.36366898148148147</v>
      </c>
      <c r="E1850" s="2">
        <f t="shared" si="28"/>
        <v>7.7430555555555447E-3</v>
      </c>
    </row>
    <row r="1851" spans="1:5" x14ac:dyDescent="0.25">
      <c r="A1851">
        <v>0</v>
      </c>
      <c r="B1851">
        <v>42943</v>
      </c>
      <c r="C1851">
        <v>0.35940972222222223</v>
      </c>
      <c r="D1851">
        <v>0.36412037037037037</v>
      </c>
      <c r="E1851" s="2">
        <f t="shared" si="28"/>
        <v>4.7106481481481444E-3</v>
      </c>
    </row>
    <row r="1852" spans="1:5" x14ac:dyDescent="0.25">
      <c r="A1852">
        <v>0</v>
      </c>
      <c r="B1852">
        <v>42943</v>
      </c>
      <c r="C1852">
        <v>0.36026620370370371</v>
      </c>
      <c r="D1852">
        <v>0.36319444444444443</v>
      </c>
      <c r="E1852" s="2">
        <f t="shared" si="28"/>
        <v>2.9282407407407174E-3</v>
      </c>
    </row>
    <row r="1853" spans="1:5" x14ac:dyDescent="0.25">
      <c r="A1853">
        <v>0</v>
      </c>
      <c r="B1853">
        <v>42943</v>
      </c>
      <c r="C1853">
        <v>0.36148148148148146</v>
      </c>
      <c r="D1853">
        <v>0.3721990740740741</v>
      </c>
      <c r="E1853" s="2">
        <f t="shared" si="28"/>
        <v>1.071759259259264E-2</v>
      </c>
    </row>
    <row r="1854" spans="1:5" x14ac:dyDescent="0.25">
      <c r="A1854">
        <v>0</v>
      </c>
      <c r="B1854">
        <v>42943</v>
      </c>
      <c r="C1854">
        <v>0.36598379629629629</v>
      </c>
      <c r="D1854">
        <v>0.37474537037037037</v>
      </c>
      <c r="E1854" s="2">
        <f t="shared" si="28"/>
        <v>8.7615740740740744E-3</v>
      </c>
    </row>
    <row r="1855" spans="1:5" x14ac:dyDescent="0.25">
      <c r="A1855">
        <v>0</v>
      </c>
      <c r="B1855">
        <v>42943</v>
      </c>
      <c r="C1855">
        <v>0.37133101851851852</v>
      </c>
      <c r="D1855">
        <v>0.37923611111111111</v>
      </c>
      <c r="E1855" s="2">
        <f t="shared" si="28"/>
        <v>7.9050925925925886E-3</v>
      </c>
    </row>
    <row r="1856" spans="1:5" x14ac:dyDescent="0.25">
      <c r="A1856">
        <v>0</v>
      </c>
      <c r="B1856">
        <v>42943</v>
      </c>
      <c r="C1856">
        <v>0.3717361111111111</v>
      </c>
      <c r="D1856">
        <v>0.37253472222222223</v>
      </c>
      <c r="E1856" s="2">
        <f t="shared" si="28"/>
        <v>7.9861111111112493E-4</v>
      </c>
    </row>
    <row r="1857" spans="1:5" x14ac:dyDescent="0.25">
      <c r="A1857">
        <v>0</v>
      </c>
      <c r="B1857">
        <v>42943</v>
      </c>
      <c r="C1857">
        <v>0.3737152777777778</v>
      </c>
      <c r="D1857">
        <v>0.37967592592592592</v>
      </c>
      <c r="E1857" s="2">
        <f t="shared" si="28"/>
        <v>5.9606481481481177E-3</v>
      </c>
    </row>
    <row r="1858" spans="1:5" x14ac:dyDescent="0.25">
      <c r="A1858">
        <v>0</v>
      </c>
      <c r="B1858">
        <v>42943</v>
      </c>
      <c r="C1858">
        <v>0.37664351851851852</v>
      </c>
      <c r="D1858">
        <v>0.38442129629629629</v>
      </c>
      <c r="E1858" s="2">
        <f t="shared" ref="E1858:E1921" si="29">D1858-C1858</f>
        <v>7.7777777777777724E-3</v>
      </c>
    </row>
    <row r="1859" spans="1:5" x14ac:dyDescent="0.25">
      <c r="A1859">
        <v>0</v>
      </c>
      <c r="B1859">
        <v>42943</v>
      </c>
      <c r="C1859">
        <v>0.37973379629629628</v>
      </c>
      <c r="D1859">
        <v>0.38395833333333335</v>
      </c>
      <c r="E1859" s="2">
        <f t="shared" si="29"/>
        <v>4.2245370370370683E-3</v>
      </c>
    </row>
    <row r="1860" spans="1:5" x14ac:dyDescent="0.25">
      <c r="A1860">
        <v>0</v>
      </c>
      <c r="B1860">
        <v>42943</v>
      </c>
      <c r="C1860">
        <v>0.38571759259259258</v>
      </c>
      <c r="D1860">
        <v>0.39556712962962964</v>
      </c>
      <c r="E1860" s="2">
        <f t="shared" si="29"/>
        <v>9.8495370370370594E-3</v>
      </c>
    </row>
    <row r="1861" spans="1:5" x14ac:dyDescent="0.25">
      <c r="A1861">
        <v>0</v>
      </c>
      <c r="B1861">
        <v>42943</v>
      </c>
      <c r="C1861">
        <v>0.38997685185185182</v>
      </c>
      <c r="D1861">
        <v>0.39743055555555556</v>
      </c>
      <c r="E1861" s="2">
        <f t="shared" si="29"/>
        <v>7.4537037037037401E-3</v>
      </c>
    </row>
    <row r="1862" spans="1:5" x14ac:dyDescent="0.25">
      <c r="A1862">
        <v>0</v>
      </c>
      <c r="B1862">
        <v>42943</v>
      </c>
      <c r="C1862">
        <v>0.39451388888888889</v>
      </c>
      <c r="D1862">
        <v>0.39609953703703704</v>
      </c>
      <c r="E1862" s="2">
        <f t="shared" si="29"/>
        <v>1.5856481481481555E-3</v>
      </c>
    </row>
    <row r="1863" spans="1:5" x14ac:dyDescent="0.25">
      <c r="A1863">
        <v>0</v>
      </c>
      <c r="B1863">
        <v>42943</v>
      </c>
      <c r="C1863">
        <v>0.3967013888888889</v>
      </c>
      <c r="D1863">
        <v>0.40182870370370372</v>
      </c>
      <c r="E1863" s="2">
        <f t="shared" si="29"/>
        <v>5.1273148148148207E-3</v>
      </c>
    </row>
    <row r="1864" spans="1:5" x14ac:dyDescent="0.25">
      <c r="A1864">
        <v>0</v>
      </c>
      <c r="B1864">
        <v>42943</v>
      </c>
      <c r="C1864">
        <v>0.39812500000000001</v>
      </c>
      <c r="D1864">
        <v>0.39895833333333336</v>
      </c>
      <c r="E1864" s="2">
        <f t="shared" si="29"/>
        <v>8.3333333333335258E-4</v>
      </c>
    </row>
    <row r="1865" spans="1:5" x14ac:dyDescent="0.25">
      <c r="A1865">
        <v>0</v>
      </c>
      <c r="B1865">
        <v>42943</v>
      </c>
      <c r="C1865">
        <v>0.40266203703703701</v>
      </c>
      <c r="D1865">
        <v>0.4073148148148148</v>
      </c>
      <c r="E1865" s="2">
        <f t="shared" si="29"/>
        <v>4.6527777777777835E-3</v>
      </c>
    </row>
    <row r="1866" spans="1:5" x14ac:dyDescent="0.25">
      <c r="A1866">
        <v>0</v>
      </c>
      <c r="B1866">
        <v>42943</v>
      </c>
      <c r="C1866">
        <v>0.40710648148148149</v>
      </c>
      <c r="D1866">
        <v>0.40740740740740738</v>
      </c>
      <c r="E1866" s="2">
        <f t="shared" si="29"/>
        <v>3.0092592592589895E-4</v>
      </c>
    </row>
    <row r="1867" spans="1:5" x14ac:dyDescent="0.25">
      <c r="A1867">
        <v>0</v>
      </c>
      <c r="B1867">
        <v>42943</v>
      </c>
      <c r="C1867">
        <v>0.40751157407407407</v>
      </c>
      <c r="D1867">
        <v>0.41725694444444444</v>
      </c>
      <c r="E1867" s="2">
        <f t="shared" si="29"/>
        <v>9.7453703703703765E-3</v>
      </c>
    </row>
    <row r="1868" spans="1:5" x14ac:dyDescent="0.25">
      <c r="A1868">
        <v>0</v>
      </c>
      <c r="B1868">
        <v>42943</v>
      </c>
      <c r="C1868">
        <v>0.41244212962962962</v>
      </c>
      <c r="D1868">
        <v>0.41619212962962965</v>
      </c>
      <c r="E1868" s="2">
        <f t="shared" si="29"/>
        <v>3.7500000000000311E-3</v>
      </c>
    </row>
    <row r="1869" spans="1:5" x14ac:dyDescent="0.25">
      <c r="A1869">
        <v>0</v>
      </c>
      <c r="B1869">
        <v>42943</v>
      </c>
      <c r="C1869">
        <v>0.41363425925925928</v>
      </c>
      <c r="D1869">
        <v>0.41902777777777778</v>
      </c>
      <c r="E1869" s="2">
        <f t="shared" si="29"/>
        <v>5.393518518518492E-3</v>
      </c>
    </row>
    <row r="1870" spans="1:5" x14ac:dyDescent="0.25">
      <c r="A1870">
        <v>0</v>
      </c>
      <c r="B1870">
        <v>42943</v>
      </c>
      <c r="C1870">
        <v>0.41783564814814816</v>
      </c>
      <c r="D1870">
        <v>0.42383101851851851</v>
      </c>
      <c r="E1870" s="2">
        <f t="shared" si="29"/>
        <v>5.9953703703703454E-3</v>
      </c>
    </row>
    <row r="1871" spans="1:5" x14ac:dyDescent="0.25">
      <c r="A1871">
        <v>0</v>
      </c>
      <c r="B1871">
        <v>42943</v>
      </c>
      <c r="C1871">
        <v>0.42357638888888888</v>
      </c>
      <c r="D1871">
        <v>0.43</v>
      </c>
      <c r="E1871" s="2">
        <f t="shared" si="29"/>
        <v>6.423611111111116E-3</v>
      </c>
    </row>
    <row r="1872" spans="1:5" x14ac:dyDescent="0.25">
      <c r="A1872">
        <v>0</v>
      </c>
      <c r="B1872">
        <v>42943</v>
      </c>
      <c r="C1872">
        <v>0.424375</v>
      </c>
      <c r="D1872">
        <v>0.42505787037037035</v>
      </c>
      <c r="E1872" s="2">
        <f t="shared" si="29"/>
        <v>6.8287037037034759E-4</v>
      </c>
    </row>
    <row r="1873" spans="1:5" x14ac:dyDescent="0.25">
      <c r="A1873">
        <v>0</v>
      </c>
      <c r="B1873">
        <v>42943</v>
      </c>
      <c r="C1873">
        <v>0.42849537037037039</v>
      </c>
      <c r="D1873">
        <v>0.4372800925925926</v>
      </c>
      <c r="E1873" s="2">
        <f t="shared" si="29"/>
        <v>8.7847222222222077E-3</v>
      </c>
    </row>
    <row r="1874" spans="1:5" x14ac:dyDescent="0.25">
      <c r="A1874">
        <v>0</v>
      </c>
      <c r="B1874">
        <v>42943</v>
      </c>
      <c r="C1874">
        <v>0.42925925925925928</v>
      </c>
      <c r="D1874">
        <v>0.43239583333333331</v>
      </c>
      <c r="E1874" s="2">
        <f t="shared" si="29"/>
        <v>3.1365740740740278E-3</v>
      </c>
    </row>
    <row r="1875" spans="1:5" x14ac:dyDescent="0.25">
      <c r="A1875">
        <v>0</v>
      </c>
      <c r="B1875">
        <v>42943</v>
      </c>
      <c r="C1875">
        <v>0.43262731481481481</v>
      </c>
      <c r="D1875">
        <v>0.43929398148148147</v>
      </c>
      <c r="E1875" s="2">
        <f t="shared" si="29"/>
        <v>6.6666666666666541E-3</v>
      </c>
    </row>
    <row r="1876" spans="1:5" x14ac:dyDescent="0.25">
      <c r="A1876">
        <v>0</v>
      </c>
      <c r="B1876">
        <v>42943</v>
      </c>
      <c r="C1876">
        <v>0.43387731481481484</v>
      </c>
      <c r="D1876">
        <v>0.44252314814814814</v>
      </c>
      <c r="E1876" s="2">
        <f t="shared" si="29"/>
        <v>8.6458333333332971E-3</v>
      </c>
    </row>
    <row r="1877" spans="1:5" x14ac:dyDescent="0.25">
      <c r="A1877">
        <v>0</v>
      </c>
      <c r="B1877">
        <v>42943</v>
      </c>
      <c r="C1877">
        <v>0.4384953703703704</v>
      </c>
      <c r="D1877">
        <v>0.44209490740740742</v>
      </c>
      <c r="E1877" s="2">
        <f t="shared" si="29"/>
        <v>3.5995370370370261E-3</v>
      </c>
    </row>
    <row r="1878" spans="1:5" x14ac:dyDescent="0.25">
      <c r="A1878">
        <v>0</v>
      </c>
      <c r="B1878">
        <v>42943</v>
      </c>
      <c r="C1878">
        <v>0.44003472222222223</v>
      </c>
      <c r="D1878">
        <v>0.44219907407407405</v>
      </c>
      <c r="E1878" s="2">
        <f t="shared" si="29"/>
        <v>2.1643518518518201E-3</v>
      </c>
    </row>
    <row r="1879" spans="1:5" x14ac:dyDescent="0.25">
      <c r="A1879">
        <v>0</v>
      </c>
      <c r="B1879">
        <v>42943</v>
      </c>
      <c r="C1879">
        <v>0.44006944444444446</v>
      </c>
      <c r="D1879">
        <v>0.44208333333333333</v>
      </c>
      <c r="E1879" s="2">
        <f t="shared" si="29"/>
        <v>2.0138888888888706E-3</v>
      </c>
    </row>
    <row r="1880" spans="1:5" x14ac:dyDescent="0.25">
      <c r="A1880">
        <v>0</v>
      </c>
      <c r="B1880">
        <v>42943</v>
      </c>
      <c r="C1880">
        <v>0.44490740740740742</v>
      </c>
      <c r="D1880">
        <v>0.45071759259259259</v>
      </c>
      <c r="E1880" s="2">
        <f t="shared" si="29"/>
        <v>5.8101851851851682E-3</v>
      </c>
    </row>
    <row r="1881" spans="1:5" x14ac:dyDescent="0.25">
      <c r="A1881">
        <v>0</v>
      </c>
      <c r="B1881">
        <v>42943</v>
      </c>
      <c r="C1881">
        <v>0.44996527777777778</v>
      </c>
      <c r="D1881">
        <v>0.45952546296296298</v>
      </c>
      <c r="E1881" s="2">
        <f t="shared" si="29"/>
        <v>9.5601851851851993E-3</v>
      </c>
    </row>
    <row r="1882" spans="1:5" x14ac:dyDescent="0.25">
      <c r="A1882">
        <v>0</v>
      </c>
      <c r="B1882">
        <v>42943</v>
      </c>
      <c r="C1882">
        <v>0.45157407407407407</v>
      </c>
      <c r="D1882">
        <v>0.455625</v>
      </c>
      <c r="E1882" s="2">
        <f t="shared" si="29"/>
        <v>4.05092592592593E-3</v>
      </c>
    </row>
    <row r="1883" spans="1:5" x14ac:dyDescent="0.25">
      <c r="A1883">
        <v>0</v>
      </c>
      <c r="B1883">
        <v>42943</v>
      </c>
      <c r="C1883">
        <v>0.45729166666666665</v>
      </c>
      <c r="D1883">
        <v>0.46041666666666664</v>
      </c>
      <c r="E1883" s="2">
        <f t="shared" si="29"/>
        <v>3.1249999999999889E-3</v>
      </c>
    </row>
    <row r="1884" spans="1:5" x14ac:dyDescent="0.25">
      <c r="A1884">
        <v>0</v>
      </c>
      <c r="B1884">
        <v>42943</v>
      </c>
      <c r="C1884">
        <v>0.46151620370370372</v>
      </c>
      <c r="D1884">
        <v>0.46604166666666669</v>
      </c>
      <c r="E1884" s="2">
        <f t="shared" si="29"/>
        <v>4.5254629629629672E-3</v>
      </c>
    </row>
    <row r="1885" spans="1:5" x14ac:dyDescent="0.25">
      <c r="A1885">
        <v>0</v>
      </c>
      <c r="B1885">
        <v>42943</v>
      </c>
      <c r="C1885">
        <v>0.46175925925925926</v>
      </c>
      <c r="D1885">
        <v>0.46263888888888888</v>
      </c>
      <c r="E1885" s="2">
        <f t="shared" si="29"/>
        <v>8.796296296296191E-4</v>
      </c>
    </row>
    <row r="1886" spans="1:5" x14ac:dyDescent="0.25">
      <c r="A1886">
        <v>0</v>
      </c>
      <c r="B1886">
        <v>42943</v>
      </c>
      <c r="C1886">
        <v>0.46474537037037039</v>
      </c>
      <c r="D1886">
        <v>0.47486111111111112</v>
      </c>
      <c r="E1886" s="2">
        <f t="shared" si="29"/>
        <v>1.0115740740740731E-2</v>
      </c>
    </row>
    <row r="1887" spans="1:5" x14ac:dyDescent="0.25">
      <c r="A1887">
        <v>0</v>
      </c>
      <c r="B1887">
        <v>42943</v>
      </c>
      <c r="C1887">
        <v>0.46687499999999998</v>
      </c>
      <c r="D1887">
        <v>0.47510416666666666</v>
      </c>
      <c r="E1887" s="2">
        <f t="shared" si="29"/>
        <v>8.2291666666666763E-3</v>
      </c>
    </row>
    <row r="1888" spans="1:5" x14ac:dyDescent="0.25">
      <c r="A1888">
        <v>0</v>
      </c>
      <c r="B1888">
        <v>42943</v>
      </c>
      <c r="C1888">
        <v>0.4707175925925926</v>
      </c>
      <c r="D1888">
        <v>0.47547453703703701</v>
      </c>
      <c r="E1888" s="2">
        <f t="shared" si="29"/>
        <v>4.7569444444444109E-3</v>
      </c>
    </row>
    <row r="1889" spans="1:5" x14ac:dyDescent="0.25">
      <c r="A1889">
        <v>0</v>
      </c>
      <c r="B1889">
        <v>42943</v>
      </c>
      <c r="C1889">
        <v>0.47394675925925928</v>
      </c>
      <c r="D1889">
        <v>0.47922453703703705</v>
      </c>
      <c r="E1889" s="2">
        <f t="shared" si="29"/>
        <v>5.2777777777777701E-3</v>
      </c>
    </row>
    <row r="1890" spans="1:5" x14ac:dyDescent="0.25">
      <c r="A1890">
        <v>0</v>
      </c>
      <c r="B1890">
        <v>42943</v>
      </c>
      <c r="C1890">
        <v>0.47550925925925924</v>
      </c>
      <c r="D1890">
        <v>0.47930555555555554</v>
      </c>
      <c r="E1890" s="2">
        <f t="shared" si="29"/>
        <v>3.7962962962962976E-3</v>
      </c>
    </row>
    <row r="1891" spans="1:5" x14ac:dyDescent="0.25">
      <c r="A1891">
        <v>0</v>
      </c>
      <c r="B1891">
        <v>42943</v>
      </c>
      <c r="C1891">
        <v>0.48085648148148147</v>
      </c>
      <c r="D1891">
        <v>0.48893518518518519</v>
      </c>
      <c r="E1891" s="2">
        <f t="shared" si="29"/>
        <v>8.0787037037037268E-3</v>
      </c>
    </row>
    <row r="1892" spans="1:5" x14ac:dyDescent="0.25">
      <c r="A1892">
        <v>0</v>
      </c>
      <c r="B1892">
        <v>42943</v>
      </c>
      <c r="C1892">
        <v>0.48528935185185185</v>
      </c>
      <c r="D1892">
        <v>0.48694444444444446</v>
      </c>
      <c r="E1892" s="2">
        <f t="shared" si="29"/>
        <v>1.6550925925926108E-3</v>
      </c>
    </row>
    <row r="1893" spans="1:5" x14ac:dyDescent="0.25">
      <c r="A1893">
        <v>0</v>
      </c>
      <c r="B1893">
        <v>42943</v>
      </c>
      <c r="C1893">
        <v>0.4855902777777778</v>
      </c>
      <c r="D1893">
        <v>0.49710648148148145</v>
      </c>
      <c r="E1893" s="2">
        <f t="shared" si="29"/>
        <v>1.1516203703703654E-2</v>
      </c>
    </row>
    <row r="1894" spans="1:5" x14ac:dyDescent="0.25">
      <c r="A1894">
        <v>0</v>
      </c>
      <c r="B1894">
        <v>42943</v>
      </c>
      <c r="C1894">
        <v>0.49075231481481479</v>
      </c>
      <c r="D1894">
        <v>0.49836805555555558</v>
      </c>
      <c r="E1894" s="2">
        <f t="shared" si="29"/>
        <v>7.615740740740784E-3</v>
      </c>
    </row>
    <row r="1895" spans="1:5" x14ac:dyDescent="0.25">
      <c r="A1895">
        <v>0</v>
      </c>
      <c r="B1895">
        <v>42943</v>
      </c>
      <c r="C1895">
        <v>0.49561342592592594</v>
      </c>
      <c r="D1895">
        <v>0.49716435185185187</v>
      </c>
      <c r="E1895" s="2">
        <f t="shared" si="29"/>
        <v>1.5509259259259278E-3</v>
      </c>
    </row>
    <row r="1896" spans="1:5" x14ac:dyDescent="0.25">
      <c r="A1896">
        <v>0</v>
      </c>
      <c r="B1896">
        <v>42943</v>
      </c>
      <c r="C1896">
        <v>0.49716435185185187</v>
      </c>
      <c r="D1896">
        <v>0.50270833333333331</v>
      </c>
      <c r="E1896" s="2">
        <f t="shared" si="29"/>
        <v>5.5439814814814414E-3</v>
      </c>
    </row>
    <row r="1897" spans="1:5" x14ac:dyDescent="0.25">
      <c r="A1897">
        <v>0</v>
      </c>
      <c r="B1897">
        <v>42943</v>
      </c>
      <c r="C1897">
        <v>0.50123842592592593</v>
      </c>
      <c r="D1897">
        <v>0.5084143518518518</v>
      </c>
      <c r="E1897" s="2">
        <f t="shared" si="29"/>
        <v>7.1759259259258634E-3</v>
      </c>
    </row>
    <row r="1898" spans="1:5" x14ac:dyDescent="0.25">
      <c r="A1898">
        <v>0</v>
      </c>
      <c r="B1898">
        <v>42943</v>
      </c>
      <c r="C1898">
        <v>0.50361111111111112</v>
      </c>
      <c r="D1898">
        <v>0.51285879629629627</v>
      </c>
      <c r="E1898" s="2">
        <f t="shared" si="29"/>
        <v>9.2476851851851505E-3</v>
      </c>
    </row>
    <row r="1899" spans="1:5" x14ac:dyDescent="0.25">
      <c r="A1899">
        <v>0</v>
      </c>
      <c r="B1899">
        <v>42943</v>
      </c>
      <c r="C1899">
        <v>0.50722222222222224</v>
      </c>
      <c r="D1899">
        <v>0.50762731481481482</v>
      </c>
      <c r="E1899" s="2">
        <f t="shared" si="29"/>
        <v>4.050925925925819E-4</v>
      </c>
    </row>
    <row r="1900" spans="1:5" x14ac:dyDescent="0.25">
      <c r="A1900">
        <v>0</v>
      </c>
      <c r="B1900">
        <v>42943</v>
      </c>
      <c r="C1900">
        <v>0.51086805555555559</v>
      </c>
      <c r="D1900">
        <v>0.516087962962963</v>
      </c>
      <c r="E1900" s="2">
        <f t="shared" si="29"/>
        <v>5.2199074074074092E-3</v>
      </c>
    </row>
    <row r="1901" spans="1:5" x14ac:dyDescent="0.25">
      <c r="A1901">
        <v>0</v>
      </c>
      <c r="B1901">
        <v>42943</v>
      </c>
      <c r="C1901">
        <v>0.51563657407407404</v>
      </c>
      <c r="D1901">
        <v>0.52396990740740745</v>
      </c>
      <c r="E1901" s="2">
        <f t="shared" si="29"/>
        <v>8.3333333333334147E-3</v>
      </c>
    </row>
    <row r="1902" spans="1:5" x14ac:dyDescent="0.25">
      <c r="A1902">
        <v>0</v>
      </c>
      <c r="B1902">
        <v>42943</v>
      </c>
      <c r="C1902">
        <v>0.52003472222222225</v>
      </c>
      <c r="D1902">
        <v>0.52927083333333336</v>
      </c>
      <c r="E1902" s="2">
        <f t="shared" si="29"/>
        <v>9.2361111111111116E-3</v>
      </c>
    </row>
    <row r="1903" spans="1:5" x14ac:dyDescent="0.25">
      <c r="A1903">
        <v>0</v>
      </c>
      <c r="B1903">
        <v>42943</v>
      </c>
      <c r="C1903">
        <v>0.52034722222222218</v>
      </c>
      <c r="D1903">
        <v>0.52137731481481486</v>
      </c>
      <c r="E1903" s="2">
        <f t="shared" si="29"/>
        <v>1.0300925925926796E-3</v>
      </c>
    </row>
    <row r="1904" spans="1:5" x14ac:dyDescent="0.25">
      <c r="A1904">
        <v>0</v>
      </c>
      <c r="B1904">
        <v>42943</v>
      </c>
      <c r="C1904">
        <v>0.52368055555555559</v>
      </c>
      <c r="D1904">
        <v>0.52627314814814818</v>
      </c>
      <c r="E1904" s="2">
        <f t="shared" si="29"/>
        <v>2.5925925925925908E-3</v>
      </c>
    </row>
    <row r="1905" spans="1:5" x14ac:dyDescent="0.25">
      <c r="A1905">
        <v>0</v>
      </c>
      <c r="B1905">
        <v>42943</v>
      </c>
      <c r="C1905">
        <v>0.52460648148148148</v>
      </c>
      <c r="D1905">
        <v>0.52971064814814817</v>
      </c>
      <c r="E1905" s="2">
        <f t="shared" si="29"/>
        <v>5.1041666666666874E-3</v>
      </c>
    </row>
    <row r="1906" spans="1:5" x14ac:dyDescent="0.25">
      <c r="A1906">
        <v>0</v>
      </c>
      <c r="B1906">
        <v>42943</v>
      </c>
      <c r="C1906">
        <v>0.52993055555555557</v>
      </c>
      <c r="D1906">
        <v>0.53739583333333329</v>
      </c>
      <c r="E1906" s="2">
        <f t="shared" si="29"/>
        <v>7.4652777777777235E-3</v>
      </c>
    </row>
    <row r="1907" spans="1:5" x14ac:dyDescent="0.25">
      <c r="A1907">
        <v>0</v>
      </c>
      <c r="B1907">
        <v>42943</v>
      </c>
      <c r="C1907">
        <v>0.53315972222222219</v>
      </c>
      <c r="D1907">
        <v>0.53454861111111107</v>
      </c>
      <c r="E1907" s="2">
        <f t="shared" si="29"/>
        <v>1.388888888888884E-3</v>
      </c>
    </row>
    <row r="1908" spans="1:5" x14ac:dyDescent="0.25">
      <c r="A1908">
        <v>0</v>
      </c>
      <c r="B1908">
        <v>42943</v>
      </c>
      <c r="C1908">
        <v>0.53666666666666663</v>
      </c>
      <c r="D1908">
        <v>0.54100694444444442</v>
      </c>
      <c r="E1908" s="2">
        <f t="shared" si="29"/>
        <v>4.3402777777777901E-3</v>
      </c>
    </row>
    <row r="1909" spans="1:5" x14ac:dyDescent="0.25">
      <c r="A1909">
        <v>0</v>
      </c>
      <c r="B1909">
        <v>42943</v>
      </c>
      <c r="C1909">
        <v>0.54144675925925922</v>
      </c>
      <c r="D1909">
        <v>0.54313657407407412</v>
      </c>
      <c r="E1909" s="2">
        <f t="shared" si="29"/>
        <v>1.6898148148148939E-3</v>
      </c>
    </row>
    <row r="1910" spans="1:5" x14ac:dyDescent="0.25">
      <c r="A1910">
        <v>0</v>
      </c>
      <c r="B1910">
        <v>42943</v>
      </c>
      <c r="C1910">
        <v>0.54194444444444445</v>
      </c>
      <c r="D1910">
        <v>0.5513541666666667</v>
      </c>
      <c r="E1910" s="2">
        <f t="shared" si="29"/>
        <v>9.4097222222222499E-3</v>
      </c>
    </row>
    <row r="1911" spans="1:5" x14ac:dyDescent="0.25">
      <c r="A1911">
        <v>0</v>
      </c>
      <c r="B1911">
        <v>42943</v>
      </c>
      <c r="C1911">
        <v>0.54600694444444442</v>
      </c>
      <c r="D1911">
        <v>0.54866898148148147</v>
      </c>
      <c r="E1911" s="2">
        <f t="shared" si="29"/>
        <v>2.6620370370370461E-3</v>
      </c>
    </row>
    <row r="1912" spans="1:5" x14ac:dyDescent="0.25">
      <c r="A1912">
        <v>0</v>
      </c>
      <c r="B1912">
        <v>42943</v>
      </c>
      <c r="C1912">
        <v>0.54690972222222223</v>
      </c>
      <c r="D1912">
        <v>0.54707175925925922</v>
      </c>
      <c r="E1912" s="2">
        <f t="shared" si="29"/>
        <v>1.6203703703698835E-4</v>
      </c>
    </row>
    <row r="1913" spans="1:5" x14ac:dyDescent="0.25">
      <c r="A1913">
        <v>0</v>
      </c>
      <c r="B1913">
        <v>42943</v>
      </c>
      <c r="C1913">
        <v>0.55092592592592593</v>
      </c>
      <c r="D1913">
        <v>0.56030092592592595</v>
      </c>
      <c r="E1913" s="2">
        <f t="shared" si="29"/>
        <v>9.3750000000000222E-3</v>
      </c>
    </row>
    <row r="1914" spans="1:5" x14ac:dyDescent="0.25">
      <c r="A1914">
        <v>0</v>
      </c>
      <c r="B1914">
        <v>42943</v>
      </c>
      <c r="C1914">
        <v>0.55116898148148152</v>
      </c>
      <c r="D1914">
        <v>0.56047453703703709</v>
      </c>
      <c r="E1914" s="2">
        <f t="shared" si="29"/>
        <v>9.3055555555555669E-3</v>
      </c>
    </row>
    <row r="1915" spans="1:5" x14ac:dyDescent="0.25">
      <c r="A1915">
        <v>0</v>
      </c>
      <c r="B1915">
        <v>42943</v>
      </c>
      <c r="C1915">
        <v>0.55174768518518513</v>
      </c>
      <c r="D1915">
        <v>0.55920138888888893</v>
      </c>
      <c r="E1915" s="2">
        <f t="shared" si="29"/>
        <v>7.4537037037037956E-3</v>
      </c>
    </row>
    <row r="1916" spans="1:5" x14ac:dyDescent="0.25">
      <c r="A1916">
        <v>0</v>
      </c>
      <c r="B1916">
        <v>42943</v>
      </c>
      <c r="C1916">
        <v>0.55718749999999995</v>
      </c>
      <c r="D1916">
        <v>0.55753472222222222</v>
      </c>
      <c r="E1916" s="2">
        <f t="shared" si="29"/>
        <v>3.472222222222765E-4</v>
      </c>
    </row>
    <row r="1917" spans="1:5" x14ac:dyDescent="0.25">
      <c r="A1917">
        <v>0</v>
      </c>
      <c r="B1917">
        <v>42943</v>
      </c>
      <c r="C1917">
        <v>0.55995370370370368</v>
      </c>
      <c r="D1917">
        <v>0.56405092592592587</v>
      </c>
      <c r="E1917" s="2">
        <f t="shared" si="29"/>
        <v>4.0972222222221966E-3</v>
      </c>
    </row>
    <row r="1918" spans="1:5" x14ac:dyDescent="0.25">
      <c r="A1918">
        <v>0</v>
      </c>
      <c r="B1918">
        <v>42943</v>
      </c>
      <c r="C1918">
        <v>0.56268518518518518</v>
      </c>
      <c r="D1918">
        <v>0.56517361111111108</v>
      </c>
      <c r="E1918" s="2">
        <f t="shared" si="29"/>
        <v>2.4884259259259078E-3</v>
      </c>
    </row>
    <row r="1919" spans="1:5" x14ac:dyDescent="0.25">
      <c r="A1919">
        <v>0</v>
      </c>
      <c r="B1919">
        <v>42943</v>
      </c>
      <c r="C1919">
        <v>0.56680555555555556</v>
      </c>
      <c r="D1919">
        <v>0.56877314814814817</v>
      </c>
      <c r="E1919" s="2">
        <f t="shared" si="29"/>
        <v>1.9675925925926041E-3</v>
      </c>
    </row>
    <row r="1920" spans="1:5" x14ac:dyDescent="0.25">
      <c r="A1920">
        <v>0</v>
      </c>
      <c r="B1920">
        <v>42943</v>
      </c>
      <c r="C1920">
        <v>0.57233796296296291</v>
      </c>
      <c r="D1920">
        <v>0.57620370370370366</v>
      </c>
      <c r="E1920" s="2">
        <f t="shared" si="29"/>
        <v>3.8657407407407529E-3</v>
      </c>
    </row>
    <row r="1921" spans="1:5" x14ac:dyDescent="0.25">
      <c r="A1921">
        <v>0</v>
      </c>
      <c r="B1921">
        <v>42943</v>
      </c>
      <c r="C1921">
        <v>0.57563657407407409</v>
      </c>
      <c r="D1921">
        <v>0.57976851851851852</v>
      </c>
      <c r="E1921" s="2">
        <f t="shared" si="29"/>
        <v>4.1319444444444242E-3</v>
      </c>
    </row>
    <row r="1922" spans="1:5" x14ac:dyDescent="0.25">
      <c r="A1922">
        <v>0</v>
      </c>
      <c r="B1922">
        <v>42943</v>
      </c>
      <c r="C1922">
        <v>0.58034722222222224</v>
      </c>
      <c r="D1922">
        <v>0.58803240740740736</v>
      </c>
      <c r="E1922" s="2">
        <f t="shared" ref="E1922:E1985" si="30">D1922-C1922</f>
        <v>7.6851851851851283E-3</v>
      </c>
    </row>
    <row r="1923" spans="1:5" x14ac:dyDescent="0.25">
      <c r="A1923">
        <v>0</v>
      </c>
      <c r="B1923">
        <v>42943</v>
      </c>
      <c r="C1923">
        <v>0.58589120370370373</v>
      </c>
      <c r="D1923">
        <v>0.59706018518518522</v>
      </c>
      <c r="E1923" s="2">
        <f t="shared" si="30"/>
        <v>1.1168981481481488E-2</v>
      </c>
    </row>
    <row r="1924" spans="1:5" x14ac:dyDescent="0.25">
      <c r="A1924">
        <v>0</v>
      </c>
      <c r="B1924">
        <v>42943</v>
      </c>
      <c r="C1924">
        <v>0.58601851851851849</v>
      </c>
      <c r="D1924">
        <v>0.58971064814814811</v>
      </c>
      <c r="E1924" s="2">
        <f t="shared" si="30"/>
        <v>3.6921296296296147E-3</v>
      </c>
    </row>
    <row r="1925" spans="1:5" x14ac:dyDescent="0.25">
      <c r="A1925">
        <v>0</v>
      </c>
      <c r="B1925">
        <v>42943</v>
      </c>
      <c r="C1925">
        <v>0.58655092592592595</v>
      </c>
      <c r="D1925">
        <v>0.59761574074074075</v>
      </c>
      <c r="E1925" s="2">
        <f t="shared" si="30"/>
        <v>1.1064814814814805E-2</v>
      </c>
    </row>
    <row r="1926" spans="1:5" x14ac:dyDescent="0.25">
      <c r="A1926">
        <v>0</v>
      </c>
      <c r="B1926">
        <v>42943</v>
      </c>
      <c r="C1926">
        <v>0.58733796296296292</v>
      </c>
      <c r="D1926">
        <v>0.59475694444444449</v>
      </c>
      <c r="E1926" s="2">
        <f t="shared" si="30"/>
        <v>7.418981481481568E-3</v>
      </c>
    </row>
    <row r="1927" spans="1:5" x14ac:dyDescent="0.25">
      <c r="A1927">
        <v>0</v>
      </c>
      <c r="B1927">
        <v>42943</v>
      </c>
      <c r="C1927">
        <v>0.59228009259259262</v>
      </c>
      <c r="D1927">
        <v>0.60034722222222225</v>
      </c>
      <c r="E1927" s="2">
        <f t="shared" si="30"/>
        <v>8.0671296296296324E-3</v>
      </c>
    </row>
    <row r="1928" spans="1:5" x14ac:dyDescent="0.25">
      <c r="A1928">
        <v>0</v>
      </c>
      <c r="B1928">
        <v>42943</v>
      </c>
      <c r="C1928">
        <v>0.59624999999999995</v>
      </c>
      <c r="D1928">
        <v>0.59810185185185183</v>
      </c>
      <c r="E1928" s="2">
        <f t="shared" si="30"/>
        <v>1.8518518518518823E-3</v>
      </c>
    </row>
    <row r="1929" spans="1:5" x14ac:dyDescent="0.25">
      <c r="A1929">
        <v>0</v>
      </c>
      <c r="B1929">
        <v>42943</v>
      </c>
      <c r="C1929">
        <v>0.60160879629629627</v>
      </c>
      <c r="D1929">
        <v>0.61234953703703698</v>
      </c>
      <c r="E1929" s="2">
        <f t="shared" si="30"/>
        <v>1.0740740740740717E-2</v>
      </c>
    </row>
    <row r="1930" spans="1:5" x14ac:dyDescent="0.25">
      <c r="A1930">
        <v>0</v>
      </c>
      <c r="B1930">
        <v>42943</v>
      </c>
      <c r="C1930">
        <v>0.60339120370370369</v>
      </c>
      <c r="D1930">
        <v>0.61410879629629633</v>
      </c>
      <c r="E1930" s="2">
        <f t="shared" si="30"/>
        <v>1.071759259259264E-2</v>
      </c>
    </row>
    <row r="1931" spans="1:5" x14ac:dyDescent="0.25">
      <c r="A1931">
        <v>0</v>
      </c>
      <c r="B1931">
        <v>42943</v>
      </c>
      <c r="C1931">
        <v>0.60826388888888894</v>
      </c>
      <c r="D1931">
        <v>0.61071759259259262</v>
      </c>
      <c r="E1931" s="2">
        <f t="shared" si="30"/>
        <v>2.4537037037036802E-3</v>
      </c>
    </row>
    <row r="1932" spans="1:5" x14ac:dyDescent="0.25">
      <c r="A1932">
        <v>0</v>
      </c>
      <c r="B1932">
        <v>42943</v>
      </c>
      <c r="C1932">
        <v>0.61053240740740744</v>
      </c>
      <c r="D1932">
        <v>0.61406249999999996</v>
      </c>
      <c r="E1932" s="2">
        <f t="shared" si="30"/>
        <v>3.5300925925925153E-3</v>
      </c>
    </row>
    <row r="1933" spans="1:5" x14ac:dyDescent="0.25">
      <c r="A1933">
        <v>0</v>
      </c>
      <c r="B1933">
        <v>42943</v>
      </c>
      <c r="C1933">
        <v>0.61393518518518519</v>
      </c>
      <c r="D1933">
        <v>0.61831018518518521</v>
      </c>
      <c r="E1933" s="2">
        <f t="shared" si="30"/>
        <v>4.3750000000000178E-3</v>
      </c>
    </row>
    <row r="1934" spans="1:5" x14ac:dyDescent="0.25">
      <c r="A1934">
        <v>0</v>
      </c>
      <c r="B1934">
        <v>42943</v>
      </c>
      <c r="C1934">
        <v>0.61958333333333337</v>
      </c>
      <c r="D1934">
        <v>0.62275462962962957</v>
      </c>
      <c r="E1934" s="2">
        <f t="shared" si="30"/>
        <v>3.1712962962961999E-3</v>
      </c>
    </row>
    <row r="1935" spans="1:5" x14ac:dyDescent="0.25">
      <c r="A1935">
        <v>0</v>
      </c>
      <c r="B1935">
        <v>42943</v>
      </c>
      <c r="C1935">
        <v>0.62206018518518513</v>
      </c>
      <c r="D1935">
        <v>0.62554398148148149</v>
      </c>
      <c r="E1935" s="2">
        <f t="shared" si="30"/>
        <v>3.4837962962963598E-3</v>
      </c>
    </row>
    <row r="1936" spans="1:5" x14ac:dyDescent="0.25">
      <c r="A1936">
        <v>0</v>
      </c>
      <c r="B1936">
        <v>42943</v>
      </c>
      <c r="C1936">
        <v>0.6255208333333333</v>
      </c>
      <c r="D1936">
        <v>0.63026620370370368</v>
      </c>
      <c r="E1936" s="2">
        <f t="shared" si="30"/>
        <v>4.745370370370372E-3</v>
      </c>
    </row>
    <row r="1937" spans="1:5" x14ac:dyDescent="0.25">
      <c r="A1937">
        <v>0</v>
      </c>
      <c r="B1937">
        <v>42944</v>
      </c>
      <c r="C1937">
        <v>0.3369328703703704</v>
      </c>
      <c r="D1937">
        <v>0.34400462962962963</v>
      </c>
      <c r="E1937" s="2">
        <f t="shared" si="30"/>
        <v>7.071759259259236E-3</v>
      </c>
    </row>
    <row r="1938" spans="1:5" x14ac:dyDescent="0.25">
      <c r="A1938">
        <v>0</v>
      </c>
      <c r="B1938">
        <v>42944</v>
      </c>
      <c r="C1938">
        <v>0.33696759259259257</v>
      </c>
      <c r="D1938">
        <v>0.33809027777777778</v>
      </c>
      <c r="E1938" s="2">
        <f t="shared" si="30"/>
        <v>1.1226851851852127E-3</v>
      </c>
    </row>
    <row r="1939" spans="1:5" x14ac:dyDescent="0.25">
      <c r="A1939">
        <v>0</v>
      </c>
      <c r="B1939">
        <v>42944</v>
      </c>
      <c r="C1939">
        <v>0.33831018518518519</v>
      </c>
      <c r="D1939">
        <v>0.34758101851851853</v>
      </c>
      <c r="E1939" s="2">
        <f t="shared" si="30"/>
        <v>9.2708333333333393E-3</v>
      </c>
    </row>
    <row r="1940" spans="1:5" x14ac:dyDescent="0.25">
      <c r="A1940">
        <v>0</v>
      </c>
      <c r="B1940">
        <v>42944</v>
      </c>
      <c r="C1940">
        <v>0.33927083333333335</v>
      </c>
      <c r="D1940">
        <v>0.34861111111111109</v>
      </c>
      <c r="E1940" s="2">
        <f t="shared" si="30"/>
        <v>9.340277777777739E-3</v>
      </c>
    </row>
    <row r="1941" spans="1:5" x14ac:dyDescent="0.25">
      <c r="A1941">
        <v>0</v>
      </c>
      <c r="B1941">
        <v>42944</v>
      </c>
      <c r="C1941">
        <v>0.34497685185185184</v>
      </c>
      <c r="D1941">
        <v>0.35487268518518517</v>
      </c>
      <c r="E1941" s="2">
        <f t="shared" si="30"/>
        <v>9.8958333333333259E-3</v>
      </c>
    </row>
    <row r="1942" spans="1:5" x14ac:dyDescent="0.25">
      <c r="A1942">
        <v>0</v>
      </c>
      <c r="B1942">
        <v>42944</v>
      </c>
      <c r="C1942">
        <v>0.34826388888888887</v>
      </c>
      <c r="D1942">
        <v>0.34871527777777778</v>
      </c>
      <c r="E1942" s="2">
        <f t="shared" si="30"/>
        <v>4.5138888888890394E-4</v>
      </c>
    </row>
    <row r="1943" spans="1:5" x14ac:dyDescent="0.25">
      <c r="A1943">
        <v>0</v>
      </c>
      <c r="B1943">
        <v>42944</v>
      </c>
      <c r="C1943">
        <v>0.34932870370370372</v>
      </c>
      <c r="D1943">
        <v>0.35365740740740742</v>
      </c>
      <c r="E1943" s="2">
        <f t="shared" si="30"/>
        <v>4.3287037037036957E-3</v>
      </c>
    </row>
    <row r="1944" spans="1:5" x14ac:dyDescent="0.25">
      <c r="A1944">
        <v>0</v>
      </c>
      <c r="B1944">
        <v>42944</v>
      </c>
      <c r="C1944">
        <v>0.34983796296296299</v>
      </c>
      <c r="D1944">
        <v>0.35505787037037034</v>
      </c>
      <c r="E1944" s="2">
        <f t="shared" si="30"/>
        <v>5.2199074074073537E-3</v>
      </c>
    </row>
    <row r="1945" spans="1:5" x14ac:dyDescent="0.25">
      <c r="A1945">
        <v>0</v>
      </c>
      <c r="B1945">
        <v>42944</v>
      </c>
      <c r="C1945">
        <v>0.35519675925925925</v>
      </c>
      <c r="D1945">
        <v>0.36072916666666666</v>
      </c>
      <c r="E1945" s="2">
        <f t="shared" si="30"/>
        <v>5.5324074074074026E-3</v>
      </c>
    </row>
    <row r="1946" spans="1:5" x14ac:dyDescent="0.25">
      <c r="A1946">
        <v>0</v>
      </c>
      <c r="B1946">
        <v>42944</v>
      </c>
      <c r="C1946">
        <v>0.35749999999999998</v>
      </c>
      <c r="D1946">
        <v>0.36791666666666667</v>
      </c>
      <c r="E1946" s="2">
        <f t="shared" si="30"/>
        <v>1.0416666666666685E-2</v>
      </c>
    </row>
    <row r="1947" spans="1:5" x14ac:dyDescent="0.25">
      <c r="A1947">
        <v>0</v>
      </c>
      <c r="B1947">
        <v>42944</v>
      </c>
      <c r="C1947">
        <v>0.35806712962962961</v>
      </c>
      <c r="D1947">
        <v>0.36835648148148148</v>
      </c>
      <c r="E1947" s="2">
        <f t="shared" si="30"/>
        <v>1.0289351851851869E-2</v>
      </c>
    </row>
    <row r="1948" spans="1:5" x14ac:dyDescent="0.25">
      <c r="A1948">
        <v>0</v>
      </c>
      <c r="B1948">
        <v>42944</v>
      </c>
      <c r="C1948">
        <v>0.35957175925925927</v>
      </c>
      <c r="D1948">
        <v>0.3616435185185185</v>
      </c>
      <c r="E1948" s="2">
        <f t="shared" si="30"/>
        <v>2.0717592592592315E-3</v>
      </c>
    </row>
    <row r="1949" spans="1:5" x14ac:dyDescent="0.25">
      <c r="A1949">
        <v>0</v>
      </c>
      <c r="B1949">
        <v>42944</v>
      </c>
      <c r="C1949">
        <v>0.36321759259259262</v>
      </c>
      <c r="D1949">
        <v>0.36689814814814814</v>
      </c>
      <c r="E1949" s="2">
        <f t="shared" si="30"/>
        <v>3.6805555555555203E-3</v>
      </c>
    </row>
    <row r="1950" spans="1:5" x14ac:dyDescent="0.25">
      <c r="A1950">
        <v>0</v>
      </c>
      <c r="B1950">
        <v>42944</v>
      </c>
      <c r="C1950">
        <v>0.36768518518518517</v>
      </c>
      <c r="D1950">
        <v>0.3742476851851852</v>
      </c>
      <c r="E1950" s="2">
        <f t="shared" si="30"/>
        <v>6.5625000000000266E-3</v>
      </c>
    </row>
    <row r="1951" spans="1:5" x14ac:dyDescent="0.25">
      <c r="A1951">
        <v>0</v>
      </c>
      <c r="B1951">
        <v>42944</v>
      </c>
      <c r="C1951">
        <v>0.37162037037037038</v>
      </c>
      <c r="D1951">
        <v>0.37275462962962963</v>
      </c>
      <c r="E1951" s="2">
        <f t="shared" si="30"/>
        <v>1.1342592592592515E-3</v>
      </c>
    </row>
    <row r="1952" spans="1:5" x14ac:dyDescent="0.25">
      <c r="A1952">
        <v>0</v>
      </c>
      <c r="B1952">
        <v>42944</v>
      </c>
      <c r="C1952">
        <v>0.37327546296296299</v>
      </c>
      <c r="D1952">
        <v>0.37962962962962965</v>
      </c>
      <c r="E1952" s="2">
        <f t="shared" si="30"/>
        <v>6.3541666666666607E-3</v>
      </c>
    </row>
    <row r="1953" spans="1:5" x14ac:dyDescent="0.25">
      <c r="A1953">
        <v>0</v>
      </c>
      <c r="B1953">
        <v>42944</v>
      </c>
      <c r="C1953">
        <v>0.37513888888888891</v>
      </c>
      <c r="D1953">
        <v>0.3775</v>
      </c>
      <c r="E1953" s="2">
        <f t="shared" si="30"/>
        <v>2.3611111111110916E-3</v>
      </c>
    </row>
    <row r="1954" spans="1:5" x14ac:dyDescent="0.25">
      <c r="A1954">
        <v>0</v>
      </c>
      <c r="B1954">
        <v>42944</v>
      </c>
      <c r="C1954">
        <v>0.37793981481481481</v>
      </c>
      <c r="D1954">
        <v>0.3873611111111111</v>
      </c>
      <c r="E1954" s="2">
        <f t="shared" si="30"/>
        <v>9.4212962962962887E-3</v>
      </c>
    </row>
    <row r="1955" spans="1:5" x14ac:dyDescent="0.25">
      <c r="A1955">
        <v>0</v>
      </c>
      <c r="B1955">
        <v>42944</v>
      </c>
      <c r="C1955">
        <v>0.38305555555555554</v>
      </c>
      <c r="D1955">
        <v>0.38718750000000002</v>
      </c>
      <c r="E1955" s="2">
        <f t="shared" si="30"/>
        <v>4.1319444444444797E-3</v>
      </c>
    </row>
    <row r="1956" spans="1:5" x14ac:dyDescent="0.25">
      <c r="A1956">
        <v>0</v>
      </c>
      <c r="B1956">
        <v>42944</v>
      </c>
      <c r="C1956">
        <v>0.38849537037037035</v>
      </c>
      <c r="D1956">
        <v>0.39708333333333334</v>
      </c>
      <c r="E1956" s="2">
        <f t="shared" si="30"/>
        <v>8.5879629629629917E-3</v>
      </c>
    </row>
    <row r="1957" spans="1:5" x14ac:dyDescent="0.25">
      <c r="A1957">
        <v>0</v>
      </c>
      <c r="B1957">
        <v>42944</v>
      </c>
      <c r="C1957">
        <v>0.39005787037037037</v>
      </c>
      <c r="D1957">
        <v>0.39561342592592591</v>
      </c>
      <c r="E1957" s="2">
        <f t="shared" si="30"/>
        <v>5.5555555555555358E-3</v>
      </c>
    </row>
    <row r="1958" spans="1:5" x14ac:dyDescent="0.25">
      <c r="A1958">
        <v>0</v>
      </c>
      <c r="B1958">
        <v>42944</v>
      </c>
      <c r="C1958">
        <v>0.39269675925925923</v>
      </c>
      <c r="D1958">
        <v>0.40126157407407409</v>
      </c>
      <c r="E1958" s="2">
        <f t="shared" si="30"/>
        <v>8.5648148148148584E-3</v>
      </c>
    </row>
    <row r="1959" spans="1:5" x14ac:dyDescent="0.25">
      <c r="A1959">
        <v>0</v>
      </c>
      <c r="B1959">
        <v>42944</v>
      </c>
      <c r="C1959">
        <v>0.39303240740740741</v>
      </c>
      <c r="D1959">
        <v>0.39657407407407408</v>
      </c>
      <c r="E1959" s="2">
        <f t="shared" si="30"/>
        <v>3.5416666666666652E-3</v>
      </c>
    </row>
    <row r="1960" spans="1:5" x14ac:dyDescent="0.25">
      <c r="A1960">
        <v>0</v>
      </c>
      <c r="B1960">
        <v>42944</v>
      </c>
      <c r="C1960">
        <v>0.39825231481481482</v>
      </c>
      <c r="D1960">
        <v>0.39855324074074072</v>
      </c>
      <c r="E1960" s="2">
        <f t="shared" si="30"/>
        <v>3.0092592592589895E-4</v>
      </c>
    </row>
    <row r="1961" spans="1:5" x14ac:dyDescent="0.25">
      <c r="A1961">
        <v>0</v>
      </c>
      <c r="B1961">
        <v>42944</v>
      </c>
      <c r="C1961">
        <v>0.39922453703703703</v>
      </c>
      <c r="D1961">
        <v>0.40482638888888889</v>
      </c>
      <c r="E1961" s="2">
        <f t="shared" si="30"/>
        <v>5.6018518518518579E-3</v>
      </c>
    </row>
    <row r="1962" spans="1:5" x14ac:dyDescent="0.25">
      <c r="A1962">
        <v>0</v>
      </c>
      <c r="B1962">
        <v>42944</v>
      </c>
      <c r="C1962">
        <v>0.40277777777777779</v>
      </c>
      <c r="D1962">
        <v>0.40599537037037037</v>
      </c>
      <c r="E1962" s="2">
        <f t="shared" si="30"/>
        <v>3.2175925925925775E-3</v>
      </c>
    </row>
    <row r="1963" spans="1:5" x14ac:dyDescent="0.25">
      <c r="A1963">
        <v>0</v>
      </c>
      <c r="B1963">
        <v>42944</v>
      </c>
      <c r="C1963">
        <v>0.40842592592592591</v>
      </c>
      <c r="D1963">
        <v>0.41866898148148146</v>
      </c>
      <c r="E1963" s="2">
        <f t="shared" si="30"/>
        <v>1.0243055555555547E-2</v>
      </c>
    </row>
    <row r="1964" spans="1:5" x14ac:dyDescent="0.25">
      <c r="A1964">
        <v>0</v>
      </c>
      <c r="B1964">
        <v>42944</v>
      </c>
      <c r="C1964">
        <v>0.40956018518518517</v>
      </c>
      <c r="D1964">
        <v>0.41278935185185184</v>
      </c>
      <c r="E1964" s="2">
        <f t="shared" si="30"/>
        <v>3.2291666666666718E-3</v>
      </c>
    </row>
    <row r="1965" spans="1:5" x14ac:dyDescent="0.25">
      <c r="A1965">
        <v>0</v>
      </c>
      <c r="B1965">
        <v>42944</v>
      </c>
      <c r="C1965">
        <v>0.41228009259259257</v>
      </c>
      <c r="D1965">
        <v>0.41718749999999999</v>
      </c>
      <c r="E1965" s="2">
        <f t="shared" si="30"/>
        <v>4.9074074074074159E-3</v>
      </c>
    </row>
    <row r="1966" spans="1:5" x14ac:dyDescent="0.25">
      <c r="A1966">
        <v>0</v>
      </c>
      <c r="B1966">
        <v>42944</v>
      </c>
      <c r="C1966">
        <v>0.41521990740740738</v>
      </c>
      <c r="D1966">
        <v>0.41893518518518519</v>
      </c>
      <c r="E1966" s="2">
        <f t="shared" si="30"/>
        <v>3.7152777777778034E-3</v>
      </c>
    </row>
    <row r="1967" spans="1:5" x14ac:dyDescent="0.25">
      <c r="A1967">
        <v>0</v>
      </c>
      <c r="B1967">
        <v>42944</v>
      </c>
      <c r="C1967">
        <v>0.42093750000000002</v>
      </c>
      <c r="D1967">
        <v>0.42825231481481479</v>
      </c>
      <c r="E1967" s="2">
        <f t="shared" si="30"/>
        <v>7.314814814814774E-3</v>
      </c>
    </row>
    <row r="1968" spans="1:5" x14ac:dyDescent="0.25">
      <c r="A1968">
        <v>0</v>
      </c>
      <c r="B1968">
        <v>42944</v>
      </c>
      <c r="C1968">
        <v>0.42295138888888889</v>
      </c>
      <c r="D1968">
        <v>0.42423611111111109</v>
      </c>
      <c r="E1968" s="2">
        <f t="shared" si="30"/>
        <v>1.284722222222201E-3</v>
      </c>
    </row>
    <row r="1969" spans="1:5" x14ac:dyDescent="0.25">
      <c r="A1969">
        <v>0</v>
      </c>
      <c r="B1969">
        <v>42944</v>
      </c>
      <c r="C1969">
        <v>0.42478009259259258</v>
      </c>
      <c r="D1969">
        <v>0.43118055555555557</v>
      </c>
      <c r="E1969" s="2">
        <f t="shared" si="30"/>
        <v>6.4004629629629828E-3</v>
      </c>
    </row>
    <row r="1970" spans="1:5" x14ac:dyDescent="0.25">
      <c r="A1970">
        <v>0</v>
      </c>
      <c r="B1970">
        <v>42944</v>
      </c>
      <c r="C1970">
        <v>0.42781249999999998</v>
      </c>
      <c r="D1970">
        <v>0.43763888888888891</v>
      </c>
      <c r="E1970" s="2">
        <f t="shared" si="30"/>
        <v>9.8263888888889261E-3</v>
      </c>
    </row>
    <row r="1971" spans="1:5" x14ac:dyDescent="0.25">
      <c r="A1971">
        <v>0</v>
      </c>
      <c r="B1971">
        <v>42944</v>
      </c>
      <c r="C1971">
        <v>0.43131944444444442</v>
      </c>
      <c r="D1971">
        <v>0.4387152777777778</v>
      </c>
      <c r="E1971" s="2">
        <f t="shared" si="30"/>
        <v>7.3958333333333792E-3</v>
      </c>
    </row>
    <row r="1972" spans="1:5" x14ac:dyDescent="0.25">
      <c r="A1972">
        <v>0</v>
      </c>
      <c r="B1972">
        <v>42944</v>
      </c>
      <c r="C1972">
        <v>0.43351851851851853</v>
      </c>
      <c r="D1972">
        <v>0.4412152777777778</v>
      </c>
      <c r="E1972" s="2">
        <f t="shared" si="30"/>
        <v>7.6967592592592782E-3</v>
      </c>
    </row>
    <row r="1973" spans="1:5" x14ac:dyDescent="0.25">
      <c r="A1973">
        <v>0</v>
      </c>
      <c r="B1973">
        <v>42944</v>
      </c>
      <c r="C1973">
        <v>0.43552083333333336</v>
      </c>
      <c r="D1973">
        <v>0.44587962962962963</v>
      </c>
      <c r="E1973" s="2">
        <f t="shared" si="30"/>
        <v>1.0358796296296269E-2</v>
      </c>
    </row>
    <row r="1974" spans="1:5" x14ac:dyDescent="0.25">
      <c r="A1974">
        <v>0</v>
      </c>
      <c r="B1974">
        <v>42944</v>
      </c>
      <c r="C1974">
        <v>0.43975694444444446</v>
      </c>
      <c r="D1974">
        <v>0.4472800925925926</v>
      </c>
      <c r="E1974" s="2">
        <f t="shared" si="30"/>
        <v>7.5231481481481399E-3</v>
      </c>
    </row>
    <row r="1975" spans="1:5" x14ac:dyDescent="0.25">
      <c r="A1975">
        <v>0</v>
      </c>
      <c r="B1975">
        <v>42944</v>
      </c>
      <c r="C1975">
        <v>0.44490740740740742</v>
      </c>
      <c r="D1975">
        <v>0.44578703703703704</v>
      </c>
      <c r="E1975" s="2">
        <f t="shared" si="30"/>
        <v>8.796296296296191E-4</v>
      </c>
    </row>
    <row r="1976" spans="1:5" x14ac:dyDescent="0.25">
      <c r="A1976">
        <v>0</v>
      </c>
      <c r="B1976">
        <v>42944</v>
      </c>
      <c r="C1976">
        <v>0.44605324074074076</v>
      </c>
      <c r="D1976">
        <v>0.45253472222222224</v>
      </c>
      <c r="E1976" s="2">
        <f t="shared" si="30"/>
        <v>6.481481481481477E-3</v>
      </c>
    </row>
    <row r="1977" spans="1:5" x14ac:dyDescent="0.25">
      <c r="A1977">
        <v>0</v>
      </c>
      <c r="B1977">
        <v>42944</v>
      </c>
      <c r="C1977">
        <v>0.4506134259259259</v>
      </c>
      <c r="D1977">
        <v>0.45674768518518516</v>
      </c>
      <c r="E1977" s="2">
        <f t="shared" si="30"/>
        <v>6.134259259259256E-3</v>
      </c>
    </row>
    <row r="1978" spans="1:5" x14ac:dyDescent="0.25">
      <c r="A1978">
        <v>0</v>
      </c>
      <c r="B1978">
        <v>42944</v>
      </c>
      <c r="C1978">
        <v>0.45546296296296296</v>
      </c>
      <c r="D1978">
        <v>0.46259259259259261</v>
      </c>
      <c r="E1978" s="2">
        <f t="shared" si="30"/>
        <v>7.1296296296296524E-3</v>
      </c>
    </row>
    <row r="1979" spans="1:5" x14ac:dyDescent="0.25">
      <c r="A1979">
        <v>0</v>
      </c>
      <c r="B1979">
        <v>42944</v>
      </c>
      <c r="C1979">
        <v>0.45756944444444442</v>
      </c>
      <c r="D1979">
        <v>0.46141203703703704</v>
      </c>
      <c r="E1979" s="2">
        <f t="shared" si="30"/>
        <v>3.8425925925926196E-3</v>
      </c>
    </row>
    <row r="1980" spans="1:5" x14ac:dyDescent="0.25">
      <c r="A1980">
        <v>0</v>
      </c>
      <c r="B1980">
        <v>42944</v>
      </c>
      <c r="C1980">
        <v>0.46269675925925924</v>
      </c>
      <c r="D1980">
        <v>0.46620370370370373</v>
      </c>
      <c r="E1980" s="2">
        <f t="shared" si="30"/>
        <v>3.506944444444493E-3</v>
      </c>
    </row>
    <row r="1981" spans="1:5" x14ac:dyDescent="0.25">
      <c r="A1981">
        <v>0</v>
      </c>
      <c r="B1981">
        <v>42944</v>
      </c>
      <c r="C1981">
        <v>0.46400462962962963</v>
      </c>
      <c r="D1981">
        <v>0.46545138888888887</v>
      </c>
      <c r="E1981" s="2">
        <f t="shared" si="30"/>
        <v>1.4467592592592449E-3</v>
      </c>
    </row>
    <row r="1982" spans="1:5" x14ac:dyDescent="0.25">
      <c r="A1982">
        <v>0</v>
      </c>
      <c r="B1982">
        <v>42944</v>
      </c>
      <c r="C1982">
        <v>0.46763888888888888</v>
      </c>
      <c r="D1982">
        <v>0.47359953703703705</v>
      </c>
      <c r="E1982" s="2">
        <f t="shared" si="30"/>
        <v>5.9606481481481732E-3</v>
      </c>
    </row>
    <row r="1983" spans="1:5" x14ac:dyDescent="0.25">
      <c r="A1983">
        <v>0</v>
      </c>
      <c r="B1983">
        <v>42944</v>
      </c>
      <c r="C1983">
        <v>0.47111111111111109</v>
      </c>
      <c r="D1983">
        <v>0.48017361111111112</v>
      </c>
      <c r="E1983" s="2">
        <f t="shared" si="30"/>
        <v>9.0625000000000289E-3</v>
      </c>
    </row>
    <row r="1984" spans="1:5" x14ac:dyDescent="0.25">
      <c r="A1984">
        <v>0</v>
      </c>
      <c r="B1984">
        <v>42944</v>
      </c>
      <c r="C1984">
        <v>0.47454861111111113</v>
      </c>
      <c r="D1984">
        <v>0.47562500000000002</v>
      </c>
      <c r="E1984" s="2">
        <f t="shared" si="30"/>
        <v>1.0763888888888906E-3</v>
      </c>
    </row>
    <row r="1985" spans="1:5" x14ac:dyDescent="0.25">
      <c r="A1985">
        <v>0</v>
      </c>
      <c r="B1985">
        <v>42944</v>
      </c>
      <c r="C1985">
        <v>0.47733796296296294</v>
      </c>
      <c r="D1985">
        <v>0.48003472222222221</v>
      </c>
      <c r="E1985" s="2">
        <f t="shared" si="30"/>
        <v>2.6967592592592737E-3</v>
      </c>
    </row>
    <row r="1986" spans="1:5" x14ac:dyDescent="0.25">
      <c r="A1986">
        <v>0</v>
      </c>
      <c r="B1986">
        <v>42944</v>
      </c>
      <c r="C1986">
        <v>0.4783101851851852</v>
      </c>
      <c r="D1986">
        <v>0.48770833333333335</v>
      </c>
      <c r="E1986" s="2">
        <f t="shared" ref="E1986:E2049" si="31">D1986-C1986</f>
        <v>9.3981481481481555E-3</v>
      </c>
    </row>
    <row r="1987" spans="1:5" x14ac:dyDescent="0.25">
      <c r="A1987">
        <v>0</v>
      </c>
      <c r="B1987">
        <v>42944</v>
      </c>
      <c r="C1987">
        <v>0.47928240740740741</v>
      </c>
      <c r="D1987">
        <v>0.481875</v>
      </c>
      <c r="E1987" s="2">
        <f t="shared" si="31"/>
        <v>2.5925925925925908E-3</v>
      </c>
    </row>
    <row r="1988" spans="1:5" x14ac:dyDescent="0.25">
      <c r="A1988">
        <v>0</v>
      </c>
      <c r="B1988">
        <v>42944</v>
      </c>
      <c r="C1988">
        <v>0.48042824074074075</v>
      </c>
      <c r="D1988">
        <v>0.48422453703703705</v>
      </c>
      <c r="E1988" s="2">
        <f t="shared" si="31"/>
        <v>3.7962962962962976E-3</v>
      </c>
    </row>
    <row r="1989" spans="1:5" x14ac:dyDescent="0.25">
      <c r="A1989">
        <v>0</v>
      </c>
      <c r="B1989">
        <v>42944</v>
      </c>
      <c r="C1989">
        <v>0.4815740740740741</v>
      </c>
      <c r="D1989">
        <v>0.48802083333333335</v>
      </c>
      <c r="E1989" s="2">
        <f t="shared" si="31"/>
        <v>6.4467592592592493E-3</v>
      </c>
    </row>
    <row r="1990" spans="1:5" x14ac:dyDescent="0.25">
      <c r="A1990">
        <v>0</v>
      </c>
      <c r="B1990">
        <v>42944</v>
      </c>
      <c r="C1990">
        <v>0.4836111111111111</v>
      </c>
      <c r="D1990">
        <v>0.48996527777777776</v>
      </c>
      <c r="E1990" s="2">
        <f t="shared" si="31"/>
        <v>6.3541666666666607E-3</v>
      </c>
    </row>
    <row r="1991" spans="1:5" x14ac:dyDescent="0.25">
      <c r="A1991">
        <v>0</v>
      </c>
      <c r="B1991">
        <v>42944</v>
      </c>
      <c r="C1991">
        <v>0.48609953703703701</v>
      </c>
      <c r="D1991">
        <v>0.48850694444444442</v>
      </c>
      <c r="E1991" s="2">
        <f t="shared" si="31"/>
        <v>2.4074074074074137E-3</v>
      </c>
    </row>
    <row r="1992" spans="1:5" x14ac:dyDescent="0.25">
      <c r="A1992">
        <v>0</v>
      </c>
      <c r="B1992">
        <v>42944</v>
      </c>
      <c r="C1992">
        <v>0.49048611111111112</v>
      </c>
      <c r="D1992">
        <v>0.49685185185185188</v>
      </c>
      <c r="E1992" s="2">
        <f t="shared" si="31"/>
        <v>6.3657407407407551E-3</v>
      </c>
    </row>
    <row r="1993" spans="1:5" x14ac:dyDescent="0.25">
      <c r="A1993">
        <v>0</v>
      </c>
      <c r="B1993">
        <v>42944</v>
      </c>
      <c r="C1993">
        <v>0.49305555555555558</v>
      </c>
      <c r="D1993">
        <v>0.50435185185185183</v>
      </c>
      <c r="E1993" s="2">
        <f t="shared" si="31"/>
        <v>1.1296296296296249E-2</v>
      </c>
    </row>
    <row r="1994" spans="1:5" x14ac:dyDescent="0.25">
      <c r="A1994">
        <v>0</v>
      </c>
      <c r="B1994">
        <v>42944</v>
      </c>
      <c r="C1994">
        <v>0.49401620370370369</v>
      </c>
      <c r="D1994">
        <v>0.49682870370370369</v>
      </c>
      <c r="E1994" s="2">
        <f t="shared" si="31"/>
        <v>2.8124999999999956E-3</v>
      </c>
    </row>
    <row r="1995" spans="1:5" x14ac:dyDescent="0.25">
      <c r="A1995">
        <v>0</v>
      </c>
      <c r="B1995">
        <v>42944</v>
      </c>
      <c r="C1995">
        <v>0.49554398148148149</v>
      </c>
      <c r="D1995">
        <v>0.49667824074074074</v>
      </c>
      <c r="E1995" s="2">
        <f t="shared" si="31"/>
        <v>1.1342592592592515E-3</v>
      </c>
    </row>
    <row r="1996" spans="1:5" x14ac:dyDescent="0.25">
      <c r="A1996">
        <v>0</v>
      </c>
      <c r="B1996">
        <v>42944</v>
      </c>
      <c r="C1996">
        <v>0.49858796296296298</v>
      </c>
      <c r="D1996">
        <v>0.50891203703703702</v>
      </c>
      <c r="E1996" s="2">
        <f t="shared" si="31"/>
        <v>1.0324074074074041E-2</v>
      </c>
    </row>
    <row r="1997" spans="1:5" x14ac:dyDescent="0.25">
      <c r="A1997">
        <v>0</v>
      </c>
      <c r="B1997">
        <v>42944</v>
      </c>
      <c r="C1997">
        <v>0.50208333333333333</v>
      </c>
      <c r="D1997">
        <v>0.5110069444444445</v>
      </c>
      <c r="E1997" s="2">
        <f t="shared" si="31"/>
        <v>8.9236111111111738E-3</v>
      </c>
    </row>
    <row r="1998" spans="1:5" x14ac:dyDescent="0.25">
      <c r="A1998">
        <v>0</v>
      </c>
      <c r="B1998">
        <v>42944</v>
      </c>
      <c r="C1998">
        <v>0.50390046296296298</v>
      </c>
      <c r="D1998">
        <v>0.50619212962962967</v>
      </c>
      <c r="E1998" s="2">
        <f t="shared" si="31"/>
        <v>2.2916666666666918E-3</v>
      </c>
    </row>
    <row r="1999" spans="1:5" x14ac:dyDescent="0.25">
      <c r="A1999">
        <v>0</v>
      </c>
      <c r="B1999">
        <v>42944</v>
      </c>
      <c r="C1999">
        <v>0.50825231481481481</v>
      </c>
      <c r="D1999">
        <v>0.5168518518518519</v>
      </c>
      <c r="E1999" s="2">
        <f t="shared" si="31"/>
        <v>8.5995370370370861E-3</v>
      </c>
    </row>
    <row r="2000" spans="1:5" x14ac:dyDescent="0.25">
      <c r="A2000">
        <v>0</v>
      </c>
      <c r="B2000">
        <v>42944</v>
      </c>
      <c r="C2000">
        <v>0.50982638888888887</v>
      </c>
      <c r="D2000">
        <v>0.51537037037037037</v>
      </c>
      <c r="E2000" s="2">
        <f t="shared" si="31"/>
        <v>5.5439814814814969E-3</v>
      </c>
    </row>
    <row r="2001" spans="1:5" x14ac:dyDescent="0.25">
      <c r="A2001">
        <v>0</v>
      </c>
      <c r="B2001">
        <v>42944</v>
      </c>
      <c r="C2001">
        <v>0.5138773148148148</v>
      </c>
      <c r="D2001">
        <v>0.52096064814814813</v>
      </c>
      <c r="E2001" s="2">
        <f t="shared" si="31"/>
        <v>7.0833333333333304E-3</v>
      </c>
    </row>
    <row r="2002" spans="1:5" x14ac:dyDescent="0.25">
      <c r="A2002">
        <v>0</v>
      </c>
      <c r="B2002">
        <v>42944</v>
      </c>
      <c r="C2002">
        <v>0.5149421296296296</v>
      </c>
      <c r="D2002">
        <v>0.5248032407407407</v>
      </c>
      <c r="E2002" s="2">
        <f t="shared" si="31"/>
        <v>9.8611111111110983E-3</v>
      </c>
    </row>
    <row r="2003" spans="1:5" x14ac:dyDescent="0.25">
      <c r="A2003">
        <v>0</v>
      </c>
      <c r="B2003">
        <v>42944</v>
      </c>
      <c r="C2003">
        <v>0.51730324074074074</v>
      </c>
      <c r="D2003">
        <v>0.51848379629629626</v>
      </c>
      <c r="E2003" s="2">
        <f t="shared" si="31"/>
        <v>1.1805555555555181E-3</v>
      </c>
    </row>
    <row r="2004" spans="1:5" x14ac:dyDescent="0.25">
      <c r="A2004">
        <v>0</v>
      </c>
      <c r="B2004">
        <v>42944</v>
      </c>
      <c r="C2004">
        <v>0.51908564814814817</v>
      </c>
      <c r="D2004">
        <v>0.51929398148148154</v>
      </c>
      <c r="E2004" s="2">
        <f t="shared" si="31"/>
        <v>2.083333333333659E-4</v>
      </c>
    </row>
    <row r="2005" spans="1:5" x14ac:dyDescent="0.25">
      <c r="A2005">
        <v>0</v>
      </c>
      <c r="B2005">
        <v>42944</v>
      </c>
      <c r="C2005">
        <v>0.52467592592592593</v>
      </c>
      <c r="D2005">
        <v>0.53178240740740745</v>
      </c>
      <c r="E2005" s="2">
        <f t="shared" si="31"/>
        <v>7.1064814814815191E-3</v>
      </c>
    </row>
    <row r="2006" spans="1:5" x14ac:dyDescent="0.25">
      <c r="A2006">
        <v>0</v>
      </c>
      <c r="B2006">
        <v>42944</v>
      </c>
      <c r="C2006">
        <v>0.52603009259259259</v>
      </c>
      <c r="D2006">
        <v>0.53304398148148147</v>
      </c>
      <c r="E2006" s="2">
        <f t="shared" si="31"/>
        <v>7.0138888888888751E-3</v>
      </c>
    </row>
    <row r="2007" spans="1:5" x14ac:dyDescent="0.25">
      <c r="A2007">
        <v>0</v>
      </c>
      <c r="B2007">
        <v>42944</v>
      </c>
      <c r="C2007">
        <v>0.52813657407407411</v>
      </c>
      <c r="D2007">
        <v>0.53039351851851857</v>
      </c>
      <c r="E2007" s="2">
        <f t="shared" si="31"/>
        <v>2.2569444444444642E-3</v>
      </c>
    </row>
    <row r="2008" spans="1:5" x14ac:dyDescent="0.25">
      <c r="A2008">
        <v>0</v>
      </c>
      <c r="B2008">
        <v>42944</v>
      </c>
      <c r="C2008">
        <v>0.53310185185185188</v>
      </c>
      <c r="D2008">
        <v>0.53871527777777772</v>
      </c>
      <c r="E2008" s="2">
        <f t="shared" si="31"/>
        <v>5.6134259259258412E-3</v>
      </c>
    </row>
    <row r="2009" spans="1:5" x14ac:dyDescent="0.25">
      <c r="A2009">
        <v>0</v>
      </c>
      <c r="B2009">
        <v>42944</v>
      </c>
      <c r="C2009">
        <v>0.53541666666666665</v>
      </c>
      <c r="D2009">
        <v>0.53666666666666663</v>
      </c>
      <c r="E2009" s="2">
        <f t="shared" si="31"/>
        <v>1.2499999999999734E-3</v>
      </c>
    </row>
    <row r="2010" spans="1:5" x14ac:dyDescent="0.25">
      <c r="A2010">
        <v>0</v>
      </c>
      <c r="B2010">
        <v>42944</v>
      </c>
      <c r="C2010">
        <v>0.53773148148148153</v>
      </c>
      <c r="D2010">
        <v>0.54628472222222224</v>
      </c>
      <c r="E2010" s="2">
        <f t="shared" si="31"/>
        <v>8.5532407407407085E-3</v>
      </c>
    </row>
    <row r="2011" spans="1:5" x14ac:dyDescent="0.25">
      <c r="A2011">
        <v>0</v>
      </c>
      <c r="B2011">
        <v>42944</v>
      </c>
      <c r="C2011">
        <v>0.54221064814814812</v>
      </c>
      <c r="D2011">
        <v>0.54947916666666663</v>
      </c>
      <c r="E2011" s="2">
        <f t="shared" si="31"/>
        <v>7.2685185185185075E-3</v>
      </c>
    </row>
    <row r="2012" spans="1:5" x14ac:dyDescent="0.25">
      <c r="A2012">
        <v>0</v>
      </c>
      <c r="B2012">
        <v>42944</v>
      </c>
      <c r="C2012">
        <v>0.54599537037037038</v>
      </c>
      <c r="D2012">
        <v>0.54759259259259263</v>
      </c>
      <c r="E2012" s="2">
        <f t="shared" si="31"/>
        <v>1.5972222222222499E-3</v>
      </c>
    </row>
    <row r="2013" spans="1:5" x14ac:dyDescent="0.25">
      <c r="A2013">
        <v>0</v>
      </c>
      <c r="B2013">
        <v>42944</v>
      </c>
      <c r="C2013">
        <v>0.54905092592592597</v>
      </c>
      <c r="D2013">
        <v>0.55343750000000003</v>
      </c>
      <c r="E2013" s="2">
        <f t="shared" si="31"/>
        <v>4.3865740740740566E-3</v>
      </c>
    </row>
    <row r="2014" spans="1:5" x14ac:dyDescent="0.25">
      <c r="A2014">
        <v>0</v>
      </c>
      <c r="B2014">
        <v>42944</v>
      </c>
      <c r="C2014">
        <v>0.55334490740740738</v>
      </c>
      <c r="D2014">
        <v>0.56339120370370366</v>
      </c>
      <c r="E2014" s="2">
        <f t="shared" si="31"/>
        <v>1.0046296296296275E-2</v>
      </c>
    </row>
    <row r="2015" spans="1:5" x14ac:dyDescent="0.25">
      <c r="A2015">
        <v>0</v>
      </c>
      <c r="B2015">
        <v>42944</v>
      </c>
      <c r="C2015">
        <v>0.55806712962962968</v>
      </c>
      <c r="D2015">
        <v>0.55923611111111116</v>
      </c>
      <c r="E2015" s="2">
        <f t="shared" si="31"/>
        <v>1.1689814814814792E-3</v>
      </c>
    </row>
    <row r="2016" spans="1:5" x14ac:dyDescent="0.25">
      <c r="A2016">
        <v>0</v>
      </c>
      <c r="B2016">
        <v>42944</v>
      </c>
      <c r="C2016">
        <v>0.56162037037037038</v>
      </c>
      <c r="D2016">
        <v>0.56876157407407413</v>
      </c>
      <c r="E2016" s="2">
        <f t="shared" si="31"/>
        <v>7.1412037037037468E-3</v>
      </c>
    </row>
    <row r="2017" spans="1:5" x14ac:dyDescent="0.25">
      <c r="A2017">
        <v>0</v>
      </c>
      <c r="B2017">
        <v>42944</v>
      </c>
      <c r="C2017">
        <v>0.56673611111111111</v>
      </c>
      <c r="D2017">
        <v>0.57725694444444442</v>
      </c>
      <c r="E2017" s="2">
        <f t="shared" si="31"/>
        <v>1.0520833333333313E-2</v>
      </c>
    </row>
    <row r="2018" spans="1:5" x14ac:dyDescent="0.25">
      <c r="A2018">
        <v>0</v>
      </c>
      <c r="B2018">
        <v>42944</v>
      </c>
      <c r="C2018">
        <v>0.56821759259259264</v>
      </c>
      <c r="D2018">
        <v>0.5773611111111111</v>
      </c>
      <c r="E2018" s="2">
        <f t="shared" si="31"/>
        <v>9.1435185185184675E-3</v>
      </c>
    </row>
    <row r="2019" spans="1:5" x14ac:dyDescent="0.25">
      <c r="A2019">
        <v>0</v>
      </c>
      <c r="B2019">
        <v>42944</v>
      </c>
      <c r="C2019">
        <v>0.57050925925925922</v>
      </c>
      <c r="D2019">
        <v>0.58049768518518519</v>
      </c>
      <c r="E2019" s="2">
        <f t="shared" si="31"/>
        <v>9.98842592592597E-3</v>
      </c>
    </row>
    <row r="2020" spans="1:5" x14ac:dyDescent="0.25">
      <c r="A2020">
        <v>0</v>
      </c>
      <c r="B2020">
        <v>42944</v>
      </c>
      <c r="C2020">
        <v>0.57146990740740744</v>
      </c>
      <c r="D2020">
        <v>0.57642361111111107</v>
      </c>
      <c r="E2020" s="2">
        <f t="shared" si="31"/>
        <v>4.9537037037036269E-3</v>
      </c>
    </row>
    <row r="2021" spans="1:5" x14ac:dyDescent="0.25">
      <c r="A2021">
        <v>0</v>
      </c>
      <c r="B2021">
        <v>42944</v>
      </c>
      <c r="C2021">
        <v>0.57186342592592587</v>
      </c>
      <c r="D2021">
        <v>0.57379629629629625</v>
      </c>
      <c r="E2021" s="2">
        <f t="shared" si="31"/>
        <v>1.9328703703703765E-3</v>
      </c>
    </row>
    <row r="2022" spans="1:5" x14ac:dyDescent="0.25">
      <c r="A2022">
        <v>0</v>
      </c>
      <c r="B2022">
        <v>42944</v>
      </c>
      <c r="C2022">
        <v>0.57629629629629631</v>
      </c>
      <c r="D2022">
        <v>0.58628472222222228</v>
      </c>
      <c r="E2022" s="2">
        <f t="shared" si="31"/>
        <v>9.98842592592597E-3</v>
      </c>
    </row>
    <row r="2023" spans="1:5" x14ac:dyDescent="0.25">
      <c r="A2023">
        <v>0</v>
      </c>
      <c r="B2023">
        <v>42944</v>
      </c>
      <c r="C2023">
        <v>0.57835648148148144</v>
      </c>
      <c r="D2023">
        <v>0.58644675925925926</v>
      </c>
      <c r="E2023" s="2">
        <f t="shared" si="31"/>
        <v>8.0902777777778212E-3</v>
      </c>
    </row>
    <row r="2024" spans="1:5" x14ac:dyDescent="0.25">
      <c r="A2024">
        <v>0</v>
      </c>
      <c r="B2024">
        <v>42944</v>
      </c>
      <c r="C2024">
        <v>0.58331018518518518</v>
      </c>
      <c r="D2024">
        <v>0.58539351851851851</v>
      </c>
      <c r="E2024" s="2">
        <f t="shared" si="31"/>
        <v>2.0833333333333259E-3</v>
      </c>
    </row>
    <row r="2025" spans="1:5" x14ac:dyDescent="0.25">
      <c r="A2025">
        <v>0</v>
      </c>
      <c r="B2025">
        <v>42944</v>
      </c>
      <c r="C2025">
        <v>0.58353009259259259</v>
      </c>
      <c r="D2025">
        <v>0.58950231481481485</v>
      </c>
      <c r="E2025" s="2">
        <f t="shared" si="31"/>
        <v>5.9722222222222676E-3</v>
      </c>
    </row>
    <row r="2026" spans="1:5" x14ac:dyDescent="0.25">
      <c r="A2026">
        <v>0</v>
      </c>
      <c r="B2026">
        <v>42944</v>
      </c>
      <c r="C2026">
        <v>0.58892361111111113</v>
      </c>
      <c r="D2026">
        <v>0.59381944444444446</v>
      </c>
      <c r="E2026" s="2">
        <f t="shared" si="31"/>
        <v>4.8958333333333215E-3</v>
      </c>
    </row>
    <row r="2027" spans="1:5" x14ac:dyDescent="0.25">
      <c r="A2027">
        <v>0</v>
      </c>
      <c r="B2027">
        <v>42944</v>
      </c>
      <c r="C2027">
        <v>0.59035879629629628</v>
      </c>
      <c r="D2027">
        <v>0.5992939814814815</v>
      </c>
      <c r="E2027" s="2">
        <f t="shared" si="31"/>
        <v>8.9351851851852127E-3</v>
      </c>
    </row>
    <row r="2028" spans="1:5" x14ac:dyDescent="0.25">
      <c r="A2028">
        <v>0</v>
      </c>
      <c r="B2028">
        <v>42944</v>
      </c>
      <c r="C2028">
        <v>0.59439814814814818</v>
      </c>
      <c r="D2028">
        <v>0.60048611111111116</v>
      </c>
      <c r="E2028" s="2">
        <f t="shared" si="31"/>
        <v>6.0879629629629894E-3</v>
      </c>
    </row>
    <row r="2029" spans="1:5" x14ac:dyDescent="0.25">
      <c r="A2029">
        <v>0</v>
      </c>
      <c r="B2029">
        <v>42944</v>
      </c>
      <c r="C2029">
        <v>0.59788194444444442</v>
      </c>
      <c r="D2029">
        <v>0.60576388888888888</v>
      </c>
      <c r="E2029" s="2">
        <f t="shared" si="31"/>
        <v>7.8819444444444553E-3</v>
      </c>
    </row>
    <row r="2030" spans="1:5" x14ac:dyDescent="0.25">
      <c r="A2030">
        <v>0</v>
      </c>
      <c r="B2030">
        <v>42944</v>
      </c>
      <c r="C2030">
        <v>0.60322916666666671</v>
      </c>
      <c r="D2030">
        <v>0.60628472222222218</v>
      </c>
      <c r="E2030" s="2">
        <f t="shared" si="31"/>
        <v>3.0555555555554781E-3</v>
      </c>
    </row>
    <row r="2031" spans="1:5" x14ac:dyDescent="0.25">
      <c r="A2031">
        <v>0</v>
      </c>
      <c r="B2031">
        <v>42944</v>
      </c>
      <c r="C2031">
        <v>0.60745370370370366</v>
      </c>
      <c r="D2031">
        <v>0.61017361111111112</v>
      </c>
      <c r="E2031" s="2">
        <f t="shared" si="31"/>
        <v>2.7199074074074625E-3</v>
      </c>
    </row>
    <row r="2032" spans="1:5" x14ac:dyDescent="0.25">
      <c r="A2032">
        <v>0</v>
      </c>
      <c r="B2032">
        <v>42944</v>
      </c>
      <c r="C2032">
        <v>0.61322916666666671</v>
      </c>
      <c r="D2032">
        <v>0.62153935185185183</v>
      </c>
      <c r="E2032" s="2">
        <f t="shared" si="31"/>
        <v>8.310185185185115E-3</v>
      </c>
    </row>
    <row r="2033" spans="1:5" x14ac:dyDescent="0.25">
      <c r="A2033">
        <v>0</v>
      </c>
      <c r="B2033">
        <v>42944</v>
      </c>
      <c r="C2033">
        <v>0.61570601851851847</v>
      </c>
      <c r="D2033">
        <v>0.62429398148148152</v>
      </c>
      <c r="E2033" s="2">
        <f t="shared" si="31"/>
        <v>8.5879629629630472E-3</v>
      </c>
    </row>
    <row r="2034" spans="1:5" x14ac:dyDescent="0.25">
      <c r="A2034">
        <v>0</v>
      </c>
      <c r="B2034">
        <v>42944</v>
      </c>
      <c r="C2034">
        <v>0.61962962962962964</v>
      </c>
      <c r="D2034">
        <v>0.62399305555555551</v>
      </c>
      <c r="E2034" s="2">
        <f t="shared" si="31"/>
        <v>4.3634259259258679E-3</v>
      </c>
    </row>
    <row r="2035" spans="1:5" x14ac:dyDescent="0.25">
      <c r="A2035">
        <v>0</v>
      </c>
      <c r="B2035">
        <v>42944</v>
      </c>
      <c r="C2035">
        <v>0.62204861111111109</v>
      </c>
      <c r="D2035">
        <v>0.62440972222222224</v>
      </c>
      <c r="E2035" s="2">
        <f t="shared" si="31"/>
        <v>2.3611111111111471E-3</v>
      </c>
    </row>
    <row r="2036" spans="1:5" x14ac:dyDescent="0.25">
      <c r="A2036">
        <v>0</v>
      </c>
      <c r="B2036">
        <v>42944</v>
      </c>
      <c r="C2036">
        <v>0.62502314814814819</v>
      </c>
      <c r="D2036">
        <v>0.63574074074074072</v>
      </c>
      <c r="E2036" s="2">
        <f t="shared" si="31"/>
        <v>1.0717592592592529E-2</v>
      </c>
    </row>
    <row r="2037" spans="1:5" x14ac:dyDescent="0.25">
      <c r="A2037">
        <v>0</v>
      </c>
      <c r="B2037">
        <v>42947</v>
      </c>
      <c r="C2037">
        <v>0.3342013888888889</v>
      </c>
      <c r="D2037">
        <v>0.34159722222222222</v>
      </c>
      <c r="E2037" s="2">
        <f t="shared" si="31"/>
        <v>7.3958333333333237E-3</v>
      </c>
    </row>
    <row r="2038" spans="1:5" x14ac:dyDescent="0.25">
      <c r="A2038">
        <v>0</v>
      </c>
      <c r="B2038">
        <v>42947</v>
      </c>
      <c r="C2038">
        <v>0.33929398148148149</v>
      </c>
      <c r="D2038">
        <v>0.34349537037037037</v>
      </c>
      <c r="E2038" s="2">
        <f t="shared" si="31"/>
        <v>4.2013888888888795E-3</v>
      </c>
    </row>
    <row r="2039" spans="1:5" x14ac:dyDescent="0.25">
      <c r="A2039">
        <v>0</v>
      </c>
      <c r="B2039">
        <v>42947</v>
      </c>
      <c r="C2039">
        <v>0.34378472222222223</v>
      </c>
      <c r="D2039">
        <v>0.34677083333333331</v>
      </c>
      <c r="E2039" s="2">
        <f t="shared" si="31"/>
        <v>2.9861111111110783E-3</v>
      </c>
    </row>
    <row r="2040" spans="1:5" x14ac:dyDescent="0.25">
      <c r="A2040">
        <v>0</v>
      </c>
      <c r="B2040">
        <v>42947</v>
      </c>
      <c r="C2040">
        <v>0.34609953703703705</v>
      </c>
      <c r="D2040">
        <v>0.35118055555555555</v>
      </c>
      <c r="E2040" s="2">
        <f t="shared" si="31"/>
        <v>5.0810185185184986E-3</v>
      </c>
    </row>
    <row r="2041" spans="1:5" x14ac:dyDescent="0.25">
      <c r="A2041">
        <v>0</v>
      </c>
      <c r="B2041">
        <v>42947</v>
      </c>
      <c r="C2041">
        <v>0.35167824074074072</v>
      </c>
      <c r="D2041">
        <v>0.35538194444444443</v>
      </c>
      <c r="E2041" s="2">
        <f t="shared" si="31"/>
        <v>3.703703703703709E-3</v>
      </c>
    </row>
    <row r="2042" spans="1:5" x14ac:dyDescent="0.25">
      <c r="A2042">
        <v>0</v>
      </c>
      <c r="B2042">
        <v>42947</v>
      </c>
      <c r="C2042">
        <v>0.35333333333333333</v>
      </c>
      <c r="D2042">
        <v>0.35844907407407406</v>
      </c>
      <c r="E2042" s="2">
        <f t="shared" si="31"/>
        <v>5.1157407407407263E-3</v>
      </c>
    </row>
    <row r="2043" spans="1:5" x14ac:dyDescent="0.25">
      <c r="A2043">
        <v>0</v>
      </c>
      <c r="B2043">
        <v>42947</v>
      </c>
      <c r="C2043">
        <v>0.35793981481481479</v>
      </c>
      <c r="D2043">
        <v>0.36571759259259257</v>
      </c>
      <c r="E2043" s="2">
        <f t="shared" si="31"/>
        <v>7.7777777777777724E-3</v>
      </c>
    </row>
    <row r="2044" spans="1:5" x14ac:dyDescent="0.25">
      <c r="A2044">
        <v>0</v>
      </c>
      <c r="B2044">
        <v>42947</v>
      </c>
      <c r="C2044">
        <v>0.35976851851851854</v>
      </c>
      <c r="D2044">
        <v>0.36883101851851852</v>
      </c>
      <c r="E2044" s="2">
        <f t="shared" si="31"/>
        <v>9.0624999999999734E-3</v>
      </c>
    </row>
    <row r="2045" spans="1:5" x14ac:dyDescent="0.25">
      <c r="A2045">
        <v>0</v>
      </c>
      <c r="B2045">
        <v>42947</v>
      </c>
      <c r="C2045">
        <v>0.36394675925925923</v>
      </c>
      <c r="D2045">
        <v>0.37373842592592593</v>
      </c>
      <c r="E2045" s="2">
        <f t="shared" si="31"/>
        <v>9.7916666666666985E-3</v>
      </c>
    </row>
    <row r="2046" spans="1:5" x14ac:dyDescent="0.25">
      <c r="A2046">
        <v>0</v>
      </c>
      <c r="B2046">
        <v>42947</v>
      </c>
      <c r="C2046">
        <v>0.36552083333333335</v>
      </c>
      <c r="D2046">
        <v>0.3696990740740741</v>
      </c>
      <c r="E2046" s="2">
        <f t="shared" si="31"/>
        <v>4.1782407407407463E-3</v>
      </c>
    </row>
    <row r="2047" spans="1:5" x14ac:dyDescent="0.25">
      <c r="A2047">
        <v>0</v>
      </c>
      <c r="B2047">
        <v>42947</v>
      </c>
      <c r="C2047">
        <v>0.36776620370370372</v>
      </c>
      <c r="D2047">
        <v>0.37584490740740739</v>
      </c>
      <c r="E2047" s="2">
        <f t="shared" si="31"/>
        <v>8.0787037037036713E-3</v>
      </c>
    </row>
    <row r="2048" spans="1:5" x14ac:dyDescent="0.25">
      <c r="A2048">
        <v>0</v>
      </c>
      <c r="B2048">
        <v>42947</v>
      </c>
      <c r="C2048">
        <v>0.37170138888888887</v>
      </c>
      <c r="D2048">
        <v>0.38305555555555554</v>
      </c>
      <c r="E2048" s="2">
        <f t="shared" si="31"/>
        <v>1.1354166666666665E-2</v>
      </c>
    </row>
    <row r="2049" spans="1:5" x14ac:dyDescent="0.25">
      <c r="A2049">
        <v>0</v>
      </c>
      <c r="B2049">
        <v>42947</v>
      </c>
      <c r="C2049">
        <v>0.37239583333333331</v>
      </c>
      <c r="D2049">
        <v>0.37680555555555556</v>
      </c>
      <c r="E2049" s="2">
        <f t="shared" si="31"/>
        <v>4.4097222222222454E-3</v>
      </c>
    </row>
    <row r="2050" spans="1:5" x14ac:dyDescent="0.25">
      <c r="A2050">
        <v>0</v>
      </c>
      <c r="B2050">
        <v>42947</v>
      </c>
      <c r="C2050">
        <v>0.37714120370370369</v>
      </c>
      <c r="D2050">
        <v>0.38119212962962962</v>
      </c>
      <c r="E2050" s="2">
        <f t="shared" ref="E2050:E2113" si="32">D2050-C2050</f>
        <v>4.05092592592593E-3</v>
      </c>
    </row>
    <row r="2051" spans="1:5" x14ac:dyDescent="0.25">
      <c r="A2051">
        <v>0</v>
      </c>
      <c r="B2051">
        <v>42947</v>
      </c>
      <c r="C2051">
        <v>0.38130787037037039</v>
      </c>
      <c r="D2051">
        <v>0.38280092592592591</v>
      </c>
      <c r="E2051" s="2">
        <f t="shared" si="32"/>
        <v>1.4930555555555114E-3</v>
      </c>
    </row>
    <row r="2052" spans="1:5" x14ac:dyDescent="0.25">
      <c r="A2052">
        <v>0</v>
      </c>
      <c r="B2052">
        <v>42947</v>
      </c>
      <c r="C2052">
        <v>0.38135416666666666</v>
      </c>
      <c r="D2052">
        <v>0.38210648148148146</v>
      </c>
      <c r="E2052" s="2">
        <f t="shared" si="32"/>
        <v>7.5231481481480289E-4</v>
      </c>
    </row>
    <row r="2053" spans="1:5" x14ac:dyDescent="0.25">
      <c r="A2053">
        <v>0</v>
      </c>
      <c r="B2053">
        <v>42947</v>
      </c>
      <c r="C2053">
        <v>0.38641203703703703</v>
      </c>
      <c r="D2053">
        <v>0.39549768518518519</v>
      </c>
      <c r="E2053" s="2">
        <f t="shared" si="32"/>
        <v>9.0856481481481621E-3</v>
      </c>
    </row>
    <row r="2054" spans="1:5" x14ac:dyDescent="0.25">
      <c r="A2054">
        <v>0</v>
      </c>
      <c r="B2054">
        <v>42947</v>
      </c>
      <c r="C2054">
        <v>0.38927083333333334</v>
      </c>
      <c r="D2054">
        <v>0.39721064814814816</v>
      </c>
      <c r="E2054" s="2">
        <f t="shared" si="32"/>
        <v>7.9398148148148162E-3</v>
      </c>
    </row>
    <row r="2055" spans="1:5" x14ac:dyDescent="0.25">
      <c r="A2055">
        <v>0</v>
      </c>
      <c r="B2055">
        <v>42947</v>
      </c>
      <c r="C2055">
        <v>0.39023148148148146</v>
      </c>
      <c r="D2055">
        <v>0.39748842592592593</v>
      </c>
      <c r="E2055" s="2">
        <f t="shared" si="32"/>
        <v>7.2569444444444686E-3</v>
      </c>
    </row>
    <row r="2056" spans="1:5" x14ac:dyDescent="0.25">
      <c r="A2056">
        <v>0</v>
      </c>
      <c r="B2056">
        <v>42947</v>
      </c>
      <c r="C2056">
        <v>0.3934259259259259</v>
      </c>
      <c r="D2056">
        <v>0.40181712962962962</v>
      </c>
      <c r="E2056" s="2">
        <f t="shared" si="32"/>
        <v>8.3912037037037202E-3</v>
      </c>
    </row>
    <row r="2057" spans="1:5" x14ac:dyDescent="0.25">
      <c r="A2057">
        <v>0</v>
      </c>
      <c r="B2057">
        <v>42947</v>
      </c>
      <c r="C2057">
        <v>0.39766203703703706</v>
      </c>
      <c r="D2057">
        <v>0.39957175925925925</v>
      </c>
      <c r="E2057" s="2">
        <f t="shared" si="32"/>
        <v>1.9097222222221877E-3</v>
      </c>
    </row>
    <row r="2058" spans="1:5" x14ac:dyDescent="0.25">
      <c r="A2058">
        <v>0</v>
      </c>
      <c r="B2058">
        <v>42947</v>
      </c>
      <c r="C2058">
        <v>0.39878472222222222</v>
      </c>
      <c r="D2058">
        <v>0.40041666666666664</v>
      </c>
      <c r="E2058" s="2">
        <f t="shared" si="32"/>
        <v>1.631944444444422E-3</v>
      </c>
    </row>
    <row r="2059" spans="1:5" x14ac:dyDescent="0.25">
      <c r="A2059">
        <v>0</v>
      </c>
      <c r="B2059">
        <v>42947</v>
      </c>
      <c r="C2059">
        <v>0.40313657407407405</v>
      </c>
      <c r="D2059">
        <v>0.40773148148148147</v>
      </c>
      <c r="E2059" s="2">
        <f t="shared" si="32"/>
        <v>4.5949074074074225E-3</v>
      </c>
    </row>
    <row r="2060" spans="1:5" x14ac:dyDescent="0.25">
      <c r="A2060">
        <v>0</v>
      </c>
      <c r="B2060">
        <v>42947</v>
      </c>
      <c r="C2060">
        <v>0.40328703703703705</v>
      </c>
      <c r="D2060">
        <v>0.41405092592592591</v>
      </c>
      <c r="E2060" s="2">
        <f t="shared" si="32"/>
        <v>1.0763888888888851E-2</v>
      </c>
    </row>
    <row r="2061" spans="1:5" x14ac:dyDescent="0.25">
      <c r="A2061">
        <v>0</v>
      </c>
      <c r="B2061">
        <v>42947</v>
      </c>
      <c r="C2061">
        <v>0.40497685185185184</v>
      </c>
      <c r="D2061">
        <v>0.41167824074074072</v>
      </c>
      <c r="E2061" s="2">
        <f t="shared" si="32"/>
        <v>6.7013888888888817E-3</v>
      </c>
    </row>
    <row r="2062" spans="1:5" x14ac:dyDescent="0.25">
      <c r="A2062">
        <v>0</v>
      </c>
      <c r="B2062">
        <v>42947</v>
      </c>
      <c r="C2062">
        <v>0.40725694444444444</v>
      </c>
      <c r="D2062">
        <v>0.41819444444444442</v>
      </c>
      <c r="E2062" s="2">
        <f t="shared" si="32"/>
        <v>1.0937499999999989E-2</v>
      </c>
    </row>
    <row r="2063" spans="1:5" x14ac:dyDescent="0.25">
      <c r="A2063">
        <v>0</v>
      </c>
      <c r="B2063">
        <v>42947</v>
      </c>
      <c r="C2063">
        <v>0.40787037037037038</v>
      </c>
      <c r="D2063">
        <v>0.40846064814814814</v>
      </c>
      <c r="E2063" s="2">
        <f t="shared" si="32"/>
        <v>5.9027777777775903E-4</v>
      </c>
    </row>
    <row r="2064" spans="1:5" x14ac:dyDescent="0.25">
      <c r="A2064">
        <v>0</v>
      </c>
      <c r="B2064">
        <v>42947</v>
      </c>
      <c r="C2064">
        <v>0.41334490740740742</v>
      </c>
      <c r="D2064">
        <v>0.4239236111111111</v>
      </c>
      <c r="E2064" s="2">
        <f t="shared" si="32"/>
        <v>1.0578703703703674E-2</v>
      </c>
    </row>
    <row r="2065" spans="1:5" x14ac:dyDescent="0.25">
      <c r="A2065">
        <v>0</v>
      </c>
      <c r="B2065">
        <v>42947</v>
      </c>
      <c r="C2065">
        <v>0.41337962962962965</v>
      </c>
      <c r="D2065">
        <v>0.41743055555555558</v>
      </c>
      <c r="E2065" s="2">
        <f t="shared" si="32"/>
        <v>4.05092592592593E-3</v>
      </c>
    </row>
    <row r="2066" spans="1:5" x14ac:dyDescent="0.25">
      <c r="A2066">
        <v>0</v>
      </c>
      <c r="B2066">
        <v>42947</v>
      </c>
      <c r="C2066">
        <v>0.41523148148148148</v>
      </c>
      <c r="D2066">
        <v>0.42322916666666666</v>
      </c>
      <c r="E2066" s="2">
        <f t="shared" si="32"/>
        <v>7.9976851851851771E-3</v>
      </c>
    </row>
    <row r="2067" spans="1:5" x14ac:dyDescent="0.25">
      <c r="A2067">
        <v>0</v>
      </c>
      <c r="B2067">
        <v>42947</v>
      </c>
      <c r="C2067">
        <v>0.41841435185185183</v>
      </c>
      <c r="D2067">
        <v>0.42677083333333332</v>
      </c>
      <c r="E2067" s="2">
        <f t="shared" si="32"/>
        <v>8.3564814814814925E-3</v>
      </c>
    </row>
    <row r="2068" spans="1:5" x14ac:dyDescent="0.25">
      <c r="A2068">
        <v>0</v>
      </c>
      <c r="B2068">
        <v>42947</v>
      </c>
      <c r="C2068">
        <v>0.41873842592592592</v>
      </c>
      <c r="D2068">
        <v>0.42502314814814812</v>
      </c>
      <c r="E2068" s="2">
        <f t="shared" si="32"/>
        <v>6.2847222222222054E-3</v>
      </c>
    </row>
    <row r="2069" spans="1:5" x14ac:dyDescent="0.25">
      <c r="A2069">
        <v>0</v>
      </c>
      <c r="B2069">
        <v>42947</v>
      </c>
      <c r="C2069">
        <v>0.41952546296296295</v>
      </c>
      <c r="D2069">
        <v>0.42105324074074074</v>
      </c>
      <c r="E2069" s="2">
        <f t="shared" si="32"/>
        <v>1.5277777777777946E-3</v>
      </c>
    </row>
    <row r="2070" spans="1:5" x14ac:dyDescent="0.25">
      <c r="A2070">
        <v>0</v>
      </c>
      <c r="B2070">
        <v>42947</v>
      </c>
      <c r="C2070">
        <v>0.4211111111111111</v>
      </c>
      <c r="D2070">
        <v>0.42442129629629627</v>
      </c>
      <c r="E2070" s="2">
        <f t="shared" si="32"/>
        <v>3.310185185185166E-3</v>
      </c>
    </row>
    <row r="2071" spans="1:5" x14ac:dyDescent="0.25">
      <c r="A2071">
        <v>0</v>
      </c>
      <c r="B2071">
        <v>42947</v>
      </c>
      <c r="C2071">
        <v>0.42247685185185185</v>
      </c>
      <c r="D2071">
        <v>0.4268865740740741</v>
      </c>
      <c r="E2071" s="2">
        <f t="shared" si="32"/>
        <v>4.4097222222222454E-3</v>
      </c>
    </row>
    <row r="2072" spans="1:5" x14ac:dyDescent="0.25">
      <c r="A2072">
        <v>0</v>
      </c>
      <c r="B2072">
        <v>42947</v>
      </c>
      <c r="C2072">
        <v>0.42586805555555557</v>
      </c>
      <c r="D2072">
        <v>0.42711805555555554</v>
      </c>
      <c r="E2072" s="2">
        <f t="shared" si="32"/>
        <v>1.2499999999999734E-3</v>
      </c>
    </row>
    <row r="2073" spans="1:5" x14ac:dyDescent="0.25">
      <c r="A2073">
        <v>0</v>
      </c>
      <c r="B2073">
        <v>42947</v>
      </c>
      <c r="C2073">
        <v>0.43162037037037038</v>
      </c>
      <c r="D2073">
        <v>0.44153935185185184</v>
      </c>
      <c r="E2073" s="2">
        <f t="shared" si="32"/>
        <v>9.9189814814814592E-3</v>
      </c>
    </row>
    <row r="2074" spans="1:5" x14ac:dyDescent="0.25">
      <c r="A2074">
        <v>0</v>
      </c>
      <c r="B2074">
        <v>42947</v>
      </c>
      <c r="C2074">
        <v>0.43663194444444442</v>
      </c>
      <c r="D2074">
        <v>0.43993055555555555</v>
      </c>
      <c r="E2074" s="2">
        <f t="shared" si="32"/>
        <v>3.2986111111111271E-3</v>
      </c>
    </row>
    <row r="2075" spans="1:5" x14ac:dyDescent="0.25">
      <c r="A2075">
        <v>0</v>
      </c>
      <c r="B2075">
        <v>42947</v>
      </c>
      <c r="C2075">
        <v>0.43686342592592592</v>
      </c>
      <c r="D2075">
        <v>0.44393518518518521</v>
      </c>
      <c r="E2075" s="2">
        <f t="shared" si="32"/>
        <v>7.0717592592592915E-3</v>
      </c>
    </row>
    <row r="2076" spans="1:5" x14ac:dyDescent="0.25">
      <c r="A2076">
        <v>0</v>
      </c>
      <c r="B2076">
        <v>42947</v>
      </c>
      <c r="C2076">
        <v>0.44243055555555555</v>
      </c>
      <c r="D2076">
        <v>0.45349537037037035</v>
      </c>
      <c r="E2076" s="2">
        <f t="shared" si="32"/>
        <v>1.1064814814814805E-2</v>
      </c>
    </row>
    <row r="2077" spans="1:5" x14ac:dyDescent="0.25">
      <c r="A2077">
        <v>0</v>
      </c>
      <c r="B2077">
        <v>42947</v>
      </c>
      <c r="C2077">
        <v>0.44802083333333331</v>
      </c>
      <c r="D2077">
        <v>0.45892361111111113</v>
      </c>
      <c r="E2077" s="2">
        <f t="shared" si="32"/>
        <v>1.0902777777777817E-2</v>
      </c>
    </row>
    <row r="2078" spans="1:5" x14ac:dyDescent="0.25">
      <c r="A2078">
        <v>0</v>
      </c>
      <c r="B2078">
        <v>42947</v>
      </c>
      <c r="C2078">
        <v>0.45243055555555556</v>
      </c>
      <c r="D2078">
        <v>0.45275462962962965</v>
      </c>
      <c r="E2078" s="2">
        <f t="shared" si="32"/>
        <v>3.2407407407408773E-4</v>
      </c>
    </row>
    <row r="2079" spans="1:5" x14ac:dyDescent="0.25">
      <c r="A2079">
        <v>0</v>
      </c>
      <c r="B2079">
        <v>42947</v>
      </c>
      <c r="C2079">
        <v>0.45399305555555558</v>
      </c>
      <c r="D2079">
        <v>0.46392361111111113</v>
      </c>
      <c r="E2079" s="2">
        <f t="shared" si="32"/>
        <v>9.9305555555555536E-3</v>
      </c>
    </row>
    <row r="2080" spans="1:5" x14ac:dyDescent="0.25">
      <c r="A2080">
        <v>0</v>
      </c>
      <c r="B2080">
        <v>42947</v>
      </c>
      <c r="C2080">
        <v>0.4572222222222222</v>
      </c>
      <c r="D2080">
        <v>0.45910879629629631</v>
      </c>
      <c r="E2080" s="2">
        <f t="shared" si="32"/>
        <v>1.8865740740741099E-3</v>
      </c>
    </row>
    <row r="2081" spans="1:5" x14ac:dyDescent="0.25">
      <c r="A2081">
        <v>0</v>
      </c>
      <c r="B2081">
        <v>42947</v>
      </c>
      <c r="C2081">
        <v>0.45846064814814813</v>
      </c>
      <c r="D2081">
        <v>0.46900462962962963</v>
      </c>
      <c r="E2081" s="2">
        <f t="shared" si="32"/>
        <v>1.0543981481481501E-2</v>
      </c>
    </row>
    <row r="2082" spans="1:5" x14ac:dyDescent="0.25">
      <c r="A2082">
        <v>0</v>
      </c>
      <c r="B2082">
        <v>42947</v>
      </c>
      <c r="C2082">
        <v>0.45945601851851853</v>
      </c>
      <c r="D2082">
        <v>0.46525462962962966</v>
      </c>
      <c r="E2082" s="2">
        <f t="shared" si="32"/>
        <v>5.7986111111111294E-3</v>
      </c>
    </row>
    <row r="2083" spans="1:5" x14ac:dyDescent="0.25">
      <c r="A2083">
        <v>0</v>
      </c>
      <c r="B2083">
        <v>42947</v>
      </c>
      <c r="C2083">
        <v>0.46119212962962963</v>
      </c>
      <c r="D2083">
        <v>0.4725347222222222</v>
      </c>
      <c r="E2083" s="2">
        <f t="shared" si="32"/>
        <v>1.1342592592592571E-2</v>
      </c>
    </row>
    <row r="2084" spans="1:5" x14ac:dyDescent="0.25">
      <c r="A2084">
        <v>0</v>
      </c>
      <c r="B2084">
        <v>42947</v>
      </c>
      <c r="C2084">
        <v>0.46311342592592591</v>
      </c>
      <c r="D2084">
        <v>0.46394675925925927</v>
      </c>
      <c r="E2084" s="2">
        <f t="shared" si="32"/>
        <v>8.3333333333335258E-4</v>
      </c>
    </row>
    <row r="2085" spans="1:5" x14ac:dyDescent="0.25">
      <c r="A2085">
        <v>0</v>
      </c>
      <c r="B2085">
        <v>42947</v>
      </c>
      <c r="C2085">
        <v>0.46803240740740742</v>
      </c>
      <c r="D2085">
        <v>0.47423611111111114</v>
      </c>
      <c r="E2085" s="2">
        <f t="shared" si="32"/>
        <v>6.2037037037037113E-3</v>
      </c>
    </row>
    <row r="2086" spans="1:5" x14ac:dyDescent="0.25">
      <c r="A2086">
        <v>0</v>
      </c>
      <c r="B2086">
        <v>42947</v>
      </c>
      <c r="C2086">
        <v>0.46987268518518521</v>
      </c>
      <c r="D2086">
        <v>0.47664351851851849</v>
      </c>
      <c r="E2086" s="2">
        <f t="shared" si="32"/>
        <v>6.7708333333332815E-3</v>
      </c>
    </row>
    <row r="2087" spans="1:5" x14ac:dyDescent="0.25">
      <c r="A2087">
        <v>0</v>
      </c>
      <c r="B2087">
        <v>42947</v>
      </c>
      <c r="C2087">
        <v>0.47158564814814813</v>
      </c>
      <c r="D2087">
        <v>0.47471064814814817</v>
      </c>
      <c r="E2087" s="2">
        <f t="shared" si="32"/>
        <v>3.1250000000000444E-3</v>
      </c>
    </row>
    <row r="2088" spans="1:5" x14ac:dyDescent="0.25">
      <c r="A2088">
        <v>0</v>
      </c>
      <c r="B2088">
        <v>42947</v>
      </c>
      <c r="C2088">
        <v>0.47314814814814815</v>
      </c>
      <c r="D2088">
        <v>0.47643518518518518</v>
      </c>
      <c r="E2088" s="2">
        <f t="shared" si="32"/>
        <v>3.2870370370370328E-3</v>
      </c>
    </row>
    <row r="2089" spans="1:5" x14ac:dyDescent="0.25">
      <c r="A2089">
        <v>0</v>
      </c>
      <c r="B2089">
        <v>42947</v>
      </c>
      <c r="C2089">
        <v>0.47315972222222225</v>
      </c>
      <c r="D2089">
        <v>0.47687499999999999</v>
      </c>
      <c r="E2089" s="2">
        <f t="shared" si="32"/>
        <v>3.7152777777777479E-3</v>
      </c>
    </row>
    <row r="2090" spans="1:5" x14ac:dyDescent="0.25">
      <c r="A2090">
        <v>0</v>
      </c>
      <c r="B2090">
        <v>42947</v>
      </c>
      <c r="C2090">
        <v>0.47349537037037037</v>
      </c>
      <c r="D2090">
        <v>0.47881944444444446</v>
      </c>
      <c r="E2090" s="2">
        <f t="shared" si="32"/>
        <v>5.3240740740740922E-3</v>
      </c>
    </row>
    <row r="2091" spans="1:5" x14ac:dyDescent="0.25">
      <c r="A2091">
        <v>0</v>
      </c>
      <c r="B2091">
        <v>42947</v>
      </c>
      <c r="C2091">
        <v>0.47357638888888887</v>
      </c>
      <c r="D2091">
        <v>0.47564814814814815</v>
      </c>
      <c r="E2091" s="2">
        <f t="shared" si="32"/>
        <v>2.0717592592592871E-3</v>
      </c>
    </row>
    <row r="2092" spans="1:5" x14ac:dyDescent="0.25">
      <c r="A2092">
        <v>0</v>
      </c>
      <c r="B2092">
        <v>42947</v>
      </c>
      <c r="C2092">
        <v>0.47366898148148145</v>
      </c>
      <c r="D2092">
        <v>0.48020833333333335</v>
      </c>
      <c r="E2092" s="2">
        <f t="shared" si="32"/>
        <v>6.5393518518518934E-3</v>
      </c>
    </row>
    <row r="2093" spans="1:5" x14ac:dyDescent="0.25">
      <c r="A2093">
        <v>0</v>
      </c>
      <c r="B2093">
        <v>42947</v>
      </c>
      <c r="C2093">
        <v>0.47851851851851851</v>
      </c>
      <c r="D2093">
        <v>0.48517361111111112</v>
      </c>
      <c r="E2093" s="2">
        <f t="shared" si="32"/>
        <v>6.6550925925926152E-3</v>
      </c>
    </row>
    <row r="2094" spans="1:5" x14ac:dyDescent="0.25">
      <c r="A2094">
        <v>0</v>
      </c>
      <c r="B2094">
        <v>42947</v>
      </c>
      <c r="C2094">
        <v>0.48053240740740738</v>
      </c>
      <c r="D2094">
        <v>0.48828703703703702</v>
      </c>
      <c r="E2094" s="2">
        <f t="shared" si="32"/>
        <v>7.7546296296296391E-3</v>
      </c>
    </row>
    <row r="2095" spans="1:5" x14ac:dyDescent="0.25">
      <c r="A2095">
        <v>0</v>
      </c>
      <c r="B2095">
        <v>42947</v>
      </c>
      <c r="C2095">
        <v>0.48141203703703705</v>
      </c>
      <c r="D2095">
        <v>0.49063657407407407</v>
      </c>
      <c r="E2095" s="2">
        <f t="shared" si="32"/>
        <v>9.2245370370370172E-3</v>
      </c>
    </row>
    <row r="2096" spans="1:5" x14ac:dyDescent="0.25">
      <c r="A2096">
        <v>0</v>
      </c>
      <c r="B2096">
        <v>42947</v>
      </c>
      <c r="C2096">
        <v>0.48174768518518518</v>
      </c>
      <c r="D2096">
        <v>0.48682870370370368</v>
      </c>
      <c r="E2096" s="2">
        <f t="shared" si="32"/>
        <v>5.0810185185184986E-3</v>
      </c>
    </row>
    <row r="2097" spans="1:5" x14ac:dyDescent="0.25">
      <c r="A2097">
        <v>0</v>
      </c>
      <c r="B2097">
        <v>42947</v>
      </c>
      <c r="C2097">
        <v>0.48424768518518518</v>
      </c>
      <c r="D2097">
        <v>0.48873842592592592</v>
      </c>
      <c r="E2097" s="2">
        <f t="shared" si="32"/>
        <v>4.4907407407407396E-3</v>
      </c>
    </row>
    <row r="2098" spans="1:5" x14ac:dyDescent="0.25">
      <c r="A2098">
        <v>0</v>
      </c>
      <c r="B2098">
        <v>42947</v>
      </c>
      <c r="C2098">
        <v>0.48635416666666664</v>
      </c>
      <c r="D2098">
        <v>0.49025462962962962</v>
      </c>
      <c r="E2098" s="2">
        <f t="shared" si="32"/>
        <v>3.9004629629629806E-3</v>
      </c>
    </row>
    <row r="2099" spans="1:5" x14ac:dyDescent="0.25">
      <c r="A2099">
        <v>0</v>
      </c>
      <c r="B2099">
        <v>42947</v>
      </c>
      <c r="C2099">
        <v>0.48893518518518519</v>
      </c>
      <c r="D2099">
        <v>0.49787037037037035</v>
      </c>
      <c r="E2099" s="2">
        <f t="shared" si="32"/>
        <v>8.9351851851851571E-3</v>
      </c>
    </row>
    <row r="2100" spans="1:5" x14ac:dyDescent="0.25">
      <c r="A2100">
        <v>0</v>
      </c>
      <c r="B2100">
        <v>42947</v>
      </c>
      <c r="C2100">
        <v>0.49409722222222224</v>
      </c>
      <c r="D2100">
        <v>0.50521990740740741</v>
      </c>
      <c r="E2100" s="2">
        <f t="shared" si="32"/>
        <v>1.1122685185185166E-2</v>
      </c>
    </row>
    <row r="2101" spans="1:5" x14ac:dyDescent="0.25">
      <c r="A2101">
        <v>0</v>
      </c>
      <c r="B2101">
        <v>42947</v>
      </c>
      <c r="C2101">
        <v>0.49849537037037039</v>
      </c>
      <c r="D2101">
        <v>0.5092592592592593</v>
      </c>
      <c r="E2101" s="2">
        <f t="shared" si="32"/>
        <v>1.0763888888888906E-2</v>
      </c>
    </row>
    <row r="2102" spans="1:5" x14ac:dyDescent="0.25">
      <c r="A2102">
        <v>0</v>
      </c>
      <c r="B2102">
        <v>42947</v>
      </c>
      <c r="C2102">
        <v>0.49903935185185183</v>
      </c>
      <c r="D2102">
        <v>0.51059027777777777</v>
      </c>
      <c r="E2102" s="2">
        <f t="shared" si="32"/>
        <v>1.1550925925925937E-2</v>
      </c>
    </row>
    <row r="2103" spans="1:5" x14ac:dyDescent="0.25">
      <c r="A2103">
        <v>0</v>
      </c>
      <c r="B2103">
        <v>42947</v>
      </c>
      <c r="C2103">
        <v>0.50065972222222221</v>
      </c>
      <c r="D2103">
        <v>0.50898148148148148</v>
      </c>
      <c r="E2103" s="2">
        <f t="shared" si="32"/>
        <v>8.3217592592592649E-3</v>
      </c>
    </row>
    <row r="2104" spans="1:5" x14ac:dyDescent="0.25">
      <c r="A2104">
        <v>0</v>
      </c>
      <c r="B2104">
        <v>42947</v>
      </c>
      <c r="C2104">
        <v>0.5040972222222222</v>
      </c>
      <c r="D2104">
        <v>0.50971064814814815</v>
      </c>
      <c r="E2104" s="2">
        <f t="shared" si="32"/>
        <v>5.6134259259259522E-3</v>
      </c>
    </row>
    <row r="2105" spans="1:5" x14ac:dyDescent="0.25">
      <c r="A2105">
        <v>0</v>
      </c>
      <c r="B2105">
        <v>42947</v>
      </c>
      <c r="C2105">
        <v>0.50410879629629635</v>
      </c>
      <c r="D2105">
        <v>0.50539351851851855</v>
      </c>
      <c r="E2105" s="2">
        <f t="shared" si="32"/>
        <v>1.284722222222201E-3</v>
      </c>
    </row>
    <row r="2106" spans="1:5" x14ac:dyDescent="0.25">
      <c r="A2106">
        <v>0</v>
      </c>
      <c r="B2106">
        <v>42947</v>
      </c>
      <c r="C2106">
        <v>0.50980324074074079</v>
      </c>
      <c r="D2106">
        <v>0.51123842592592594</v>
      </c>
      <c r="E2106" s="2">
        <f t="shared" si="32"/>
        <v>1.4351851851851505E-3</v>
      </c>
    </row>
    <row r="2107" spans="1:5" x14ac:dyDescent="0.25">
      <c r="A2107">
        <v>0</v>
      </c>
      <c r="B2107">
        <v>42947</v>
      </c>
      <c r="C2107">
        <v>0.51331018518518523</v>
      </c>
      <c r="D2107">
        <v>0.51490740740740737</v>
      </c>
      <c r="E2107" s="2">
        <f t="shared" si="32"/>
        <v>1.5972222222221388E-3</v>
      </c>
    </row>
    <row r="2108" spans="1:5" x14ac:dyDescent="0.25">
      <c r="A2108">
        <v>0</v>
      </c>
      <c r="B2108">
        <v>42947</v>
      </c>
      <c r="C2108">
        <v>0.51811342592592591</v>
      </c>
      <c r="D2108">
        <v>0.51965277777777774</v>
      </c>
      <c r="E2108" s="2">
        <f t="shared" si="32"/>
        <v>1.5393518518518334E-3</v>
      </c>
    </row>
    <row r="2109" spans="1:5" x14ac:dyDescent="0.25">
      <c r="A2109">
        <v>0</v>
      </c>
      <c r="B2109">
        <v>42947</v>
      </c>
      <c r="C2109">
        <v>0.52203703703703708</v>
      </c>
      <c r="D2109">
        <v>0.53162037037037035</v>
      </c>
      <c r="E2109" s="2">
        <f t="shared" si="32"/>
        <v>9.5833333333332771E-3</v>
      </c>
    </row>
    <row r="2110" spans="1:5" x14ac:dyDescent="0.25">
      <c r="A2110">
        <v>0</v>
      </c>
      <c r="B2110">
        <v>42947</v>
      </c>
      <c r="C2110">
        <v>0.52238425925925924</v>
      </c>
      <c r="D2110">
        <v>0.52749999999999997</v>
      </c>
      <c r="E2110" s="2">
        <f t="shared" si="32"/>
        <v>5.1157407407407263E-3</v>
      </c>
    </row>
    <row r="2111" spans="1:5" x14ac:dyDescent="0.25">
      <c r="A2111">
        <v>0</v>
      </c>
      <c r="B2111">
        <v>42947</v>
      </c>
      <c r="C2111">
        <v>0.5237384259259259</v>
      </c>
      <c r="D2111">
        <v>0.52431712962962962</v>
      </c>
      <c r="E2111" s="2">
        <f t="shared" si="32"/>
        <v>5.7870370370372015E-4</v>
      </c>
    </row>
    <row r="2112" spans="1:5" x14ac:dyDescent="0.25">
      <c r="A2112">
        <v>0</v>
      </c>
      <c r="B2112">
        <v>42947</v>
      </c>
      <c r="C2112">
        <v>0.52516203703703701</v>
      </c>
      <c r="D2112">
        <v>0.52825231481481483</v>
      </c>
      <c r="E2112" s="2">
        <f t="shared" si="32"/>
        <v>3.0902777777778168E-3</v>
      </c>
    </row>
    <row r="2113" spans="1:5" x14ac:dyDescent="0.25">
      <c r="A2113">
        <v>0</v>
      </c>
      <c r="B2113">
        <v>42947</v>
      </c>
      <c r="C2113">
        <v>0.53011574074074075</v>
      </c>
      <c r="D2113">
        <v>0.5342824074074074</v>
      </c>
      <c r="E2113" s="2">
        <f t="shared" si="32"/>
        <v>4.1666666666666519E-3</v>
      </c>
    </row>
    <row r="2114" spans="1:5" x14ac:dyDescent="0.25">
      <c r="A2114">
        <v>0</v>
      </c>
      <c r="B2114">
        <v>42947</v>
      </c>
      <c r="C2114">
        <v>0.53206018518518516</v>
      </c>
      <c r="D2114">
        <v>0.53396990740740746</v>
      </c>
      <c r="E2114" s="2">
        <f t="shared" ref="E2114:E2149" si="33">D2114-C2114</f>
        <v>1.9097222222222987E-3</v>
      </c>
    </row>
    <row r="2115" spans="1:5" x14ac:dyDescent="0.25">
      <c r="A2115">
        <v>0</v>
      </c>
      <c r="B2115">
        <v>42947</v>
      </c>
      <c r="C2115">
        <v>0.53451388888888884</v>
      </c>
      <c r="D2115">
        <v>0.54087962962962965</v>
      </c>
      <c r="E2115" s="2">
        <f t="shared" si="33"/>
        <v>6.3657407407408106E-3</v>
      </c>
    </row>
    <row r="2116" spans="1:5" x14ac:dyDescent="0.25">
      <c r="A2116">
        <v>0</v>
      </c>
      <c r="B2116">
        <v>42947</v>
      </c>
      <c r="C2116">
        <v>0.53622685185185182</v>
      </c>
      <c r="D2116">
        <v>0.54399305555555555</v>
      </c>
      <c r="E2116" s="2">
        <f t="shared" si="33"/>
        <v>7.7662037037037335E-3</v>
      </c>
    </row>
    <row r="2117" spans="1:5" x14ac:dyDescent="0.25">
      <c r="A2117">
        <v>0</v>
      </c>
      <c r="B2117">
        <v>42947</v>
      </c>
      <c r="C2117">
        <v>0.5376967592592593</v>
      </c>
      <c r="D2117">
        <v>0.54113425925925929</v>
      </c>
      <c r="E2117" s="2">
        <f t="shared" si="33"/>
        <v>3.4374999999999822E-3</v>
      </c>
    </row>
    <row r="2118" spans="1:5" x14ac:dyDescent="0.25">
      <c r="A2118">
        <v>0</v>
      </c>
      <c r="B2118">
        <v>42947</v>
      </c>
      <c r="C2118">
        <v>0.53961805555555553</v>
      </c>
      <c r="D2118">
        <v>0.54870370370370369</v>
      </c>
      <c r="E2118" s="2">
        <f t="shared" si="33"/>
        <v>9.0856481481481621E-3</v>
      </c>
    </row>
    <row r="2119" spans="1:5" x14ac:dyDescent="0.25">
      <c r="A2119">
        <v>0</v>
      </c>
      <c r="B2119">
        <v>42947</v>
      </c>
      <c r="C2119">
        <v>0.5415740740740741</v>
      </c>
      <c r="D2119">
        <v>0.54230324074074077</v>
      </c>
      <c r="E2119" s="2">
        <f t="shared" si="33"/>
        <v>7.2916666666666963E-4</v>
      </c>
    </row>
    <row r="2120" spans="1:5" x14ac:dyDescent="0.25">
      <c r="A2120">
        <v>0</v>
      </c>
      <c r="B2120">
        <v>42947</v>
      </c>
      <c r="C2120">
        <v>0.54670138888888886</v>
      </c>
      <c r="D2120">
        <v>0.55440972222222218</v>
      </c>
      <c r="E2120" s="2">
        <f t="shared" si="33"/>
        <v>7.7083333333333171E-3</v>
      </c>
    </row>
    <row r="2121" spans="1:5" x14ac:dyDescent="0.25">
      <c r="A2121">
        <v>0</v>
      </c>
      <c r="B2121">
        <v>42947</v>
      </c>
      <c r="C2121">
        <v>0.55063657407407407</v>
      </c>
      <c r="D2121">
        <v>0.55451388888888886</v>
      </c>
      <c r="E2121" s="2">
        <f t="shared" si="33"/>
        <v>3.8773148148147918E-3</v>
      </c>
    </row>
    <row r="2122" spans="1:5" x14ac:dyDescent="0.25">
      <c r="A2122">
        <v>0</v>
      </c>
      <c r="B2122">
        <v>42947</v>
      </c>
      <c r="C2122">
        <v>0.55182870370370374</v>
      </c>
      <c r="D2122">
        <v>0.55775462962962963</v>
      </c>
      <c r="E2122" s="2">
        <f t="shared" si="33"/>
        <v>5.9259259259258901E-3</v>
      </c>
    </row>
    <row r="2123" spans="1:5" x14ac:dyDescent="0.25">
      <c r="A2123">
        <v>0</v>
      </c>
      <c r="B2123">
        <v>42947</v>
      </c>
      <c r="C2123">
        <v>0.55717592592592591</v>
      </c>
      <c r="D2123">
        <v>0.56000000000000005</v>
      </c>
      <c r="E2123" s="2">
        <f t="shared" si="33"/>
        <v>2.8240740740741455E-3</v>
      </c>
    </row>
    <row r="2124" spans="1:5" x14ac:dyDescent="0.25">
      <c r="A2124">
        <v>0</v>
      </c>
      <c r="B2124">
        <v>42947</v>
      </c>
      <c r="C2124">
        <v>0.56119212962962961</v>
      </c>
      <c r="D2124">
        <v>0.56221064814814814</v>
      </c>
      <c r="E2124" s="2">
        <f t="shared" si="33"/>
        <v>1.0185185185185297E-3</v>
      </c>
    </row>
    <row r="2125" spans="1:5" x14ac:dyDescent="0.25">
      <c r="A2125">
        <v>0</v>
      </c>
      <c r="B2125">
        <v>42947</v>
      </c>
      <c r="C2125">
        <v>0.56452546296296291</v>
      </c>
      <c r="D2125">
        <v>0.5725231481481482</v>
      </c>
      <c r="E2125" s="2">
        <f t="shared" si="33"/>
        <v>7.9976851851852881E-3</v>
      </c>
    </row>
    <row r="2126" spans="1:5" x14ac:dyDescent="0.25">
      <c r="A2126">
        <v>0</v>
      </c>
      <c r="B2126">
        <v>42947</v>
      </c>
      <c r="C2126">
        <v>0.56582175925925926</v>
      </c>
      <c r="D2126">
        <v>0.57314814814814818</v>
      </c>
      <c r="E2126" s="2">
        <f t="shared" si="33"/>
        <v>7.3263888888889239E-3</v>
      </c>
    </row>
    <row r="2127" spans="1:5" x14ac:dyDescent="0.25">
      <c r="A2127">
        <v>0</v>
      </c>
      <c r="B2127">
        <v>42947</v>
      </c>
      <c r="C2127">
        <v>0.56916666666666671</v>
      </c>
      <c r="D2127">
        <v>0.57851851851851854</v>
      </c>
      <c r="E2127" s="2">
        <f t="shared" si="33"/>
        <v>9.3518518518518334E-3</v>
      </c>
    </row>
    <row r="2128" spans="1:5" x14ac:dyDescent="0.25">
      <c r="A2128">
        <v>0</v>
      </c>
      <c r="B2128">
        <v>42947</v>
      </c>
      <c r="C2128">
        <v>0.57268518518518519</v>
      </c>
      <c r="D2128">
        <v>0.58170138888888889</v>
      </c>
      <c r="E2128" s="2">
        <f t="shared" si="33"/>
        <v>9.0162037037037068E-3</v>
      </c>
    </row>
    <row r="2129" spans="1:5" x14ac:dyDescent="0.25">
      <c r="A2129">
        <v>0</v>
      </c>
      <c r="B2129">
        <v>42947</v>
      </c>
      <c r="C2129">
        <v>0.57740740740740737</v>
      </c>
      <c r="D2129">
        <v>0.58895833333333336</v>
      </c>
      <c r="E2129" s="2">
        <f t="shared" si="33"/>
        <v>1.1550925925925992E-2</v>
      </c>
    </row>
    <row r="2130" spans="1:5" x14ac:dyDescent="0.25">
      <c r="A2130">
        <v>0</v>
      </c>
      <c r="B2130">
        <v>42947</v>
      </c>
      <c r="C2130">
        <v>0.57822916666666668</v>
      </c>
      <c r="D2130">
        <v>0.57994212962962965</v>
      </c>
      <c r="E2130" s="2">
        <f t="shared" si="33"/>
        <v>1.7129629629629717E-3</v>
      </c>
    </row>
    <row r="2131" spans="1:5" x14ac:dyDescent="0.25">
      <c r="A2131">
        <v>0</v>
      </c>
      <c r="B2131">
        <v>42947</v>
      </c>
      <c r="C2131">
        <v>0.57874999999999999</v>
      </c>
      <c r="D2131">
        <v>0.58307870370370374</v>
      </c>
      <c r="E2131" s="2">
        <f t="shared" si="33"/>
        <v>4.3287037037037512E-3</v>
      </c>
    </row>
    <row r="2132" spans="1:5" x14ac:dyDescent="0.25">
      <c r="A2132">
        <v>0</v>
      </c>
      <c r="B2132">
        <v>42947</v>
      </c>
      <c r="C2132">
        <v>0.57952546296296292</v>
      </c>
      <c r="D2132">
        <v>0.58090277777777777</v>
      </c>
      <c r="E2132" s="2">
        <f t="shared" si="33"/>
        <v>1.3773148148148451E-3</v>
      </c>
    </row>
    <row r="2133" spans="1:5" x14ac:dyDescent="0.25">
      <c r="A2133">
        <v>0</v>
      </c>
      <c r="B2133">
        <v>42947</v>
      </c>
      <c r="C2133">
        <v>0.58163194444444444</v>
      </c>
      <c r="D2133">
        <v>0.5872222222222222</v>
      </c>
      <c r="E2133" s="2">
        <f t="shared" si="33"/>
        <v>5.5902777777777635E-3</v>
      </c>
    </row>
    <row r="2134" spans="1:5" x14ac:dyDescent="0.25">
      <c r="A2134">
        <v>0</v>
      </c>
      <c r="B2134">
        <v>42947</v>
      </c>
      <c r="C2134">
        <v>0.58287037037037037</v>
      </c>
      <c r="D2134">
        <v>0.58347222222222217</v>
      </c>
      <c r="E2134" s="2">
        <f t="shared" si="33"/>
        <v>6.018518518517979E-4</v>
      </c>
    </row>
    <row r="2135" spans="1:5" x14ac:dyDescent="0.25">
      <c r="A2135">
        <v>0</v>
      </c>
      <c r="B2135">
        <v>42947</v>
      </c>
      <c r="C2135">
        <v>0.58784722222222219</v>
      </c>
      <c r="D2135">
        <v>0.58940972222222221</v>
      </c>
      <c r="E2135" s="2">
        <f t="shared" si="33"/>
        <v>1.5625000000000222E-3</v>
      </c>
    </row>
    <row r="2136" spans="1:5" x14ac:dyDescent="0.25">
      <c r="A2136">
        <v>0</v>
      </c>
      <c r="B2136">
        <v>42947</v>
      </c>
      <c r="C2136">
        <v>0.59052083333333338</v>
      </c>
      <c r="D2136">
        <v>0.59702546296296299</v>
      </c>
      <c r="E2136" s="2">
        <f t="shared" si="33"/>
        <v>6.5046296296296102E-3</v>
      </c>
    </row>
    <row r="2137" spans="1:5" x14ac:dyDescent="0.25">
      <c r="A2137">
        <v>0</v>
      </c>
      <c r="B2137">
        <v>42947</v>
      </c>
      <c r="C2137">
        <v>0.59290509259259261</v>
      </c>
      <c r="D2137">
        <v>0.60322916666666671</v>
      </c>
      <c r="E2137" s="2">
        <f t="shared" si="33"/>
        <v>1.0324074074074097E-2</v>
      </c>
    </row>
    <row r="2138" spans="1:5" x14ac:dyDescent="0.25">
      <c r="A2138">
        <v>0</v>
      </c>
      <c r="B2138">
        <v>42947</v>
      </c>
      <c r="C2138">
        <v>0.59569444444444442</v>
      </c>
      <c r="D2138">
        <v>0.60372685185185182</v>
      </c>
      <c r="E2138" s="2">
        <f t="shared" si="33"/>
        <v>8.0324074074074048E-3</v>
      </c>
    </row>
    <row r="2139" spans="1:5" x14ac:dyDescent="0.25">
      <c r="A2139">
        <v>0</v>
      </c>
      <c r="B2139">
        <v>42947</v>
      </c>
      <c r="C2139">
        <v>0.59736111111111112</v>
      </c>
      <c r="D2139">
        <v>0.60046296296296298</v>
      </c>
      <c r="E2139" s="2">
        <f t="shared" si="33"/>
        <v>3.1018518518518556E-3</v>
      </c>
    </row>
    <row r="2140" spans="1:5" x14ac:dyDescent="0.25">
      <c r="A2140">
        <v>0</v>
      </c>
      <c r="B2140">
        <v>42947</v>
      </c>
      <c r="C2140">
        <v>0.60197916666666662</v>
      </c>
      <c r="D2140">
        <v>0.60856481481481484</v>
      </c>
      <c r="E2140" s="2">
        <f t="shared" si="33"/>
        <v>6.5856481481482154E-3</v>
      </c>
    </row>
    <row r="2141" spans="1:5" x14ac:dyDescent="0.25">
      <c r="A2141">
        <v>0</v>
      </c>
      <c r="B2141">
        <v>42947</v>
      </c>
      <c r="C2141">
        <v>0.60348379629629634</v>
      </c>
      <c r="D2141">
        <v>0.61365740740740737</v>
      </c>
      <c r="E2141" s="2">
        <f t="shared" si="33"/>
        <v>1.0173611111111036E-2</v>
      </c>
    </row>
    <row r="2142" spans="1:5" x14ac:dyDescent="0.25">
      <c r="A2142">
        <v>0</v>
      </c>
      <c r="B2142">
        <v>42947</v>
      </c>
      <c r="C2142">
        <v>0.60519675925925931</v>
      </c>
      <c r="D2142">
        <v>0.61221064814814818</v>
      </c>
      <c r="E2142" s="2">
        <f t="shared" si="33"/>
        <v>7.0138888888888751E-3</v>
      </c>
    </row>
    <row r="2143" spans="1:5" x14ac:dyDescent="0.25">
      <c r="A2143">
        <v>0</v>
      </c>
      <c r="B2143">
        <v>42947</v>
      </c>
      <c r="C2143">
        <v>0.60825231481481479</v>
      </c>
      <c r="D2143">
        <v>0.61048611111111106</v>
      </c>
      <c r="E2143" s="2">
        <f t="shared" si="33"/>
        <v>2.2337962962962754E-3</v>
      </c>
    </row>
    <row r="2144" spans="1:5" x14ac:dyDescent="0.25">
      <c r="A2144">
        <v>0</v>
      </c>
      <c r="B2144">
        <v>42947</v>
      </c>
      <c r="C2144">
        <v>0.61159722222222224</v>
      </c>
      <c r="D2144">
        <v>0.61434027777777778</v>
      </c>
      <c r="E2144" s="2">
        <f t="shared" si="33"/>
        <v>2.7430555555555403E-3</v>
      </c>
    </row>
    <row r="2145" spans="1:5" x14ac:dyDescent="0.25">
      <c r="A2145">
        <v>0</v>
      </c>
      <c r="B2145">
        <v>42947</v>
      </c>
      <c r="C2145">
        <v>0.61328703703703702</v>
      </c>
      <c r="D2145">
        <v>0.61828703703703702</v>
      </c>
      <c r="E2145" s="2">
        <f t="shared" si="33"/>
        <v>5.0000000000000044E-3</v>
      </c>
    </row>
    <row r="2146" spans="1:5" x14ac:dyDescent="0.25">
      <c r="A2146">
        <v>0</v>
      </c>
      <c r="B2146">
        <v>42947</v>
      </c>
      <c r="C2146">
        <v>0.61524305555555558</v>
      </c>
      <c r="D2146">
        <v>0.62432870370370375</v>
      </c>
      <c r="E2146" s="2">
        <f t="shared" si="33"/>
        <v>9.0856481481481621E-3</v>
      </c>
    </row>
    <row r="2147" spans="1:5" x14ac:dyDescent="0.25">
      <c r="A2147">
        <v>0</v>
      </c>
      <c r="B2147">
        <v>42947</v>
      </c>
      <c r="C2147">
        <v>0.61821759259259257</v>
      </c>
      <c r="D2147">
        <v>0.62706018518518514</v>
      </c>
      <c r="E2147" s="2">
        <f t="shared" si="33"/>
        <v>8.8425925925925686E-3</v>
      </c>
    </row>
    <row r="2148" spans="1:5" x14ac:dyDescent="0.25">
      <c r="A2148">
        <v>0</v>
      </c>
      <c r="B2148">
        <v>42947</v>
      </c>
      <c r="C2148">
        <v>0.62299768518518517</v>
      </c>
      <c r="D2148">
        <v>0.62311342592592589</v>
      </c>
      <c r="E2148" s="2">
        <f t="shared" si="33"/>
        <v>1.1574074074072183E-4</v>
      </c>
    </row>
    <row r="2149" spans="1:5" x14ac:dyDescent="0.25">
      <c r="A2149">
        <v>0</v>
      </c>
      <c r="B2149">
        <v>42947</v>
      </c>
      <c r="C2149">
        <v>0.62693287037037038</v>
      </c>
      <c r="D2149">
        <v>0.62837962962962968</v>
      </c>
      <c r="E2149" s="2">
        <f t="shared" si="33"/>
        <v>1.4467592592593004E-3</v>
      </c>
    </row>
  </sheetData>
  <sortState xmlns:xlrd2="http://schemas.microsoft.com/office/spreadsheetml/2017/richdata2" ref="A2:E2149">
    <sortCondition descending="1" ref="A2:A214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5F89-981B-4B0B-8602-96D7E2817890}">
  <dimension ref="A1:U2152"/>
  <sheetViews>
    <sheetView workbookViewId="0">
      <pane ySplit="1" topLeftCell="A2" activePane="bottomLeft" state="frozen"/>
      <selection pane="bottomLeft" activeCell="U11" sqref="U11"/>
    </sheetView>
  </sheetViews>
  <sheetFormatPr defaultRowHeight="15" x14ac:dyDescent="0.25"/>
  <cols>
    <col min="1" max="1" width="11" bestFit="1" customWidth="1"/>
    <col min="2" max="2" width="11" customWidth="1"/>
    <col min="3" max="3" width="10.140625" bestFit="1" customWidth="1"/>
    <col min="4" max="4" width="11.42578125" bestFit="1" customWidth="1"/>
    <col min="5" max="5" width="11.85546875" bestFit="1" customWidth="1"/>
    <col min="10" max="10" width="15.7109375" bestFit="1" customWidth="1"/>
    <col min="11" max="11" width="16.28515625" bestFit="1" customWidth="1"/>
    <col min="12" max="12" width="9.7109375" bestFit="1" customWidth="1"/>
    <col min="13" max="13" width="9.85546875" bestFit="1" customWidth="1"/>
    <col min="14" max="14" width="14.5703125" bestFit="1" customWidth="1"/>
    <col min="15" max="15" width="17.85546875" bestFit="1" customWidth="1"/>
    <col min="16" max="16" width="17.85546875" customWidth="1"/>
    <col min="18" max="18" width="12.42578125" bestFit="1" customWidth="1"/>
    <col min="21" max="21" width="16.42578125" bestFit="1" customWidth="1"/>
  </cols>
  <sheetData>
    <row r="1" spans="1:21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15</v>
      </c>
      <c r="G1" t="s">
        <v>18</v>
      </c>
      <c r="H1" t="s">
        <v>19</v>
      </c>
      <c r="I1" t="s">
        <v>20</v>
      </c>
      <c r="J1" t="s">
        <v>31</v>
      </c>
      <c r="K1" t="s">
        <v>21</v>
      </c>
      <c r="L1" t="s">
        <v>30</v>
      </c>
      <c r="M1" t="s">
        <v>32</v>
      </c>
      <c r="N1" t="s">
        <v>22</v>
      </c>
      <c r="O1" t="s">
        <v>23</v>
      </c>
      <c r="R1" t="s">
        <v>25</v>
      </c>
      <c r="S1" t="s">
        <v>27</v>
      </c>
      <c r="T1" t="s">
        <v>28</v>
      </c>
      <c r="U1" t="s">
        <v>24</v>
      </c>
    </row>
    <row r="2" spans="1:21" x14ac:dyDescent="0.25">
      <c r="A2">
        <v>3539762</v>
      </c>
      <c r="B2" t="str">
        <f>IF(LEN(A2)=7,"stacjonarny",IF(LEN(A2)=8,"komorkowy","zagraniczny"))</f>
        <v>stacjonarny</v>
      </c>
      <c r="C2" s="1">
        <v>42919</v>
      </c>
      <c r="D2" s="2">
        <v>0.33673611111111112</v>
      </c>
      <c r="E2" s="2">
        <v>0.34821759259259261</v>
      </c>
      <c r="F2" s="2">
        <f>E2-D2</f>
        <v>1.1481481481481481E-2</v>
      </c>
      <c r="G2">
        <f>HOUR(F2)</f>
        <v>0</v>
      </c>
      <c r="H2">
        <f>MINUTE(F2)</f>
        <v>16</v>
      </c>
      <c r="I2">
        <f>SECOND(F2)</f>
        <v>32</v>
      </c>
      <c r="J2">
        <f>H2*60+I2</f>
        <v>992</v>
      </c>
      <c r="K2">
        <f>IF(I2&gt;0,G2*60+H2+1,H2+G2*60)</f>
        <v>17</v>
      </c>
      <c r="L2">
        <v>992</v>
      </c>
      <c r="M2">
        <v>0</v>
      </c>
      <c r="N2">
        <v>992</v>
      </c>
      <c r="O2">
        <v>0</v>
      </c>
      <c r="R2">
        <v>50</v>
      </c>
      <c r="S2">
        <f>5*L2152</f>
        <v>610</v>
      </c>
      <c r="T2">
        <f>6*M2152</f>
        <v>240</v>
      </c>
      <c r="U2">
        <f>O2149</f>
        <v>967</v>
      </c>
    </row>
    <row r="3" spans="1:21" x14ac:dyDescent="0.25">
      <c r="A3">
        <v>4546455</v>
      </c>
      <c r="B3" t="str">
        <f t="shared" ref="B3:B66" si="0">IF(LEN(A3)=7,"stacjonarny",IF(LEN(A3)=8,"komorkowy","zagraniczny"))</f>
        <v>stacjonarny</v>
      </c>
      <c r="C3" s="1">
        <v>42919</v>
      </c>
      <c r="D3" s="2">
        <v>0.34037037037037038</v>
      </c>
      <c r="E3" s="2">
        <v>0.34983796296296299</v>
      </c>
      <c r="F3" s="2">
        <f t="shared" ref="F3:F66" si="1">E3-D3</f>
        <v>9.4675925925926108E-3</v>
      </c>
      <c r="G3">
        <f t="shared" ref="G3:G66" si="2">HOUR(F3)</f>
        <v>0</v>
      </c>
      <c r="H3">
        <f t="shared" ref="H3:H66" si="3">MINUTE(F3)</f>
        <v>13</v>
      </c>
      <c r="I3">
        <f t="shared" ref="I3:I66" si="4">SECOND(F3)</f>
        <v>38</v>
      </c>
      <c r="J3">
        <f t="shared" ref="J3:J66" si="5">H3*60+I3</f>
        <v>818</v>
      </c>
      <c r="K3">
        <f t="shared" ref="K3:K66" si="6">IF(I3&gt;0,G3*60+H3+1,H3+G3*60)</f>
        <v>14</v>
      </c>
      <c r="L3">
        <f>IF(B3="stacjonarny",$J3+L2,L2)</f>
        <v>1810</v>
      </c>
      <c r="M3">
        <f>IF(B3="komorkowy",$J3+M2,M2)</f>
        <v>0</v>
      </c>
      <c r="N3">
        <f>IF(OR(B3="stacjonarny",B3="komorkowy"),J3+N2,N2)</f>
        <v>1810</v>
      </c>
      <c r="O3">
        <f>IF(B3="zagraniczny",K3+O2,O2)</f>
        <v>0</v>
      </c>
    </row>
    <row r="4" spans="1:21" x14ac:dyDescent="0.25">
      <c r="A4">
        <v>4546455</v>
      </c>
      <c r="B4" t="str">
        <f t="shared" si="0"/>
        <v>stacjonarny</v>
      </c>
      <c r="C4" s="1">
        <v>42919</v>
      </c>
      <c r="D4" s="2">
        <v>0.34042824074074074</v>
      </c>
      <c r="E4" s="2">
        <v>0.35046296296296298</v>
      </c>
      <c r="F4" s="2">
        <f t="shared" si="1"/>
        <v>1.0034722222222237E-2</v>
      </c>
      <c r="G4">
        <f t="shared" si="2"/>
        <v>0</v>
      </c>
      <c r="H4">
        <f t="shared" si="3"/>
        <v>14</v>
      </c>
      <c r="I4">
        <f t="shared" si="4"/>
        <v>27</v>
      </c>
      <c r="J4">
        <f t="shared" si="5"/>
        <v>867</v>
      </c>
      <c r="K4">
        <f t="shared" si="6"/>
        <v>15</v>
      </c>
      <c r="L4">
        <f t="shared" ref="L4:L67" si="7">IF(B4="stacjonarny",$J4+L3,L3)</f>
        <v>2677</v>
      </c>
      <c r="M4">
        <f t="shared" ref="M4:M67" si="8">IF(B4="komorkowy",$J4+M3,M3)</f>
        <v>0</v>
      </c>
      <c r="N4">
        <f t="shared" ref="N4:N67" si="9">IF(OR(B4="stacjonarny",B4="komorkowy"),J4+N3,N3)</f>
        <v>2677</v>
      </c>
      <c r="O4">
        <f>IF(B4="zagraniczny",K4+O3,O3)</f>
        <v>0</v>
      </c>
      <c r="S4" t="s">
        <v>29</v>
      </c>
      <c r="T4">
        <f>SUM(R2:U2)</f>
        <v>1867</v>
      </c>
    </row>
    <row r="5" spans="1:21" x14ac:dyDescent="0.25">
      <c r="A5">
        <v>6900303</v>
      </c>
      <c r="B5" t="str">
        <f t="shared" si="0"/>
        <v>stacjonarny</v>
      </c>
      <c r="C5" s="1">
        <v>42919</v>
      </c>
      <c r="D5" s="2">
        <v>0.34362268518518518</v>
      </c>
      <c r="E5" s="2">
        <v>0.3482986111111111</v>
      </c>
      <c r="F5" s="2">
        <f t="shared" si="1"/>
        <v>4.6759259259259167E-3</v>
      </c>
      <c r="G5">
        <f t="shared" si="2"/>
        <v>0</v>
      </c>
      <c r="H5">
        <f t="shared" si="3"/>
        <v>6</v>
      </c>
      <c r="I5">
        <f t="shared" si="4"/>
        <v>44</v>
      </c>
      <c r="J5">
        <f t="shared" si="5"/>
        <v>404</v>
      </c>
      <c r="K5">
        <f t="shared" si="6"/>
        <v>7</v>
      </c>
      <c r="L5">
        <f t="shared" si="7"/>
        <v>3081</v>
      </c>
      <c r="M5">
        <f t="shared" si="8"/>
        <v>0</v>
      </c>
      <c r="N5">
        <f t="shared" si="9"/>
        <v>3081</v>
      </c>
      <c r="O5">
        <f>IF(B5="zagraniczny",K5+O4,O4)</f>
        <v>0</v>
      </c>
    </row>
    <row r="6" spans="1:21" x14ac:dyDescent="0.25">
      <c r="A6">
        <v>4250194</v>
      </c>
      <c r="B6" t="str">
        <f t="shared" si="0"/>
        <v>stacjonarny</v>
      </c>
      <c r="C6" s="1">
        <v>42919</v>
      </c>
      <c r="D6" s="2">
        <v>0.34399305555555554</v>
      </c>
      <c r="E6" s="2">
        <v>0.34872685185185187</v>
      </c>
      <c r="F6" s="2">
        <f t="shared" si="1"/>
        <v>4.7337962962963331E-3</v>
      </c>
      <c r="G6">
        <f t="shared" si="2"/>
        <v>0</v>
      </c>
      <c r="H6">
        <f t="shared" si="3"/>
        <v>6</v>
      </c>
      <c r="I6">
        <f t="shared" si="4"/>
        <v>49</v>
      </c>
      <c r="J6">
        <f t="shared" si="5"/>
        <v>409</v>
      </c>
      <c r="K6">
        <f t="shared" si="6"/>
        <v>7</v>
      </c>
      <c r="L6">
        <f t="shared" si="7"/>
        <v>3490</v>
      </c>
      <c r="M6">
        <f t="shared" si="8"/>
        <v>0</v>
      </c>
      <c r="N6">
        <f t="shared" si="9"/>
        <v>3490</v>
      </c>
      <c r="O6">
        <f>IF(B6="zagraniczny",K6+O5,O5)</f>
        <v>0</v>
      </c>
    </row>
    <row r="7" spans="1:21" x14ac:dyDescent="0.25">
      <c r="A7">
        <v>54586484</v>
      </c>
      <c r="B7" t="str">
        <f t="shared" si="0"/>
        <v>komorkowy</v>
      </c>
      <c r="C7" s="1">
        <v>42919</v>
      </c>
      <c r="D7" s="2">
        <v>0.3460185185185185</v>
      </c>
      <c r="E7" s="2">
        <v>0.34969907407407408</v>
      </c>
      <c r="F7" s="2">
        <f t="shared" si="1"/>
        <v>3.6805555555555758E-3</v>
      </c>
      <c r="G7">
        <f t="shared" si="2"/>
        <v>0</v>
      </c>
      <c r="H7">
        <f t="shared" si="3"/>
        <v>5</v>
      </c>
      <c r="I7">
        <f t="shared" si="4"/>
        <v>18</v>
      </c>
      <c r="J7">
        <f t="shared" si="5"/>
        <v>318</v>
      </c>
      <c r="K7">
        <f t="shared" si="6"/>
        <v>6</v>
      </c>
      <c r="L7">
        <f t="shared" si="7"/>
        <v>3490</v>
      </c>
      <c r="M7">
        <f t="shared" si="8"/>
        <v>318</v>
      </c>
      <c r="N7">
        <f t="shared" si="9"/>
        <v>3808</v>
      </c>
      <c r="O7">
        <f>IF(B7="zagraniczny",K7+O6,O6)</f>
        <v>0</v>
      </c>
    </row>
    <row r="8" spans="1:21" x14ac:dyDescent="0.25">
      <c r="A8">
        <v>26204415</v>
      </c>
      <c r="B8" t="str">
        <f t="shared" si="0"/>
        <v>komorkowy</v>
      </c>
      <c r="C8" s="1">
        <v>42919</v>
      </c>
      <c r="D8" s="2">
        <v>0.34880787037037037</v>
      </c>
      <c r="E8" s="2">
        <v>0.35023148148148148</v>
      </c>
      <c r="F8" s="2">
        <f t="shared" si="1"/>
        <v>1.4236111111111116E-3</v>
      </c>
      <c r="G8">
        <f t="shared" si="2"/>
        <v>0</v>
      </c>
      <c r="H8">
        <f t="shared" si="3"/>
        <v>2</v>
      </c>
      <c r="I8">
        <f t="shared" si="4"/>
        <v>3</v>
      </c>
      <c r="J8">
        <f t="shared" si="5"/>
        <v>123</v>
      </c>
      <c r="K8">
        <f t="shared" si="6"/>
        <v>3</v>
      </c>
      <c r="L8">
        <f t="shared" si="7"/>
        <v>3490</v>
      </c>
      <c r="M8">
        <f t="shared" si="8"/>
        <v>441</v>
      </c>
      <c r="N8">
        <f t="shared" si="9"/>
        <v>3931</v>
      </c>
      <c r="O8">
        <f>IF(B8="zagraniczny",K8+O7,O7)</f>
        <v>0</v>
      </c>
    </row>
    <row r="9" spans="1:21" x14ac:dyDescent="0.25">
      <c r="A9">
        <v>8596929</v>
      </c>
      <c r="B9" t="str">
        <f t="shared" si="0"/>
        <v>stacjonarny</v>
      </c>
      <c r="C9" s="1">
        <v>42919</v>
      </c>
      <c r="D9" s="2">
        <v>0.35322916666666665</v>
      </c>
      <c r="E9" s="2">
        <v>0.35968749999999999</v>
      </c>
      <c r="F9" s="2">
        <f t="shared" si="1"/>
        <v>6.4583333333333437E-3</v>
      </c>
      <c r="G9">
        <f t="shared" si="2"/>
        <v>0</v>
      </c>
      <c r="H9">
        <f t="shared" si="3"/>
        <v>9</v>
      </c>
      <c r="I9">
        <f t="shared" si="4"/>
        <v>18</v>
      </c>
      <c r="J9">
        <f t="shared" si="5"/>
        <v>558</v>
      </c>
      <c r="K9">
        <f t="shared" si="6"/>
        <v>10</v>
      </c>
      <c r="L9">
        <f t="shared" si="7"/>
        <v>4048</v>
      </c>
      <c r="M9">
        <f t="shared" si="8"/>
        <v>441</v>
      </c>
      <c r="N9">
        <f t="shared" si="9"/>
        <v>4489</v>
      </c>
      <c r="O9">
        <f>IF(B9="zagraniczny",K9+O8,O8)</f>
        <v>0</v>
      </c>
    </row>
    <row r="10" spans="1:21" x14ac:dyDescent="0.25">
      <c r="A10">
        <v>4546455</v>
      </c>
      <c r="B10" t="str">
        <f t="shared" si="0"/>
        <v>stacjonarny</v>
      </c>
      <c r="C10" s="1">
        <v>42919</v>
      </c>
      <c r="D10" s="2">
        <v>0.35723379629629631</v>
      </c>
      <c r="E10" s="2">
        <v>0.36699074074074073</v>
      </c>
      <c r="F10" s="2">
        <f t="shared" si="1"/>
        <v>9.7569444444444153E-3</v>
      </c>
      <c r="G10">
        <f t="shared" si="2"/>
        <v>0</v>
      </c>
      <c r="H10">
        <f t="shared" si="3"/>
        <v>14</v>
      </c>
      <c r="I10">
        <f t="shared" si="4"/>
        <v>3</v>
      </c>
      <c r="J10">
        <f t="shared" si="5"/>
        <v>843</v>
      </c>
      <c r="K10">
        <f t="shared" si="6"/>
        <v>15</v>
      </c>
      <c r="L10">
        <f t="shared" si="7"/>
        <v>4891</v>
      </c>
      <c r="M10">
        <f t="shared" si="8"/>
        <v>441</v>
      </c>
      <c r="N10">
        <f t="shared" si="9"/>
        <v>5332</v>
      </c>
      <c r="O10">
        <f>IF(B10="zagraniczny",K10+O9,O9)</f>
        <v>0</v>
      </c>
    </row>
    <row r="11" spans="1:21" x14ac:dyDescent="0.25">
      <c r="A11">
        <v>44937926</v>
      </c>
      <c r="B11" t="str">
        <f t="shared" si="0"/>
        <v>komorkowy</v>
      </c>
      <c r="C11" s="1">
        <v>42919</v>
      </c>
      <c r="D11" s="2">
        <v>0.36178240740740741</v>
      </c>
      <c r="E11" s="2">
        <v>0.37260416666666668</v>
      </c>
      <c r="F11" s="2">
        <f t="shared" si="1"/>
        <v>1.0821759259259267E-2</v>
      </c>
      <c r="G11">
        <f t="shared" si="2"/>
        <v>0</v>
      </c>
      <c r="H11">
        <f t="shared" si="3"/>
        <v>15</v>
      </c>
      <c r="I11">
        <f t="shared" si="4"/>
        <v>35</v>
      </c>
      <c r="J11">
        <f t="shared" si="5"/>
        <v>935</v>
      </c>
      <c r="K11">
        <f t="shared" si="6"/>
        <v>16</v>
      </c>
      <c r="L11">
        <f t="shared" si="7"/>
        <v>4891</v>
      </c>
      <c r="M11">
        <f t="shared" si="8"/>
        <v>1376</v>
      </c>
      <c r="N11">
        <f t="shared" si="9"/>
        <v>6267</v>
      </c>
      <c r="O11">
        <f>IF(B11="zagraniczny",K11+O10,O10)</f>
        <v>0</v>
      </c>
    </row>
    <row r="12" spans="1:21" x14ac:dyDescent="0.25">
      <c r="A12">
        <v>5816822</v>
      </c>
      <c r="B12" t="str">
        <f t="shared" si="0"/>
        <v>stacjonarny</v>
      </c>
      <c r="C12" s="1">
        <v>42919</v>
      </c>
      <c r="D12" s="2">
        <v>0.36702546296296296</v>
      </c>
      <c r="E12" s="2">
        <v>0.37568287037037035</v>
      </c>
      <c r="F12" s="2">
        <f t="shared" si="1"/>
        <v>8.6574074074073915E-3</v>
      </c>
      <c r="G12">
        <f t="shared" si="2"/>
        <v>0</v>
      </c>
      <c r="H12">
        <f t="shared" si="3"/>
        <v>12</v>
      </c>
      <c r="I12">
        <f t="shared" si="4"/>
        <v>28</v>
      </c>
      <c r="J12">
        <f t="shared" si="5"/>
        <v>748</v>
      </c>
      <c r="K12">
        <f t="shared" si="6"/>
        <v>13</v>
      </c>
      <c r="L12">
        <f t="shared" si="7"/>
        <v>5639</v>
      </c>
      <c r="M12">
        <f t="shared" si="8"/>
        <v>1376</v>
      </c>
      <c r="N12">
        <f t="shared" si="9"/>
        <v>7015</v>
      </c>
      <c r="O12">
        <f>IF(B12="zagraniczny",K12+O11,O11)</f>
        <v>0</v>
      </c>
    </row>
    <row r="13" spans="1:21" x14ac:dyDescent="0.25">
      <c r="A13">
        <v>96191858</v>
      </c>
      <c r="B13" t="str">
        <f t="shared" si="0"/>
        <v>komorkowy</v>
      </c>
      <c r="C13" s="1">
        <v>42919</v>
      </c>
      <c r="D13" s="2">
        <v>0.36861111111111111</v>
      </c>
      <c r="E13" s="2">
        <v>0.37554398148148149</v>
      </c>
      <c r="F13" s="2">
        <f t="shared" si="1"/>
        <v>6.9328703703703809E-3</v>
      </c>
      <c r="G13">
        <f t="shared" si="2"/>
        <v>0</v>
      </c>
      <c r="H13">
        <f t="shared" si="3"/>
        <v>9</v>
      </c>
      <c r="I13">
        <f t="shared" si="4"/>
        <v>59</v>
      </c>
      <c r="J13">
        <f t="shared" si="5"/>
        <v>599</v>
      </c>
      <c r="K13">
        <f t="shared" si="6"/>
        <v>10</v>
      </c>
      <c r="L13">
        <f t="shared" si="7"/>
        <v>5639</v>
      </c>
      <c r="M13">
        <f t="shared" si="8"/>
        <v>1975</v>
      </c>
      <c r="N13">
        <f t="shared" si="9"/>
        <v>7614</v>
      </c>
      <c r="O13">
        <f>IF(B13="zagraniczny",K13+O12,O12)</f>
        <v>0</v>
      </c>
    </row>
    <row r="14" spans="1:21" x14ac:dyDescent="0.25">
      <c r="A14">
        <v>47261256</v>
      </c>
      <c r="B14" t="str">
        <f t="shared" si="0"/>
        <v>komorkowy</v>
      </c>
      <c r="C14" s="1">
        <v>42919</v>
      </c>
      <c r="D14" s="2">
        <v>0.37017361111111113</v>
      </c>
      <c r="E14" s="2">
        <v>0.37328703703703703</v>
      </c>
      <c r="F14" s="2">
        <f t="shared" si="1"/>
        <v>3.1134259259258945E-3</v>
      </c>
      <c r="G14">
        <f t="shared" si="2"/>
        <v>0</v>
      </c>
      <c r="H14">
        <f t="shared" si="3"/>
        <v>4</v>
      </c>
      <c r="I14">
        <f t="shared" si="4"/>
        <v>29</v>
      </c>
      <c r="J14">
        <f t="shared" si="5"/>
        <v>269</v>
      </c>
      <c r="K14">
        <f t="shared" si="6"/>
        <v>5</v>
      </c>
      <c r="L14">
        <f t="shared" si="7"/>
        <v>5639</v>
      </c>
      <c r="M14">
        <f t="shared" si="8"/>
        <v>2244</v>
      </c>
      <c r="N14">
        <f t="shared" si="9"/>
        <v>7883</v>
      </c>
      <c r="O14">
        <f>IF(B14="zagraniczny",K14+O13,O13)</f>
        <v>0</v>
      </c>
    </row>
    <row r="15" spans="1:21" x14ac:dyDescent="0.25">
      <c r="A15">
        <v>26204415</v>
      </c>
      <c r="B15" t="str">
        <f t="shared" si="0"/>
        <v>komorkowy</v>
      </c>
      <c r="C15" s="1">
        <v>42919</v>
      </c>
      <c r="D15" s="2">
        <v>0.37516203703703704</v>
      </c>
      <c r="E15" s="2">
        <v>0.38424768518518521</v>
      </c>
      <c r="F15" s="2">
        <f t="shared" si="1"/>
        <v>9.0856481481481621E-3</v>
      </c>
      <c r="G15">
        <f t="shared" si="2"/>
        <v>0</v>
      </c>
      <c r="H15">
        <f t="shared" si="3"/>
        <v>13</v>
      </c>
      <c r="I15">
        <f t="shared" si="4"/>
        <v>5</v>
      </c>
      <c r="J15">
        <f t="shared" si="5"/>
        <v>785</v>
      </c>
      <c r="K15">
        <f t="shared" si="6"/>
        <v>14</v>
      </c>
      <c r="L15">
        <f t="shared" si="7"/>
        <v>5639</v>
      </c>
      <c r="M15">
        <f t="shared" si="8"/>
        <v>3029</v>
      </c>
      <c r="N15">
        <f t="shared" si="9"/>
        <v>8668</v>
      </c>
      <c r="O15">
        <f>IF(B15="zagraniczny",K15+O14,O14)</f>
        <v>0</v>
      </c>
    </row>
    <row r="16" spans="1:21" x14ac:dyDescent="0.25">
      <c r="A16">
        <v>22747425</v>
      </c>
      <c r="B16" t="str">
        <f t="shared" si="0"/>
        <v>komorkowy</v>
      </c>
      <c r="C16" s="1">
        <v>42919</v>
      </c>
      <c r="D16" s="2">
        <v>0.37719907407407405</v>
      </c>
      <c r="E16" s="2">
        <v>0.38513888888888886</v>
      </c>
      <c r="F16" s="2">
        <f t="shared" si="1"/>
        <v>7.9398148148148162E-3</v>
      </c>
      <c r="G16">
        <f t="shared" si="2"/>
        <v>0</v>
      </c>
      <c r="H16">
        <f t="shared" si="3"/>
        <v>11</v>
      </c>
      <c r="I16">
        <f t="shared" si="4"/>
        <v>26</v>
      </c>
      <c r="J16">
        <f t="shared" si="5"/>
        <v>686</v>
      </c>
      <c r="K16">
        <f t="shared" si="6"/>
        <v>12</v>
      </c>
      <c r="L16">
        <f t="shared" si="7"/>
        <v>5639</v>
      </c>
      <c r="M16">
        <f t="shared" si="8"/>
        <v>3715</v>
      </c>
      <c r="N16">
        <f t="shared" si="9"/>
        <v>9354</v>
      </c>
      <c r="O16">
        <f>IF(B16="zagraniczny",K16+O15,O15)</f>
        <v>0</v>
      </c>
    </row>
    <row r="17" spans="1:15" x14ac:dyDescent="0.25">
      <c r="A17">
        <v>96191858</v>
      </c>
      <c r="B17" t="str">
        <f t="shared" si="0"/>
        <v>komorkowy</v>
      </c>
      <c r="C17" s="1">
        <v>42919</v>
      </c>
      <c r="D17" s="2">
        <v>0.37987268518518519</v>
      </c>
      <c r="E17" s="2">
        <v>0.38802083333333331</v>
      </c>
      <c r="F17" s="2">
        <f t="shared" si="1"/>
        <v>8.1481481481481266E-3</v>
      </c>
      <c r="G17">
        <f t="shared" si="2"/>
        <v>0</v>
      </c>
      <c r="H17">
        <f t="shared" si="3"/>
        <v>11</v>
      </c>
      <c r="I17">
        <f t="shared" si="4"/>
        <v>44</v>
      </c>
      <c r="J17">
        <f t="shared" si="5"/>
        <v>704</v>
      </c>
      <c r="K17">
        <f t="shared" si="6"/>
        <v>12</v>
      </c>
      <c r="L17">
        <f t="shared" si="7"/>
        <v>5639</v>
      </c>
      <c r="M17">
        <f t="shared" si="8"/>
        <v>4419</v>
      </c>
      <c r="N17">
        <f t="shared" si="9"/>
        <v>10058</v>
      </c>
      <c r="O17">
        <f>IF(B17="zagraniczny",K17+O16,O16)</f>
        <v>0</v>
      </c>
    </row>
    <row r="18" spans="1:15" x14ac:dyDescent="0.25">
      <c r="A18">
        <v>5816822</v>
      </c>
      <c r="B18" t="str">
        <f t="shared" si="0"/>
        <v>stacjonarny</v>
      </c>
      <c r="C18" s="1">
        <v>42919</v>
      </c>
      <c r="D18" s="2">
        <v>0.38123842592592594</v>
      </c>
      <c r="E18" s="2">
        <v>0.38390046296296299</v>
      </c>
      <c r="F18" s="2">
        <f t="shared" si="1"/>
        <v>2.6620370370370461E-3</v>
      </c>
      <c r="G18">
        <f t="shared" si="2"/>
        <v>0</v>
      </c>
      <c r="H18">
        <f t="shared" si="3"/>
        <v>3</v>
      </c>
      <c r="I18">
        <f t="shared" si="4"/>
        <v>50</v>
      </c>
      <c r="J18">
        <f t="shared" si="5"/>
        <v>230</v>
      </c>
      <c r="K18">
        <f t="shared" si="6"/>
        <v>4</v>
      </c>
      <c r="L18">
        <f t="shared" si="7"/>
        <v>5869</v>
      </c>
      <c r="M18">
        <f t="shared" si="8"/>
        <v>4419</v>
      </c>
      <c r="N18">
        <f t="shared" si="9"/>
        <v>10288</v>
      </c>
      <c r="O18">
        <f>IF(B18="zagraniczny",K18+O17,O17)</f>
        <v>0</v>
      </c>
    </row>
    <row r="19" spans="1:15" x14ac:dyDescent="0.25">
      <c r="A19">
        <v>3352943</v>
      </c>
      <c r="B19" t="str">
        <f t="shared" si="0"/>
        <v>stacjonarny</v>
      </c>
      <c r="C19" s="1">
        <v>42919</v>
      </c>
      <c r="D19" s="2">
        <v>0.38701388888888888</v>
      </c>
      <c r="E19" s="2">
        <v>0.3943402777777778</v>
      </c>
      <c r="F19" s="2">
        <f t="shared" si="1"/>
        <v>7.3263888888889239E-3</v>
      </c>
      <c r="G19">
        <f t="shared" si="2"/>
        <v>0</v>
      </c>
      <c r="H19">
        <f t="shared" si="3"/>
        <v>10</v>
      </c>
      <c r="I19">
        <f t="shared" si="4"/>
        <v>33</v>
      </c>
      <c r="J19">
        <f t="shared" si="5"/>
        <v>633</v>
      </c>
      <c r="K19">
        <f t="shared" si="6"/>
        <v>11</v>
      </c>
      <c r="L19">
        <f t="shared" si="7"/>
        <v>6502</v>
      </c>
      <c r="M19">
        <f t="shared" si="8"/>
        <v>4419</v>
      </c>
      <c r="N19">
        <f t="shared" si="9"/>
        <v>10921</v>
      </c>
      <c r="O19">
        <f>IF(B19="zagraniczny",K19+O18,O18)</f>
        <v>0</v>
      </c>
    </row>
    <row r="20" spans="1:15" x14ac:dyDescent="0.25">
      <c r="A20">
        <v>35634368</v>
      </c>
      <c r="B20" t="str">
        <f t="shared" si="0"/>
        <v>komorkowy</v>
      </c>
      <c r="C20" s="1">
        <v>42919</v>
      </c>
      <c r="D20" s="2">
        <v>0.39181712962962961</v>
      </c>
      <c r="E20" s="2">
        <v>0.40334490740740742</v>
      </c>
      <c r="F20" s="2">
        <f t="shared" si="1"/>
        <v>1.1527777777777803E-2</v>
      </c>
      <c r="G20">
        <f t="shared" si="2"/>
        <v>0</v>
      </c>
      <c r="H20">
        <f t="shared" si="3"/>
        <v>16</v>
      </c>
      <c r="I20">
        <f t="shared" si="4"/>
        <v>36</v>
      </c>
      <c r="J20">
        <f t="shared" si="5"/>
        <v>996</v>
      </c>
      <c r="K20">
        <f t="shared" si="6"/>
        <v>17</v>
      </c>
      <c r="L20">
        <f t="shared" si="7"/>
        <v>6502</v>
      </c>
      <c r="M20">
        <f t="shared" si="8"/>
        <v>5415</v>
      </c>
      <c r="N20">
        <f t="shared" si="9"/>
        <v>11917</v>
      </c>
      <c r="O20">
        <f>IF(B20="zagraniczny",K20+O19,O19)</f>
        <v>0</v>
      </c>
    </row>
    <row r="21" spans="1:15" x14ac:dyDescent="0.25">
      <c r="A21">
        <v>8313390</v>
      </c>
      <c r="B21" t="str">
        <f t="shared" si="0"/>
        <v>stacjonarny</v>
      </c>
      <c r="C21" s="1">
        <v>42919</v>
      </c>
      <c r="D21" s="2">
        <v>0.39571759259259259</v>
      </c>
      <c r="E21" s="2">
        <v>0.39844907407407409</v>
      </c>
      <c r="F21" s="2">
        <f t="shared" si="1"/>
        <v>2.7314814814815014E-3</v>
      </c>
      <c r="G21">
        <f t="shared" si="2"/>
        <v>0</v>
      </c>
      <c r="H21">
        <f t="shared" si="3"/>
        <v>3</v>
      </c>
      <c r="I21">
        <f t="shared" si="4"/>
        <v>56</v>
      </c>
      <c r="J21">
        <f t="shared" si="5"/>
        <v>236</v>
      </c>
      <c r="K21">
        <f t="shared" si="6"/>
        <v>4</v>
      </c>
      <c r="L21">
        <f t="shared" si="7"/>
        <v>6738</v>
      </c>
      <c r="M21">
        <f t="shared" si="8"/>
        <v>5415</v>
      </c>
      <c r="N21">
        <f t="shared" si="9"/>
        <v>12153</v>
      </c>
      <c r="O21">
        <f>IF(B21="zagraniczny",K21+O20,O20)</f>
        <v>0</v>
      </c>
    </row>
    <row r="22" spans="1:15" x14ac:dyDescent="0.25">
      <c r="A22">
        <v>3954712</v>
      </c>
      <c r="B22" t="str">
        <f t="shared" si="0"/>
        <v>stacjonarny</v>
      </c>
      <c r="C22" s="1">
        <v>42919</v>
      </c>
      <c r="D22" s="2">
        <v>0.39876157407407409</v>
      </c>
      <c r="E22" s="2">
        <v>0.40207175925925925</v>
      </c>
      <c r="F22" s="2">
        <f t="shared" si="1"/>
        <v>3.310185185185166E-3</v>
      </c>
      <c r="G22">
        <f t="shared" si="2"/>
        <v>0</v>
      </c>
      <c r="H22">
        <f t="shared" si="3"/>
        <v>4</v>
      </c>
      <c r="I22">
        <f t="shared" si="4"/>
        <v>46</v>
      </c>
      <c r="J22">
        <f t="shared" si="5"/>
        <v>286</v>
      </c>
      <c r="K22">
        <f t="shared" si="6"/>
        <v>5</v>
      </c>
      <c r="L22">
        <f t="shared" si="7"/>
        <v>7024</v>
      </c>
      <c r="M22">
        <f t="shared" si="8"/>
        <v>5415</v>
      </c>
      <c r="N22">
        <f t="shared" si="9"/>
        <v>12439</v>
      </c>
      <c r="O22">
        <f>IF(B22="zagraniczny",K22+O21,O21)</f>
        <v>0</v>
      </c>
    </row>
    <row r="23" spans="1:15" x14ac:dyDescent="0.25">
      <c r="A23">
        <v>2109147679</v>
      </c>
      <c r="B23" t="str">
        <f t="shared" si="0"/>
        <v>zagraniczny</v>
      </c>
      <c r="C23" s="1">
        <v>42919</v>
      </c>
      <c r="D23" s="2">
        <v>0.40035879629629628</v>
      </c>
      <c r="E23" s="2">
        <v>0.41166666666666668</v>
      </c>
      <c r="F23" s="2">
        <f t="shared" si="1"/>
        <v>1.1307870370370399E-2</v>
      </c>
      <c r="G23">
        <f t="shared" si="2"/>
        <v>0</v>
      </c>
      <c r="H23">
        <f t="shared" si="3"/>
        <v>16</v>
      </c>
      <c r="I23">
        <f t="shared" si="4"/>
        <v>17</v>
      </c>
      <c r="J23">
        <f t="shared" si="5"/>
        <v>977</v>
      </c>
      <c r="K23">
        <f t="shared" si="6"/>
        <v>17</v>
      </c>
      <c r="L23">
        <f t="shared" si="7"/>
        <v>7024</v>
      </c>
      <c r="M23">
        <f t="shared" si="8"/>
        <v>5415</v>
      </c>
      <c r="N23">
        <f t="shared" si="9"/>
        <v>12439</v>
      </c>
      <c r="O23">
        <f>IF(B23="zagraniczny",K23+O22,O22)</f>
        <v>17</v>
      </c>
    </row>
    <row r="24" spans="1:15" x14ac:dyDescent="0.25">
      <c r="A24">
        <v>1787732</v>
      </c>
      <c r="B24" t="str">
        <f t="shared" si="0"/>
        <v>stacjonarny</v>
      </c>
      <c r="C24" s="1">
        <v>42919</v>
      </c>
      <c r="D24" s="2">
        <v>0.4052546296296296</v>
      </c>
      <c r="E24" s="2">
        <v>0.41048611111111111</v>
      </c>
      <c r="F24" s="2">
        <f t="shared" si="1"/>
        <v>5.2314814814815036E-3</v>
      </c>
      <c r="G24">
        <f t="shared" si="2"/>
        <v>0</v>
      </c>
      <c r="H24">
        <f t="shared" si="3"/>
        <v>7</v>
      </c>
      <c r="I24">
        <f t="shared" si="4"/>
        <v>32</v>
      </c>
      <c r="J24">
        <f t="shared" si="5"/>
        <v>452</v>
      </c>
      <c r="K24">
        <f t="shared" si="6"/>
        <v>8</v>
      </c>
      <c r="L24">
        <f t="shared" si="7"/>
        <v>7476</v>
      </c>
      <c r="M24">
        <f t="shared" si="8"/>
        <v>5415</v>
      </c>
      <c r="N24">
        <f t="shared" si="9"/>
        <v>12891</v>
      </c>
      <c r="O24">
        <f>IF(B24="zagraniczny",K24+O23,O23)</f>
        <v>17</v>
      </c>
    </row>
    <row r="25" spans="1:15" x14ac:dyDescent="0.25">
      <c r="A25">
        <v>7834807</v>
      </c>
      <c r="B25" t="str">
        <f t="shared" si="0"/>
        <v>stacjonarny</v>
      </c>
      <c r="C25" s="1">
        <v>42919</v>
      </c>
      <c r="D25" s="2">
        <v>0.40980324074074076</v>
      </c>
      <c r="E25" s="2">
        <v>0.41035879629629629</v>
      </c>
      <c r="F25" s="2">
        <f t="shared" si="1"/>
        <v>5.5555555555553138E-4</v>
      </c>
      <c r="G25">
        <f t="shared" si="2"/>
        <v>0</v>
      </c>
      <c r="H25">
        <f t="shared" si="3"/>
        <v>0</v>
      </c>
      <c r="I25">
        <f t="shared" si="4"/>
        <v>48</v>
      </c>
      <c r="J25">
        <f t="shared" si="5"/>
        <v>48</v>
      </c>
      <c r="K25">
        <f t="shared" si="6"/>
        <v>1</v>
      </c>
      <c r="L25">
        <f t="shared" si="7"/>
        <v>7524</v>
      </c>
      <c r="M25">
        <f t="shared" si="8"/>
        <v>5415</v>
      </c>
      <c r="N25">
        <f t="shared" si="9"/>
        <v>12939</v>
      </c>
      <c r="O25">
        <f>IF(B25="zagraniczny",K25+O24,O24)</f>
        <v>17</v>
      </c>
    </row>
    <row r="26" spans="1:15" x14ac:dyDescent="0.25">
      <c r="A26">
        <v>33320202</v>
      </c>
      <c r="B26" t="str">
        <f t="shared" si="0"/>
        <v>komorkowy</v>
      </c>
      <c r="C26" s="1">
        <v>42919</v>
      </c>
      <c r="D26" s="2">
        <v>0.41506944444444444</v>
      </c>
      <c r="E26" s="2">
        <v>0.42621527777777779</v>
      </c>
      <c r="F26" s="2">
        <f t="shared" si="1"/>
        <v>1.1145833333333355E-2</v>
      </c>
      <c r="G26">
        <f t="shared" si="2"/>
        <v>0</v>
      </c>
      <c r="H26">
        <f t="shared" si="3"/>
        <v>16</v>
      </c>
      <c r="I26">
        <f t="shared" si="4"/>
        <v>3</v>
      </c>
      <c r="J26">
        <f t="shared" si="5"/>
        <v>963</v>
      </c>
      <c r="K26">
        <f t="shared" si="6"/>
        <v>17</v>
      </c>
      <c r="L26">
        <f t="shared" si="7"/>
        <v>7524</v>
      </c>
      <c r="M26">
        <f t="shared" si="8"/>
        <v>6378</v>
      </c>
      <c r="N26">
        <f t="shared" si="9"/>
        <v>13902</v>
      </c>
      <c r="O26">
        <f>IF(B26="zagraniczny",K26+O25,O25)</f>
        <v>17</v>
      </c>
    </row>
    <row r="27" spans="1:15" x14ac:dyDescent="0.25">
      <c r="A27">
        <v>1488369</v>
      </c>
      <c r="B27" t="str">
        <f t="shared" si="0"/>
        <v>stacjonarny</v>
      </c>
      <c r="C27" s="1">
        <v>42919</v>
      </c>
      <c r="D27" s="2">
        <v>0.41612268518518519</v>
      </c>
      <c r="E27" s="2">
        <v>0.41756944444444444</v>
      </c>
      <c r="F27" s="2">
        <f t="shared" si="1"/>
        <v>1.4467592592592449E-3</v>
      </c>
      <c r="G27">
        <f t="shared" si="2"/>
        <v>0</v>
      </c>
      <c r="H27">
        <f t="shared" si="3"/>
        <v>2</v>
      </c>
      <c r="I27">
        <f t="shared" si="4"/>
        <v>5</v>
      </c>
      <c r="J27">
        <f t="shared" si="5"/>
        <v>125</v>
      </c>
      <c r="K27">
        <f t="shared" si="6"/>
        <v>3</v>
      </c>
      <c r="L27">
        <f t="shared" si="7"/>
        <v>7649</v>
      </c>
      <c r="M27">
        <f t="shared" si="8"/>
        <v>6378</v>
      </c>
      <c r="N27">
        <f t="shared" si="9"/>
        <v>14027</v>
      </c>
      <c r="O27">
        <f>IF(B27="zagraniczny",K27+O26,O26)</f>
        <v>17</v>
      </c>
    </row>
    <row r="28" spans="1:15" x14ac:dyDescent="0.25">
      <c r="A28">
        <v>2631285</v>
      </c>
      <c r="B28" t="str">
        <f t="shared" si="0"/>
        <v>stacjonarny</v>
      </c>
      <c r="C28" s="1">
        <v>42919</v>
      </c>
      <c r="D28" s="2">
        <v>0.4176273148148148</v>
      </c>
      <c r="E28" s="2">
        <v>0.42375000000000002</v>
      </c>
      <c r="F28" s="2">
        <f t="shared" si="1"/>
        <v>6.1226851851852171E-3</v>
      </c>
      <c r="G28">
        <f t="shared" si="2"/>
        <v>0</v>
      </c>
      <c r="H28">
        <f t="shared" si="3"/>
        <v>8</v>
      </c>
      <c r="I28">
        <f t="shared" si="4"/>
        <v>49</v>
      </c>
      <c r="J28">
        <f t="shared" si="5"/>
        <v>529</v>
      </c>
      <c r="K28">
        <f t="shared" si="6"/>
        <v>9</v>
      </c>
      <c r="L28">
        <f t="shared" si="7"/>
        <v>8178</v>
      </c>
      <c r="M28">
        <f t="shared" si="8"/>
        <v>6378</v>
      </c>
      <c r="N28">
        <f t="shared" si="9"/>
        <v>14556</v>
      </c>
      <c r="O28">
        <f>IF(B28="zagraniczny",K28+O27,O27)</f>
        <v>17</v>
      </c>
    </row>
    <row r="29" spans="1:15" x14ac:dyDescent="0.25">
      <c r="A29">
        <v>7415603</v>
      </c>
      <c r="B29" t="str">
        <f t="shared" si="0"/>
        <v>stacjonarny</v>
      </c>
      <c r="C29" s="1">
        <v>42919</v>
      </c>
      <c r="D29" s="2">
        <v>0.42078703703703701</v>
      </c>
      <c r="E29" s="2">
        <v>0.43216435185185187</v>
      </c>
      <c r="F29" s="2">
        <f t="shared" si="1"/>
        <v>1.1377314814814854E-2</v>
      </c>
      <c r="G29">
        <f t="shared" si="2"/>
        <v>0</v>
      </c>
      <c r="H29">
        <f t="shared" si="3"/>
        <v>16</v>
      </c>
      <c r="I29">
        <f t="shared" si="4"/>
        <v>23</v>
      </c>
      <c r="J29">
        <f t="shared" si="5"/>
        <v>983</v>
      </c>
      <c r="K29">
        <f t="shared" si="6"/>
        <v>17</v>
      </c>
      <c r="L29">
        <f t="shared" si="7"/>
        <v>9161</v>
      </c>
      <c r="M29">
        <f t="shared" si="8"/>
        <v>6378</v>
      </c>
      <c r="N29">
        <f t="shared" si="9"/>
        <v>15539</v>
      </c>
      <c r="O29">
        <f>IF(B29="zagraniczny",K29+O28,O28)</f>
        <v>17</v>
      </c>
    </row>
    <row r="30" spans="1:15" x14ac:dyDescent="0.25">
      <c r="A30">
        <v>96375379</v>
      </c>
      <c r="B30" t="str">
        <f t="shared" si="0"/>
        <v>komorkowy</v>
      </c>
      <c r="C30" s="1">
        <v>42919</v>
      </c>
      <c r="D30" s="2">
        <v>0.42447916666666669</v>
      </c>
      <c r="E30" s="2">
        <v>0.42660879629629628</v>
      </c>
      <c r="F30" s="2">
        <f t="shared" si="1"/>
        <v>2.1296296296295925E-3</v>
      </c>
      <c r="G30">
        <f t="shared" si="2"/>
        <v>0</v>
      </c>
      <c r="H30">
        <f t="shared" si="3"/>
        <v>3</v>
      </c>
      <c r="I30">
        <f t="shared" si="4"/>
        <v>4</v>
      </c>
      <c r="J30">
        <f t="shared" si="5"/>
        <v>184</v>
      </c>
      <c r="K30">
        <f t="shared" si="6"/>
        <v>4</v>
      </c>
      <c r="L30">
        <f t="shared" si="7"/>
        <v>9161</v>
      </c>
      <c r="M30">
        <f t="shared" si="8"/>
        <v>6562</v>
      </c>
      <c r="N30">
        <f t="shared" si="9"/>
        <v>15723</v>
      </c>
      <c r="O30">
        <f>IF(B30="zagraniczny",K30+O29,O29)</f>
        <v>17</v>
      </c>
    </row>
    <row r="31" spans="1:15" x14ac:dyDescent="0.25">
      <c r="A31">
        <v>6976431</v>
      </c>
      <c r="B31" t="str">
        <f t="shared" si="0"/>
        <v>stacjonarny</v>
      </c>
      <c r="C31" s="1">
        <v>42919</v>
      </c>
      <c r="D31" s="2">
        <v>0.4281712962962963</v>
      </c>
      <c r="E31" s="2">
        <v>0.43692129629629628</v>
      </c>
      <c r="F31" s="2">
        <f t="shared" si="1"/>
        <v>8.74999999999998E-3</v>
      </c>
      <c r="G31">
        <f t="shared" si="2"/>
        <v>0</v>
      </c>
      <c r="H31">
        <f t="shared" si="3"/>
        <v>12</v>
      </c>
      <c r="I31">
        <f t="shared" si="4"/>
        <v>36</v>
      </c>
      <c r="J31">
        <f t="shared" si="5"/>
        <v>756</v>
      </c>
      <c r="K31">
        <f t="shared" si="6"/>
        <v>13</v>
      </c>
      <c r="L31">
        <f t="shared" si="7"/>
        <v>9917</v>
      </c>
      <c r="M31">
        <f t="shared" si="8"/>
        <v>6562</v>
      </c>
      <c r="N31">
        <f t="shared" si="9"/>
        <v>16479</v>
      </c>
      <c r="O31">
        <f>IF(B31="zagraniczny",K31+O30,O30)</f>
        <v>17</v>
      </c>
    </row>
    <row r="32" spans="1:15" x14ac:dyDescent="0.25">
      <c r="A32">
        <v>4093292</v>
      </c>
      <c r="B32" t="str">
        <f t="shared" si="0"/>
        <v>stacjonarny</v>
      </c>
      <c r="C32" s="1">
        <v>42919</v>
      </c>
      <c r="D32" s="2">
        <v>0.43038194444444444</v>
      </c>
      <c r="E32" s="2">
        <v>0.43494212962962964</v>
      </c>
      <c r="F32" s="2">
        <f t="shared" si="1"/>
        <v>4.5601851851851949E-3</v>
      </c>
      <c r="G32">
        <f t="shared" si="2"/>
        <v>0</v>
      </c>
      <c r="H32">
        <f t="shared" si="3"/>
        <v>6</v>
      </c>
      <c r="I32">
        <f t="shared" si="4"/>
        <v>34</v>
      </c>
      <c r="J32">
        <f t="shared" si="5"/>
        <v>394</v>
      </c>
      <c r="K32">
        <f t="shared" si="6"/>
        <v>7</v>
      </c>
      <c r="L32">
        <f t="shared" si="7"/>
        <v>10311</v>
      </c>
      <c r="M32">
        <f t="shared" si="8"/>
        <v>6562</v>
      </c>
      <c r="N32">
        <f t="shared" si="9"/>
        <v>16873</v>
      </c>
      <c r="O32">
        <f>IF(B32="zagraniczny",K32+O31,O31)</f>
        <v>17</v>
      </c>
    </row>
    <row r="33" spans="1:15" x14ac:dyDescent="0.25">
      <c r="A33">
        <v>6312575</v>
      </c>
      <c r="B33" t="str">
        <f t="shared" si="0"/>
        <v>stacjonarny</v>
      </c>
      <c r="C33" s="1">
        <v>42919</v>
      </c>
      <c r="D33" s="2">
        <v>0.4309837962962963</v>
      </c>
      <c r="E33" s="2">
        <v>0.43748842592592591</v>
      </c>
      <c r="F33" s="2">
        <f t="shared" si="1"/>
        <v>6.5046296296296102E-3</v>
      </c>
      <c r="G33">
        <f t="shared" si="2"/>
        <v>0</v>
      </c>
      <c r="H33">
        <f t="shared" si="3"/>
        <v>9</v>
      </c>
      <c r="I33">
        <f t="shared" si="4"/>
        <v>22</v>
      </c>
      <c r="J33">
        <f t="shared" si="5"/>
        <v>562</v>
      </c>
      <c r="K33">
        <f t="shared" si="6"/>
        <v>10</v>
      </c>
      <c r="L33">
        <f t="shared" si="7"/>
        <v>10873</v>
      </c>
      <c r="M33">
        <f t="shared" si="8"/>
        <v>6562</v>
      </c>
      <c r="N33">
        <f t="shared" si="9"/>
        <v>17435</v>
      </c>
      <c r="O33">
        <f>IF(B33="zagraniczny",K33+O32,O32)</f>
        <v>17</v>
      </c>
    </row>
    <row r="34" spans="1:15" x14ac:dyDescent="0.25">
      <c r="A34">
        <v>38535407</v>
      </c>
      <c r="B34" t="str">
        <f t="shared" si="0"/>
        <v>komorkowy</v>
      </c>
      <c r="C34" s="1">
        <v>42919</v>
      </c>
      <c r="D34" s="2">
        <v>0.43593749999999998</v>
      </c>
      <c r="E34" s="2">
        <v>0.44417824074074075</v>
      </c>
      <c r="F34" s="2">
        <f t="shared" si="1"/>
        <v>8.2407407407407707E-3</v>
      </c>
      <c r="G34">
        <f t="shared" si="2"/>
        <v>0</v>
      </c>
      <c r="H34">
        <f t="shared" si="3"/>
        <v>11</v>
      </c>
      <c r="I34">
        <f t="shared" si="4"/>
        <v>52</v>
      </c>
      <c r="J34">
        <f t="shared" si="5"/>
        <v>712</v>
      </c>
      <c r="K34">
        <f t="shared" si="6"/>
        <v>12</v>
      </c>
      <c r="L34">
        <f t="shared" si="7"/>
        <v>10873</v>
      </c>
      <c r="M34">
        <f t="shared" si="8"/>
        <v>7274</v>
      </c>
      <c r="N34">
        <f t="shared" si="9"/>
        <v>18147</v>
      </c>
      <c r="O34">
        <f>IF(B34="zagraniczny",K34+O33,O33)</f>
        <v>17</v>
      </c>
    </row>
    <row r="35" spans="1:15" x14ac:dyDescent="0.25">
      <c r="A35">
        <v>38535407</v>
      </c>
      <c r="B35" t="str">
        <f t="shared" si="0"/>
        <v>komorkowy</v>
      </c>
      <c r="C35" s="1">
        <v>42919</v>
      </c>
      <c r="D35" s="2">
        <v>0.43824074074074076</v>
      </c>
      <c r="E35" s="2">
        <v>0.43913194444444442</v>
      </c>
      <c r="F35" s="2">
        <f t="shared" si="1"/>
        <v>8.9120370370365798E-4</v>
      </c>
      <c r="G35">
        <f t="shared" si="2"/>
        <v>0</v>
      </c>
      <c r="H35">
        <f t="shared" si="3"/>
        <v>1</v>
      </c>
      <c r="I35">
        <f t="shared" si="4"/>
        <v>17</v>
      </c>
      <c r="J35">
        <f t="shared" si="5"/>
        <v>77</v>
      </c>
      <c r="K35">
        <f t="shared" si="6"/>
        <v>2</v>
      </c>
      <c r="L35">
        <f t="shared" si="7"/>
        <v>10873</v>
      </c>
      <c r="M35">
        <f t="shared" si="8"/>
        <v>7351</v>
      </c>
      <c r="N35">
        <f t="shared" si="9"/>
        <v>18224</v>
      </c>
      <c r="O35">
        <f>IF(B35="zagraniczny",K35+O34,O34)</f>
        <v>17</v>
      </c>
    </row>
    <row r="36" spans="1:15" x14ac:dyDescent="0.25">
      <c r="A36">
        <v>9413315</v>
      </c>
      <c r="B36" t="str">
        <f t="shared" si="0"/>
        <v>stacjonarny</v>
      </c>
      <c r="C36" s="1">
        <v>42919</v>
      </c>
      <c r="D36" s="2">
        <v>0.44313657407407409</v>
      </c>
      <c r="E36" s="2">
        <v>0.45300925925925928</v>
      </c>
      <c r="F36" s="2">
        <f t="shared" si="1"/>
        <v>9.8726851851851927E-3</v>
      </c>
      <c r="G36">
        <f t="shared" si="2"/>
        <v>0</v>
      </c>
      <c r="H36">
        <f t="shared" si="3"/>
        <v>14</v>
      </c>
      <c r="I36">
        <f t="shared" si="4"/>
        <v>13</v>
      </c>
      <c r="J36">
        <f t="shared" si="5"/>
        <v>853</v>
      </c>
      <c r="K36">
        <f t="shared" si="6"/>
        <v>15</v>
      </c>
      <c r="L36">
        <f t="shared" si="7"/>
        <v>11726</v>
      </c>
      <c r="M36">
        <f t="shared" si="8"/>
        <v>7351</v>
      </c>
      <c r="N36">
        <f t="shared" si="9"/>
        <v>19077</v>
      </c>
      <c r="O36">
        <f>IF(B36="zagraniczny",K36+O35,O35)</f>
        <v>17</v>
      </c>
    </row>
    <row r="37" spans="1:15" x14ac:dyDescent="0.25">
      <c r="A37">
        <v>8514016</v>
      </c>
      <c r="B37" t="str">
        <f t="shared" si="0"/>
        <v>stacjonarny</v>
      </c>
      <c r="C37" s="1">
        <v>42919</v>
      </c>
      <c r="D37" s="2">
        <v>0.44778935185185187</v>
      </c>
      <c r="E37" s="2">
        <v>0.44998842592592592</v>
      </c>
      <c r="F37" s="2">
        <f t="shared" si="1"/>
        <v>2.1990740740740478E-3</v>
      </c>
      <c r="G37">
        <f t="shared" si="2"/>
        <v>0</v>
      </c>
      <c r="H37">
        <f t="shared" si="3"/>
        <v>3</v>
      </c>
      <c r="I37">
        <f t="shared" si="4"/>
        <v>10</v>
      </c>
      <c r="J37">
        <f t="shared" si="5"/>
        <v>190</v>
      </c>
      <c r="K37">
        <f t="shared" si="6"/>
        <v>4</v>
      </c>
      <c r="L37">
        <f t="shared" si="7"/>
        <v>11916</v>
      </c>
      <c r="M37">
        <f t="shared" si="8"/>
        <v>7351</v>
      </c>
      <c r="N37">
        <f t="shared" si="9"/>
        <v>19267</v>
      </c>
      <c r="O37">
        <f>IF(B37="zagraniczny",K37+O36,O36)</f>
        <v>17</v>
      </c>
    </row>
    <row r="38" spans="1:15" x14ac:dyDescent="0.25">
      <c r="A38">
        <v>40965486</v>
      </c>
      <c r="B38" t="str">
        <f t="shared" si="0"/>
        <v>komorkowy</v>
      </c>
      <c r="C38" s="1">
        <v>42919</v>
      </c>
      <c r="D38" s="2">
        <v>0.44945601851851852</v>
      </c>
      <c r="E38" s="2">
        <v>0.46011574074074074</v>
      </c>
      <c r="F38" s="2">
        <f t="shared" si="1"/>
        <v>1.0659722222222223E-2</v>
      </c>
      <c r="G38">
        <f t="shared" si="2"/>
        <v>0</v>
      </c>
      <c r="H38">
        <f t="shared" si="3"/>
        <v>15</v>
      </c>
      <c r="I38">
        <f t="shared" si="4"/>
        <v>21</v>
      </c>
      <c r="J38">
        <f t="shared" si="5"/>
        <v>921</v>
      </c>
      <c r="K38">
        <f t="shared" si="6"/>
        <v>16</v>
      </c>
      <c r="L38">
        <f t="shared" si="7"/>
        <v>11916</v>
      </c>
      <c r="M38">
        <f t="shared" si="8"/>
        <v>8272</v>
      </c>
      <c r="N38">
        <f t="shared" si="9"/>
        <v>20188</v>
      </c>
      <c r="O38">
        <f>IF(B38="zagraniczny",K38+O37,O37)</f>
        <v>17</v>
      </c>
    </row>
    <row r="39" spans="1:15" x14ac:dyDescent="0.25">
      <c r="A39">
        <v>4546455</v>
      </c>
      <c r="B39" t="str">
        <f t="shared" si="0"/>
        <v>stacjonarny</v>
      </c>
      <c r="C39" s="1">
        <v>42919</v>
      </c>
      <c r="D39" s="2">
        <v>0.45270833333333332</v>
      </c>
      <c r="E39" s="2">
        <v>0.45620370370370372</v>
      </c>
      <c r="F39" s="2">
        <f t="shared" si="1"/>
        <v>3.4953703703703987E-3</v>
      </c>
      <c r="G39">
        <f t="shared" si="2"/>
        <v>0</v>
      </c>
      <c r="H39">
        <f t="shared" si="3"/>
        <v>5</v>
      </c>
      <c r="I39">
        <f t="shared" si="4"/>
        <v>2</v>
      </c>
      <c r="J39">
        <f t="shared" si="5"/>
        <v>302</v>
      </c>
      <c r="K39">
        <f t="shared" si="6"/>
        <v>6</v>
      </c>
      <c r="L39">
        <f t="shared" si="7"/>
        <v>12218</v>
      </c>
      <c r="M39">
        <f t="shared" si="8"/>
        <v>8272</v>
      </c>
      <c r="N39">
        <f t="shared" si="9"/>
        <v>20490</v>
      </c>
      <c r="O39">
        <f>IF(B39="zagraniczny",K39+O38,O38)</f>
        <v>17</v>
      </c>
    </row>
    <row r="40" spans="1:15" x14ac:dyDescent="0.25">
      <c r="A40">
        <v>1435049</v>
      </c>
      <c r="B40" t="str">
        <f t="shared" si="0"/>
        <v>stacjonarny</v>
      </c>
      <c r="C40" s="1">
        <v>42919</v>
      </c>
      <c r="D40" s="2">
        <v>0.45494212962962965</v>
      </c>
      <c r="E40" s="2">
        <v>0.45567129629629627</v>
      </c>
      <c r="F40" s="2">
        <f t="shared" si="1"/>
        <v>7.2916666666661412E-4</v>
      </c>
      <c r="G40">
        <f t="shared" si="2"/>
        <v>0</v>
      </c>
      <c r="H40">
        <f t="shared" si="3"/>
        <v>1</v>
      </c>
      <c r="I40">
        <f t="shared" si="4"/>
        <v>3</v>
      </c>
      <c r="J40">
        <f t="shared" si="5"/>
        <v>63</v>
      </c>
      <c r="K40">
        <f t="shared" si="6"/>
        <v>2</v>
      </c>
      <c r="L40">
        <f t="shared" si="7"/>
        <v>12281</v>
      </c>
      <c r="M40">
        <f t="shared" si="8"/>
        <v>8272</v>
      </c>
      <c r="N40">
        <f t="shared" si="9"/>
        <v>20553</v>
      </c>
      <c r="O40">
        <f>IF(B40="zagraniczny",K40+O39,O39)</f>
        <v>17</v>
      </c>
    </row>
    <row r="41" spans="1:15" x14ac:dyDescent="0.25">
      <c r="A41">
        <v>85598139</v>
      </c>
      <c r="B41" t="str">
        <f t="shared" si="0"/>
        <v>komorkowy</v>
      </c>
      <c r="C41" s="1">
        <v>42919</v>
      </c>
      <c r="D41" s="2">
        <v>0.45608796296296295</v>
      </c>
      <c r="E41" s="2">
        <v>0.46314814814814814</v>
      </c>
      <c r="F41" s="2">
        <f t="shared" si="1"/>
        <v>7.0601851851851971E-3</v>
      </c>
      <c r="G41">
        <f t="shared" si="2"/>
        <v>0</v>
      </c>
      <c r="H41">
        <f t="shared" si="3"/>
        <v>10</v>
      </c>
      <c r="I41">
        <f t="shared" si="4"/>
        <v>10</v>
      </c>
      <c r="J41">
        <f t="shared" si="5"/>
        <v>610</v>
      </c>
      <c r="K41">
        <f t="shared" si="6"/>
        <v>11</v>
      </c>
      <c r="L41">
        <f t="shared" si="7"/>
        <v>12281</v>
      </c>
      <c r="M41">
        <f t="shared" si="8"/>
        <v>8882</v>
      </c>
      <c r="N41">
        <f t="shared" si="9"/>
        <v>21163</v>
      </c>
      <c r="O41">
        <f>IF(B41="zagraniczny",K41+O40,O40)</f>
        <v>17</v>
      </c>
    </row>
    <row r="42" spans="1:15" x14ac:dyDescent="0.25">
      <c r="A42">
        <v>1787732</v>
      </c>
      <c r="B42" t="str">
        <f t="shared" si="0"/>
        <v>stacjonarny</v>
      </c>
      <c r="C42" s="1">
        <v>42919</v>
      </c>
      <c r="D42" s="2">
        <v>0.46151620370370372</v>
      </c>
      <c r="E42" s="2">
        <v>0.46546296296296297</v>
      </c>
      <c r="F42" s="2">
        <f t="shared" si="1"/>
        <v>3.9467592592592471E-3</v>
      </c>
      <c r="G42">
        <f t="shared" si="2"/>
        <v>0</v>
      </c>
      <c r="H42">
        <f t="shared" si="3"/>
        <v>5</v>
      </c>
      <c r="I42">
        <f t="shared" si="4"/>
        <v>41</v>
      </c>
      <c r="J42">
        <f t="shared" si="5"/>
        <v>341</v>
      </c>
      <c r="K42">
        <f t="shared" si="6"/>
        <v>6</v>
      </c>
      <c r="L42">
        <f t="shared" si="7"/>
        <v>12622</v>
      </c>
      <c r="M42">
        <f t="shared" si="8"/>
        <v>8882</v>
      </c>
      <c r="N42">
        <f t="shared" si="9"/>
        <v>21504</v>
      </c>
      <c r="O42">
        <f>IF(B42="zagraniczny",K42+O41,O41)</f>
        <v>17</v>
      </c>
    </row>
    <row r="43" spans="1:15" x14ac:dyDescent="0.25">
      <c r="A43">
        <v>1926053</v>
      </c>
      <c r="B43" t="str">
        <f t="shared" si="0"/>
        <v>stacjonarny</v>
      </c>
      <c r="C43" s="1">
        <v>42919</v>
      </c>
      <c r="D43" s="2">
        <v>0.46155092592592595</v>
      </c>
      <c r="E43" s="2">
        <v>0.46766203703703701</v>
      </c>
      <c r="F43" s="2">
        <f t="shared" si="1"/>
        <v>6.1111111111110672E-3</v>
      </c>
      <c r="G43">
        <f t="shared" si="2"/>
        <v>0</v>
      </c>
      <c r="H43">
        <f t="shared" si="3"/>
        <v>8</v>
      </c>
      <c r="I43">
        <f t="shared" si="4"/>
        <v>48</v>
      </c>
      <c r="J43">
        <f t="shared" si="5"/>
        <v>528</v>
      </c>
      <c r="K43">
        <f t="shared" si="6"/>
        <v>9</v>
      </c>
      <c r="L43">
        <f t="shared" si="7"/>
        <v>13150</v>
      </c>
      <c r="M43">
        <f t="shared" si="8"/>
        <v>8882</v>
      </c>
      <c r="N43">
        <f t="shared" si="9"/>
        <v>22032</v>
      </c>
      <c r="O43">
        <f>IF(B43="zagraniczny",K43+O42,O42)</f>
        <v>17</v>
      </c>
    </row>
    <row r="44" spans="1:15" x14ac:dyDescent="0.25">
      <c r="A44">
        <v>82949156</v>
      </c>
      <c r="B44" t="str">
        <f t="shared" si="0"/>
        <v>komorkowy</v>
      </c>
      <c r="C44" s="1">
        <v>42919</v>
      </c>
      <c r="D44" s="2">
        <v>0.46224537037037039</v>
      </c>
      <c r="E44" s="2">
        <v>0.46390046296296295</v>
      </c>
      <c r="F44" s="2">
        <f t="shared" si="1"/>
        <v>1.6550925925925553E-3</v>
      </c>
      <c r="G44">
        <f t="shared" si="2"/>
        <v>0</v>
      </c>
      <c r="H44">
        <f t="shared" si="3"/>
        <v>2</v>
      </c>
      <c r="I44">
        <f t="shared" si="4"/>
        <v>23</v>
      </c>
      <c r="J44">
        <f t="shared" si="5"/>
        <v>143</v>
      </c>
      <c r="K44">
        <f t="shared" si="6"/>
        <v>3</v>
      </c>
      <c r="L44">
        <f t="shared" si="7"/>
        <v>13150</v>
      </c>
      <c r="M44">
        <f t="shared" si="8"/>
        <v>9025</v>
      </c>
      <c r="N44">
        <f t="shared" si="9"/>
        <v>22175</v>
      </c>
      <c r="O44">
        <f>IF(B44="zagraniczny",K44+O43,O43)</f>
        <v>17</v>
      </c>
    </row>
    <row r="45" spans="1:15" x14ac:dyDescent="0.25">
      <c r="A45">
        <v>73690742</v>
      </c>
      <c r="B45" t="str">
        <f t="shared" si="0"/>
        <v>komorkowy</v>
      </c>
      <c r="C45" s="1">
        <v>42919</v>
      </c>
      <c r="D45" s="2">
        <v>0.46766203703703701</v>
      </c>
      <c r="E45" s="2">
        <v>0.4767939814814815</v>
      </c>
      <c r="F45" s="2">
        <f t="shared" si="1"/>
        <v>9.1319444444444842E-3</v>
      </c>
      <c r="G45">
        <f t="shared" si="2"/>
        <v>0</v>
      </c>
      <c r="H45">
        <f t="shared" si="3"/>
        <v>13</v>
      </c>
      <c r="I45">
        <f t="shared" si="4"/>
        <v>9</v>
      </c>
      <c r="J45">
        <f t="shared" si="5"/>
        <v>789</v>
      </c>
      <c r="K45">
        <f t="shared" si="6"/>
        <v>14</v>
      </c>
      <c r="L45">
        <f t="shared" si="7"/>
        <v>13150</v>
      </c>
      <c r="M45">
        <f t="shared" si="8"/>
        <v>9814</v>
      </c>
      <c r="N45">
        <f t="shared" si="9"/>
        <v>22964</v>
      </c>
      <c r="O45">
        <f>IF(B45="zagraniczny",K45+O44,O44)</f>
        <v>17</v>
      </c>
    </row>
    <row r="46" spans="1:15" x14ac:dyDescent="0.25">
      <c r="A46">
        <v>5107477025</v>
      </c>
      <c r="B46" t="str">
        <f t="shared" si="0"/>
        <v>zagraniczny</v>
      </c>
      <c r="C46" s="1">
        <v>42919</v>
      </c>
      <c r="D46" s="2">
        <v>0.47125</v>
      </c>
      <c r="E46" s="2">
        <v>0.47871527777777778</v>
      </c>
      <c r="F46" s="2">
        <f t="shared" si="1"/>
        <v>7.465277777777779E-3</v>
      </c>
      <c r="G46">
        <f t="shared" si="2"/>
        <v>0</v>
      </c>
      <c r="H46">
        <f t="shared" si="3"/>
        <v>10</v>
      </c>
      <c r="I46">
        <f t="shared" si="4"/>
        <v>45</v>
      </c>
      <c r="J46">
        <f t="shared" si="5"/>
        <v>645</v>
      </c>
      <c r="K46">
        <f t="shared" si="6"/>
        <v>11</v>
      </c>
      <c r="L46">
        <f t="shared" si="7"/>
        <v>13150</v>
      </c>
      <c r="M46">
        <f t="shared" si="8"/>
        <v>9814</v>
      </c>
      <c r="N46">
        <f t="shared" si="9"/>
        <v>22964</v>
      </c>
      <c r="O46">
        <f>IF(B46="zagraniczny",K46+O45,O45)</f>
        <v>28</v>
      </c>
    </row>
    <row r="47" spans="1:15" x14ac:dyDescent="0.25">
      <c r="A47">
        <v>4787793</v>
      </c>
      <c r="B47" t="str">
        <f t="shared" si="0"/>
        <v>stacjonarny</v>
      </c>
      <c r="C47" s="1">
        <v>42919</v>
      </c>
      <c r="D47" s="2">
        <v>0.47584490740740742</v>
      </c>
      <c r="E47" s="2">
        <v>0.48518518518518516</v>
      </c>
      <c r="F47" s="2">
        <f t="shared" si="1"/>
        <v>9.340277777777739E-3</v>
      </c>
      <c r="G47">
        <f t="shared" si="2"/>
        <v>0</v>
      </c>
      <c r="H47">
        <f t="shared" si="3"/>
        <v>13</v>
      </c>
      <c r="I47">
        <f t="shared" si="4"/>
        <v>27</v>
      </c>
      <c r="J47">
        <f t="shared" si="5"/>
        <v>807</v>
      </c>
      <c r="K47">
        <f t="shared" si="6"/>
        <v>14</v>
      </c>
      <c r="L47">
        <f t="shared" si="7"/>
        <v>13957</v>
      </c>
      <c r="M47">
        <f t="shared" si="8"/>
        <v>9814</v>
      </c>
      <c r="N47">
        <f t="shared" si="9"/>
        <v>23771</v>
      </c>
      <c r="O47">
        <f>IF(B47="zagraniczny",K47+O46,O46)</f>
        <v>28</v>
      </c>
    </row>
    <row r="48" spans="1:15" x14ac:dyDescent="0.25">
      <c r="A48">
        <v>79381100</v>
      </c>
      <c r="B48" t="str">
        <f t="shared" si="0"/>
        <v>komorkowy</v>
      </c>
      <c r="C48" s="1">
        <v>42919</v>
      </c>
      <c r="D48" s="2">
        <v>0.48078703703703701</v>
      </c>
      <c r="E48" s="2">
        <v>0.48550925925925925</v>
      </c>
      <c r="F48" s="2">
        <f t="shared" si="1"/>
        <v>4.7222222222222388E-3</v>
      </c>
      <c r="G48">
        <f t="shared" si="2"/>
        <v>0</v>
      </c>
      <c r="H48">
        <f t="shared" si="3"/>
        <v>6</v>
      </c>
      <c r="I48">
        <f t="shared" si="4"/>
        <v>48</v>
      </c>
      <c r="J48">
        <f t="shared" si="5"/>
        <v>408</v>
      </c>
      <c r="K48">
        <f t="shared" si="6"/>
        <v>7</v>
      </c>
      <c r="L48">
        <f t="shared" si="7"/>
        <v>13957</v>
      </c>
      <c r="M48">
        <f t="shared" si="8"/>
        <v>10222</v>
      </c>
      <c r="N48">
        <f t="shared" si="9"/>
        <v>24179</v>
      </c>
      <c r="O48">
        <f>IF(B48="zagraniczny",K48+O47,O47)</f>
        <v>28</v>
      </c>
    </row>
    <row r="49" spans="1:15" x14ac:dyDescent="0.25">
      <c r="A49">
        <v>4146159</v>
      </c>
      <c r="B49" t="str">
        <f t="shared" si="0"/>
        <v>stacjonarny</v>
      </c>
      <c r="C49" s="1">
        <v>42919</v>
      </c>
      <c r="D49" s="2">
        <v>0.48123842592592592</v>
      </c>
      <c r="E49" s="2">
        <v>0.49261574074074072</v>
      </c>
      <c r="F49" s="2">
        <f t="shared" si="1"/>
        <v>1.1377314814814798E-2</v>
      </c>
      <c r="G49">
        <f t="shared" si="2"/>
        <v>0</v>
      </c>
      <c r="H49">
        <f t="shared" si="3"/>
        <v>16</v>
      </c>
      <c r="I49">
        <f t="shared" si="4"/>
        <v>23</v>
      </c>
      <c r="J49">
        <f t="shared" si="5"/>
        <v>983</v>
      </c>
      <c r="K49">
        <f t="shared" si="6"/>
        <v>17</v>
      </c>
      <c r="L49">
        <f t="shared" si="7"/>
        <v>14940</v>
      </c>
      <c r="M49">
        <f t="shared" si="8"/>
        <v>10222</v>
      </c>
      <c r="N49">
        <f t="shared" si="9"/>
        <v>25162</v>
      </c>
      <c r="O49">
        <f>IF(B49="zagraniczny",K49+O48,O48)</f>
        <v>28</v>
      </c>
    </row>
    <row r="50" spans="1:15" x14ac:dyDescent="0.25">
      <c r="A50">
        <v>13484133</v>
      </c>
      <c r="B50" t="str">
        <f t="shared" si="0"/>
        <v>komorkowy</v>
      </c>
      <c r="C50" s="1">
        <v>42919</v>
      </c>
      <c r="D50" s="2">
        <v>0.48254629629629631</v>
      </c>
      <c r="E50" s="2">
        <v>0.48739583333333331</v>
      </c>
      <c r="F50" s="2">
        <f t="shared" si="1"/>
        <v>4.8495370370369995E-3</v>
      </c>
      <c r="G50">
        <f t="shared" si="2"/>
        <v>0</v>
      </c>
      <c r="H50">
        <f t="shared" si="3"/>
        <v>6</v>
      </c>
      <c r="I50">
        <f t="shared" si="4"/>
        <v>59</v>
      </c>
      <c r="J50">
        <f t="shared" si="5"/>
        <v>419</v>
      </c>
      <c r="K50">
        <f t="shared" si="6"/>
        <v>7</v>
      </c>
      <c r="L50">
        <f t="shared" si="7"/>
        <v>14940</v>
      </c>
      <c r="M50">
        <f t="shared" si="8"/>
        <v>10641</v>
      </c>
      <c r="N50">
        <f t="shared" si="9"/>
        <v>25581</v>
      </c>
      <c r="O50">
        <f>IF(B50="zagraniczny",K50+O49,O49)</f>
        <v>28</v>
      </c>
    </row>
    <row r="51" spans="1:15" x14ac:dyDescent="0.25">
      <c r="A51">
        <v>4657345</v>
      </c>
      <c r="B51" t="str">
        <f t="shared" si="0"/>
        <v>stacjonarny</v>
      </c>
      <c r="C51" s="1">
        <v>42919</v>
      </c>
      <c r="D51" s="2">
        <v>0.48489583333333336</v>
      </c>
      <c r="E51" s="2">
        <v>0.48734953703703704</v>
      </c>
      <c r="F51" s="2">
        <f t="shared" si="1"/>
        <v>2.4537037037036802E-3</v>
      </c>
      <c r="G51">
        <f t="shared" si="2"/>
        <v>0</v>
      </c>
      <c r="H51">
        <f t="shared" si="3"/>
        <v>3</v>
      </c>
      <c r="I51">
        <f t="shared" si="4"/>
        <v>32</v>
      </c>
      <c r="J51">
        <f t="shared" si="5"/>
        <v>212</v>
      </c>
      <c r="K51">
        <f t="shared" si="6"/>
        <v>4</v>
      </c>
      <c r="L51">
        <f t="shared" si="7"/>
        <v>15152</v>
      </c>
      <c r="M51">
        <f t="shared" si="8"/>
        <v>10641</v>
      </c>
      <c r="N51">
        <f t="shared" si="9"/>
        <v>25793</v>
      </c>
      <c r="O51">
        <f>IF(B51="zagraniczny",K51+O50,O50)</f>
        <v>28</v>
      </c>
    </row>
    <row r="52" spans="1:15" x14ac:dyDescent="0.25">
      <c r="A52">
        <v>3697935</v>
      </c>
      <c r="B52" t="str">
        <f t="shared" si="0"/>
        <v>stacjonarny</v>
      </c>
      <c r="C52" s="1">
        <v>42919</v>
      </c>
      <c r="D52" s="2">
        <v>0.49054398148148148</v>
      </c>
      <c r="E52" s="2">
        <v>0.49251157407407409</v>
      </c>
      <c r="F52" s="2">
        <f t="shared" si="1"/>
        <v>1.9675925925926041E-3</v>
      </c>
      <c r="G52">
        <f t="shared" si="2"/>
        <v>0</v>
      </c>
      <c r="H52">
        <f t="shared" si="3"/>
        <v>2</v>
      </c>
      <c r="I52">
        <f t="shared" si="4"/>
        <v>50</v>
      </c>
      <c r="J52">
        <f t="shared" si="5"/>
        <v>170</v>
      </c>
      <c r="K52">
        <f t="shared" si="6"/>
        <v>3</v>
      </c>
      <c r="L52">
        <f t="shared" si="7"/>
        <v>15322</v>
      </c>
      <c r="M52">
        <f t="shared" si="8"/>
        <v>10641</v>
      </c>
      <c r="N52">
        <f t="shared" si="9"/>
        <v>25963</v>
      </c>
      <c r="O52">
        <f>IF(B52="zagraniczny",K52+O51,O51)</f>
        <v>28</v>
      </c>
    </row>
    <row r="53" spans="1:15" x14ac:dyDescent="0.25">
      <c r="A53">
        <v>2668991</v>
      </c>
      <c r="B53" t="str">
        <f t="shared" si="0"/>
        <v>stacjonarny</v>
      </c>
      <c r="C53" s="1">
        <v>42919</v>
      </c>
      <c r="D53" s="2">
        <v>0.49284722222222221</v>
      </c>
      <c r="E53" s="2">
        <v>0.50354166666666667</v>
      </c>
      <c r="F53" s="2">
        <f t="shared" si="1"/>
        <v>1.0694444444444451E-2</v>
      </c>
      <c r="G53">
        <f t="shared" si="2"/>
        <v>0</v>
      </c>
      <c r="H53">
        <f t="shared" si="3"/>
        <v>15</v>
      </c>
      <c r="I53">
        <f t="shared" si="4"/>
        <v>24</v>
      </c>
      <c r="J53">
        <f t="shared" si="5"/>
        <v>924</v>
      </c>
      <c r="K53">
        <f t="shared" si="6"/>
        <v>16</v>
      </c>
      <c r="L53">
        <f t="shared" si="7"/>
        <v>16246</v>
      </c>
      <c r="M53">
        <f t="shared" si="8"/>
        <v>10641</v>
      </c>
      <c r="N53">
        <f t="shared" si="9"/>
        <v>26887</v>
      </c>
      <c r="O53">
        <f>IF(B53="zagraniczny",K53+O52,O52)</f>
        <v>28</v>
      </c>
    </row>
    <row r="54" spans="1:15" x14ac:dyDescent="0.25">
      <c r="A54">
        <v>3520189</v>
      </c>
      <c r="B54" t="str">
        <f t="shared" si="0"/>
        <v>stacjonarny</v>
      </c>
      <c r="C54" s="1">
        <v>42919</v>
      </c>
      <c r="D54" s="2">
        <v>0.49862268518518521</v>
      </c>
      <c r="E54" s="2">
        <v>0.50287037037037041</v>
      </c>
      <c r="F54" s="2">
        <f t="shared" si="1"/>
        <v>4.2476851851852016E-3</v>
      </c>
      <c r="G54">
        <f t="shared" si="2"/>
        <v>0</v>
      </c>
      <c r="H54">
        <f t="shared" si="3"/>
        <v>6</v>
      </c>
      <c r="I54">
        <f t="shared" si="4"/>
        <v>7</v>
      </c>
      <c r="J54">
        <f t="shared" si="5"/>
        <v>367</v>
      </c>
      <c r="K54">
        <f t="shared" si="6"/>
        <v>7</v>
      </c>
      <c r="L54">
        <f t="shared" si="7"/>
        <v>16613</v>
      </c>
      <c r="M54">
        <f t="shared" si="8"/>
        <v>10641</v>
      </c>
      <c r="N54">
        <f t="shared" si="9"/>
        <v>27254</v>
      </c>
      <c r="O54">
        <f>IF(B54="zagraniczny",K54+O53,O53)</f>
        <v>28</v>
      </c>
    </row>
    <row r="55" spans="1:15" x14ac:dyDescent="0.25">
      <c r="A55">
        <v>4546455</v>
      </c>
      <c r="B55" t="str">
        <f t="shared" si="0"/>
        <v>stacjonarny</v>
      </c>
      <c r="C55" s="1">
        <v>42919</v>
      </c>
      <c r="D55" s="2">
        <v>0.50089120370370366</v>
      </c>
      <c r="E55" s="2">
        <v>0.50876157407407407</v>
      </c>
      <c r="F55" s="2">
        <f t="shared" si="1"/>
        <v>7.8703703703704164E-3</v>
      </c>
      <c r="G55">
        <f t="shared" si="2"/>
        <v>0</v>
      </c>
      <c r="H55">
        <f t="shared" si="3"/>
        <v>11</v>
      </c>
      <c r="I55">
        <f t="shared" si="4"/>
        <v>20</v>
      </c>
      <c r="J55">
        <f t="shared" si="5"/>
        <v>680</v>
      </c>
      <c r="K55">
        <f t="shared" si="6"/>
        <v>12</v>
      </c>
      <c r="L55">
        <f t="shared" si="7"/>
        <v>17293</v>
      </c>
      <c r="M55">
        <f t="shared" si="8"/>
        <v>10641</v>
      </c>
      <c r="N55">
        <f t="shared" si="9"/>
        <v>27934</v>
      </c>
      <c r="O55">
        <f>IF(B55="zagraniczny",K55+O54,O54)</f>
        <v>28</v>
      </c>
    </row>
    <row r="56" spans="1:15" x14ac:dyDescent="0.25">
      <c r="A56">
        <v>3897347</v>
      </c>
      <c r="B56" t="str">
        <f t="shared" si="0"/>
        <v>stacjonarny</v>
      </c>
      <c r="C56" s="1">
        <v>42919</v>
      </c>
      <c r="D56" s="2">
        <v>0.50549768518518523</v>
      </c>
      <c r="E56" s="2">
        <v>0.5100231481481482</v>
      </c>
      <c r="F56" s="2">
        <f t="shared" si="1"/>
        <v>4.5254629629629672E-3</v>
      </c>
      <c r="G56">
        <f t="shared" si="2"/>
        <v>0</v>
      </c>
      <c r="H56">
        <f t="shared" si="3"/>
        <v>6</v>
      </c>
      <c r="I56">
        <f t="shared" si="4"/>
        <v>31</v>
      </c>
      <c r="J56">
        <f t="shared" si="5"/>
        <v>391</v>
      </c>
      <c r="K56">
        <f t="shared" si="6"/>
        <v>7</v>
      </c>
      <c r="L56">
        <f t="shared" si="7"/>
        <v>17684</v>
      </c>
      <c r="M56">
        <f t="shared" si="8"/>
        <v>10641</v>
      </c>
      <c r="N56">
        <f t="shared" si="9"/>
        <v>28325</v>
      </c>
      <c r="O56">
        <f>IF(B56="zagraniczny",K56+O55,O55)</f>
        <v>28</v>
      </c>
    </row>
    <row r="57" spans="1:15" x14ac:dyDescent="0.25">
      <c r="A57">
        <v>1867016</v>
      </c>
      <c r="B57" t="str">
        <f t="shared" si="0"/>
        <v>stacjonarny</v>
      </c>
      <c r="C57" s="1">
        <v>42919</v>
      </c>
      <c r="D57" s="2">
        <v>0.50910879629629635</v>
      </c>
      <c r="E57" s="2">
        <v>0.50930555555555557</v>
      </c>
      <c r="F57" s="2">
        <f t="shared" si="1"/>
        <v>1.96759259259216E-4</v>
      </c>
      <c r="G57">
        <f t="shared" si="2"/>
        <v>0</v>
      </c>
      <c r="H57">
        <f t="shared" si="3"/>
        <v>0</v>
      </c>
      <c r="I57">
        <f t="shared" si="4"/>
        <v>17</v>
      </c>
      <c r="J57">
        <f t="shared" si="5"/>
        <v>17</v>
      </c>
      <c r="K57">
        <f t="shared" si="6"/>
        <v>1</v>
      </c>
      <c r="L57">
        <f t="shared" si="7"/>
        <v>17701</v>
      </c>
      <c r="M57">
        <f t="shared" si="8"/>
        <v>10641</v>
      </c>
      <c r="N57">
        <f t="shared" si="9"/>
        <v>28342</v>
      </c>
      <c r="O57">
        <f>IF(B57="zagraniczny",K57+O56,O56)</f>
        <v>28</v>
      </c>
    </row>
    <row r="58" spans="1:15" x14ac:dyDescent="0.25">
      <c r="A58">
        <v>96949751</v>
      </c>
      <c r="B58" t="str">
        <f t="shared" si="0"/>
        <v>komorkowy</v>
      </c>
      <c r="C58" s="1">
        <v>42919</v>
      </c>
      <c r="D58" s="2">
        <v>0.51262731481481483</v>
      </c>
      <c r="E58" s="2">
        <v>0.5142592592592593</v>
      </c>
      <c r="F58" s="2">
        <f t="shared" si="1"/>
        <v>1.6319444444444775E-3</v>
      </c>
      <c r="G58">
        <f t="shared" si="2"/>
        <v>0</v>
      </c>
      <c r="H58">
        <f t="shared" si="3"/>
        <v>2</v>
      </c>
      <c r="I58">
        <f t="shared" si="4"/>
        <v>21</v>
      </c>
      <c r="J58">
        <f t="shared" si="5"/>
        <v>141</v>
      </c>
      <c r="K58">
        <f t="shared" si="6"/>
        <v>3</v>
      </c>
      <c r="L58">
        <f t="shared" si="7"/>
        <v>17701</v>
      </c>
      <c r="M58">
        <f t="shared" si="8"/>
        <v>10782</v>
      </c>
      <c r="N58">
        <f t="shared" si="9"/>
        <v>28483</v>
      </c>
      <c r="O58">
        <f>IF(B58="zagraniczny",K58+O57,O57)</f>
        <v>28</v>
      </c>
    </row>
    <row r="59" spans="1:15" x14ac:dyDescent="0.25">
      <c r="A59">
        <v>81613163</v>
      </c>
      <c r="B59" t="str">
        <f t="shared" si="0"/>
        <v>komorkowy</v>
      </c>
      <c r="C59" s="1">
        <v>42919</v>
      </c>
      <c r="D59" s="2">
        <v>0.5175925925925926</v>
      </c>
      <c r="E59" s="2">
        <v>0.52021990740740742</v>
      </c>
      <c r="F59" s="2">
        <f t="shared" si="1"/>
        <v>2.6273148148148184E-3</v>
      </c>
      <c r="G59">
        <f t="shared" si="2"/>
        <v>0</v>
      </c>
      <c r="H59">
        <f t="shared" si="3"/>
        <v>3</v>
      </c>
      <c r="I59">
        <f t="shared" si="4"/>
        <v>47</v>
      </c>
      <c r="J59">
        <f t="shared" si="5"/>
        <v>227</v>
      </c>
      <c r="K59">
        <f t="shared" si="6"/>
        <v>4</v>
      </c>
      <c r="L59">
        <f t="shared" si="7"/>
        <v>17701</v>
      </c>
      <c r="M59">
        <f t="shared" si="8"/>
        <v>11009</v>
      </c>
      <c r="N59">
        <f t="shared" si="9"/>
        <v>28710</v>
      </c>
      <c r="O59">
        <f>IF(B59="zagraniczny",K59+O58,O58)</f>
        <v>28</v>
      </c>
    </row>
    <row r="60" spans="1:15" x14ac:dyDescent="0.25">
      <c r="A60">
        <v>4250194</v>
      </c>
      <c r="B60" t="str">
        <f t="shared" si="0"/>
        <v>stacjonarny</v>
      </c>
      <c r="C60" s="1">
        <v>42919</v>
      </c>
      <c r="D60" s="2">
        <v>0.52217592592592588</v>
      </c>
      <c r="E60" s="2">
        <v>0.52918981481481486</v>
      </c>
      <c r="F60" s="2">
        <f t="shared" si="1"/>
        <v>7.0138888888889861E-3</v>
      </c>
      <c r="G60">
        <f t="shared" si="2"/>
        <v>0</v>
      </c>
      <c r="H60">
        <f t="shared" si="3"/>
        <v>10</v>
      </c>
      <c r="I60">
        <f t="shared" si="4"/>
        <v>6</v>
      </c>
      <c r="J60">
        <f t="shared" si="5"/>
        <v>606</v>
      </c>
      <c r="K60">
        <f t="shared" si="6"/>
        <v>11</v>
      </c>
      <c r="L60">
        <f t="shared" si="7"/>
        <v>18307</v>
      </c>
      <c r="M60">
        <f t="shared" si="8"/>
        <v>11009</v>
      </c>
      <c r="N60">
        <f t="shared" si="9"/>
        <v>29316</v>
      </c>
      <c r="O60">
        <f>IF(B60="zagraniczny",K60+O59,O59)</f>
        <v>28</v>
      </c>
    </row>
    <row r="61" spans="1:15" x14ac:dyDescent="0.25">
      <c r="A61">
        <v>6050344</v>
      </c>
      <c r="B61" t="str">
        <f t="shared" si="0"/>
        <v>stacjonarny</v>
      </c>
      <c r="C61" s="1">
        <v>42919</v>
      </c>
      <c r="D61" s="2">
        <v>0.52444444444444449</v>
      </c>
      <c r="E61" s="2">
        <v>0.52681712962962968</v>
      </c>
      <c r="F61" s="2">
        <f t="shared" si="1"/>
        <v>2.372685185185186E-3</v>
      </c>
      <c r="G61">
        <f t="shared" si="2"/>
        <v>0</v>
      </c>
      <c r="H61">
        <f t="shared" si="3"/>
        <v>3</v>
      </c>
      <c r="I61">
        <f t="shared" si="4"/>
        <v>25</v>
      </c>
      <c r="J61">
        <f t="shared" si="5"/>
        <v>205</v>
      </c>
      <c r="K61">
        <f t="shared" si="6"/>
        <v>4</v>
      </c>
      <c r="L61">
        <f t="shared" si="7"/>
        <v>18512</v>
      </c>
      <c r="M61">
        <f t="shared" si="8"/>
        <v>11009</v>
      </c>
      <c r="N61">
        <f t="shared" si="9"/>
        <v>29521</v>
      </c>
      <c r="O61">
        <f>IF(B61="zagraniczny",K61+O60,O60)</f>
        <v>28</v>
      </c>
    </row>
    <row r="62" spans="1:15" x14ac:dyDescent="0.25">
      <c r="A62">
        <v>4546455</v>
      </c>
      <c r="B62" t="str">
        <f t="shared" si="0"/>
        <v>stacjonarny</v>
      </c>
      <c r="C62" s="1">
        <v>42919</v>
      </c>
      <c r="D62" s="2">
        <v>0.5258680555555556</v>
      </c>
      <c r="E62" s="2">
        <v>0.53531249999999997</v>
      </c>
      <c r="F62" s="2">
        <f t="shared" si="1"/>
        <v>9.4444444444443665E-3</v>
      </c>
      <c r="G62">
        <f t="shared" si="2"/>
        <v>0</v>
      </c>
      <c r="H62">
        <f t="shared" si="3"/>
        <v>13</v>
      </c>
      <c r="I62">
        <f t="shared" si="4"/>
        <v>36</v>
      </c>
      <c r="J62">
        <f t="shared" si="5"/>
        <v>816</v>
      </c>
      <c r="K62">
        <f t="shared" si="6"/>
        <v>14</v>
      </c>
      <c r="L62">
        <f t="shared" si="7"/>
        <v>19328</v>
      </c>
      <c r="M62">
        <f t="shared" si="8"/>
        <v>11009</v>
      </c>
      <c r="N62">
        <f t="shared" si="9"/>
        <v>30337</v>
      </c>
      <c r="O62">
        <f>IF(B62="zagraniczny",K62+O61,O61)</f>
        <v>28</v>
      </c>
    </row>
    <row r="63" spans="1:15" x14ac:dyDescent="0.25">
      <c r="A63">
        <v>7727942</v>
      </c>
      <c r="B63" t="str">
        <f t="shared" si="0"/>
        <v>stacjonarny</v>
      </c>
      <c r="C63" s="1">
        <v>42919</v>
      </c>
      <c r="D63" s="2">
        <v>0.53013888888888894</v>
      </c>
      <c r="E63" s="2">
        <v>0.53707175925925921</v>
      </c>
      <c r="F63" s="2">
        <f t="shared" si="1"/>
        <v>6.9328703703702699E-3</v>
      </c>
      <c r="G63">
        <f t="shared" si="2"/>
        <v>0</v>
      </c>
      <c r="H63">
        <f t="shared" si="3"/>
        <v>9</v>
      </c>
      <c r="I63">
        <f t="shared" si="4"/>
        <v>59</v>
      </c>
      <c r="J63">
        <f t="shared" si="5"/>
        <v>599</v>
      </c>
      <c r="K63">
        <f t="shared" si="6"/>
        <v>10</v>
      </c>
      <c r="L63">
        <f t="shared" si="7"/>
        <v>19927</v>
      </c>
      <c r="M63">
        <f t="shared" si="8"/>
        <v>11009</v>
      </c>
      <c r="N63">
        <f t="shared" si="9"/>
        <v>30936</v>
      </c>
      <c r="O63">
        <f>IF(B63="zagraniczny",K63+O62,O62)</f>
        <v>28</v>
      </c>
    </row>
    <row r="64" spans="1:15" x14ac:dyDescent="0.25">
      <c r="A64">
        <v>8249721</v>
      </c>
      <c r="B64" t="str">
        <f t="shared" si="0"/>
        <v>stacjonarny</v>
      </c>
      <c r="C64" s="1">
        <v>42919</v>
      </c>
      <c r="D64" s="2">
        <v>0.53486111111111112</v>
      </c>
      <c r="E64" s="2">
        <v>0.53756944444444443</v>
      </c>
      <c r="F64" s="2">
        <f t="shared" si="1"/>
        <v>2.7083333333333126E-3</v>
      </c>
      <c r="G64">
        <f t="shared" si="2"/>
        <v>0</v>
      </c>
      <c r="H64">
        <f t="shared" si="3"/>
        <v>3</v>
      </c>
      <c r="I64">
        <f t="shared" si="4"/>
        <v>54</v>
      </c>
      <c r="J64">
        <f t="shared" si="5"/>
        <v>234</v>
      </c>
      <c r="K64">
        <f t="shared" si="6"/>
        <v>4</v>
      </c>
      <c r="L64">
        <f t="shared" si="7"/>
        <v>20161</v>
      </c>
      <c r="M64">
        <f t="shared" si="8"/>
        <v>11009</v>
      </c>
      <c r="N64">
        <f t="shared" si="9"/>
        <v>31170</v>
      </c>
      <c r="O64">
        <f>IF(B64="zagraniczny",K64+O63,O63)</f>
        <v>28</v>
      </c>
    </row>
    <row r="65" spans="1:15" x14ac:dyDescent="0.25">
      <c r="A65">
        <v>6894270</v>
      </c>
      <c r="B65" t="str">
        <f t="shared" si="0"/>
        <v>stacjonarny</v>
      </c>
      <c r="C65" s="1">
        <v>42919</v>
      </c>
      <c r="D65" s="2">
        <v>0.53488425925925931</v>
      </c>
      <c r="E65" s="2">
        <v>0.53523148148148147</v>
      </c>
      <c r="F65" s="2">
        <f t="shared" si="1"/>
        <v>3.4722222222216548E-4</v>
      </c>
      <c r="G65">
        <f t="shared" si="2"/>
        <v>0</v>
      </c>
      <c r="H65">
        <f t="shared" si="3"/>
        <v>0</v>
      </c>
      <c r="I65">
        <f t="shared" si="4"/>
        <v>30</v>
      </c>
      <c r="J65">
        <f t="shared" si="5"/>
        <v>30</v>
      </c>
      <c r="K65">
        <f t="shared" si="6"/>
        <v>1</v>
      </c>
      <c r="L65">
        <f t="shared" si="7"/>
        <v>20191</v>
      </c>
      <c r="M65">
        <f t="shared" si="8"/>
        <v>11009</v>
      </c>
      <c r="N65">
        <f t="shared" si="9"/>
        <v>31200</v>
      </c>
      <c r="O65">
        <f>IF(B65="zagraniczny",K65+O64,O64)</f>
        <v>28</v>
      </c>
    </row>
    <row r="66" spans="1:15" x14ac:dyDescent="0.25">
      <c r="A66">
        <v>3095218</v>
      </c>
      <c r="B66" t="str">
        <f t="shared" si="0"/>
        <v>stacjonarny</v>
      </c>
      <c r="C66" s="1">
        <v>42919</v>
      </c>
      <c r="D66" s="2">
        <v>0.5358680555555555</v>
      </c>
      <c r="E66" s="2">
        <v>0.54329861111111111</v>
      </c>
      <c r="F66" s="2">
        <f t="shared" si="1"/>
        <v>7.4305555555556069E-3</v>
      </c>
      <c r="G66">
        <f t="shared" si="2"/>
        <v>0</v>
      </c>
      <c r="H66">
        <f t="shared" si="3"/>
        <v>10</v>
      </c>
      <c r="I66">
        <f t="shared" si="4"/>
        <v>42</v>
      </c>
      <c r="J66">
        <f t="shared" si="5"/>
        <v>642</v>
      </c>
      <c r="K66">
        <f t="shared" si="6"/>
        <v>11</v>
      </c>
      <c r="L66">
        <f t="shared" si="7"/>
        <v>20833</v>
      </c>
      <c r="M66">
        <f t="shared" si="8"/>
        <v>11009</v>
      </c>
      <c r="N66">
        <f t="shared" si="9"/>
        <v>31842</v>
      </c>
      <c r="O66">
        <f>IF(B66="zagraniczny",K66+O65,O65)</f>
        <v>28</v>
      </c>
    </row>
    <row r="67" spans="1:15" x14ac:dyDescent="0.25">
      <c r="A67">
        <v>45081794</v>
      </c>
      <c r="B67" t="str">
        <f t="shared" ref="B67:B130" si="10">IF(LEN(A67)=7,"stacjonarny",IF(LEN(A67)=8,"komorkowy","zagraniczny"))</f>
        <v>komorkowy</v>
      </c>
      <c r="C67" s="1">
        <v>42919</v>
      </c>
      <c r="D67" s="2">
        <v>0.54016203703703702</v>
      </c>
      <c r="E67" s="2">
        <v>0.54297453703703702</v>
      </c>
      <c r="F67" s="2">
        <f t="shared" ref="F67:F130" si="11">E67-D67</f>
        <v>2.8124999999999956E-3</v>
      </c>
      <c r="G67">
        <f t="shared" ref="G67:G130" si="12">HOUR(F67)</f>
        <v>0</v>
      </c>
      <c r="H67">
        <f t="shared" ref="H67:H130" si="13">MINUTE(F67)</f>
        <v>4</v>
      </c>
      <c r="I67">
        <f t="shared" ref="I67:I130" si="14">SECOND(F67)</f>
        <v>3</v>
      </c>
      <c r="J67">
        <f t="shared" ref="J67:J130" si="15">H67*60+I67</f>
        <v>243</v>
      </c>
      <c r="K67">
        <f t="shared" ref="K67:K130" si="16">IF(I67&gt;0,G67*60+H67+1,H67+G67*60)</f>
        <v>5</v>
      </c>
      <c r="L67">
        <f t="shared" si="7"/>
        <v>20833</v>
      </c>
      <c r="M67">
        <f t="shared" si="8"/>
        <v>11252</v>
      </c>
      <c r="N67">
        <f t="shared" si="9"/>
        <v>32085</v>
      </c>
      <c r="O67">
        <f>IF(B67="zagraniczny",K67+O66,O66)</f>
        <v>28</v>
      </c>
    </row>
    <row r="68" spans="1:15" x14ac:dyDescent="0.25">
      <c r="A68">
        <v>3533271</v>
      </c>
      <c r="B68" t="str">
        <f t="shared" si="10"/>
        <v>stacjonarny</v>
      </c>
      <c r="C68" s="1">
        <v>42919</v>
      </c>
      <c r="D68" s="2">
        <v>0.54280092592592588</v>
      </c>
      <c r="E68" s="2">
        <v>0.54478009259259264</v>
      </c>
      <c r="F68" s="2">
        <f t="shared" si="11"/>
        <v>1.979166666666754E-3</v>
      </c>
      <c r="G68">
        <f t="shared" si="12"/>
        <v>0</v>
      </c>
      <c r="H68">
        <f t="shared" si="13"/>
        <v>2</v>
      </c>
      <c r="I68">
        <f t="shared" si="14"/>
        <v>51</v>
      </c>
      <c r="J68">
        <f t="shared" si="15"/>
        <v>171</v>
      </c>
      <c r="K68">
        <f t="shared" si="16"/>
        <v>3</v>
      </c>
      <c r="L68">
        <f t="shared" ref="L68:L131" si="17">IF(B68="stacjonarny",$J68+L67,L67)</f>
        <v>21004</v>
      </c>
      <c r="M68">
        <f t="shared" ref="M68:M131" si="18">IF(B68="komorkowy",$J68+M67,M67)</f>
        <v>11252</v>
      </c>
      <c r="N68">
        <f t="shared" ref="N68:N131" si="19">IF(OR(B68="stacjonarny",B68="komorkowy"),J68+N67,N67)</f>
        <v>32256</v>
      </c>
      <c r="O68">
        <f>IF(B68="zagraniczny",K68+O67,O67)</f>
        <v>28</v>
      </c>
    </row>
    <row r="69" spans="1:15" x14ac:dyDescent="0.25">
      <c r="A69">
        <v>7415603</v>
      </c>
      <c r="B69" t="str">
        <f t="shared" si="10"/>
        <v>stacjonarny</v>
      </c>
      <c r="C69" s="1">
        <v>42919</v>
      </c>
      <c r="D69" s="2">
        <v>0.54848379629629629</v>
      </c>
      <c r="E69" s="2">
        <v>0.5578819444444445</v>
      </c>
      <c r="F69" s="2">
        <f t="shared" si="11"/>
        <v>9.398148148148211E-3</v>
      </c>
      <c r="G69">
        <f t="shared" si="12"/>
        <v>0</v>
      </c>
      <c r="H69">
        <f t="shared" si="13"/>
        <v>13</v>
      </c>
      <c r="I69">
        <f t="shared" si="14"/>
        <v>32</v>
      </c>
      <c r="J69">
        <f t="shared" si="15"/>
        <v>812</v>
      </c>
      <c r="K69">
        <f t="shared" si="16"/>
        <v>14</v>
      </c>
      <c r="L69">
        <f t="shared" si="17"/>
        <v>21816</v>
      </c>
      <c r="M69">
        <f t="shared" si="18"/>
        <v>11252</v>
      </c>
      <c r="N69">
        <f t="shared" si="19"/>
        <v>33068</v>
      </c>
      <c r="O69">
        <f>IF(B69="zagraniczny",K69+O68,O68)</f>
        <v>28</v>
      </c>
    </row>
    <row r="70" spans="1:15" x14ac:dyDescent="0.25">
      <c r="A70">
        <v>9088452</v>
      </c>
      <c r="B70" t="str">
        <f t="shared" si="10"/>
        <v>stacjonarny</v>
      </c>
      <c r="C70" s="1">
        <v>42919</v>
      </c>
      <c r="D70" s="2">
        <v>0.55283564814814812</v>
      </c>
      <c r="E70" s="2">
        <v>0.55756944444444445</v>
      </c>
      <c r="F70" s="2">
        <f t="shared" si="11"/>
        <v>4.7337962962963331E-3</v>
      </c>
      <c r="G70">
        <f t="shared" si="12"/>
        <v>0</v>
      </c>
      <c r="H70">
        <f t="shared" si="13"/>
        <v>6</v>
      </c>
      <c r="I70">
        <f t="shared" si="14"/>
        <v>49</v>
      </c>
      <c r="J70">
        <f t="shared" si="15"/>
        <v>409</v>
      </c>
      <c r="K70">
        <f t="shared" si="16"/>
        <v>7</v>
      </c>
      <c r="L70">
        <f t="shared" si="17"/>
        <v>22225</v>
      </c>
      <c r="M70">
        <f t="shared" si="18"/>
        <v>11252</v>
      </c>
      <c r="N70">
        <f t="shared" si="19"/>
        <v>33477</v>
      </c>
      <c r="O70">
        <f>IF(B70="zagraniczny",K70+O69,O69)</f>
        <v>28</v>
      </c>
    </row>
    <row r="71" spans="1:15" x14ac:dyDescent="0.25">
      <c r="A71">
        <v>3379401</v>
      </c>
      <c r="B71" t="str">
        <f t="shared" si="10"/>
        <v>stacjonarny</v>
      </c>
      <c r="C71" s="1">
        <v>42919</v>
      </c>
      <c r="D71" s="2">
        <v>0.55576388888888884</v>
      </c>
      <c r="E71" s="2">
        <v>0.56342592592592589</v>
      </c>
      <c r="F71" s="2">
        <f t="shared" si="11"/>
        <v>7.6620370370370505E-3</v>
      </c>
      <c r="G71">
        <f t="shared" si="12"/>
        <v>0</v>
      </c>
      <c r="H71">
        <f t="shared" si="13"/>
        <v>11</v>
      </c>
      <c r="I71">
        <f t="shared" si="14"/>
        <v>2</v>
      </c>
      <c r="J71">
        <f t="shared" si="15"/>
        <v>662</v>
      </c>
      <c r="K71">
        <f t="shared" si="16"/>
        <v>12</v>
      </c>
      <c r="L71">
        <f t="shared" si="17"/>
        <v>22887</v>
      </c>
      <c r="M71">
        <f t="shared" si="18"/>
        <v>11252</v>
      </c>
      <c r="N71">
        <f t="shared" si="19"/>
        <v>34139</v>
      </c>
      <c r="O71">
        <f>IF(B71="zagraniczny",K71+O70,O70)</f>
        <v>28</v>
      </c>
    </row>
    <row r="72" spans="1:15" x14ac:dyDescent="0.25">
      <c r="A72">
        <v>73350537</v>
      </c>
      <c r="B72" t="str">
        <f t="shared" si="10"/>
        <v>komorkowy</v>
      </c>
      <c r="C72" s="1">
        <v>42919</v>
      </c>
      <c r="D72" s="2">
        <v>0.55722222222222217</v>
      </c>
      <c r="E72" s="2">
        <v>0.55787037037037035</v>
      </c>
      <c r="F72" s="2">
        <f t="shared" si="11"/>
        <v>6.4814814814817545E-4</v>
      </c>
      <c r="G72">
        <f t="shared" si="12"/>
        <v>0</v>
      </c>
      <c r="H72">
        <f t="shared" si="13"/>
        <v>0</v>
      </c>
      <c r="I72">
        <f t="shared" si="14"/>
        <v>56</v>
      </c>
      <c r="J72">
        <f t="shared" si="15"/>
        <v>56</v>
      </c>
      <c r="K72">
        <f t="shared" si="16"/>
        <v>1</v>
      </c>
      <c r="L72">
        <f t="shared" si="17"/>
        <v>22887</v>
      </c>
      <c r="M72">
        <f t="shared" si="18"/>
        <v>11308</v>
      </c>
      <c r="N72">
        <f t="shared" si="19"/>
        <v>34195</v>
      </c>
      <c r="O72">
        <f>IF(B72="zagraniczny",K72+O71,O71)</f>
        <v>28</v>
      </c>
    </row>
    <row r="73" spans="1:15" x14ac:dyDescent="0.25">
      <c r="A73">
        <v>83707586</v>
      </c>
      <c r="B73" t="str">
        <f t="shared" si="10"/>
        <v>komorkowy</v>
      </c>
      <c r="C73" s="1">
        <v>42919</v>
      </c>
      <c r="D73" s="2">
        <v>0.55803240740740745</v>
      </c>
      <c r="E73" s="2">
        <v>0.56174768518518514</v>
      </c>
      <c r="F73" s="2">
        <f t="shared" si="11"/>
        <v>3.7152777777776924E-3</v>
      </c>
      <c r="G73">
        <f t="shared" si="12"/>
        <v>0</v>
      </c>
      <c r="H73">
        <f t="shared" si="13"/>
        <v>5</v>
      </c>
      <c r="I73">
        <f t="shared" si="14"/>
        <v>21</v>
      </c>
      <c r="J73">
        <f t="shared" si="15"/>
        <v>321</v>
      </c>
      <c r="K73">
        <f t="shared" si="16"/>
        <v>6</v>
      </c>
      <c r="L73">
        <f t="shared" si="17"/>
        <v>22887</v>
      </c>
      <c r="M73">
        <f t="shared" si="18"/>
        <v>11629</v>
      </c>
      <c r="N73">
        <f t="shared" si="19"/>
        <v>34516</v>
      </c>
      <c r="O73">
        <f>IF(B73="zagraniczny",K73+O72,O72)</f>
        <v>28</v>
      </c>
    </row>
    <row r="74" spans="1:15" x14ac:dyDescent="0.25">
      <c r="A74">
        <v>5107477025</v>
      </c>
      <c r="B74" t="str">
        <f t="shared" si="10"/>
        <v>zagraniczny</v>
      </c>
      <c r="C74" s="1">
        <v>42919</v>
      </c>
      <c r="D74" s="2">
        <v>0.55888888888888888</v>
      </c>
      <c r="E74" s="2">
        <v>0.56745370370370374</v>
      </c>
      <c r="F74" s="2">
        <f t="shared" si="11"/>
        <v>8.5648148148148584E-3</v>
      </c>
      <c r="G74">
        <f t="shared" si="12"/>
        <v>0</v>
      </c>
      <c r="H74">
        <f t="shared" si="13"/>
        <v>12</v>
      </c>
      <c r="I74">
        <f t="shared" si="14"/>
        <v>20</v>
      </c>
      <c r="J74">
        <f t="shared" si="15"/>
        <v>740</v>
      </c>
      <c r="K74">
        <f t="shared" si="16"/>
        <v>13</v>
      </c>
      <c r="L74">
        <f t="shared" si="17"/>
        <v>22887</v>
      </c>
      <c r="M74">
        <f t="shared" si="18"/>
        <v>11629</v>
      </c>
      <c r="N74">
        <f t="shared" si="19"/>
        <v>34516</v>
      </c>
      <c r="O74">
        <f>IF(B74="zagraniczny",K74+O73,O73)</f>
        <v>41</v>
      </c>
    </row>
    <row r="75" spans="1:15" x14ac:dyDescent="0.25">
      <c r="A75">
        <v>1480206</v>
      </c>
      <c r="B75" t="str">
        <f t="shared" si="10"/>
        <v>stacjonarny</v>
      </c>
      <c r="C75" s="1">
        <v>42919</v>
      </c>
      <c r="D75" s="2">
        <v>0.5645486111111111</v>
      </c>
      <c r="E75" s="2">
        <v>0.56458333333333333</v>
      </c>
      <c r="F75" s="2">
        <f t="shared" si="11"/>
        <v>3.472222222222765E-5</v>
      </c>
      <c r="G75">
        <f t="shared" si="12"/>
        <v>0</v>
      </c>
      <c r="H75">
        <f t="shared" si="13"/>
        <v>0</v>
      </c>
      <c r="I75">
        <f t="shared" si="14"/>
        <v>3</v>
      </c>
      <c r="J75">
        <f t="shared" si="15"/>
        <v>3</v>
      </c>
      <c r="K75">
        <f t="shared" si="16"/>
        <v>1</v>
      </c>
      <c r="L75">
        <f t="shared" si="17"/>
        <v>22890</v>
      </c>
      <c r="M75">
        <f t="shared" si="18"/>
        <v>11629</v>
      </c>
      <c r="N75">
        <f t="shared" si="19"/>
        <v>34519</v>
      </c>
      <c r="O75">
        <f>IF(B75="zagraniczny",K75+O74,O74)</f>
        <v>41</v>
      </c>
    </row>
    <row r="76" spans="1:15" x14ac:dyDescent="0.25">
      <c r="A76">
        <v>3095218</v>
      </c>
      <c r="B76" t="str">
        <f t="shared" si="10"/>
        <v>stacjonarny</v>
      </c>
      <c r="C76" s="1">
        <v>42919</v>
      </c>
      <c r="D76" s="2">
        <v>0.56555555555555559</v>
      </c>
      <c r="E76" s="2">
        <v>0.56557870370370367</v>
      </c>
      <c r="F76" s="2">
        <f t="shared" si="11"/>
        <v>2.3148148148077752E-5</v>
      </c>
      <c r="G76">
        <f t="shared" si="12"/>
        <v>0</v>
      </c>
      <c r="H76">
        <f t="shared" si="13"/>
        <v>0</v>
      </c>
      <c r="I76">
        <f t="shared" si="14"/>
        <v>2</v>
      </c>
      <c r="J76">
        <f t="shared" si="15"/>
        <v>2</v>
      </c>
      <c r="K76">
        <f t="shared" si="16"/>
        <v>1</v>
      </c>
      <c r="L76">
        <f t="shared" si="17"/>
        <v>22892</v>
      </c>
      <c r="M76">
        <f t="shared" si="18"/>
        <v>11629</v>
      </c>
      <c r="N76">
        <f t="shared" si="19"/>
        <v>34521</v>
      </c>
      <c r="O76">
        <f>IF(B76="zagraniczny",K76+O75,O75)</f>
        <v>41</v>
      </c>
    </row>
    <row r="77" spans="1:15" x14ac:dyDescent="0.25">
      <c r="A77">
        <v>2028923</v>
      </c>
      <c r="B77" t="str">
        <f t="shared" si="10"/>
        <v>stacjonarny</v>
      </c>
      <c r="C77" s="1">
        <v>42919</v>
      </c>
      <c r="D77" s="2">
        <v>0.56800925925925927</v>
      </c>
      <c r="E77" s="2">
        <v>0.57093749999999999</v>
      </c>
      <c r="F77" s="2">
        <f t="shared" si="11"/>
        <v>2.9282407407407174E-3</v>
      </c>
      <c r="G77">
        <f t="shared" si="12"/>
        <v>0</v>
      </c>
      <c r="H77">
        <f t="shared" si="13"/>
        <v>4</v>
      </c>
      <c r="I77">
        <f t="shared" si="14"/>
        <v>13</v>
      </c>
      <c r="J77">
        <f t="shared" si="15"/>
        <v>253</v>
      </c>
      <c r="K77">
        <f t="shared" si="16"/>
        <v>5</v>
      </c>
      <c r="L77">
        <f t="shared" si="17"/>
        <v>23145</v>
      </c>
      <c r="M77">
        <f t="shared" si="18"/>
        <v>11629</v>
      </c>
      <c r="N77">
        <f t="shared" si="19"/>
        <v>34774</v>
      </c>
      <c r="O77">
        <f>IF(B77="zagraniczny",K77+O76,O76)</f>
        <v>41</v>
      </c>
    </row>
    <row r="78" spans="1:15" x14ac:dyDescent="0.25">
      <c r="A78">
        <v>81880891</v>
      </c>
      <c r="B78" t="str">
        <f t="shared" si="10"/>
        <v>komorkowy</v>
      </c>
      <c r="C78" s="1">
        <v>42919</v>
      </c>
      <c r="D78" s="2">
        <v>0.57141203703703702</v>
      </c>
      <c r="E78" s="2">
        <v>0.57547453703703699</v>
      </c>
      <c r="F78" s="2">
        <f t="shared" si="11"/>
        <v>4.0624999999999689E-3</v>
      </c>
      <c r="G78">
        <f t="shared" si="12"/>
        <v>0</v>
      </c>
      <c r="H78">
        <f t="shared" si="13"/>
        <v>5</v>
      </c>
      <c r="I78">
        <f t="shared" si="14"/>
        <v>51</v>
      </c>
      <c r="J78">
        <f t="shared" si="15"/>
        <v>351</v>
      </c>
      <c r="K78">
        <f t="shared" si="16"/>
        <v>6</v>
      </c>
      <c r="L78">
        <f t="shared" si="17"/>
        <v>23145</v>
      </c>
      <c r="M78">
        <f t="shared" si="18"/>
        <v>11980</v>
      </c>
      <c r="N78">
        <f t="shared" si="19"/>
        <v>35125</v>
      </c>
      <c r="O78">
        <f>IF(B78="zagraniczny",K78+O77,O77)</f>
        <v>41</v>
      </c>
    </row>
    <row r="79" spans="1:15" x14ac:dyDescent="0.25">
      <c r="A79">
        <v>4274149</v>
      </c>
      <c r="B79" t="str">
        <f t="shared" si="10"/>
        <v>stacjonarny</v>
      </c>
      <c r="C79" s="1">
        <v>42919</v>
      </c>
      <c r="D79" s="2">
        <v>0.5717592592592593</v>
      </c>
      <c r="E79" s="2">
        <v>0.58065972222222217</v>
      </c>
      <c r="F79" s="2">
        <f t="shared" si="11"/>
        <v>8.900462962962874E-3</v>
      </c>
      <c r="G79">
        <f t="shared" si="12"/>
        <v>0</v>
      </c>
      <c r="H79">
        <f t="shared" si="13"/>
        <v>12</v>
      </c>
      <c r="I79">
        <f t="shared" si="14"/>
        <v>49</v>
      </c>
      <c r="J79">
        <f t="shared" si="15"/>
        <v>769</v>
      </c>
      <c r="K79">
        <f t="shared" si="16"/>
        <v>13</v>
      </c>
      <c r="L79">
        <f t="shared" si="17"/>
        <v>23914</v>
      </c>
      <c r="M79">
        <f t="shared" si="18"/>
        <v>11980</v>
      </c>
      <c r="N79">
        <f t="shared" si="19"/>
        <v>35894</v>
      </c>
      <c r="O79">
        <f>IF(B79="zagraniczny",K79+O78,O78)</f>
        <v>41</v>
      </c>
    </row>
    <row r="80" spans="1:15" x14ac:dyDescent="0.25">
      <c r="A80">
        <v>3505978</v>
      </c>
      <c r="B80" t="str">
        <f t="shared" si="10"/>
        <v>stacjonarny</v>
      </c>
      <c r="C80" s="1">
        <v>42919</v>
      </c>
      <c r="D80" s="2">
        <v>0.57642361111111107</v>
      </c>
      <c r="E80" s="2">
        <v>0.5799305555555555</v>
      </c>
      <c r="F80" s="2">
        <f t="shared" si="11"/>
        <v>3.5069444444444375E-3</v>
      </c>
      <c r="G80">
        <f t="shared" si="12"/>
        <v>0</v>
      </c>
      <c r="H80">
        <f t="shared" si="13"/>
        <v>5</v>
      </c>
      <c r="I80">
        <f t="shared" si="14"/>
        <v>3</v>
      </c>
      <c r="J80">
        <f t="shared" si="15"/>
        <v>303</v>
      </c>
      <c r="K80">
        <f t="shared" si="16"/>
        <v>6</v>
      </c>
      <c r="L80">
        <f t="shared" si="17"/>
        <v>24217</v>
      </c>
      <c r="M80">
        <f t="shared" si="18"/>
        <v>11980</v>
      </c>
      <c r="N80">
        <f t="shared" si="19"/>
        <v>36197</v>
      </c>
      <c r="O80">
        <f>IF(B80="zagraniczny",K80+O79,O79)</f>
        <v>41</v>
      </c>
    </row>
    <row r="81" spans="1:15" x14ac:dyDescent="0.25">
      <c r="A81">
        <v>8504601</v>
      </c>
      <c r="B81" t="str">
        <f t="shared" si="10"/>
        <v>stacjonarny</v>
      </c>
      <c r="C81" s="1">
        <v>42919</v>
      </c>
      <c r="D81" s="2">
        <v>0.57958333333333334</v>
      </c>
      <c r="E81" s="2">
        <v>0.58056712962962964</v>
      </c>
      <c r="F81" s="2">
        <f t="shared" si="11"/>
        <v>9.8379629629630205E-4</v>
      </c>
      <c r="G81">
        <f t="shared" si="12"/>
        <v>0</v>
      </c>
      <c r="H81">
        <f t="shared" si="13"/>
        <v>1</v>
      </c>
      <c r="I81">
        <f t="shared" si="14"/>
        <v>25</v>
      </c>
      <c r="J81">
        <f t="shared" si="15"/>
        <v>85</v>
      </c>
      <c r="K81">
        <f t="shared" si="16"/>
        <v>2</v>
      </c>
      <c r="L81">
        <f t="shared" si="17"/>
        <v>24302</v>
      </c>
      <c r="M81">
        <f t="shared" si="18"/>
        <v>11980</v>
      </c>
      <c r="N81">
        <f t="shared" si="19"/>
        <v>36282</v>
      </c>
      <c r="O81">
        <f>IF(B81="zagraniczny",K81+O80,O80)</f>
        <v>41</v>
      </c>
    </row>
    <row r="82" spans="1:15" x14ac:dyDescent="0.25">
      <c r="A82">
        <v>8214927</v>
      </c>
      <c r="B82" t="str">
        <f t="shared" si="10"/>
        <v>stacjonarny</v>
      </c>
      <c r="C82" s="1">
        <v>42919</v>
      </c>
      <c r="D82" s="2">
        <v>0.5819212962962963</v>
      </c>
      <c r="E82" s="2">
        <v>0.59106481481481477</v>
      </c>
      <c r="F82" s="2">
        <f t="shared" si="11"/>
        <v>9.1435185185184675E-3</v>
      </c>
      <c r="G82">
        <f t="shared" si="12"/>
        <v>0</v>
      </c>
      <c r="H82">
        <f t="shared" si="13"/>
        <v>13</v>
      </c>
      <c r="I82">
        <f t="shared" si="14"/>
        <v>10</v>
      </c>
      <c r="J82">
        <f t="shared" si="15"/>
        <v>790</v>
      </c>
      <c r="K82">
        <f t="shared" si="16"/>
        <v>14</v>
      </c>
      <c r="L82">
        <f t="shared" si="17"/>
        <v>25092</v>
      </c>
      <c r="M82">
        <f t="shared" si="18"/>
        <v>11980</v>
      </c>
      <c r="N82">
        <f t="shared" si="19"/>
        <v>37072</v>
      </c>
      <c r="O82">
        <f>IF(B82="zagraniczny",K82+O81,O81)</f>
        <v>41</v>
      </c>
    </row>
    <row r="83" spans="1:15" x14ac:dyDescent="0.25">
      <c r="A83">
        <v>5913547</v>
      </c>
      <c r="B83" t="str">
        <f t="shared" si="10"/>
        <v>stacjonarny</v>
      </c>
      <c r="C83" s="1">
        <v>42919</v>
      </c>
      <c r="D83" s="2">
        <v>0.58414351851851853</v>
      </c>
      <c r="E83" s="2">
        <v>0.5861574074074074</v>
      </c>
      <c r="F83" s="2">
        <f t="shared" si="11"/>
        <v>2.0138888888888706E-3</v>
      </c>
      <c r="G83">
        <f t="shared" si="12"/>
        <v>0</v>
      </c>
      <c r="H83">
        <f t="shared" si="13"/>
        <v>2</v>
      </c>
      <c r="I83">
        <f t="shared" si="14"/>
        <v>54</v>
      </c>
      <c r="J83">
        <f t="shared" si="15"/>
        <v>174</v>
      </c>
      <c r="K83">
        <f t="shared" si="16"/>
        <v>3</v>
      </c>
      <c r="L83">
        <f t="shared" si="17"/>
        <v>25266</v>
      </c>
      <c r="M83">
        <f t="shared" si="18"/>
        <v>11980</v>
      </c>
      <c r="N83">
        <f t="shared" si="19"/>
        <v>37246</v>
      </c>
      <c r="O83">
        <f>IF(B83="zagraniczny",K83+O82,O82)</f>
        <v>41</v>
      </c>
    </row>
    <row r="84" spans="1:15" x14ac:dyDescent="0.25">
      <c r="A84">
        <v>3505978</v>
      </c>
      <c r="B84" t="str">
        <f t="shared" si="10"/>
        <v>stacjonarny</v>
      </c>
      <c r="C84" s="1">
        <v>42919</v>
      </c>
      <c r="D84" s="2">
        <v>0.58699074074074076</v>
      </c>
      <c r="E84" s="2">
        <v>0.59060185185185188</v>
      </c>
      <c r="F84" s="2">
        <f t="shared" si="11"/>
        <v>3.6111111111111205E-3</v>
      </c>
      <c r="G84">
        <f t="shared" si="12"/>
        <v>0</v>
      </c>
      <c r="H84">
        <f t="shared" si="13"/>
        <v>5</v>
      </c>
      <c r="I84">
        <f t="shared" si="14"/>
        <v>12</v>
      </c>
      <c r="J84">
        <f t="shared" si="15"/>
        <v>312</v>
      </c>
      <c r="K84">
        <f t="shared" si="16"/>
        <v>6</v>
      </c>
      <c r="L84">
        <f t="shared" si="17"/>
        <v>25578</v>
      </c>
      <c r="M84">
        <f t="shared" si="18"/>
        <v>11980</v>
      </c>
      <c r="N84">
        <f t="shared" si="19"/>
        <v>37558</v>
      </c>
      <c r="O84">
        <f>IF(B84="zagraniczny",K84+O83,O83)</f>
        <v>41</v>
      </c>
    </row>
    <row r="85" spans="1:15" x14ac:dyDescent="0.25">
      <c r="A85">
        <v>14783929</v>
      </c>
      <c r="B85" t="str">
        <f t="shared" si="10"/>
        <v>komorkowy</v>
      </c>
      <c r="C85" s="1">
        <v>42919</v>
      </c>
      <c r="D85" s="2">
        <v>0.5902546296296296</v>
      </c>
      <c r="E85" s="2">
        <v>0.59516203703703707</v>
      </c>
      <c r="F85" s="2">
        <f t="shared" si="11"/>
        <v>4.9074074074074714E-3</v>
      </c>
      <c r="G85">
        <f t="shared" si="12"/>
        <v>0</v>
      </c>
      <c r="H85">
        <f t="shared" si="13"/>
        <v>7</v>
      </c>
      <c r="I85">
        <f t="shared" si="14"/>
        <v>4</v>
      </c>
      <c r="J85">
        <f t="shared" si="15"/>
        <v>424</v>
      </c>
      <c r="K85">
        <f t="shared" si="16"/>
        <v>8</v>
      </c>
      <c r="L85">
        <f t="shared" si="17"/>
        <v>25578</v>
      </c>
      <c r="M85">
        <f t="shared" si="18"/>
        <v>12404</v>
      </c>
      <c r="N85">
        <f t="shared" si="19"/>
        <v>37982</v>
      </c>
      <c r="O85">
        <f>IF(B85="zagraniczny",K85+O84,O84)</f>
        <v>41</v>
      </c>
    </row>
    <row r="86" spans="1:15" x14ac:dyDescent="0.25">
      <c r="A86">
        <v>2915745</v>
      </c>
      <c r="B86" t="str">
        <f t="shared" si="10"/>
        <v>stacjonarny</v>
      </c>
      <c r="C86" s="1">
        <v>42919</v>
      </c>
      <c r="D86" s="2">
        <v>0.59324074074074074</v>
      </c>
      <c r="E86" s="2">
        <v>0.6029282407407407</v>
      </c>
      <c r="F86" s="2">
        <f t="shared" si="11"/>
        <v>9.68749999999996E-3</v>
      </c>
      <c r="G86">
        <f t="shared" si="12"/>
        <v>0</v>
      </c>
      <c r="H86">
        <f t="shared" si="13"/>
        <v>13</v>
      </c>
      <c r="I86">
        <f t="shared" si="14"/>
        <v>57</v>
      </c>
      <c r="J86">
        <f t="shared" si="15"/>
        <v>837</v>
      </c>
      <c r="K86">
        <f t="shared" si="16"/>
        <v>14</v>
      </c>
      <c r="L86">
        <f t="shared" si="17"/>
        <v>26415</v>
      </c>
      <c r="M86">
        <f t="shared" si="18"/>
        <v>12404</v>
      </c>
      <c r="N86">
        <f t="shared" si="19"/>
        <v>38819</v>
      </c>
      <c r="O86">
        <f>IF(B86="zagraniczny",K86+O85,O85)</f>
        <v>41</v>
      </c>
    </row>
    <row r="87" spans="1:15" x14ac:dyDescent="0.25">
      <c r="A87">
        <v>1100142</v>
      </c>
      <c r="B87" t="str">
        <f t="shared" si="10"/>
        <v>stacjonarny</v>
      </c>
      <c r="C87" s="1">
        <v>42919</v>
      </c>
      <c r="D87" s="2">
        <v>0.59710648148148149</v>
      </c>
      <c r="E87" s="2">
        <v>0.6003356481481481</v>
      </c>
      <c r="F87" s="2">
        <f t="shared" si="11"/>
        <v>3.2291666666666163E-3</v>
      </c>
      <c r="G87">
        <f t="shared" si="12"/>
        <v>0</v>
      </c>
      <c r="H87">
        <f t="shared" si="13"/>
        <v>4</v>
      </c>
      <c r="I87">
        <f t="shared" si="14"/>
        <v>39</v>
      </c>
      <c r="J87">
        <f t="shared" si="15"/>
        <v>279</v>
      </c>
      <c r="K87">
        <f t="shared" si="16"/>
        <v>5</v>
      </c>
      <c r="L87">
        <f t="shared" si="17"/>
        <v>26694</v>
      </c>
      <c r="M87">
        <f t="shared" si="18"/>
        <v>12404</v>
      </c>
      <c r="N87">
        <f t="shared" si="19"/>
        <v>39098</v>
      </c>
      <c r="O87">
        <f>IF(B87="zagraniczny",K87+O86,O86)</f>
        <v>41</v>
      </c>
    </row>
    <row r="88" spans="1:15" x14ac:dyDescent="0.25">
      <c r="A88">
        <v>7795911</v>
      </c>
      <c r="B88" t="str">
        <f t="shared" si="10"/>
        <v>stacjonarny</v>
      </c>
      <c r="C88" s="1">
        <v>42919</v>
      </c>
      <c r="D88" s="2">
        <v>0.60196759259259258</v>
      </c>
      <c r="E88" s="2">
        <v>0.61259259259259258</v>
      </c>
      <c r="F88" s="2">
        <f t="shared" si="11"/>
        <v>1.0624999999999996E-2</v>
      </c>
      <c r="G88">
        <f t="shared" si="12"/>
        <v>0</v>
      </c>
      <c r="H88">
        <f t="shared" si="13"/>
        <v>15</v>
      </c>
      <c r="I88">
        <f t="shared" si="14"/>
        <v>18</v>
      </c>
      <c r="J88">
        <f t="shared" si="15"/>
        <v>918</v>
      </c>
      <c r="K88">
        <f t="shared" si="16"/>
        <v>16</v>
      </c>
      <c r="L88">
        <f t="shared" si="17"/>
        <v>27612</v>
      </c>
      <c r="M88">
        <f t="shared" si="18"/>
        <v>12404</v>
      </c>
      <c r="N88">
        <f t="shared" si="19"/>
        <v>40016</v>
      </c>
      <c r="O88">
        <f>IF(B88="zagraniczny",K88+O87,O87)</f>
        <v>41</v>
      </c>
    </row>
    <row r="89" spans="1:15" x14ac:dyDescent="0.25">
      <c r="A89">
        <v>1709455</v>
      </c>
      <c r="B89" t="str">
        <f t="shared" si="10"/>
        <v>stacjonarny</v>
      </c>
      <c r="C89" s="1">
        <v>42919</v>
      </c>
      <c r="D89" s="2">
        <v>0.60313657407407406</v>
      </c>
      <c r="E89" s="2">
        <v>0.60765046296296299</v>
      </c>
      <c r="F89" s="2">
        <f t="shared" si="11"/>
        <v>4.5138888888889284E-3</v>
      </c>
      <c r="G89">
        <f t="shared" si="12"/>
        <v>0</v>
      </c>
      <c r="H89">
        <f t="shared" si="13"/>
        <v>6</v>
      </c>
      <c r="I89">
        <f t="shared" si="14"/>
        <v>30</v>
      </c>
      <c r="J89">
        <f t="shared" si="15"/>
        <v>390</v>
      </c>
      <c r="K89">
        <f t="shared" si="16"/>
        <v>7</v>
      </c>
      <c r="L89">
        <f t="shared" si="17"/>
        <v>28002</v>
      </c>
      <c r="M89">
        <f t="shared" si="18"/>
        <v>12404</v>
      </c>
      <c r="N89">
        <f t="shared" si="19"/>
        <v>40406</v>
      </c>
      <c r="O89">
        <f>IF(B89="zagraniczny",K89+O88,O88)</f>
        <v>41</v>
      </c>
    </row>
    <row r="90" spans="1:15" x14ac:dyDescent="0.25">
      <c r="A90">
        <v>54586484</v>
      </c>
      <c r="B90" t="str">
        <f t="shared" si="10"/>
        <v>komorkowy</v>
      </c>
      <c r="C90" s="1">
        <v>42919</v>
      </c>
      <c r="D90" s="2">
        <v>0.60753472222222227</v>
      </c>
      <c r="E90" s="2">
        <v>0.61120370370370369</v>
      </c>
      <c r="F90" s="2">
        <f t="shared" si="11"/>
        <v>3.6689814814814259E-3</v>
      </c>
      <c r="G90">
        <f t="shared" si="12"/>
        <v>0</v>
      </c>
      <c r="H90">
        <f t="shared" si="13"/>
        <v>5</v>
      </c>
      <c r="I90">
        <f t="shared" si="14"/>
        <v>17</v>
      </c>
      <c r="J90">
        <f t="shared" si="15"/>
        <v>317</v>
      </c>
      <c r="K90">
        <f t="shared" si="16"/>
        <v>6</v>
      </c>
      <c r="L90">
        <f t="shared" si="17"/>
        <v>28002</v>
      </c>
      <c r="M90">
        <f t="shared" si="18"/>
        <v>12721</v>
      </c>
      <c r="N90">
        <f t="shared" si="19"/>
        <v>40723</v>
      </c>
      <c r="O90">
        <f>IF(B90="zagraniczny",K90+O89,O89)</f>
        <v>41</v>
      </c>
    </row>
    <row r="91" spans="1:15" x14ac:dyDescent="0.25">
      <c r="A91">
        <v>6674505</v>
      </c>
      <c r="B91" t="str">
        <f t="shared" si="10"/>
        <v>stacjonarny</v>
      </c>
      <c r="C91" s="1">
        <v>42919</v>
      </c>
      <c r="D91" s="2">
        <v>0.61243055555555559</v>
      </c>
      <c r="E91" s="2">
        <v>0.62267361111111108</v>
      </c>
      <c r="F91" s="2">
        <f t="shared" si="11"/>
        <v>1.0243055555555491E-2</v>
      </c>
      <c r="G91">
        <f t="shared" si="12"/>
        <v>0</v>
      </c>
      <c r="H91">
        <f t="shared" si="13"/>
        <v>14</v>
      </c>
      <c r="I91">
        <f t="shared" si="14"/>
        <v>45</v>
      </c>
      <c r="J91">
        <f t="shared" si="15"/>
        <v>885</v>
      </c>
      <c r="K91">
        <f t="shared" si="16"/>
        <v>15</v>
      </c>
      <c r="L91">
        <f t="shared" si="17"/>
        <v>28887</v>
      </c>
      <c r="M91">
        <f t="shared" si="18"/>
        <v>12721</v>
      </c>
      <c r="N91">
        <f t="shared" si="19"/>
        <v>41608</v>
      </c>
      <c r="O91">
        <f>IF(B91="zagraniczny",K91+O90,O90)</f>
        <v>41</v>
      </c>
    </row>
    <row r="92" spans="1:15" x14ac:dyDescent="0.25">
      <c r="A92">
        <v>6920814</v>
      </c>
      <c r="B92" t="str">
        <f t="shared" si="10"/>
        <v>stacjonarny</v>
      </c>
      <c r="C92" s="1">
        <v>42919</v>
      </c>
      <c r="D92" s="2">
        <v>0.6141550925925926</v>
      </c>
      <c r="E92" s="2">
        <v>0.61440972222222223</v>
      </c>
      <c r="F92" s="2">
        <f t="shared" si="11"/>
        <v>2.5462962962963243E-4</v>
      </c>
      <c r="G92">
        <f t="shared" si="12"/>
        <v>0</v>
      </c>
      <c r="H92">
        <f t="shared" si="13"/>
        <v>0</v>
      </c>
      <c r="I92">
        <f t="shared" si="14"/>
        <v>22</v>
      </c>
      <c r="J92">
        <f t="shared" si="15"/>
        <v>22</v>
      </c>
      <c r="K92">
        <f t="shared" si="16"/>
        <v>1</v>
      </c>
      <c r="L92">
        <f t="shared" si="17"/>
        <v>28909</v>
      </c>
      <c r="M92">
        <f t="shared" si="18"/>
        <v>12721</v>
      </c>
      <c r="N92">
        <f t="shared" si="19"/>
        <v>41630</v>
      </c>
      <c r="O92">
        <f>IF(B92="zagraniczny",K92+O91,O91)</f>
        <v>41</v>
      </c>
    </row>
    <row r="93" spans="1:15" x14ac:dyDescent="0.25">
      <c r="A93">
        <v>6161675</v>
      </c>
      <c r="B93" t="str">
        <f t="shared" si="10"/>
        <v>stacjonarny</v>
      </c>
      <c r="C93" s="1">
        <v>42919</v>
      </c>
      <c r="D93" s="2">
        <v>0.61449074074074073</v>
      </c>
      <c r="E93" s="2">
        <v>0.62415509259259261</v>
      </c>
      <c r="F93" s="2">
        <f t="shared" si="11"/>
        <v>9.6643518518518823E-3</v>
      </c>
      <c r="G93">
        <f t="shared" si="12"/>
        <v>0</v>
      </c>
      <c r="H93">
        <f t="shared" si="13"/>
        <v>13</v>
      </c>
      <c r="I93">
        <f t="shared" si="14"/>
        <v>55</v>
      </c>
      <c r="J93">
        <f t="shared" si="15"/>
        <v>835</v>
      </c>
      <c r="K93">
        <f t="shared" si="16"/>
        <v>14</v>
      </c>
      <c r="L93">
        <f t="shared" si="17"/>
        <v>29744</v>
      </c>
      <c r="M93">
        <f t="shared" si="18"/>
        <v>12721</v>
      </c>
      <c r="N93">
        <f t="shared" si="19"/>
        <v>42465</v>
      </c>
      <c r="O93">
        <f>IF(B93="zagraniczny",K93+O92,O92)</f>
        <v>41</v>
      </c>
    </row>
    <row r="94" spans="1:15" x14ac:dyDescent="0.25">
      <c r="A94">
        <v>8498076</v>
      </c>
      <c r="B94" t="str">
        <f t="shared" si="10"/>
        <v>stacjonarny</v>
      </c>
      <c r="C94" s="1">
        <v>42919</v>
      </c>
      <c r="D94" s="2">
        <v>0.61523148148148143</v>
      </c>
      <c r="E94" s="2">
        <v>0.62223379629629627</v>
      </c>
      <c r="F94" s="2">
        <f t="shared" si="11"/>
        <v>7.0023148148148362E-3</v>
      </c>
      <c r="G94">
        <f t="shared" si="12"/>
        <v>0</v>
      </c>
      <c r="H94">
        <f t="shared" si="13"/>
        <v>10</v>
      </c>
      <c r="I94">
        <f t="shared" si="14"/>
        <v>5</v>
      </c>
      <c r="J94">
        <f t="shared" si="15"/>
        <v>605</v>
      </c>
      <c r="K94">
        <f t="shared" si="16"/>
        <v>11</v>
      </c>
      <c r="L94">
        <f t="shared" si="17"/>
        <v>30349</v>
      </c>
      <c r="M94">
        <f t="shared" si="18"/>
        <v>12721</v>
      </c>
      <c r="N94">
        <f t="shared" si="19"/>
        <v>43070</v>
      </c>
      <c r="O94">
        <f>IF(B94="zagraniczny",K94+O93,O93)</f>
        <v>41</v>
      </c>
    </row>
    <row r="95" spans="1:15" x14ac:dyDescent="0.25">
      <c r="A95">
        <v>4174785</v>
      </c>
      <c r="B95" t="str">
        <f t="shared" si="10"/>
        <v>stacjonarny</v>
      </c>
      <c r="C95" s="1">
        <v>42919</v>
      </c>
      <c r="D95" s="2">
        <v>0.61624999999999996</v>
      </c>
      <c r="E95" s="2">
        <v>0.62702546296296291</v>
      </c>
      <c r="F95" s="2">
        <f t="shared" si="11"/>
        <v>1.0775462962962945E-2</v>
      </c>
      <c r="G95">
        <f t="shared" si="12"/>
        <v>0</v>
      </c>
      <c r="H95">
        <f t="shared" si="13"/>
        <v>15</v>
      </c>
      <c r="I95">
        <f t="shared" si="14"/>
        <v>31</v>
      </c>
      <c r="J95">
        <f t="shared" si="15"/>
        <v>931</v>
      </c>
      <c r="K95">
        <f t="shared" si="16"/>
        <v>16</v>
      </c>
      <c r="L95">
        <f t="shared" si="17"/>
        <v>31280</v>
      </c>
      <c r="M95">
        <f t="shared" si="18"/>
        <v>12721</v>
      </c>
      <c r="N95">
        <f t="shared" si="19"/>
        <v>44001</v>
      </c>
      <c r="O95">
        <f>IF(B95="zagraniczny",K95+O94,O94)</f>
        <v>41</v>
      </c>
    </row>
    <row r="96" spans="1:15" x14ac:dyDescent="0.25">
      <c r="A96">
        <v>3776937</v>
      </c>
      <c r="B96" t="str">
        <f t="shared" si="10"/>
        <v>stacjonarny</v>
      </c>
      <c r="C96" s="1">
        <v>42919</v>
      </c>
      <c r="D96" s="2">
        <v>0.61767361111111108</v>
      </c>
      <c r="E96" s="2">
        <v>0.6234143518518519</v>
      </c>
      <c r="F96" s="2">
        <f t="shared" si="11"/>
        <v>5.740740740740824E-3</v>
      </c>
      <c r="G96">
        <f t="shared" si="12"/>
        <v>0</v>
      </c>
      <c r="H96">
        <f t="shared" si="13"/>
        <v>8</v>
      </c>
      <c r="I96">
        <f t="shared" si="14"/>
        <v>16</v>
      </c>
      <c r="J96">
        <f t="shared" si="15"/>
        <v>496</v>
      </c>
      <c r="K96">
        <f t="shared" si="16"/>
        <v>9</v>
      </c>
      <c r="L96">
        <f t="shared" si="17"/>
        <v>31776</v>
      </c>
      <c r="M96">
        <f t="shared" si="18"/>
        <v>12721</v>
      </c>
      <c r="N96">
        <f t="shared" si="19"/>
        <v>44497</v>
      </c>
      <c r="O96">
        <f>IF(B96="zagraniczny",K96+O95,O95)</f>
        <v>41</v>
      </c>
    </row>
    <row r="97" spans="1:16" x14ac:dyDescent="0.25">
      <c r="A97">
        <v>2636055</v>
      </c>
      <c r="B97" t="str">
        <f t="shared" si="10"/>
        <v>stacjonarny</v>
      </c>
      <c r="C97" s="1">
        <v>42919</v>
      </c>
      <c r="D97" s="2">
        <v>0.62174768518518519</v>
      </c>
      <c r="E97" s="2">
        <v>0.62206018518518513</v>
      </c>
      <c r="F97" s="2">
        <f t="shared" si="11"/>
        <v>3.1249999999993783E-4</v>
      </c>
      <c r="G97">
        <f t="shared" si="12"/>
        <v>0</v>
      </c>
      <c r="H97">
        <f t="shared" si="13"/>
        <v>0</v>
      </c>
      <c r="I97">
        <f t="shared" si="14"/>
        <v>27</v>
      </c>
      <c r="J97">
        <f t="shared" si="15"/>
        <v>27</v>
      </c>
      <c r="K97">
        <f t="shared" si="16"/>
        <v>1</v>
      </c>
      <c r="L97">
        <f t="shared" si="17"/>
        <v>31803</v>
      </c>
      <c r="M97">
        <f t="shared" si="18"/>
        <v>12721</v>
      </c>
      <c r="N97">
        <f t="shared" si="19"/>
        <v>44524</v>
      </c>
      <c r="O97">
        <f>IF(B97="zagraniczny",K97+O96,O96)</f>
        <v>41</v>
      </c>
    </row>
    <row r="98" spans="1:16" x14ac:dyDescent="0.25">
      <c r="A98">
        <v>4555937</v>
      </c>
      <c r="B98" t="str">
        <f t="shared" si="10"/>
        <v>stacjonarny</v>
      </c>
      <c r="C98" s="1">
        <v>42919</v>
      </c>
      <c r="D98" s="2">
        <v>0.62645833333333334</v>
      </c>
      <c r="E98" s="2">
        <v>0.63792824074074073</v>
      </c>
      <c r="F98" s="2">
        <f t="shared" si="11"/>
        <v>1.1469907407407387E-2</v>
      </c>
      <c r="G98">
        <f t="shared" si="12"/>
        <v>0</v>
      </c>
      <c r="H98">
        <f t="shared" si="13"/>
        <v>16</v>
      </c>
      <c r="I98">
        <f t="shared" si="14"/>
        <v>31</v>
      </c>
      <c r="J98">
        <f t="shared" si="15"/>
        <v>991</v>
      </c>
      <c r="K98">
        <f t="shared" si="16"/>
        <v>17</v>
      </c>
      <c r="L98">
        <f t="shared" si="17"/>
        <v>32794</v>
      </c>
      <c r="M98">
        <f t="shared" si="18"/>
        <v>12721</v>
      </c>
      <c r="N98">
        <f t="shared" si="19"/>
        <v>45515</v>
      </c>
      <c r="O98">
        <f>IF(B98="zagraniczny",K98+O97,O97)</f>
        <v>41</v>
      </c>
    </row>
    <row r="99" spans="1:16" x14ac:dyDescent="0.25">
      <c r="A99">
        <v>80306197</v>
      </c>
      <c r="B99" t="str">
        <f t="shared" si="10"/>
        <v>komorkowy</v>
      </c>
      <c r="C99" s="1">
        <v>42920</v>
      </c>
      <c r="D99" s="2">
        <v>0.33644675925925926</v>
      </c>
      <c r="E99" s="2">
        <v>0.33884259259259258</v>
      </c>
      <c r="F99" s="2">
        <f t="shared" si="11"/>
        <v>2.3958333333333193E-3</v>
      </c>
      <c r="G99">
        <f t="shared" si="12"/>
        <v>0</v>
      </c>
      <c r="H99">
        <f t="shared" si="13"/>
        <v>3</v>
      </c>
      <c r="I99">
        <f t="shared" si="14"/>
        <v>27</v>
      </c>
      <c r="J99">
        <f t="shared" si="15"/>
        <v>207</v>
      </c>
      <c r="K99">
        <f t="shared" si="16"/>
        <v>4</v>
      </c>
      <c r="L99">
        <f t="shared" si="17"/>
        <v>32794</v>
      </c>
      <c r="M99">
        <f t="shared" si="18"/>
        <v>12928</v>
      </c>
      <c r="N99">
        <f t="shared" si="19"/>
        <v>45722</v>
      </c>
      <c r="O99">
        <f>IF(B99="zagraniczny",K99+O98,O98)</f>
        <v>41</v>
      </c>
    </row>
    <row r="100" spans="1:16" x14ac:dyDescent="0.25">
      <c r="A100">
        <v>99162491</v>
      </c>
      <c r="B100" t="str">
        <f t="shared" si="10"/>
        <v>komorkowy</v>
      </c>
      <c r="C100" s="1">
        <v>42920</v>
      </c>
      <c r="D100" s="2">
        <v>0.33944444444444444</v>
      </c>
      <c r="E100" s="2">
        <v>0.35085648148148146</v>
      </c>
      <c r="F100" s="2">
        <f t="shared" si="11"/>
        <v>1.1412037037037026E-2</v>
      </c>
      <c r="G100">
        <f t="shared" si="12"/>
        <v>0</v>
      </c>
      <c r="H100">
        <f t="shared" si="13"/>
        <v>16</v>
      </c>
      <c r="I100">
        <f t="shared" si="14"/>
        <v>26</v>
      </c>
      <c r="J100">
        <f t="shared" si="15"/>
        <v>986</v>
      </c>
      <c r="K100">
        <f t="shared" si="16"/>
        <v>17</v>
      </c>
      <c r="L100">
        <f t="shared" si="17"/>
        <v>32794</v>
      </c>
      <c r="M100">
        <f t="shared" si="18"/>
        <v>13914</v>
      </c>
      <c r="N100">
        <f t="shared" si="19"/>
        <v>46708</v>
      </c>
      <c r="O100">
        <f>IF(B100="zagraniczny",K100+O99,O99)</f>
        <v>41</v>
      </c>
    </row>
    <row r="101" spans="1:16" x14ac:dyDescent="0.25">
      <c r="A101">
        <v>2109147679</v>
      </c>
      <c r="B101" t="str">
        <f t="shared" si="10"/>
        <v>zagraniczny</v>
      </c>
      <c r="C101" s="1">
        <v>42920</v>
      </c>
      <c r="D101" s="2">
        <v>0.34505787037037039</v>
      </c>
      <c r="E101" s="2">
        <v>0.35395833333333332</v>
      </c>
      <c r="F101" s="2">
        <f t="shared" si="11"/>
        <v>8.9004629629629295E-3</v>
      </c>
      <c r="G101">
        <f t="shared" si="12"/>
        <v>0</v>
      </c>
      <c r="H101">
        <f t="shared" si="13"/>
        <v>12</v>
      </c>
      <c r="I101">
        <f t="shared" si="14"/>
        <v>49</v>
      </c>
      <c r="J101">
        <f t="shared" si="15"/>
        <v>769</v>
      </c>
      <c r="K101">
        <f t="shared" si="16"/>
        <v>13</v>
      </c>
      <c r="L101">
        <f t="shared" si="17"/>
        <v>32794</v>
      </c>
      <c r="M101">
        <f t="shared" si="18"/>
        <v>13914</v>
      </c>
      <c r="N101">
        <f t="shared" si="19"/>
        <v>46708</v>
      </c>
      <c r="O101">
        <f>IF(B101="zagraniczny",K101+O100,O100)</f>
        <v>54</v>
      </c>
    </row>
    <row r="102" spans="1:16" x14ac:dyDescent="0.25">
      <c r="A102">
        <v>9422310</v>
      </c>
      <c r="B102" t="str">
        <f t="shared" si="10"/>
        <v>stacjonarny</v>
      </c>
      <c r="C102" s="1">
        <v>42920</v>
      </c>
      <c r="D102" s="2">
        <v>0.35071759259259261</v>
      </c>
      <c r="E102" s="2">
        <v>0.36206018518518518</v>
      </c>
      <c r="F102" s="2">
        <f t="shared" si="11"/>
        <v>1.1342592592592571E-2</v>
      </c>
      <c r="G102">
        <f t="shared" si="12"/>
        <v>0</v>
      </c>
      <c r="H102">
        <f t="shared" si="13"/>
        <v>16</v>
      </c>
      <c r="I102">
        <f t="shared" si="14"/>
        <v>20</v>
      </c>
      <c r="J102">
        <f t="shared" si="15"/>
        <v>980</v>
      </c>
      <c r="K102">
        <f t="shared" si="16"/>
        <v>17</v>
      </c>
      <c r="L102">
        <f t="shared" si="17"/>
        <v>33774</v>
      </c>
      <c r="M102">
        <f t="shared" si="18"/>
        <v>13914</v>
      </c>
      <c r="N102">
        <f t="shared" si="19"/>
        <v>47688</v>
      </c>
      <c r="O102">
        <f>IF(B102="zagraniczny",K102+O101,O101)</f>
        <v>54</v>
      </c>
      <c r="P102" t="s">
        <v>35</v>
      </c>
    </row>
    <row r="103" spans="1:16" x14ac:dyDescent="0.25">
      <c r="A103">
        <v>20679187</v>
      </c>
      <c r="B103" t="str">
        <f t="shared" si="10"/>
        <v>komorkowy</v>
      </c>
      <c r="C103" s="1">
        <v>42920</v>
      </c>
      <c r="D103" s="2">
        <v>0.35372685185185188</v>
      </c>
      <c r="E103" s="2">
        <v>0.3595949074074074</v>
      </c>
      <c r="F103" s="2">
        <f t="shared" si="11"/>
        <v>5.8680555555555292E-3</v>
      </c>
      <c r="G103">
        <f t="shared" si="12"/>
        <v>0</v>
      </c>
      <c r="H103">
        <f t="shared" si="13"/>
        <v>8</v>
      </c>
      <c r="I103">
        <f t="shared" si="14"/>
        <v>27</v>
      </c>
      <c r="J103">
        <f t="shared" si="15"/>
        <v>507</v>
      </c>
      <c r="K103">
        <f t="shared" si="16"/>
        <v>9</v>
      </c>
      <c r="L103">
        <v>0</v>
      </c>
      <c r="M103">
        <v>195</v>
      </c>
      <c r="N103">
        <f t="shared" si="19"/>
        <v>48195</v>
      </c>
      <c r="O103">
        <f>IF(B103="zagraniczny",K103+O102,O102)</f>
        <v>54</v>
      </c>
      <c r="P103" t="s">
        <v>36</v>
      </c>
    </row>
    <row r="104" spans="1:16" x14ac:dyDescent="0.25">
      <c r="A104">
        <v>6087997</v>
      </c>
      <c r="B104" t="str">
        <f t="shared" si="10"/>
        <v>stacjonarny</v>
      </c>
      <c r="C104" s="1">
        <v>42920</v>
      </c>
      <c r="D104" s="2">
        <v>0.35653935185185187</v>
      </c>
      <c r="E104" s="2">
        <v>0.36062499999999997</v>
      </c>
      <c r="F104" s="2">
        <f t="shared" si="11"/>
        <v>4.0856481481481022E-3</v>
      </c>
      <c r="G104">
        <f t="shared" si="12"/>
        <v>0</v>
      </c>
      <c r="H104">
        <f t="shared" si="13"/>
        <v>5</v>
      </c>
      <c r="I104">
        <f t="shared" si="14"/>
        <v>53</v>
      </c>
      <c r="J104">
        <f t="shared" si="15"/>
        <v>353</v>
      </c>
      <c r="K104">
        <f t="shared" si="16"/>
        <v>6</v>
      </c>
      <c r="L104">
        <f t="shared" si="17"/>
        <v>353</v>
      </c>
      <c r="M104">
        <f t="shared" si="18"/>
        <v>195</v>
      </c>
      <c r="N104">
        <f t="shared" si="19"/>
        <v>48548</v>
      </c>
      <c r="O104">
        <f>IF(B104="zagraniczny",K104+O103,O103)</f>
        <v>54</v>
      </c>
    </row>
    <row r="105" spans="1:16" x14ac:dyDescent="0.25">
      <c r="A105">
        <v>20679187</v>
      </c>
      <c r="B105" t="str">
        <f t="shared" si="10"/>
        <v>komorkowy</v>
      </c>
      <c r="C105" s="1">
        <v>42920</v>
      </c>
      <c r="D105" s="2">
        <v>0.35850694444444442</v>
      </c>
      <c r="E105" s="2">
        <v>0.36371527777777779</v>
      </c>
      <c r="F105" s="2">
        <f t="shared" si="11"/>
        <v>5.2083333333333703E-3</v>
      </c>
      <c r="G105">
        <f t="shared" si="12"/>
        <v>0</v>
      </c>
      <c r="H105">
        <f t="shared" si="13"/>
        <v>7</v>
      </c>
      <c r="I105">
        <f t="shared" si="14"/>
        <v>30</v>
      </c>
      <c r="J105">
        <f t="shared" si="15"/>
        <v>450</v>
      </c>
      <c r="K105">
        <f t="shared" si="16"/>
        <v>8</v>
      </c>
      <c r="L105">
        <f t="shared" si="17"/>
        <v>353</v>
      </c>
      <c r="M105">
        <f t="shared" si="18"/>
        <v>645</v>
      </c>
      <c r="N105">
        <f t="shared" si="19"/>
        <v>48998</v>
      </c>
      <c r="O105">
        <f>IF(B105="zagraniczny",K105+O104,O104)</f>
        <v>54</v>
      </c>
    </row>
    <row r="106" spans="1:16" x14ac:dyDescent="0.25">
      <c r="A106">
        <v>5253133</v>
      </c>
      <c r="B106" t="str">
        <f t="shared" si="10"/>
        <v>stacjonarny</v>
      </c>
      <c r="C106" s="1">
        <v>42920</v>
      </c>
      <c r="D106" s="2">
        <v>0.35986111111111113</v>
      </c>
      <c r="E106" s="2">
        <v>0.36961805555555555</v>
      </c>
      <c r="F106" s="2">
        <f t="shared" si="11"/>
        <v>9.7569444444444153E-3</v>
      </c>
      <c r="G106">
        <f t="shared" si="12"/>
        <v>0</v>
      </c>
      <c r="H106">
        <f t="shared" si="13"/>
        <v>14</v>
      </c>
      <c r="I106">
        <f t="shared" si="14"/>
        <v>3</v>
      </c>
      <c r="J106">
        <f t="shared" si="15"/>
        <v>843</v>
      </c>
      <c r="K106">
        <f t="shared" si="16"/>
        <v>15</v>
      </c>
      <c r="L106">
        <f t="shared" si="17"/>
        <v>1196</v>
      </c>
      <c r="M106">
        <f t="shared" si="18"/>
        <v>645</v>
      </c>
      <c r="N106">
        <f t="shared" si="19"/>
        <v>49841</v>
      </c>
      <c r="O106">
        <f>IF(B106="zagraniczny",K106+O105,O105)</f>
        <v>54</v>
      </c>
    </row>
    <row r="107" spans="1:16" x14ac:dyDescent="0.25">
      <c r="A107">
        <v>96949751</v>
      </c>
      <c r="B107" t="str">
        <f t="shared" si="10"/>
        <v>komorkowy</v>
      </c>
      <c r="C107" s="1">
        <v>42920</v>
      </c>
      <c r="D107" s="2">
        <v>0.36465277777777777</v>
      </c>
      <c r="E107" s="2">
        <v>0.36525462962962962</v>
      </c>
      <c r="F107" s="2">
        <f t="shared" si="11"/>
        <v>6.0185185185185341E-4</v>
      </c>
      <c r="G107">
        <f t="shared" si="12"/>
        <v>0</v>
      </c>
      <c r="H107">
        <f t="shared" si="13"/>
        <v>0</v>
      </c>
      <c r="I107">
        <f t="shared" si="14"/>
        <v>52</v>
      </c>
      <c r="J107">
        <f t="shared" si="15"/>
        <v>52</v>
      </c>
      <c r="K107">
        <f t="shared" si="16"/>
        <v>1</v>
      </c>
      <c r="L107">
        <f t="shared" si="17"/>
        <v>1196</v>
      </c>
      <c r="M107">
        <f t="shared" si="18"/>
        <v>697</v>
      </c>
      <c r="N107">
        <f t="shared" si="19"/>
        <v>49893</v>
      </c>
      <c r="O107">
        <f>IF(B107="zagraniczny",K107+O106,O106)</f>
        <v>54</v>
      </c>
    </row>
    <row r="108" spans="1:16" x14ac:dyDescent="0.25">
      <c r="A108">
        <v>1508356</v>
      </c>
      <c r="B108" t="str">
        <f t="shared" si="10"/>
        <v>stacjonarny</v>
      </c>
      <c r="C108" s="1">
        <v>42920</v>
      </c>
      <c r="D108" s="2">
        <v>0.37013888888888891</v>
      </c>
      <c r="E108" s="2">
        <v>0.38033564814814813</v>
      </c>
      <c r="F108" s="2">
        <f t="shared" si="11"/>
        <v>1.0196759259259225E-2</v>
      </c>
      <c r="G108">
        <f t="shared" si="12"/>
        <v>0</v>
      </c>
      <c r="H108">
        <f t="shared" si="13"/>
        <v>14</v>
      </c>
      <c r="I108">
        <f t="shared" si="14"/>
        <v>41</v>
      </c>
      <c r="J108">
        <f t="shared" si="15"/>
        <v>881</v>
      </c>
      <c r="K108">
        <f t="shared" si="16"/>
        <v>15</v>
      </c>
      <c r="L108">
        <f t="shared" si="17"/>
        <v>2077</v>
      </c>
      <c r="M108">
        <f t="shared" si="18"/>
        <v>697</v>
      </c>
      <c r="N108">
        <f t="shared" si="19"/>
        <v>50774</v>
      </c>
      <c r="O108">
        <f>IF(B108="zagraniczny",K108+O107,O107)</f>
        <v>54</v>
      </c>
    </row>
    <row r="109" spans="1:16" x14ac:dyDescent="0.25">
      <c r="A109">
        <v>9171025</v>
      </c>
      <c r="B109" t="str">
        <f t="shared" si="10"/>
        <v>stacjonarny</v>
      </c>
      <c r="C109" s="1">
        <v>42920</v>
      </c>
      <c r="D109" s="2">
        <v>0.37292824074074077</v>
      </c>
      <c r="E109" s="2">
        <v>0.38390046296296299</v>
      </c>
      <c r="F109" s="2">
        <f t="shared" si="11"/>
        <v>1.0972222222222217E-2</v>
      </c>
      <c r="G109">
        <f t="shared" si="12"/>
        <v>0</v>
      </c>
      <c r="H109">
        <f t="shared" si="13"/>
        <v>15</v>
      </c>
      <c r="I109">
        <f t="shared" si="14"/>
        <v>48</v>
      </c>
      <c r="J109">
        <f t="shared" si="15"/>
        <v>948</v>
      </c>
      <c r="K109">
        <f t="shared" si="16"/>
        <v>16</v>
      </c>
      <c r="L109">
        <f t="shared" si="17"/>
        <v>3025</v>
      </c>
      <c r="M109">
        <f t="shared" si="18"/>
        <v>697</v>
      </c>
      <c r="N109">
        <f t="shared" si="19"/>
        <v>51722</v>
      </c>
      <c r="O109">
        <f>IF(B109="zagraniczny",K109+O108,O108)</f>
        <v>54</v>
      </c>
    </row>
    <row r="110" spans="1:16" x14ac:dyDescent="0.25">
      <c r="A110">
        <v>7191598</v>
      </c>
      <c r="B110" t="str">
        <f t="shared" si="10"/>
        <v>stacjonarny</v>
      </c>
      <c r="C110" s="1">
        <v>42920</v>
      </c>
      <c r="D110" s="2">
        <v>0.37559027777777776</v>
      </c>
      <c r="E110" s="2">
        <v>0.37986111111111109</v>
      </c>
      <c r="F110" s="2">
        <f t="shared" si="11"/>
        <v>4.2708333333333348E-3</v>
      </c>
      <c r="G110">
        <f t="shared" si="12"/>
        <v>0</v>
      </c>
      <c r="H110">
        <f t="shared" si="13"/>
        <v>6</v>
      </c>
      <c r="I110">
        <f t="shared" si="14"/>
        <v>9</v>
      </c>
      <c r="J110">
        <f t="shared" si="15"/>
        <v>369</v>
      </c>
      <c r="K110">
        <f t="shared" si="16"/>
        <v>7</v>
      </c>
      <c r="L110">
        <f t="shared" si="17"/>
        <v>3394</v>
      </c>
      <c r="M110">
        <f t="shared" si="18"/>
        <v>697</v>
      </c>
      <c r="N110">
        <f t="shared" si="19"/>
        <v>52091</v>
      </c>
      <c r="O110">
        <f>IF(B110="zagraniczny",K110+O109,O109)</f>
        <v>54</v>
      </c>
    </row>
    <row r="111" spans="1:16" x14ac:dyDescent="0.25">
      <c r="A111">
        <v>3505978</v>
      </c>
      <c r="B111" t="str">
        <f t="shared" si="10"/>
        <v>stacjonarny</v>
      </c>
      <c r="C111" s="1">
        <v>42920</v>
      </c>
      <c r="D111" s="2">
        <v>0.37769675925925927</v>
      </c>
      <c r="E111" s="2">
        <v>0.38211805555555556</v>
      </c>
      <c r="F111" s="2">
        <f t="shared" si="11"/>
        <v>4.4212962962962843E-3</v>
      </c>
      <c r="G111">
        <f t="shared" si="12"/>
        <v>0</v>
      </c>
      <c r="H111">
        <f t="shared" si="13"/>
        <v>6</v>
      </c>
      <c r="I111">
        <f t="shared" si="14"/>
        <v>22</v>
      </c>
      <c r="J111">
        <f t="shared" si="15"/>
        <v>382</v>
      </c>
      <c r="K111">
        <f t="shared" si="16"/>
        <v>7</v>
      </c>
      <c r="L111">
        <f t="shared" si="17"/>
        <v>3776</v>
      </c>
      <c r="M111">
        <f t="shared" si="18"/>
        <v>697</v>
      </c>
      <c r="N111">
        <f t="shared" si="19"/>
        <v>52473</v>
      </c>
      <c r="O111">
        <f>IF(B111="zagraniczny",K111+O110,O110)</f>
        <v>54</v>
      </c>
    </row>
    <row r="112" spans="1:16" x14ac:dyDescent="0.25">
      <c r="A112">
        <v>90533733</v>
      </c>
      <c r="B112" t="str">
        <f t="shared" si="10"/>
        <v>komorkowy</v>
      </c>
      <c r="C112" s="1">
        <v>42920</v>
      </c>
      <c r="D112" s="2">
        <v>0.38092592592592595</v>
      </c>
      <c r="E112" s="2">
        <v>0.38866898148148149</v>
      </c>
      <c r="F112" s="2">
        <f t="shared" si="11"/>
        <v>7.7430555555555447E-3</v>
      </c>
      <c r="G112">
        <f t="shared" si="12"/>
        <v>0</v>
      </c>
      <c r="H112">
        <f t="shared" si="13"/>
        <v>11</v>
      </c>
      <c r="I112">
        <f t="shared" si="14"/>
        <v>9</v>
      </c>
      <c r="J112">
        <f t="shared" si="15"/>
        <v>669</v>
      </c>
      <c r="K112">
        <f t="shared" si="16"/>
        <v>12</v>
      </c>
      <c r="L112">
        <f t="shared" si="17"/>
        <v>3776</v>
      </c>
      <c r="M112">
        <f t="shared" si="18"/>
        <v>1366</v>
      </c>
      <c r="N112">
        <f t="shared" si="19"/>
        <v>53142</v>
      </c>
      <c r="O112">
        <f>IF(B112="zagraniczny",K112+O111,O111)</f>
        <v>54</v>
      </c>
    </row>
    <row r="113" spans="1:15" x14ac:dyDescent="0.25">
      <c r="A113">
        <v>6859181</v>
      </c>
      <c r="B113" t="str">
        <f t="shared" si="10"/>
        <v>stacjonarny</v>
      </c>
      <c r="C113" s="1">
        <v>42920</v>
      </c>
      <c r="D113" s="2">
        <v>0.38188657407407406</v>
      </c>
      <c r="E113" s="2">
        <v>0.38545138888888891</v>
      </c>
      <c r="F113" s="2">
        <f t="shared" si="11"/>
        <v>3.564814814814854E-3</v>
      </c>
      <c r="G113">
        <f t="shared" si="12"/>
        <v>0</v>
      </c>
      <c r="H113">
        <f t="shared" si="13"/>
        <v>5</v>
      </c>
      <c r="I113">
        <f t="shared" si="14"/>
        <v>8</v>
      </c>
      <c r="J113">
        <f t="shared" si="15"/>
        <v>308</v>
      </c>
      <c r="K113">
        <f t="shared" si="16"/>
        <v>6</v>
      </c>
      <c r="L113">
        <f t="shared" si="17"/>
        <v>4084</v>
      </c>
      <c r="M113">
        <f t="shared" si="18"/>
        <v>1366</v>
      </c>
      <c r="N113">
        <f t="shared" si="19"/>
        <v>53450</v>
      </c>
      <c r="O113">
        <f>IF(B113="zagraniczny",K113+O112,O112)</f>
        <v>54</v>
      </c>
    </row>
    <row r="114" spans="1:15" x14ac:dyDescent="0.25">
      <c r="A114">
        <v>7207066</v>
      </c>
      <c r="B114" t="str">
        <f t="shared" si="10"/>
        <v>stacjonarny</v>
      </c>
      <c r="C114" s="1">
        <v>42920</v>
      </c>
      <c r="D114" s="2">
        <v>0.3862962962962963</v>
      </c>
      <c r="E114" s="2">
        <v>0.3883449074074074</v>
      </c>
      <c r="F114" s="2">
        <f t="shared" si="11"/>
        <v>2.0486111111110983E-3</v>
      </c>
      <c r="G114">
        <f t="shared" si="12"/>
        <v>0</v>
      </c>
      <c r="H114">
        <f t="shared" si="13"/>
        <v>2</v>
      </c>
      <c r="I114">
        <f t="shared" si="14"/>
        <v>57</v>
      </c>
      <c r="J114">
        <f t="shared" si="15"/>
        <v>177</v>
      </c>
      <c r="K114">
        <f t="shared" si="16"/>
        <v>3</v>
      </c>
      <c r="L114">
        <f t="shared" si="17"/>
        <v>4261</v>
      </c>
      <c r="M114">
        <f t="shared" si="18"/>
        <v>1366</v>
      </c>
      <c r="N114">
        <f t="shared" si="19"/>
        <v>53627</v>
      </c>
      <c r="O114">
        <f>IF(B114="zagraniczny",K114+O113,O113)</f>
        <v>54</v>
      </c>
    </row>
    <row r="115" spans="1:15" x14ac:dyDescent="0.25">
      <c r="A115">
        <v>4230507</v>
      </c>
      <c r="B115" t="str">
        <f t="shared" si="10"/>
        <v>stacjonarny</v>
      </c>
      <c r="C115" s="1">
        <v>42920</v>
      </c>
      <c r="D115" s="2">
        <v>0.38763888888888887</v>
      </c>
      <c r="E115" s="2">
        <v>0.39317129629629627</v>
      </c>
      <c r="F115" s="2">
        <f t="shared" si="11"/>
        <v>5.5324074074074026E-3</v>
      </c>
      <c r="G115">
        <f t="shared" si="12"/>
        <v>0</v>
      </c>
      <c r="H115">
        <f t="shared" si="13"/>
        <v>7</v>
      </c>
      <c r="I115">
        <f t="shared" si="14"/>
        <v>58</v>
      </c>
      <c r="J115">
        <f t="shared" si="15"/>
        <v>478</v>
      </c>
      <c r="K115">
        <f t="shared" si="16"/>
        <v>8</v>
      </c>
      <c r="L115">
        <f t="shared" si="17"/>
        <v>4739</v>
      </c>
      <c r="M115">
        <f t="shared" si="18"/>
        <v>1366</v>
      </c>
      <c r="N115">
        <f t="shared" si="19"/>
        <v>54105</v>
      </c>
      <c r="O115">
        <f>IF(B115="zagraniczny",K115+O114,O114)</f>
        <v>54</v>
      </c>
    </row>
    <row r="116" spans="1:15" x14ac:dyDescent="0.25">
      <c r="A116">
        <v>2915745</v>
      </c>
      <c r="B116" t="str">
        <f t="shared" si="10"/>
        <v>stacjonarny</v>
      </c>
      <c r="C116" s="1">
        <v>42920</v>
      </c>
      <c r="D116" s="2">
        <v>0.39210648148148147</v>
      </c>
      <c r="E116" s="2">
        <v>0.39277777777777778</v>
      </c>
      <c r="F116" s="2">
        <f t="shared" si="11"/>
        <v>6.7129629629630871E-4</v>
      </c>
      <c r="G116">
        <f t="shared" si="12"/>
        <v>0</v>
      </c>
      <c r="H116">
        <f t="shared" si="13"/>
        <v>0</v>
      </c>
      <c r="I116">
        <f t="shared" si="14"/>
        <v>58</v>
      </c>
      <c r="J116">
        <f t="shared" si="15"/>
        <v>58</v>
      </c>
      <c r="K116">
        <f t="shared" si="16"/>
        <v>1</v>
      </c>
      <c r="L116">
        <f t="shared" si="17"/>
        <v>4797</v>
      </c>
      <c r="M116">
        <f t="shared" si="18"/>
        <v>1366</v>
      </c>
      <c r="N116">
        <f t="shared" si="19"/>
        <v>54163</v>
      </c>
      <c r="O116">
        <f>IF(B116="zagraniczny",K116+O115,O115)</f>
        <v>54</v>
      </c>
    </row>
    <row r="117" spans="1:15" x14ac:dyDescent="0.25">
      <c r="A117">
        <v>2235911</v>
      </c>
      <c r="B117" t="str">
        <f t="shared" si="10"/>
        <v>stacjonarny</v>
      </c>
      <c r="C117" s="1">
        <v>42920</v>
      </c>
      <c r="D117" s="2">
        <v>0.39656249999999998</v>
      </c>
      <c r="E117" s="2">
        <v>0.40236111111111111</v>
      </c>
      <c r="F117" s="2">
        <f t="shared" si="11"/>
        <v>5.7986111111111294E-3</v>
      </c>
      <c r="G117">
        <f t="shared" si="12"/>
        <v>0</v>
      </c>
      <c r="H117">
        <f t="shared" si="13"/>
        <v>8</v>
      </c>
      <c r="I117">
        <f t="shared" si="14"/>
        <v>21</v>
      </c>
      <c r="J117">
        <f t="shared" si="15"/>
        <v>501</v>
      </c>
      <c r="K117">
        <f t="shared" si="16"/>
        <v>9</v>
      </c>
      <c r="L117">
        <f t="shared" si="17"/>
        <v>5298</v>
      </c>
      <c r="M117">
        <f t="shared" si="18"/>
        <v>1366</v>
      </c>
      <c r="N117">
        <f t="shared" si="19"/>
        <v>54664</v>
      </c>
      <c r="O117">
        <f>IF(B117="zagraniczny",K117+O116,O116)</f>
        <v>54</v>
      </c>
    </row>
    <row r="118" spans="1:15" x14ac:dyDescent="0.25">
      <c r="A118">
        <v>1611389</v>
      </c>
      <c r="B118" t="str">
        <f t="shared" si="10"/>
        <v>stacjonarny</v>
      </c>
      <c r="C118" s="1">
        <v>42920</v>
      </c>
      <c r="D118" s="2">
        <v>0.39879629629629632</v>
      </c>
      <c r="E118" s="2">
        <v>0.41033564814814816</v>
      </c>
      <c r="F118" s="2">
        <f t="shared" si="11"/>
        <v>1.1539351851851842E-2</v>
      </c>
      <c r="G118">
        <f t="shared" si="12"/>
        <v>0</v>
      </c>
      <c r="H118">
        <f t="shared" si="13"/>
        <v>16</v>
      </c>
      <c r="I118">
        <f t="shared" si="14"/>
        <v>37</v>
      </c>
      <c r="J118">
        <f t="shared" si="15"/>
        <v>997</v>
      </c>
      <c r="K118">
        <f t="shared" si="16"/>
        <v>17</v>
      </c>
      <c r="L118">
        <f t="shared" si="17"/>
        <v>6295</v>
      </c>
      <c r="M118">
        <f t="shared" si="18"/>
        <v>1366</v>
      </c>
      <c r="N118">
        <f t="shared" si="19"/>
        <v>55661</v>
      </c>
      <c r="O118">
        <f>IF(B118="zagraniczny",K118+O117,O117)</f>
        <v>54</v>
      </c>
    </row>
    <row r="119" spans="1:15" x14ac:dyDescent="0.25">
      <c r="A119">
        <v>9052652</v>
      </c>
      <c r="B119" t="str">
        <f t="shared" si="10"/>
        <v>stacjonarny</v>
      </c>
      <c r="C119" s="1">
        <v>42920</v>
      </c>
      <c r="D119" s="2">
        <v>0.3997337962962963</v>
      </c>
      <c r="E119" s="2">
        <v>0.40465277777777775</v>
      </c>
      <c r="F119" s="2">
        <f t="shared" si="11"/>
        <v>4.9189814814814548E-3</v>
      </c>
      <c r="G119">
        <f t="shared" si="12"/>
        <v>0</v>
      </c>
      <c r="H119">
        <f t="shared" si="13"/>
        <v>7</v>
      </c>
      <c r="I119">
        <f t="shared" si="14"/>
        <v>5</v>
      </c>
      <c r="J119">
        <f t="shared" si="15"/>
        <v>425</v>
      </c>
      <c r="K119">
        <f t="shared" si="16"/>
        <v>8</v>
      </c>
      <c r="L119">
        <f t="shared" si="17"/>
        <v>6720</v>
      </c>
      <c r="M119">
        <f t="shared" si="18"/>
        <v>1366</v>
      </c>
      <c r="N119">
        <f t="shared" si="19"/>
        <v>56086</v>
      </c>
      <c r="O119">
        <f>IF(B119="zagraniczny",K119+O118,O118)</f>
        <v>54</v>
      </c>
    </row>
    <row r="120" spans="1:15" x14ac:dyDescent="0.25">
      <c r="A120">
        <v>93611539</v>
      </c>
      <c r="B120" t="str">
        <f t="shared" si="10"/>
        <v>komorkowy</v>
      </c>
      <c r="C120" s="1">
        <v>42920</v>
      </c>
      <c r="D120" s="2">
        <v>0.40133101851851855</v>
      </c>
      <c r="E120" s="2">
        <v>0.40964120370370372</v>
      </c>
      <c r="F120" s="2">
        <f t="shared" si="11"/>
        <v>8.3101851851851705E-3</v>
      </c>
      <c r="G120">
        <f t="shared" si="12"/>
        <v>0</v>
      </c>
      <c r="H120">
        <f t="shared" si="13"/>
        <v>11</v>
      </c>
      <c r="I120">
        <f t="shared" si="14"/>
        <v>58</v>
      </c>
      <c r="J120">
        <f t="shared" si="15"/>
        <v>718</v>
      </c>
      <c r="K120">
        <f t="shared" si="16"/>
        <v>12</v>
      </c>
      <c r="L120">
        <f t="shared" si="17"/>
        <v>6720</v>
      </c>
      <c r="M120">
        <f t="shared" si="18"/>
        <v>2084</v>
      </c>
      <c r="N120">
        <f t="shared" si="19"/>
        <v>56804</v>
      </c>
      <c r="O120">
        <f>IF(B120="zagraniczny",K120+O119,O119)</f>
        <v>54</v>
      </c>
    </row>
    <row r="121" spans="1:15" x14ac:dyDescent="0.25">
      <c r="A121">
        <v>68966479</v>
      </c>
      <c r="B121" t="str">
        <f t="shared" si="10"/>
        <v>komorkowy</v>
      </c>
      <c r="C121" s="1">
        <v>42920</v>
      </c>
      <c r="D121" s="2">
        <v>0.40493055555555557</v>
      </c>
      <c r="E121" s="2">
        <v>0.40618055555555554</v>
      </c>
      <c r="F121" s="2">
        <f t="shared" si="11"/>
        <v>1.2499999999999734E-3</v>
      </c>
      <c r="G121">
        <f t="shared" si="12"/>
        <v>0</v>
      </c>
      <c r="H121">
        <f t="shared" si="13"/>
        <v>1</v>
      </c>
      <c r="I121">
        <f t="shared" si="14"/>
        <v>48</v>
      </c>
      <c r="J121">
        <f t="shared" si="15"/>
        <v>108</v>
      </c>
      <c r="K121">
        <f t="shared" si="16"/>
        <v>2</v>
      </c>
      <c r="L121">
        <f t="shared" si="17"/>
        <v>6720</v>
      </c>
      <c r="M121">
        <f t="shared" si="18"/>
        <v>2192</v>
      </c>
      <c r="N121">
        <f t="shared" si="19"/>
        <v>56912</v>
      </c>
      <c r="O121">
        <f>IF(B121="zagraniczny",K121+O120,O120)</f>
        <v>54</v>
      </c>
    </row>
    <row r="122" spans="1:15" x14ac:dyDescent="0.25">
      <c r="A122">
        <v>79381100</v>
      </c>
      <c r="B122" t="str">
        <f t="shared" si="10"/>
        <v>komorkowy</v>
      </c>
      <c r="C122" s="1">
        <v>42920</v>
      </c>
      <c r="D122" s="2">
        <v>0.40614583333333332</v>
      </c>
      <c r="E122" s="2">
        <v>0.41761574074074076</v>
      </c>
      <c r="F122" s="2">
        <f t="shared" si="11"/>
        <v>1.1469907407407443E-2</v>
      </c>
      <c r="G122">
        <f t="shared" si="12"/>
        <v>0</v>
      </c>
      <c r="H122">
        <f t="shared" si="13"/>
        <v>16</v>
      </c>
      <c r="I122">
        <f t="shared" si="14"/>
        <v>31</v>
      </c>
      <c r="J122">
        <f t="shared" si="15"/>
        <v>991</v>
      </c>
      <c r="K122">
        <f t="shared" si="16"/>
        <v>17</v>
      </c>
      <c r="L122">
        <f t="shared" si="17"/>
        <v>6720</v>
      </c>
      <c r="M122">
        <f t="shared" si="18"/>
        <v>3183</v>
      </c>
      <c r="N122">
        <f t="shared" si="19"/>
        <v>57903</v>
      </c>
      <c r="O122">
        <f>IF(B122="zagraniczny",K122+O121,O121)</f>
        <v>54</v>
      </c>
    </row>
    <row r="123" spans="1:15" x14ac:dyDescent="0.25">
      <c r="A123">
        <v>4697138</v>
      </c>
      <c r="B123" t="str">
        <f t="shared" si="10"/>
        <v>stacjonarny</v>
      </c>
      <c r="C123" s="1">
        <v>42920</v>
      </c>
      <c r="D123" s="2">
        <v>0.40737268518518521</v>
      </c>
      <c r="E123" s="2">
        <v>0.4102777777777778</v>
      </c>
      <c r="F123" s="2">
        <f t="shared" si="11"/>
        <v>2.9050925925925841E-3</v>
      </c>
      <c r="G123">
        <f t="shared" si="12"/>
        <v>0</v>
      </c>
      <c r="H123">
        <f t="shared" si="13"/>
        <v>4</v>
      </c>
      <c r="I123">
        <f t="shared" si="14"/>
        <v>11</v>
      </c>
      <c r="J123">
        <f t="shared" si="15"/>
        <v>251</v>
      </c>
      <c r="K123">
        <f t="shared" si="16"/>
        <v>5</v>
      </c>
      <c r="L123">
        <f t="shared" si="17"/>
        <v>6971</v>
      </c>
      <c r="M123">
        <f t="shared" si="18"/>
        <v>3183</v>
      </c>
      <c r="N123">
        <f t="shared" si="19"/>
        <v>58154</v>
      </c>
      <c r="O123">
        <f>IF(B123="zagraniczny",K123+O122,O122)</f>
        <v>54</v>
      </c>
    </row>
    <row r="124" spans="1:15" x14ac:dyDescent="0.25">
      <c r="A124">
        <v>5786740</v>
      </c>
      <c r="B124" t="str">
        <f t="shared" si="10"/>
        <v>stacjonarny</v>
      </c>
      <c r="C124" s="1">
        <v>42920</v>
      </c>
      <c r="D124" s="2">
        <v>0.40796296296296297</v>
      </c>
      <c r="E124" s="2">
        <v>0.41495370370370371</v>
      </c>
      <c r="F124" s="2">
        <f t="shared" si="11"/>
        <v>6.9907407407407418E-3</v>
      </c>
      <c r="G124">
        <f t="shared" si="12"/>
        <v>0</v>
      </c>
      <c r="H124">
        <f t="shared" si="13"/>
        <v>10</v>
      </c>
      <c r="I124">
        <f t="shared" si="14"/>
        <v>4</v>
      </c>
      <c r="J124">
        <f t="shared" si="15"/>
        <v>604</v>
      </c>
      <c r="K124">
        <f t="shared" si="16"/>
        <v>11</v>
      </c>
      <c r="L124">
        <f t="shared" si="17"/>
        <v>7575</v>
      </c>
      <c r="M124">
        <f t="shared" si="18"/>
        <v>3183</v>
      </c>
      <c r="N124">
        <f t="shared" si="19"/>
        <v>58758</v>
      </c>
      <c r="O124">
        <f>IF(B124="zagraniczny",K124+O123,O123)</f>
        <v>54</v>
      </c>
    </row>
    <row r="125" spans="1:15" x14ac:dyDescent="0.25">
      <c r="A125">
        <v>7727942</v>
      </c>
      <c r="B125" t="str">
        <f t="shared" si="10"/>
        <v>stacjonarny</v>
      </c>
      <c r="C125" s="1">
        <v>42920</v>
      </c>
      <c r="D125" s="2">
        <v>0.41097222222222224</v>
      </c>
      <c r="E125" s="2">
        <v>0.41613425925925923</v>
      </c>
      <c r="F125" s="2">
        <f t="shared" si="11"/>
        <v>5.1620370370369928E-3</v>
      </c>
      <c r="G125">
        <f t="shared" si="12"/>
        <v>0</v>
      </c>
      <c r="H125">
        <f t="shared" si="13"/>
        <v>7</v>
      </c>
      <c r="I125">
        <f t="shared" si="14"/>
        <v>26</v>
      </c>
      <c r="J125">
        <f t="shared" si="15"/>
        <v>446</v>
      </c>
      <c r="K125">
        <f t="shared" si="16"/>
        <v>8</v>
      </c>
      <c r="L125">
        <f t="shared" si="17"/>
        <v>8021</v>
      </c>
      <c r="M125">
        <f t="shared" si="18"/>
        <v>3183</v>
      </c>
      <c r="N125">
        <f t="shared" si="19"/>
        <v>59204</v>
      </c>
      <c r="O125">
        <f>IF(B125="zagraniczny",K125+O124,O124)</f>
        <v>54</v>
      </c>
    </row>
    <row r="126" spans="1:15" x14ac:dyDescent="0.25">
      <c r="A126">
        <v>8384647</v>
      </c>
      <c r="B126" t="str">
        <f t="shared" si="10"/>
        <v>stacjonarny</v>
      </c>
      <c r="C126" s="1">
        <v>42920</v>
      </c>
      <c r="D126" s="2">
        <v>0.4110300925925926</v>
      </c>
      <c r="E126" s="2">
        <v>0.42162037037037037</v>
      </c>
      <c r="F126" s="2">
        <f t="shared" si="11"/>
        <v>1.0590277777777768E-2</v>
      </c>
      <c r="G126">
        <f t="shared" si="12"/>
        <v>0</v>
      </c>
      <c r="H126">
        <f t="shared" si="13"/>
        <v>15</v>
      </c>
      <c r="I126">
        <f t="shared" si="14"/>
        <v>15</v>
      </c>
      <c r="J126">
        <f t="shared" si="15"/>
        <v>915</v>
      </c>
      <c r="K126">
        <f t="shared" si="16"/>
        <v>16</v>
      </c>
      <c r="L126">
        <f t="shared" si="17"/>
        <v>8936</v>
      </c>
      <c r="M126">
        <f t="shared" si="18"/>
        <v>3183</v>
      </c>
      <c r="N126">
        <f t="shared" si="19"/>
        <v>60119</v>
      </c>
      <c r="O126">
        <f>IF(B126="zagraniczny",K126+O125,O125)</f>
        <v>54</v>
      </c>
    </row>
    <row r="127" spans="1:15" x14ac:dyDescent="0.25">
      <c r="A127">
        <v>1858872516</v>
      </c>
      <c r="B127" t="str">
        <f t="shared" si="10"/>
        <v>zagraniczny</v>
      </c>
      <c r="C127" s="1">
        <v>42920</v>
      </c>
      <c r="D127" s="2">
        <v>0.41510416666666666</v>
      </c>
      <c r="E127" s="2">
        <v>0.41668981481481482</v>
      </c>
      <c r="F127" s="2">
        <f t="shared" si="11"/>
        <v>1.5856481481481555E-3</v>
      </c>
      <c r="G127">
        <f t="shared" si="12"/>
        <v>0</v>
      </c>
      <c r="H127">
        <f t="shared" si="13"/>
        <v>2</v>
      </c>
      <c r="I127">
        <f t="shared" si="14"/>
        <v>17</v>
      </c>
      <c r="J127">
        <f t="shared" si="15"/>
        <v>137</v>
      </c>
      <c r="K127">
        <f t="shared" si="16"/>
        <v>3</v>
      </c>
      <c r="L127">
        <f t="shared" si="17"/>
        <v>8936</v>
      </c>
      <c r="M127">
        <f t="shared" si="18"/>
        <v>3183</v>
      </c>
      <c r="N127">
        <f t="shared" si="19"/>
        <v>60119</v>
      </c>
      <c r="O127">
        <f>IF(B127="zagraniczny",K127+O126,O126)</f>
        <v>57</v>
      </c>
    </row>
    <row r="128" spans="1:15" x14ac:dyDescent="0.25">
      <c r="A128">
        <v>4546455</v>
      </c>
      <c r="B128" t="str">
        <f t="shared" si="10"/>
        <v>stacjonarny</v>
      </c>
      <c r="C128" s="1">
        <v>42920</v>
      </c>
      <c r="D128" s="2">
        <v>0.41912037037037037</v>
      </c>
      <c r="E128" s="2">
        <v>0.42031249999999998</v>
      </c>
      <c r="F128" s="2">
        <f t="shared" si="11"/>
        <v>1.1921296296296124E-3</v>
      </c>
      <c r="G128">
        <f t="shared" si="12"/>
        <v>0</v>
      </c>
      <c r="H128">
        <f t="shared" si="13"/>
        <v>1</v>
      </c>
      <c r="I128">
        <f t="shared" si="14"/>
        <v>43</v>
      </c>
      <c r="J128">
        <f t="shared" si="15"/>
        <v>103</v>
      </c>
      <c r="K128">
        <f t="shared" si="16"/>
        <v>2</v>
      </c>
      <c r="L128">
        <f t="shared" si="17"/>
        <v>9039</v>
      </c>
      <c r="M128">
        <f t="shared" si="18"/>
        <v>3183</v>
      </c>
      <c r="N128">
        <f t="shared" si="19"/>
        <v>60222</v>
      </c>
      <c r="O128">
        <f>IF(B128="zagraniczny",K128+O127,O127)</f>
        <v>57</v>
      </c>
    </row>
    <row r="129" spans="1:15" x14ac:dyDescent="0.25">
      <c r="A129">
        <v>2668991</v>
      </c>
      <c r="B129" t="str">
        <f t="shared" si="10"/>
        <v>stacjonarny</v>
      </c>
      <c r="C129" s="1">
        <v>42920</v>
      </c>
      <c r="D129" s="2">
        <v>0.42249999999999999</v>
      </c>
      <c r="E129" s="2">
        <v>0.42834490740740738</v>
      </c>
      <c r="F129" s="2">
        <f t="shared" si="11"/>
        <v>5.8449074074073959E-3</v>
      </c>
      <c r="G129">
        <f t="shared" si="12"/>
        <v>0</v>
      </c>
      <c r="H129">
        <f t="shared" si="13"/>
        <v>8</v>
      </c>
      <c r="I129">
        <f t="shared" si="14"/>
        <v>25</v>
      </c>
      <c r="J129">
        <f t="shared" si="15"/>
        <v>505</v>
      </c>
      <c r="K129">
        <f t="shared" si="16"/>
        <v>9</v>
      </c>
      <c r="L129">
        <f t="shared" si="17"/>
        <v>9544</v>
      </c>
      <c r="M129">
        <f t="shared" si="18"/>
        <v>3183</v>
      </c>
      <c r="N129">
        <f t="shared" si="19"/>
        <v>60727</v>
      </c>
      <c r="O129">
        <f>IF(B129="zagraniczny",K129+O128,O128)</f>
        <v>57</v>
      </c>
    </row>
    <row r="130" spans="1:15" x14ac:dyDescent="0.25">
      <c r="A130">
        <v>5528648</v>
      </c>
      <c r="B130" t="str">
        <f t="shared" si="10"/>
        <v>stacjonarny</v>
      </c>
      <c r="C130" s="1">
        <v>42920</v>
      </c>
      <c r="D130" s="2">
        <v>0.42591435185185184</v>
      </c>
      <c r="E130" s="2">
        <v>0.43486111111111109</v>
      </c>
      <c r="F130" s="2">
        <f t="shared" si="11"/>
        <v>8.9467592592592515E-3</v>
      </c>
      <c r="G130">
        <f t="shared" si="12"/>
        <v>0</v>
      </c>
      <c r="H130">
        <f t="shared" si="13"/>
        <v>12</v>
      </c>
      <c r="I130">
        <f t="shared" si="14"/>
        <v>53</v>
      </c>
      <c r="J130">
        <f t="shared" si="15"/>
        <v>773</v>
      </c>
      <c r="K130">
        <f t="shared" si="16"/>
        <v>13</v>
      </c>
      <c r="L130">
        <f t="shared" si="17"/>
        <v>10317</v>
      </c>
      <c r="M130">
        <f t="shared" si="18"/>
        <v>3183</v>
      </c>
      <c r="N130">
        <f t="shared" si="19"/>
        <v>61500</v>
      </c>
      <c r="O130">
        <f>IF(B130="zagraniczny",K130+O129,O129)</f>
        <v>57</v>
      </c>
    </row>
    <row r="131" spans="1:15" x14ac:dyDescent="0.25">
      <c r="A131">
        <v>2157195</v>
      </c>
      <c r="B131" t="str">
        <f t="shared" ref="B131:B194" si="20">IF(LEN(A131)=7,"stacjonarny",IF(LEN(A131)=8,"komorkowy","zagraniczny"))</f>
        <v>stacjonarny</v>
      </c>
      <c r="C131" s="1">
        <v>42920</v>
      </c>
      <c r="D131" s="2">
        <v>0.42942129629629627</v>
      </c>
      <c r="E131" s="2">
        <v>0.4349189814814815</v>
      </c>
      <c r="F131" s="2">
        <f t="shared" ref="F131:F194" si="21">E131-D131</f>
        <v>5.4976851851852304E-3</v>
      </c>
      <c r="G131">
        <f t="shared" ref="G131:G194" si="22">HOUR(F131)</f>
        <v>0</v>
      </c>
      <c r="H131">
        <f t="shared" ref="H131:H194" si="23">MINUTE(F131)</f>
        <v>7</v>
      </c>
      <c r="I131">
        <f t="shared" ref="I131:I194" si="24">SECOND(F131)</f>
        <v>55</v>
      </c>
      <c r="J131">
        <f t="shared" ref="J131:J194" si="25">H131*60+I131</f>
        <v>475</v>
      </c>
      <c r="K131">
        <f t="shared" ref="K131:K194" si="26">IF(I131&gt;0,G131*60+H131+1,H131+G131*60)</f>
        <v>8</v>
      </c>
      <c r="L131">
        <f t="shared" si="17"/>
        <v>10792</v>
      </c>
      <c r="M131">
        <f t="shared" si="18"/>
        <v>3183</v>
      </c>
      <c r="N131">
        <f t="shared" si="19"/>
        <v>61975</v>
      </c>
      <c r="O131">
        <f>IF(B131="zagraniczny",K131+O130,O130)</f>
        <v>57</v>
      </c>
    </row>
    <row r="132" spans="1:15" x14ac:dyDescent="0.25">
      <c r="A132">
        <v>7747085</v>
      </c>
      <c r="B132" t="str">
        <f t="shared" si="20"/>
        <v>stacjonarny</v>
      </c>
      <c r="C132" s="1">
        <v>42920</v>
      </c>
      <c r="D132" s="2">
        <v>0.43247685185185186</v>
      </c>
      <c r="E132" s="2">
        <v>0.43613425925925925</v>
      </c>
      <c r="F132" s="2">
        <f t="shared" si="21"/>
        <v>3.657407407407387E-3</v>
      </c>
      <c r="G132">
        <f t="shared" si="22"/>
        <v>0</v>
      </c>
      <c r="H132">
        <f t="shared" si="23"/>
        <v>5</v>
      </c>
      <c r="I132">
        <f t="shared" si="24"/>
        <v>16</v>
      </c>
      <c r="J132">
        <f t="shared" si="25"/>
        <v>316</v>
      </c>
      <c r="K132">
        <f t="shared" si="26"/>
        <v>6</v>
      </c>
      <c r="L132">
        <f t="shared" ref="L132:L195" si="27">IF(B132="stacjonarny",$J132+L131,L131)</f>
        <v>11108</v>
      </c>
      <c r="M132">
        <f t="shared" ref="M132:M195" si="28">IF(B132="komorkowy",$J132+M131,M131)</f>
        <v>3183</v>
      </c>
      <c r="N132">
        <f t="shared" ref="N132:N195" si="29">IF(OR(B132="stacjonarny",B132="komorkowy"),J132+N131,N131)</f>
        <v>62291</v>
      </c>
      <c r="O132">
        <f>IF(B132="zagraniczny",K132+O131,O131)</f>
        <v>57</v>
      </c>
    </row>
    <row r="133" spans="1:15" x14ac:dyDescent="0.25">
      <c r="A133">
        <v>6865106</v>
      </c>
      <c r="B133" t="str">
        <f t="shared" si="20"/>
        <v>stacjonarny</v>
      </c>
      <c r="C133" s="1">
        <v>42920</v>
      </c>
      <c r="D133" s="2">
        <v>0.43741898148148151</v>
      </c>
      <c r="E133" s="2">
        <v>0.44848379629629631</v>
      </c>
      <c r="F133" s="2">
        <f t="shared" si="21"/>
        <v>1.1064814814814805E-2</v>
      </c>
      <c r="G133">
        <f t="shared" si="22"/>
        <v>0</v>
      </c>
      <c r="H133">
        <f t="shared" si="23"/>
        <v>15</v>
      </c>
      <c r="I133">
        <f t="shared" si="24"/>
        <v>56</v>
      </c>
      <c r="J133">
        <f t="shared" si="25"/>
        <v>956</v>
      </c>
      <c r="K133">
        <f t="shared" si="26"/>
        <v>16</v>
      </c>
      <c r="L133">
        <f t="shared" si="27"/>
        <v>12064</v>
      </c>
      <c r="M133">
        <f t="shared" si="28"/>
        <v>3183</v>
      </c>
      <c r="N133">
        <f t="shared" si="29"/>
        <v>63247</v>
      </c>
      <c r="O133">
        <f>IF(B133="zagraniczny",K133+O132,O132)</f>
        <v>57</v>
      </c>
    </row>
    <row r="134" spans="1:15" x14ac:dyDescent="0.25">
      <c r="A134">
        <v>8819206</v>
      </c>
      <c r="B134" t="str">
        <f t="shared" si="20"/>
        <v>stacjonarny</v>
      </c>
      <c r="C134" s="1">
        <v>42920</v>
      </c>
      <c r="D134" s="2">
        <v>0.44068287037037035</v>
      </c>
      <c r="E134" s="2">
        <v>0.44912037037037039</v>
      </c>
      <c r="F134" s="2">
        <f t="shared" si="21"/>
        <v>8.4375000000000422E-3</v>
      </c>
      <c r="G134">
        <f t="shared" si="22"/>
        <v>0</v>
      </c>
      <c r="H134">
        <f t="shared" si="23"/>
        <v>12</v>
      </c>
      <c r="I134">
        <f t="shared" si="24"/>
        <v>9</v>
      </c>
      <c r="J134">
        <f t="shared" si="25"/>
        <v>729</v>
      </c>
      <c r="K134">
        <f t="shared" si="26"/>
        <v>13</v>
      </c>
      <c r="L134">
        <f t="shared" si="27"/>
        <v>12793</v>
      </c>
      <c r="M134">
        <f t="shared" si="28"/>
        <v>3183</v>
      </c>
      <c r="N134">
        <f t="shared" si="29"/>
        <v>63976</v>
      </c>
      <c r="O134">
        <f>IF(B134="zagraniczny",K134+O133,O133)</f>
        <v>57</v>
      </c>
    </row>
    <row r="135" spans="1:15" x14ac:dyDescent="0.25">
      <c r="A135">
        <v>3990337</v>
      </c>
      <c r="B135" t="str">
        <f t="shared" si="20"/>
        <v>stacjonarny</v>
      </c>
      <c r="C135" s="1">
        <v>42920</v>
      </c>
      <c r="D135" s="2">
        <v>0.44158564814814816</v>
      </c>
      <c r="E135" s="2">
        <v>0.4470601851851852</v>
      </c>
      <c r="F135" s="2">
        <f t="shared" si="21"/>
        <v>5.4745370370370416E-3</v>
      </c>
      <c r="G135">
        <f t="shared" si="22"/>
        <v>0</v>
      </c>
      <c r="H135">
        <f t="shared" si="23"/>
        <v>7</v>
      </c>
      <c r="I135">
        <f t="shared" si="24"/>
        <v>53</v>
      </c>
      <c r="J135">
        <f t="shared" si="25"/>
        <v>473</v>
      </c>
      <c r="K135">
        <f t="shared" si="26"/>
        <v>8</v>
      </c>
      <c r="L135">
        <f t="shared" si="27"/>
        <v>13266</v>
      </c>
      <c r="M135">
        <f t="shared" si="28"/>
        <v>3183</v>
      </c>
      <c r="N135">
        <f t="shared" si="29"/>
        <v>64449</v>
      </c>
      <c r="O135">
        <f>IF(B135="zagraniczny",K135+O134,O134)</f>
        <v>57</v>
      </c>
    </row>
    <row r="136" spans="1:15" x14ac:dyDescent="0.25">
      <c r="A136">
        <v>4238684</v>
      </c>
      <c r="B136" t="str">
        <f t="shared" si="20"/>
        <v>stacjonarny</v>
      </c>
      <c r="C136" s="1">
        <v>42920</v>
      </c>
      <c r="D136" s="2">
        <v>0.44466435185185182</v>
      </c>
      <c r="E136" s="2">
        <v>0.4535763888888889</v>
      </c>
      <c r="F136" s="2">
        <f t="shared" si="21"/>
        <v>8.9120370370370794E-3</v>
      </c>
      <c r="G136">
        <f t="shared" si="22"/>
        <v>0</v>
      </c>
      <c r="H136">
        <f t="shared" si="23"/>
        <v>12</v>
      </c>
      <c r="I136">
        <f t="shared" si="24"/>
        <v>50</v>
      </c>
      <c r="J136">
        <f t="shared" si="25"/>
        <v>770</v>
      </c>
      <c r="K136">
        <f t="shared" si="26"/>
        <v>13</v>
      </c>
      <c r="L136">
        <f t="shared" si="27"/>
        <v>14036</v>
      </c>
      <c r="M136">
        <f t="shared" si="28"/>
        <v>3183</v>
      </c>
      <c r="N136">
        <f t="shared" si="29"/>
        <v>65219</v>
      </c>
      <c r="O136">
        <f>IF(B136="zagraniczny",K136+O135,O135)</f>
        <v>57</v>
      </c>
    </row>
    <row r="137" spans="1:15" x14ac:dyDescent="0.25">
      <c r="A137">
        <v>86774913</v>
      </c>
      <c r="B137" t="str">
        <f t="shared" si="20"/>
        <v>komorkowy</v>
      </c>
      <c r="C137" s="1">
        <v>42920</v>
      </c>
      <c r="D137" s="2">
        <v>0.44548611111111114</v>
      </c>
      <c r="E137" s="2">
        <v>0.4541898148148148</v>
      </c>
      <c r="F137" s="2">
        <f t="shared" si="21"/>
        <v>8.703703703703658E-3</v>
      </c>
      <c r="G137">
        <f t="shared" si="22"/>
        <v>0</v>
      </c>
      <c r="H137">
        <f t="shared" si="23"/>
        <v>12</v>
      </c>
      <c r="I137">
        <f t="shared" si="24"/>
        <v>32</v>
      </c>
      <c r="J137">
        <f t="shared" si="25"/>
        <v>752</v>
      </c>
      <c r="K137">
        <f t="shared" si="26"/>
        <v>13</v>
      </c>
      <c r="L137">
        <f t="shared" si="27"/>
        <v>14036</v>
      </c>
      <c r="M137">
        <f t="shared" si="28"/>
        <v>3935</v>
      </c>
      <c r="N137">
        <f t="shared" si="29"/>
        <v>65971</v>
      </c>
      <c r="O137">
        <f>IF(B137="zagraniczny",K137+O136,O136)</f>
        <v>57</v>
      </c>
    </row>
    <row r="138" spans="1:15" x14ac:dyDescent="0.25">
      <c r="A138">
        <v>93696449</v>
      </c>
      <c r="B138" t="str">
        <f t="shared" si="20"/>
        <v>komorkowy</v>
      </c>
      <c r="C138" s="1">
        <v>42920</v>
      </c>
      <c r="D138" s="2">
        <v>0.45063657407407409</v>
      </c>
      <c r="E138" s="2">
        <v>0.45581018518518518</v>
      </c>
      <c r="F138" s="2">
        <f t="shared" si="21"/>
        <v>5.1736111111110872E-3</v>
      </c>
      <c r="G138">
        <f t="shared" si="22"/>
        <v>0</v>
      </c>
      <c r="H138">
        <f t="shared" si="23"/>
        <v>7</v>
      </c>
      <c r="I138">
        <f t="shared" si="24"/>
        <v>27</v>
      </c>
      <c r="J138">
        <f t="shared" si="25"/>
        <v>447</v>
      </c>
      <c r="K138">
        <f t="shared" si="26"/>
        <v>8</v>
      </c>
      <c r="L138">
        <f t="shared" si="27"/>
        <v>14036</v>
      </c>
      <c r="M138">
        <f t="shared" si="28"/>
        <v>4382</v>
      </c>
      <c r="N138">
        <f t="shared" si="29"/>
        <v>66418</v>
      </c>
      <c r="O138">
        <f>IF(B138="zagraniczny",K138+O137,O137)</f>
        <v>57</v>
      </c>
    </row>
    <row r="139" spans="1:15" x14ac:dyDescent="0.25">
      <c r="A139">
        <v>1269611</v>
      </c>
      <c r="B139" t="str">
        <f t="shared" si="20"/>
        <v>stacjonarny</v>
      </c>
      <c r="C139" s="1">
        <v>42920</v>
      </c>
      <c r="D139" s="2">
        <v>0.45596064814814813</v>
      </c>
      <c r="E139" s="2">
        <v>0.46010416666666665</v>
      </c>
      <c r="F139" s="2">
        <f t="shared" si="21"/>
        <v>4.1435185185185186E-3</v>
      </c>
      <c r="G139">
        <f t="shared" si="22"/>
        <v>0</v>
      </c>
      <c r="H139">
        <f t="shared" si="23"/>
        <v>5</v>
      </c>
      <c r="I139">
        <f t="shared" si="24"/>
        <v>58</v>
      </c>
      <c r="J139">
        <f t="shared" si="25"/>
        <v>358</v>
      </c>
      <c r="K139">
        <f t="shared" si="26"/>
        <v>6</v>
      </c>
      <c r="L139">
        <f t="shared" si="27"/>
        <v>14394</v>
      </c>
      <c r="M139">
        <f t="shared" si="28"/>
        <v>4382</v>
      </c>
      <c r="N139">
        <f t="shared" si="29"/>
        <v>66776</v>
      </c>
      <c r="O139">
        <f>IF(B139="zagraniczny",K139+O138,O138)</f>
        <v>57</v>
      </c>
    </row>
    <row r="140" spans="1:15" x14ac:dyDescent="0.25">
      <c r="A140">
        <v>4623731</v>
      </c>
      <c r="B140" t="str">
        <f t="shared" si="20"/>
        <v>stacjonarny</v>
      </c>
      <c r="C140" s="1">
        <v>42920</v>
      </c>
      <c r="D140" s="2">
        <v>0.46053240740740742</v>
      </c>
      <c r="E140" s="2">
        <v>0.47131944444444446</v>
      </c>
      <c r="F140" s="2">
        <f t="shared" si="21"/>
        <v>1.0787037037037039E-2</v>
      </c>
      <c r="G140">
        <f t="shared" si="22"/>
        <v>0</v>
      </c>
      <c r="H140">
        <f t="shared" si="23"/>
        <v>15</v>
      </c>
      <c r="I140">
        <f t="shared" si="24"/>
        <v>32</v>
      </c>
      <c r="J140">
        <f t="shared" si="25"/>
        <v>932</v>
      </c>
      <c r="K140">
        <f t="shared" si="26"/>
        <v>16</v>
      </c>
      <c r="L140">
        <f t="shared" si="27"/>
        <v>15326</v>
      </c>
      <c r="M140">
        <f t="shared" si="28"/>
        <v>4382</v>
      </c>
      <c r="N140">
        <f t="shared" si="29"/>
        <v>67708</v>
      </c>
      <c r="O140">
        <f>IF(B140="zagraniczny",K140+O139,O139)</f>
        <v>57</v>
      </c>
    </row>
    <row r="141" spans="1:15" x14ac:dyDescent="0.25">
      <c r="A141">
        <v>4623731</v>
      </c>
      <c r="B141" t="str">
        <f t="shared" si="20"/>
        <v>stacjonarny</v>
      </c>
      <c r="C141" s="1">
        <v>42920</v>
      </c>
      <c r="D141" s="2">
        <v>0.46423611111111113</v>
      </c>
      <c r="E141" s="2">
        <v>0.46842592592592591</v>
      </c>
      <c r="F141" s="2">
        <f t="shared" si="21"/>
        <v>4.1898148148147851E-3</v>
      </c>
      <c r="G141">
        <f t="shared" si="22"/>
        <v>0</v>
      </c>
      <c r="H141">
        <f t="shared" si="23"/>
        <v>6</v>
      </c>
      <c r="I141">
        <f t="shared" si="24"/>
        <v>2</v>
      </c>
      <c r="J141">
        <f t="shared" si="25"/>
        <v>362</v>
      </c>
      <c r="K141">
        <f t="shared" si="26"/>
        <v>7</v>
      </c>
      <c r="L141">
        <f t="shared" si="27"/>
        <v>15688</v>
      </c>
      <c r="M141">
        <f t="shared" si="28"/>
        <v>4382</v>
      </c>
      <c r="N141">
        <f t="shared" si="29"/>
        <v>68070</v>
      </c>
      <c r="O141">
        <f>IF(B141="zagraniczny",K141+O140,O140)</f>
        <v>57</v>
      </c>
    </row>
    <row r="142" spans="1:15" x14ac:dyDescent="0.25">
      <c r="A142">
        <v>3127402</v>
      </c>
      <c r="B142" t="str">
        <f t="shared" si="20"/>
        <v>stacjonarny</v>
      </c>
      <c r="C142" s="1">
        <v>42920</v>
      </c>
      <c r="D142" s="2">
        <v>0.46861111111111109</v>
      </c>
      <c r="E142" s="2">
        <v>0.47747685185185185</v>
      </c>
      <c r="F142" s="2">
        <f t="shared" si="21"/>
        <v>8.8657407407407574E-3</v>
      </c>
      <c r="G142">
        <f t="shared" si="22"/>
        <v>0</v>
      </c>
      <c r="H142">
        <f t="shared" si="23"/>
        <v>12</v>
      </c>
      <c r="I142">
        <f t="shared" si="24"/>
        <v>46</v>
      </c>
      <c r="J142">
        <f t="shared" si="25"/>
        <v>766</v>
      </c>
      <c r="K142">
        <f t="shared" si="26"/>
        <v>13</v>
      </c>
      <c r="L142">
        <f t="shared" si="27"/>
        <v>16454</v>
      </c>
      <c r="M142">
        <f t="shared" si="28"/>
        <v>4382</v>
      </c>
      <c r="N142">
        <f t="shared" si="29"/>
        <v>68836</v>
      </c>
      <c r="O142">
        <f>IF(B142="zagraniczny",K142+O141,O141)</f>
        <v>57</v>
      </c>
    </row>
    <row r="143" spans="1:15" x14ac:dyDescent="0.25">
      <c r="A143">
        <v>1714791</v>
      </c>
      <c r="B143" t="str">
        <f t="shared" si="20"/>
        <v>stacjonarny</v>
      </c>
      <c r="C143" s="1">
        <v>42920</v>
      </c>
      <c r="D143" s="2">
        <v>0.47230324074074076</v>
      </c>
      <c r="E143" s="2">
        <v>0.47288194444444442</v>
      </c>
      <c r="F143" s="2">
        <f t="shared" si="21"/>
        <v>5.7870370370366464E-4</v>
      </c>
      <c r="G143">
        <f t="shared" si="22"/>
        <v>0</v>
      </c>
      <c r="H143">
        <f t="shared" si="23"/>
        <v>0</v>
      </c>
      <c r="I143">
        <f t="shared" si="24"/>
        <v>50</v>
      </c>
      <c r="J143">
        <f t="shared" si="25"/>
        <v>50</v>
      </c>
      <c r="K143">
        <f t="shared" si="26"/>
        <v>1</v>
      </c>
      <c r="L143">
        <f t="shared" si="27"/>
        <v>16504</v>
      </c>
      <c r="M143">
        <f t="shared" si="28"/>
        <v>4382</v>
      </c>
      <c r="N143">
        <f t="shared" si="29"/>
        <v>68886</v>
      </c>
      <c r="O143">
        <f>IF(B143="zagraniczny",K143+O142,O142)</f>
        <v>57</v>
      </c>
    </row>
    <row r="144" spans="1:15" x14ac:dyDescent="0.25">
      <c r="A144">
        <v>7768277</v>
      </c>
      <c r="B144" t="str">
        <f t="shared" si="20"/>
        <v>stacjonarny</v>
      </c>
      <c r="C144" s="1">
        <v>42920</v>
      </c>
      <c r="D144" s="2">
        <v>0.47453703703703703</v>
      </c>
      <c r="E144" s="2">
        <v>0.4800462962962963</v>
      </c>
      <c r="F144" s="2">
        <f t="shared" si="21"/>
        <v>5.5092592592592693E-3</v>
      </c>
      <c r="G144">
        <f t="shared" si="22"/>
        <v>0</v>
      </c>
      <c r="H144">
        <f t="shared" si="23"/>
        <v>7</v>
      </c>
      <c r="I144">
        <f t="shared" si="24"/>
        <v>56</v>
      </c>
      <c r="J144">
        <f t="shared" si="25"/>
        <v>476</v>
      </c>
      <c r="K144">
        <f t="shared" si="26"/>
        <v>8</v>
      </c>
      <c r="L144">
        <f t="shared" si="27"/>
        <v>16980</v>
      </c>
      <c r="M144">
        <f t="shared" si="28"/>
        <v>4382</v>
      </c>
      <c r="N144">
        <f t="shared" si="29"/>
        <v>69362</v>
      </c>
      <c r="O144">
        <f>IF(B144="zagraniczny",K144+O143,O143)</f>
        <v>57</v>
      </c>
    </row>
    <row r="145" spans="1:15" x14ac:dyDescent="0.25">
      <c r="A145">
        <v>4371394</v>
      </c>
      <c r="B145" t="str">
        <f t="shared" si="20"/>
        <v>stacjonarny</v>
      </c>
      <c r="C145" s="1">
        <v>42920</v>
      </c>
      <c r="D145" s="2">
        <v>0.47967592592592595</v>
      </c>
      <c r="E145" s="2">
        <v>0.48236111111111113</v>
      </c>
      <c r="F145" s="2">
        <f t="shared" si="21"/>
        <v>2.6851851851851793E-3</v>
      </c>
      <c r="G145">
        <f t="shared" si="22"/>
        <v>0</v>
      </c>
      <c r="H145">
        <f t="shared" si="23"/>
        <v>3</v>
      </c>
      <c r="I145">
        <f t="shared" si="24"/>
        <v>52</v>
      </c>
      <c r="J145">
        <f t="shared" si="25"/>
        <v>232</v>
      </c>
      <c r="K145">
        <f t="shared" si="26"/>
        <v>4</v>
      </c>
      <c r="L145">
        <f t="shared" si="27"/>
        <v>17212</v>
      </c>
      <c r="M145">
        <f t="shared" si="28"/>
        <v>4382</v>
      </c>
      <c r="N145">
        <f t="shared" si="29"/>
        <v>69594</v>
      </c>
      <c r="O145">
        <f>IF(B145="zagraniczny",K145+O144,O144)</f>
        <v>57</v>
      </c>
    </row>
    <row r="146" spans="1:15" x14ac:dyDescent="0.25">
      <c r="A146">
        <v>9803545</v>
      </c>
      <c r="B146" t="str">
        <f t="shared" si="20"/>
        <v>stacjonarny</v>
      </c>
      <c r="C146" s="1">
        <v>42920</v>
      </c>
      <c r="D146" s="2">
        <v>0.47978009259259258</v>
      </c>
      <c r="E146" s="2">
        <v>0.49125000000000002</v>
      </c>
      <c r="F146" s="2">
        <f t="shared" si="21"/>
        <v>1.1469907407407443E-2</v>
      </c>
      <c r="G146">
        <f t="shared" si="22"/>
        <v>0</v>
      </c>
      <c r="H146">
        <f t="shared" si="23"/>
        <v>16</v>
      </c>
      <c r="I146">
        <f t="shared" si="24"/>
        <v>31</v>
      </c>
      <c r="J146">
        <f t="shared" si="25"/>
        <v>991</v>
      </c>
      <c r="K146">
        <f t="shared" si="26"/>
        <v>17</v>
      </c>
      <c r="L146">
        <f t="shared" si="27"/>
        <v>18203</v>
      </c>
      <c r="M146">
        <f t="shared" si="28"/>
        <v>4382</v>
      </c>
      <c r="N146">
        <f t="shared" si="29"/>
        <v>70585</v>
      </c>
      <c r="O146">
        <f>IF(B146="zagraniczny",K146+O145,O145)</f>
        <v>57</v>
      </c>
    </row>
    <row r="147" spans="1:15" x14ac:dyDescent="0.25">
      <c r="A147">
        <v>4176704</v>
      </c>
      <c r="B147" t="str">
        <f t="shared" si="20"/>
        <v>stacjonarny</v>
      </c>
      <c r="C147" s="1">
        <v>42920</v>
      </c>
      <c r="D147" s="2">
        <v>0.47983796296296294</v>
      </c>
      <c r="E147" s="2">
        <v>0.48949074074074073</v>
      </c>
      <c r="F147" s="2">
        <f t="shared" si="21"/>
        <v>9.6527777777777879E-3</v>
      </c>
      <c r="G147">
        <f t="shared" si="22"/>
        <v>0</v>
      </c>
      <c r="H147">
        <f t="shared" si="23"/>
        <v>13</v>
      </c>
      <c r="I147">
        <f t="shared" si="24"/>
        <v>54</v>
      </c>
      <c r="J147">
        <f t="shared" si="25"/>
        <v>834</v>
      </c>
      <c r="K147">
        <f t="shared" si="26"/>
        <v>14</v>
      </c>
      <c r="L147">
        <f t="shared" si="27"/>
        <v>19037</v>
      </c>
      <c r="M147">
        <f t="shared" si="28"/>
        <v>4382</v>
      </c>
      <c r="N147">
        <f t="shared" si="29"/>
        <v>71419</v>
      </c>
      <c r="O147">
        <f>IF(B147="zagraniczny",K147+O146,O146)</f>
        <v>57</v>
      </c>
    </row>
    <row r="148" spans="1:15" x14ac:dyDescent="0.25">
      <c r="A148">
        <v>90271112</v>
      </c>
      <c r="B148" t="str">
        <f t="shared" si="20"/>
        <v>komorkowy</v>
      </c>
      <c r="C148" s="1">
        <v>42920</v>
      </c>
      <c r="D148" s="2">
        <v>0.4805787037037037</v>
      </c>
      <c r="E148" s="2">
        <v>0.48696759259259259</v>
      </c>
      <c r="F148" s="2">
        <f t="shared" si="21"/>
        <v>6.3888888888888884E-3</v>
      </c>
      <c r="G148">
        <f t="shared" si="22"/>
        <v>0</v>
      </c>
      <c r="H148">
        <f t="shared" si="23"/>
        <v>9</v>
      </c>
      <c r="I148">
        <f t="shared" si="24"/>
        <v>12</v>
      </c>
      <c r="J148">
        <f t="shared" si="25"/>
        <v>552</v>
      </c>
      <c r="K148">
        <f t="shared" si="26"/>
        <v>10</v>
      </c>
      <c r="L148">
        <f t="shared" si="27"/>
        <v>19037</v>
      </c>
      <c r="M148">
        <f t="shared" si="28"/>
        <v>4934</v>
      </c>
      <c r="N148">
        <f t="shared" si="29"/>
        <v>71971</v>
      </c>
      <c r="O148">
        <f>IF(B148="zagraniczny",K148+O147,O147)</f>
        <v>57</v>
      </c>
    </row>
    <row r="149" spans="1:15" x14ac:dyDescent="0.25">
      <c r="A149">
        <v>8136309</v>
      </c>
      <c r="B149" t="str">
        <f t="shared" si="20"/>
        <v>stacjonarny</v>
      </c>
      <c r="C149" s="1">
        <v>42920</v>
      </c>
      <c r="D149" s="2">
        <v>0.48189814814814813</v>
      </c>
      <c r="E149" s="2">
        <v>0.49115740740740743</v>
      </c>
      <c r="F149" s="2">
        <f t="shared" si="21"/>
        <v>9.2592592592593004E-3</v>
      </c>
      <c r="G149">
        <f t="shared" si="22"/>
        <v>0</v>
      </c>
      <c r="H149">
        <f t="shared" si="23"/>
        <v>13</v>
      </c>
      <c r="I149">
        <f t="shared" si="24"/>
        <v>20</v>
      </c>
      <c r="J149">
        <f t="shared" si="25"/>
        <v>800</v>
      </c>
      <c r="K149">
        <f t="shared" si="26"/>
        <v>14</v>
      </c>
      <c r="L149">
        <f t="shared" si="27"/>
        <v>19837</v>
      </c>
      <c r="M149">
        <f t="shared" si="28"/>
        <v>4934</v>
      </c>
      <c r="N149">
        <f t="shared" si="29"/>
        <v>72771</v>
      </c>
      <c r="O149">
        <f>IF(B149="zagraniczny",K149+O148,O148)</f>
        <v>57</v>
      </c>
    </row>
    <row r="150" spans="1:15" x14ac:dyDescent="0.25">
      <c r="A150">
        <v>3178616</v>
      </c>
      <c r="B150" t="str">
        <f t="shared" si="20"/>
        <v>stacjonarny</v>
      </c>
      <c r="C150" s="1">
        <v>42920</v>
      </c>
      <c r="D150" s="2">
        <v>0.48312500000000003</v>
      </c>
      <c r="E150" s="2">
        <v>0.49138888888888888</v>
      </c>
      <c r="F150" s="2">
        <f t="shared" si="21"/>
        <v>8.2638888888888484E-3</v>
      </c>
      <c r="G150">
        <f t="shared" si="22"/>
        <v>0</v>
      </c>
      <c r="H150">
        <f t="shared" si="23"/>
        <v>11</v>
      </c>
      <c r="I150">
        <f t="shared" si="24"/>
        <v>54</v>
      </c>
      <c r="J150">
        <f t="shared" si="25"/>
        <v>714</v>
      </c>
      <c r="K150">
        <f t="shared" si="26"/>
        <v>12</v>
      </c>
      <c r="L150">
        <f t="shared" si="27"/>
        <v>20551</v>
      </c>
      <c r="M150">
        <f t="shared" si="28"/>
        <v>4934</v>
      </c>
      <c r="N150">
        <f t="shared" si="29"/>
        <v>73485</v>
      </c>
      <c r="O150">
        <f>IF(B150="zagraniczny",K150+O149,O149)</f>
        <v>57</v>
      </c>
    </row>
    <row r="151" spans="1:15" x14ac:dyDescent="0.25">
      <c r="A151">
        <v>27791497</v>
      </c>
      <c r="B151" t="str">
        <f t="shared" si="20"/>
        <v>komorkowy</v>
      </c>
      <c r="C151" s="1">
        <v>42920</v>
      </c>
      <c r="D151" s="2">
        <v>0.48803240740740739</v>
      </c>
      <c r="E151" s="2">
        <v>0.49682870370370369</v>
      </c>
      <c r="F151" s="2">
        <f t="shared" si="21"/>
        <v>8.7962962962963021E-3</v>
      </c>
      <c r="G151">
        <f t="shared" si="22"/>
        <v>0</v>
      </c>
      <c r="H151">
        <f t="shared" si="23"/>
        <v>12</v>
      </c>
      <c r="I151">
        <f t="shared" si="24"/>
        <v>40</v>
      </c>
      <c r="J151">
        <f t="shared" si="25"/>
        <v>760</v>
      </c>
      <c r="K151">
        <f t="shared" si="26"/>
        <v>13</v>
      </c>
      <c r="L151">
        <f t="shared" si="27"/>
        <v>20551</v>
      </c>
      <c r="M151">
        <f t="shared" si="28"/>
        <v>5694</v>
      </c>
      <c r="N151">
        <f t="shared" si="29"/>
        <v>74245</v>
      </c>
      <c r="O151">
        <f>IF(B151="zagraniczny",K151+O150,O150)</f>
        <v>57</v>
      </c>
    </row>
    <row r="152" spans="1:15" x14ac:dyDescent="0.25">
      <c r="A152">
        <v>4738129</v>
      </c>
      <c r="B152" t="str">
        <f t="shared" si="20"/>
        <v>stacjonarny</v>
      </c>
      <c r="C152" s="1">
        <v>42920</v>
      </c>
      <c r="D152" s="2">
        <v>0.48979166666666668</v>
      </c>
      <c r="E152" s="2">
        <v>0.500462962962963</v>
      </c>
      <c r="F152" s="2">
        <f t="shared" si="21"/>
        <v>1.0671296296296318E-2</v>
      </c>
      <c r="G152">
        <f t="shared" si="22"/>
        <v>0</v>
      </c>
      <c r="H152">
        <f t="shared" si="23"/>
        <v>15</v>
      </c>
      <c r="I152">
        <f t="shared" si="24"/>
        <v>22</v>
      </c>
      <c r="J152">
        <f t="shared" si="25"/>
        <v>922</v>
      </c>
      <c r="K152">
        <f t="shared" si="26"/>
        <v>16</v>
      </c>
      <c r="L152">
        <f t="shared" si="27"/>
        <v>21473</v>
      </c>
      <c r="M152">
        <f t="shared" si="28"/>
        <v>5694</v>
      </c>
      <c r="N152">
        <f t="shared" si="29"/>
        <v>75167</v>
      </c>
      <c r="O152">
        <f>IF(B152="zagraniczny",K152+O151,O151)</f>
        <v>57</v>
      </c>
    </row>
    <row r="153" spans="1:15" x14ac:dyDescent="0.25">
      <c r="A153">
        <v>54840810</v>
      </c>
      <c r="B153" t="str">
        <f t="shared" si="20"/>
        <v>komorkowy</v>
      </c>
      <c r="C153" s="1">
        <v>42920</v>
      </c>
      <c r="D153" s="2">
        <v>0.49430555555555555</v>
      </c>
      <c r="E153" s="2">
        <v>0.50231481481481477</v>
      </c>
      <c r="F153" s="2">
        <f t="shared" si="21"/>
        <v>8.009259259259216E-3</v>
      </c>
      <c r="G153">
        <f t="shared" si="22"/>
        <v>0</v>
      </c>
      <c r="H153">
        <f t="shared" si="23"/>
        <v>11</v>
      </c>
      <c r="I153">
        <f t="shared" si="24"/>
        <v>32</v>
      </c>
      <c r="J153">
        <f t="shared" si="25"/>
        <v>692</v>
      </c>
      <c r="K153">
        <f t="shared" si="26"/>
        <v>12</v>
      </c>
      <c r="L153">
        <f t="shared" si="27"/>
        <v>21473</v>
      </c>
      <c r="M153">
        <f t="shared" si="28"/>
        <v>6386</v>
      </c>
      <c r="N153">
        <f t="shared" si="29"/>
        <v>75859</v>
      </c>
      <c r="O153">
        <f>IF(B153="zagraniczny",K153+O152,O152)</f>
        <v>57</v>
      </c>
    </row>
    <row r="154" spans="1:15" x14ac:dyDescent="0.25">
      <c r="A154">
        <v>8885606</v>
      </c>
      <c r="B154" t="str">
        <f t="shared" si="20"/>
        <v>stacjonarny</v>
      </c>
      <c r="C154" s="1">
        <v>42920</v>
      </c>
      <c r="D154" s="2">
        <v>0.49984953703703705</v>
      </c>
      <c r="E154" s="2">
        <v>0.50960648148148147</v>
      </c>
      <c r="F154" s="2">
        <f t="shared" si="21"/>
        <v>9.7569444444444153E-3</v>
      </c>
      <c r="G154">
        <f t="shared" si="22"/>
        <v>0</v>
      </c>
      <c r="H154">
        <f t="shared" si="23"/>
        <v>14</v>
      </c>
      <c r="I154">
        <f t="shared" si="24"/>
        <v>3</v>
      </c>
      <c r="J154">
        <f t="shared" si="25"/>
        <v>843</v>
      </c>
      <c r="K154">
        <f t="shared" si="26"/>
        <v>15</v>
      </c>
      <c r="L154">
        <f t="shared" si="27"/>
        <v>22316</v>
      </c>
      <c r="M154">
        <f t="shared" si="28"/>
        <v>6386</v>
      </c>
      <c r="N154">
        <f t="shared" si="29"/>
        <v>76702</v>
      </c>
      <c r="O154">
        <f>IF(B154="zagraniczny",K154+O153,O153)</f>
        <v>57</v>
      </c>
    </row>
    <row r="155" spans="1:15" x14ac:dyDescent="0.25">
      <c r="A155">
        <v>6730442</v>
      </c>
      <c r="B155" t="str">
        <f t="shared" si="20"/>
        <v>stacjonarny</v>
      </c>
      <c r="C155" s="1">
        <v>42920</v>
      </c>
      <c r="D155" s="2">
        <v>0.50063657407407403</v>
      </c>
      <c r="E155" s="2">
        <v>0.50876157407407407</v>
      </c>
      <c r="F155" s="2">
        <f t="shared" si="21"/>
        <v>8.1250000000000488E-3</v>
      </c>
      <c r="G155">
        <f t="shared" si="22"/>
        <v>0</v>
      </c>
      <c r="H155">
        <f t="shared" si="23"/>
        <v>11</v>
      </c>
      <c r="I155">
        <f t="shared" si="24"/>
        <v>42</v>
      </c>
      <c r="J155">
        <f t="shared" si="25"/>
        <v>702</v>
      </c>
      <c r="K155">
        <f t="shared" si="26"/>
        <v>12</v>
      </c>
      <c r="L155">
        <f t="shared" si="27"/>
        <v>23018</v>
      </c>
      <c r="M155">
        <f t="shared" si="28"/>
        <v>6386</v>
      </c>
      <c r="N155">
        <f t="shared" si="29"/>
        <v>77404</v>
      </c>
      <c r="O155">
        <f>IF(B155="zagraniczny",K155+O154,O154)</f>
        <v>57</v>
      </c>
    </row>
    <row r="156" spans="1:15" x14ac:dyDescent="0.25">
      <c r="A156">
        <v>3326913</v>
      </c>
      <c r="B156" t="str">
        <f t="shared" si="20"/>
        <v>stacjonarny</v>
      </c>
      <c r="C156" s="1">
        <v>42920</v>
      </c>
      <c r="D156" s="2">
        <v>0.50594907407407408</v>
      </c>
      <c r="E156" s="2">
        <v>0.5154050925925926</v>
      </c>
      <c r="F156" s="2">
        <f t="shared" si="21"/>
        <v>9.4560185185185164E-3</v>
      </c>
      <c r="G156">
        <f t="shared" si="22"/>
        <v>0</v>
      </c>
      <c r="H156">
        <f t="shared" si="23"/>
        <v>13</v>
      </c>
      <c r="I156">
        <f t="shared" si="24"/>
        <v>37</v>
      </c>
      <c r="J156">
        <f t="shared" si="25"/>
        <v>817</v>
      </c>
      <c r="K156">
        <f t="shared" si="26"/>
        <v>14</v>
      </c>
      <c r="L156">
        <f t="shared" si="27"/>
        <v>23835</v>
      </c>
      <c r="M156">
        <f t="shared" si="28"/>
        <v>6386</v>
      </c>
      <c r="N156">
        <f t="shared" si="29"/>
        <v>78221</v>
      </c>
      <c r="O156">
        <f>IF(B156="zagraniczny",K156+O155,O155)</f>
        <v>57</v>
      </c>
    </row>
    <row r="157" spans="1:15" x14ac:dyDescent="0.25">
      <c r="A157">
        <v>9865716</v>
      </c>
      <c r="B157" t="str">
        <f t="shared" si="20"/>
        <v>stacjonarny</v>
      </c>
      <c r="C157" s="1">
        <v>42920</v>
      </c>
      <c r="D157" s="2">
        <v>0.51076388888888891</v>
      </c>
      <c r="E157" s="2">
        <v>0.51890046296296299</v>
      </c>
      <c r="F157" s="2">
        <f t="shared" si="21"/>
        <v>8.1365740740740877E-3</v>
      </c>
      <c r="G157">
        <f t="shared" si="22"/>
        <v>0</v>
      </c>
      <c r="H157">
        <f t="shared" si="23"/>
        <v>11</v>
      </c>
      <c r="I157">
        <f t="shared" si="24"/>
        <v>43</v>
      </c>
      <c r="J157">
        <f t="shared" si="25"/>
        <v>703</v>
      </c>
      <c r="K157">
        <f t="shared" si="26"/>
        <v>12</v>
      </c>
      <c r="L157">
        <f t="shared" si="27"/>
        <v>24538</v>
      </c>
      <c r="M157">
        <f t="shared" si="28"/>
        <v>6386</v>
      </c>
      <c r="N157">
        <f t="shared" si="29"/>
        <v>78924</v>
      </c>
      <c r="O157">
        <f>IF(B157="zagraniczny",K157+O156,O156)</f>
        <v>57</v>
      </c>
    </row>
    <row r="158" spans="1:15" x14ac:dyDescent="0.25">
      <c r="A158">
        <v>73284745</v>
      </c>
      <c r="B158" t="str">
        <f t="shared" si="20"/>
        <v>komorkowy</v>
      </c>
      <c r="C158" s="1">
        <v>42920</v>
      </c>
      <c r="D158" s="2">
        <v>0.51451388888888894</v>
      </c>
      <c r="E158" s="2">
        <v>0.51857638888888891</v>
      </c>
      <c r="F158" s="2">
        <f t="shared" si="21"/>
        <v>4.0624999999999689E-3</v>
      </c>
      <c r="G158">
        <f t="shared" si="22"/>
        <v>0</v>
      </c>
      <c r="H158">
        <f t="shared" si="23"/>
        <v>5</v>
      </c>
      <c r="I158">
        <f t="shared" si="24"/>
        <v>51</v>
      </c>
      <c r="J158">
        <f t="shared" si="25"/>
        <v>351</v>
      </c>
      <c r="K158">
        <f t="shared" si="26"/>
        <v>6</v>
      </c>
      <c r="L158">
        <f t="shared" si="27"/>
        <v>24538</v>
      </c>
      <c r="M158">
        <f t="shared" si="28"/>
        <v>6737</v>
      </c>
      <c r="N158">
        <f t="shared" si="29"/>
        <v>79275</v>
      </c>
      <c r="O158">
        <f>IF(B158="zagraniczny",K158+O157,O157)</f>
        <v>57</v>
      </c>
    </row>
    <row r="159" spans="1:15" x14ac:dyDescent="0.25">
      <c r="A159">
        <v>1761255</v>
      </c>
      <c r="B159" t="str">
        <f t="shared" si="20"/>
        <v>stacjonarny</v>
      </c>
      <c r="C159" s="1">
        <v>42920</v>
      </c>
      <c r="D159" s="2">
        <v>0.51958333333333329</v>
      </c>
      <c r="E159" s="2">
        <v>0.52266203703703706</v>
      </c>
      <c r="F159" s="2">
        <f t="shared" si="21"/>
        <v>3.0787037037037779E-3</v>
      </c>
      <c r="G159">
        <f t="shared" si="22"/>
        <v>0</v>
      </c>
      <c r="H159">
        <f t="shared" si="23"/>
        <v>4</v>
      </c>
      <c r="I159">
        <f t="shared" si="24"/>
        <v>26</v>
      </c>
      <c r="J159">
        <f t="shared" si="25"/>
        <v>266</v>
      </c>
      <c r="K159">
        <f t="shared" si="26"/>
        <v>5</v>
      </c>
      <c r="L159">
        <f t="shared" si="27"/>
        <v>24804</v>
      </c>
      <c r="M159">
        <f t="shared" si="28"/>
        <v>6737</v>
      </c>
      <c r="N159">
        <f t="shared" si="29"/>
        <v>79541</v>
      </c>
      <c r="O159">
        <f>IF(B159="zagraniczny",K159+O158,O158)</f>
        <v>57</v>
      </c>
    </row>
    <row r="160" spans="1:15" x14ac:dyDescent="0.25">
      <c r="A160">
        <v>48625903</v>
      </c>
      <c r="B160" t="str">
        <f t="shared" si="20"/>
        <v>komorkowy</v>
      </c>
      <c r="C160" s="1">
        <v>42920</v>
      </c>
      <c r="D160" s="2">
        <v>0.52303240740740742</v>
      </c>
      <c r="E160" s="2">
        <v>0.523900462962963</v>
      </c>
      <c r="F160" s="2">
        <f t="shared" si="21"/>
        <v>8.6805555555558023E-4</v>
      </c>
      <c r="G160">
        <f t="shared" si="22"/>
        <v>0</v>
      </c>
      <c r="H160">
        <f t="shared" si="23"/>
        <v>1</v>
      </c>
      <c r="I160">
        <f t="shared" si="24"/>
        <v>15</v>
      </c>
      <c r="J160">
        <f t="shared" si="25"/>
        <v>75</v>
      </c>
      <c r="K160">
        <f t="shared" si="26"/>
        <v>2</v>
      </c>
      <c r="L160">
        <f t="shared" si="27"/>
        <v>24804</v>
      </c>
      <c r="M160">
        <f t="shared" si="28"/>
        <v>6812</v>
      </c>
      <c r="N160">
        <f t="shared" si="29"/>
        <v>79616</v>
      </c>
      <c r="O160">
        <f>IF(B160="zagraniczny",K160+O159,O159)</f>
        <v>57</v>
      </c>
    </row>
    <row r="161" spans="1:15" x14ac:dyDescent="0.25">
      <c r="A161">
        <v>2235911</v>
      </c>
      <c r="B161" t="str">
        <f t="shared" si="20"/>
        <v>stacjonarny</v>
      </c>
      <c r="C161" s="1">
        <v>42920</v>
      </c>
      <c r="D161" s="2">
        <v>0.52454861111111106</v>
      </c>
      <c r="E161" s="2">
        <v>0.53546296296296292</v>
      </c>
      <c r="F161" s="2">
        <f t="shared" si="21"/>
        <v>1.0914351851851856E-2</v>
      </c>
      <c r="G161">
        <f t="shared" si="22"/>
        <v>0</v>
      </c>
      <c r="H161">
        <f t="shared" si="23"/>
        <v>15</v>
      </c>
      <c r="I161">
        <f t="shared" si="24"/>
        <v>43</v>
      </c>
      <c r="J161">
        <f t="shared" si="25"/>
        <v>943</v>
      </c>
      <c r="K161">
        <f t="shared" si="26"/>
        <v>16</v>
      </c>
      <c r="L161">
        <f t="shared" si="27"/>
        <v>25747</v>
      </c>
      <c r="M161">
        <f t="shared" si="28"/>
        <v>6812</v>
      </c>
      <c r="N161">
        <f t="shared" si="29"/>
        <v>80559</v>
      </c>
      <c r="O161">
        <f>IF(B161="zagraniczny",K161+O160,O160)</f>
        <v>57</v>
      </c>
    </row>
    <row r="162" spans="1:15" x14ac:dyDescent="0.25">
      <c r="A162">
        <v>18036364</v>
      </c>
      <c r="B162" t="str">
        <f t="shared" si="20"/>
        <v>komorkowy</v>
      </c>
      <c r="C162" s="1">
        <v>42920</v>
      </c>
      <c r="D162" s="2">
        <v>0.53015046296296298</v>
      </c>
      <c r="E162" s="2">
        <v>0.53275462962962961</v>
      </c>
      <c r="F162" s="2">
        <f t="shared" si="21"/>
        <v>2.6041666666666297E-3</v>
      </c>
      <c r="G162">
        <f t="shared" si="22"/>
        <v>0</v>
      </c>
      <c r="H162">
        <f t="shared" si="23"/>
        <v>3</v>
      </c>
      <c r="I162">
        <f t="shared" si="24"/>
        <v>45</v>
      </c>
      <c r="J162">
        <f t="shared" si="25"/>
        <v>225</v>
      </c>
      <c r="K162">
        <f t="shared" si="26"/>
        <v>4</v>
      </c>
      <c r="L162">
        <f t="shared" si="27"/>
        <v>25747</v>
      </c>
      <c r="M162">
        <f t="shared" si="28"/>
        <v>7037</v>
      </c>
      <c r="N162">
        <f t="shared" si="29"/>
        <v>80784</v>
      </c>
      <c r="O162">
        <f>IF(B162="zagraniczny",K162+O161,O161)</f>
        <v>57</v>
      </c>
    </row>
    <row r="163" spans="1:15" x14ac:dyDescent="0.25">
      <c r="A163">
        <v>38063903</v>
      </c>
      <c r="B163" t="str">
        <f t="shared" si="20"/>
        <v>komorkowy</v>
      </c>
      <c r="C163" s="1">
        <v>42920</v>
      </c>
      <c r="D163" s="2">
        <v>0.53465277777777775</v>
      </c>
      <c r="E163" s="2">
        <v>0.53925925925925922</v>
      </c>
      <c r="F163" s="2">
        <f t="shared" si="21"/>
        <v>4.6064814814814614E-3</v>
      </c>
      <c r="G163">
        <f t="shared" si="22"/>
        <v>0</v>
      </c>
      <c r="H163">
        <f t="shared" si="23"/>
        <v>6</v>
      </c>
      <c r="I163">
        <f t="shared" si="24"/>
        <v>38</v>
      </c>
      <c r="J163">
        <f t="shared" si="25"/>
        <v>398</v>
      </c>
      <c r="K163">
        <f t="shared" si="26"/>
        <v>7</v>
      </c>
      <c r="L163">
        <f t="shared" si="27"/>
        <v>25747</v>
      </c>
      <c r="M163">
        <f t="shared" si="28"/>
        <v>7435</v>
      </c>
      <c r="N163">
        <f t="shared" si="29"/>
        <v>81182</v>
      </c>
      <c r="O163">
        <f>IF(B163="zagraniczny",K163+O162,O162)</f>
        <v>57</v>
      </c>
    </row>
    <row r="164" spans="1:15" x14ac:dyDescent="0.25">
      <c r="A164">
        <v>4555937</v>
      </c>
      <c r="B164" t="str">
        <f t="shared" si="20"/>
        <v>stacjonarny</v>
      </c>
      <c r="C164" s="1">
        <v>42920</v>
      </c>
      <c r="D164" s="2">
        <v>0.53748842592592594</v>
      </c>
      <c r="E164" s="2">
        <v>0.54775462962962962</v>
      </c>
      <c r="F164" s="2">
        <f t="shared" si="21"/>
        <v>1.026620370370368E-2</v>
      </c>
      <c r="G164">
        <f t="shared" si="22"/>
        <v>0</v>
      </c>
      <c r="H164">
        <f t="shared" si="23"/>
        <v>14</v>
      </c>
      <c r="I164">
        <f t="shared" si="24"/>
        <v>47</v>
      </c>
      <c r="J164">
        <f t="shared" si="25"/>
        <v>887</v>
      </c>
      <c r="K164">
        <f t="shared" si="26"/>
        <v>15</v>
      </c>
      <c r="L164">
        <f t="shared" si="27"/>
        <v>26634</v>
      </c>
      <c r="M164">
        <f t="shared" si="28"/>
        <v>7435</v>
      </c>
      <c r="N164">
        <f t="shared" si="29"/>
        <v>82069</v>
      </c>
      <c r="O164">
        <f>IF(B164="zagraniczny",K164+O163,O163)</f>
        <v>57</v>
      </c>
    </row>
    <row r="165" spans="1:15" x14ac:dyDescent="0.25">
      <c r="A165">
        <v>9422310</v>
      </c>
      <c r="B165" t="str">
        <f t="shared" si="20"/>
        <v>stacjonarny</v>
      </c>
      <c r="C165" s="1">
        <v>42920</v>
      </c>
      <c r="D165" s="2">
        <v>0.54137731481481477</v>
      </c>
      <c r="E165" s="2">
        <v>0.5506712962962963</v>
      </c>
      <c r="F165" s="2">
        <f t="shared" si="21"/>
        <v>9.293981481481528E-3</v>
      </c>
      <c r="G165">
        <f t="shared" si="22"/>
        <v>0</v>
      </c>
      <c r="H165">
        <f t="shared" si="23"/>
        <v>13</v>
      </c>
      <c r="I165">
        <f t="shared" si="24"/>
        <v>23</v>
      </c>
      <c r="J165">
        <f t="shared" si="25"/>
        <v>803</v>
      </c>
      <c r="K165">
        <f t="shared" si="26"/>
        <v>14</v>
      </c>
      <c r="L165">
        <f t="shared" si="27"/>
        <v>27437</v>
      </c>
      <c r="M165">
        <f t="shared" si="28"/>
        <v>7435</v>
      </c>
      <c r="N165">
        <f t="shared" si="29"/>
        <v>82872</v>
      </c>
      <c r="O165">
        <f>IF(B165="zagraniczny",K165+O164,O164)</f>
        <v>57</v>
      </c>
    </row>
    <row r="166" spans="1:15" x14ac:dyDescent="0.25">
      <c r="A166">
        <v>16999529</v>
      </c>
      <c r="B166" t="str">
        <f t="shared" si="20"/>
        <v>komorkowy</v>
      </c>
      <c r="C166" s="1">
        <v>42920</v>
      </c>
      <c r="D166" s="2">
        <v>0.54395833333333332</v>
      </c>
      <c r="E166" s="2">
        <v>0.54451388888888885</v>
      </c>
      <c r="F166" s="2">
        <f t="shared" si="21"/>
        <v>5.5555555555553138E-4</v>
      </c>
      <c r="G166">
        <f t="shared" si="22"/>
        <v>0</v>
      </c>
      <c r="H166">
        <f t="shared" si="23"/>
        <v>0</v>
      </c>
      <c r="I166">
        <f t="shared" si="24"/>
        <v>48</v>
      </c>
      <c r="J166">
        <f t="shared" si="25"/>
        <v>48</v>
      </c>
      <c r="K166">
        <f t="shared" si="26"/>
        <v>1</v>
      </c>
      <c r="L166">
        <f t="shared" si="27"/>
        <v>27437</v>
      </c>
      <c r="M166">
        <f t="shared" si="28"/>
        <v>7483</v>
      </c>
      <c r="N166">
        <f t="shared" si="29"/>
        <v>82920</v>
      </c>
      <c r="O166">
        <f>IF(B166="zagraniczny",K166+O165,O165)</f>
        <v>57</v>
      </c>
    </row>
    <row r="167" spans="1:15" x14ac:dyDescent="0.25">
      <c r="A167">
        <v>8385222</v>
      </c>
      <c r="B167" t="str">
        <f t="shared" si="20"/>
        <v>stacjonarny</v>
      </c>
      <c r="C167" s="1">
        <v>42920</v>
      </c>
      <c r="D167" s="2">
        <v>0.5455092592592593</v>
      </c>
      <c r="E167" s="2">
        <v>0.54748842592592595</v>
      </c>
      <c r="F167" s="2">
        <f t="shared" si="21"/>
        <v>1.979166666666643E-3</v>
      </c>
      <c r="G167">
        <f t="shared" si="22"/>
        <v>0</v>
      </c>
      <c r="H167">
        <f t="shared" si="23"/>
        <v>2</v>
      </c>
      <c r="I167">
        <f t="shared" si="24"/>
        <v>51</v>
      </c>
      <c r="J167">
        <f t="shared" si="25"/>
        <v>171</v>
      </c>
      <c r="K167">
        <f t="shared" si="26"/>
        <v>3</v>
      </c>
      <c r="L167">
        <f t="shared" si="27"/>
        <v>27608</v>
      </c>
      <c r="M167">
        <f t="shared" si="28"/>
        <v>7483</v>
      </c>
      <c r="N167">
        <f t="shared" si="29"/>
        <v>83091</v>
      </c>
      <c r="O167">
        <f>IF(B167="zagraniczny",K167+O166,O166)</f>
        <v>57</v>
      </c>
    </row>
    <row r="168" spans="1:15" x14ac:dyDescent="0.25">
      <c r="A168">
        <v>8086847</v>
      </c>
      <c r="B168" t="str">
        <f t="shared" si="20"/>
        <v>stacjonarny</v>
      </c>
      <c r="C168" s="1">
        <v>42920</v>
      </c>
      <c r="D168" s="2">
        <v>0.54909722222222224</v>
      </c>
      <c r="E168" s="2">
        <v>0.5524768518518518</v>
      </c>
      <c r="F168" s="2">
        <f t="shared" si="21"/>
        <v>3.3796296296295658E-3</v>
      </c>
      <c r="G168">
        <f t="shared" si="22"/>
        <v>0</v>
      </c>
      <c r="H168">
        <f t="shared" si="23"/>
        <v>4</v>
      </c>
      <c r="I168">
        <f t="shared" si="24"/>
        <v>52</v>
      </c>
      <c r="J168">
        <f t="shared" si="25"/>
        <v>292</v>
      </c>
      <c r="K168">
        <f t="shared" si="26"/>
        <v>5</v>
      </c>
      <c r="L168">
        <f t="shared" si="27"/>
        <v>27900</v>
      </c>
      <c r="M168">
        <f t="shared" si="28"/>
        <v>7483</v>
      </c>
      <c r="N168">
        <f t="shared" si="29"/>
        <v>83383</v>
      </c>
      <c r="O168">
        <f>IF(B168="zagraniczny",K168+O167,O167)</f>
        <v>57</v>
      </c>
    </row>
    <row r="169" spans="1:15" x14ac:dyDescent="0.25">
      <c r="A169">
        <v>5215912</v>
      </c>
      <c r="B169" t="str">
        <f t="shared" si="20"/>
        <v>stacjonarny</v>
      </c>
      <c r="C169" s="1">
        <v>42920</v>
      </c>
      <c r="D169" s="2">
        <v>0.5512731481481481</v>
      </c>
      <c r="E169" s="2">
        <v>0.55435185185185187</v>
      </c>
      <c r="F169" s="2">
        <f t="shared" si="21"/>
        <v>3.0787037037037779E-3</v>
      </c>
      <c r="G169">
        <f t="shared" si="22"/>
        <v>0</v>
      </c>
      <c r="H169">
        <f t="shared" si="23"/>
        <v>4</v>
      </c>
      <c r="I169">
        <f t="shared" si="24"/>
        <v>26</v>
      </c>
      <c r="J169">
        <f t="shared" si="25"/>
        <v>266</v>
      </c>
      <c r="K169">
        <f t="shared" si="26"/>
        <v>5</v>
      </c>
      <c r="L169">
        <f t="shared" si="27"/>
        <v>28166</v>
      </c>
      <c r="M169">
        <f t="shared" si="28"/>
        <v>7483</v>
      </c>
      <c r="N169">
        <f t="shared" si="29"/>
        <v>83649</v>
      </c>
      <c r="O169">
        <f>IF(B169="zagraniczny",K169+O168,O168)</f>
        <v>57</v>
      </c>
    </row>
    <row r="170" spans="1:15" x14ac:dyDescent="0.25">
      <c r="A170">
        <v>1973826522</v>
      </c>
      <c r="B170" t="str">
        <f t="shared" si="20"/>
        <v>zagraniczny</v>
      </c>
      <c r="C170" s="1">
        <v>42920</v>
      </c>
      <c r="D170" s="2">
        <v>0.5553703703703704</v>
      </c>
      <c r="E170" s="2">
        <v>0.55833333333333335</v>
      </c>
      <c r="F170" s="2">
        <f t="shared" si="21"/>
        <v>2.962962962962945E-3</v>
      </c>
      <c r="G170">
        <f t="shared" si="22"/>
        <v>0</v>
      </c>
      <c r="H170">
        <f t="shared" si="23"/>
        <v>4</v>
      </c>
      <c r="I170">
        <f t="shared" si="24"/>
        <v>16</v>
      </c>
      <c r="J170">
        <f t="shared" si="25"/>
        <v>256</v>
      </c>
      <c r="K170">
        <f t="shared" si="26"/>
        <v>5</v>
      </c>
      <c r="L170">
        <f t="shared" si="27"/>
        <v>28166</v>
      </c>
      <c r="M170">
        <f t="shared" si="28"/>
        <v>7483</v>
      </c>
      <c r="N170">
        <f t="shared" si="29"/>
        <v>83649</v>
      </c>
      <c r="O170">
        <f>IF(B170="zagraniczny",K170+O169,O169)</f>
        <v>62</v>
      </c>
    </row>
    <row r="171" spans="1:15" x14ac:dyDescent="0.25">
      <c r="A171">
        <v>2255197</v>
      </c>
      <c r="B171" t="str">
        <f t="shared" si="20"/>
        <v>stacjonarny</v>
      </c>
      <c r="C171" s="1">
        <v>42920</v>
      </c>
      <c r="D171" s="2">
        <v>0.55905092592592598</v>
      </c>
      <c r="E171" s="2">
        <v>0.56342592592592589</v>
      </c>
      <c r="F171" s="2">
        <f t="shared" si="21"/>
        <v>4.3749999999999067E-3</v>
      </c>
      <c r="G171">
        <f t="shared" si="22"/>
        <v>0</v>
      </c>
      <c r="H171">
        <f t="shared" si="23"/>
        <v>6</v>
      </c>
      <c r="I171">
        <f t="shared" si="24"/>
        <v>18</v>
      </c>
      <c r="J171">
        <f t="shared" si="25"/>
        <v>378</v>
      </c>
      <c r="K171">
        <f t="shared" si="26"/>
        <v>7</v>
      </c>
      <c r="L171">
        <f t="shared" si="27"/>
        <v>28544</v>
      </c>
      <c r="M171">
        <f t="shared" si="28"/>
        <v>7483</v>
      </c>
      <c r="N171">
        <f t="shared" si="29"/>
        <v>84027</v>
      </c>
      <c r="O171">
        <f>IF(B171="zagraniczny",K171+O170,O170)</f>
        <v>62</v>
      </c>
    </row>
    <row r="172" spans="1:15" x14ac:dyDescent="0.25">
      <c r="A172">
        <v>6719542</v>
      </c>
      <c r="B172" t="str">
        <f t="shared" si="20"/>
        <v>stacjonarny</v>
      </c>
      <c r="C172" s="1">
        <v>42920</v>
      </c>
      <c r="D172" s="2">
        <v>0.5638657407407407</v>
      </c>
      <c r="E172" s="2">
        <v>0.56425925925925924</v>
      </c>
      <c r="F172" s="2">
        <f t="shared" si="21"/>
        <v>3.9351851851854303E-4</v>
      </c>
      <c r="G172">
        <f t="shared" si="22"/>
        <v>0</v>
      </c>
      <c r="H172">
        <f t="shared" si="23"/>
        <v>0</v>
      </c>
      <c r="I172">
        <f t="shared" si="24"/>
        <v>34</v>
      </c>
      <c r="J172">
        <f t="shared" si="25"/>
        <v>34</v>
      </c>
      <c r="K172">
        <f t="shared" si="26"/>
        <v>1</v>
      </c>
      <c r="L172">
        <f t="shared" si="27"/>
        <v>28578</v>
      </c>
      <c r="M172">
        <f t="shared" si="28"/>
        <v>7483</v>
      </c>
      <c r="N172">
        <f t="shared" si="29"/>
        <v>84061</v>
      </c>
      <c r="O172">
        <f>IF(B172="zagraniczny",K172+O171,O171)</f>
        <v>62</v>
      </c>
    </row>
    <row r="173" spans="1:15" x14ac:dyDescent="0.25">
      <c r="A173">
        <v>1837797</v>
      </c>
      <c r="B173" t="str">
        <f t="shared" si="20"/>
        <v>stacjonarny</v>
      </c>
      <c r="C173" s="1">
        <v>42920</v>
      </c>
      <c r="D173" s="2">
        <v>0.5688657407407407</v>
      </c>
      <c r="E173" s="2">
        <v>0.57524305555555555</v>
      </c>
      <c r="F173" s="2">
        <f t="shared" si="21"/>
        <v>6.3773148148148495E-3</v>
      </c>
      <c r="G173">
        <f t="shared" si="22"/>
        <v>0</v>
      </c>
      <c r="H173">
        <f t="shared" si="23"/>
        <v>9</v>
      </c>
      <c r="I173">
        <f t="shared" si="24"/>
        <v>11</v>
      </c>
      <c r="J173">
        <f t="shared" si="25"/>
        <v>551</v>
      </c>
      <c r="K173">
        <f t="shared" si="26"/>
        <v>10</v>
      </c>
      <c r="L173">
        <f t="shared" si="27"/>
        <v>29129</v>
      </c>
      <c r="M173">
        <f t="shared" si="28"/>
        <v>7483</v>
      </c>
      <c r="N173">
        <f t="shared" si="29"/>
        <v>84612</v>
      </c>
      <c r="O173">
        <f>IF(B173="zagraniczny",K173+O172,O172)</f>
        <v>62</v>
      </c>
    </row>
    <row r="174" spans="1:15" x14ac:dyDescent="0.25">
      <c r="A174">
        <v>6772052</v>
      </c>
      <c r="B174" t="str">
        <f t="shared" si="20"/>
        <v>stacjonarny</v>
      </c>
      <c r="C174" s="1">
        <v>42920</v>
      </c>
      <c r="D174" s="2">
        <v>0.57204861111111116</v>
      </c>
      <c r="E174" s="2">
        <v>0.57371527777777775</v>
      </c>
      <c r="F174" s="2">
        <f t="shared" si="21"/>
        <v>1.6666666666665941E-3</v>
      </c>
      <c r="G174">
        <f t="shared" si="22"/>
        <v>0</v>
      </c>
      <c r="H174">
        <f t="shared" si="23"/>
        <v>2</v>
      </c>
      <c r="I174">
        <f t="shared" si="24"/>
        <v>24</v>
      </c>
      <c r="J174">
        <f t="shared" si="25"/>
        <v>144</v>
      </c>
      <c r="K174">
        <f t="shared" si="26"/>
        <v>3</v>
      </c>
      <c r="L174">
        <f t="shared" si="27"/>
        <v>29273</v>
      </c>
      <c r="M174">
        <f t="shared" si="28"/>
        <v>7483</v>
      </c>
      <c r="N174">
        <f t="shared" si="29"/>
        <v>84756</v>
      </c>
      <c r="O174">
        <f>IF(B174="zagraniczny",K174+O173,O173)</f>
        <v>62</v>
      </c>
    </row>
    <row r="175" spans="1:15" x14ac:dyDescent="0.25">
      <c r="A175">
        <v>6495517</v>
      </c>
      <c r="B175" t="str">
        <f t="shared" si="20"/>
        <v>stacjonarny</v>
      </c>
      <c r="C175" s="1">
        <v>42920</v>
      </c>
      <c r="D175" s="2">
        <v>0.57347222222222227</v>
      </c>
      <c r="E175" s="2">
        <v>0.58420138888888884</v>
      </c>
      <c r="F175" s="2">
        <f t="shared" si="21"/>
        <v>1.0729166666666567E-2</v>
      </c>
      <c r="G175">
        <f t="shared" si="22"/>
        <v>0</v>
      </c>
      <c r="H175">
        <f t="shared" si="23"/>
        <v>15</v>
      </c>
      <c r="I175">
        <f t="shared" si="24"/>
        <v>27</v>
      </c>
      <c r="J175">
        <f t="shared" si="25"/>
        <v>927</v>
      </c>
      <c r="K175">
        <f t="shared" si="26"/>
        <v>16</v>
      </c>
      <c r="L175">
        <f t="shared" si="27"/>
        <v>30200</v>
      </c>
      <c r="M175">
        <f t="shared" si="28"/>
        <v>7483</v>
      </c>
      <c r="N175">
        <f t="shared" si="29"/>
        <v>85683</v>
      </c>
      <c r="O175">
        <f>IF(B175="zagraniczny",K175+O174,O174)</f>
        <v>62</v>
      </c>
    </row>
    <row r="176" spans="1:15" x14ac:dyDescent="0.25">
      <c r="A176">
        <v>6275284312</v>
      </c>
      <c r="B176" t="str">
        <f t="shared" si="20"/>
        <v>zagraniczny</v>
      </c>
      <c r="C176" s="1">
        <v>42920</v>
      </c>
      <c r="D176" s="2">
        <v>0.57861111111111108</v>
      </c>
      <c r="E176" s="2">
        <v>0.58296296296296302</v>
      </c>
      <c r="F176" s="2">
        <f t="shared" si="21"/>
        <v>4.35185185185194E-3</v>
      </c>
      <c r="G176">
        <f t="shared" si="22"/>
        <v>0</v>
      </c>
      <c r="H176">
        <f t="shared" si="23"/>
        <v>6</v>
      </c>
      <c r="I176">
        <f t="shared" si="24"/>
        <v>16</v>
      </c>
      <c r="J176">
        <f t="shared" si="25"/>
        <v>376</v>
      </c>
      <c r="K176">
        <f t="shared" si="26"/>
        <v>7</v>
      </c>
      <c r="L176">
        <f t="shared" si="27"/>
        <v>30200</v>
      </c>
      <c r="M176">
        <f t="shared" si="28"/>
        <v>7483</v>
      </c>
      <c r="N176">
        <f t="shared" si="29"/>
        <v>85683</v>
      </c>
      <c r="O176">
        <f>IF(B176="zagraniczny",K176+O175,O175)</f>
        <v>69</v>
      </c>
    </row>
    <row r="177" spans="1:15" x14ac:dyDescent="0.25">
      <c r="A177">
        <v>5997385</v>
      </c>
      <c r="B177" t="str">
        <f t="shared" si="20"/>
        <v>stacjonarny</v>
      </c>
      <c r="C177" s="1">
        <v>42920</v>
      </c>
      <c r="D177" s="2">
        <v>0.58136574074074077</v>
      </c>
      <c r="E177" s="2">
        <v>0.58156249999999998</v>
      </c>
      <c r="F177" s="2">
        <f t="shared" si="21"/>
        <v>1.96759259259216E-4</v>
      </c>
      <c r="G177">
        <f t="shared" si="22"/>
        <v>0</v>
      </c>
      <c r="H177">
        <f t="shared" si="23"/>
        <v>0</v>
      </c>
      <c r="I177">
        <f t="shared" si="24"/>
        <v>17</v>
      </c>
      <c r="J177">
        <f t="shared" si="25"/>
        <v>17</v>
      </c>
      <c r="K177">
        <f t="shared" si="26"/>
        <v>1</v>
      </c>
      <c r="L177">
        <f t="shared" si="27"/>
        <v>30217</v>
      </c>
      <c r="M177">
        <f t="shared" si="28"/>
        <v>7483</v>
      </c>
      <c r="N177">
        <f t="shared" si="29"/>
        <v>85700</v>
      </c>
      <c r="O177">
        <f>IF(B177="zagraniczny",K177+O176,O176)</f>
        <v>69</v>
      </c>
    </row>
    <row r="178" spans="1:15" x14ac:dyDescent="0.25">
      <c r="A178">
        <v>54586484</v>
      </c>
      <c r="B178" t="str">
        <f t="shared" si="20"/>
        <v>komorkowy</v>
      </c>
      <c r="C178" s="1">
        <v>42920</v>
      </c>
      <c r="D178" s="2">
        <v>0.58335648148148145</v>
      </c>
      <c r="E178" s="2">
        <v>0.5841319444444445</v>
      </c>
      <c r="F178" s="2">
        <f t="shared" si="21"/>
        <v>7.7546296296304718E-4</v>
      </c>
      <c r="G178">
        <f t="shared" si="22"/>
        <v>0</v>
      </c>
      <c r="H178">
        <f t="shared" si="23"/>
        <v>1</v>
      </c>
      <c r="I178">
        <f t="shared" si="24"/>
        <v>7</v>
      </c>
      <c r="J178">
        <f t="shared" si="25"/>
        <v>67</v>
      </c>
      <c r="K178">
        <f t="shared" si="26"/>
        <v>2</v>
      </c>
      <c r="L178">
        <f t="shared" si="27"/>
        <v>30217</v>
      </c>
      <c r="M178">
        <f t="shared" si="28"/>
        <v>7550</v>
      </c>
      <c r="N178">
        <f t="shared" si="29"/>
        <v>85767</v>
      </c>
      <c r="O178">
        <f>IF(B178="zagraniczny",K178+O177,O177)</f>
        <v>69</v>
      </c>
    </row>
    <row r="179" spans="1:15" x14ac:dyDescent="0.25">
      <c r="A179">
        <v>8449157</v>
      </c>
      <c r="B179" t="str">
        <f t="shared" si="20"/>
        <v>stacjonarny</v>
      </c>
      <c r="C179" s="1">
        <v>42920</v>
      </c>
      <c r="D179" s="2">
        <v>0.58377314814814818</v>
      </c>
      <c r="E179" s="2">
        <v>0.59186342592592589</v>
      </c>
      <c r="F179" s="2">
        <f t="shared" si="21"/>
        <v>8.0902777777777102E-3</v>
      </c>
      <c r="G179">
        <f t="shared" si="22"/>
        <v>0</v>
      </c>
      <c r="H179">
        <f t="shared" si="23"/>
        <v>11</v>
      </c>
      <c r="I179">
        <f t="shared" si="24"/>
        <v>39</v>
      </c>
      <c r="J179">
        <f t="shared" si="25"/>
        <v>699</v>
      </c>
      <c r="K179">
        <f t="shared" si="26"/>
        <v>12</v>
      </c>
      <c r="L179">
        <f t="shared" si="27"/>
        <v>30916</v>
      </c>
      <c r="M179">
        <f t="shared" si="28"/>
        <v>7550</v>
      </c>
      <c r="N179">
        <f t="shared" si="29"/>
        <v>86466</v>
      </c>
      <c r="O179">
        <f>IF(B179="zagraniczny",K179+O178,O178)</f>
        <v>69</v>
      </c>
    </row>
    <row r="180" spans="1:15" x14ac:dyDescent="0.25">
      <c r="A180">
        <v>1301099</v>
      </c>
      <c r="B180" t="str">
        <f t="shared" si="20"/>
        <v>stacjonarny</v>
      </c>
      <c r="C180" s="1">
        <v>42920</v>
      </c>
      <c r="D180" s="2">
        <v>0.58452546296296293</v>
      </c>
      <c r="E180" s="2">
        <v>0.58862268518518523</v>
      </c>
      <c r="F180" s="2">
        <f t="shared" si="21"/>
        <v>4.0972222222223076E-3</v>
      </c>
      <c r="G180">
        <f t="shared" si="22"/>
        <v>0</v>
      </c>
      <c r="H180">
        <f t="shared" si="23"/>
        <v>5</v>
      </c>
      <c r="I180">
        <f t="shared" si="24"/>
        <v>54</v>
      </c>
      <c r="J180">
        <f t="shared" si="25"/>
        <v>354</v>
      </c>
      <c r="K180">
        <f t="shared" si="26"/>
        <v>6</v>
      </c>
      <c r="L180">
        <f t="shared" si="27"/>
        <v>31270</v>
      </c>
      <c r="M180">
        <f t="shared" si="28"/>
        <v>7550</v>
      </c>
      <c r="N180">
        <f t="shared" si="29"/>
        <v>86820</v>
      </c>
      <c r="O180">
        <f>IF(B180="zagraniczny",K180+O179,O179)</f>
        <v>69</v>
      </c>
    </row>
    <row r="181" spans="1:15" x14ac:dyDescent="0.25">
      <c r="A181">
        <v>1774304298</v>
      </c>
      <c r="B181" t="str">
        <f t="shared" si="20"/>
        <v>zagraniczny</v>
      </c>
      <c r="C181" s="1">
        <v>42920</v>
      </c>
      <c r="D181" s="2">
        <v>0.58452546296296293</v>
      </c>
      <c r="E181" s="2">
        <v>0.59087962962962959</v>
      </c>
      <c r="F181" s="2">
        <f t="shared" si="21"/>
        <v>6.3541666666666607E-3</v>
      </c>
      <c r="G181">
        <f t="shared" si="22"/>
        <v>0</v>
      </c>
      <c r="H181">
        <f t="shared" si="23"/>
        <v>9</v>
      </c>
      <c r="I181">
        <f t="shared" si="24"/>
        <v>9</v>
      </c>
      <c r="J181">
        <f t="shared" si="25"/>
        <v>549</v>
      </c>
      <c r="K181">
        <f t="shared" si="26"/>
        <v>10</v>
      </c>
      <c r="L181">
        <f t="shared" si="27"/>
        <v>31270</v>
      </c>
      <c r="M181">
        <f t="shared" si="28"/>
        <v>7550</v>
      </c>
      <c r="N181">
        <f t="shared" si="29"/>
        <v>86820</v>
      </c>
      <c r="O181">
        <f>IF(B181="zagraniczny",K181+O180,O180)</f>
        <v>79</v>
      </c>
    </row>
    <row r="182" spans="1:15" x14ac:dyDescent="0.25">
      <c r="A182">
        <v>52165701</v>
      </c>
      <c r="B182" t="str">
        <f t="shared" si="20"/>
        <v>komorkowy</v>
      </c>
      <c r="C182" s="1">
        <v>42920</v>
      </c>
      <c r="D182" s="2">
        <v>0.59018518518518515</v>
      </c>
      <c r="E182" s="2">
        <v>0.60047453703703701</v>
      </c>
      <c r="F182" s="2">
        <f t="shared" si="21"/>
        <v>1.0289351851851869E-2</v>
      </c>
      <c r="G182">
        <f t="shared" si="22"/>
        <v>0</v>
      </c>
      <c r="H182">
        <f t="shared" si="23"/>
        <v>14</v>
      </c>
      <c r="I182">
        <f t="shared" si="24"/>
        <v>49</v>
      </c>
      <c r="J182">
        <f t="shared" si="25"/>
        <v>889</v>
      </c>
      <c r="K182">
        <f t="shared" si="26"/>
        <v>15</v>
      </c>
      <c r="L182">
        <f t="shared" si="27"/>
        <v>31270</v>
      </c>
      <c r="M182">
        <f t="shared" si="28"/>
        <v>8439</v>
      </c>
      <c r="N182">
        <f t="shared" si="29"/>
        <v>87709</v>
      </c>
      <c r="O182">
        <f>IF(B182="zagraniczny",K182+O181,O181)</f>
        <v>79</v>
      </c>
    </row>
    <row r="183" spans="1:15" x14ac:dyDescent="0.25">
      <c r="A183">
        <v>49158974</v>
      </c>
      <c r="B183" t="str">
        <f t="shared" si="20"/>
        <v>komorkowy</v>
      </c>
      <c r="C183" s="1">
        <v>42920</v>
      </c>
      <c r="D183" s="2">
        <v>0.59425925925925926</v>
      </c>
      <c r="E183" s="2">
        <v>0.59886574074074073</v>
      </c>
      <c r="F183" s="2">
        <f t="shared" si="21"/>
        <v>4.6064814814814614E-3</v>
      </c>
      <c r="G183">
        <f t="shared" si="22"/>
        <v>0</v>
      </c>
      <c r="H183">
        <f t="shared" si="23"/>
        <v>6</v>
      </c>
      <c r="I183">
        <f t="shared" si="24"/>
        <v>38</v>
      </c>
      <c r="J183">
        <f t="shared" si="25"/>
        <v>398</v>
      </c>
      <c r="K183">
        <f t="shared" si="26"/>
        <v>7</v>
      </c>
      <c r="L183">
        <f t="shared" si="27"/>
        <v>31270</v>
      </c>
      <c r="M183">
        <f t="shared" si="28"/>
        <v>8837</v>
      </c>
      <c r="N183">
        <f t="shared" si="29"/>
        <v>88107</v>
      </c>
      <c r="O183">
        <f>IF(B183="zagraniczny",K183+O182,O182)</f>
        <v>79</v>
      </c>
    </row>
    <row r="184" spans="1:15" x14ac:dyDescent="0.25">
      <c r="A184">
        <v>6231537</v>
      </c>
      <c r="B184" t="str">
        <f t="shared" si="20"/>
        <v>stacjonarny</v>
      </c>
      <c r="C184" s="1">
        <v>42920</v>
      </c>
      <c r="D184" s="2">
        <v>0.59767361111111106</v>
      </c>
      <c r="E184" s="2">
        <v>0.6026273148148148</v>
      </c>
      <c r="F184" s="2">
        <f t="shared" si="21"/>
        <v>4.9537037037037379E-3</v>
      </c>
      <c r="G184">
        <f t="shared" si="22"/>
        <v>0</v>
      </c>
      <c r="H184">
        <f t="shared" si="23"/>
        <v>7</v>
      </c>
      <c r="I184">
        <f t="shared" si="24"/>
        <v>8</v>
      </c>
      <c r="J184">
        <f t="shared" si="25"/>
        <v>428</v>
      </c>
      <c r="K184">
        <f t="shared" si="26"/>
        <v>8</v>
      </c>
      <c r="L184">
        <f t="shared" si="27"/>
        <v>31698</v>
      </c>
      <c r="M184">
        <f t="shared" si="28"/>
        <v>8837</v>
      </c>
      <c r="N184">
        <f t="shared" si="29"/>
        <v>88535</v>
      </c>
      <c r="O184">
        <f>IF(B184="zagraniczny",K184+O183,O183)</f>
        <v>79</v>
      </c>
    </row>
    <row r="185" spans="1:15" x14ac:dyDescent="0.25">
      <c r="A185">
        <v>6965661375</v>
      </c>
      <c r="B185" t="str">
        <f t="shared" si="20"/>
        <v>zagraniczny</v>
      </c>
      <c r="C185" s="1">
        <v>42920</v>
      </c>
      <c r="D185" s="2">
        <v>0.59995370370370371</v>
      </c>
      <c r="E185" s="2">
        <v>0.60442129629629626</v>
      </c>
      <c r="F185" s="2">
        <f t="shared" si="21"/>
        <v>4.4675925925925508E-3</v>
      </c>
      <c r="G185">
        <f t="shared" si="22"/>
        <v>0</v>
      </c>
      <c r="H185">
        <f t="shared" si="23"/>
        <v>6</v>
      </c>
      <c r="I185">
        <f t="shared" si="24"/>
        <v>26</v>
      </c>
      <c r="J185">
        <f t="shared" si="25"/>
        <v>386</v>
      </c>
      <c r="K185">
        <f t="shared" si="26"/>
        <v>7</v>
      </c>
      <c r="L185">
        <f t="shared" si="27"/>
        <v>31698</v>
      </c>
      <c r="M185">
        <f t="shared" si="28"/>
        <v>8837</v>
      </c>
      <c r="N185">
        <f t="shared" si="29"/>
        <v>88535</v>
      </c>
      <c r="O185">
        <f>IF(B185="zagraniczny",K185+O184,O184)</f>
        <v>86</v>
      </c>
    </row>
    <row r="186" spans="1:15" x14ac:dyDescent="0.25">
      <c r="A186">
        <v>4555937</v>
      </c>
      <c r="B186" t="str">
        <f t="shared" si="20"/>
        <v>stacjonarny</v>
      </c>
      <c r="C186" s="1">
        <v>42920</v>
      </c>
      <c r="D186" s="2">
        <v>0.60509259259259263</v>
      </c>
      <c r="E186" s="2">
        <v>0.60509259259259263</v>
      </c>
      <c r="F186" s="2">
        <f t="shared" si="21"/>
        <v>0</v>
      </c>
      <c r="G186">
        <f t="shared" si="22"/>
        <v>0</v>
      </c>
      <c r="H186">
        <f t="shared" si="23"/>
        <v>0</v>
      </c>
      <c r="I186">
        <f t="shared" si="24"/>
        <v>0</v>
      </c>
      <c r="J186">
        <f t="shared" si="25"/>
        <v>0</v>
      </c>
      <c r="K186">
        <f t="shared" si="26"/>
        <v>0</v>
      </c>
      <c r="L186">
        <f t="shared" si="27"/>
        <v>31698</v>
      </c>
      <c r="M186">
        <f t="shared" si="28"/>
        <v>8837</v>
      </c>
      <c r="N186">
        <f t="shared" si="29"/>
        <v>88535</v>
      </c>
      <c r="O186">
        <f>IF(B186="zagraniczny",K186+O185,O185)</f>
        <v>86</v>
      </c>
    </row>
    <row r="187" spans="1:15" x14ac:dyDescent="0.25">
      <c r="A187">
        <v>8831940</v>
      </c>
      <c r="B187" t="str">
        <f t="shared" si="20"/>
        <v>stacjonarny</v>
      </c>
      <c r="C187" s="1">
        <v>42920</v>
      </c>
      <c r="D187" s="2">
        <v>0.6066435185185185</v>
      </c>
      <c r="E187" s="2">
        <v>0.61133101851851857</v>
      </c>
      <c r="F187" s="2">
        <f t="shared" si="21"/>
        <v>4.6875000000000666E-3</v>
      </c>
      <c r="G187">
        <f t="shared" si="22"/>
        <v>0</v>
      </c>
      <c r="H187">
        <f t="shared" si="23"/>
        <v>6</v>
      </c>
      <c r="I187">
        <f t="shared" si="24"/>
        <v>45</v>
      </c>
      <c r="J187">
        <f t="shared" si="25"/>
        <v>405</v>
      </c>
      <c r="K187">
        <f t="shared" si="26"/>
        <v>7</v>
      </c>
      <c r="L187">
        <f t="shared" si="27"/>
        <v>32103</v>
      </c>
      <c r="M187">
        <f t="shared" si="28"/>
        <v>8837</v>
      </c>
      <c r="N187">
        <f t="shared" si="29"/>
        <v>88940</v>
      </c>
      <c r="O187">
        <f>IF(B187="zagraniczny",K187+O186,O186)</f>
        <v>86</v>
      </c>
    </row>
    <row r="188" spans="1:15" x14ac:dyDescent="0.25">
      <c r="A188">
        <v>7421868</v>
      </c>
      <c r="B188" t="str">
        <f t="shared" si="20"/>
        <v>stacjonarny</v>
      </c>
      <c r="C188" s="1">
        <v>42920</v>
      </c>
      <c r="D188" s="2">
        <v>0.61136574074074079</v>
      </c>
      <c r="E188" s="2">
        <v>0.61636574074074069</v>
      </c>
      <c r="F188" s="2">
        <f t="shared" si="21"/>
        <v>4.9999999999998934E-3</v>
      </c>
      <c r="G188">
        <f t="shared" si="22"/>
        <v>0</v>
      </c>
      <c r="H188">
        <f t="shared" si="23"/>
        <v>7</v>
      </c>
      <c r="I188">
        <f t="shared" si="24"/>
        <v>12</v>
      </c>
      <c r="J188">
        <f t="shared" si="25"/>
        <v>432</v>
      </c>
      <c r="K188">
        <f t="shared" si="26"/>
        <v>8</v>
      </c>
      <c r="L188">
        <f t="shared" si="27"/>
        <v>32535</v>
      </c>
      <c r="M188">
        <f t="shared" si="28"/>
        <v>8837</v>
      </c>
      <c r="N188">
        <f t="shared" si="29"/>
        <v>89372</v>
      </c>
      <c r="O188">
        <f>IF(B188="zagraniczny",K188+O187,O187)</f>
        <v>86</v>
      </c>
    </row>
    <row r="189" spans="1:15" x14ac:dyDescent="0.25">
      <c r="A189">
        <v>5131341</v>
      </c>
      <c r="B189" t="str">
        <f t="shared" si="20"/>
        <v>stacjonarny</v>
      </c>
      <c r="C189" s="1">
        <v>42920</v>
      </c>
      <c r="D189" s="2">
        <v>0.61186342592592591</v>
      </c>
      <c r="E189" s="2">
        <v>0.61896990740740743</v>
      </c>
      <c r="F189" s="2">
        <f t="shared" si="21"/>
        <v>7.1064814814815191E-3</v>
      </c>
      <c r="G189">
        <f t="shared" si="22"/>
        <v>0</v>
      </c>
      <c r="H189">
        <f t="shared" si="23"/>
        <v>10</v>
      </c>
      <c r="I189">
        <f t="shared" si="24"/>
        <v>14</v>
      </c>
      <c r="J189">
        <f t="shared" si="25"/>
        <v>614</v>
      </c>
      <c r="K189">
        <f t="shared" si="26"/>
        <v>11</v>
      </c>
      <c r="L189">
        <f t="shared" si="27"/>
        <v>33149</v>
      </c>
      <c r="M189">
        <f t="shared" si="28"/>
        <v>8837</v>
      </c>
      <c r="N189">
        <f t="shared" si="29"/>
        <v>89986</v>
      </c>
      <c r="O189">
        <f>IF(B189="zagraniczny",K189+O188,O188)</f>
        <v>86</v>
      </c>
    </row>
    <row r="190" spans="1:15" x14ac:dyDescent="0.25">
      <c r="A190">
        <v>3121850</v>
      </c>
      <c r="B190" t="str">
        <f t="shared" si="20"/>
        <v>stacjonarny</v>
      </c>
      <c r="C190" s="1">
        <v>42920</v>
      </c>
      <c r="D190" s="2">
        <v>0.61410879629629633</v>
      </c>
      <c r="E190" s="2">
        <v>0.6216666666666667</v>
      </c>
      <c r="F190" s="2">
        <f t="shared" si="21"/>
        <v>7.5578703703703676E-3</v>
      </c>
      <c r="G190">
        <f t="shared" si="22"/>
        <v>0</v>
      </c>
      <c r="H190">
        <f t="shared" si="23"/>
        <v>10</v>
      </c>
      <c r="I190">
        <f t="shared" si="24"/>
        <v>53</v>
      </c>
      <c r="J190">
        <f t="shared" si="25"/>
        <v>653</v>
      </c>
      <c r="K190">
        <f t="shared" si="26"/>
        <v>11</v>
      </c>
      <c r="L190">
        <f t="shared" si="27"/>
        <v>33802</v>
      </c>
      <c r="M190">
        <f t="shared" si="28"/>
        <v>8837</v>
      </c>
      <c r="N190">
        <f t="shared" si="29"/>
        <v>90639</v>
      </c>
      <c r="O190">
        <f>IF(B190="zagraniczny",K190+O189,O189)</f>
        <v>86</v>
      </c>
    </row>
    <row r="191" spans="1:15" x14ac:dyDescent="0.25">
      <c r="A191">
        <v>6905863</v>
      </c>
      <c r="B191" t="str">
        <f t="shared" si="20"/>
        <v>stacjonarny</v>
      </c>
      <c r="C191" s="1">
        <v>42920</v>
      </c>
      <c r="D191" s="2">
        <v>0.6186342592592593</v>
      </c>
      <c r="E191" s="2">
        <v>0.62296296296296294</v>
      </c>
      <c r="F191" s="2">
        <f t="shared" si="21"/>
        <v>4.3287037037036402E-3</v>
      </c>
      <c r="G191">
        <f t="shared" si="22"/>
        <v>0</v>
      </c>
      <c r="H191">
        <f t="shared" si="23"/>
        <v>6</v>
      </c>
      <c r="I191">
        <f t="shared" si="24"/>
        <v>14</v>
      </c>
      <c r="J191">
        <f t="shared" si="25"/>
        <v>374</v>
      </c>
      <c r="K191">
        <f t="shared" si="26"/>
        <v>7</v>
      </c>
      <c r="L191">
        <f t="shared" si="27"/>
        <v>34176</v>
      </c>
      <c r="M191">
        <f t="shared" si="28"/>
        <v>8837</v>
      </c>
      <c r="N191">
        <f t="shared" si="29"/>
        <v>91013</v>
      </c>
      <c r="O191">
        <f>IF(B191="zagraniczny",K191+O190,O190)</f>
        <v>86</v>
      </c>
    </row>
    <row r="192" spans="1:15" x14ac:dyDescent="0.25">
      <c r="A192">
        <v>2514802</v>
      </c>
      <c r="B192" t="str">
        <f t="shared" si="20"/>
        <v>stacjonarny</v>
      </c>
      <c r="C192" s="1">
        <v>42920</v>
      </c>
      <c r="D192" s="2">
        <v>0.6186342592592593</v>
      </c>
      <c r="E192" s="2">
        <v>0.6265856481481481</v>
      </c>
      <c r="F192" s="2">
        <f t="shared" si="21"/>
        <v>7.9513888888887996E-3</v>
      </c>
      <c r="G192">
        <f t="shared" si="22"/>
        <v>0</v>
      </c>
      <c r="H192">
        <f t="shared" si="23"/>
        <v>11</v>
      </c>
      <c r="I192">
        <f t="shared" si="24"/>
        <v>27</v>
      </c>
      <c r="J192">
        <f t="shared" si="25"/>
        <v>687</v>
      </c>
      <c r="K192">
        <f t="shared" si="26"/>
        <v>12</v>
      </c>
      <c r="L192">
        <f t="shared" si="27"/>
        <v>34863</v>
      </c>
      <c r="M192">
        <f t="shared" si="28"/>
        <v>8837</v>
      </c>
      <c r="N192">
        <f t="shared" si="29"/>
        <v>91700</v>
      </c>
      <c r="O192">
        <f>IF(B192="zagraniczny",K192+O191,O191)</f>
        <v>86</v>
      </c>
    </row>
    <row r="193" spans="1:15" x14ac:dyDescent="0.25">
      <c r="A193">
        <v>93696449</v>
      </c>
      <c r="B193" t="str">
        <f t="shared" si="20"/>
        <v>komorkowy</v>
      </c>
      <c r="C193" s="1">
        <v>42920</v>
      </c>
      <c r="D193" s="2">
        <v>0.6227314814814815</v>
      </c>
      <c r="E193" s="2">
        <v>0.63056712962962957</v>
      </c>
      <c r="F193" s="2">
        <f t="shared" si="21"/>
        <v>7.8356481481480778E-3</v>
      </c>
      <c r="G193">
        <f t="shared" si="22"/>
        <v>0</v>
      </c>
      <c r="H193">
        <f t="shared" si="23"/>
        <v>11</v>
      </c>
      <c r="I193">
        <f t="shared" si="24"/>
        <v>17</v>
      </c>
      <c r="J193">
        <f t="shared" si="25"/>
        <v>677</v>
      </c>
      <c r="K193">
        <f t="shared" si="26"/>
        <v>12</v>
      </c>
      <c r="L193">
        <f t="shared" si="27"/>
        <v>34863</v>
      </c>
      <c r="M193">
        <f t="shared" si="28"/>
        <v>9514</v>
      </c>
      <c r="N193">
        <f t="shared" si="29"/>
        <v>92377</v>
      </c>
      <c r="O193">
        <f>IF(B193="zagraniczny",K193+O192,O192)</f>
        <v>86</v>
      </c>
    </row>
    <row r="194" spans="1:15" x14ac:dyDescent="0.25">
      <c r="A194">
        <v>3931464</v>
      </c>
      <c r="B194" t="str">
        <f t="shared" si="20"/>
        <v>stacjonarny</v>
      </c>
      <c r="C194" s="1">
        <v>42920</v>
      </c>
      <c r="D194" s="2">
        <v>0.62381944444444448</v>
      </c>
      <c r="E194" s="2">
        <v>0.6322106481481482</v>
      </c>
      <c r="F194" s="2">
        <f t="shared" si="21"/>
        <v>8.3912037037037202E-3</v>
      </c>
      <c r="G194">
        <f t="shared" si="22"/>
        <v>0</v>
      </c>
      <c r="H194">
        <f t="shared" si="23"/>
        <v>12</v>
      </c>
      <c r="I194">
        <f t="shared" si="24"/>
        <v>5</v>
      </c>
      <c r="J194">
        <f t="shared" si="25"/>
        <v>725</v>
      </c>
      <c r="K194">
        <f t="shared" si="26"/>
        <v>13</v>
      </c>
      <c r="L194">
        <f t="shared" si="27"/>
        <v>35588</v>
      </c>
      <c r="M194">
        <f t="shared" si="28"/>
        <v>9514</v>
      </c>
      <c r="N194">
        <f t="shared" si="29"/>
        <v>93102</v>
      </c>
      <c r="O194">
        <f>IF(B194="zagraniczny",K194+O193,O193)</f>
        <v>86</v>
      </c>
    </row>
    <row r="195" spans="1:15" x14ac:dyDescent="0.25">
      <c r="A195">
        <v>1583683</v>
      </c>
      <c r="B195" t="str">
        <f t="shared" ref="B195:B258" si="30">IF(LEN(A195)=7,"stacjonarny",IF(LEN(A195)=8,"komorkowy","zagraniczny"))</f>
        <v>stacjonarny</v>
      </c>
      <c r="C195" s="1">
        <v>42920</v>
      </c>
      <c r="D195" s="2">
        <v>0.6275694444444444</v>
      </c>
      <c r="E195" s="2">
        <v>0.63215277777777779</v>
      </c>
      <c r="F195" s="2">
        <f t="shared" ref="F195:F258" si="31">E195-D195</f>
        <v>4.5833333333333837E-3</v>
      </c>
      <c r="G195">
        <f t="shared" ref="G195:G258" si="32">HOUR(F195)</f>
        <v>0</v>
      </c>
      <c r="H195">
        <f t="shared" ref="H195:H258" si="33">MINUTE(F195)</f>
        <v>6</v>
      </c>
      <c r="I195">
        <f t="shared" ref="I195:I258" si="34">SECOND(F195)</f>
        <v>36</v>
      </c>
      <c r="J195">
        <f t="shared" ref="J195:J258" si="35">H195*60+I195</f>
        <v>396</v>
      </c>
      <c r="K195">
        <f t="shared" ref="K195:K258" si="36">IF(I195&gt;0,G195*60+H195+1,H195+G195*60)</f>
        <v>7</v>
      </c>
      <c r="L195">
        <f t="shared" si="27"/>
        <v>35984</v>
      </c>
      <c r="M195">
        <f t="shared" si="28"/>
        <v>9514</v>
      </c>
      <c r="N195">
        <f t="shared" si="29"/>
        <v>93498</v>
      </c>
      <c r="O195">
        <f>IF(B195="zagraniczny",K195+O194,O194)</f>
        <v>86</v>
      </c>
    </row>
    <row r="196" spans="1:15" x14ac:dyDescent="0.25">
      <c r="A196">
        <v>52165701</v>
      </c>
      <c r="B196" t="str">
        <f t="shared" si="30"/>
        <v>komorkowy</v>
      </c>
      <c r="C196" s="1">
        <v>42921</v>
      </c>
      <c r="D196" s="2">
        <v>0.33545138888888887</v>
      </c>
      <c r="E196" s="2">
        <v>0.3435300925925926</v>
      </c>
      <c r="F196" s="2">
        <f t="shared" si="31"/>
        <v>8.0787037037037268E-3</v>
      </c>
      <c r="G196">
        <f t="shared" si="32"/>
        <v>0</v>
      </c>
      <c r="H196">
        <f t="shared" si="33"/>
        <v>11</v>
      </c>
      <c r="I196">
        <f t="shared" si="34"/>
        <v>38</v>
      </c>
      <c r="J196">
        <f t="shared" si="35"/>
        <v>698</v>
      </c>
      <c r="K196">
        <f t="shared" si="36"/>
        <v>12</v>
      </c>
      <c r="L196">
        <f t="shared" ref="L196:L259" si="37">IF(B196="stacjonarny",$J196+L195,L195)</f>
        <v>35984</v>
      </c>
      <c r="M196">
        <f t="shared" ref="M196:M259" si="38">IF(B196="komorkowy",$J196+M195,M195)</f>
        <v>10212</v>
      </c>
      <c r="N196">
        <f t="shared" ref="N196:N259" si="39">IF(OR(B196="stacjonarny",B196="komorkowy"),J196+N195,N195)</f>
        <v>94196</v>
      </c>
      <c r="O196">
        <f>IF(B196="zagraniczny",K196+O195,O195)</f>
        <v>86</v>
      </c>
    </row>
    <row r="197" spans="1:15" x14ac:dyDescent="0.25">
      <c r="A197">
        <v>1521041994</v>
      </c>
      <c r="B197" t="str">
        <f t="shared" si="30"/>
        <v>zagraniczny</v>
      </c>
      <c r="C197" s="1">
        <v>42921</v>
      </c>
      <c r="D197" s="2">
        <v>0.34099537037037037</v>
      </c>
      <c r="E197" s="2">
        <v>0.34749999999999998</v>
      </c>
      <c r="F197" s="2">
        <f t="shared" si="31"/>
        <v>6.5046296296296102E-3</v>
      </c>
      <c r="G197">
        <f t="shared" si="32"/>
        <v>0</v>
      </c>
      <c r="H197">
        <f t="shared" si="33"/>
        <v>9</v>
      </c>
      <c r="I197">
        <f t="shared" si="34"/>
        <v>22</v>
      </c>
      <c r="J197">
        <f t="shared" si="35"/>
        <v>562</v>
      </c>
      <c r="K197">
        <f t="shared" si="36"/>
        <v>10</v>
      </c>
      <c r="L197">
        <f t="shared" si="37"/>
        <v>35984</v>
      </c>
      <c r="M197">
        <f t="shared" si="38"/>
        <v>10212</v>
      </c>
      <c r="N197">
        <f t="shared" si="39"/>
        <v>94196</v>
      </c>
      <c r="O197">
        <f>IF(B197="zagraniczny",K197+O196,O196)</f>
        <v>96</v>
      </c>
    </row>
    <row r="198" spans="1:15" x14ac:dyDescent="0.25">
      <c r="A198">
        <v>9187410</v>
      </c>
      <c r="B198" t="str">
        <f t="shared" si="30"/>
        <v>stacjonarny</v>
      </c>
      <c r="C198" s="1">
        <v>42921</v>
      </c>
      <c r="D198" s="2">
        <v>0.34662037037037036</v>
      </c>
      <c r="E198" s="2">
        <v>0.34908564814814813</v>
      </c>
      <c r="F198" s="2">
        <f t="shared" si="31"/>
        <v>2.4652777777777746E-3</v>
      </c>
      <c r="G198">
        <f t="shared" si="32"/>
        <v>0</v>
      </c>
      <c r="H198">
        <f t="shared" si="33"/>
        <v>3</v>
      </c>
      <c r="I198">
        <f t="shared" si="34"/>
        <v>33</v>
      </c>
      <c r="J198">
        <f t="shared" si="35"/>
        <v>213</v>
      </c>
      <c r="K198">
        <f t="shared" si="36"/>
        <v>4</v>
      </c>
      <c r="L198">
        <f t="shared" si="37"/>
        <v>36197</v>
      </c>
      <c r="M198">
        <f t="shared" si="38"/>
        <v>10212</v>
      </c>
      <c r="N198">
        <f t="shared" si="39"/>
        <v>94409</v>
      </c>
      <c r="O198">
        <f>IF(B198="zagraniczny",K198+O197,O197)</f>
        <v>96</v>
      </c>
    </row>
    <row r="199" spans="1:15" x14ac:dyDescent="0.25">
      <c r="A199">
        <v>8228350</v>
      </c>
      <c r="B199" t="str">
        <f t="shared" si="30"/>
        <v>stacjonarny</v>
      </c>
      <c r="C199" s="1">
        <v>42921</v>
      </c>
      <c r="D199" s="2">
        <v>0.34667824074074072</v>
      </c>
      <c r="E199" s="2">
        <v>0.3473148148148148</v>
      </c>
      <c r="F199" s="2">
        <f t="shared" si="31"/>
        <v>6.3657407407408106E-4</v>
      </c>
      <c r="G199">
        <f t="shared" si="32"/>
        <v>0</v>
      </c>
      <c r="H199">
        <f t="shared" si="33"/>
        <v>0</v>
      </c>
      <c r="I199">
        <f t="shared" si="34"/>
        <v>55</v>
      </c>
      <c r="J199">
        <f t="shared" si="35"/>
        <v>55</v>
      </c>
      <c r="K199">
        <f t="shared" si="36"/>
        <v>1</v>
      </c>
      <c r="L199">
        <f t="shared" si="37"/>
        <v>36252</v>
      </c>
      <c r="M199">
        <f t="shared" si="38"/>
        <v>10212</v>
      </c>
      <c r="N199">
        <f t="shared" si="39"/>
        <v>94464</v>
      </c>
      <c r="O199">
        <f>IF(B199="zagraniczny",K199+O198,O198)</f>
        <v>96</v>
      </c>
    </row>
    <row r="200" spans="1:15" x14ac:dyDescent="0.25">
      <c r="A200">
        <v>8313390</v>
      </c>
      <c r="B200" t="str">
        <f t="shared" si="30"/>
        <v>stacjonarny</v>
      </c>
      <c r="C200" s="1">
        <v>42921</v>
      </c>
      <c r="D200" s="2">
        <v>0.34903935185185186</v>
      </c>
      <c r="E200" s="2">
        <v>0.35381944444444446</v>
      </c>
      <c r="F200" s="2">
        <f t="shared" si="31"/>
        <v>4.7800925925925997E-3</v>
      </c>
      <c r="G200">
        <f t="shared" si="32"/>
        <v>0</v>
      </c>
      <c r="H200">
        <f t="shared" si="33"/>
        <v>6</v>
      </c>
      <c r="I200">
        <f t="shared" si="34"/>
        <v>53</v>
      </c>
      <c r="J200">
        <f t="shared" si="35"/>
        <v>413</v>
      </c>
      <c r="K200">
        <f t="shared" si="36"/>
        <v>7</v>
      </c>
      <c r="L200">
        <f t="shared" si="37"/>
        <v>36665</v>
      </c>
      <c r="M200">
        <f t="shared" si="38"/>
        <v>10212</v>
      </c>
      <c r="N200">
        <f t="shared" si="39"/>
        <v>94877</v>
      </c>
      <c r="O200">
        <f>IF(B200="zagraniczny",K200+O199,O199)</f>
        <v>96</v>
      </c>
    </row>
    <row r="201" spans="1:15" x14ac:dyDescent="0.25">
      <c r="A201">
        <v>5508903</v>
      </c>
      <c r="B201" t="str">
        <f t="shared" si="30"/>
        <v>stacjonarny</v>
      </c>
      <c r="C201" s="1">
        <v>42921</v>
      </c>
      <c r="D201" s="2">
        <v>0.34915509259259259</v>
      </c>
      <c r="E201" s="2">
        <v>0.3605902777777778</v>
      </c>
      <c r="F201" s="2">
        <f t="shared" si="31"/>
        <v>1.1435185185185215E-2</v>
      </c>
      <c r="G201">
        <f t="shared" si="32"/>
        <v>0</v>
      </c>
      <c r="H201">
        <f t="shared" si="33"/>
        <v>16</v>
      </c>
      <c r="I201">
        <f t="shared" si="34"/>
        <v>28</v>
      </c>
      <c r="J201">
        <f t="shared" si="35"/>
        <v>988</v>
      </c>
      <c r="K201">
        <f t="shared" si="36"/>
        <v>17</v>
      </c>
      <c r="L201">
        <f t="shared" si="37"/>
        <v>37653</v>
      </c>
      <c r="M201">
        <f t="shared" si="38"/>
        <v>10212</v>
      </c>
      <c r="N201">
        <f t="shared" si="39"/>
        <v>95865</v>
      </c>
      <c r="O201">
        <f>IF(B201="zagraniczny",K201+O200,O200)</f>
        <v>96</v>
      </c>
    </row>
    <row r="202" spans="1:15" x14ac:dyDescent="0.25">
      <c r="A202">
        <v>3102910</v>
      </c>
      <c r="B202" t="str">
        <f t="shared" si="30"/>
        <v>stacjonarny</v>
      </c>
      <c r="C202" s="1">
        <v>42921</v>
      </c>
      <c r="D202" s="2">
        <v>0.35150462962962964</v>
      </c>
      <c r="E202" s="2">
        <v>0.35672453703703705</v>
      </c>
      <c r="F202" s="2">
        <f t="shared" si="31"/>
        <v>5.2199074074074092E-3</v>
      </c>
      <c r="G202">
        <f t="shared" si="32"/>
        <v>0</v>
      </c>
      <c r="H202">
        <f t="shared" si="33"/>
        <v>7</v>
      </c>
      <c r="I202">
        <f t="shared" si="34"/>
        <v>31</v>
      </c>
      <c r="J202">
        <f t="shared" si="35"/>
        <v>451</v>
      </c>
      <c r="K202">
        <f t="shared" si="36"/>
        <v>8</v>
      </c>
      <c r="L202">
        <f t="shared" si="37"/>
        <v>38104</v>
      </c>
      <c r="M202">
        <f t="shared" si="38"/>
        <v>10212</v>
      </c>
      <c r="N202">
        <f t="shared" si="39"/>
        <v>96316</v>
      </c>
      <c r="O202">
        <f>IF(B202="zagraniczny",K202+O201,O201)</f>
        <v>96</v>
      </c>
    </row>
    <row r="203" spans="1:15" x14ac:dyDescent="0.25">
      <c r="A203">
        <v>45948073</v>
      </c>
      <c r="B203" t="str">
        <f t="shared" si="30"/>
        <v>komorkowy</v>
      </c>
      <c r="C203" s="1">
        <v>42921</v>
      </c>
      <c r="D203" s="2">
        <v>0.35574074074074075</v>
      </c>
      <c r="E203" s="2">
        <v>0.36162037037037037</v>
      </c>
      <c r="F203" s="2">
        <f t="shared" si="31"/>
        <v>5.8796296296296235E-3</v>
      </c>
      <c r="G203">
        <f t="shared" si="32"/>
        <v>0</v>
      </c>
      <c r="H203">
        <f t="shared" si="33"/>
        <v>8</v>
      </c>
      <c r="I203">
        <f t="shared" si="34"/>
        <v>28</v>
      </c>
      <c r="J203">
        <f t="shared" si="35"/>
        <v>508</v>
      </c>
      <c r="K203">
        <f t="shared" si="36"/>
        <v>9</v>
      </c>
      <c r="L203">
        <f t="shared" si="37"/>
        <v>38104</v>
      </c>
      <c r="M203">
        <f t="shared" si="38"/>
        <v>10720</v>
      </c>
      <c r="N203">
        <f t="shared" si="39"/>
        <v>96824</v>
      </c>
      <c r="O203">
        <f>IF(B203="zagraniczny",K203+O202,O202)</f>
        <v>96</v>
      </c>
    </row>
    <row r="204" spans="1:15" x14ac:dyDescent="0.25">
      <c r="A204">
        <v>73690742</v>
      </c>
      <c r="B204" t="str">
        <f t="shared" si="30"/>
        <v>komorkowy</v>
      </c>
      <c r="C204" s="1">
        <v>42921</v>
      </c>
      <c r="D204" s="2">
        <v>0.35829861111111111</v>
      </c>
      <c r="E204" s="2">
        <v>0.36826388888888889</v>
      </c>
      <c r="F204" s="2">
        <f t="shared" si="31"/>
        <v>9.9652777777777812E-3</v>
      </c>
      <c r="G204">
        <f t="shared" si="32"/>
        <v>0</v>
      </c>
      <c r="H204">
        <f t="shared" si="33"/>
        <v>14</v>
      </c>
      <c r="I204">
        <f t="shared" si="34"/>
        <v>21</v>
      </c>
      <c r="J204">
        <f t="shared" si="35"/>
        <v>861</v>
      </c>
      <c r="K204">
        <f t="shared" si="36"/>
        <v>15</v>
      </c>
      <c r="L204">
        <f t="shared" si="37"/>
        <v>38104</v>
      </c>
      <c r="M204">
        <f t="shared" si="38"/>
        <v>11581</v>
      </c>
      <c r="N204">
        <f t="shared" si="39"/>
        <v>97685</v>
      </c>
      <c r="O204">
        <f>IF(B204="zagraniczny",K204+O203,O203)</f>
        <v>96</v>
      </c>
    </row>
    <row r="205" spans="1:15" x14ac:dyDescent="0.25">
      <c r="A205">
        <v>58037769</v>
      </c>
      <c r="B205" t="str">
        <f t="shared" si="30"/>
        <v>komorkowy</v>
      </c>
      <c r="C205" s="1">
        <v>42921</v>
      </c>
      <c r="D205" s="2">
        <v>0.36261574074074077</v>
      </c>
      <c r="E205" s="2">
        <v>0.36730324074074072</v>
      </c>
      <c r="F205" s="2">
        <f t="shared" si="31"/>
        <v>4.6874999999999556E-3</v>
      </c>
      <c r="G205">
        <f t="shared" si="32"/>
        <v>0</v>
      </c>
      <c r="H205">
        <f t="shared" si="33"/>
        <v>6</v>
      </c>
      <c r="I205">
        <f t="shared" si="34"/>
        <v>45</v>
      </c>
      <c r="J205">
        <f t="shared" si="35"/>
        <v>405</v>
      </c>
      <c r="K205">
        <f t="shared" si="36"/>
        <v>7</v>
      </c>
      <c r="L205">
        <f t="shared" si="37"/>
        <v>38104</v>
      </c>
      <c r="M205">
        <f t="shared" si="38"/>
        <v>11986</v>
      </c>
      <c r="N205">
        <f t="shared" si="39"/>
        <v>98090</v>
      </c>
      <c r="O205">
        <f>IF(B205="zagraniczny",K205+O204,O204)</f>
        <v>96</v>
      </c>
    </row>
    <row r="206" spans="1:15" x14ac:dyDescent="0.25">
      <c r="A206">
        <v>3434934</v>
      </c>
      <c r="B206" t="str">
        <f t="shared" si="30"/>
        <v>stacjonarny</v>
      </c>
      <c r="C206" s="1">
        <v>42921</v>
      </c>
      <c r="D206" s="2">
        <v>0.36760416666666668</v>
      </c>
      <c r="E206" s="2">
        <v>0.37854166666666667</v>
      </c>
      <c r="F206" s="2">
        <f t="shared" si="31"/>
        <v>1.0937499999999989E-2</v>
      </c>
      <c r="G206">
        <f t="shared" si="32"/>
        <v>0</v>
      </c>
      <c r="H206">
        <f t="shared" si="33"/>
        <v>15</v>
      </c>
      <c r="I206">
        <f t="shared" si="34"/>
        <v>45</v>
      </c>
      <c r="J206">
        <f t="shared" si="35"/>
        <v>945</v>
      </c>
      <c r="K206">
        <f t="shared" si="36"/>
        <v>16</v>
      </c>
      <c r="L206">
        <f t="shared" si="37"/>
        <v>39049</v>
      </c>
      <c r="M206">
        <f t="shared" si="38"/>
        <v>11986</v>
      </c>
      <c r="N206">
        <f t="shared" si="39"/>
        <v>99035</v>
      </c>
      <c r="O206">
        <f>IF(B206="zagraniczny",K206+O205,O205)</f>
        <v>96</v>
      </c>
    </row>
    <row r="207" spans="1:15" x14ac:dyDescent="0.25">
      <c r="A207">
        <v>4963499</v>
      </c>
      <c r="B207" t="str">
        <f t="shared" si="30"/>
        <v>stacjonarny</v>
      </c>
      <c r="C207" s="1">
        <v>42921</v>
      </c>
      <c r="D207" s="2">
        <v>0.37008101851851855</v>
      </c>
      <c r="E207" s="2">
        <v>0.37175925925925923</v>
      </c>
      <c r="F207" s="2">
        <f t="shared" si="31"/>
        <v>1.6782407407406885E-3</v>
      </c>
      <c r="G207">
        <f t="shared" si="32"/>
        <v>0</v>
      </c>
      <c r="H207">
        <f t="shared" si="33"/>
        <v>2</v>
      </c>
      <c r="I207">
        <f t="shared" si="34"/>
        <v>25</v>
      </c>
      <c r="J207">
        <f t="shared" si="35"/>
        <v>145</v>
      </c>
      <c r="K207">
        <f t="shared" si="36"/>
        <v>3</v>
      </c>
      <c r="L207">
        <f t="shared" si="37"/>
        <v>39194</v>
      </c>
      <c r="M207">
        <f t="shared" si="38"/>
        <v>11986</v>
      </c>
      <c r="N207">
        <f t="shared" si="39"/>
        <v>99180</v>
      </c>
      <c r="O207">
        <f>IF(B207="zagraniczny",K207+O206,O206)</f>
        <v>96</v>
      </c>
    </row>
    <row r="208" spans="1:15" x14ac:dyDescent="0.25">
      <c r="A208">
        <v>7904403</v>
      </c>
      <c r="B208" t="str">
        <f t="shared" si="30"/>
        <v>stacjonarny</v>
      </c>
      <c r="C208" s="1">
        <v>42921</v>
      </c>
      <c r="D208" s="2">
        <v>0.37361111111111112</v>
      </c>
      <c r="E208" s="2">
        <v>0.3772800925925926</v>
      </c>
      <c r="F208" s="2">
        <f t="shared" si="31"/>
        <v>3.6689814814814814E-3</v>
      </c>
      <c r="G208">
        <f t="shared" si="32"/>
        <v>0</v>
      </c>
      <c r="H208">
        <f t="shared" si="33"/>
        <v>5</v>
      </c>
      <c r="I208">
        <f t="shared" si="34"/>
        <v>17</v>
      </c>
      <c r="J208">
        <f t="shared" si="35"/>
        <v>317</v>
      </c>
      <c r="K208">
        <f t="shared" si="36"/>
        <v>6</v>
      </c>
      <c r="L208">
        <f t="shared" si="37"/>
        <v>39511</v>
      </c>
      <c r="M208">
        <f t="shared" si="38"/>
        <v>11986</v>
      </c>
      <c r="N208">
        <f t="shared" si="39"/>
        <v>99497</v>
      </c>
      <c r="O208">
        <f>IF(B208="zagraniczny",K208+O207,O207)</f>
        <v>96</v>
      </c>
    </row>
    <row r="209" spans="1:15" x14ac:dyDescent="0.25">
      <c r="A209">
        <v>4389240</v>
      </c>
      <c r="B209" t="str">
        <f t="shared" si="30"/>
        <v>stacjonarny</v>
      </c>
      <c r="C209" s="1">
        <v>42921</v>
      </c>
      <c r="D209" s="2">
        <v>0.37711805555555555</v>
      </c>
      <c r="E209" s="2">
        <v>0.37886574074074075</v>
      </c>
      <c r="F209" s="2">
        <f t="shared" si="31"/>
        <v>1.7476851851851993E-3</v>
      </c>
      <c r="G209">
        <f t="shared" si="32"/>
        <v>0</v>
      </c>
      <c r="H209">
        <f t="shared" si="33"/>
        <v>2</v>
      </c>
      <c r="I209">
        <f t="shared" si="34"/>
        <v>31</v>
      </c>
      <c r="J209">
        <f t="shared" si="35"/>
        <v>151</v>
      </c>
      <c r="K209">
        <f t="shared" si="36"/>
        <v>3</v>
      </c>
      <c r="L209">
        <f t="shared" si="37"/>
        <v>39662</v>
      </c>
      <c r="M209">
        <f t="shared" si="38"/>
        <v>11986</v>
      </c>
      <c r="N209">
        <f t="shared" si="39"/>
        <v>99648</v>
      </c>
      <c r="O209">
        <f>IF(B209="zagraniczny",K209+O208,O208)</f>
        <v>96</v>
      </c>
    </row>
    <row r="210" spans="1:15" x14ac:dyDescent="0.25">
      <c r="A210">
        <v>68647339</v>
      </c>
      <c r="B210" t="str">
        <f t="shared" si="30"/>
        <v>komorkowy</v>
      </c>
      <c r="C210" s="1">
        <v>42921</v>
      </c>
      <c r="D210" s="2">
        <v>0.38180555555555556</v>
      </c>
      <c r="E210" s="2">
        <v>0.39295138888888886</v>
      </c>
      <c r="F210" s="2">
        <f t="shared" si="31"/>
        <v>1.1145833333333299E-2</v>
      </c>
      <c r="G210">
        <f t="shared" si="32"/>
        <v>0</v>
      </c>
      <c r="H210">
        <f t="shared" si="33"/>
        <v>16</v>
      </c>
      <c r="I210">
        <f t="shared" si="34"/>
        <v>3</v>
      </c>
      <c r="J210">
        <f t="shared" si="35"/>
        <v>963</v>
      </c>
      <c r="K210">
        <f t="shared" si="36"/>
        <v>17</v>
      </c>
      <c r="L210">
        <f t="shared" si="37"/>
        <v>39662</v>
      </c>
      <c r="M210">
        <f t="shared" si="38"/>
        <v>12949</v>
      </c>
      <c r="N210">
        <f t="shared" si="39"/>
        <v>100611</v>
      </c>
      <c r="O210">
        <f>IF(B210="zagraniczny",K210+O209,O209)</f>
        <v>96</v>
      </c>
    </row>
    <row r="211" spans="1:15" x14ac:dyDescent="0.25">
      <c r="A211">
        <v>8461631</v>
      </c>
      <c r="B211" t="str">
        <f t="shared" si="30"/>
        <v>stacjonarny</v>
      </c>
      <c r="C211" s="1">
        <v>42921</v>
      </c>
      <c r="D211" s="2">
        <v>0.38335648148148149</v>
      </c>
      <c r="E211" s="2">
        <v>0.38451388888888888</v>
      </c>
      <c r="F211" s="2">
        <f t="shared" si="31"/>
        <v>1.1574074074073848E-3</v>
      </c>
      <c r="G211">
        <f t="shared" si="32"/>
        <v>0</v>
      </c>
      <c r="H211">
        <f t="shared" si="33"/>
        <v>1</v>
      </c>
      <c r="I211">
        <f t="shared" si="34"/>
        <v>40</v>
      </c>
      <c r="J211">
        <f t="shared" si="35"/>
        <v>100</v>
      </c>
      <c r="K211">
        <f t="shared" si="36"/>
        <v>2</v>
      </c>
      <c r="L211">
        <f t="shared" si="37"/>
        <v>39762</v>
      </c>
      <c r="M211">
        <f t="shared" si="38"/>
        <v>12949</v>
      </c>
      <c r="N211">
        <f t="shared" si="39"/>
        <v>100711</v>
      </c>
      <c r="O211">
        <f>IF(B211="zagraniczny",K211+O210,O210)</f>
        <v>96</v>
      </c>
    </row>
    <row r="212" spans="1:15" x14ac:dyDescent="0.25">
      <c r="A212">
        <v>3087246</v>
      </c>
      <c r="B212" t="str">
        <f t="shared" si="30"/>
        <v>stacjonarny</v>
      </c>
      <c r="C212" s="1">
        <v>42921</v>
      </c>
      <c r="D212" s="2">
        <v>0.38633101851851853</v>
      </c>
      <c r="E212" s="2">
        <v>0.39391203703703703</v>
      </c>
      <c r="F212" s="2">
        <f t="shared" si="31"/>
        <v>7.5810185185185008E-3</v>
      </c>
      <c r="G212">
        <f t="shared" si="32"/>
        <v>0</v>
      </c>
      <c r="H212">
        <f t="shared" si="33"/>
        <v>10</v>
      </c>
      <c r="I212">
        <f t="shared" si="34"/>
        <v>55</v>
      </c>
      <c r="J212">
        <f t="shared" si="35"/>
        <v>655</v>
      </c>
      <c r="K212">
        <f t="shared" si="36"/>
        <v>11</v>
      </c>
      <c r="L212">
        <f t="shared" si="37"/>
        <v>40417</v>
      </c>
      <c r="M212">
        <f t="shared" si="38"/>
        <v>12949</v>
      </c>
      <c r="N212">
        <f t="shared" si="39"/>
        <v>101366</v>
      </c>
      <c r="O212">
        <f>IF(B212="zagraniczny",K212+O211,O211)</f>
        <v>96</v>
      </c>
    </row>
    <row r="213" spans="1:15" x14ac:dyDescent="0.25">
      <c r="A213">
        <v>9321082</v>
      </c>
      <c r="B213" t="str">
        <f t="shared" si="30"/>
        <v>stacjonarny</v>
      </c>
      <c r="C213" s="1">
        <v>42921</v>
      </c>
      <c r="D213" s="2">
        <v>0.38976851851851851</v>
      </c>
      <c r="E213" s="2">
        <v>0.40090277777777777</v>
      </c>
      <c r="F213" s="2">
        <f t="shared" si="31"/>
        <v>1.113425925925926E-2</v>
      </c>
      <c r="G213">
        <f t="shared" si="32"/>
        <v>0</v>
      </c>
      <c r="H213">
        <f t="shared" si="33"/>
        <v>16</v>
      </c>
      <c r="I213">
        <f t="shared" si="34"/>
        <v>2</v>
      </c>
      <c r="J213">
        <f t="shared" si="35"/>
        <v>962</v>
      </c>
      <c r="K213">
        <f t="shared" si="36"/>
        <v>17</v>
      </c>
      <c r="L213">
        <f t="shared" si="37"/>
        <v>41379</v>
      </c>
      <c r="M213">
        <f t="shared" si="38"/>
        <v>12949</v>
      </c>
      <c r="N213">
        <f t="shared" si="39"/>
        <v>102328</v>
      </c>
      <c r="O213">
        <f>IF(B213="zagraniczny",K213+O212,O212)</f>
        <v>96</v>
      </c>
    </row>
    <row r="214" spans="1:15" x14ac:dyDescent="0.25">
      <c r="A214">
        <v>4941247888</v>
      </c>
      <c r="B214" t="str">
        <f t="shared" si="30"/>
        <v>zagraniczny</v>
      </c>
      <c r="C214" s="1">
        <v>42921</v>
      </c>
      <c r="D214" s="2">
        <v>0.39114583333333336</v>
      </c>
      <c r="E214" s="2">
        <v>0.39870370370370373</v>
      </c>
      <c r="F214" s="2">
        <f t="shared" si="31"/>
        <v>7.5578703703703676E-3</v>
      </c>
      <c r="G214">
        <f t="shared" si="32"/>
        <v>0</v>
      </c>
      <c r="H214">
        <f t="shared" si="33"/>
        <v>10</v>
      </c>
      <c r="I214">
        <f t="shared" si="34"/>
        <v>53</v>
      </c>
      <c r="J214">
        <f t="shared" si="35"/>
        <v>653</v>
      </c>
      <c r="K214">
        <f t="shared" si="36"/>
        <v>11</v>
      </c>
      <c r="L214">
        <f t="shared" si="37"/>
        <v>41379</v>
      </c>
      <c r="M214">
        <f t="shared" si="38"/>
        <v>12949</v>
      </c>
      <c r="N214">
        <f t="shared" si="39"/>
        <v>102328</v>
      </c>
      <c r="O214">
        <f>IF(B214="zagraniczny",K214+O213,O213)</f>
        <v>107</v>
      </c>
    </row>
    <row r="215" spans="1:15" x14ac:dyDescent="0.25">
      <c r="A215">
        <v>13484133</v>
      </c>
      <c r="B215" t="str">
        <f t="shared" si="30"/>
        <v>komorkowy</v>
      </c>
      <c r="C215" s="1">
        <v>42921</v>
      </c>
      <c r="D215" s="2">
        <v>0.3959375</v>
      </c>
      <c r="E215" s="2">
        <v>0.3982060185185185</v>
      </c>
      <c r="F215" s="2">
        <f t="shared" si="31"/>
        <v>2.2685185185185031E-3</v>
      </c>
      <c r="G215">
        <f t="shared" si="32"/>
        <v>0</v>
      </c>
      <c r="H215">
        <f t="shared" si="33"/>
        <v>3</v>
      </c>
      <c r="I215">
        <f t="shared" si="34"/>
        <v>16</v>
      </c>
      <c r="J215">
        <f t="shared" si="35"/>
        <v>196</v>
      </c>
      <c r="K215">
        <f t="shared" si="36"/>
        <v>4</v>
      </c>
      <c r="L215">
        <f t="shared" si="37"/>
        <v>41379</v>
      </c>
      <c r="M215">
        <f t="shared" si="38"/>
        <v>13145</v>
      </c>
      <c r="N215">
        <f t="shared" si="39"/>
        <v>102524</v>
      </c>
      <c r="O215">
        <f>IF(B215="zagraniczny",K215+O214,O214)</f>
        <v>107</v>
      </c>
    </row>
    <row r="216" spans="1:15" x14ac:dyDescent="0.25">
      <c r="A216">
        <v>9610703</v>
      </c>
      <c r="B216" t="str">
        <f t="shared" si="30"/>
        <v>stacjonarny</v>
      </c>
      <c r="C216" s="1">
        <v>42921</v>
      </c>
      <c r="D216" s="2">
        <v>0.40074074074074073</v>
      </c>
      <c r="E216" s="2">
        <v>0.40766203703703702</v>
      </c>
      <c r="F216" s="2">
        <f t="shared" si="31"/>
        <v>6.9212962962962865E-3</v>
      </c>
      <c r="G216">
        <f t="shared" si="32"/>
        <v>0</v>
      </c>
      <c r="H216">
        <f t="shared" si="33"/>
        <v>9</v>
      </c>
      <c r="I216">
        <f t="shared" si="34"/>
        <v>58</v>
      </c>
      <c r="J216">
        <f t="shared" si="35"/>
        <v>598</v>
      </c>
      <c r="K216">
        <f t="shared" si="36"/>
        <v>10</v>
      </c>
      <c r="L216">
        <f t="shared" si="37"/>
        <v>41977</v>
      </c>
      <c r="M216">
        <f t="shared" si="38"/>
        <v>13145</v>
      </c>
      <c r="N216">
        <f t="shared" si="39"/>
        <v>103122</v>
      </c>
      <c r="O216">
        <f>IF(B216="zagraniczny",K216+O215,O215)</f>
        <v>107</v>
      </c>
    </row>
    <row r="217" spans="1:15" x14ac:dyDescent="0.25">
      <c r="A217">
        <v>7236035</v>
      </c>
      <c r="B217" t="str">
        <f t="shared" si="30"/>
        <v>stacjonarny</v>
      </c>
      <c r="C217" s="1">
        <v>42921</v>
      </c>
      <c r="D217" s="2">
        <v>0.40517361111111111</v>
      </c>
      <c r="E217" s="2">
        <v>0.41189814814814812</v>
      </c>
      <c r="F217" s="2">
        <f t="shared" si="31"/>
        <v>6.724537037037015E-3</v>
      </c>
      <c r="G217">
        <f t="shared" si="32"/>
        <v>0</v>
      </c>
      <c r="H217">
        <f t="shared" si="33"/>
        <v>9</v>
      </c>
      <c r="I217">
        <f t="shared" si="34"/>
        <v>41</v>
      </c>
      <c r="J217">
        <f t="shared" si="35"/>
        <v>581</v>
      </c>
      <c r="K217">
        <f t="shared" si="36"/>
        <v>10</v>
      </c>
      <c r="L217">
        <f t="shared" si="37"/>
        <v>42558</v>
      </c>
      <c r="M217">
        <f t="shared" si="38"/>
        <v>13145</v>
      </c>
      <c r="N217">
        <f t="shared" si="39"/>
        <v>103703</v>
      </c>
      <c r="O217">
        <f>IF(B217="zagraniczny",K217+O216,O216)</f>
        <v>107</v>
      </c>
    </row>
    <row r="218" spans="1:15" x14ac:dyDescent="0.25">
      <c r="A218">
        <v>7236035</v>
      </c>
      <c r="B218" t="str">
        <f t="shared" si="30"/>
        <v>stacjonarny</v>
      </c>
      <c r="C218" s="1">
        <v>42921</v>
      </c>
      <c r="D218" s="2">
        <v>0.4089814814814815</v>
      </c>
      <c r="E218" s="2">
        <v>0.41927083333333331</v>
      </c>
      <c r="F218" s="2">
        <f t="shared" si="31"/>
        <v>1.0289351851851813E-2</v>
      </c>
      <c r="G218">
        <f t="shared" si="32"/>
        <v>0</v>
      </c>
      <c r="H218">
        <f t="shared" si="33"/>
        <v>14</v>
      </c>
      <c r="I218">
        <f t="shared" si="34"/>
        <v>49</v>
      </c>
      <c r="J218">
        <f t="shared" si="35"/>
        <v>889</v>
      </c>
      <c r="K218">
        <f t="shared" si="36"/>
        <v>15</v>
      </c>
      <c r="L218">
        <f t="shared" si="37"/>
        <v>43447</v>
      </c>
      <c r="M218">
        <f t="shared" si="38"/>
        <v>13145</v>
      </c>
      <c r="N218">
        <f t="shared" si="39"/>
        <v>104592</v>
      </c>
      <c r="O218">
        <f>IF(B218="zagraniczny",K218+O217,O217)</f>
        <v>107</v>
      </c>
    </row>
    <row r="219" spans="1:15" x14ac:dyDescent="0.25">
      <c r="A219">
        <v>2675422</v>
      </c>
      <c r="B219" t="str">
        <f t="shared" si="30"/>
        <v>stacjonarny</v>
      </c>
      <c r="C219" s="1">
        <v>42921</v>
      </c>
      <c r="D219" s="2">
        <v>0.41393518518518518</v>
      </c>
      <c r="E219" s="2">
        <v>0.42075231481481479</v>
      </c>
      <c r="F219" s="2">
        <f t="shared" si="31"/>
        <v>6.8171296296296036E-3</v>
      </c>
      <c r="G219">
        <f t="shared" si="32"/>
        <v>0</v>
      </c>
      <c r="H219">
        <f t="shared" si="33"/>
        <v>9</v>
      </c>
      <c r="I219">
        <f t="shared" si="34"/>
        <v>49</v>
      </c>
      <c r="J219">
        <f t="shared" si="35"/>
        <v>589</v>
      </c>
      <c r="K219">
        <f t="shared" si="36"/>
        <v>10</v>
      </c>
      <c r="L219">
        <f t="shared" si="37"/>
        <v>44036</v>
      </c>
      <c r="M219">
        <f t="shared" si="38"/>
        <v>13145</v>
      </c>
      <c r="N219">
        <f t="shared" si="39"/>
        <v>105181</v>
      </c>
      <c r="O219">
        <f>IF(B219="zagraniczny",K219+O218,O218)</f>
        <v>107</v>
      </c>
    </row>
    <row r="220" spans="1:15" x14ac:dyDescent="0.25">
      <c r="A220">
        <v>99056276</v>
      </c>
      <c r="B220" t="str">
        <f t="shared" si="30"/>
        <v>komorkowy</v>
      </c>
      <c r="C220" s="1">
        <v>42921</v>
      </c>
      <c r="D220" s="2">
        <v>0.41749999999999998</v>
      </c>
      <c r="E220" s="2">
        <v>0.42891203703703706</v>
      </c>
      <c r="F220" s="2">
        <f t="shared" si="31"/>
        <v>1.1412037037037082E-2</v>
      </c>
      <c r="G220">
        <f t="shared" si="32"/>
        <v>0</v>
      </c>
      <c r="H220">
        <f t="shared" si="33"/>
        <v>16</v>
      </c>
      <c r="I220">
        <f t="shared" si="34"/>
        <v>26</v>
      </c>
      <c r="J220">
        <f t="shared" si="35"/>
        <v>986</v>
      </c>
      <c r="K220">
        <f t="shared" si="36"/>
        <v>17</v>
      </c>
      <c r="L220">
        <f t="shared" si="37"/>
        <v>44036</v>
      </c>
      <c r="M220">
        <f t="shared" si="38"/>
        <v>14131</v>
      </c>
      <c r="N220">
        <f t="shared" si="39"/>
        <v>106167</v>
      </c>
      <c r="O220">
        <f>IF(B220="zagraniczny",K220+O219,O219)</f>
        <v>107</v>
      </c>
    </row>
    <row r="221" spans="1:15" x14ac:dyDescent="0.25">
      <c r="A221">
        <v>1715377</v>
      </c>
      <c r="B221" t="str">
        <f t="shared" si="30"/>
        <v>stacjonarny</v>
      </c>
      <c r="C221" s="1">
        <v>42921</v>
      </c>
      <c r="D221" s="2">
        <v>0.41847222222222225</v>
      </c>
      <c r="E221" s="2">
        <v>0.42833333333333334</v>
      </c>
      <c r="F221" s="2">
        <f t="shared" si="31"/>
        <v>9.8611111111110983E-3</v>
      </c>
      <c r="G221">
        <f t="shared" si="32"/>
        <v>0</v>
      </c>
      <c r="H221">
        <f t="shared" si="33"/>
        <v>14</v>
      </c>
      <c r="I221">
        <f t="shared" si="34"/>
        <v>12</v>
      </c>
      <c r="J221">
        <f t="shared" si="35"/>
        <v>852</v>
      </c>
      <c r="K221">
        <f t="shared" si="36"/>
        <v>15</v>
      </c>
      <c r="L221">
        <f t="shared" si="37"/>
        <v>44888</v>
      </c>
      <c r="M221">
        <f t="shared" si="38"/>
        <v>14131</v>
      </c>
      <c r="N221">
        <f t="shared" si="39"/>
        <v>107019</v>
      </c>
      <c r="O221">
        <f>IF(B221="zagraniczny",K221+O220,O220)</f>
        <v>107</v>
      </c>
    </row>
    <row r="222" spans="1:15" x14ac:dyDescent="0.25">
      <c r="A222">
        <v>6700458395</v>
      </c>
      <c r="B222" t="str">
        <f t="shared" si="30"/>
        <v>zagraniczny</v>
      </c>
      <c r="C222" s="1">
        <v>42921</v>
      </c>
      <c r="D222" s="2">
        <v>0.42149305555555555</v>
      </c>
      <c r="E222" s="2">
        <v>0.42678240740740742</v>
      </c>
      <c r="F222" s="2">
        <f t="shared" si="31"/>
        <v>5.2893518518518645E-3</v>
      </c>
      <c r="G222">
        <f t="shared" si="32"/>
        <v>0</v>
      </c>
      <c r="H222">
        <f t="shared" si="33"/>
        <v>7</v>
      </c>
      <c r="I222">
        <f t="shared" si="34"/>
        <v>37</v>
      </c>
      <c r="J222">
        <f t="shared" si="35"/>
        <v>457</v>
      </c>
      <c r="K222">
        <f t="shared" si="36"/>
        <v>8</v>
      </c>
      <c r="L222">
        <f t="shared" si="37"/>
        <v>44888</v>
      </c>
      <c r="M222">
        <f t="shared" si="38"/>
        <v>14131</v>
      </c>
      <c r="N222">
        <f t="shared" si="39"/>
        <v>107019</v>
      </c>
      <c r="O222">
        <f>IF(B222="zagraniczny",K222+O221,O221)</f>
        <v>115</v>
      </c>
    </row>
    <row r="223" spans="1:15" x14ac:dyDescent="0.25">
      <c r="A223">
        <v>2211277198</v>
      </c>
      <c r="B223" t="str">
        <f t="shared" si="30"/>
        <v>zagraniczny</v>
      </c>
      <c r="C223" s="1">
        <v>42921</v>
      </c>
      <c r="D223" s="2">
        <v>0.42168981481481482</v>
      </c>
      <c r="E223" s="2">
        <v>0.42326388888888888</v>
      </c>
      <c r="F223" s="2">
        <f t="shared" si="31"/>
        <v>1.5740740740740611E-3</v>
      </c>
      <c r="G223">
        <f t="shared" si="32"/>
        <v>0</v>
      </c>
      <c r="H223">
        <f t="shared" si="33"/>
        <v>2</v>
      </c>
      <c r="I223">
        <f t="shared" si="34"/>
        <v>16</v>
      </c>
      <c r="J223">
        <f t="shared" si="35"/>
        <v>136</v>
      </c>
      <c r="K223">
        <f t="shared" si="36"/>
        <v>3</v>
      </c>
      <c r="L223">
        <f t="shared" si="37"/>
        <v>44888</v>
      </c>
      <c r="M223">
        <f t="shared" si="38"/>
        <v>14131</v>
      </c>
      <c r="N223">
        <f t="shared" si="39"/>
        <v>107019</v>
      </c>
      <c r="O223">
        <f>IF(B223="zagraniczny",K223+O222,O222)</f>
        <v>118</v>
      </c>
    </row>
    <row r="224" spans="1:15" x14ac:dyDescent="0.25">
      <c r="A224">
        <v>9866373</v>
      </c>
      <c r="B224" t="str">
        <f t="shared" si="30"/>
        <v>stacjonarny</v>
      </c>
      <c r="C224" s="1">
        <v>42921</v>
      </c>
      <c r="D224" s="2">
        <v>0.42202546296296295</v>
      </c>
      <c r="E224" s="2">
        <v>0.42905092592592592</v>
      </c>
      <c r="F224" s="2">
        <f t="shared" si="31"/>
        <v>7.0254629629629695E-3</v>
      </c>
      <c r="G224">
        <f t="shared" si="32"/>
        <v>0</v>
      </c>
      <c r="H224">
        <f t="shared" si="33"/>
        <v>10</v>
      </c>
      <c r="I224">
        <f t="shared" si="34"/>
        <v>7</v>
      </c>
      <c r="J224">
        <f t="shared" si="35"/>
        <v>607</v>
      </c>
      <c r="K224">
        <f t="shared" si="36"/>
        <v>11</v>
      </c>
      <c r="L224">
        <f t="shared" si="37"/>
        <v>45495</v>
      </c>
      <c r="M224">
        <f t="shared" si="38"/>
        <v>14131</v>
      </c>
      <c r="N224">
        <f t="shared" si="39"/>
        <v>107626</v>
      </c>
      <c r="O224">
        <f>IF(B224="zagraniczny",K224+O223,O223)</f>
        <v>118</v>
      </c>
    </row>
    <row r="225" spans="1:15" x14ac:dyDescent="0.25">
      <c r="A225">
        <v>4526057</v>
      </c>
      <c r="B225" t="str">
        <f t="shared" si="30"/>
        <v>stacjonarny</v>
      </c>
      <c r="C225" s="1">
        <v>42921</v>
      </c>
      <c r="D225" s="2">
        <v>0.42313657407407407</v>
      </c>
      <c r="E225" s="2">
        <v>0.42508101851851854</v>
      </c>
      <c r="F225" s="2">
        <f t="shared" si="31"/>
        <v>1.9444444444444708E-3</v>
      </c>
      <c r="G225">
        <f t="shared" si="32"/>
        <v>0</v>
      </c>
      <c r="H225">
        <f t="shared" si="33"/>
        <v>2</v>
      </c>
      <c r="I225">
        <f t="shared" si="34"/>
        <v>48</v>
      </c>
      <c r="J225">
        <f t="shared" si="35"/>
        <v>168</v>
      </c>
      <c r="K225">
        <f t="shared" si="36"/>
        <v>3</v>
      </c>
      <c r="L225">
        <f t="shared" si="37"/>
        <v>45663</v>
      </c>
      <c r="M225">
        <f t="shared" si="38"/>
        <v>14131</v>
      </c>
      <c r="N225">
        <f t="shared" si="39"/>
        <v>107794</v>
      </c>
      <c r="O225">
        <f>IF(B225="zagraniczny",K225+O224,O224)</f>
        <v>118</v>
      </c>
    </row>
    <row r="226" spans="1:15" x14ac:dyDescent="0.25">
      <c r="A226">
        <v>70786056</v>
      </c>
      <c r="B226" t="str">
        <f t="shared" si="30"/>
        <v>komorkowy</v>
      </c>
      <c r="C226" s="1">
        <v>42921</v>
      </c>
      <c r="D226" s="2">
        <v>0.42357638888888888</v>
      </c>
      <c r="E226" s="2">
        <v>0.4253587962962963</v>
      </c>
      <c r="F226" s="2">
        <f t="shared" si="31"/>
        <v>1.782407407407427E-3</v>
      </c>
      <c r="G226">
        <f t="shared" si="32"/>
        <v>0</v>
      </c>
      <c r="H226">
        <f t="shared" si="33"/>
        <v>2</v>
      </c>
      <c r="I226">
        <f t="shared" si="34"/>
        <v>34</v>
      </c>
      <c r="J226">
        <f t="shared" si="35"/>
        <v>154</v>
      </c>
      <c r="K226">
        <f t="shared" si="36"/>
        <v>3</v>
      </c>
      <c r="L226">
        <f t="shared" si="37"/>
        <v>45663</v>
      </c>
      <c r="M226">
        <f t="shared" si="38"/>
        <v>14285</v>
      </c>
      <c r="N226">
        <f t="shared" si="39"/>
        <v>107948</v>
      </c>
      <c r="O226">
        <f>IF(B226="zagraniczny",K226+O225,O225)</f>
        <v>118</v>
      </c>
    </row>
    <row r="227" spans="1:15" x14ac:dyDescent="0.25">
      <c r="A227">
        <v>9874705</v>
      </c>
      <c r="B227" t="str">
        <f t="shared" si="30"/>
        <v>stacjonarny</v>
      </c>
      <c r="C227" s="1">
        <v>42921</v>
      </c>
      <c r="D227" s="2">
        <v>0.4274074074074074</v>
      </c>
      <c r="E227" s="2">
        <v>0.43408564814814815</v>
      </c>
      <c r="F227" s="2">
        <f t="shared" si="31"/>
        <v>6.6782407407407485E-3</v>
      </c>
      <c r="G227">
        <f t="shared" si="32"/>
        <v>0</v>
      </c>
      <c r="H227">
        <f t="shared" si="33"/>
        <v>9</v>
      </c>
      <c r="I227">
        <f t="shared" si="34"/>
        <v>37</v>
      </c>
      <c r="J227">
        <f t="shared" si="35"/>
        <v>577</v>
      </c>
      <c r="K227">
        <f t="shared" si="36"/>
        <v>10</v>
      </c>
      <c r="L227">
        <f t="shared" si="37"/>
        <v>46240</v>
      </c>
      <c r="M227">
        <f t="shared" si="38"/>
        <v>14285</v>
      </c>
      <c r="N227">
        <f t="shared" si="39"/>
        <v>108525</v>
      </c>
      <c r="O227">
        <f>IF(B227="zagraniczny",K227+O226,O226)</f>
        <v>118</v>
      </c>
    </row>
    <row r="228" spans="1:15" x14ac:dyDescent="0.25">
      <c r="A228">
        <v>2506618</v>
      </c>
      <c r="B228" t="str">
        <f t="shared" si="30"/>
        <v>stacjonarny</v>
      </c>
      <c r="C228" s="1">
        <v>42921</v>
      </c>
      <c r="D228" s="2">
        <v>0.43084490740740738</v>
      </c>
      <c r="E228" s="2">
        <v>0.43738425925925928</v>
      </c>
      <c r="F228" s="2">
        <f t="shared" si="31"/>
        <v>6.5393518518518934E-3</v>
      </c>
      <c r="G228">
        <f t="shared" si="32"/>
        <v>0</v>
      </c>
      <c r="H228">
        <f t="shared" si="33"/>
        <v>9</v>
      </c>
      <c r="I228">
        <f t="shared" si="34"/>
        <v>25</v>
      </c>
      <c r="J228">
        <f t="shared" si="35"/>
        <v>565</v>
      </c>
      <c r="K228">
        <f t="shared" si="36"/>
        <v>10</v>
      </c>
      <c r="L228">
        <f t="shared" si="37"/>
        <v>46805</v>
      </c>
      <c r="M228">
        <f t="shared" si="38"/>
        <v>14285</v>
      </c>
      <c r="N228">
        <f t="shared" si="39"/>
        <v>109090</v>
      </c>
      <c r="O228">
        <f>IF(B228="zagraniczny",K228+O227,O227)</f>
        <v>118</v>
      </c>
    </row>
    <row r="229" spans="1:15" x14ac:dyDescent="0.25">
      <c r="A229">
        <v>6312575</v>
      </c>
      <c r="B229" t="str">
        <f t="shared" si="30"/>
        <v>stacjonarny</v>
      </c>
      <c r="C229" s="1">
        <v>42921</v>
      </c>
      <c r="D229" s="2">
        <v>0.43234953703703705</v>
      </c>
      <c r="E229" s="2">
        <v>0.44233796296296296</v>
      </c>
      <c r="F229" s="2">
        <f t="shared" si="31"/>
        <v>9.9884259259259145E-3</v>
      </c>
      <c r="G229">
        <f t="shared" si="32"/>
        <v>0</v>
      </c>
      <c r="H229">
        <f t="shared" si="33"/>
        <v>14</v>
      </c>
      <c r="I229">
        <f t="shared" si="34"/>
        <v>23</v>
      </c>
      <c r="J229">
        <f t="shared" si="35"/>
        <v>863</v>
      </c>
      <c r="K229">
        <f t="shared" si="36"/>
        <v>15</v>
      </c>
      <c r="L229">
        <f t="shared" si="37"/>
        <v>47668</v>
      </c>
      <c r="M229">
        <f t="shared" si="38"/>
        <v>14285</v>
      </c>
      <c r="N229">
        <f t="shared" si="39"/>
        <v>109953</v>
      </c>
      <c r="O229">
        <f>IF(B229="zagraniczny",K229+O228,O228)</f>
        <v>118</v>
      </c>
    </row>
    <row r="230" spans="1:15" x14ac:dyDescent="0.25">
      <c r="A230">
        <v>9620895</v>
      </c>
      <c r="B230" t="str">
        <f t="shared" si="30"/>
        <v>stacjonarny</v>
      </c>
      <c r="C230" s="1">
        <v>42921</v>
      </c>
      <c r="D230" s="2">
        <v>0.4362847222222222</v>
      </c>
      <c r="E230" s="2">
        <v>0.44714120370370369</v>
      </c>
      <c r="F230" s="2">
        <f t="shared" si="31"/>
        <v>1.0856481481481495E-2</v>
      </c>
      <c r="G230">
        <f t="shared" si="32"/>
        <v>0</v>
      </c>
      <c r="H230">
        <f t="shared" si="33"/>
        <v>15</v>
      </c>
      <c r="I230">
        <f t="shared" si="34"/>
        <v>38</v>
      </c>
      <c r="J230">
        <f t="shared" si="35"/>
        <v>938</v>
      </c>
      <c r="K230">
        <f t="shared" si="36"/>
        <v>16</v>
      </c>
      <c r="L230">
        <f t="shared" si="37"/>
        <v>48606</v>
      </c>
      <c r="M230">
        <f t="shared" si="38"/>
        <v>14285</v>
      </c>
      <c r="N230">
        <f t="shared" si="39"/>
        <v>110891</v>
      </c>
      <c r="O230">
        <f>IF(B230="zagraniczny",K230+O229,O229)</f>
        <v>118</v>
      </c>
    </row>
    <row r="231" spans="1:15" x14ac:dyDescent="0.25">
      <c r="A231">
        <v>8187780</v>
      </c>
      <c r="B231" t="str">
        <f t="shared" si="30"/>
        <v>stacjonarny</v>
      </c>
      <c r="C231" s="1">
        <v>42921</v>
      </c>
      <c r="D231" s="2">
        <v>0.43898148148148147</v>
      </c>
      <c r="E231" s="2">
        <v>0.44800925925925927</v>
      </c>
      <c r="F231" s="2">
        <f t="shared" si="31"/>
        <v>9.0277777777778012E-3</v>
      </c>
      <c r="G231">
        <f t="shared" si="32"/>
        <v>0</v>
      </c>
      <c r="H231">
        <f t="shared" si="33"/>
        <v>13</v>
      </c>
      <c r="I231">
        <f t="shared" si="34"/>
        <v>0</v>
      </c>
      <c r="J231">
        <f t="shared" si="35"/>
        <v>780</v>
      </c>
      <c r="K231">
        <f t="shared" si="36"/>
        <v>13</v>
      </c>
      <c r="L231">
        <f t="shared" si="37"/>
        <v>49386</v>
      </c>
      <c r="M231">
        <f t="shared" si="38"/>
        <v>14285</v>
      </c>
      <c r="N231">
        <f t="shared" si="39"/>
        <v>111671</v>
      </c>
      <c r="O231">
        <f>IF(B231="zagraniczny",K231+O230,O230)</f>
        <v>118</v>
      </c>
    </row>
    <row r="232" spans="1:15" x14ac:dyDescent="0.25">
      <c r="A232">
        <v>4176999</v>
      </c>
      <c r="B232" t="str">
        <f t="shared" si="30"/>
        <v>stacjonarny</v>
      </c>
      <c r="C232" s="1">
        <v>42921</v>
      </c>
      <c r="D232" s="2">
        <v>0.44148148148148147</v>
      </c>
      <c r="E232" s="2">
        <v>0.45222222222222225</v>
      </c>
      <c r="F232" s="2">
        <f t="shared" si="31"/>
        <v>1.0740740740740773E-2</v>
      </c>
      <c r="G232">
        <f t="shared" si="32"/>
        <v>0</v>
      </c>
      <c r="H232">
        <f t="shared" si="33"/>
        <v>15</v>
      </c>
      <c r="I232">
        <f t="shared" si="34"/>
        <v>28</v>
      </c>
      <c r="J232">
        <f t="shared" si="35"/>
        <v>928</v>
      </c>
      <c r="K232">
        <f t="shared" si="36"/>
        <v>16</v>
      </c>
      <c r="L232">
        <f t="shared" si="37"/>
        <v>50314</v>
      </c>
      <c r="M232">
        <f t="shared" si="38"/>
        <v>14285</v>
      </c>
      <c r="N232">
        <f t="shared" si="39"/>
        <v>112599</v>
      </c>
      <c r="O232">
        <f>IF(B232="zagraniczny",K232+O231,O231)</f>
        <v>118</v>
      </c>
    </row>
    <row r="233" spans="1:15" x14ac:dyDescent="0.25">
      <c r="A233">
        <v>9937257</v>
      </c>
      <c r="B233" t="str">
        <f t="shared" si="30"/>
        <v>stacjonarny</v>
      </c>
      <c r="C233" s="1">
        <v>42921</v>
      </c>
      <c r="D233" s="2">
        <v>0.44383101851851853</v>
      </c>
      <c r="E233" s="2">
        <v>0.44697916666666665</v>
      </c>
      <c r="F233" s="2">
        <f t="shared" si="31"/>
        <v>3.1481481481481222E-3</v>
      </c>
      <c r="G233">
        <f t="shared" si="32"/>
        <v>0</v>
      </c>
      <c r="H233">
        <f t="shared" si="33"/>
        <v>4</v>
      </c>
      <c r="I233">
        <f t="shared" si="34"/>
        <v>32</v>
      </c>
      <c r="J233">
        <f t="shared" si="35"/>
        <v>272</v>
      </c>
      <c r="K233">
        <f t="shared" si="36"/>
        <v>5</v>
      </c>
      <c r="L233">
        <f t="shared" si="37"/>
        <v>50586</v>
      </c>
      <c r="M233">
        <f t="shared" si="38"/>
        <v>14285</v>
      </c>
      <c r="N233">
        <f t="shared" si="39"/>
        <v>112871</v>
      </c>
      <c r="O233">
        <f>IF(B233="zagraniczny",K233+O232,O232)</f>
        <v>118</v>
      </c>
    </row>
    <row r="234" spans="1:15" x14ac:dyDescent="0.25">
      <c r="A234">
        <v>4363716</v>
      </c>
      <c r="B234" t="str">
        <f t="shared" si="30"/>
        <v>stacjonarny</v>
      </c>
      <c r="C234" s="1">
        <v>42921</v>
      </c>
      <c r="D234" s="2">
        <v>0.44436342592592593</v>
      </c>
      <c r="E234" s="2">
        <v>0.45106481481481481</v>
      </c>
      <c r="F234" s="2">
        <f t="shared" si="31"/>
        <v>6.7013888888888817E-3</v>
      </c>
      <c r="G234">
        <f t="shared" si="32"/>
        <v>0</v>
      </c>
      <c r="H234">
        <f t="shared" si="33"/>
        <v>9</v>
      </c>
      <c r="I234">
        <f t="shared" si="34"/>
        <v>39</v>
      </c>
      <c r="J234">
        <f t="shared" si="35"/>
        <v>579</v>
      </c>
      <c r="K234">
        <f t="shared" si="36"/>
        <v>10</v>
      </c>
      <c r="L234">
        <f t="shared" si="37"/>
        <v>51165</v>
      </c>
      <c r="M234">
        <f t="shared" si="38"/>
        <v>14285</v>
      </c>
      <c r="N234">
        <f t="shared" si="39"/>
        <v>113450</v>
      </c>
      <c r="O234">
        <f>IF(B234="zagraniczny",K234+O233,O233)</f>
        <v>118</v>
      </c>
    </row>
    <row r="235" spans="1:15" x14ac:dyDescent="0.25">
      <c r="A235">
        <v>96323047</v>
      </c>
      <c r="B235" t="str">
        <f t="shared" si="30"/>
        <v>komorkowy</v>
      </c>
      <c r="C235" s="1">
        <v>42921</v>
      </c>
      <c r="D235" s="2">
        <v>0.44962962962962966</v>
      </c>
      <c r="E235" s="2">
        <v>0.45341435185185186</v>
      </c>
      <c r="F235" s="2">
        <f t="shared" si="31"/>
        <v>3.7847222222222032E-3</v>
      </c>
      <c r="G235">
        <f t="shared" si="32"/>
        <v>0</v>
      </c>
      <c r="H235">
        <f t="shared" si="33"/>
        <v>5</v>
      </c>
      <c r="I235">
        <f t="shared" si="34"/>
        <v>27</v>
      </c>
      <c r="J235">
        <f t="shared" si="35"/>
        <v>327</v>
      </c>
      <c r="K235">
        <f t="shared" si="36"/>
        <v>6</v>
      </c>
      <c r="L235">
        <f t="shared" si="37"/>
        <v>51165</v>
      </c>
      <c r="M235">
        <f t="shared" si="38"/>
        <v>14612</v>
      </c>
      <c r="N235">
        <f t="shared" si="39"/>
        <v>113777</v>
      </c>
      <c r="O235">
        <f>IF(B235="zagraniczny",K235+O234,O234)</f>
        <v>118</v>
      </c>
    </row>
    <row r="236" spans="1:15" x14ac:dyDescent="0.25">
      <c r="A236">
        <v>2750193</v>
      </c>
      <c r="B236" t="str">
        <f t="shared" si="30"/>
        <v>stacjonarny</v>
      </c>
      <c r="C236" s="1">
        <v>42921</v>
      </c>
      <c r="D236" s="2">
        <v>0.45445601851851852</v>
      </c>
      <c r="E236" s="2">
        <v>0.455625</v>
      </c>
      <c r="F236" s="2">
        <f t="shared" si="31"/>
        <v>1.1689814814814792E-3</v>
      </c>
      <c r="G236">
        <f t="shared" si="32"/>
        <v>0</v>
      </c>
      <c r="H236">
        <f t="shared" si="33"/>
        <v>1</v>
      </c>
      <c r="I236">
        <f t="shared" si="34"/>
        <v>41</v>
      </c>
      <c r="J236">
        <f t="shared" si="35"/>
        <v>101</v>
      </c>
      <c r="K236">
        <f t="shared" si="36"/>
        <v>2</v>
      </c>
      <c r="L236">
        <f t="shared" si="37"/>
        <v>51266</v>
      </c>
      <c r="M236">
        <f t="shared" si="38"/>
        <v>14612</v>
      </c>
      <c r="N236">
        <f t="shared" si="39"/>
        <v>113878</v>
      </c>
      <c r="O236">
        <f>IF(B236="zagraniczny",K236+O235,O235)</f>
        <v>118</v>
      </c>
    </row>
    <row r="237" spans="1:15" x14ac:dyDescent="0.25">
      <c r="A237">
        <v>7973319</v>
      </c>
      <c r="B237" t="str">
        <f t="shared" si="30"/>
        <v>stacjonarny</v>
      </c>
      <c r="C237" s="1">
        <v>42921</v>
      </c>
      <c r="D237" s="2">
        <v>0.45565972222222223</v>
      </c>
      <c r="E237" s="2">
        <v>0.46090277777777777</v>
      </c>
      <c r="F237" s="2">
        <f t="shared" si="31"/>
        <v>5.2430555555555425E-3</v>
      </c>
      <c r="G237">
        <f t="shared" si="32"/>
        <v>0</v>
      </c>
      <c r="H237">
        <f t="shared" si="33"/>
        <v>7</v>
      </c>
      <c r="I237">
        <f t="shared" si="34"/>
        <v>33</v>
      </c>
      <c r="J237">
        <f t="shared" si="35"/>
        <v>453</v>
      </c>
      <c r="K237">
        <f t="shared" si="36"/>
        <v>8</v>
      </c>
      <c r="L237">
        <f t="shared" si="37"/>
        <v>51719</v>
      </c>
      <c r="M237">
        <f t="shared" si="38"/>
        <v>14612</v>
      </c>
      <c r="N237">
        <f t="shared" si="39"/>
        <v>114331</v>
      </c>
      <c r="O237">
        <f>IF(B237="zagraniczny",K237+O236,O236)</f>
        <v>118</v>
      </c>
    </row>
    <row r="238" spans="1:15" x14ac:dyDescent="0.25">
      <c r="A238">
        <v>1908394</v>
      </c>
      <c r="B238" t="str">
        <f t="shared" si="30"/>
        <v>stacjonarny</v>
      </c>
      <c r="C238" s="1">
        <v>42921</v>
      </c>
      <c r="D238" s="2">
        <v>0.45825231481481482</v>
      </c>
      <c r="E238" s="2">
        <v>0.46818287037037037</v>
      </c>
      <c r="F238" s="2">
        <f t="shared" si="31"/>
        <v>9.9305555555555536E-3</v>
      </c>
      <c r="G238">
        <f t="shared" si="32"/>
        <v>0</v>
      </c>
      <c r="H238">
        <f t="shared" si="33"/>
        <v>14</v>
      </c>
      <c r="I238">
        <f t="shared" si="34"/>
        <v>18</v>
      </c>
      <c r="J238">
        <f t="shared" si="35"/>
        <v>858</v>
      </c>
      <c r="K238">
        <f t="shared" si="36"/>
        <v>15</v>
      </c>
      <c r="L238">
        <f t="shared" si="37"/>
        <v>52577</v>
      </c>
      <c r="M238">
        <f t="shared" si="38"/>
        <v>14612</v>
      </c>
      <c r="N238">
        <f t="shared" si="39"/>
        <v>115189</v>
      </c>
      <c r="O238">
        <f>IF(B238="zagraniczny",K238+O237,O237)</f>
        <v>118</v>
      </c>
    </row>
    <row r="239" spans="1:15" x14ac:dyDescent="0.25">
      <c r="A239">
        <v>19116274</v>
      </c>
      <c r="B239" t="str">
        <f t="shared" si="30"/>
        <v>komorkowy</v>
      </c>
      <c r="C239" s="1">
        <v>42921</v>
      </c>
      <c r="D239" s="2">
        <v>0.46032407407407405</v>
      </c>
      <c r="E239" s="2">
        <v>0.46797453703703706</v>
      </c>
      <c r="F239" s="2">
        <f t="shared" si="31"/>
        <v>7.6504629629630116E-3</v>
      </c>
      <c r="G239">
        <f t="shared" si="32"/>
        <v>0</v>
      </c>
      <c r="H239">
        <f t="shared" si="33"/>
        <v>11</v>
      </c>
      <c r="I239">
        <f t="shared" si="34"/>
        <v>1</v>
      </c>
      <c r="J239">
        <f t="shared" si="35"/>
        <v>661</v>
      </c>
      <c r="K239">
        <f t="shared" si="36"/>
        <v>12</v>
      </c>
      <c r="L239">
        <f t="shared" si="37"/>
        <v>52577</v>
      </c>
      <c r="M239">
        <f t="shared" si="38"/>
        <v>15273</v>
      </c>
      <c r="N239">
        <f t="shared" si="39"/>
        <v>115850</v>
      </c>
      <c r="O239">
        <f>IF(B239="zagraniczny",K239+O238,O238)</f>
        <v>118</v>
      </c>
    </row>
    <row r="240" spans="1:15" x14ac:dyDescent="0.25">
      <c r="A240">
        <v>1235622</v>
      </c>
      <c r="B240" t="str">
        <f t="shared" si="30"/>
        <v>stacjonarny</v>
      </c>
      <c r="C240" s="1">
        <v>42921</v>
      </c>
      <c r="D240" s="2">
        <v>0.46460648148148148</v>
      </c>
      <c r="E240" s="2">
        <v>0.47087962962962965</v>
      </c>
      <c r="F240" s="2">
        <f t="shared" si="31"/>
        <v>6.2731481481481666E-3</v>
      </c>
      <c r="G240">
        <f t="shared" si="32"/>
        <v>0</v>
      </c>
      <c r="H240">
        <f t="shared" si="33"/>
        <v>9</v>
      </c>
      <c r="I240">
        <f t="shared" si="34"/>
        <v>2</v>
      </c>
      <c r="J240">
        <f t="shared" si="35"/>
        <v>542</v>
      </c>
      <c r="K240">
        <f t="shared" si="36"/>
        <v>10</v>
      </c>
      <c r="L240">
        <f t="shared" si="37"/>
        <v>53119</v>
      </c>
      <c r="M240">
        <f t="shared" si="38"/>
        <v>15273</v>
      </c>
      <c r="N240">
        <f t="shared" si="39"/>
        <v>116392</v>
      </c>
      <c r="O240">
        <f>IF(B240="zagraniczny",K240+O239,O239)</f>
        <v>118</v>
      </c>
    </row>
    <row r="241" spans="1:15" x14ac:dyDescent="0.25">
      <c r="A241">
        <v>1926053</v>
      </c>
      <c r="B241" t="str">
        <f t="shared" si="30"/>
        <v>stacjonarny</v>
      </c>
      <c r="C241" s="1">
        <v>42921</v>
      </c>
      <c r="D241" s="2">
        <v>0.46751157407407407</v>
      </c>
      <c r="E241" s="2">
        <v>0.46879629629629632</v>
      </c>
      <c r="F241" s="2">
        <f t="shared" si="31"/>
        <v>1.2847222222222565E-3</v>
      </c>
      <c r="G241">
        <f t="shared" si="32"/>
        <v>0</v>
      </c>
      <c r="H241">
        <f t="shared" si="33"/>
        <v>1</v>
      </c>
      <c r="I241">
        <f t="shared" si="34"/>
        <v>51</v>
      </c>
      <c r="J241">
        <f t="shared" si="35"/>
        <v>111</v>
      </c>
      <c r="K241">
        <f t="shared" si="36"/>
        <v>2</v>
      </c>
      <c r="L241">
        <f t="shared" si="37"/>
        <v>53230</v>
      </c>
      <c r="M241">
        <f t="shared" si="38"/>
        <v>15273</v>
      </c>
      <c r="N241">
        <f t="shared" si="39"/>
        <v>116503</v>
      </c>
      <c r="O241">
        <f>IF(B241="zagraniczny",K241+O240,O240)</f>
        <v>118</v>
      </c>
    </row>
    <row r="242" spans="1:15" x14ac:dyDescent="0.25">
      <c r="A242">
        <v>1458287</v>
      </c>
      <c r="B242" t="str">
        <f t="shared" si="30"/>
        <v>stacjonarny</v>
      </c>
      <c r="C242" s="1">
        <v>42921</v>
      </c>
      <c r="D242" s="2">
        <v>0.47060185185185183</v>
      </c>
      <c r="E242" s="2">
        <v>0.47584490740740742</v>
      </c>
      <c r="F242" s="2">
        <f t="shared" si="31"/>
        <v>5.243055555555598E-3</v>
      </c>
      <c r="G242">
        <f t="shared" si="32"/>
        <v>0</v>
      </c>
      <c r="H242">
        <f t="shared" si="33"/>
        <v>7</v>
      </c>
      <c r="I242">
        <f t="shared" si="34"/>
        <v>33</v>
      </c>
      <c r="J242">
        <f t="shared" si="35"/>
        <v>453</v>
      </c>
      <c r="K242">
        <f t="shared" si="36"/>
        <v>8</v>
      </c>
      <c r="L242">
        <f t="shared" si="37"/>
        <v>53683</v>
      </c>
      <c r="M242">
        <f t="shared" si="38"/>
        <v>15273</v>
      </c>
      <c r="N242">
        <f t="shared" si="39"/>
        <v>116956</v>
      </c>
      <c r="O242">
        <f>IF(B242="zagraniczny",K242+O241,O241)</f>
        <v>118</v>
      </c>
    </row>
    <row r="243" spans="1:15" x14ac:dyDescent="0.25">
      <c r="A243">
        <v>3758539398</v>
      </c>
      <c r="B243" t="str">
        <f t="shared" si="30"/>
        <v>zagraniczny</v>
      </c>
      <c r="C243" s="1">
        <v>42921</v>
      </c>
      <c r="D243" s="2">
        <v>0.47296296296296297</v>
      </c>
      <c r="E243" s="2">
        <v>0.47506944444444443</v>
      </c>
      <c r="F243" s="2">
        <f t="shared" si="31"/>
        <v>2.1064814814814592E-3</v>
      </c>
      <c r="G243">
        <f t="shared" si="32"/>
        <v>0</v>
      </c>
      <c r="H243">
        <f t="shared" si="33"/>
        <v>3</v>
      </c>
      <c r="I243">
        <f t="shared" si="34"/>
        <v>2</v>
      </c>
      <c r="J243">
        <f t="shared" si="35"/>
        <v>182</v>
      </c>
      <c r="K243">
        <f t="shared" si="36"/>
        <v>4</v>
      </c>
      <c r="L243">
        <f t="shared" si="37"/>
        <v>53683</v>
      </c>
      <c r="M243">
        <f t="shared" si="38"/>
        <v>15273</v>
      </c>
      <c r="N243">
        <f t="shared" si="39"/>
        <v>116956</v>
      </c>
      <c r="O243">
        <f>IF(B243="zagraniczny",K243+O242,O242)</f>
        <v>122</v>
      </c>
    </row>
    <row r="244" spans="1:15" x14ac:dyDescent="0.25">
      <c r="A244">
        <v>8471021</v>
      </c>
      <c r="B244" t="str">
        <f t="shared" si="30"/>
        <v>stacjonarny</v>
      </c>
      <c r="C244" s="1">
        <v>42921</v>
      </c>
      <c r="D244" s="2">
        <v>0.47431712962962963</v>
      </c>
      <c r="E244" s="2">
        <v>0.47746527777777775</v>
      </c>
      <c r="F244" s="2">
        <f t="shared" si="31"/>
        <v>3.1481481481481222E-3</v>
      </c>
      <c r="G244">
        <f t="shared" si="32"/>
        <v>0</v>
      </c>
      <c r="H244">
        <f t="shared" si="33"/>
        <v>4</v>
      </c>
      <c r="I244">
        <f t="shared" si="34"/>
        <v>32</v>
      </c>
      <c r="J244">
        <f t="shared" si="35"/>
        <v>272</v>
      </c>
      <c r="K244">
        <f t="shared" si="36"/>
        <v>5</v>
      </c>
      <c r="L244">
        <f t="shared" si="37"/>
        <v>53955</v>
      </c>
      <c r="M244">
        <f t="shared" si="38"/>
        <v>15273</v>
      </c>
      <c r="N244">
        <f t="shared" si="39"/>
        <v>117228</v>
      </c>
      <c r="O244">
        <f>IF(B244="zagraniczny",K244+O243,O243)</f>
        <v>122</v>
      </c>
    </row>
    <row r="245" spans="1:15" x14ac:dyDescent="0.25">
      <c r="A245">
        <v>4039284</v>
      </c>
      <c r="B245" t="str">
        <f t="shared" si="30"/>
        <v>stacjonarny</v>
      </c>
      <c r="C245" s="1">
        <v>42921</v>
      </c>
      <c r="D245" s="2">
        <v>0.47684027777777777</v>
      </c>
      <c r="E245" s="2">
        <v>0.4824074074074074</v>
      </c>
      <c r="F245" s="2">
        <f t="shared" si="31"/>
        <v>5.5671296296296302E-3</v>
      </c>
      <c r="G245">
        <f t="shared" si="32"/>
        <v>0</v>
      </c>
      <c r="H245">
        <f t="shared" si="33"/>
        <v>8</v>
      </c>
      <c r="I245">
        <f t="shared" si="34"/>
        <v>1</v>
      </c>
      <c r="J245">
        <f t="shared" si="35"/>
        <v>481</v>
      </c>
      <c r="K245">
        <f t="shared" si="36"/>
        <v>9</v>
      </c>
      <c r="L245">
        <f t="shared" si="37"/>
        <v>54436</v>
      </c>
      <c r="M245">
        <f t="shared" si="38"/>
        <v>15273</v>
      </c>
      <c r="N245">
        <f t="shared" si="39"/>
        <v>117709</v>
      </c>
      <c r="O245">
        <f>IF(B245="zagraniczny",K245+O244,O244)</f>
        <v>122</v>
      </c>
    </row>
    <row r="246" spans="1:15" x14ac:dyDescent="0.25">
      <c r="A246">
        <v>3177370</v>
      </c>
      <c r="B246" t="str">
        <f t="shared" si="30"/>
        <v>stacjonarny</v>
      </c>
      <c r="C246" s="1">
        <v>42921</v>
      </c>
      <c r="D246" s="2">
        <v>0.47972222222222222</v>
      </c>
      <c r="E246" s="2">
        <v>0.48660879629629628</v>
      </c>
      <c r="F246" s="2">
        <f t="shared" si="31"/>
        <v>6.8865740740740589E-3</v>
      </c>
      <c r="G246">
        <f t="shared" si="32"/>
        <v>0</v>
      </c>
      <c r="H246">
        <f t="shared" si="33"/>
        <v>9</v>
      </c>
      <c r="I246">
        <f t="shared" si="34"/>
        <v>55</v>
      </c>
      <c r="J246">
        <f t="shared" si="35"/>
        <v>595</v>
      </c>
      <c r="K246">
        <f t="shared" si="36"/>
        <v>10</v>
      </c>
      <c r="L246">
        <f t="shared" si="37"/>
        <v>55031</v>
      </c>
      <c r="M246">
        <f t="shared" si="38"/>
        <v>15273</v>
      </c>
      <c r="N246">
        <f t="shared" si="39"/>
        <v>118304</v>
      </c>
      <c r="O246">
        <f>IF(B246="zagraniczny",K246+O245,O245)</f>
        <v>122</v>
      </c>
    </row>
    <row r="247" spans="1:15" x14ac:dyDescent="0.25">
      <c r="A247">
        <v>7236035</v>
      </c>
      <c r="B247" t="str">
        <f t="shared" si="30"/>
        <v>stacjonarny</v>
      </c>
      <c r="C247" s="1">
        <v>42921</v>
      </c>
      <c r="D247" s="2">
        <v>0.48149305555555555</v>
      </c>
      <c r="E247" s="2">
        <v>0.48582175925925924</v>
      </c>
      <c r="F247" s="2">
        <f t="shared" si="31"/>
        <v>4.3287037037036957E-3</v>
      </c>
      <c r="G247">
        <f t="shared" si="32"/>
        <v>0</v>
      </c>
      <c r="H247">
        <f t="shared" si="33"/>
        <v>6</v>
      </c>
      <c r="I247">
        <f t="shared" si="34"/>
        <v>14</v>
      </c>
      <c r="J247">
        <f t="shared" si="35"/>
        <v>374</v>
      </c>
      <c r="K247">
        <f t="shared" si="36"/>
        <v>7</v>
      </c>
      <c r="L247">
        <f t="shared" si="37"/>
        <v>55405</v>
      </c>
      <c r="M247">
        <f t="shared" si="38"/>
        <v>15273</v>
      </c>
      <c r="N247">
        <f t="shared" si="39"/>
        <v>118678</v>
      </c>
      <c r="O247">
        <f>IF(B247="zagraniczny",K247+O246,O246)</f>
        <v>122</v>
      </c>
    </row>
    <row r="248" spans="1:15" x14ac:dyDescent="0.25">
      <c r="A248">
        <v>6689117</v>
      </c>
      <c r="B248" t="str">
        <f t="shared" si="30"/>
        <v>stacjonarny</v>
      </c>
      <c r="C248" s="1">
        <v>42921</v>
      </c>
      <c r="D248" s="2">
        <v>0.48554398148148148</v>
      </c>
      <c r="E248" s="2">
        <v>0.49553240740740739</v>
      </c>
      <c r="F248" s="2">
        <f t="shared" si="31"/>
        <v>9.9884259259259145E-3</v>
      </c>
      <c r="G248">
        <f t="shared" si="32"/>
        <v>0</v>
      </c>
      <c r="H248">
        <f t="shared" si="33"/>
        <v>14</v>
      </c>
      <c r="I248">
        <f t="shared" si="34"/>
        <v>23</v>
      </c>
      <c r="J248">
        <f t="shared" si="35"/>
        <v>863</v>
      </c>
      <c r="K248">
        <f t="shared" si="36"/>
        <v>15</v>
      </c>
      <c r="L248">
        <f t="shared" si="37"/>
        <v>56268</v>
      </c>
      <c r="M248">
        <f t="shared" si="38"/>
        <v>15273</v>
      </c>
      <c r="N248">
        <f t="shared" si="39"/>
        <v>119541</v>
      </c>
      <c r="O248">
        <f>IF(B248="zagraniczny",K248+O247,O247)</f>
        <v>122</v>
      </c>
    </row>
    <row r="249" spans="1:15" x14ac:dyDescent="0.25">
      <c r="A249">
        <v>4824267</v>
      </c>
      <c r="B249" t="str">
        <f t="shared" si="30"/>
        <v>stacjonarny</v>
      </c>
      <c r="C249" s="1">
        <v>42921</v>
      </c>
      <c r="D249" s="2">
        <v>0.4871875</v>
      </c>
      <c r="E249" s="2">
        <v>0.49509259259259258</v>
      </c>
      <c r="F249" s="2">
        <f t="shared" si="31"/>
        <v>7.9050925925925886E-3</v>
      </c>
      <c r="G249">
        <f t="shared" si="32"/>
        <v>0</v>
      </c>
      <c r="H249">
        <f t="shared" si="33"/>
        <v>11</v>
      </c>
      <c r="I249">
        <f t="shared" si="34"/>
        <v>23</v>
      </c>
      <c r="J249">
        <f t="shared" si="35"/>
        <v>683</v>
      </c>
      <c r="K249">
        <f t="shared" si="36"/>
        <v>12</v>
      </c>
      <c r="L249">
        <f t="shared" si="37"/>
        <v>56951</v>
      </c>
      <c r="M249">
        <f t="shared" si="38"/>
        <v>15273</v>
      </c>
      <c r="N249">
        <f t="shared" si="39"/>
        <v>120224</v>
      </c>
      <c r="O249">
        <f>IF(B249="zagraniczny",K249+O248,O248)</f>
        <v>122</v>
      </c>
    </row>
    <row r="250" spans="1:15" x14ac:dyDescent="0.25">
      <c r="A250">
        <v>6978234</v>
      </c>
      <c r="B250" t="str">
        <f t="shared" si="30"/>
        <v>stacjonarny</v>
      </c>
      <c r="C250" s="1">
        <v>42921</v>
      </c>
      <c r="D250" s="2">
        <v>0.48873842592592592</v>
      </c>
      <c r="E250" s="2">
        <v>0.49131944444444442</v>
      </c>
      <c r="F250" s="2">
        <f t="shared" si="31"/>
        <v>2.5810185185184964E-3</v>
      </c>
      <c r="G250">
        <f t="shared" si="32"/>
        <v>0</v>
      </c>
      <c r="H250">
        <f t="shared" si="33"/>
        <v>3</v>
      </c>
      <c r="I250">
        <f t="shared" si="34"/>
        <v>43</v>
      </c>
      <c r="J250">
        <f t="shared" si="35"/>
        <v>223</v>
      </c>
      <c r="K250">
        <f t="shared" si="36"/>
        <v>4</v>
      </c>
      <c r="L250">
        <f t="shared" si="37"/>
        <v>57174</v>
      </c>
      <c r="M250">
        <f t="shared" si="38"/>
        <v>15273</v>
      </c>
      <c r="N250">
        <f t="shared" si="39"/>
        <v>120447</v>
      </c>
      <c r="O250">
        <f>IF(B250="zagraniczny",K250+O249,O249)</f>
        <v>122</v>
      </c>
    </row>
    <row r="251" spans="1:15" x14ac:dyDescent="0.25">
      <c r="A251">
        <v>2158377</v>
      </c>
      <c r="B251" t="str">
        <f t="shared" si="30"/>
        <v>stacjonarny</v>
      </c>
      <c r="C251" s="1">
        <v>42921</v>
      </c>
      <c r="D251" s="2">
        <v>0.49149305555555556</v>
      </c>
      <c r="E251" s="2">
        <v>0.49283564814814818</v>
      </c>
      <c r="F251" s="2">
        <f t="shared" si="31"/>
        <v>1.3425925925926174E-3</v>
      </c>
      <c r="G251">
        <f t="shared" si="32"/>
        <v>0</v>
      </c>
      <c r="H251">
        <f t="shared" si="33"/>
        <v>1</v>
      </c>
      <c r="I251">
        <f t="shared" si="34"/>
        <v>56</v>
      </c>
      <c r="J251">
        <f t="shared" si="35"/>
        <v>116</v>
      </c>
      <c r="K251">
        <f t="shared" si="36"/>
        <v>2</v>
      </c>
      <c r="L251">
        <f t="shared" si="37"/>
        <v>57290</v>
      </c>
      <c r="M251">
        <f t="shared" si="38"/>
        <v>15273</v>
      </c>
      <c r="N251">
        <f t="shared" si="39"/>
        <v>120563</v>
      </c>
      <c r="O251">
        <f>IF(B251="zagraniczny",K251+O250,O250)</f>
        <v>122</v>
      </c>
    </row>
    <row r="252" spans="1:15" x14ac:dyDescent="0.25">
      <c r="A252">
        <v>73970924</v>
      </c>
      <c r="B252" t="str">
        <f t="shared" si="30"/>
        <v>komorkowy</v>
      </c>
      <c r="C252" s="1">
        <v>42921</v>
      </c>
      <c r="D252" s="2">
        <v>0.49336805555555557</v>
      </c>
      <c r="E252" s="2">
        <v>0.49403935185185183</v>
      </c>
      <c r="F252" s="2">
        <f t="shared" si="31"/>
        <v>6.712962962962532E-4</v>
      </c>
      <c r="G252">
        <f t="shared" si="32"/>
        <v>0</v>
      </c>
      <c r="H252">
        <f t="shared" si="33"/>
        <v>0</v>
      </c>
      <c r="I252">
        <f t="shared" si="34"/>
        <v>58</v>
      </c>
      <c r="J252">
        <f t="shared" si="35"/>
        <v>58</v>
      </c>
      <c r="K252">
        <f t="shared" si="36"/>
        <v>1</v>
      </c>
      <c r="L252">
        <f t="shared" si="37"/>
        <v>57290</v>
      </c>
      <c r="M252">
        <f t="shared" si="38"/>
        <v>15331</v>
      </c>
      <c r="N252">
        <f t="shared" si="39"/>
        <v>120621</v>
      </c>
      <c r="O252">
        <f>IF(B252="zagraniczny",K252+O251,O251)</f>
        <v>122</v>
      </c>
    </row>
    <row r="253" spans="1:15" x14ac:dyDescent="0.25">
      <c r="A253">
        <v>6927270</v>
      </c>
      <c r="B253" t="str">
        <f t="shared" si="30"/>
        <v>stacjonarny</v>
      </c>
      <c r="C253" s="1">
        <v>42921</v>
      </c>
      <c r="D253" s="2">
        <v>0.49571759259259257</v>
      </c>
      <c r="E253" s="2">
        <v>0.50516203703703699</v>
      </c>
      <c r="F253" s="2">
        <f t="shared" si="31"/>
        <v>9.444444444444422E-3</v>
      </c>
      <c r="G253">
        <f t="shared" si="32"/>
        <v>0</v>
      </c>
      <c r="H253">
        <f t="shared" si="33"/>
        <v>13</v>
      </c>
      <c r="I253">
        <f t="shared" si="34"/>
        <v>36</v>
      </c>
      <c r="J253">
        <f t="shared" si="35"/>
        <v>816</v>
      </c>
      <c r="K253">
        <f t="shared" si="36"/>
        <v>14</v>
      </c>
      <c r="L253">
        <f t="shared" si="37"/>
        <v>58106</v>
      </c>
      <c r="M253">
        <f t="shared" si="38"/>
        <v>15331</v>
      </c>
      <c r="N253">
        <f t="shared" si="39"/>
        <v>121437</v>
      </c>
      <c r="O253">
        <f>IF(B253="zagraniczny",K253+O252,O252)</f>
        <v>122</v>
      </c>
    </row>
    <row r="254" spans="1:15" x14ac:dyDescent="0.25">
      <c r="A254">
        <v>7318247385</v>
      </c>
      <c r="B254" t="str">
        <f t="shared" si="30"/>
        <v>zagraniczny</v>
      </c>
      <c r="C254" s="1">
        <v>42921</v>
      </c>
      <c r="D254" s="2">
        <v>0.49596064814814816</v>
      </c>
      <c r="E254" s="2">
        <v>0.49886574074074075</v>
      </c>
      <c r="F254" s="2">
        <f t="shared" si="31"/>
        <v>2.9050925925925841E-3</v>
      </c>
      <c r="G254">
        <f t="shared" si="32"/>
        <v>0</v>
      </c>
      <c r="H254">
        <f t="shared" si="33"/>
        <v>4</v>
      </c>
      <c r="I254">
        <f t="shared" si="34"/>
        <v>11</v>
      </c>
      <c r="J254">
        <f t="shared" si="35"/>
        <v>251</v>
      </c>
      <c r="K254">
        <f t="shared" si="36"/>
        <v>5</v>
      </c>
      <c r="L254">
        <f t="shared" si="37"/>
        <v>58106</v>
      </c>
      <c r="M254">
        <f t="shared" si="38"/>
        <v>15331</v>
      </c>
      <c r="N254">
        <f t="shared" si="39"/>
        <v>121437</v>
      </c>
      <c r="O254">
        <f>IF(B254="zagraniczny",K254+O253,O253)</f>
        <v>127</v>
      </c>
    </row>
    <row r="255" spans="1:15" x14ac:dyDescent="0.25">
      <c r="A255">
        <v>1579531</v>
      </c>
      <c r="B255" t="str">
        <f t="shared" si="30"/>
        <v>stacjonarny</v>
      </c>
      <c r="C255" s="1">
        <v>42921</v>
      </c>
      <c r="D255" s="2">
        <v>0.50134259259259262</v>
      </c>
      <c r="E255" s="2">
        <v>0.50873842592592589</v>
      </c>
      <c r="F255" s="2">
        <f t="shared" si="31"/>
        <v>7.3958333333332682E-3</v>
      </c>
      <c r="G255">
        <f t="shared" si="32"/>
        <v>0</v>
      </c>
      <c r="H255">
        <f t="shared" si="33"/>
        <v>10</v>
      </c>
      <c r="I255">
        <f t="shared" si="34"/>
        <v>39</v>
      </c>
      <c r="J255">
        <f t="shared" si="35"/>
        <v>639</v>
      </c>
      <c r="K255">
        <f t="shared" si="36"/>
        <v>11</v>
      </c>
      <c r="L255">
        <f t="shared" si="37"/>
        <v>58745</v>
      </c>
      <c r="M255">
        <f t="shared" si="38"/>
        <v>15331</v>
      </c>
      <c r="N255">
        <f t="shared" si="39"/>
        <v>122076</v>
      </c>
      <c r="O255">
        <f>IF(B255="zagraniczny",K255+O254,O254)</f>
        <v>127</v>
      </c>
    </row>
    <row r="256" spans="1:15" x14ac:dyDescent="0.25">
      <c r="A256">
        <v>9593481</v>
      </c>
      <c r="B256" t="str">
        <f t="shared" si="30"/>
        <v>stacjonarny</v>
      </c>
      <c r="C256" s="1">
        <v>42921</v>
      </c>
      <c r="D256" s="2">
        <v>0.50179398148148147</v>
      </c>
      <c r="E256" s="2">
        <v>0.50248842592592591</v>
      </c>
      <c r="F256" s="2">
        <f t="shared" si="31"/>
        <v>6.9444444444444198E-4</v>
      </c>
      <c r="G256">
        <f t="shared" si="32"/>
        <v>0</v>
      </c>
      <c r="H256">
        <f t="shared" si="33"/>
        <v>1</v>
      </c>
      <c r="I256">
        <f t="shared" si="34"/>
        <v>0</v>
      </c>
      <c r="J256">
        <f t="shared" si="35"/>
        <v>60</v>
      </c>
      <c r="K256">
        <f t="shared" si="36"/>
        <v>1</v>
      </c>
      <c r="L256">
        <f t="shared" si="37"/>
        <v>58805</v>
      </c>
      <c r="M256">
        <f t="shared" si="38"/>
        <v>15331</v>
      </c>
      <c r="N256">
        <f t="shared" si="39"/>
        <v>122136</v>
      </c>
      <c r="O256">
        <f>IF(B256="zagraniczny",K256+O255,O255)</f>
        <v>127</v>
      </c>
    </row>
    <row r="257" spans="1:15" x14ac:dyDescent="0.25">
      <c r="A257">
        <v>6657074</v>
      </c>
      <c r="B257" t="str">
        <f t="shared" si="30"/>
        <v>stacjonarny</v>
      </c>
      <c r="C257" s="1">
        <v>42921</v>
      </c>
      <c r="D257" s="2">
        <v>0.50288194444444445</v>
      </c>
      <c r="E257" s="2">
        <v>0.51248842592592592</v>
      </c>
      <c r="F257" s="2">
        <f t="shared" si="31"/>
        <v>9.6064814814814659E-3</v>
      </c>
      <c r="G257">
        <f t="shared" si="32"/>
        <v>0</v>
      </c>
      <c r="H257">
        <f t="shared" si="33"/>
        <v>13</v>
      </c>
      <c r="I257">
        <f t="shared" si="34"/>
        <v>50</v>
      </c>
      <c r="J257">
        <f t="shared" si="35"/>
        <v>830</v>
      </c>
      <c r="K257">
        <f t="shared" si="36"/>
        <v>14</v>
      </c>
      <c r="L257">
        <f t="shared" si="37"/>
        <v>59635</v>
      </c>
      <c r="M257">
        <f t="shared" si="38"/>
        <v>15331</v>
      </c>
      <c r="N257">
        <f t="shared" si="39"/>
        <v>122966</v>
      </c>
      <c r="O257">
        <f>IF(B257="zagraniczny",K257+O256,O256)</f>
        <v>127</v>
      </c>
    </row>
    <row r="258" spans="1:15" x14ac:dyDescent="0.25">
      <c r="A258">
        <v>1488369</v>
      </c>
      <c r="B258" t="str">
        <f t="shared" si="30"/>
        <v>stacjonarny</v>
      </c>
      <c r="C258" s="1">
        <v>42921</v>
      </c>
      <c r="D258" s="2">
        <v>0.50457175925925923</v>
      </c>
      <c r="E258" s="2">
        <v>0.51533564814814814</v>
      </c>
      <c r="F258" s="2">
        <f t="shared" si="31"/>
        <v>1.0763888888888906E-2</v>
      </c>
      <c r="G258">
        <f t="shared" si="32"/>
        <v>0</v>
      </c>
      <c r="H258">
        <f t="shared" si="33"/>
        <v>15</v>
      </c>
      <c r="I258">
        <f t="shared" si="34"/>
        <v>30</v>
      </c>
      <c r="J258">
        <f t="shared" si="35"/>
        <v>930</v>
      </c>
      <c r="K258">
        <f t="shared" si="36"/>
        <v>16</v>
      </c>
      <c r="L258">
        <f t="shared" si="37"/>
        <v>60565</v>
      </c>
      <c r="M258">
        <f t="shared" si="38"/>
        <v>15331</v>
      </c>
      <c r="N258">
        <f t="shared" si="39"/>
        <v>123896</v>
      </c>
      <c r="O258">
        <f>IF(B258="zagraniczny",K258+O257,O257)</f>
        <v>127</v>
      </c>
    </row>
    <row r="259" spans="1:15" x14ac:dyDescent="0.25">
      <c r="A259">
        <v>1797960</v>
      </c>
      <c r="B259" t="str">
        <f t="shared" ref="B259:B322" si="40">IF(LEN(A259)=7,"stacjonarny",IF(LEN(A259)=8,"komorkowy","zagraniczny"))</f>
        <v>stacjonarny</v>
      </c>
      <c r="C259" s="1">
        <v>42921</v>
      </c>
      <c r="D259" s="2">
        <v>0.51026620370370368</v>
      </c>
      <c r="E259" s="2">
        <v>0.51557870370370373</v>
      </c>
      <c r="F259" s="2">
        <f t="shared" ref="F259:F322" si="41">E259-D259</f>
        <v>5.3125000000000533E-3</v>
      </c>
      <c r="G259">
        <f t="shared" ref="G259:G322" si="42">HOUR(F259)</f>
        <v>0</v>
      </c>
      <c r="H259">
        <f t="shared" ref="H259:H322" si="43">MINUTE(F259)</f>
        <v>7</v>
      </c>
      <c r="I259">
        <f t="shared" ref="I259:I322" si="44">SECOND(F259)</f>
        <v>39</v>
      </c>
      <c r="J259">
        <f t="shared" ref="J259:J322" si="45">H259*60+I259</f>
        <v>459</v>
      </c>
      <c r="K259">
        <f t="shared" ref="K259:K322" si="46">IF(I259&gt;0,G259*60+H259+1,H259+G259*60)</f>
        <v>8</v>
      </c>
      <c r="L259">
        <f t="shared" si="37"/>
        <v>61024</v>
      </c>
      <c r="M259">
        <f t="shared" si="38"/>
        <v>15331</v>
      </c>
      <c r="N259">
        <f t="shared" si="39"/>
        <v>124355</v>
      </c>
      <c r="O259">
        <f>IF(B259="zagraniczny",K259+O258,O258)</f>
        <v>127</v>
      </c>
    </row>
    <row r="260" spans="1:15" x14ac:dyDescent="0.25">
      <c r="A260">
        <v>65923776</v>
      </c>
      <c r="B260" t="str">
        <f t="shared" si="40"/>
        <v>komorkowy</v>
      </c>
      <c r="C260" s="1">
        <v>42921</v>
      </c>
      <c r="D260" s="2">
        <v>0.51388888888888884</v>
      </c>
      <c r="E260" s="2">
        <v>0.51673611111111106</v>
      </c>
      <c r="F260" s="2">
        <f t="shared" si="41"/>
        <v>2.8472222222222232E-3</v>
      </c>
      <c r="G260">
        <f t="shared" si="42"/>
        <v>0</v>
      </c>
      <c r="H260">
        <f t="shared" si="43"/>
        <v>4</v>
      </c>
      <c r="I260">
        <f t="shared" si="44"/>
        <v>6</v>
      </c>
      <c r="J260">
        <f t="shared" si="45"/>
        <v>246</v>
      </c>
      <c r="K260">
        <f t="shared" si="46"/>
        <v>5</v>
      </c>
      <c r="L260">
        <f t="shared" ref="L260:L323" si="47">IF(B260="stacjonarny",$J260+L259,L259)</f>
        <v>61024</v>
      </c>
      <c r="M260">
        <f t="shared" ref="M260:M323" si="48">IF(B260="komorkowy",$J260+M259,M259)</f>
        <v>15577</v>
      </c>
      <c r="N260">
        <f t="shared" ref="N260:N323" si="49">IF(OR(B260="stacjonarny",B260="komorkowy"),J260+N259,N259)</f>
        <v>124601</v>
      </c>
      <c r="O260">
        <f>IF(B260="zagraniczny",K260+O259,O259)</f>
        <v>127</v>
      </c>
    </row>
    <row r="261" spans="1:15" x14ac:dyDescent="0.25">
      <c r="A261">
        <v>3407358</v>
      </c>
      <c r="B261" t="str">
        <f t="shared" si="40"/>
        <v>stacjonarny</v>
      </c>
      <c r="C261" s="1">
        <v>42921</v>
      </c>
      <c r="D261" s="2">
        <v>0.51827546296296301</v>
      </c>
      <c r="E261" s="2">
        <v>0.51986111111111111</v>
      </c>
      <c r="F261" s="2">
        <f t="shared" si="41"/>
        <v>1.5856481481481E-3</v>
      </c>
      <c r="G261">
        <f t="shared" si="42"/>
        <v>0</v>
      </c>
      <c r="H261">
        <f t="shared" si="43"/>
        <v>2</v>
      </c>
      <c r="I261">
        <f t="shared" si="44"/>
        <v>17</v>
      </c>
      <c r="J261">
        <f t="shared" si="45"/>
        <v>137</v>
      </c>
      <c r="K261">
        <f t="shared" si="46"/>
        <v>3</v>
      </c>
      <c r="L261">
        <f t="shared" si="47"/>
        <v>61161</v>
      </c>
      <c r="M261">
        <f t="shared" si="48"/>
        <v>15577</v>
      </c>
      <c r="N261">
        <f t="shared" si="49"/>
        <v>124738</v>
      </c>
      <c r="O261">
        <f>IF(B261="zagraniczny",K261+O260,O260)</f>
        <v>127</v>
      </c>
    </row>
    <row r="262" spans="1:15" x14ac:dyDescent="0.25">
      <c r="A262">
        <v>1887758</v>
      </c>
      <c r="B262" t="str">
        <f t="shared" si="40"/>
        <v>stacjonarny</v>
      </c>
      <c r="C262" s="1">
        <v>42921</v>
      </c>
      <c r="D262" s="2">
        <v>0.51884259259259258</v>
      </c>
      <c r="E262" s="2">
        <v>0.52637731481481487</v>
      </c>
      <c r="F262" s="2">
        <f t="shared" si="41"/>
        <v>7.5347222222222898E-3</v>
      </c>
      <c r="G262">
        <f t="shared" si="42"/>
        <v>0</v>
      </c>
      <c r="H262">
        <f t="shared" si="43"/>
        <v>10</v>
      </c>
      <c r="I262">
        <f t="shared" si="44"/>
        <v>51</v>
      </c>
      <c r="J262">
        <f t="shared" si="45"/>
        <v>651</v>
      </c>
      <c r="K262">
        <f t="shared" si="46"/>
        <v>11</v>
      </c>
      <c r="L262">
        <f t="shared" si="47"/>
        <v>61812</v>
      </c>
      <c r="M262">
        <f t="shared" si="48"/>
        <v>15577</v>
      </c>
      <c r="N262">
        <f t="shared" si="49"/>
        <v>125389</v>
      </c>
      <c r="O262">
        <f>IF(B262="zagraniczny",K262+O261,O261)</f>
        <v>127</v>
      </c>
    </row>
    <row r="263" spans="1:15" x14ac:dyDescent="0.25">
      <c r="A263">
        <v>9983997</v>
      </c>
      <c r="B263" t="str">
        <f t="shared" si="40"/>
        <v>stacjonarny</v>
      </c>
      <c r="C263" s="1">
        <v>42921</v>
      </c>
      <c r="D263" s="2">
        <v>0.5242013888888889</v>
      </c>
      <c r="E263" s="2">
        <v>0.53452546296296299</v>
      </c>
      <c r="F263" s="2">
        <f t="shared" si="41"/>
        <v>1.0324074074074097E-2</v>
      </c>
      <c r="G263">
        <f t="shared" si="42"/>
        <v>0</v>
      </c>
      <c r="H263">
        <f t="shared" si="43"/>
        <v>14</v>
      </c>
      <c r="I263">
        <f t="shared" si="44"/>
        <v>52</v>
      </c>
      <c r="J263">
        <f t="shared" si="45"/>
        <v>892</v>
      </c>
      <c r="K263">
        <f t="shared" si="46"/>
        <v>15</v>
      </c>
      <c r="L263">
        <f t="shared" si="47"/>
        <v>62704</v>
      </c>
      <c r="M263">
        <f t="shared" si="48"/>
        <v>15577</v>
      </c>
      <c r="N263">
        <f t="shared" si="49"/>
        <v>126281</v>
      </c>
      <c r="O263">
        <f>IF(B263="zagraniczny",K263+O262,O262)</f>
        <v>127</v>
      </c>
    </row>
    <row r="264" spans="1:15" x14ac:dyDescent="0.25">
      <c r="A264">
        <v>3539762</v>
      </c>
      <c r="B264" t="str">
        <f t="shared" si="40"/>
        <v>stacjonarny</v>
      </c>
      <c r="C264" s="1">
        <v>42921</v>
      </c>
      <c r="D264" s="2">
        <v>0.5250231481481481</v>
      </c>
      <c r="E264" s="2">
        <v>0.5264699074074074</v>
      </c>
      <c r="F264" s="2">
        <f t="shared" si="41"/>
        <v>1.4467592592593004E-3</v>
      </c>
      <c r="G264">
        <f t="shared" si="42"/>
        <v>0</v>
      </c>
      <c r="H264">
        <f t="shared" si="43"/>
        <v>2</v>
      </c>
      <c r="I264">
        <f t="shared" si="44"/>
        <v>5</v>
      </c>
      <c r="J264">
        <f t="shared" si="45"/>
        <v>125</v>
      </c>
      <c r="K264">
        <f t="shared" si="46"/>
        <v>3</v>
      </c>
      <c r="L264">
        <f t="shared" si="47"/>
        <v>62829</v>
      </c>
      <c r="M264">
        <f t="shared" si="48"/>
        <v>15577</v>
      </c>
      <c r="N264">
        <f t="shared" si="49"/>
        <v>126406</v>
      </c>
      <c r="O264">
        <f>IF(B264="zagraniczny",K264+O263,O263)</f>
        <v>127</v>
      </c>
    </row>
    <row r="265" spans="1:15" x14ac:dyDescent="0.25">
      <c r="A265">
        <v>58067439</v>
      </c>
      <c r="B265" t="str">
        <f t="shared" si="40"/>
        <v>komorkowy</v>
      </c>
      <c r="C265" s="1">
        <v>42921</v>
      </c>
      <c r="D265" s="2">
        <v>0.52607638888888886</v>
      </c>
      <c r="E265" s="2">
        <v>0.52662037037037035</v>
      </c>
      <c r="F265" s="2">
        <f t="shared" si="41"/>
        <v>5.439814814814925E-4</v>
      </c>
      <c r="G265">
        <f t="shared" si="42"/>
        <v>0</v>
      </c>
      <c r="H265">
        <f t="shared" si="43"/>
        <v>0</v>
      </c>
      <c r="I265">
        <f t="shared" si="44"/>
        <v>47</v>
      </c>
      <c r="J265">
        <f t="shared" si="45"/>
        <v>47</v>
      </c>
      <c r="K265">
        <f t="shared" si="46"/>
        <v>1</v>
      </c>
      <c r="L265">
        <f t="shared" si="47"/>
        <v>62829</v>
      </c>
      <c r="M265">
        <f t="shared" si="48"/>
        <v>15624</v>
      </c>
      <c r="N265">
        <f t="shared" si="49"/>
        <v>126453</v>
      </c>
      <c r="O265">
        <f>IF(B265="zagraniczny",K265+O264,O264)</f>
        <v>127</v>
      </c>
    </row>
    <row r="266" spans="1:15" x14ac:dyDescent="0.25">
      <c r="A266">
        <v>6760428735</v>
      </c>
      <c r="B266" t="str">
        <f t="shared" si="40"/>
        <v>zagraniczny</v>
      </c>
      <c r="C266" s="1">
        <v>42921</v>
      </c>
      <c r="D266" s="2">
        <v>0.52811342592592592</v>
      </c>
      <c r="E266" s="2">
        <v>0.53195601851851848</v>
      </c>
      <c r="F266" s="2">
        <f t="shared" si="41"/>
        <v>3.8425925925925641E-3</v>
      </c>
      <c r="G266">
        <f t="shared" si="42"/>
        <v>0</v>
      </c>
      <c r="H266">
        <f t="shared" si="43"/>
        <v>5</v>
      </c>
      <c r="I266">
        <f t="shared" si="44"/>
        <v>32</v>
      </c>
      <c r="J266">
        <f t="shared" si="45"/>
        <v>332</v>
      </c>
      <c r="K266">
        <f t="shared" si="46"/>
        <v>6</v>
      </c>
      <c r="L266">
        <f t="shared" si="47"/>
        <v>62829</v>
      </c>
      <c r="M266">
        <f t="shared" si="48"/>
        <v>15624</v>
      </c>
      <c r="N266">
        <f t="shared" si="49"/>
        <v>126453</v>
      </c>
      <c r="O266">
        <f>IF(B266="zagraniczny",K266+O265,O265)</f>
        <v>133</v>
      </c>
    </row>
    <row r="267" spans="1:15" x14ac:dyDescent="0.25">
      <c r="A267">
        <v>9803006</v>
      </c>
      <c r="B267" t="str">
        <f t="shared" si="40"/>
        <v>stacjonarny</v>
      </c>
      <c r="C267" s="1">
        <v>42921</v>
      </c>
      <c r="D267" s="2">
        <v>0.53233796296296299</v>
      </c>
      <c r="E267" s="2">
        <v>0.54116898148148151</v>
      </c>
      <c r="F267" s="2">
        <f t="shared" si="41"/>
        <v>8.8310185185185297E-3</v>
      </c>
      <c r="G267">
        <f t="shared" si="42"/>
        <v>0</v>
      </c>
      <c r="H267">
        <f t="shared" si="43"/>
        <v>12</v>
      </c>
      <c r="I267">
        <f t="shared" si="44"/>
        <v>43</v>
      </c>
      <c r="J267">
        <f t="shared" si="45"/>
        <v>763</v>
      </c>
      <c r="K267">
        <f t="shared" si="46"/>
        <v>13</v>
      </c>
      <c r="L267">
        <f t="shared" si="47"/>
        <v>63592</v>
      </c>
      <c r="M267">
        <f t="shared" si="48"/>
        <v>15624</v>
      </c>
      <c r="N267">
        <f t="shared" si="49"/>
        <v>127216</v>
      </c>
      <c r="O267">
        <f>IF(B267="zagraniczny",K267+O266,O266)</f>
        <v>133</v>
      </c>
    </row>
    <row r="268" spans="1:15" x14ac:dyDescent="0.25">
      <c r="A268">
        <v>5312081</v>
      </c>
      <c r="B268" t="str">
        <f t="shared" si="40"/>
        <v>stacjonarny</v>
      </c>
      <c r="C268" s="1">
        <v>42921</v>
      </c>
      <c r="D268" s="2">
        <v>0.53372685185185187</v>
      </c>
      <c r="E268" s="2">
        <v>0.53991898148148143</v>
      </c>
      <c r="F268" s="2">
        <f t="shared" si="41"/>
        <v>6.1921296296295614E-3</v>
      </c>
      <c r="G268">
        <f t="shared" si="42"/>
        <v>0</v>
      </c>
      <c r="H268">
        <f t="shared" si="43"/>
        <v>8</v>
      </c>
      <c r="I268">
        <f t="shared" si="44"/>
        <v>55</v>
      </c>
      <c r="J268">
        <f t="shared" si="45"/>
        <v>535</v>
      </c>
      <c r="K268">
        <f t="shared" si="46"/>
        <v>9</v>
      </c>
      <c r="L268">
        <f t="shared" si="47"/>
        <v>64127</v>
      </c>
      <c r="M268">
        <f t="shared" si="48"/>
        <v>15624</v>
      </c>
      <c r="N268">
        <f t="shared" si="49"/>
        <v>127751</v>
      </c>
      <c r="O268">
        <f>IF(B268="zagraniczny",K268+O267,O267)</f>
        <v>133</v>
      </c>
    </row>
    <row r="269" spans="1:15" x14ac:dyDescent="0.25">
      <c r="A269">
        <v>7114306</v>
      </c>
      <c r="B269" t="str">
        <f t="shared" si="40"/>
        <v>stacjonarny</v>
      </c>
      <c r="C269" s="1">
        <v>42921</v>
      </c>
      <c r="D269" s="2">
        <v>0.53607638888888887</v>
      </c>
      <c r="E269" s="2">
        <v>0.54104166666666664</v>
      </c>
      <c r="F269" s="2">
        <f t="shared" si="41"/>
        <v>4.9652777777777768E-3</v>
      </c>
      <c r="G269">
        <f t="shared" si="42"/>
        <v>0</v>
      </c>
      <c r="H269">
        <f t="shared" si="43"/>
        <v>7</v>
      </c>
      <c r="I269">
        <f t="shared" si="44"/>
        <v>9</v>
      </c>
      <c r="J269">
        <f t="shared" si="45"/>
        <v>429</v>
      </c>
      <c r="K269">
        <f t="shared" si="46"/>
        <v>8</v>
      </c>
      <c r="L269">
        <f t="shared" si="47"/>
        <v>64556</v>
      </c>
      <c r="M269">
        <f t="shared" si="48"/>
        <v>15624</v>
      </c>
      <c r="N269">
        <f t="shared" si="49"/>
        <v>128180</v>
      </c>
      <c r="O269">
        <f>IF(B269="zagraniczny",K269+O268,O268)</f>
        <v>133</v>
      </c>
    </row>
    <row r="270" spans="1:15" x14ac:dyDescent="0.25">
      <c r="A270">
        <v>7594764</v>
      </c>
      <c r="B270" t="str">
        <f t="shared" si="40"/>
        <v>stacjonarny</v>
      </c>
      <c r="C270" s="1">
        <v>42921</v>
      </c>
      <c r="D270" s="2">
        <v>0.53850694444444447</v>
      </c>
      <c r="E270" s="2">
        <v>0.53944444444444439</v>
      </c>
      <c r="F270" s="2">
        <f t="shared" si="41"/>
        <v>9.374999999999245E-4</v>
      </c>
      <c r="G270">
        <f t="shared" si="42"/>
        <v>0</v>
      </c>
      <c r="H270">
        <f t="shared" si="43"/>
        <v>1</v>
      </c>
      <c r="I270">
        <f t="shared" si="44"/>
        <v>21</v>
      </c>
      <c r="J270">
        <f t="shared" si="45"/>
        <v>81</v>
      </c>
      <c r="K270">
        <f t="shared" si="46"/>
        <v>2</v>
      </c>
      <c r="L270">
        <f t="shared" si="47"/>
        <v>64637</v>
      </c>
      <c r="M270">
        <f t="shared" si="48"/>
        <v>15624</v>
      </c>
      <c r="N270">
        <f t="shared" si="49"/>
        <v>128261</v>
      </c>
      <c r="O270">
        <f>IF(B270="zagraniczny",K270+O269,O269)</f>
        <v>133</v>
      </c>
    </row>
    <row r="271" spans="1:15" x14ac:dyDescent="0.25">
      <c r="A271">
        <v>3004571</v>
      </c>
      <c r="B271" t="str">
        <f t="shared" si="40"/>
        <v>stacjonarny</v>
      </c>
      <c r="C271" s="1">
        <v>42921</v>
      </c>
      <c r="D271" s="2">
        <v>0.54194444444444445</v>
      </c>
      <c r="E271" s="2">
        <v>0.54666666666666663</v>
      </c>
      <c r="F271" s="2">
        <f t="shared" si="41"/>
        <v>4.7222222222221832E-3</v>
      </c>
      <c r="G271">
        <f t="shared" si="42"/>
        <v>0</v>
      </c>
      <c r="H271">
        <f t="shared" si="43"/>
        <v>6</v>
      </c>
      <c r="I271">
        <f t="shared" si="44"/>
        <v>48</v>
      </c>
      <c r="J271">
        <f t="shared" si="45"/>
        <v>408</v>
      </c>
      <c r="K271">
        <f t="shared" si="46"/>
        <v>7</v>
      </c>
      <c r="L271">
        <f t="shared" si="47"/>
        <v>65045</v>
      </c>
      <c r="M271">
        <f t="shared" si="48"/>
        <v>15624</v>
      </c>
      <c r="N271">
        <f t="shared" si="49"/>
        <v>128669</v>
      </c>
      <c r="O271">
        <f>IF(B271="zagraniczny",K271+O270,O270)</f>
        <v>133</v>
      </c>
    </row>
    <row r="272" spans="1:15" x14ac:dyDescent="0.25">
      <c r="A272">
        <v>6689117</v>
      </c>
      <c r="B272" t="str">
        <f t="shared" si="40"/>
        <v>stacjonarny</v>
      </c>
      <c r="C272" s="1">
        <v>42921</v>
      </c>
      <c r="D272" s="2">
        <v>0.54609953703703706</v>
      </c>
      <c r="E272" s="2">
        <v>0.55435185185185187</v>
      </c>
      <c r="F272" s="2">
        <f t="shared" si="41"/>
        <v>8.2523148148148096E-3</v>
      </c>
      <c r="G272">
        <f t="shared" si="42"/>
        <v>0</v>
      </c>
      <c r="H272">
        <f t="shared" si="43"/>
        <v>11</v>
      </c>
      <c r="I272">
        <f t="shared" si="44"/>
        <v>53</v>
      </c>
      <c r="J272">
        <f t="shared" si="45"/>
        <v>713</v>
      </c>
      <c r="K272">
        <f t="shared" si="46"/>
        <v>12</v>
      </c>
      <c r="L272">
        <f t="shared" si="47"/>
        <v>65758</v>
      </c>
      <c r="M272">
        <f t="shared" si="48"/>
        <v>15624</v>
      </c>
      <c r="N272">
        <f t="shared" si="49"/>
        <v>129382</v>
      </c>
      <c r="O272">
        <f>IF(B272="zagraniczny",K272+O271,O271)</f>
        <v>133</v>
      </c>
    </row>
    <row r="273" spans="1:15" x14ac:dyDescent="0.25">
      <c r="A273">
        <v>1081610</v>
      </c>
      <c r="B273" t="str">
        <f t="shared" si="40"/>
        <v>stacjonarny</v>
      </c>
      <c r="C273" s="1">
        <v>42921</v>
      </c>
      <c r="D273" s="2">
        <v>0.54809027777777775</v>
      </c>
      <c r="E273" s="2">
        <v>0.55568287037037034</v>
      </c>
      <c r="F273" s="2">
        <f t="shared" si="41"/>
        <v>7.5925925925925952E-3</v>
      </c>
      <c r="G273">
        <f t="shared" si="42"/>
        <v>0</v>
      </c>
      <c r="H273">
        <f t="shared" si="43"/>
        <v>10</v>
      </c>
      <c r="I273">
        <f t="shared" si="44"/>
        <v>56</v>
      </c>
      <c r="J273">
        <f t="shared" si="45"/>
        <v>656</v>
      </c>
      <c r="K273">
        <f t="shared" si="46"/>
        <v>11</v>
      </c>
      <c r="L273">
        <f t="shared" si="47"/>
        <v>66414</v>
      </c>
      <c r="M273">
        <f t="shared" si="48"/>
        <v>15624</v>
      </c>
      <c r="N273">
        <f t="shared" si="49"/>
        <v>130038</v>
      </c>
      <c r="O273">
        <f>IF(B273="zagraniczny",K273+O272,O272)</f>
        <v>133</v>
      </c>
    </row>
    <row r="274" spans="1:15" x14ac:dyDescent="0.25">
      <c r="A274">
        <v>20220216</v>
      </c>
      <c r="B274" t="str">
        <f t="shared" si="40"/>
        <v>komorkowy</v>
      </c>
      <c r="C274" s="1">
        <v>42921</v>
      </c>
      <c r="D274" s="2">
        <v>0.54857638888888893</v>
      </c>
      <c r="E274" s="2">
        <v>0.55879629629629635</v>
      </c>
      <c r="F274" s="2">
        <f t="shared" si="41"/>
        <v>1.0219907407407414E-2</v>
      </c>
      <c r="G274">
        <f t="shared" si="42"/>
        <v>0</v>
      </c>
      <c r="H274">
        <f t="shared" si="43"/>
        <v>14</v>
      </c>
      <c r="I274">
        <f t="shared" si="44"/>
        <v>43</v>
      </c>
      <c r="J274">
        <f t="shared" si="45"/>
        <v>883</v>
      </c>
      <c r="K274">
        <f t="shared" si="46"/>
        <v>15</v>
      </c>
      <c r="L274">
        <f t="shared" si="47"/>
        <v>66414</v>
      </c>
      <c r="M274">
        <f t="shared" si="48"/>
        <v>16507</v>
      </c>
      <c r="N274">
        <f t="shared" si="49"/>
        <v>130921</v>
      </c>
      <c r="O274">
        <f>IF(B274="zagraniczny",K274+O273,O273)</f>
        <v>133</v>
      </c>
    </row>
    <row r="275" spans="1:15" x14ac:dyDescent="0.25">
      <c r="A275">
        <v>79890857</v>
      </c>
      <c r="B275" t="str">
        <f t="shared" si="40"/>
        <v>komorkowy</v>
      </c>
      <c r="C275" s="1">
        <v>42921</v>
      </c>
      <c r="D275" s="2">
        <v>0.54859953703703701</v>
      </c>
      <c r="E275" s="2">
        <v>0.55990740740740741</v>
      </c>
      <c r="F275" s="2">
        <f t="shared" si="41"/>
        <v>1.1307870370370399E-2</v>
      </c>
      <c r="G275">
        <f t="shared" si="42"/>
        <v>0</v>
      </c>
      <c r="H275">
        <f t="shared" si="43"/>
        <v>16</v>
      </c>
      <c r="I275">
        <f t="shared" si="44"/>
        <v>17</v>
      </c>
      <c r="J275">
        <f t="shared" si="45"/>
        <v>977</v>
      </c>
      <c r="K275">
        <f t="shared" si="46"/>
        <v>17</v>
      </c>
      <c r="L275">
        <f t="shared" si="47"/>
        <v>66414</v>
      </c>
      <c r="M275">
        <f t="shared" si="48"/>
        <v>17484</v>
      </c>
      <c r="N275">
        <f t="shared" si="49"/>
        <v>131898</v>
      </c>
      <c r="O275">
        <f>IF(B275="zagraniczny",K275+O274,O274)</f>
        <v>133</v>
      </c>
    </row>
    <row r="276" spans="1:15" x14ac:dyDescent="0.25">
      <c r="A276">
        <v>4600571814</v>
      </c>
      <c r="B276" t="str">
        <f t="shared" si="40"/>
        <v>zagraniczny</v>
      </c>
      <c r="C276" s="1">
        <v>42921</v>
      </c>
      <c r="D276" s="2">
        <v>0.55166666666666664</v>
      </c>
      <c r="E276" s="2">
        <v>0.55865740740740744</v>
      </c>
      <c r="F276" s="2">
        <f t="shared" si="41"/>
        <v>6.9907407407407973E-3</v>
      </c>
      <c r="G276">
        <f t="shared" si="42"/>
        <v>0</v>
      </c>
      <c r="H276">
        <f t="shared" si="43"/>
        <v>10</v>
      </c>
      <c r="I276">
        <f t="shared" si="44"/>
        <v>4</v>
      </c>
      <c r="J276">
        <f t="shared" si="45"/>
        <v>604</v>
      </c>
      <c r="K276">
        <f t="shared" si="46"/>
        <v>11</v>
      </c>
      <c r="L276">
        <f t="shared" si="47"/>
        <v>66414</v>
      </c>
      <c r="M276">
        <f t="shared" si="48"/>
        <v>17484</v>
      </c>
      <c r="N276">
        <f t="shared" si="49"/>
        <v>131898</v>
      </c>
      <c r="O276">
        <f>IF(B276="zagraniczny",K276+O275,O275)</f>
        <v>144</v>
      </c>
    </row>
    <row r="277" spans="1:15" x14ac:dyDescent="0.25">
      <c r="A277">
        <v>1579531</v>
      </c>
      <c r="B277" t="str">
        <f t="shared" si="40"/>
        <v>stacjonarny</v>
      </c>
      <c r="C277" s="1">
        <v>42921</v>
      </c>
      <c r="D277" s="2">
        <v>0.55266203703703709</v>
      </c>
      <c r="E277" s="2">
        <v>0.56405092592592587</v>
      </c>
      <c r="F277" s="2">
        <f t="shared" si="41"/>
        <v>1.1388888888888782E-2</v>
      </c>
      <c r="G277">
        <f t="shared" si="42"/>
        <v>0</v>
      </c>
      <c r="H277">
        <f t="shared" si="43"/>
        <v>16</v>
      </c>
      <c r="I277">
        <f t="shared" si="44"/>
        <v>24</v>
      </c>
      <c r="J277">
        <f t="shared" si="45"/>
        <v>984</v>
      </c>
      <c r="K277">
        <f t="shared" si="46"/>
        <v>17</v>
      </c>
      <c r="L277">
        <f t="shared" si="47"/>
        <v>67398</v>
      </c>
      <c r="M277">
        <f t="shared" si="48"/>
        <v>17484</v>
      </c>
      <c r="N277">
        <f t="shared" si="49"/>
        <v>132882</v>
      </c>
      <c r="O277">
        <f>IF(B277="zagraniczny",K277+O276,O276)</f>
        <v>144</v>
      </c>
    </row>
    <row r="278" spans="1:15" x14ac:dyDescent="0.25">
      <c r="A278">
        <v>7110850</v>
      </c>
      <c r="B278" t="str">
        <f t="shared" si="40"/>
        <v>stacjonarny</v>
      </c>
      <c r="C278" s="1">
        <v>42921</v>
      </c>
      <c r="D278" s="2">
        <v>0.55269675925925921</v>
      </c>
      <c r="E278" s="2">
        <v>0.56355324074074076</v>
      </c>
      <c r="F278" s="2">
        <f t="shared" si="41"/>
        <v>1.085648148148155E-2</v>
      </c>
      <c r="G278">
        <f t="shared" si="42"/>
        <v>0</v>
      </c>
      <c r="H278">
        <f t="shared" si="43"/>
        <v>15</v>
      </c>
      <c r="I278">
        <f t="shared" si="44"/>
        <v>38</v>
      </c>
      <c r="J278">
        <f t="shared" si="45"/>
        <v>938</v>
      </c>
      <c r="K278">
        <f t="shared" si="46"/>
        <v>16</v>
      </c>
      <c r="L278">
        <f t="shared" si="47"/>
        <v>68336</v>
      </c>
      <c r="M278">
        <f t="shared" si="48"/>
        <v>17484</v>
      </c>
      <c r="N278">
        <f t="shared" si="49"/>
        <v>133820</v>
      </c>
      <c r="O278">
        <f>IF(B278="zagraniczny",K278+O277,O277)</f>
        <v>144</v>
      </c>
    </row>
    <row r="279" spans="1:15" x14ac:dyDescent="0.25">
      <c r="A279">
        <v>18036364</v>
      </c>
      <c r="B279" t="str">
        <f t="shared" si="40"/>
        <v>komorkowy</v>
      </c>
      <c r="C279" s="1">
        <v>42921</v>
      </c>
      <c r="D279" s="2">
        <v>0.55847222222222226</v>
      </c>
      <c r="E279" s="2">
        <v>0.56166666666666665</v>
      </c>
      <c r="F279" s="2">
        <f t="shared" si="41"/>
        <v>3.1944444444443887E-3</v>
      </c>
      <c r="G279">
        <f t="shared" si="42"/>
        <v>0</v>
      </c>
      <c r="H279">
        <f t="shared" si="43"/>
        <v>4</v>
      </c>
      <c r="I279">
        <f t="shared" si="44"/>
        <v>36</v>
      </c>
      <c r="J279">
        <f t="shared" si="45"/>
        <v>276</v>
      </c>
      <c r="K279">
        <f t="shared" si="46"/>
        <v>5</v>
      </c>
      <c r="L279">
        <f t="shared" si="47"/>
        <v>68336</v>
      </c>
      <c r="M279">
        <f t="shared" si="48"/>
        <v>17760</v>
      </c>
      <c r="N279">
        <f t="shared" si="49"/>
        <v>134096</v>
      </c>
      <c r="O279">
        <f>IF(B279="zagraniczny",K279+O278,O278)</f>
        <v>144</v>
      </c>
    </row>
    <row r="280" spans="1:15" x14ac:dyDescent="0.25">
      <c r="A280">
        <v>6712006</v>
      </c>
      <c r="B280" t="str">
        <f t="shared" si="40"/>
        <v>stacjonarny</v>
      </c>
      <c r="C280" s="1">
        <v>42921</v>
      </c>
      <c r="D280" s="2">
        <v>0.56106481481481485</v>
      </c>
      <c r="E280" s="2">
        <v>0.56716435185185188</v>
      </c>
      <c r="F280" s="2">
        <f t="shared" si="41"/>
        <v>6.0995370370370283E-3</v>
      </c>
      <c r="G280">
        <f t="shared" si="42"/>
        <v>0</v>
      </c>
      <c r="H280">
        <f t="shared" si="43"/>
        <v>8</v>
      </c>
      <c r="I280">
        <f t="shared" si="44"/>
        <v>47</v>
      </c>
      <c r="J280">
        <f t="shared" si="45"/>
        <v>527</v>
      </c>
      <c r="K280">
        <f t="shared" si="46"/>
        <v>9</v>
      </c>
      <c r="L280">
        <f t="shared" si="47"/>
        <v>68863</v>
      </c>
      <c r="M280">
        <f t="shared" si="48"/>
        <v>17760</v>
      </c>
      <c r="N280">
        <f t="shared" si="49"/>
        <v>134623</v>
      </c>
      <c r="O280">
        <f>IF(B280="zagraniczny",K280+O279,O279)</f>
        <v>144</v>
      </c>
    </row>
    <row r="281" spans="1:15" x14ac:dyDescent="0.25">
      <c r="A281">
        <v>5646830</v>
      </c>
      <c r="B281" t="str">
        <f t="shared" si="40"/>
        <v>stacjonarny</v>
      </c>
      <c r="C281" s="1">
        <v>42921</v>
      </c>
      <c r="D281" s="2">
        <v>0.56361111111111106</v>
      </c>
      <c r="E281" s="2">
        <v>0.57469907407407406</v>
      </c>
      <c r="F281" s="2">
        <f t="shared" si="41"/>
        <v>1.1087962962962994E-2</v>
      </c>
      <c r="G281">
        <f t="shared" si="42"/>
        <v>0</v>
      </c>
      <c r="H281">
        <f t="shared" si="43"/>
        <v>15</v>
      </c>
      <c r="I281">
        <f t="shared" si="44"/>
        <v>58</v>
      </c>
      <c r="J281">
        <f t="shared" si="45"/>
        <v>958</v>
      </c>
      <c r="K281">
        <f t="shared" si="46"/>
        <v>16</v>
      </c>
      <c r="L281">
        <f t="shared" si="47"/>
        <v>69821</v>
      </c>
      <c r="M281">
        <f t="shared" si="48"/>
        <v>17760</v>
      </c>
      <c r="N281">
        <f t="shared" si="49"/>
        <v>135581</v>
      </c>
      <c r="O281">
        <f>IF(B281="zagraniczny",K281+O280,O280)</f>
        <v>144</v>
      </c>
    </row>
    <row r="282" spans="1:15" x14ac:dyDescent="0.25">
      <c r="A282">
        <v>38535407</v>
      </c>
      <c r="B282" t="str">
        <f t="shared" si="40"/>
        <v>komorkowy</v>
      </c>
      <c r="C282" s="1">
        <v>42921</v>
      </c>
      <c r="D282" s="2">
        <v>0.56568287037037035</v>
      </c>
      <c r="E282" s="2">
        <v>0.56981481481481477</v>
      </c>
      <c r="F282" s="2">
        <f t="shared" si="41"/>
        <v>4.1319444444444242E-3</v>
      </c>
      <c r="G282">
        <f t="shared" si="42"/>
        <v>0</v>
      </c>
      <c r="H282">
        <f t="shared" si="43"/>
        <v>5</v>
      </c>
      <c r="I282">
        <f t="shared" si="44"/>
        <v>57</v>
      </c>
      <c r="J282">
        <f t="shared" si="45"/>
        <v>357</v>
      </c>
      <c r="K282">
        <f t="shared" si="46"/>
        <v>6</v>
      </c>
      <c r="L282">
        <f t="shared" si="47"/>
        <v>69821</v>
      </c>
      <c r="M282">
        <f t="shared" si="48"/>
        <v>18117</v>
      </c>
      <c r="N282">
        <f t="shared" si="49"/>
        <v>135938</v>
      </c>
      <c r="O282">
        <f>IF(B282="zagraniczny",K282+O281,O281)</f>
        <v>144</v>
      </c>
    </row>
    <row r="283" spans="1:15" x14ac:dyDescent="0.25">
      <c r="A283">
        <v>66871690</v>
      </c>
      <c r="B283" t="str">
        <f t="shared" si="40"/>
        <v>komorkowy</v>
      </c>
      <c r="C283" s="1">
        <v>42921</v>
      </c>
      <c r="D283" s="2">
        <v>0.56703703703703701</v>
      </c>
      <c r="E283" s="2">
        <v>0.57664351851851847</v>
      </c>
      <c r="F283" s="2">
        <f t="shared" si="41"/>
        <v>9.6064814814814659E-3</v>
      </c>
      <c r="G283">
        <f t="shared" si="42"/>
        <v>0</v>
      </c>
      <c r="H283">
        <f t="shared" si="43"/>
        <v>13</v>
      </c>
      <c r="I283">
        <f t="shared" si="44"/>
        <v>50</v>
      </c>
      <c r="J283">
        <f t="shared" si="45"/>
        <v>830</v>
      </c>
      <c r="K283">
        <f t="shared" si="46"/>
        <v>14</v>
      </c>
      <c r="L283">
        <f t="shared" si="47"/>
        <v>69821</v>
      </c>
      <c r="M283">
        <f t="shared" si="48"/>
        <v>18947</v>
      </c>
      <c r="N283">
        <f t="shared" si="49"/>
        <v>136768</v>
      </c>
      <c r="O283">
        <f>IF(B283="zagraniczny",K283+O282,O282)</f>
        <v>144</v>
      </c>
    </row>
    <row r="284" spans="1:15" x14ac:dyDescent="0.25">
      <c r="A284">
        <v>7085993</v>
      </c>
      <c r="B284" t="str">
        <f t="shared" si="40"/>
        <v>stacjonarny</v>
      </c>
      <c r="C284" s="1">
        <v>42921</v>
      </c>
      <c r="D284" s="2">
        <v>0.57192129629629629</v>
      </c>
      <c r="E284" s="2">
        <v>0.57506944444444441</v>
      </c>
      <c r="F284" s="2">
        <f t="shared" si="41"/>
        <v>3.1481481481481222E-3</v>
      </c>
      <c r="G284">
        <f t="shared" si="42"/>
        <v>0</v>
      </c>
      <c r="H284">
        <f t="shared" si="43"/>
        <v>4</v>
      </c>
      <c r="I284">
        <f t="shared" si="44"/>
        <v>32</v>
      </c>
      <c r="J284">
        <f t="shared" si="45"/>
        <v>272</v>
      </c>
      <c r="K284">
        <f t="shared" si="46"/>
        <v>5</v>
      </c>
      <c r="L284">
        <f t="shared" si="47"/>
        <v>70093</v>
      </c>
      <c r="M284">
        <f t="shared" si="48"/>
        <v>18947</v>
      </c>
      <c r="N284">
        <f t="shared" si="49"/>
        <v>137040</v>
      </c>
      <c r="O284">
        <f>IF(B284="zagraniczny",K284+O283,O283)</f>
        <v>144</v>
      </c>
    </row>
    <row r="285" spans="1:15" x14ac:dyDescent="0.25">
      <c r="A285">
        <v>2890720</v>
      </c>
      <c r="B285" t="str">
        <f t="shared" si="40"/>
        <v>stacjonarny</v>
      </c>
      <c r="C285" s="1">
        <v>42921</v>
      </c>
      <c r="D285" s="2">
        <v>0.57589120370370372</v>
      </c>
      <c r="E285" s="2">
        <v>0.57648148148148148</v>
      </c>
      <c r="F285" s="2">
        <f t="shared" si="41"/>
        <v>5.9027777777775903E-4</v>
      </c>
      <c r="G285">
        <f t="shared" si="42"/>
        <v>0</v>
      </c>
      <c r="H285">
        <f t="shared" si="43"/>
        <v>0</v>
      </c>
      <c r="I285">
        <f t="shared" si="44"/>
        <v>51</v>
      </c>
      <c r="J285">
        <f t="shared" si="45"/>
        <v>51</v>
      </c>
      <c r="K285">
        <f t="shared" si="46"/>
        <v>1</v>
      </c>
      <c r="L285">
        <f t="shared" si="47"/>
        <v>70144</v>
      </c>
      <c r="M285">
        <f t="shared" si="48"/>
        <v>18947</v>
      </c>
      <c r="N285">
        <f t="shared" si="49"/>
        <v>137091</v>
      </c>
      <c r="O285">
        <f>IF(B285="zagraniczny",K285+O284,O284)</f>
        <v>144</v>
      </c>
    </row>
    <row r="286" spans="1:15" x14ac:dyDescent="0.25">
      <c r="A286">
        <v>8375968</v>
      </c>
      <c r="B286" t="str">
        <f t="shared" si="40"/>
        <v>stacjonarny</v>
      </c>
      <c r="C286" s="1">
        <v>42921</v>
      </c>
      <c r="D286" s="2">
        <v>0.5786458333333333</v>
      </c>
      <c r="E286" s="2">
        <v>0.57954861111111111</v>
      </c>
      <c r="F286" s="2">
        <f t="shared" si="41"/>
        <v>9.0277777777780788E-4</v>
      </c>
      <c r="G286">
        <f t="shared" si="42"/>
        <v>0</v>
      </c>
      <c r="H286">
        <f t="shared" si="43"/>
        <v>1</v>
      </c>
      <c r="I286">
        <f t="shared" si="44"/>
        <v>18</v>
      </c>
      <c r="J286">
        <f t="shared" si="45"/>
        <v>78</v>
      </c>
      <c r="K286">
        <f t="shared" si="46"/>
        <v>2</v>
      </c>
      <c r="L286">
        <f t="shared" si="47"/>
        <v>70222</v>
      </c>
      <c r="M286">
        <f t="shared" si="48"/>
        <v>18947</v>
      </c>
      <c r="N286">
        <f t="shared" si="49"/>
        <v>137169</v>
      </c>
      <c r="O286">
        <f>IF(B286="zagraniczny",K286+O285,O285)</f>
        <v>144</v>
      </c>
    </row>
    <row r="287" spans="1:15" x14ac:dyDescent="0.25">
      <c r="A287">
        <v>1119740</v>
      </c>
      <c r="B287" t="str">
        <f t="shared" si="40"/>
        <v>stacjonarny</v>
      </c>
      <c r="C287" s="1">
        <v>42921</v>
      </c>
      <c r="D287" s="2">
        <v>0.57876157407407403</v>
      </c>
      <c r="E287" s="2">
        <v>0.5811574074074074</v>
      </c>
      <c r="F287" s="2">
        <f t="shared" si="41"/>
        <v>2.3958333333333748E-3</v>
      </c>
      <c r="G287">
        <f t="shared" si="42"/>
        <v>0</v>
      </c>
      <c r="H287">
        <f t="shared" si="43"/>
        <v>3</v>
      </c>
      <c r="I287">
        <f t="shared" si="44"/>
        <v>27</v>
      </c>
      <c r="J287">
        <f t="shared" si="45"/>
        <v>207</v>
      </c>
      <c r="K287">
        <f t="shared" si="46"/>
        <v>4</v>
      </c>
      <c r="L287">
        <f t="shared" si="47"/>
        <v>70429</v>
      </c>
      <c r="M287">
        <f t="shared" si="48"/>
        <v>18947</v>
      </c>
      <c r="N287">
        <f t="shared" si="49"/>
        <v>137376</v>
      </c>
      <c r="O287">
        <f>IF(B287="zagraniczny",K287+O286,O286)</f>
        <v>144</v>
      </c>
    </row>
    <row r="288" spans="1:15" x14ac:dyDescent="0.25">
      <c r="A288">
        <v>3796958</v>
      </c>
      <c r="B288" t="str">
        <f t="shared" si="40"/>
        <v>stacjonarny</v>
      </c>
      <c r="C288" s="1">
        <v>42921</v>
      </c>
      <c r="D288" s="2">
        <v>0.57901620370370366</v>
      </c>
      <c r="E288" s="2">
        <v>0.58940972222222221</v>
      </c>
      <c r="F288" s="2">
        <f t="shared" si="41"/>
        <v>1.0393518518518552E-2</v>
      </c>
      <c r="G288">
        <f t="shared" si="42"/>
        <v>0</v>
      </c>
      <c r="H288">
        <f t="shared" si="43"/>
        <v>14</v>
      </c>
      <c r="I288">
        <f t="shared" si="44"/>
        <v>58</v>
      </c>
      <c r="J288">
        <f t="shared" si="45"/>
        <v>898</v>
      </c>
      <c r="K288">
        <f t="shared" si="46"/>
        <v>15</v>
      </c>
      <c r="L288">
        <f t="shared" si="47"/>
        <v>71327</v>
      </c>
      <c r="M288">
        <f t="shared" si="48"/>
        <v>18947</v>
      </c>
      <c r="N288">
        <f t="shared" si="49"/>
        <v>138274</v>
      </c>
      <c r="O288">
        <f>IF(B288="zagraniczny",K288+O287,O287)</f>
        <v>144</v>
      </c>
    </row>
    <row r="289" spans="1:15" x14ac:dyDescent="0.25">
      <c r="A289">
        <v>8010775</v>
      </c>
      <c r="B289" t="str">
        <f t="shared" si="40"/>
        <v>stacjonarny</v>
      </c>
      <c r="C289" s="1">
        <v>42921</v>
      </c>
      <c r="D289" s="2">
        <v>0.58275462962962965</v>
      </c>
      <c r="E289" s="2">
        <v>0.5852546296296296</v>
      </c>
      <c r="F289" s="2">
        <f t="shared" si="41"/>
        <v>2.4999999999999467E-3</v>
      </c>
      <c r="G289">
        <f t="shared" si="42"/>
        <v>0</v>
      </c>
      <c r="H289">
        <f t="shared" si="43"/>
        <v>3</v>
      </c>
      <c r="I289">
        <f t="shared" si="44"/>
        <v>36</v>
      </c>
      <c r="J289">
        <f t="shared" si="45"/>
        <v>216</v>
      </c>
      <c r="K289">
        <f t="shared" si="46"/>
        <v>4</v>
      </c>
      <c r="L289">
        <f t="shared" si="47"/>
        <v>71543</v>
      </c>
      <c r="M289">
        <f t="shared" si="48"/>
        <v>18947</v>
      </c>
      <c r="N289">
        <f t="shared" si="49"/>
        <v>138490</v>
      </c>
      <c r="O289">
        <f>IF(B289="zagraniczny",K289+O288,O288)</f>
        <v>144</v>
      </c>
    </row>
    <row r="290" spans="1:15" x14ac:dyDescent="0.25">
      <c r="A290">
        <v>46023878</v>
      </c>
      <c r="B290" t="str">
        <f t="shared" si="40"/>
        <v>komorkowy</v>
      </c>
      <c r="C290" s="1">
        <v>42921</v>
      </c>
      <c r="D290" s="2">
        <v>0.58829861111111115</v>
      </c>
      <c r="E290" s="2">
        <v>0.59641203703703705</v>
      </c>
      <c r="F290" s="2">
        <f t="shared" si="41"/>
        <v>8.113425925925899E-3</v>
      </c>
      <c r="G290">
        <f t="shared" si="42"/>
        <v>0</v>
      </c>
      <c r="H290">
        <f t="shared" si="43"/>
        <v>11</v>
      </c>
      <c r="I290">
        <f t="shared" si="44"/>
        <v>41</v>
      </c>
      <c r="J290">
        <f t="shared" si="45"/>
        <v>701</v>
      </c>
      <c r="K290">
        <f t="shared" si="46"/>
        <v>12</v>
      </c>
      <c r="L290">
        <f t="shared" si="47"/>
        <v>71543</v>
      </c>
      <c r="M290">
        <f t="shared" si="48"/>
        <v>19648</v>
      </c>
      <c r="N290">
        <f t="shared" si="49"/>
        <v>139191</v>
      </c>
      <c r="O290">
        <f>IF(B290="zagraniczny",K290+O289,O289)</f>
        <v>144</v>
      </c>
    </row>
    <row r="291" spans="1:15" x14ac:dyDescent="0.25">
      <c r="A291">
        <v>3379007610</v>
      </c>
      <c r="B291" t="str">
        <f t="shared" si="40"/>
        <v>zagraniczny</v>
      </c>
      <c r="C291" s="1">
        <v>42921</v>
      </c>
      <c r="D291" s="2">
        <v>0.59281249999999996</v>
      </c>
      <c r="E291" s="2">
        <v>0.59871527777777778</v>
      </c>
      <c r="F291" s="2">
        <f t="shared" si="41"/>
        <v>5.9027777777778123E-3</v>
      </c>
      <c r="G291">
        <f t="shared" si="42"/>
        <v>0</v>
      </c>
      <c r="H291">
        <f t="shared" si="43"/>
        <v>8</v>
      </c>
      <c r="I291">
        <f t="shared" si="44"/>
        <v>30</v>
      </c>
      <c r="J291">
        <f t="shared" si="45"/>
        <v>510</v>
      </c>
      <c r="K291">
        <f t="shared" si="46"/>
        <v>9</v>
      </c>
      <c r="L291">
        <f t="shared" si="47"/>
        <v>71543</v>
      </c>
      <c r="M291">
        <f t="shared" si="48"/>
        <v>19648</v>
      </c>
      <c r="N291">
        <f t="shared" si="49"/>
        <v>139191</v>
      </c>
      <c r="O291">
        <f>IF(B291="zagraniczny",K291+O290,O290)</f>
        <v>153</v>
      </c>
    </row>
    <row r="292" spans="1:15" x14ac:dyDescent="0.25">
      <c r="A292">
        <v>2890519255</v>
      </c>
      <c r="B292" t="str">
        <f t="shared" si="40"/>
        <v>zagraniczny</v>
      </c>
      <c r="C292" s="1">
        <v>42921</v>
      </c>
      <c r="D292" s="2">
        <v>0.59557870370370369</v>
      </c>
      <c r="E292" s="2">
        <v>0.59930555555555554</v>
      </c>
      <c r="F292" s="2">
        <f t="shared" si="41"/>
        <v>3.7268518518518423E-3</v>
      </c>
      <c r="G292">
        <f t="shared" si="42"/>
        <v>0</v>
      </c>
      <c r="H292">
        <f t="shared" si="43"/>
        <v>5</v>
      </c>
      <c r="I292">
        <f t="shared" si="44"/>
        <v>22</v>
      </c>
      <c r="J292">
        <f t="shared" si="45"/>
        <v>322</v>
      </c>
      <c r="K292">
        <f t="shared" si="46"/>
        <v>6</v>
      </c>
      <c r="L292">
        <f t="shared" si="47"/>
        <v>71543</v>
      </c>
      <c r="M292">
        <f t="shared" si="48"/>
        <v>19648</v>
      </c>
      <c r="N292">
        <f t="shared" si="49"/>
        <v>139191</v>
      </c>
      <c r="O292">
        <f>IF(B292="zagraniczny",K292+O291,O291)</f>
        <v>159</v>
      </c>
    </row>
    <row r="293" spans="1:15" x14ac:dyDescent="0.25">
      <c r="A293">
        <v>27858818</v>
      </c>
      <c r="B293" t="str">
        <f t="shared" si="40"/>
        <v>komorkowy</v>
      </c>
      <c r="C293" s="1">
        <v>42921</v>
      </c>
      <c r="D293" s="2">
        <v>0.59718749999999998</v>
      </c>
      <c r="E293" s="2">
        <v>0.60711805555555554</v>
      </c>
      <c r="F293" s="2">
        <f t="shared" si="41"/>
        <v>9.9305555555555536E-3</v>
      </c>
      <c r="G293">
        <f t="shared" si="42"/>
        <v>0</v>
      </c>
      <c r="H293">
        <f t="shared" si="43"/>
        <v>14</v>
      </c>
      <c r="I293">
        <f t="shared" si="44"/>
        <v>18</v>
      </c>
      <c r="J293">
        <f t="shared" si="45"/>
        <v>858</v>
      </c>
      <c r="K293">
        <f t="shared" si="46"/>
        <v>15</v>
      </c>
      <c r="L293">
        <f t="shared" si="47"/>
        <v>71543</v>
      </c>
      <c r="M293">
        <f t="shared" si="48"/>
        <v>20506</v>
      </c>
      <c r="N293">
        <f t="shared" si="49"/>
        <v>140049</v>
      </c>
      <c r="O293">
        <f>IF(B293="zagraniczny",K293+O292,O292)</f>
        <v>159</v>
      </c>
    </row>
    <row r="294" spans="1:15" x14ac:dyDescent="0.25">
      <c r="A294">
        <v>5076649</v>
      </c>
      <c r="B294" t="str">
        <f t="shared" si="40"/>
        <v>stacjonarny</v>
      </c>
      <c r="C294" s="1">
        <v>42921</v>
      </c>
      <c r="D294" s="2">
        <v>0.59803240740740737</v>
      </c>
      <c r="E294" s="2">
        <v>0.60223379629629625</v>
      </c>
      <c r="F294" s="2">
        <f t="shared" si="41"/>
        <v>4.2013888888888795E-3</v>
      </c>
      <c r="G294">
        <f t="shared" si="42"/>
        <v>0</v>
      </c>
      <c r="H294">
        <f t="shared" si="43"/>
        <v>6</v>
      </c>
      <c r="I294">
        <f t="shared" si="44"/>
        <v>3</v>
      </c>
      <c r="J294">
        <f t="shared" si="45"/>
        <v>363</v>
      </c>
      <c r="K294">
        <f t="shared" si="46"/>
        <v>7</v>
      </c>
      <c r="L294">
        <f t="shared" si="47"/>
        <v>71906</v>
      </c>
      <c r="M294">
        <f t="shared" si="48"/>
        <v>20506</v>
      </c>
      <c r="N294">
        <f t="shared" si="49"/>
        <v>140412</v>
      </c>
      <c r="O294">
        <f>IF(B294="zagraniczny",K294+O293,O293)</f>
        <v>159</v>
      </c>
    </row>
    <row r="295" spans="1:15" x14ac:dyDescent="0.25">
      <c r="A295">
        <v>70367818</v>
      </c>
      <c r="B295" t="str">
        <f t="shared" si="40"/>
        <v>komorkowy</v>
      </c>
      <c r="C295" s="1">
        <v>42921</v>
      </c>
      <c r="D295" s="2">
        <v>0.5982291666666667</v>
      </c>
      <c r="E295" s="2">
        <v>0.60077546296296291</v>
      </c>
      <c r="F295" s="2">
        <f t="shared" si="41"/>
        <v>2.5462962962962132E-3</v>
      </c>
      <c r="G295">
        <f t="shared" si="42"/>
        <v>0</v>
      </c>
      <c r="H295">
        <f t="shared" si="43"/>
        <v>3</v>
      </c>
      <c r="I295">
        <f t="shared" si="44"/>
        <v>40</v>
      </c>
      <c r="J295">
        <f t="shared" si="45"/>
        <v>220</v>
      </c>
      <c r="K295">
        <f t="shared" si="46"/>
        <v>4</v>
      </c>
      <c r="L295">
        <f t="shared" si="47"/>
        <v>71906</v>
      </c>
      <c r="M295">
        <f t="shared" si="48"/>
        <v>20726</v>
      </c>
      <c r="N295">
        <f t="shared" si="49"/>
        <v>140632</v>
      </c>
      <c r="O295">
        <f>IF(B295="zagraniczny",K295+O294,O294)</f>
        <v>159</v>
      </c>
    </row>
    <row r="296" spans="1:15" x14ac:dyDescent="0.25">
      <c r="A296">
        <v>9788998</v>
      </c>
      <c r="B296" t="str">
        <f t="shared" si="40"/>
        <v>stacjonarny</v>
      </c>
      <c r="C296" s="1">
        <v>42921</v>
      </c>
      <c r="D296" s="2">
        <v>0.60070601851851857</v>
      </c>
      <c r="E296" s="2">
        <v>0.6075694444444445</v>
      </c>
      <c r="F296" s="2">
        <f t="shared" si="41"/>
        <v>6.8634259259259256E-3</v>
      </c>
      <c r="G296">
        <f t="shared" si="42"/>
        <v>0</v>
      </c>
      <c r="H296">
        <f t="shared" si="43"/>
        <v>9</v>
      </c>
      <c r="I296">
        <f t="shared" si="44"/>
        <v>53</v>
      </c>
      <c r="J296">
        <f t="shared" si="45"/>
        <v>593</v>
      </c>
      <c r="K296">
        <f t="shared" si="46"/>
        <v>10</v>
      </c>
      <c r="L296">
        <f t="shared" si="47"/>
        <v>72499</v>
      </c>
      <c r="M296">
        <f t="shared" si="48"/>
        <v>20726</v>
      </c>
      <c r="N296">
        <f t="shared" si="49"/>
        <v>141225</v>
      </c>
      <c r="O296">
        <f>IF(B296="zagraniczny",K296+O295,O295)</f>
        <v>159</v>
      </c>
    </row>
    <row r="297" spans="1:15" x14ac:dyDescent="0.25">
      <c r="A297">
        <v>1951101</v>
      </c>
      <c r="B297" t="str">
        <f t="shared" si="40"/>
        <v>stacjonarny</v>
      </c>
      <c r="C297" s="1">
        <v>42921</v>
      </c>
      <c r="D297" s="2">
        <v>0.60379629629629628</v>
      </c>
      <c r="E297" s="2">
        <v>0.6139930555555555</v>
      </c>
      <c r="F297" s="2">
        <f t="shared" si="41"/>
        <v>1.0196759259259225E-2</v>
      </c>
      <c r="G297">
        <f t="shared" si="42"/>
        <v>0</v>
      </c>
      <c r="H297">
        <f t="shared" si="43"/>
        <v>14</v>
      </c>
      <c r="I297">
        <f t="shared" si="44"/>
        <v>41</v>
      </c>
      <c r="J297">
        <f t="shared" si="45"/>
        <v>881</v>
      </c>
      <c r="K297">
        <f t="shared" si="46"/>
        <v>15</v>
      </c>
      <c r="L297">
        <f t="shared" si="47"/>
        <v>73380</v>
      </c>
      <c r="M297">
        <f t="shared" si="48"/>
        <v>20726</v>
      </c>
      <c r="N297">
        <f t="shared" si="49"/>
        <v>142106</v>
      </c>
      <c r="O297">
        <f>IF(B297="zagraniczny",K297+O296,O296)</f>
        <v>159</v>
      </c>
    </row>
    <row r="298" spans="1:15" x14ac:dyDescent="0.25">
      <c r="A298">
        <v>4546455</v>
      </c>
      <c r="B298" t="str">
        <f t="shared" si="40"/>
        <v>stacjonarny</v>
      </c>
      <c r="C298" s="1">
        <v>42921</v>
      </c>
      <c r="D298" s="2">
        <v>0.6040740740740741</v>
      </c>
      <c r="E298" s="2">
        <v>0.61181712962962964</v>
      </c>
      <c r="F298" s="2">
        <f t="shared" si="41"/>
        <v>7.7430555555555447E-3</v>
      </c>
      <c r="G298">
        <f t="shared" si="42"/>
        <v>0</v>
      </c>
      <c r="H298">
        <f t="shared" si="43"/>
        <v>11</v>
      </c>
      <c r="I298">
        <f t="shared" si="44"/>
        <v>9</v>
      </c>
      <c r="J298">
        <f t="shared" si="45"/>
        <v>669</v>
      </c>
      <c r="K298">
        <f t="shared" si="46"/>
        <v>12</v>
      </c>
      <c r="L298">
        <f t="shared" si="47"/>
        <v>74049</v>
      </c>
      <c r="M298">
        <f t="shared" si="48"/>
        <v>20726</v>
      </c>
      <c r="N298">
        <f t="shared" si="49"/>
        <v>142775</v>
      </c>
      <c r="O298">
        <f>IF(B298="zagraniczny",K298+O297,O297)</f>
        <v>159</v>
      </c>
    </row>
    <row r="299" spans="1:15" x14ac:dyDescent="0.25">
      <c r="A299">
        <v>12687991</v>
      </c>
      <c r="B299" t="str">
        <f t="shared" si="40"/>
        <v>komorkowy</v>
      </c>
      <c r="C299" s="1">
        <v>42921</v>
      </c>
      <c r="D299" s="2">
        <v>0.60660879629629627</v>
      </c>
      <c r="E299" s="2">
        <v>0.6086921296296296</v>
      </c>
      <c r="F299" s="2">
        <f t="shared" si="41"/>
        <v>2.0833333333333259E-3</v>
      </c>
      <c r="G299">
        <f t="shared" si="42"/>
        <v>0</v>
      </c>
      <c r="H299">
        <f t="shared" si="43"/>
        <v>3</v>
      </c>
      <c r="I299">
        <f t="shared" si="44"/>
        <v>0</v>
      </c>
      <c r="J299">
        <f t="shared" si="45"/>
        <v>180</v>
      </c>
      <c r="K299">
        <f t="shared" si="46"/>
        <v>3</v>
      </c>
      <c r="L299">
        <f t="shared" si="47"/>
        <v>74049</v>
      </c>
      <c r="M299">
        <f t="shared" si="48"/>
        <v>20906</v>
      </c>
      <c r="N299">
        <f t="shared" si="49"/>
        <v>142955</v>
      </c>
      <c r="O299">
        <f>IF(B299="zagraniczny",K299+O298,O298)</f>
        <v>159</v>
      </c>
    </row>
    <row r="300" spans="1:15" x14ac:dyDescent="0.25">
      <c r="A300">
        <v>4328583</v>
      </c>
      <c r="B300" t="str">
        <f t="shared" si="40"/>
        <v>stacjonarny</v>
      </c>
      <c r="C300" s="1">
        <v>42921</v>
      </c>
      <c r="D300" s="2">
        <v>0.60927083333333332</v>
      </c>
      <c r="E300" s="2">
        <v>0.61127314814814815</v>
      </c>
      <c r="F300" s="2">
        <f t="shared" si="41"/>
        <v>2.0023148148148318E-3</v>
      </c>
      <c r="G300">
        <f t="shared" si="42"/>
        <v>0</v>
      </c>
      <c r="H300">
        <f t="shared" si="43"/>
        <v>2</v>
      </c>
      <c r="I300">
        <f t="shared" si="44"/>
        <v>53</v>
      </c>
      <c r="J300">
        <f t="shared" si="45"/>
        <v>173</v>
      </c>
      <c r="K300">
        <f t="shared" si="46"/>
        <v>3</v>
      </c>
      <c r="L300">
        <f t="shared" si="47"/>
        <v>74222</v>
      </c>
      <c r="M300">
        <f t="shared" si="48"/>
        <v>20906</v>
      </c>
      <c r="N300">
        <f t="shared" si="49"/>
        <v>143128</v>
      </c>
      <c r="O300">
        <f>IF(B300="zagraniczny",K300+O299,O299)</f>
        <v>159</v>
      </c>
    </row>
    <row r="301" spans="1:15" x14ac:dyDescent="0.25">
      <c r="A301">
        <v>2184116</v>
      </c>
      <c r="B301" t="str">
        <f t="shared" si="40"/>
        <v>stacjonarny</v>
      </c>
      <c r="C301" s="1">
        <v>42921</v>
      </c>
      <c r="D301" s="2">
        <v>0.61251157407407408</v>
      </c>
      <c r="E301" s="2">
        <v>0.61998842592592596</v>
      </c>
      <c r="F301" s="2">
        <f t="shared" si="41"/>
        <v>7.4768518518518734E-3</v>
      </c>
      <c r="G301">
        <f t="shared" si="42"/>
        <v>0</v>
      </c>
      <c r="H301">
        <f t="shared" si="43"/>
        <v>10</v>
      </c>
      <c r="I301">
        <f t="shared" si="44"/>
        <v>46</v>
      </c>
      <c r="J301">
        <f t="shared" si="45"/>
        <v>646</v>
      </c>
      <c r="K301">
        <f t="shared" si="46"/>
        <v>11</v>
      </c>
      <c r="L301">
        <f t="shared" si="47"/>
        <v>74868</v>
      </c>
      <c r="M301">
        <f t="shared" si="48"/>
        <v>20906</v>
      </c>
      <c r="N301">
        <f t="shared" si="49"/>
        <v>143774</v>
      </c>
      <c r="O301">
        <f>IF(B301="zagraniczny",K301+O300,O300)</f>
        <v>159</v>
      </c>
    </row>
    <row r="302" spans="1:15" x14ac:dyDescent="0.25">
      <c r="A302">
        <v>24724570</v>
      </c>
      <c r="B302" t="str">
        <f t="shared" si="40"/>
        <v>komorkowy</v>
      </c>
      <c r="C302" s="1">
        <v>42921</v>
      </c>
      <c r="D302" s="2">
        <v>0.61430555555555555</v>
      </c>
      <c r="E302" s="2">
        <v>0.61843749999999997</v>
      </c>
      <c r="F302" s="2">
        <f t="shared" si="41"/>
        <v>4.1319444444444242E-3</v>
      </c>
      <c r="G302">
        <f t="shared" si="42"/>
        <v>0</v>
      </c>
      <c r="H302">
        <f t="shared" si="43"/>
        <v>5</v>
      </c>
      <c r="I302">
        <f t="shared" si="44"/>
        <v>57</v>
      </c>
      <c r="J302">
        <f t="shared" si="45"/>
        <v>357</v>
      </c>
      <c r="K302">
        <f t="shared" si="46"/>
        <v>6</v>
      </c>
      <c r="L302">
        <f t="shared" si="47"/>
        <v>74868</v>
      </c>
      <c r="M302">
        <f t="shared" si="48"/>
        <v>21263</v>
      </c>
      <c r="N302">
        <f t="shared" si="49"/>
        <v>144131</v>
      </c>
      <c r="O302">
        <f>IF(B302="zagraniczny",K302+O301,O301)</f>
        <v>159</v>
      </c>
    </row>
    <row r="303" spans="1:15" x14ac:dyDescent="0.25">
      <c r="A303">
        <v>4843076</v>
      </c>
      <c r="B303" t="str">
        <f t="shared" si="40"/>
        <v>stacjonarny</v>
      </c>
      <c r="C303" s="1">
        <v>42921</v>
      </c>
      <c r="D303" s="2">
        <v>0.61957175925925922</v>
      </c>
      <c r="E303" s="2">
        <v>0.62241898148148145</v>
      </c>
      <c r="F303" s="2">
        <f t="shared" si="41"/>
        <v>2.8472222222222232E-3</v>
      </c>
      <c r="G303">
        <f t="shared" si="42"/>
        <v>0</v>
      </c>
      <c r="H303">
        <f t="shared" si="43"/>
        <v>4</v>
      </c>
      <c r="I303">
        <f t="shared" si="44"/>
        <v>6</v>
      </c>
      <c r="J303">
        <f t="shared" si="45"/>
        <v>246</v>
      </c>
      <c r="K303">
        <f t="shared" si="46"/>
        <v>5</v>
      </c>
      <c r="L303">
        <f t="shared" si="47"/>
        <v>75114</v>
      </c>
      <c r="M303">
        <f t="shared" si="48"/>
        <v>21263</v>
      </c>
      <c r="N303">
        <f t="shared" si="49"/>
        <v>144377</v>
      </c>
      <c r="O303">
        <f>IF(B303="zagraniczny",K303+O302,O302)</f>
        <v>159</v>
      </c>
    </row>
    <row r="304" spans="1:15" x14ac:dyDescent="0.25">
      <c r="A304">
        <v>7795911</v>
      </c>
      <c r="B304" t="str">
        <f t="shared" si="40"/>
        <v>stacjonarny</v>
      </c>
      <c r="C304" s="1">
        <v>42921</v>
      </c>
      <c r="D304" s="2">
        <v>0.62047453703703703</v>
      </c>
      <c r="E304" s="2">
        <v>0.62715277777777778</v>
      </c>
      <c r="F304" s="2">
        <f t="shared" si="41"/>
        <v>6.6782407407407485E-3</v>
      </c>
      <c r="G304">
        <f t="shared" si="42"/>
        <v>0</v>
      </c>
      <c r="H304">
        <f t="shared" si="43"/>
        <v>9</v>
      </c>
      <c r="I304">
        <f t="shared" si="44"/>
        <v>37</v>
      </c>
      <c r="J304">
        <f t="shared" si="45"/>
        <v>577</v>
      </c>
      <c r="K304">
        <f t="shared" si="46"/>
        <v>10</v>
      </c>
      <c r="L304">
        <f t="shared" si="47"/>
        <v>75691</v>
      </c>
      <c r="M304">
        <f t="shared" si="48"/>
        <v>21263</v>
      </c>
      <c r="N304">
        <f t="shared" si="49"/>
        <v>144954</v>
      </c>
      <c r="O304">
        <f>IF(B304="zagraniczny",K304+O303,O303)</f>
        <v>159</v>
      </c>
    </row>
    <row r="305" spans="1:15" x14ac:dyDescent="0.25">
      <c r="A305">
        <v>42722517</v>
      </c>
      <c r="B305" t="str">
        <f t="shared" si="40"/>
        <v>komorkowy</v>
      </c>
      <c r="C305" s="1">
        <v>42921</v>
      </c>
      <c r="D305" s="2">
        <v>0.62094907407407407</v>
      </c>
      <c r="E305" s="2">
        <v>0.62687499999999996</v>
      </c>
      <c r="F305" s="2">
        <f t="shared" si="41"/>
        <v>5.9259259259258901E-3</v>
      </c>
      <c r="G305">
        <f t="shared" si="42"/>
        <v>0</v>
      </c>
      <c r="H305">
        <f t="shared" si="43"/>
        <v>8</v>
      </c>
      <c r="I305">
        <f t="shared" si="44"/>
        <v>32</v>
      </c>
      <c r="J305">
        <f t="shared" si="45"/>
        <v>512</v>
      </c>
      <c r="K305">
        <f t="shared" si="46"/>
        <v>9</v>
      </c>
      <c r="L305">
        <f t="shared" si="47"/>
        <v>75691</v>
      </c>
      <c r="M305">
        <f t="shared" si="48"/>
        <v>21775</v>
      </c>
      <c r="N305">
        <f t="shared" si="49"/>
        <v>145466</v>
      </c>
      <c r="O305">
        <f>IF(B305="zagraniczny",K305+O304,O304)</f>
        <v>159</v>
      </c>
    </row>
    <row r="306" spans="1:15" x14ac:dyDescent="0.25">
      <c r="A306">
        <v>9697189</v>
      </c>
      <c r="B306" t="str">
        <f t="shared" si="40"/>
        <v>stacjonarny</v>
      </c>
      <c r="C306" s="1">
        <v>42921</v>
      </c>
      <c r="D306" s="2">
        <v>0.62251157407407409</v>
      </c>
      <c r="E306" s="2">
        <v>0.6234143518518519</v>
      </c>
      <c r="F306" s="2">
        <f t="shared" si="41"/>
        <v>9.0277777777780788E-4</v>
      </c>
      <c r="G306">
        <f t="shared" si="42"/>
        <v>0</v>
      </c>
      <c r="H306">
        <f t="shared" si="43"/>
        <v>1</v>
      </c>
      <c r="I306">
        <f t="shared" si="44"/>
        <v>18</v>
      </c>
      <c r="J306">
        <f t="shared" si="45"/>
        <v>78</v>
      </c>
      <c r="K306">
        <f t="shared" si="46"/>
        <v>2</v>
      </c>
      <c r="L306">
        <f t="shared" si="47"/>
        <v>75769</v>
      </c>
      <c r="M306">
        <f t="shared" si="48"/>
        <v>21775</v>
      </c>
      <c r="N306">
        <f t="shared" si="49"/>
        <v>145544</v>
      </c>
      <c r="O306">
        <f>IF(B306="zagraniczny",K306+O305,O305)</f>
        <v>159</v>
      </c>
    </row>
    <row r="307" spans="1:15" x14ac:dyDescent="0.25">
      <c r="A307">
        <v>4471203</v>
      </c>
      <c r="B307" t="str">
        <f t="shared" si="40"/>
        <v>stacjonarny</v>
      </c>
      <c r="C307" s="1">
        <v>42921</v>
      </c>
      <c r="D307" s="2">
        <v>0.62403935185185189</v>
      </c>
      <c r="E307" s="2">
        <v>0.62936342592592598</v>
      </c>
      <c r="F307" s="2">
        <f t="shared" si="41"/>
        <v>5.3240740740740922E-3</v>
      </c>
      <c r="G307">
        <f t="shared" si="42"/>
        <v>0</v>
      </c>
      <c r="H307">
        <f t="shared" si="43"/>
        <v>7</v>
      </c>
      <c r="I307">
        <f t="shared" si="44"/>
        <v>40</v>
      </c>
      <c r="J307">
        <f t="shared" si="45"/>
        <v>460</v>
      </c>
      <c r="K307">
        <f t="shared" si="46"/>
        <v>8</v>
      </c>
      <c r="L307">
        <f t="shared" si="47"/>
        <v>76229</v>
      </c>
      <c r="M307">
        <f t="shared" si="48"/>
        <v>21775</v>
      </c>
      <c r="N307">
        <f t="shared" si="49"/>
        <v>146004</v>
      </c>
      <c r="O307">
        <f>IF(B307="zagraniczny",K307+O306,O306)</f>
        <v>159</v>
      </c>
    </row>
    <row r="308" spans="1:15" x14ac:dyDescent="0.25">
      <c r="A308">
        <v>1439114</v>
      </c>
      <c r="B308" t="str">
        <f t="shared" si="40"/>
        <v>stacjonarny</v>
      </c>
      <c r="C308" s="1">
        <v>42921</v>
      </c>
      <c r="D308" s="2">
        <v>0.62589120370370366</v>
      </c>
      <c r="E308" s="2">
        <v>0.62774305555555554</v>
      </c>
      <c r="F308" s="2">
        <f t="shared" si="41"/>
        <v>1.8518518518518823E-3</v>
      </c>
      <c r="G308">
        <f t="shared" si="42"/>
        <v>0</v>
      </c>
      <c r="H308">
        <f t="shared" si="43"/>
        <v>2</v>
      </c>
      <c r="I308">
        <f t="shared" si="44"/>
        <v>40</v>
      </c>
      <c r="J308">
        <f t="shared" si="45"/>
        <v>160</v>
      </c>
      <c r="K308">
        <f t="shared" si="46"/>
        <v>3</v>
      </c>
      <c r="L308">
        <f t="shared" si="47"/>
        <v>76389</v>
      </c>
      <c r="M308">
        <f t="shared" si="48"/>
        <v>21775</v>
      </c>
      <c r="N308">
        <f t="shared" si="49"/>
        <v>146164</v>
      </c>
      <c r="O308">
        <f>IF(B308="zagraniczny",K308+O307,O307)</f>
        <v>159</v>
      </c>
    </row>
    <row r="309" spans="1:15" x14ac:dyDescent="0.25">
      <c r="A309">
        <v>5822881</v>
      </c>
      <c r="B309" t="str">
        <f t="shared" si="40"/>
        <v>stacjonarny</v>
      </c>
      <c r="C309" s="1">
        <v>42922</v>
      </c>
      <c r="D309" s="2">
        <v>0.33555555555555555</v>
      </c>
      <c r="E309" s="2">
        <v>0.34137731481481481</v>
      </c>
      <c r="F309" s="2">
        <f t="shared" si="41"/>
        <v>5.8217592592592626E-3</v>
      </c>
      <c r="G309">
        <f t="shared" si="42"/>
        <v>0</v>
      </c>
      <c r="H309">
        <f t="shared" si="43"/>
        <v>8</v>
      </c>
      <c r="I309">
        <f t="shared" si="44"/>
        <v>23</v>
      </c>
      <c r="J309">
        <f t="shared" si="45"/>
        <v>503</v>
      </c>
      <c r="K309">
        <f t="shared" si="46"/>
        <v>9</v>
      </c>
      <c r="L309">
        <f t="shared" si="47"/>
        <v>76892</v>
      </c>
      <c r="M309">
        <f t="shared" si="48"/>
        <v>21775</v>
      </c>
      <c r="N309">
        <f t="shared" si="49"/>
        <v>146667</v>
      </c>
      <c r="O309">
        <f>IF(B309="zagraniczny",K309+O308,O308)</f>
        <v>159</v>
      </c>
    </row>
    <row r="310" spans="1:15" x14ac:dyDescent="0.25">
      <c r="A310">
        <v>6027120</v>
      </c>
      <c r="B310" t="str">
        <f t="shared" si="40"/>
        <v>stacjonarny</v>
      </c>
      <c r="C310" s="1">
        <v>42922</v>
      </c>
      <c r="D310" s="2">
        <v>0.33814814814814814</v>
      </c>
      <c r="E310" s="2">
        <v>0.34232638888888889</v>
      </c>
      <c r="F310" s="2">
        <f t="shared" si="41"/>
        <v>4.1782407407407463E-3</v>
      </c>
      <c r="G310">
        <f t="shared" si="42"/>
        <v>0</v>
      </c>
      <c r="H310">
        <f t="shared" si="43"/>
        <v>6</v>
      </c>
      <c r="I310">
        <f t="shared" si="44"/>
        <v>1</v>
      </c>
      <c r="J310">
        <f t="shared" si="45"/>
        <v>361</v>
      </c>
      <c r="K310">
        <f t="shared" si="46"/>
        <v>7</v>
      </c>
      <c r="L310">
        <f t="shared" si="47"/>
        <v>77253</v>
      </c>
      <c r="M310">
        <f t="shared" si="48"/>
        <v>21775</v>
      </c>
      <c r="N310">
        <f t="shared" si="49"/>
        <v>147028</v>
      </c>
      <c r="O310">
        <f>IF(B310="zagraniczny",K310+O309,O309)</f>
        <v>159</v>
      </c>
    </row>
    <row r="311" spans="1:15" x14ac:dyDescent="0.25">
      <c r="A311">
        <v>2790475</v>
      </c>
      <c r="B311" t="str">
        <f t="shared" si="40"/>
        <v>stacjonarny</v>
      </c>
      <c r="C311" s="1">
        <v>42922</v>
      </c>
      <c r="D311" s="2">
        <v>0.34349537037037037</v>
      </c>
      <c r="E311" s="2">
        <v>0.34965277777777776</v>
      </c>
      <c r="F311" s="2">
        <f t="shared" si="41"/>
        <v>6.1574074074073892E-3</v>
      </c>
      <c r="G311">
        <f t="shared" si="42"/>
        <v>0</v>
      </c>
      <c r="H311">
        <f t="shared" si="43"/>
        <v>8</v>
      </c>
      <c r="I311">
        <f t="shared" si="44"/>
        <v>52</v>
      </c>
      <c r="J311">
        <f t="shared" si="45"/>
        <v>532</v>
      </c>
      <c r="K311">
        <f t="shared" si="46"/>
        <v>9</v>
      </c>
      <c r="L311">
        <f t="shared" si="47"/>
        <v>77785</v>
      </c>
      <c r="M311">
        <f t="shared" si="48"/>
        <v>21775</v>
      </c>
      <c r="N311">
        <f t="shared" si="49"/>
        <v>147560</v>
      </c>
      <c r="O311">
        <f>IF(B311="zagraniczny",K311+O310,O310)</f>
        <v>159</v>
      </c>
    </row>
    <row r="312" spans="1:15" x14ac:dyDescent="0.25">
      <c r="A312">
        <v>30893038</v>
      </c>
      <c r="B312" t="str">
        <f t="shared" si="40"/>
        <v>komorkowy</v>
      </c>
      <c r="C312" s="1">
        <v>42922</v>
      </c>
      <c r="D312" s="2">
        <v>0.34708333333333335</v>
      </c>
      <c r="E312" s="2">
        <v>0.34912037037037036</v>
      </c>
      <c r="F312" s="2">
        <f t="shared" si="41"/>
        <v>2.0370370370370039E-3</v>
      </c>
      <c r="G312">
        <f t="shared" si="42"/>
        <v>0</v>
      </c>
      <c r="H312">
        <f t="shared" si="43"/>
        <v>2</v>
      </c>
      <c r="I312">
        <f t="shared" si="44"/>
        <v>56</v>
      </c>
      <c r="J312">
        <f t="shared" si="45"/>
        <v>176</v>
      </c>
      <c r="K312">
        <f t="shared" si="46"/>
        <v>3</v>
      </c>
      <c r="L312">
        <f t="shared" si="47"/>
        <v>77785</v>
      </c>
      <c r="M312">
        <f t="shared" si="48"/>
        <v>21951</v>
      </c>
      <c r="N312">
        <f t="shared" si="49"/>
        <v>147736</v>
      </c>
      <c r="O312">
        <f>IF(B312="zagraniczny",K312+O311,O311)</f>
        <v>159</v>
      </c>
    </row>
    <row r="313" spans="1:15" x14ac:dyDescent="0.25">
      <c r="A313">
        <v>5076649</v>
      </c>
      <c r="B313" t="str">
        <f t="shared" si="40"/>
        <v>stacjonarny</v>
      </c>
      <c r="C313" s="1">
        <v>42922</v>
      </c>
      <c r="D313" s="2">
        <v>0.35163194444444446</v>
      </c>
      <c r="E313" s="2">
        <v>0.35670138888888892</v>
      </c>
      <c r="F313" s="2">
        <f t="shared" si="41"/>
        <v>5.0694444444444597E-3</v>
      </c>
      <c r="G313">
        <f t="shared" si="42"/>
        <v>0</v>
      </c>
      <c r="H313">
        <f t="shared" si="43"/>
        <v>7</v>
      </c>
      <c r="I313">
        <f t="shared" si="44"/>
        <v>18</v>
      </c>
      <c r="J313">
        <f t="shared" si="45"/>
        <v>438</v>
      </c>
      <c r="K313">
        <f t="shared" si="46"/>
        <v>8</v>
      </c>
      <c r="L313">
        <f t="shared" si="47"/>
        <v>78223</v>
      </c>
      <c r="M313">
        <f t="shared" si="48"/>
        <v>21951</v>
      </c>
      <c r="N313">
        <f t="shared" si="49"/>
        <v>148174</v>
      </c>
      <c r="O313">
        <f>IF(B313="zagraniczny",K313+O312,O312)</f>
        <v>159</v>
      </c>
    </row>
    <row r="314" spans="1:15" x14ac:dyDescent="0.25">
      <c r="A314">
        <v>5013602</v>
      </c>
      <c r="B314" t="str">
        <f t="shared" si="40"/>
        <v>stacjonarny</v>
      </c>
      <c r="C314" s="1">
        <v>42922</v>
      </c>
      <c r="D314" s="2">
        <v>0.35531249999999998</v>
      </c>
      <c r="E314" s="2">
        <v>0.3630902777777778</v>
      </c>
      <c r="F314" s="2">
        <f t="shared" si="41"/>
        <v>7.7777777777778279E-3</v>
      </c>
      <c r="G314">
        <f t="shared" si="42"/>
        <v>0</v>
      </c>
      <c r="H314">
        <f t="shared" si="43"/>
        <v>11</v>
      </c>
      <c r="I314">
        <f t="shared" si="44"/>
        <v>12</v>
      </c>
      <c r="J314">
        <f t="shared" si="45"/>
        <v>672</v>
      </c>
      <c r="K314">
        <f t="shared" si="46"/>
        <v>12</v>
      </c>
      <c r="L314">
        <f t="shared" si="47"/>
        <v>78895</v>
      </c>
      <c r="M314">
        <f t="shared" si="48"/>
        <v>21951</v>
      </c>
      <c r="N314">
        <f t="shared" si="49"/>
        <v>148846</v>
      </c>
      <c r="O314">
        <f>IF(B314="zagraniczny",K314+O313,O313)</f>
        <v>159</v>
      </c>
    </row>
    <row r="315" spans="1:15" x14ac:dyDescent="0.25">
      <c r="A315">
        <v>5696056</v>
      </c>
      <c r="B315" t="str">
        <f t="shared" si="40"/>
        <v>stacjonarny</v>
      </c>
      <c r="C315" s="1">
        <v>42922</v>
      </c>
      <c r="D315" s="2">
        <v>0.36097222222222225</v>
      </c>
      <c r="E315" s="2">
        <v>0.36534722222222221</v>
      </c>
      <c r="F315" s="2">
        <f t="shared" si="41"/>
        <v>4.3749999999999623E-3</v>
      </c>
      <c r="G315">
        <f t="shared" si="42"/>
        <v>0</v>
      </c>
      <c r="H315">
        <f t="shared" si="43"/>
        <v>6</v>
      </c>
      <c r="I315">
        <f t="shared" si="44"/>
        <v>18</v>
      </c>
      <c r="J315">
        <f t="shared" si="45"/>
        <v>378</v>
      </c>
      <c r="K315">
        <f t="shared" si="46"/>
        <v>7</v>
      </c>
      <c r="L315">
        <f t="shared" si="47"/>
        <v>79273</v>
      </c>
      <c r="M315">
        <f t="shared" si="48"/>
        <v>21951</v>
      </c>
      <c r="N315">
        <f t="shared" si="49"/>
        <v>149224</v>
      </c>
      <c r="O315">
        <f>IF(B315="zagraniczny",K315+O314,O314)</f>
        <v>159</v>
      </c>
    </row>
    <row r="316" spans="1:15" x14ac:dyDescent="0.25">
      <c r="A316">
        <v>11274735</v>
      </c>
      <c r="B316" t="str">
        <f t="shared" si="40"/>
        <v>komorkowy</v>
      </c>
      <c r="C316" s="1">
        <v>42922</v>
      </c>
      <c r="D316" s="2">
        <v>0.36618055555555556</v>
      </c>
      <c r="E316" s="2">
        <v>0.37038194444444444</v>
      </c>
      <c r="F316" s="2">
        <f t="shared" si="41"/>
        <v>4.2013888888888795E-3</v>
      </c>
      <c r="G316">
        <f t="shared" si="42"/>
        <v>0</v>
      </c>
      <c r="H316">
        <f t="shared" si="43"/>
        <v>6</v>
      </c>
      <c r="I316">
        <f t="shared" si="44"/>
        <v>3</v>
      </c>
      <c r="J316">
        <f t="shared" si="45"/>
        <v>363</v>
      </c>
      <c r="K316">
        <f t="shared" si="46"/>
        <v>7</v>
      </c>
      <c r="L316">
        <f t="shared" si="47"/>
        <v>79273</v>
      </c>
      <c r="M316">
        <f t="shared" si="48"/>
        <v>22314</v>
      </c>
      <c r="N316">
        <f t="shared" si="49"/>
        <v>149587</v>
      </c>
      <c r="O316">
        <f>IF(B316="zagraniczny",K316+O315,O315)</f>
        <v>159</v>
      </c>
    </row>
    <row r="317" spans="1:15" x14ac:dyDescent="0.25">
      <c r="A317">
        <v>1158631</v>
      </c>
      <c r="B317" t="str">
        <f t="shared" si="40"/>
        <v>stacjonarny</v>
      </c>
      <c r="C317" s="1">
        <v>42922</v>
      </c>
      <c r="D317" s="2">
        <v>0.3664351851851852</v>
      </c>
      <c r="E317" s="2">
        <v>0.37646990740740743</v>
      </c>
      <c r="F317" s="2">
        <f t="shared" si="41"/>
        <v>1.0034722222222237E-2</v>
      </c>
      <c r="G317">
        <f t="shared" si="42"/>
        <v>0</v>
      </c>
      <c r="H317">
        <f t="shared" si="43"/>
        <v>14</v>
      </c>
      <c r="I317">
        <f t="shared" si="44"/>
        <v>27</v>
      </c>
      <c r="J317">
        <f t="shared" si="45"/>
        <v>867</v>
      </c>
      <c r="K317">
        <f t="shared" si="46"/>
        <v>15</v>
      </c>
      <c r="L317">
        <f t="shared" si="47"/>
        <v>80140</v>
      </c>
      <c r="M317">
        <f t="shared" si="48"/>
        <v>22314</v>
      </c>
      <c r="N317">
        <f t="shared" si="49"/>
        <v>150454</v>
      </c>
      <c r="O317">
        <f>IF(B317="zagraniczny",K317+O316,O316)</f>
        <v>159</v>
      </c>
    </row>
    <row r="318" spans="1:15" x14ac:dyDescent="0.25">
      <c r="A318">
        <v>6009110</v>
      </c>
      <c r="B318" t="str">
        <f t="shared" si="40"/>
        <v>stacjonarny</v>
      </c>
      <c r="C318" s="1">
        <v>42922</v>
      </c>
      <c r="D318" s="2">
        <v>0.37092592592592594</v>
      </c>
      <c r="E318" s="2">
        <v>0.37193287037037037</v>
      </c>
      <c r="F318" s="2">
        <f t="shared" si="41"/>
        <v>1.0069444444444353E-3</v>
      </c>
      <c r="G318">
        <f t="shared" si="42"/>
        <v>0</v>
      </c>
      <c r="H318">
        <f t="shared" si="43"/>
        <v>1</v>
      </c>
      <c r="I318">
        <f t="shared" si="44"/>
        <v>27</v>
      </c>
      <c r="J318">
        <f t="shared" si="45"/>
        <v>87</v>
      </c>
      <c r="K318">
        <f t="shared" si="46"/>
        <v>2</v>
      </c>
      <c r="L318">
        <f t="shared" si="47"/>
        <v>80227</v>
      </c>
      <c r="M318">
        <f t="shared" si="48"/>
        <v>22314</v>
      </c>
      <c r="N318">
        <f t="shared" si="49"/>
        <v>150541</v>
      </c>
      <c r="O318">
        <f>IF(B318="zagraniczny",K318+O317,O317)</f>
        <v>159</v>
      </c>
    </row>
    <row r="319" spans="1:15" x14ac:dyDescent="0.25">
      <c r="A319">
        <v>6644360383</v>
      </c>
      <c r="B319" t="str">
        <f t="shared" si="40"/>
        <v>zagraniczny</v>
      </c>
      <c r="C319" s="1">
        <v>42922</v>
      </c>
      <c r="D319" s="2">
        <v>0.37333333333333335</v>
      </c>
      <c r="E319" s="2">
        <v>0.37968750000000001</v>
      </c>
      <c r="F319" s="2">
        <f t="shared" si="41"/>
        <v>6.3541666666666607E-3</v>
      </c>
      <c r="G319">
        <f t="shared" si="42"/>
        <v>0</v>
      </c>
      <c r="H319">
        <f t="shared" si="43"/>
        <v>9</v>
      </c>
      <c r="I319">
        <f t="shared" si="44"/>
        <v>9</v>
      </c>
      <c r="J319">
        <f t="shared" si="45"/>
        <v>549</v>
      </c>
      <c r="K319">
        <f t="shared" si="46"/>
        <v>10</v>
      </c>
      <c r="L319">
        <f t="shared" si="47"/>
        <v>80227</v>
      </c>
      <c r="M319">
        <f t="shared" si="48"/>
        <v>22314</v>
      </c>
      <c r="N319">
        <f t="shared" si="49"/>
        <v>150541</v>
      </c>
      <c r="O319">
        <f>IF(B319="zagraniczny",K319+O318,O318)</f>
        <v>169</v>
      </c>
    </row>
    <row r="320" spans="1:15" x14ac:dyDescent="0.25">
      <c r="A320">
        <v>6045882</v>
      </c>
      <c r="B320" t="str">
        <f t="shared" si="40"/>
        <v>stacjonarny</v>
      </c>
      <c r="C320" s="1">
        <v>42922</v>
      </c>
      <c r="D320" s="2">
        <v>0.37799768518518517</v>
      </c>
      <c r="E320" s="2">
        <v>0.38377314814814817</v>
      </c>
      <c r="F320" s="2">
        <f t="shared" si="41"/>
        <v>5.7754629629629961E-3</v>
      </c>
      <c r="G320">
        <f t="shared" si="42"/>
        <v>0</v>
      </c>
      <c r="H320">
        <f t="shared" si="43"/>
        <v>8</v>
      </c>
      <c r="I320">
        <f t="shared" si="44"/>
        <v>19</v>
      </c>
      <c r="J320">
        <f t="shared" si="45"/>
        <v>499</v>
      </c>
      <c r="K320">
        <f t="shared" si="46"/>
        <v>9</v>
      </c>
      <c r="L320">
        <f t="shared" si="47"/>
        <v>80726</v>
      </c>
      <c r="M320">
        <f t="shared" si="48"/>
        <v>22314</v>
      </c>
      <c r="N320">
        <f t="shared" si="49"/>
        <v>151040</v>
      </c>
      <c r="O320">
        <f>IF(B320="zagraniczny",K320+O319,O319)</f>
        <v>169</v>
      </c>
    </row>
    <row r="321" spans="1:15" x14ac:dyDescent="0.25">
      <c r="A321">
        <v>4113351</v>
      </c>
      <c r="B321" t="str">
        <f t="shared" si="40"/>
        <v>stacjonarny</v>
      </c>
      <c r="C321" s="1">
        <v>42922</v>
      </c>
      <c r="D321" s="2">
        <v>0.37913194444444442</v>
      </c>
      <c r="E321" s="2">
        <v>0.3800115740740741</v>
      </c>
      <c r="F321" s="2">
        <f t="shared" si="41"/>
        <v>8.7962962962967461E-4</v>
      </c>
      <c r="G321">
        <f t="shared" si="42"/>
        <v>0</v>
      </c>
      <c r="H321">
        <f t="shared" si="43"/>
        <v>1</v>
      </c>
      <c r="I321">
        <f t="shared" si="44"/>
        <v>16</v>
      </c>
      <c r="J321">
        <f t="shared" si="45"/>
        <v>76</v>
      </c>
      <c r="K321">
        <f t="shared" si="46"/>
        <v>2</v>
      </c>
      <c r="L321">
        <f t="shared" si="47"/>
        <v>80802</v>
      </c>
      <c r="M321">
        <f t="shared" si="48"/>
        <v>22314</v>
      </c>
      <c r="N321">
        <f t="shared" si="49"/>
        <v>151116</v>
      </c>
      <c r="O321">
        <f>IF(B321="zagraniczny",K321+O320,O320)</f>
        <v>169</v>
      </c>
    </row>
    <row r="322" spans="1:15" x14ac:dyDescent="0.25">
      <c r="A322">
        <v>9777118</v>
      </c>
      <c r="B322" t="str">
        <f t="shared" si="40"/>
        <v>stacjonarny</v>
      </c>
      <c r="C322" s="1">
        <v>42922</v>
      </c>
      <c r="D322" s="2">
        <v>0.38156250000000003</v>
      </c>
      <c r="E322" s="2">
        <v>0.3878240740740741</v>
      </c>
      <c r="F322" s="2">
        <f t="shared" si="41"/>
        <v>6.2615740740740722E-3</v>
      </c>
      <c r="G322">
        <f t="shared" si="42"/>
        <v>0</v>
      </c>
      <c r="H322">
        <f t="shared" si="43"/>
        <v>9</v>
      </c>
      <c r="I322">
        <f t="shared" si="44"/>
        <v>1</v>
      </c>
      <c r="J322">
        <f t="shared" si="45"/>
        <v>541</v>
      </c>
      <c r="K322">
        <f t="shared" si="46"/>
        <v>10</v>
      </c>
      <c r="L322">
        <f t="shared" si="47"/>
        <v>81343</v>
      </c>
      <c r="M322">
        <f t="shared" si="48"/>
        <v>22314</v>
      </c>
      <c r="N322">
        <f t="shared" si="49"/>
        <v>151657</v>
      </c>
      <c r="O322">
        <f>IF(B322="zagraniczny",K322+O321,O321)</f>
        <v>169</v>
      </c>
    </row>
    <row r="323" spans="1:15" x14ac:dyDescent="0.25">
      <c r="A323">
        <v>1659814</v>
      </c>
      <c r="B323" t="str">
        <f t="shared" ref="B323:B386" si="50">IF(LEN(A323)=7,"stacjonarny",IF(LEN(A323)=8,"komorkowy","zagraniczny"))</f>
        <v>stacjonarny</v>
      </c>
      <c r="C323" s="1">
        <v>42922</v>
      </c>
      <c r="D323" s="2">
        <v>0.38416666666666666</v>
      </c>
      <c r="E323" s="2">
        <v>0.39554398148148145</v>
      </c>
      <c r="F323" s="2">
        <f t="shared" ref="F323:F386" si="51">E323-D323</f>
        <v>1.1377314814814798E-2</v>
      </c>
      <c r="G323">
        <f t="shared" ref="G323:G386" si="52">HOUR(F323)</f>
        <v>0</v>
      </c>
      <c r="H323">
        <f t="shared" ref="H323:H386" si="53">MINUTE(F323)</f>
        <v>16</v>
      </c>
      <c r="I323">
        <f t="shared" ref="I323:I386" si="54">SECOND(F323)</f>
        <v>23</v>
      </c>
      <c r="J323">
        <f t="shared" ref="J323:J386" si="55">H323*60+I323</f>
        <v>983</v>
      </c>
      <c r="K323">
        <f t="shared" ref="K323:K386" si="56">IF(I323&gt;0,G323*60+H323+1,H323+G323*60)</f>
        <v>17</v>
      </c>
      <c r="L323">
        <f t="shared" si="47"/>
        <v>82326</v>
      </c>
      <c r="M323">
        <f t="shared" si="48"/>
        <v>22314</v>
      </c>
      <c r="N323">
        <f t="shared" si="49"/>
        <v>152640</v>
      </c>
      <c r="O323">
        <f>IF(B323="zagraniczny",K323+O322,O322)</f>
        <v>169</v>
      </c>
    </row>
    <row r="324" spans="1:15" x14ac:dyDescent="0.25">
      <c r="A324">
        <v>26204415</v>
      </c>
      <c r="B324" t="str">
        <f t="shared" si="50"/>
        <v>komorkowy</v>
      </c>
      <c r="C324" s="1">
        <v>42922</v>
      </c>
      <c r="D324" s="2">
        <v>0.38806712962962964</v>
      </c>
      <c r="E324" s="2">
        <v>0.39144675925925926</v>
      </c>
      <c r="F324" s="2">
        <f t="shared" si="51"/>
        <v>3.3796296296296213E-3</v>
      </c>
      <c r="G324">
        <f t="shared" si="52"/>
        <v>0</v>
      </c>
      <c r="H324">
        <f t="shared" si="53"/>
        <v>4</v>
      </c>
      <c r="I324">
        <f t="shared" si="54"/>
        <v>52</v>
      </c>
      <c r="J324">
        <f t="shared" si="55"/>
        <v>292</v>
      </c>
      <c r="K324">
        <f t="shared" si="56"/>
        <v>5</v>
      </c>
      <c r="L324">
        <f t="shared" ref="L324:L387" si="57">IF(B324="stacjonarny",$J324+L323,L323)</f>
        <v>82326</v>
      </c>
      <c r="M324">
        <f t="shared" ref="M324:M387" si="58">IF(B324="komorkowy",$J324+M323,M323)</f>
        <v>22606</v>
      </c>
      <c r="N324">
        <f t="shared" ref="N324:N387" si="59">IF(OR(B324="stacjonarny",B324="komorkowy"),J324+N323,N323)</f>
        <v>152932</v>
      </c>
      <c r="O324">
        <f>IF(B324="zagraniczny",K324+O323,O323)</f>
        <v>169</v>
      </c>
    </row>
    <row r="325" spans="1:15" x14ac:dyDescent="0.25">
      <c r="A325">
        <v>8471544</v>
      </c>
      <c r="B325" t="str">
        <f t="shared" si="50"/>
        <v>stacjonarny</v>
      </c>
      <c r="C325" s="1">
        <v>42922</v>
      </c>
      <c r="D325" s="2">
        <v>0.38960648148148147</v>
      </c>
      <c r="E325" s="2">
        <v>0.39498842592592592</v>
      </c>
      <c r="F325" s="2">
        <f t="shared" si="51"/>
        <v>5.3819444444444531E-3</v>
      </c>
      <c r="G325">
        <f t="shared" si="52"/>
        <v>0</v>
      </c>
      <c r="H325">
        <f t="shared" si="53"/>
        <v>7</v>
      </c>
      <c r="I325">
        <f t="shared" si="54"/>
        <v>45</v>
      </c>
      <c r="J325">
        <f t="shared" si="55"/>
        <v>465</v>
      </c>
      <c r="K325">
        <f t="shared" si="56"/>
        <v>8</v>
      </c>
      <c r="L325">
        <f t="shared" si="57"/>
        <v>82791</v>
      </c>
      <c r="M325">
        <f t="shared" si="58"/>
        <v>22606</v>
      </c>
      <c r="N325">
        <f t="shared" si="59"/>
        <v>153397</v>
      </c>
      <c r="O325">
        <f>IF(B325="zagraniczny",K325+O324,O324)</f>
        <v>169</v>
      </c>
    </row>
    <row r="326" spans="1:15" x14ac:dyDescent="0.25">
      <c r="A326">
        <v>3379401</v>
      </c>
      <c r="B326" t="str">
        <f t="shared" si="50"/>
        <v>stacjonarny</v>
      </c>
      <c r="C326" s="1">
        <v>42922</v>
      </c>
      <c r="D326" s="2">
        <v>0.39466435185185184</v>
      </c>
      <c r="E326" s="2">
        <v>0.40501157407407407</v>
      </c>
      <c r="F326" s="2">
        <f t="shared" si="51"/>
        <v>1.034722222222223E-2</v>
      </c>
      <c r="G326">
        <f t="shared" si="52"/>
        <v>0</v>
      </c>
      <c r="H326">
        <f t="shared" si="53"/>
        <v>14</v>
      </c>
      <c r="I326">
        <f t="shared" si="54"/>
        <v>54</v>
      </c>
      <c r="J326">
        <f t="shared" si="55"/>
        <v>894</v>
      </c>
      <c r="K326">
        <f t="shared" si="56"/>
        <v>15</v>
      </c>
      <c r="L326">
        <f t="shared" si="57"/>
        <v>83685</v>
      </c>
      <c r="M326">
        <f t="shared" si="58"/>
        <v>22606</v>
      </c>
      <c r="N326">
        <f t="shared" si="59"/>
        <v>154291</v>
      </c>
      <c r="O326">
        <f>IF(B326="zagraniczny",K326+O325,O325)</f>
        <v>169</v>
      </c>
    </row>
    <row r="327" spans="1:15" x14ac:dyDescent="0.25">
      <c r="A327">
        <v>5912377607</v>
      </c>
      <c r="B327" t="str">
        <f t="shared" si="50"/>
        <v>zagraniczny</v>
      </c>
      <c r="C327" s="1">
        <v>42922</v>
      </c>
      <c r="D327" s="2">
        <v>0.39613425925925927</v>
      </c>
      <c r="E327" s="2">
        <v>0.39868055555555554</v>
      </c>
      <c r="F327" s="2">
        <f t="shared" si="51"/>
        <v>2.5462962962962687E-3</v>
      </c>
      <c r="G327">
        <f t="shared" si="52"/>
        <v>0</v>
      </c>
      <c r="H327">
        <f t="shared" si="53"/>
        <v>3</v>
      </c>
      <c r="I327">
        <f t="shared" si="54"/>
        <v>40</v>
      </c>
      <c r="J327">
        <f t="shared" si="55"/>
        <v>220</v>
      </c>
      <c r="K327">
        <f t="shared" si="56"/>
        <v>4</v>
      </c>
      <c r="L327">
        <f t="shared" si="57"/>
        <v>83685</v>
      </c>
      <c r="M327">
        <f t="shared" si="58"/>
        <v>22606</v>
      </c>
      <c r="N327">
        <f t="shared" si="59"/>
        <v>154291</v>
      </c>
      <c r="O327">
        <f>IF(B327="zagraniczny",K327+O326,O326)</f>
        <v>173</v>
      </c>
    </row>
    <row r="328" spans="1:15" x14ac:dyDescent="0.25">
      <c r="A328">
        <v>77705897</v>
      </c>
      <c r="B328" t="str">
        <f t="shared" si="50"/>
        <v>komorkowy</v>
      </c>
      <c r="C328" s="1">
        <v>42922</v>
      </c>
      <c r="D328" s="2">
        <v>0.39956018518518521</v>
      </c>
      <c r="E328" s="2">
        <v>0.40025462962962965</v>
      </c>
      <c r="F328" s="2">
        <f t="shared" si="51"/>
        <v>6.9444444444444198E-4</v>
      </c>
      <c r="G328">
        <f t="shared" si="52"/>
        <v>0</v>
      </c>
      <c r="H328">
        <f t="shared" si="53"/>
        <v>1</v>
      </c>
      <c r="I328">
        <f t="shared" si="54"/>
        <v>0</v>
      </c>
      <c r="J328">
        <f t="shared" si="55"/>
        <v>60</v>
      </c>
      <c r="K328">
        <f t="shared" si="56"/>
        <v>1</v>
      </c>
      <c r="L328">
        <f t="shared" si="57"/>
        <v>83685</v>
      </c>
      <c r="M328">
        <f t="shared" si="58"/>
        <v>22666</v>
      </c>
      <c r="N328">
        <f t="shared" si="59"/>
        <v>154351</v>
      </c>
      <c r="O328">
        <f>IF(B328="zagraniczny",K328+O327,O327)</f>
        <v>173</v>
      </c>
    </row>
    <row r="329" spans="1:15" x14ac:dyDescent="0.25">
      <c r="A329">
        <v>5894865</v>
      </c>
      <c r="B329" t="str">
        <f t="shared" si="50"/>
        <v>stacjonarny</v>
      </c>
      <c r="C329" s="1">
        <v>42922</v>
      </c>
      <c r="D329" s="2">
        <v>0.40255787037037039</v>
      </c>
      <c r="E329" s="2">
        <v>0.40554398148148146</v>
      </c>
      <c r="F329" s="2">
        <f t="shared" si="51"/>
        <v>2.9861111111110783E-3</v>
      </c>
      <c r="G329">
        <f t="shared" si="52"/>
        <v>0</v>
      </c>
      <c r="H329">
        <f t="shared" si="53"/>
        <v>4</v>
      </c>
      <c r="I329">
        <f t="shared" si="54"/>
        <v>18</v>
      </c>
      <c r="J329">
        <f t="shared" si="55"/>
        <v>258</v>
      </c>
      <c r="K329">
        <f t="shared" si="56"/>
        <v>5</v>
      </c>
      <c r="L329">
        <f t="shared" si="57"/>
        <v>83943</v>
      </c>
      <c r="M329">
        <f t="shared" si="58"/>
        <v>22666</v>
      </c>
      <c r="N329">
        <f t="shared" si="59"/>
        <v>154609</v>
      </c>
      <c r="O329">
        <f>IF(B329="zagraniczny",K329+O328,O328)</f>
        <v>173</v>
      </c>
    </row>
    <row r="330" spans="1:15" x14ac:dyDescent="0.25">
      <c r="A330">
        <v>7449832</v>
      </c>
      <c r="B330" t="str">
        <f t="shared" si="50"/>
        <v>stacjonarny</v>
      </c>
      <c r="C330" s="1">
        <v>42922</v>
      </c>
      <c r="D330" s="2">
        <v>0.40559027777777779</v>
      </c>
      <c r="E330" s="2">
        <v>0.41425925925925927</v>
      </c>
      <c r="F330" s="2">
        <f t="shared" si="51"/>
        <v>8.6689814814814858E-3</v>
      </c>
      <c r="G330">
        <f t="shared" si="52"/>
        <v>0</v>
      </c>
      <c r="H330">
        <f t="shared" si="53"/>
        <v>12</v>
      </c>
      <c r="I330">
        <f t="shared" si="54"/>
        <v>29</v>
      </c>
      <c r="J330">
        <f t="shared" si="55"/>
        <v>749</v>
      </c>
      <c r="K330">
        <f t="shared" si="56"/>
        <v>13</v>
      </c>
      <c r="L330">
        <f t="shared" si="57"/>
        <v>84692</v>
      </c>
      <c r="M330">
        <f t="shared" si="58"/>
        <v>22666</v>
      </c>
      <c r="N330">
        <f t="shared" si="59"/>
        <v>155358</v>
      </c>
      <c r="O330">
        <f>IF(B330="zagraniczny",K330+O329,O329)</f>
        <v>173</v>
      </c>
    </row>
    <row r="331" spans="1:15" x14ac:dyDescent="0.25">
      <c r="A331">
        <v>49390412</v>
      </c>
      <c r="B331" t="str">
        <f t="shared" si="50"/>
        <v>komorkowy</v>
      </c>
      <c r="C331" s="1">
        <v>42922</v>
      </c>
      <c r="D331" s="2">
        <v>0.40645833333333331</v>
      </c>
      <c r="E331" s="2">
        <v>0.41598379629629628</v>
      </c>
      <c r="F331" s="2">
        <f t="shared" si="51"/>
        <v>9.5254629629629717E-3</v>
      </c>
      <c r="G331">
        <f t="shared" si="52"/>
        <v>0</v>
      </c>
      <c r="H331">
        <f t="shared" si="53"/>
        <v>13</v>
      </c>
      <c r="I331">
        <f t="shared" si="54"/>
        <v>43</v>
      </c>
      <c r="J331">
        <f t="shared" si="55"/>
        <v>823</v>
      </c>
      <c r="K331">
        <f t="shared" si="56"/>
        <v>14</v>
      </c>
      <c r="L331">
        <f t="shared" si="57"/>
        <v>84692</v>
      </c>
      <c r="M331">
        <f t="shared" si="58"/>
        <v>23489</v>
      </c>
      <c r="N331">
        <f t="shared" si="59"/>
        <v>156181</v>
      </c>
      <c r="O331">
        <f>IF(B331="zagraniczny",K331+O330,O330)</f>
        <v>173</v>
      </c>
    </row>
    <row r="332" spans="1:15" x14ac:dyDescent="0.25">
      <c r="A332">
        <v>6156594</v>
      </c>
      <c r="B332" t="str">
        <f t="shared" si="50"/>
        <v>stacjonarny</v>
      </c>
      <c r="C332" s="1">
        <v>42922</v>
      </c>
      <c r="D332" s="2">
        <v>0.41142361111111109</v>
      </c>
      <c r="E332" s="2">
        <v>0.42168981481481482</v>
      </c>
      <c r="F332" s="2">
        <f t="shared" si="51"/>
        <v>1.0266203703703736E-2</v>
      </c>
      <c r="G332">
        <f t="shared" si="52"/>
        <v>0</v>
      </c>
      <c r="H332">
        <f t="shared" si="53"/>
        <v>14</v>
      </c>
      <c r="I332">
        <f t="shared" si="54"/>
        <v>47</v>
      </c>
      <c r="J332">
        <f t="shared" si="55"/>
        <v>887</v>
      </c>
      <c r="K332">
        <f t="shared" si="56"/>
        <v>15</v>
      </c>
      <c r="L332">
        <f t="shared" si="57"/>
        <v>85579</v>
      </c>
      <c r="M332">
        <f t="shared" si="58"/>
        <v>23489</v>
      </c>
      <c r="N332">
        <f t="shared" si="59"/>
        <v>157068</v>
      </c>
      <c r="O332">
        <f>IF(B332="zagraniczny",K332+O331,O331)</f>
        <v>173</v>
      </c>
    </row>
    <row r="333" spans="1:15" x14ac:dyDescent="0.25">
      <c r="A333">
        <v>5006675</v>
      </c>
      <c r="B333" t="str">
        <f t="shared" si="50"/>
        <v>stacjonarny</v>
      </c>
      <c r="C333" s="1">
        <v>42922</v>
      </c>
      <c r="D333" s="2">
        <v>0.4129976851851852</v>
      </c>
      <c r="E333" s="2">
        <v>0.41953703703703704</v>
      </c>
      <c r="F333" s="2">
        <f t="shared" si="51"/>
        <v>6.5393518518518379E-3</v>
      </c>
      <c r="G333">
        <f t="shared" si="52"/>
        <v>0</v>
      </c>
      <c r="H333">
        <f t="shared" si="53"/>
        <v>9</v>
      </c>
      <c r="I333">
        <f t="shared" si="54"/>
        <v>25</v>
      </c>
      <c r="J333">
        <f t="shared" si="55"/>
        <v>565</v>
      </c>
      <c r="K333">
        <f t="shared" si="56"/>
        <v>10</v>
      </c>
      <c r="L333">
        <f t="shared" si="57"/>
        <v>86144</v>
      </c>
      <c r="M333">
        <f t="shared" si="58"/>
        <v>23489</v>
      </c>
      <c r="N333">
        <f t="shared" si="59"/>
        <v>157633</v>
      </c>
      <c r="O333">
        <f>IF(B333="zagraniczny",K333+O332,O332)</f>
        <v>173</v>
      </c>
    </row>
    <row r="334" spans="1:15" x14ac:dyDescent="0.25">
      <c r="A334">
        <v>2096180</v>
      </c>
      <c r="B334" t="str">
        <f t="shared" si="50"/>
        <v>stacjonarny</v>
      </c>
      <c r="C334" s="1">
        <v>42922</v>
      </c>
      <c r="D334" s="2">
        <v>0.41351851851851851</v>
      </c>
      <c r="E334" s="2">
        <v>0.41670138888888891</v>
      </c>
      <c r="F334" s="2">
        <f t="shared" si="51"/>
        <v>3.1828703703704053E-3</v>
      </c>
      <c r="G334">
        <f t="shared" si="52"/>
        <v>0</v>
      </c>
      <c r="H334">
        <f t="shared" si="53"/>
        <v>4</v>
      </c>
      <c r="I334">
        <f t="shared" si="54"/>
        <v>35</v>
      </c>
      <c r="J334">
        <f t="shared" si="55"/>
        <v>275</v>
      </c>
      <c r="K334">
        <f t="shared" si="56"/>
        <v>5</v>
      </c>
      <c r="L334">
        <f t="shared" si="57"/>
        <v>86419</v>
      </c>
      <c r="M334">
        <f t="shared" si="58"/>
        <v>23489</v>
      </c>
      <c r="N334">
        <f t="shared" si="59"/>
        <v>157908</v>
      </c>
      <c r="O334">
        <f>IF(B334="zagraniczny",K334+O333,O333)</f>
        <v>173</v>
      </c>
    </row>
    <row r="335" spans="1:15" x14ac:dyDescent="0.25">
      <c r="A335">
        <v>8214927</v>
      </c>
      <c r="B335" t="str">
        <f t="shared" si="50"/>
        <v>stacjonarny</v>
      </c>
      <c r="C335" s="1">
        <v>42922</v>
      </c>
      <c r="D335" s="2">
        <v>0.41638888888888886</v>
      </c>
      <c r="E335" s="2">
        <v>0.42116898148148146</v>
      </c>
      <c r="F335" s="2">
        <f t="shared" si="51"/>
        <v>4.7800925925925997E-3</v>
      </c>
      <c r="G335">
        <f t="shared" si="52"/>
        <v>0</v>
      </c>
      <c r="H335">
        <f t="shared" si="53"/>
        <v>6</v>
      </c>
      <c r="I335">
        <f t="shared" si="54"/>
        <v>53</v>
      </c>
      <c r="J335">
        <f t="shared" si="55"/>
        <v>413</v>
      </c>
      <c r="K335">
        <f t="shared" si="56"/>
        <v>7</v>
      </c>
      <c r="L335">
        <f t="shared" si="57"/>
        <v>86832</v>
      </c>
      <c r="M335">
        <f t="shared" si="58"/>
        <v>23489</v>
      </c>
      <c r="N335">
        <f t="shared" si="59"/>
        <v>158321</v>
      </c>
      <c r="O335">
        <f>IF(B335="zagraniczny",K335+O334,O334)</f>
        <v>173</v>
      </c>
    </row>
    <row r="336" spans="1:15" x14ac:dyDescent="0.25">
      <c r="A336">
        <v>5816822</v>
      </c>
      <c r="B336" t="str">
        <f t="shared" si="50"/>
        <v>stacjonarny</v>
      </c>
      <c r="C336" s="1">
        <v>42922</v>
      </c>
      <c r="D336" s="2">
        <v>0.41684027777777777</v>
      </c>
      <c r="E336" s="2">
        <v>0.4230902777777778</v>
      </c>
      <c r="F336" s="2">
        <f t="shared" si="51"/>
        <v>6.2500000000000333E-3</v>
      </c>
      <c r="G336">
        <f t="shared" si="52"/>
        <v>0</v>
      </c>
      <c r="H336">
        <f t="shared" si="53"/>
        <v>9</v>
      </c>
      <c r="I336">
        <f t="shared" si="54"/>
        <v>0</v>
      </c>
      <c r="J336">
        <f t="shared" si="55"/>
        <v>540</v>
      </c>
      <c r="K336">
        <f t="shared" si="56"/>
        <v>9</v>
      </c>
      <c r="L336">
        <f t="shared" si="57"/>
        <v>87372</v>
      </c>
      <c r="M336">
        <f t="shared" si="58"/>
        <v>23489</v>
      </c>
      <c r="N336">
        <f t="shared" si="59"/>
        <v>158861</v>
      </c>
      <c r="O336">
        <f>IF(B336="zagraniczny",K336+O335,O335)</f>
        <v>173</v>
      </c>
    </row>
    <row r="337" spans="1:15" x14ac:dyDescent="0.25">
      <c r="A337">
        <v>9683894</v>
      </c>
      <c r="B337" t="str">
        <f t="shared" si="50"/>
        <v>stacjonarny</v>
      </c>
      <c r="C337" s="1">
        <v>42922</v>
      </c>
      <c r="D337" s="2">
        <v>0.42046296296296298</v>
      </c>
      <c r="E337" s="2">
        <v>0.42086805555555556</v>
      </c>
      <c r="F337" s="2">
        <f t="shared" si="51"/>
        <v>4.050925925925819E-4</v>
      </c>
      <c r="G337">
        <f t="shared" si="52"/>
        <v>0</v>
      </c>
      <c r="H337">
        <f t="shared" si="53"/>
        <v>0</v>
      </c>
      <c r="I337">
        <f t="shared" si="54"/>
        <v>35</v>
      </c>
      <c r="J337">
        <f t="shared" si="55"/>
        <v>35</v>
      </c>
      <c r="K337">
        <f t="shared" si="56"/>
        <v>1</v>
      </c>
      <c r="L337">
        <f t="shared" si="57"/>
        <v>87407</v>
      </c>
      <c r="M337">
        <f t="shared" si="58"/>
        <v>23489</v>
      </c>
      <c r="N337">
        <f t="shared" si="59"/>
        <v>158896</v>
      </c>
      <c r="O337">
        <f>IF(B337="zagraniczny",K337+O336,O336)</f>
        <v>173</v>
      </c>
    </row>
    <row r="338" spans="1:15" x14ac:dyDescent="0.25">
      <c r="A338">
        <v>2808052</v>
      </c>
      <c r="B338" t="str">
        <f t="shared" si="50"/>
        <v>stacjonarny</v>
      </c>
      <c r="C338" s="1">
        <v>42922</v>
      </c>
      <c r="D338" s="2">
        <v>0.42144675925925928</v>
      </c>
      <c r="E338" s="2">
        <v>0.43079861111111112</v>
      </c>
      <c r="F338" s="2">
        <f t="shared" si="51"/>
        <v>9.3518518518518334E-3</v>
      </c>
      <c r="G338">
        <f t="shared" si="52"/>
        <v>0</v>
      </c>
      <c r="H338">
        <f t="shared" si="53"/>
        <v>13</v>
      </c>
      <c r="I338">
        <f t="shared" si="54"/>
        <v>28</v>
      </c>
      <c r="J338">
        <f t="shared" si="55"/>
        <v>808</v>
      </c>
      <c r="K338">
        <f t="shared" si="56"/>
        <v>14</v>
      </c>
      <c r="L338">
        <f t="shared" si="57"/>
        <v>88215</v>
      </c>
      <c r="M338">
        <f t="shared" si="58"/>
        <v>23489</v>
      </c>
      <c r="N338">
        <f t="shared" si="59"/>
        <v>159704</v>
      </c>
      <c r="O338">
        <f>IF(B338="zagraniczny",K338+O337,O337)</f>
        <v>173</v>
      </c>
    </row>
    <row r="339" spans="1:15" x14ac:dyDescent="0.25">
      <c r="A339">
        <v>18084593</v>
      </c>
      <c r="B339" t="str">
        <f t="shared" si="50"/>
        <v>komorkowy</v>
      </c>
      <c r="C339" s="1">
        <v>42922</v>
      </c>
      <c r="D339" s="2">
        <v>0.42482638888888891</v>
      </c>
      <c r="E339" s="2">
        <v>0.43292824074074077</v>
      </c>
      <c r="F339" s="2">
        <f t="shared" si="51"/>
        <v>8.1018518518518601E-3</v>
      </c>
      <c r="G339">
        <f t="shared" si="52"/>
        <v>0</v>
      </c>
      <c r="H339">
        <f t="shared" si="53"/>
        <v>11</v>
      </c>
      <c r="I339">
        <f t="shared" si="54"/>
        <v>40</v>
      </c>
      <c r="J339">
        <f t="shared" si="55"/>
        <v>700</v>
      </c>
      <c r="K339">
        <f t="shared" si="56"/>
        <v>12</v>
      </c>
      <c r="L339">
        <f t="shared" si="57"/>
        <v>88215</v>
      </c>
      <c r="M339">
        <f t="shared" si="58"/>
        <v>24189</v>
      </c>
      <c r="N339">
        <f t="shared" si="59"/>
        <v>160404</v>
      </c>
      <c r="O339">
        <f>IF(B339="zagraniczny",K339+O338,O338)</f>
        <v>173</v>
      </c>
    </row>
    <row r="340" spans="1:15" x14ac:dyDescent="0.25">
      <c r="A340">
        <v>1390402</v>
      </c>
      <c r="B340" t="str">
        <f t="shared" si="50"/>
        <v>stacjonarny</v>
      </c>
      <c r="C340" s="1">
        <v>42922</v>
      </c>
      <c r="D340" s="2">
        <v>0.42880787037037038</v>
      </c>
      <c r="E340" s="2">
        <v>0.44034722222222222</v>
      </c>
      <c r="F340" s="2">
        <f t="shared" si="51"/>
        <v>1.1539351851851842E-2</v>
      </c>
      <c r="G340">
        <f t="shared" si="52"/>
        <v>0</v>
      </c>
      <c r="H340">
        <f t="shared" si="53"/>
        <v>16</v>
      </c>
      <c r="I340">
        <f t="shared" si="54"/>
        <v>37</v>
      </c>
      <c r="J340">
        <f t="shared" si="55"/>
        <v>997</v>
      </c>
      <c r="K340">
        <f t="shared" si="56"/>
        <v>17</v>
      </c>
      <c r="L340">
        <f t="shared" si="57"/>
        <v>89212</v>
      </c>
      <c r="M340">
        <f t="shared" si="58"/>
        <v>24189</v>
      </c>
      <c r="N340">
        <f t="shared" si="59"/>
        <v>161401</v>
      </c>
      <c r="O340">
        <f>IF(B340="zagraniczny",K340+O339,O339)</f>
        <v>173</v>
      </c>
    </row>
    <row r="341" spans="1:15" x14ac:dyDescent="0.25">
      <c r="A341">
        <v>44200961</v>
      </c>
      <c r="B341" t="str">
        <f t="shared" si="50"/>
        <v>komorkowy</v>
      </c>
      <c r="C341" s="1">
        <v>42922</v>
      </c>
      <c r="D341" s="2">
        <v>0.42920138888888887</v>
      </c>
      <c r="E341" s="2">
        <v>0.43532407407407409</v>
      </c>
      <c r="F341" s="2">
        <f t="shared" si="51"/>
        <v>6.1226851851852171E-3</v>
      </c>
      <c r="G341">
        <f t="shared" si="52"/>
        <v>0</v>
      </c>
      <c r="H341">
        <f t="shared" si="53"/>
        <v>8</v>
      </c>
      <c r="I341">
        <f t="shared" si="54"/>
        <v>49</v>
      </c>
      <c r="J341">
        <f t="shared" si="55"/>
        <v>529</v>
      </c>
      <c r="K341">
        <f t="shared" si="56"/>
        <v>9</v>
      </c>
      <c r="L341">
        <f t="shared" si="57"/>
        <v>89212</v>
      </c>
      <c r="M341">
        <f t="shared" si="58"/>
        <v>24718</v>
      </c>
      <c r="N341">
        <f t="shared" si="59"/>
        <v>161930</v>
      </c>
      <c r="O341">
        <f>IF(B341="zagraniczny",K341+O340,O340)</f>
        <v>173</v>
      </c>
    </row>
    <row r="342" spans="1:15" x14ac:dyDescent="0.25">
      <c r="A342">
        <v>5859235</v>
      </c>
      <c r="B342" t="str">
        <f t="shared" si="50"/>
        <v>stacjonarny</v>
      </c>
      <c r="C342" s="1">
        <v>42922</v>
      </c>
      <c r="D342" s="2">
        <v>0.43037037037037035</v>
      </c>
      <c r="E342" s="2">
        <v>0.4344675925925926</v>
      </c>
      <c r="F342" s="2">
        <f t="shared" si="51"/>
        <v>4.0972222222222521E-3</v>
      </c>
      <c r="G342">
        <f t="shared" si="52"/>
        <v>0</v>
      </c>
      <c r="H342">
        <f t="shared" si="53"/>
        <v>5</v>
      </c>
      <c r="I342">
        <f t="shared" si="54"/>
        <v>54</v>
      </c>
      <c r="J342">
        <f t="shared" si="55"/>
        <v>354</v>
      </c>
      <c r="K342">
        <f t="shared" si="56"/>
        <v>6</v>
      </c>
      <c r="L342">
        <f t="shared" si="57"/>
        <v>89566</v>
      </c>
      <c r="M342">
        <f t="shared" si="58"/>
        <v>24718</v>
      </c>
      <c r="N342">
        <f t="shared" si="59"/>
        <v>162284</v>
      </c>
      <c r="O342">
        <f>IF(B342="zagraniczny",K342+O341,O341)</f>
        <v>173</v>
      </c>
    </row>
    <row r="343" spans="1:15" x14ac:dyDescent="0.25">
      <c r="A343">
        <v>51855396</v>
      </c>
      <c r="B343" t="str">
        <f t="shared" si="50"/>
        <v>komorkowy</v>
      </c>
      <c r="C343" s="1">
        <v>42922</v>
      </c>
      <c r="D343" s="2">
        <v>0.43266203703703704</v>
      </c>
      <c r="E343" s="2">
        <v>0.44364583333333335</v>
      </c>
      <c r="F343" s="2">
        <f t="shared" si="51"/>
        <v>1.0983796296296311E-2</v>
      </c>
      <c r="G343">
        <f t="shared" si="52"/>
        <v>0</v>
      </c>
      <c r="H343">
        <f t="shared" si="53"/>
        <v>15</v>
      </c>
      <c r="I343">
        <f t="shared" si="54"/>
        <v>49</v>
      </c>
      <c r="J343">
        <f t="shared" si="55"/>
        <v>949</v>
      </c>
      <c r="K343">
        <f t="shared" si="56"/>
        <v>16</v>
      </c>
      <c r="L343">
        <f t="shared" si="57"/>
        <v>89566</v>
      </c>
      <c r="M343">
        <f t="shared" si="58"/>
        <v>25667</v>
      </c>
      <c r="N343">
        <f t="shared" si="59"/>
        <v>163233</v>
      </c>
      <c r="O343">
        <f>IF(B343="zagraniczny",K343+O342,O342)</f>
        <v>173</v>
      </c>
    </row>
    <row r="344" spans="1:15" x14ac:dyDescent="0.25">
      <c r="A344">
        <v>8768896</v>
      </c>
      <c r="B344" t="str">
        <f t="shared" si="50"/>
        <v>stacjonarny</v>
      </c>
      <c r="C344" s="1">
        <v>42922</v>
      </c>
      <c r="D344" s="2">
        <v>0.43590277777777775</v>
      </c>
      <c r="E344" s="2">
        <v>0.44127314814814816</v>
      </c>
      <c r="F344" s="2">
        <f t="shared" si="51"/>
        <v>5.3703703703704142E-3</v>
      </c>
      <c r="G344">
        <f t="shared" si="52"/>
        <v>0</v>
      </c>
      <c r="H344">
        <f t="shared" si="53"/>
        <v>7</v>
      </c>
      <c r="I344">
        <f t="shared" si="54"/>
        <v>44</v>
      </c>
      <c r="J344">
        <f t="shared" si="55"/>
        <v>464</v>
      </c>
      <c r="K344">
        <f t="shared" si="56"/>
        <v>8</v>
      </c>
      <c r="L344">
        <f t="shared" si="57"/>
        <v>90030</v>
      </c>
      <c r="M344">
        <f t="shared" si="58"/>
        <v>25667</v>
      </c>
      <c r="N344">
        <f t="shared" si="59"/>
        <v>163697</v>
      </c>
      <c r="O344">
        <f>IF(B344="zagraniczny",K344+O343,O343)</f>
        <v>173</v>
      </c>
    </row>
    <row r="345" spans="1:15" x14ac:dyDescent="0.25">
      <c r="A345">
        <v>9088045</v>
      </c>
      <c r="B345" t="str">
        <f t="shared" si="50"/>
        <v>stacjonarny</v>
      </c>
      <c r="C345" s="1">
        <v>42922</v>
      </c>
      <c r="D345" s="2">
        <v>0.44063657407407408</v>
      </c>
      <c r="E345" s="2">
        <v>0.44285879629629632</v>
      </c>
      <c r="F345" s="2">
        <f t="shared" si="51"/>
        <v>2.2222222222222365E-3</v>
      </c>
      <c r="G345">
        <f t="shared" si="52"/>
        <v>0</v>
      </c>
      <c r="H345">
        <f t="shared" si="53"/>
        <v>3</v>
      </c>
      <c r="I345">
        <f t="shared" si="54"/>
        <v>12</v>
      </c>
      <c r="J345">
        <f t="shared" si="55"/>
        <v>192</v>
      </c>
      <c r="K345">
        <f t="shared" si="56"/>
        <v>4</v>
      </c>
      <c r="L345">
        <f t="shared" si="57"/>
        <v>90222</v>
      </c>
      <c r="M345">
        <f t="shared" si="58"/>
        <v>25667</v>
      </c>
      <c r="N345">
        <f t="shared" si="59"/>
        <v>163889</v>
      </c>
      <c r="O345">
        <f>IF(B345="zagraniczny",K345+O344,O344)</f>
        <v>173</v>
      </c>
    </row>
    <row r="346" spans="1:15" x14ac:dyDescent="0.25">
      <c r="A346">
        <v>9872216</v>
      </c>
      <c r="B346" t="str">
        <f t="shared" si="50"/>
        <v>stacjonarny</v>
      </c>
      <c r="C346" s="1">
        <v>42922</v>
      </c>
      <c r="D346" s="2">
        <v>0.44200231481481483</v>
      </c>
      <c r="E346" s="2">
        <v>0.44886574074074076</v>
      </c>
      <c r="F346" s="2">
        <f t="shared" si="51"/>
        <v>6.8634259259259256E-3</v>
      </c>
      <c r="G346">
        <f t="shared" si="52"/>
        <v>0</v>
      </c>
      <c r="H346">
        <f t="shared" si="53"/>
        <v>9</v>
      </c>
      <c r="I346">
        <f t="shared" si="54"/>
        <v>53</v>
      </c>
      <c r="J346">
        <f t="shared" si="55"/>
        <v>593</v>
      </c>
      <c r="K346">
        <f t="shared" si="56"/>
        <v>10</v>
      </c>
      <c r="L346">
        <f t="shared" si="57"/>
        <v>90815</v>
      </c>
      <c r="M346">
        <f t="shared" si="58"/>
        <v>25667</v>
      </c>
      <c r="N346">
        <f t="shared" si="59"/>
        <v>164482</v>
      </c>
      <c r="O346">
        <f>IF(B346="zagraniczny",K346+O345,O345)</f>
        <v>173</v>
      </c>
    </row>
    <row r="347" spans="1:15" x14ac:dyDescent="0.25">
      <c r="A347">
        <v>8369815</v>
      </c>
      <c r="B347" t="str">
        <f t="shared" si="50"/>
        <v>stacjonarny</v>
      </c>
      <c r="C347" s="1">
        <v>42922</v>
      </c>
      <c r="D347" s="2">
        <v>0.44350694444444444</v>
      </c>
      <c r="E347" s="2">
        <v>0.44528935185185187</v>
      </c>
      <c r="F347" s="2">
        <f t="shared" si="51"/>
        <v>1.782407407407427E-3</v>
      </c>
      <c r="G347">
        <f t="shared" si="52"/>
        <v>0</v>
      </c>
      <c r="H347">
        <f t="shared" si="53"/>
        <v>2</v>
      </c>
      <c r="I347">
        <f t="shared" si="54"/>
        <v>34</v>
      </c>
      <c r="J347">
        <f t="shared" si="55"/>
        <v>154</v>
      </c>
      <c r="K347">
        <f t="shared" si="56"/>
        <v>3</v>
      </c>
      <c r="L347">
        <f t="shared" si="57"/>
        <v>90969</v>
      </c>
      <c r="M347">
        <f t="shared" si="58"/>
        <v>25667</v>
      </c>
      <c r="N347">
        <f t="shared" si="59"/>
        <v>164636</v>
      </c>
      <c r="O347">
        <f>IF(B347="zagraniczny",K347+O346,O346)</f>
        <v>173</v>
      </c>
    </row>
    <row r="348" spans="1:15" x14ac:dyDescent="0.25">
      <c r="A348">
        <v>3370151</v>
      </c>
      <c r="B348" t="str">
        <f t="shared" si="50"/>
        <v>stacjonarny</v>
      </c>
      <c r="C348" s="1">
        <v>42922</v>
      </c>
      <c r="D348" s="2">
        <v>0.44452546296296297</v>
      </c>
      <c r="E348" s="2">
        <v>0.44923611111111111</v>
      </c>
      <c r="F348" s="2">
        <f t="shared" si="51"/>
        <v>4.7106481481481444E-3</v>
      </c>
      <c r="G348">
        <f t="shared" si="52"/>
        <v>0</v>
      </c>
      <c r="H348">
        <f t="shared" si="53"/>
        <v>6</v>
      </c>
      <c r="I348">
        <f t="shared" si="54"/>
        <v>47</v>
      </c>
      <c r="J348">
        <f t="shared" si="55"/>
        <v>407</v>
      </c>
      <c r="K348">
        <f t="shared" si="56"/>
        <v>7</v>
      </c>
      <c r="L348">
        <f t="shared" si="57"/>
        <v>91376</v>
      </c>
      <c r="M348">
        <f t="shared" si="58"/>
        <v>25667</v>
      </c>
      <c r="N348">
        <f t="shared" si="59"/>
        <v>165043</v>
      </c>
      <c r="O348">
        <f>IF(B348="zagraniczny",K348+O347,O347)</f>
        <v>173</v>
      </c>
    </row>
    <row r="349" spans="1:15" x14ac:dyDescent="0.25">
      <c r="A349">
        <v>1488369</v>
      </c>
      <c r="B349" t="str">
        <f t="shared" si="50"/>
        <v>stacjonarny</v>
      </c>
      <c r="C349" s="1">
        <v>42922</v>
      </c>
      <c r="D349" s="2">
        <v>0.44871527777777775</v>
      </c>
      <c r="E349" s="2">
        <v>0.45627314814814812</v>
      </c>
      <c r="F349" s="2">
        <f t="shared" si="51"/>
        <v>7.5578703703703676E-3</v>
      </c>
      <c r="G349">
        <f t="shared" si="52"/>
        <v>0</v>
      </c>
      <c r="H349">
        <f t="shared" si="53"/>
        <v>10</v>
      </c>
      <c r="I349">
        <f t="shared" si="54"/>
        <v>53</v>
      </c>
      <c r="J349">
        <f t="shared" si="55"/>
        <v>653</v>
      </c>
      <c r="K349">
        <f t="shared" si="56"/>
        <v>11</v>
      </c>
      <c r="L349">
        <f t="shared" si="57"/>
        <v>92029</v>
      </c>
      <c r="M349">
        <f t="shared" si="58"/>
        <v>25667</v>
      </c>
      <c r="N349">
        <f t="shared" si="59"/>
        <v>165696</v>
      </c>
      <c r="O349">
        <f>IF(B349="zagraniczny",K349+O348,O348)</f>
        <v>173</v>
      </c>
    </row>
    <row r="350" spans="1:15" x14ac:dyDescent="0.25">
      <c r="A350">
        <v>4132754</v>
      </c>
      <c r="B350" t="str">
        <f t="shared" si="50"/>
        <v>stacjonarny</v>
      </c>
      <c r="C350" s="1">
        <v>42922</v>
      </c>
      <c r="D350" s="2">
        <v>0.45281250000000001</v>
      </c>
      <c r="E350" s="2">
        <v>0.45374999999999999</v>
      </c>
      <c r="F350" s="2">
        <f t="shared" si="51"/>
        <v>9.3749999999998002E-4</v>
      </c>
      <c r="G350">
        <f t="shared" si="52"/>
        <v>0</v>
      </c>
      <c r="H350">
        <f t="shared" si="53"/>
        <v>1</v>
      </c>
      <c r="I350">
        <f t="shared" si="54"/>
        <v>21</v>
      </c>
      <c r="J350">
        <f t="shared" si="55"/>
        <v>81</v>
      </c>
      <c r="K350">
        <f t="shared" si="56"/>
        <v>2</v>
      </c>
      <c r="L350">
        <f t="shared" si="57"/>
        <v>92110</v>
      </c>
      <c r="M350">
        <f t="shared" si="58"/>
        <v>25667</v>
      </c>
      <c r="N350">
        <f t="shared" si="59"/>
        <v>165777</v>
      </c>
      <c r="O350">
        <f>IF(B350="zagraniczny",K350+O349,O349)</f>
        <v>173</v>
      </c>
    </row>
    <row r="351" spans="1:15" x14ac:dyDescent="0.25">
      <c r="A351">
        <v>66638685</v>
      </c>
      <c r="B351" t="str">
        <f t="shared" si="50"/>
        <v>komorkowy</v>
      </c>
      <c r="C351" s="1">
        <v>42922</v>
      </c>
      <c r="D351" s="2">
        <v>0.45401620370370371</v>
      </c>
      <c r="E351" s="2">
        <v>0.46406249999999999</v>
      </c>
      <c r="F351" s="2">
        <f t="shared" si="51"/>
        <v>1.0046296296296275E-2</v>
      </c>
      <c r="G351">
        <f t="shared" si="52"/>
        <v>0</v>
      </c>
      <c r="H351">
        <f t="shared" si="53"/>
        <v>14</v>
      </c>
      <c r="I351">
        <f t="shared" si="54"/>
        <v>28</v>
      </c>
      <c r="J351">
        <f t="shared" si="55"/>
        <v>868</v>
      </c>
      <c r="K351">
        <f t="shared" si="56"/>
        <v>15</v>
      </c>
      <c r="L351">
        <f t="shared" si="57"/>
        <v>92110</v>
      </c>
      <c r="M351">
        <f t="shared" si="58"/>
        <v>26535</v>
      </c>
      <c r="N351">
        <f t="shared" si="59"/>
        <v>166645</v>
      </c>
      <c r="O351">
        <f>IF(B351="zagraniczny",K351+O350,O350)</f>
        <v>173</v>
      </c>
    </row>
    <row r="352" spans="1:15" x14ac:dyDescent="0.25">
      <c r="A352">
        <v>6818507</v>
      </c>
      <c r="B352" t="str">
        <f t="shared" si="50"/>
        <v>stacjonarny</v>
      </c>
      <c r="C352" s="1">
        <v>42922</v>
      </c>
      <c r="D352" s="2">
        <v>0.4584259259259259</v>
      </c>
      <c r="E352" s="2">
        <v>0.46380787037037036</v>
      </c>
      <c r="F352" s="2">
        <f t="shared" si="51"/>
        <v>5.3819444444444531E-3</v>
      </c>
      <c r="G352">
        <f t="shared" si="52"/>
        <v>0</v>
      </c>
      <c r="H352">
        <f t="shared" si="53"/>
        <v>7</v>
      </c>
      <c r="I352">
        <f t="shared" si="54"/>
        <v>45</v>
      </c>
      <c r="J352">
        <f t="shared" si="55"/>
        <v>465</v>
      </c>
      <c r="K352">
        <f t="shared" si="56"/>
        <v>8</v>
      </c>
      <c r="L352">
        <f t="shared" si="57"/>
        <v>92575</v>
      </c>
      <c r="M352">
        <f t="shared" si="58"/>
        <v>26535</v>
      </c>
      <c r="N352">
        <f t="shared" si="59"/>
        <v>167110</v>
      </c>
      <c r="O352">
        <f>IF(B352="zagraniczny",K352+O351,O351)</f>
        <v>173</v>
      </c>
    </row>
    <row r="353" spans="1:15" x14ac:dyDescent="0.25">
      <c r="A353">
        <v>93611539</v>
      </c>
      <c r="B353" t="str">
        <f t="shared" si="50"/>
        <v>komorkowy</v>
      </c>
      <c r="C353" s="1">
        <v>42922</v>
      </c>
      <c r="D353" s="2">
        <v>0.45853009259259259</v>
      </c>
      <c r="E353" s="2">
        <v>0.46674768518518517</v>
      </c>
      <c r="F353" s="2">
        <f t="shared" si="51"/>
        <v>8.2175925925925819E-3</v>
      </c>
      <c r="G353">
        <f t="shared" si="52"/>
        <v>0</v>
      </c>
      <c r="H353">
        <f t="shared" si="53"/>
        <v>11</v>
      </c>
      <c r="I353">
        <f t="shared" si="54"/>
        <v>50</v>
      </c>
      <c r="J353">
        <f t="shared" si="55"/>
        <v>710</v>
      </c>
      <c r="K353">
        <f t="shared" si="56"/>
        <v>12</v>
      </c>
      <c r="L353">
        <f t="shared" si="57"/>
        <v>92575</v>
      </c>
      <c r="M353">
        <f t="shared" si="58"/>
        <v>27245</v>
      </c>
      <c r="N353">
        <f t="shared" si="59"/>
        <v>167820</v>
      </c>
      <c r="O353">
        <f>IF(B353="zagraniczny",K353+O352,O352)</f>
        <v>173</v>
      </c>
    </row>
    <row r="354" spans="1:15" x14ac:dyDescent="0.25">
      <c r="A354">
        <v>2890519255</v>
      </c>
      <c r="B354" t="str">
        <f t="shared" si="50"/>
        <v>zagraniczny</v>
      </c>
      <c r="C354" s="1">
        <v>42922</v>
      </c>
      <c r="D354" s="2">
        <v>0.4613888888888889</v>
      </c>
      <c r="E354" s="2">
        <v>0.46836805555555555</v>
      </c>
      <c r="F354" s="2">
        <f t="shared" si="51"/>
        <v>6.9791666666666474E-3</v>
      </c>
      <c r="G354">
        <f t="shared" si="52"/>
        <v>0</v>
      </c>
      <c r="H354">
        <f t="shared" si="53"/>
        <v>10</v>
      </c>
      <c r="I354">
        <f t="shared" si="54"/>
        <v>3</v>
      </c>
      <c r="J354">
        <f t="shared" si="55"/>
        <v>603</v>
      </c>
      <c r="K354">
        <f t="shared" si="56"/>
        <v>11</v>
      </c>
      <c r="L354">
        <f t="shared" si="57"/>
        <v>92575</v>
      </c>
      <c r="M354">
        <f t="shared" si="58"/>
        <v>27245</v>
      </c>
      <c r="N354">
        <f t="shared" si="59"/>
        <v>167820</v>
      </c>
      <c r="O354">
        <f>IF(B354="zagraniczny",K354+O353,O353)</f>
        <v>184</v>
      </c>
    </row>
    <row r="355" spans="1:15" x14ac:dyDescent="0.25">
      <c r="A355">
        <v>66336445</v>
      </c>
      <c r="B355" t="str">
        <f t="shared" si="50"/>
        <v>komorkowy</v>
      </c>
      <c r="C355" s="1">
        <v>42922</v>
      </c>
      <c r="D355" s="2">
        <v>0.46322916666666669</v>
      </c>
      <c r="E355" s="2">
        <v>0.4642013888888889</v>
      </c>
      <c r="F355" s="2">
        <f t="shared" si="51"/>
        <v>9.7222222222220767E-4</v>
      </c>
      <c r="G355">
        <f t="shared" si="52"/>
        <v>0</v>
      </c>
      <c r="H355">
        <f t="shared" si="53"/>
        <v>1</v>
      </c>
      <c r="I355">
        <f t="shared" si="54"/>
        <v>24</v>
      </c>
      <c r="J355">
        <f t="shared" si="55"/>
        <v>84</v>
      </c>
      <c r="K355">
        <f t="shared" si="56"/>
        <v>2</v>
      </c>
      <c r="L355">
        <f t="shared" si="57"/>
        <v>92575</v>
      </c>
      <c r="M355">
        <f t="shared" si="58"/>
        <v>27329</v>
      </c>
      <c r="N355">
        <f t="shared" si="59"/>
        <v>167904</v>
      </c>
      <c r="O355">
        <f>IF(B355="zagraniczny",K355+O354,O354)</f>
        <v>184</v>
      </c>
    </row>
    <row r="356" spans="1:15" x14ac:dyDescent="0.25">
      <c r="A356">
        <v>9356324</v>
      </c>
      <c r="B356" t="str">
        <f t="shared" si="50"/>
        <v>stacjonarny</v>
      </c>
      <c r="C356" s="1">
        <v>42922</v>
      </c>
      <c r="D356" s="2">
        <v>0.46339120370370368</v>
      </c>
      <c r="E356" s="2">
        <v>0.47425925925925927</v>
      </c>
      <c r="F356" s="2">
        <f t="shared" si="51"/>
        <v>1.0868055555555589E-2</v>
      </c>
      <c r="G356">
        <f t="shared" si="52"/>
        <v>0</v>
      </c>
      <c r="H356">
        <f t="shared" si="53"/>
        <v>15</v>
      </c>
      <c r="I356">
        <f t="shared" si="54"/>
        <v>39</v>
      </c>
      <c r="J356">
        <f t="shared" si="55"/>
        <v>939</v>
      </c>
      <c r="K356">
        <f t="shared" si="56"/>
        <v>16</v>
      </c>
      <c r="L356">
        <f t="shared" si="57"/>
        <v>93514</v>
      </c>
      <c r="M356">
        <f t="shared" si="58"/>
        <v>27329</v>
      </c>
      <c r="N356">
        <f t="shared" si="59"/>
        <v>168843</v>
      </c>
      <c r="O356">
        <f>IF(B356="zagraniczny",K356+O355,O355)</f>
        <v>184</v>
      </c>
    </row>
    <row r="357" spans="1:15" x14ac:dyDescent="0.25">
      <c r="A357">
        <v>5111892302</v>
      </c>
      <c r="B357" t="str">
        <f t="shared" si="50"/>
        <v>zagraniczny</v>
      </c>
      <c r="C357" s="1">
        <v>42922</v>
      </c>
      <c r="D357" s="2">
        <v>0.46871527777777777</v>
      </c>
      <c r="E357" s="2">
        <v>0.47319444444444442</v>
      </c>
      <c r="F357" s="2">
        <f t="shared" si="51"/>
        <v>4.4791666666666452E-3</v>
      </c>
      <c r="G357">
        <f t="shared" si="52"/>
        <v>0</v>
      </c>
      <c r="H357">
        <f t="shared" si="53"/>
        <v>6</v>
      </c>
      <c r="I357">
        <f t="shared" si="54"/>
        <v>27</v>
      </c>
      <c r="J357">
        <f t="shared" si="55"/>
        <v>387</v>
      </c>
      <c r="K357">
        <f t="shared" si="56"/>
        <v>7</v>
      </c>
      <c r="L357">
        <f t="shared" si="57"/>
        <v>93514</v>
      </c>
      <c r="M357">
        <f t="shared" si="58"/>
        <v>27329</v>
      </c>
      <c r="N357">
        <f t="shared" si="59"/>
        <v>168843</v>
      </c>
      <c r="O357">
        <f>IF(B357="zagraniczny",K357+O356,O356)</f>
        <v>191</v>
      </c>
    </row>
    <row r="358" spans="1:15" x14ac:dyDescent="0.25">
      <c r="A358">
        <v>2435007</v>
      </c>
      <c r="B358" t="str">
        <f t="shared" si="50"/>
        <v>stacjonarny</v>
      </c>
      <c r="C358" s="1">
        <v>42922</v>
      </c>
      <c r="D358" s="2">
        <v>0.47395833333333331</v>
      </c>
      <c r="E358" s="2">
        <v>0.47423611111111114</v>
      </c>
      <c r="F358" s="2">
        <f t="shared" si="51"/>
        <v>2.777777777778212E-4</v>
      </c>
      <c r="G358">
        <f t="shared" si="52"/>
        <v>0</v>
      </c>
      <c r="H358">
        <f t="shared" si="53"/>
        <v>0</v>
      </c>
      <c r="I358">
        <f t="shared" si="54"/>
        <v>24</v>
      </c>
      <c r="J358">
        <f t="shared" si="55"/>
        <v>24</v>
      </c>
      <c r="K358">
        <f t="shared" si="56"/>
        <v>1</v>
      </c>
      <c r="L358">
        <f t="shared" si="57"/>
        <v>93538</v>
      </c>
      <c r="M358">
        <f t="shared" si="58"/>
        <v>27329</v>
      </c>
      <c r="N358">
        <f t="shared" si="59"/>
        <v>168867</v>
      </c>
      <c r="O358">
        <f>IF(B358="zagraniczny",K358+O357,O357)</f>
        <v>191</v>
      </c>
    </row>
    <row r="359" spans="1:15" x14ac:dyDescent="0.25">
      <c r="A359">
        <v>6694568</v>
      </c>
      <c r="B359" t="str">
        <f t="shared" si="50"/>
        <v>stacjonarny</v>
      </c>
      <c r="C359" s="1">
        <v>42922</v>
      </c>
      <c r="D359" s="2">
        <v>0.47865740740740742</v>
      </c>
      <c r="E359" s="2">
        <v>0.48923611111111109</v>
      </c>
      <c r="F359" s="2">
        <f t="shared" si="51"/>
        <v>1.0578703703703674E-2</v>
      </c>
      <c r="G359">
        <f t="shared" si="52"/>
        <v>0</v>
      </c>
      <c r="H359">
        <f t="shared" si="53"/>
        <v>15</v>
      </c>
      <c r="I359">
        <f t="shared" si="54"/>
        <v>14</v>
      </c>
      <c r="J359">
        <f t="shared" si="55"/>
        <v>914</v>
      </c>
      <c r="K359">
        <f t="shared" si="56"/>
        <v>16</v>
      </c>
      <c r="L359">
        <f t="shared" si="57"/>
        <v>94452</v>
      </c>
      <c r="M359">
        <f t="shared" si="58"/>
        <v>27329</v>
      </c>
      <c r="N359">
        <f t="shared" si="59"/>
        <v>169781</v>
      </c>
      <c r="O359">
        <f>IF(B359="zagraniczny",K359+O358,O358)</f>
        <v>191</v>
      </c>
    </row>
    <row r="360" spans="1:15" x14ac:dyDescent="0.25">
      <c r="A360">
        <v>6420583</v>
      </c>
      <c r="B360" t="str">
        <f t="shared" si="50"/>
        <v>stacjonarny</v>
      </c>
      <c r="C360" s="1">
        <v>42922</v>
      </c>
      <c r="D360" s="2">
        <v>0.48</v>
      </c>
      <c r="E360" s="2">
        <v>0.48539351851851853</v>
      </c>
      <c r="F360" s="2">
        <f t="shared" si="51"/>
        <v>5.3935185185185475E-3</v>
      </c>
      <c r="G360">
        <f t="shared" si="52"/>
        <v>0</v>
      </c>
      <c r="H360">
        <f t="shared" si="53"/>
        <v>7</v>
      </c>
      <c r="I360">
        <f t="shared" si="54"/>
        <v>46</v>
      </c>
      <c r="J360">
        <f t="shared" si="55"/>
        <v>466</v>
      </c>
      <c r="K360">
        <f t="shared" si="56"/>
        <v>8</v>
      </c>
      <c r="L360">
        <f t="shared" si="57"/>
        <v>94918</v>
      </c>
      <c r="M360">
        <f t="shared" si="58"/>
        <v>27329</v>
      </c>
      <c r="N360">
        <f t="shared" si="59"/>
        <v>170247</v>
      </c>
      <c r="O360">
        <f>IF(B360="zagraniczny",K360+O359,O359)</f>
        <v>191</v>
      </c>
    </row>
    <row r="361" spans="1:15" x14ac:dyDescent="0.25">
      <c r="A361">
        <v>19835498</v>
      </c>
      <c r="B361" t="str">
        <f t="shared" si="50"/>
        <v>komorkowy</v>
      </c>
      <c r="C361" s="1">
        <v>42922</v>
      </c>
      <c r="D361" s="2">
        <v>0.48478009259259258</v>
      </c>
      <c r="E361" s="2">
        <v>0.49233796296296295</v>
      </c>
      <c r="F361" s="2">
        <f t="shared" si="51"/>
        <v>7.5578703703703676E-3</v>
      </c>
      <c r="G361">
        <f t="shared" si="52"/>
        <v>0</v>
      </c>
      <c r="H361">
        <f t="shared" si="53"/>
        <v>10</v>
      </c>
      <c r="I361">
        <f t="shared" si="54"/>
        <v>53</v>
      </c>
      <c r="J361">
        <f t="shared" si="55"/>
        <v>653</v>
      </c>
      <c r="K361">
        <f t="shared" si="56"/>
        <v>11</v>
      </c>
      <c r="L361">
        <f t="shared" si="57"/>
        <v>94918</v>
      </c>
      <c r="M361">
        <f t="shared" si="58"/>
        <v>27982</v>
      </c>
      <c r="N361">
        <f t="shared" si="59"/>
        <v>170900</v>
      </c>
      <c r="O361">
        <f>IF(B361="zagraniczny",K361+O360,O360)</f>
        <v>191</v>
      </c>
    </row>
    <row r="362" spans="1:15" x14ac:dyDescent="0.25">
      <c r="A362">
        <v>6663334</v>
      </c>
      <c r="B362" t="str">
        <f t="shared" si="50"/>
        <v>stacjonarny</v>
      </c>
      <c r="C362" s="1">
        <v>42922</v>
      </c>
      <c r="D362" s="2">
        <v>0.48605324074074074</v>
      </c>
      <c r="E362" s="2">
        <v>0.49381944444444442</v>
      </c>
      <c r="F362" s="2">
        <f t="shared" si="51"/>
        <v>7.766203703703678E-3</v>
      </c>
      <c r="G362">
        <f t="shared" si="52"/>
        <v>0</v>
      </c>
      <c r="H362">
        <f t="shared" si="53"/>
        <v>11</v>
      </c>
      <c r="I362">
        <f t="shared" si="54"/>
        <v>11</v>
      </c>
      <c r="J362">
        <f t="shared" si="55"/>
        <v>671</v>
      </c>
      <c r="K362">
        <f t="shared" si="56"/>
        <v>12</v>
      </c>
      <c r="L362">
        <f t="shared" si="57"/>
        <v>95589</v>
      </c>
      <c r="M362">
        <f t="shared" si="58"/>
        <v>27982</v>
      </c>
      <c r="N362">
        <f t="shared" si="59"/>
        <v>171571</v>
      </c>
      <c r="O362">
        <f>IF(B362="zagraniczny",K362+O361,O361)</f>
        <v>191</v>
      </c>
    </row>
    <row r="363" spans="1:15" x14ac:dyDescent="0.25">
      <c r="A363">
        <v>44765837</v>
      </c>
      <c r="B363" t="str">
        <f t="shared" si="50"/>
        <v>komorkowy</v>
      </c>
      <c r="C363" s="1">
        <v>42922</v>
      </c>
      <c r="D363" s="2">
        <v>0.4887037037037037</v>
      </c>
      <c r="E363" s="2">
        <v>0.49343749999999997</v>
      </c>
      <c r="F363" s="2">
        <f t="shared" si="51"/>
        <v>4.7337962962962776E-3</v>
      </c>
      <c r="G363">
        <f t="shared" si="52"/>
        <v>0</v>
      </c>
      <c r="H363">
        <f t="shared" si="53"/>
        <v>6</v>
      </c>
      <c r="I363">
        <f t="shared" si="54"/>
        <v>49</v>
      </c>
      <c r="J363">
        <f t="shared" si="55"/>
        <v>409</v>
      </c>
      <c r="K363">
        <f t="shared" si="56"/>
        <v>7</v>
      </c>
      <c r="L363">
        <f t="shared" si="57"/>
        <v>95589</v>
      </c>
      <c r="M363">
        <f t="shared" si="58"/>
        <v>28391</v>
      </c>
      <c r="N363">
        <f t="shared" si="59"/>
        <v>171980</v>
      </c>
      <c r="O363">
        <f>IF(B363="zagraniczny",K363+O362,O362)</f>
        <v>191</v>
      </c>
    </row>
    <row r="364" spans="1:15" x14ac:dyDescent="0.25">
      <c r="A364">
        <v>2469778</v>
      </c>
      <c r="B364" t="str">
        <f t="shared" si="50"/>
        <v>stacjonarny</v>
      </c>
      <c r="C364" s="1">
        <v>42922</v>
      </c>
      <c r="D364" s="2">
        <v>0.49236111111111114</v>
      </c>
      <c r="E364" s="2">
        <v>0.49780092592592595</v>
      </c>
      <c r="F364" s="2">
        <f t="shared" si="51"/>
        <v>5.439814814814814E-3</v>
      </c>
      <c r="G364">
        <f t="shared" si="52"/>
        <v>0</v>
      </c>
      <c r="H364">
        <f t="shared" si="53"/>
        <v>7</v>
      </c>
      <c r="I364">
        <f t="shared" si="54"/>
        <v>50</v>
      </c>
      <c r="J364">
        <f t="shared" si="55"/>
        <v>470</v>
      </c>
      <c r="K364">
        <f t="shared" si="56"/>
        <v>8</v>
      </c>
      <c r="L364">
        <f t="shared" si="57"/>
        <v>96059</v>
      </c>
      <c r="M364">
        <f t="shared" si="58"/>
        <v>28391</v>
      </c>
      <c r="N364">
        <f t="shared" si="59"/>
        <v>172450</v>
      </c>
      <c r="O364">
        <f>IF(B364="zagraniczny",K364+O363,O363)</f>
        <v>191</v>
      </c>
    </row>
    <row r="365" spans="1:15" x14ac:dyDescent="0.25">
      <c r="A365">
        <v>1959826</v>
      </c>
      <c r="B365" t="str">
        <f t="shared" si="50"/>
        <v>stacjonarny</v>
      </c>
      <c r="C365" s="1">
        <v>42922</v>
      </c>
      <c r="D365" s="2">
        <v>0.49372685185185183</v>
      </c>
      <c r="E365" s="2">
        <v>0.50436342592592598</v>
      </c>
      <c r="F365" s="2">
        <f t="shared" si="51"/>
        <v>1.0636574074074145E-2</v>
      </c>
      <c r="G365">
        <f t="shared" si="52"/>
        <v>0</v>
      </c>
      <c r="H365">
        <f t="shared" si="53"/>
        <v>15</v>
      </c>
      <c r="I365">
        <f t="shared" si="54"/>
        <v>19</v>
      </c>
      <c r="J365">
        <f t="shared" si="55"/>
        <v>919</v>
      </c>
      <c r="K365">
        <f t="shared" si="56"/>
        <v>16</v>
      </c>
      <c r="L365">
        <f t="shared" si="57"/>
        <v>96978</v>
      </c>
      <c r="M365">
        <f t="shared" si="58"/>
        <v>28391</v>
      </c>
      <c r="N365">
        <f t="shared" si="59"/>
        <v>173369</v>
      </c>
      <c r="O365">
        <f>IF(B365="zagraniczny",K365+O364,O364)</f>
        <v>191</v>
      </c>
    </row>
    <row r="366" spans="1:15" x14ac:dyDescent="0.25">
      <c r="A366">
        <v>37032078</v>
      </c>
      <c r="B366" t="str">
        <f t="shared" si="50"/>
        <v>komorkowy</v>
      </c>
      <c r="C366" s="1">
        <v>42922</v>
      </c>
      <c r="D366" s="2">
        <v>0.49387731481481484</v>
      </c>
      <c r="E366" s="2">
        <v>0.50420138888888888</v>
      </c>
      <c r="F366" s="2">
        <f t="shared" si="51"/>
        <v>1.0324074074074041E-2</v>
      </c>
      <c r="G366">
        <f t="shared" si="52"/>
        <v>0</v>
      </c>
      <c r="H366">
        <f t="shared" si="53"/>
        <v>14</v>
      </c>
      <c r="I366">
        <f t="shared" si="54"/>
        <v>52</v>
      </c>
      <c r="J366">
        <f t="shared" si="55"/>
        <v>892</v>
      </c>
      <c r="K366">
        <f t="shared" si="56"/>
        <v>15</v>
      </c>
      <c r="L366">
        <f t="shared" si="57"/>
        <v>96978</v>
      </c>
      <c r="M366">
        <f t="shared" si="58"/>
        <v>29283</v>
      </c>
      <c r="N366">
        <f t="shared" si="59"/>
        <v>174261</v>
      </c>
      <c r="O366">
        <f>IF(B366="zagraniczny",K366+O365,O365)</f>
        <v>191</v>
      </c>
    </row>
    <row r="367" spans="1:15" x14ac:dyDescent="0.25">
      <c r="A367">
        <v>6516512</v>
      </c>
      <c r="B367" t="str">
        <f t="shared" si="50"/>
        <v>stacjonarny</v>
      </c>
      <c r="C367" s="1">
        <v>42922</v>
      </c>
      <c r="D367" s="2">
        <v>0.49438657407407405</v>
      </c>
      <c r="E367" s="2">
        <v>0.49909722222222225</v>
      </c>
      <c r="F367" s="2">
        <f t="shared" si="51"/>
        <v>4.7106481481481999E-3</v>
      </c>
      <c r="G367">
        <f t="shared" si="52"/>
        <v>0</v>
      </c>
      <c r="H367">
        <f t="shared" si="53"/>
        <v>6</v>
      </c>
      <c r="I367">
        <f t="shared" si="54"/>
        <v>47</v>
      </c>
      <c r="J367">
        <f t="shared" si="55"/>
        <v>407</v>
      </c>
      <c r="K367">
        <f t="shared" si="56"/>
        <v>7</v>
      </c>
      <c r="L367">
        <f t="shared" si="57"/>
        <v>97385</v>
      </c>
      <c r="M367">
        <f t="shared" si="58"/>
        <v>29283</v>
      </c>
      <c r="N367">
        <f t="shared" si="59"/>
        <v>174668</v>
      </c>
      <c r="O367">
        <f>IF(B367="zagraniczny",K367+O366,O366)</f>
        <v>191</v>
      </c>
    </row>
    <row r="368" spans="1:15" x14ac:dyDescent="0.25">
      <c r="A368">
        <v>4726561</v>
      </c>
      <c r="B368" t="str">
        <f t="shared" si="50"/>
        <v>stacjonarny</v>
      </c>
      <c r="C368" s="1">
        <v>42922</v>
      </c>
      <c r="D368" s="2">
        <v>0.49910879629629629</v>
      </c>
      <c r="E368" s="2">
        <v>0.5009837962962963</v>
      </c>
      <c r="F368" s="2">
        <f t="shared" si="51"/>
        <v>1.8750000000000155E-3</v>
      </c>
      <c r="G368">
        <f t="shared" si="52"/>
        <v>0</v>
      </c>
      <c r="H368">
        <f t="shared" si="53"/>
        <v>2</v>
      </c>
      <c r="I368">
        <f t="shared" si="54"/>
        <v>42</v>
      </c>
      <c r="J368">
        <f t="shared" si="55"/>
        <v>162</v>
      </c>
      <c r="K368">
        <f t="shared" si="56"/>
        <v>3</v>
      </c>
      <c r="L368">
        <f t="shared" si="57"/>
        <v>97547</v>
      </c>
      <c r="M368">
        <f t="shared" si="58"/>
        <v>29283</v>
      </c>
      <c r="N368">
        <f t="shared" si="59"/>
        <v>174830</v>
      </c>
      <c r="O368">
        <f>IF(B368="zagraniczny",K368+O367,O367)</f>
        <v>191</v>
      </c>
    </row>
    <row r="369" spans="1:15" x14ac:dyDescent="0.25">
      <c r="A369">
        <v>9685747</v>
      </c>
      <c r="B369" t="str">
        <f t="shared" si="50"/>
        <v>stacjonarny</v>
      </c>
      <c r="C369" s="1">
        <v>42922</v>
      </c>
      <c r="D369" s="2">
        <v>0.50342592592592594</v>
      </c>
      <c r="E369" s="2">
        <v>0.51392361111111107</v>
      </c>
      <c r="F369" s="2">
        <f t="shared" si="51"/>
        <v>1.0497685185185124E-2</v>
      </c>
      <c r="G369">
        <f t="shared" si="52"/>
        <v>0</v>
      </c>
      <c r="H369">
        <f t="shared" si="53"/>
        <v>15</v>
      </c>
      <c r="I369">
        <f t="shared" si="54"/>
        <v>7</v>
      </c>
      <c r="J369">
        <f t="shared" si="55"/>
        <v>907</v>
      </c>
      <c r="K369">
        <f t="shared" si="56"/>
        <v>16</v>
      </c>
      <c r="L369">
        <f t="shared" si="57"/>
        <v>98454</v>
      </c>
      <c r="M369">
        <f t="shared" si="58"/>
        <v>29283</v>
      </c>
      <c r="N369">
        <f t="shared" si="59"/>
        <v>175737</v>
      </c>
      <c r="O369">
        <f>IF(B369="zagraniczny",K369+O368,O368)</f>
        <v>191</v>
      </c>
    </row>
    <row r="370" spans="1:15" x14ac:dyDescent="0.25">
      <c r="A370">
        <v>7507354</v>
      </c>
      <c r="B370" t="str">
        <f t="shared" si="50"/>
        <v>stacjonarny</v>
      </c>
      <c r="C370" s="1">
        <v>42922</v>
      </c>
      <c r="D370" s="2">
        <v>0.50700231481481484</v>
      </c>
      <c r="E370" s="2">
        <v>0.51186342592592593</v>
      </c>
      <c r="F370" s="2">
        <f t="shared" si="51"/>
        <v>4.8611111111110938E-3</v>
      </c>
      <c r="G370">
        <f t="shared" si="52"/>
        <v>0</v>
      </c>
      <c r="H370">
        <f t="shared" si="53"/>
        <v>7</v>
      </c>
      <c r="I370">
        <f t="shared" si="54"/>
        <v>0</v>
      </c>
      <c r="J370">
        <f t="shared" si="55"/>
        <v>420</v>
      </c>
      <c r="K370">
        <f t="shared" si="56"/>
        <v>7</v>
      </c>
      <c r="L370">
        <f t="shared" si="57"/>
        <v>98874</v>
      </c>
      <c r="M370">
        <f t="shared" si="58"/>
        <v>29283</v>
      </c>
      <c r="N370">
        <f t="shared" si="59"/>
        <v>176157</v>
      </c>
      <c r="O370">
        <f>IF(B370="zagraniczny",K370+O369,O369)</f>
        <v>191</v>
      </c>
    </row>
    <row r="371" spans="1:15" x14ac:dyDescent="0.25">
      <c r="A371">
        <v>8605742</v>
      </c>
      <c r="B371" t="str">
        <f t="shared" si="50"/>
        <v>stacjonarny</v>
      </c>
      <c r="C371" s="1">
        <v>42922</v>
      </c>
      <c r="D371" s="2">
        <v>0.5119097222222222</v>
      </c>
      <c r="E371" s="2">
        <v>0.52288194444444447</v>
      </c>
      <c r="F371" s="2">
        <f t="shared" si="51"/>
        <v>1.0972222222222272E-2</v>
      </c>
      <c r="G371">
        <f t="shared" si="52"/>
        <v>0</v>
      </c>
      <c r="H371">
        <f t="shared" si="53"/>
        <v>15</v>
      </c>
      <c r="I371">
        <f t="shared" si="54"/>
        <v>48</v>
      </c>
      <c r="J371">
        <f t="shared" si="55"/>
        <v>948</v>
      </c>
      <c r="K371">
        <f t="shared" si="56"/>
        <v>16</v>
      </c>
      <c r="L371">
        <f t="shared" si="57"/>
        <v>99822</v>
      </c>
      <c r="M371">
        <f t="shared" si="58"/>
        <v>29283</v>
      </c>
      <c r="N371">
        <f t="shared" si="59"/>
        <v>177105</v>
      </c>
      <c r="O371">
        <f>IF(B371="zagraniczny",K371+O370,O370)</f>
        <v>191</v>
      </c>
    </row>
    <row r="372" spans="1:15" x14ac:dyDescent="0.25">
      <c r="A372">
        <v>4681236</v>
      </c>
      <c r="B372" t="str">
        <f t="shared" si="50"/>
        <v>stacjonarny</v>
      </c>
      <c r="C372" s="1">
        <v>42922</v>
      </c>
      <c r="D372" s="2">
        <v>0.51452546296296298</v>
      </c>
      <c r="E372" s="2">
        <v>0.51570601851851849</v>
      </c>
      <c r="F372" s="2">
        <f t="shared" si="51"/>
        <v>1.1805555555555181E-3</v>
      </c>
      <c r="G372">
        <f t="shared" si="52"/>
        <v>0</v>
      </c>
      <c r="H372">
        <f t="shared" si="53"/>
        <v>1</v>
      </c>
      <c r="I372">
        <f t="shared" si="54"/>
        <v>42</v>
      </c>
      <c r="J372">
        <f t="shared" si="55"/>
        <v>102</v>
      </c>
      <c r="K372">
        <f t="shared" si="56"/>
        <v>2</v>
      </c>
      <c r="L372">
        <f t="shared" si="57"/>
        <v>99924</v>
      </c>
      <c r="M372">
        <f t="shared" si="58"/>
        <v>29283</v>
      </c>
      <c r="N372">
        <f t="shared" si="59"/>
        <v>177207</v>
      </c>
      <c r="O372">
        <f>IF(B372="zagraniczny",K372+O371,O371)</f>
        <v>191</v>
      </c>
    </row>
    <row r="373" spans="1:15" x14ac:dyDescent="0.25">
      <c r="A373">
        <v>3590468</v>
      </c>
      <c r="B373" t="str">
        <f t="shared" si="50"/>
        <v>stacjonarny</v>
      </c>
      <c r="C373" s="1">
        <v>42922</v>
      </c>
      <c r="D373" s="2">
        <v>0.51556712962962958</v>
      </c>
      <c r="E373" s="2">
        <v>0.52572916666666669</v>
      </c>
      <c r="F373" s="2">
        <f t="shared" si="51"/>
        <v>1.0162037037037108E-2</v>
      </c>
      <c r="G373">
        <f t="shared" si="52"/>
        <v>0</v>
      </c>
      <c r="H373">
        <f t="shared" si="53"/>
        <v>14</v>
      </c>
      <c r="I373">
        <f t="shared" si="54"/>
        <v>38</v>
      </c>
      <c r="J373">
        <f t="shared" si="55"/>
        <v>878</v>
      </c>
      <c r="K373">
        <f t="shared" si="56"/>
        <v>15</v>
      </c>
      <c r="L373">
        <f t="shared" si="57"/>
        <v>100802</v>
      </c>
      <c r="M373">
        <f t="shared" si="58"/>
        <v>29283</v>
      </c>
      <c r="N373">
        <f t="shared" si="59"/>
        <v>178085</v>
      </c>
      <c r="O373">
        <f>IF(B373="zagraniczny",K373+O372,O372)</f>
        <v>191</v>
      </c>
    </row>
    <row r="374" spans="1:15" x14ac:dyDescent="0.25">
      <c r="A374">
        <v>9878283</v>
      </c>
      <c r="B374" t="str">
        <f t="shared" si="50"/>
        <v>stacjonarny</v>
      </c>
      <c r="C374" s="1">
        <v>42922</v>
      </c>
      <c r="D374" s="2">
        <v>0.51858796296296295</v>
      </c>
      <c r="E374" s="2">
        <v>0.52776620370370375</v>
      </c>
      <c r="F374" s="2">
        <f t="shared" si="51"/>
        <v>9.1782407407408062E-3</v>
      </c>
      <c r="G374">
        <f t="shared" si="52"/>
        <v>0</v>
      </c>
      <c r="H374">
        <f t="shared" si="53"/>
        <v>13</v>
      </c>
      <c r="I374">
        <f t="shared" si="54"/>
        <v>13</v>
      </c>
      <c r="J374">
        <f t="shared" si="55"/>
        <v>793</v>
      </c>
      <c r="K374">
        <f t="shared" si="56"/>
        <v>14</v>
      </c>
      <c r="L374">
        <f t="shared" si="57"/>
        <v>101595</v>
      </c>
      <c r="M374">
        <f t="shared" si="58"/>
        <v>29283</v>
      </c>
      <c r="N374">
        <f t="shared" si="59"/>
        <v>178878</v>
      </c>
      <c r="O374">
        <f>IF(B374="zagraniczny",K374+O373,O373)</f>
        <v>191</v>
      </c>
    </row>
    <row r="375" spans="1:15" x14ac:dyDescent="0.25">
      <c r="A375">
        <v>5991516</v>
      </c>
      <c r="B375" t="str">
        <f t="shared" si="50"/>
        <v>stacjonarny</v>
      </c>
      <c r="C375" s="1">
        <v>42922</v>
      </c>
      <c r="D375" s="2">
        <v>0.52217592592592588</v>
      </c>
      <c r="E375" s="2">
        <v>0.53173611111111108</v>
      </c>
      <c r="F375" s="2">
        <f t="shared" si="51"/>
        <v>9.5601851851851993E-3</v>
      </c>
      <c r="G375">
        <f t="shared" si="52"/>
        <v>0</v>
      </c>
      <c r="H375">
        <f t="shared" si="53"/>
        <v>13</v>
      </c>
      <c r="I375">
        <f t="shared" si="54"/>
        <v>46</v>
      </c>
      <c r="J375">
        <f t="shared" si="55"/>
        <v>826</v>
      </c>
      <c r="K375">
        <f t="shared" si="56"/>
        <v>14</v>
      </c>
      <c r="L375">
        <f t="shared" si="57"/>
        <v>102421</v>
      </c>
      <c r="M375">
        <f t="shared" si="58"/>
        <v>29283</v>
      </c>
      <c r="N375">
        <f t="shared" si="59"/>
        <v>179704</v>
      </c>
      <c r="O375">
        <f>IF(B375="zagraniczny",K375+O374,O374)</f>
        <v>191</v>
      </c>
    </row>
    <row r="376" spans="1:15" x14ac:dyDescent="0.25">
      <c r="A376">
        <v>1240369</v>
      </c>
      <c r="B376" t="str">
        <f t="shared" si="50"/>
        <v>stacjonarny</v>
      </c>
      <c r="C376" s="1">
        <v>42922</v>
      </c>
      <c r="D376" s="2">
        <v>0.52767361111111111</v>
      </c>
      <c r="E376" s="2">
        <v>0.52850694444444446</v>
      </c>
      <c r="F376" s="2">
        <f t="shared" si="51"/>
        <v>8.3333333333335258E-4</v>
      </c>
      <c r="G376">
        <f t="shared" si="52"/>
        <v>0</v>
      </c>
      <c r="H376">
        <f t="shared" si="53"/>
        <v>1</v>
      </c>
      <c r="I376">
        <f t="shared" si="54"/>
        <v>12</v>
      </c>
      <c r="J376">
        <f t="shared" si="55"/>
        <v>72</v>
      </c>
      <c r="K376">
        <f t="shared" si="56"/>
        <v>2</v>
      </c>
      <c r="L376">
        <f t="shared" si="57"/>
        <v>102493</v>
      </c>
      <c r="M376">
        <f t="shared" si="58"/>
        <v>29283</v>
      </c>
      <c r="N376">
        <f t="shared" si="59"/>
        <v>179776</v>
      </c>
      <c r="O376">
        <f>IF(B376="zagraniczny",K376+O375,O375)</f>
        <v>191</v>
      </c>
    </row>
    <row r="377" spans="1:15" x14ac:dyDescent="0.25">
      <c r="A377">
        <v>25133293</v>
      </c>
      <c r="B377" t="str">
        <f t="shared" si="50"/>
        <v>komorkowy</v>
      </c>
      <c r="C377" s="1">
        <v>42922</v>
      </c>
      <c r="D377" s="2">
        <v>0.528900462962963</v>
      </c>
      <c r="E377" s="2">
        <v>0.53740740740740744</v>
      </c>
      <c r="F377" s="2">
        <f t="shared" si="51"/>
        <v>8.506944444444442E-3</v>
      </c>
      <c r="G377">
        <f t="shared" si="52"/>
        <v>0</v>
      </c>
      <c r="H377">
        <f t="shared" si="53"/>
        <v>12</v>
      </c>
      <c r="I377">
        <f t="shared" si="54"/>
        <v>15</v>
      </c>
      <c r="J377">
        <f t="shared" si="55"/>
        <v>735</v>
      </c>
      <c r="K377">
        <f t="shared" si="56"/>
        <v>13</v>
      </c>
      <c r="L377">
        <f t="shared" si="57"/>
        <v>102493</v>
      </c>
      <c r="M377">
        <f t="shared" si="58"/>
        <v>30018</v>
      </c>
      <c r="N377">
        <f t="shared" si="59"/>
        <v>180511</v>
      </c>
      <c r="O377">
        <f>IF(B377="zagraniczny",K377+O376,O376)</f>
        <v>191</v>
      </c>
    </row>
    <row r="378" spans="1:15" x14ac:dyDescent="0.25">
      <c r="A378">
        <v>5036422</v>
      </c>
      <c r="B378" t="str">
        <f t="shared" si="50"/>
        <v>stacjonarny</v>
      </c>
      <c r="C378" s="1">
        <v>42922</v>
      </c>
      <c r="D378" s="2">
        <v>0.52986111111111112</v>
      </c>
      <c r="E378" s="2">
        <v>0.53047453703703706</v>
      </c>
      <c r="F378" s="2">
        <f t="shared" si="51"/>
        <v>6.134259259259478E-4</v>
      </c>
      <c r="G378">
        <f t="shared" si="52"/>
        <v>0</v>
      </c>
      <c r="H378">
        <f t="shared" si="53"/>
        <v>0</v>
      </c>
      <c r="I378">
        <f t="shared" si="54"/>
        <v>53</v>
      </c>
      <c r="J378">
        <f t="shared" si="55"/>
        <v>53</v>
      </c>
      <c r="K378">
        <f t="shared" si="56"/>
        <v>1</v>
      </c>
      <c r="L378">
        <f t="shared" si="57"/>
        <v>102546</v>
      </c>
      <c r="M378">
        <f t="shared" si="58"/>
        <v>30018</v>
      </c>
      <c r="N378">
        <f t="shared" si="59"/>
        <v>180564</v>
      </c>
      <c r="O378">
        <f>IF(B378="zagraniczny",K378+O377,O377)</f>
        <v>191</v>
      </c>
    </row>
    <row r="379" spans="1:15" x14ac:dyDescent="0.25">
      <c r="A379">
        <v>4283724</v>
      </c>
      <c r="B379" t="str">
        <f t="shared" si="50"/>
        <v>stacjonarny</v>
      </c>
      <c r="C379" s="1">
        <v>42922</v>
      </c>
      <c r="D379" s="2">
        <v>0.53134259259259264</v>
      </c>
      <c r="E379" s="2">
        <v>0.53738425925925926</v>
      </c>
      <c r="F379" s="2">
        <f t="shared" si="51"/>
        <v>6.0416666666666119E-3</v>
      </c>
      <c r="G379">
        <f t="shared" si="52"/>
        <v>0</v>
      </c>
      <c r="H379">
        <f t="shared" si="53"/>
        <v>8</v>
      </c>
      <c r="I379">
        <f t="shared" si="54"/>
        <v>42</v>
      </c>
      <c r="J379">
        <f t="shared" si="55"/>
        <v>522</v>
      </c>
      <c r="K379">
        <f t="shared" si="56"/>
        <v>9</v>
      </c>
      <c r="L379">
        <f t="shared" si="57"/>
        <v>103068</v>
      </c>
      <c r="M379">
        <f t="shared" si="58"/>
        <v>30018</v>
      </c>
      <c r="N379">
        <f t="shared" si="59"/>
        <v>181086</v>
      </c>
      <c r="O379">
        <f>IF(B379="zagraniczny",K379+O378,O378)</f>
        <v>191</v>
      </c>
    </row>
    <row r="380" spans="1:15" x14ac:dyDescent="0.25">
      <c r="A380">
        <v>5856822</v>
      </c>
      <c r="B380" t="str">
        <f t="shared" si="50"/>
        <v>stacjonarny</v>
      </c>
      <c r="C380" s="1">
        <v>42922</v>
      </c>
      <c r="D380" s="2">
        <v>0.533599537037037</v>
      </c>
      <c r="E380" s="2">
        <v>0.53469907407407402</v>
      </c>
      <c r="F380" s="2">
        <f t="shared" si="51"/>
        <v>1.0995370370370239E-3</v>
      </c>
      <c r="G380">
        <f t="shared" si="52"/>
        <v>0</v>
      </c>
      <c r="H380">
        <f t="shared" si="53"/>
        <v>1</v>
      </c>
      <c r="I380">
        <f t="shared" si="54"/>
        <v>35</v>
      </c>
      <c r="J380">
        <f t="shared" si="55"/>
        <v>95</v>
      </c>
      <c r="K380">
        <f t="shared" si="56"/>
        <v>2</v>
      </c>
      <c r="L380">
        <f t="shared" si="57"/>
        <v>103163</v>
      </c>
      <c r="M380">
        <f t="shared" si="58"/>
        <v>30018</v>
      </c>
      <c r="N380">
        <f t="shared" si="59"/>
        <v>181181</v>
      </c>
      <c r="O380">
        <f>IF(B380="zagraniczny",K380+O379,O379)</f>
        <v>191</v>
      </c>
    </row>
    <row r="381" spans="1:15" x14ac:dyDescent="0.25">
      <c r="A381">
        <v>7880396</v>
      </c>
      <c r="B381" t="str">
        <f t="shared" si="50"/>
        <v>stacjonarny</v>
      </c>
      <c r="C381" s="1">
        <v>42922</v>
      </c>
      <c r="D381" s="2">
        <v>0.53796296296296298</v>
      </c>
      <c r="E381" s="2">
        <v>0.54479166666666667</v>
      </c>
      <c r="F381" s="2">
        <f t="shared" si="51"/>
        <v>6.8287037037036979E-3</v>
      </c>
      <c r="G381">
        <f t="shared" si="52"/>
        <v>0</v>
      </c>
      <c r="H381">
        <f t="shared" si="53"/>
        <v>9</v>
      </c>
      <c r="I381">
        <f t="shared" si="54"/>
        <v>50</v>
      </c>
      <c r="J381">
        <f t="shared" si="55"/>
        <v>590</v>
      </c>
      <c r="K381">
        <f t="shared" si="56"/>
        <v>10</v>
      </c>
      <c r="L381">
        <f t="shared" si="57"/>
        <v>103753</v>
      </c>
      <c r="M381">
        <f t="shared" si="58"/>
        <v>30018</v>
      </c>
      <c r="N381">
        <f t="shared" si="59"/>
        <v>181771</v>
      </c>
      <c r="O381">
        <f>IF(B381="zagraniczny",K381+O380,O380)</f>
        <v>191</v>
      </c>
    </row>
    <row r="382" spans="1:15" x14ac:dyDescent="0.25">
      <c r="A382">
        <v>2201085</v>
      </c>
      <c r="B382" t="str">
        <f t="shared" si="50"/>
        <v>stacjonarny</v>
      </c>
      <c r="C382" s="1">
        <v>42922</v>
      </c>
      <c r="D382" s="2">
        <v>0.54072916666666671</v>
      </c>
      <c r="E382" s="2">
        <v>0.544525462962963</v>
      </c>
      <c r="F382" s="2">
        <f t="shared" si="51"/>
        <v>3.7962962962962976E-3</v>
      </c>
      <c r="G382">
        <f t="shared" si="52"/>
        <v>0</v>
      </c>
      <c r="H382">
        <f t="shared" si="53"/>
        <v>5</v>
      </c>
      <c r="I382">
        <f t="shared" si="54"/>
        <v>28</v>
      </c>
      <c r="J382">
        <f t="shared" si="55"/>
        <v>328</v>
      </c>
      <c r="K382">
        <f t="shared" si="56"/>
        <v>6</v>
      </c>
      <c r="L382">
        <f t="shared" si="57"/>
        <v>104081</v>
      </c>
      <c r="M382">
        <f t="shared" si="58"/>
        <v>30018</v>
      </c>
      <c r="N382">
        <f t="shared" si="59"/>
        <v>182099</v>
      </c>
      <c r="O382">
        <f>IF(B382="zagraniczny",K382+O381,O381)</f>
        <v>191</v>
      </c>
    </row>
    <row r="383" spans="1:15" x14ac:dyDescent="0.25">
      <c r="A383">
        <v>30893038</v>
      </c>
      <c r="B383" t="str">
        <f t="shared" si="50"/>
        <v>komorkowy</v>
      </c>
      <c r="C383" s="1">
        <v>42922</v>
      </c>
      <c r="D383" s="2">
        <v>0.54082175925925924</v>
      </c>
      <c r="E383" s="2">
        <v>0.54995370370370367</v>
      </c>
      <c r="F383" s="2">
        <f t="shared" si="51"/>
        <v>9.1319444444444287E-3</v>
      </c>
      <c r="G383">
        <f t="shared" si="52"/>
        <v>0</v>
      </c>
      <c r="H383">
        <f t="shared" si="53"/>
        <v>13</v>
      </c>
      <c r="I383">
        <f t="shared" si="54"/>
        <v>9</v>
      </c>
      <c r="J383">
        <f t="shared" si="55"/>
        <v>789</v>
      </c>
      <c r="K383">
        <f t="shared" si="56"/>
        <v>14</v>
      </c>
      <c r="L383">
        <f t="shared" si="57"/>
        <v>104081</v>
      </c>
      <c r="M383">
        <f t="shared" si="58"/>
        <v>30807</v>
      </c>
      <c r="N383">
        <f t="shared" si="59"/>
        <v>182888</v>
      </c>
      <c r="O383">
        <f>IF(B383="zagraniczny",K383+O382,O382)</f>
        <v>191</v>
      </c>
    </row>
    <row r="384" spans="1:15" x14ac:dyDescent="0.25">
      <c r="A384">
        <v>9319894</v>
      </c>
      <c r="B384" t="str">
        <f t="shared" si="50"/>
        <v>stacjonarny</v>
      </c>
      <c r="C384" s="1">
        <v>42922</v>
      </c>
      <c r="D384" s="2">
        <v>0.54207175925925921</v>
      </c>
      <c r="E384" s="2">
        <v>0.54953703703703705</v>
      </c>
      <c r="F384" s="2">
        <f t="shared" si="51"/>
        <v>7.4652777777778345E-3</v>
      </c>
      <c r="G384">
        <f t="shared" si="52"/>
        <v>0</v>
      </c>
      <c r="H384">
        <f t="shared" si="53"/>
        <v>10</v>
      </c>
      <c r="I384">
        <f t="shared" si="54"/>
        <v>45</v>
      </c>
      <c r="J384">
        <f t="shared" si="55"/>
        <v>645</v>
      </c>
      <c r="K384">
        <f t="shared" si="56"/>
        <v>11</v>
      </c>
      <c r="L384">
        <f t="shared" si="57"/>
        <v>104726</v>
      </c>
      <c r="M384">
        <f t="shared" si="58"/>
        <v>30807</v>
      </c>
      <c r="N384">
        <f t="shared" si="59"/>
        <v>183533</v>
      </c>
      <c r="O384">
        <f>IF(B384="zagraniczny",K384+O383,O383)</f>
        <v>191</v>
      </c>
    </row>
    <row r="385" spans="1:15" x14ac:dyDescent="0.25">
      <c r="A385">
        <v>3211876</v>
      </c>
      <c r="B385" t="str">
        <f t="shared" si="50"/>
        <v>stacjonarny</v>
      </c>
      <c r="C385" s="1">
        <v>42922</v>
      </c>
      <c r="D385" s="2">
        <v>0.54693287037037042</v>
      </c>
      <c r="E385" s="2">
        <v>0.54781250000000004</v>
      </c>
      <c r="F385" s="2">
        <f t="shared" si="51"/>
        <v>8.796296296296191E-4</v>
      </c>
      <c r="G385">
        <f t="shared" si="52"/>
        <v>0</v>
      </c>
      <c r="H385">
        <f t="shared" si="53"/>
        <v>1</v>
      </c>
      <c r="I385">
        <f t="shared" si="54"/>
        <v>16</v>
      </c>
      <c r="J385">
        <f t="shared" si="55"/>
        <v>76</v>
      </c>
      <c r="K385">
        <f t="shared" si="56"/>
        <v>2</v>
      </c>
      <c r="L385">
        <f t="shared" si="57"/>
        <v>104802</v>
      </c>
      <c r="M385">
        <f t="shared" si="58"/>
        <v>30807</v>
      </c>
      <c r="N385">
        <f t="shared" si="59"/>
        <v>183609</v>
      </c>
      <c r="O385">
        <f>IF(B385="zagraniczny",K385+O384,O384)</f>
        <v>191</v>
      </c>
    </row>
    <row r="386" spans="1:15" x14ac:dyDescent="0.25">
      <c r="A386">
        <v>4736016</v>
      </c>
      <c r="B386" t="str">
        <f t="shared" si="50"/>
        <v>stacjonarny</v>
      </c>
      <c r="C386" s="1">
        <v>42922</v>
      </c>
      <c r="D386" s="2">
        <v>0.55115740740740737</v>
      </c>
      <c r="E386" s="2">
        <v>0.55248842592592595</v>
      </c>
      <c r="F386" s="2">
        <f t="shared" si="51"/>
        <v>1.3310185185185786E-3</v>
      </c>
      <c r="G386">
        <f t="shared" si="52"/>
        <v>0</v>
      </c>
      <c r="H386">
        <f t="shared" si="53"/>
        <v>1</v>
      </c>
      <c r="I386">
        <f t="shared" si="54"/>
        <v>55</v>
      </c>
      <c r="J386">
        <f t="shared" si="55"/>
        <v>115</v>
      </c>
      <c r="K386">
        <f t="shared" si="56"/>
        <v>2</v>
      </c>
      <c r="L386">
        <f t="shared" si="57"/>
        <v>104917</v>
      </c>
      <c r="M386">
        <f t="shared" si="58"/>
        <v>30807</v>
      </c>
      <c r="N386">
        <f t="shared" si="59"/>
        <v>183724</v>
      </c>
      <c r="O386">
        <f>IF(B386="zagraniczny",K386+O385,O385)</f>
        <v>191</v>
      </c>
    </row>
    <row r="387" spans="1:15" x14ac:dyDescent="0.25">
      <c r="A387">
        <v>8063487</v>
      </c>
      <c r="B387" t="str">
        <f t="shared" ref="B387:B450" si="60">IF(LEN(A387)=7,"stacjonarny",IF(LEN(A387)=8,"komorkowy","zagraniczny"))</f>
        <v>stacjonarny</v>
      </c>
      <c r="C387" s="1">
        <v>42922</v>
      </c>
      <c r="D387" s="2">
        <v>0.55269675925925921</v>
      </c>
      <c r="E387" s="2">
        <v>0.56017361111111108</v>
      </c>
      <c r="F387" s="2">
        <f t="shared" ref="F387:F450" si="61">E387-D387</f>
        <v>7.4768518518518734E-3</v>
      </c>
      <c r="G387">
        <f t="shared" ref="G387:G450" si="62">HOUR(F387)</f>
        <v>0</v>
      </c>
      <c r="H387">
        <f t="shared" ref="H387:H450" si="63">MINUTE(F387)</f>
        <v>10</v>
      </c>
      <c r="I387">
        <f t="shared" ref="I387:I450" si="64">SECOND(F387)</f>
        <v>46</v>
      </c>
      <c r="J387">
        <f t="shared" ref="J387:J450" si="65">H387*60+I387</f>
        <v>646</v>
      </c>
      <c r="K387">
        <f t="shared" ref="K387:K450" si="66">IF(I387&gt;0,G387*60+H387+1,H387+G387*60)</f>
        <v>11</v>
      </c>
      <c r="L387">
        <f t="shared" si="57"/>
        <v>105563</v>
      </c>
      <c r="M387">
        <f t="shared" si="58"/>
        <v>30807</v>
      </c>
      <c r="N387">
        <f t="shared" si="59"/>
        <v>184370</v>
      </c>
      <c r="O387">
        <f>IF(B387="zagraniczny",K387+O386,O386)</f>
        <v>191</v>
      </c>
    </row>
    <row r="388" spans="1:15" x14ac:dyDescent="0.25">
      <c r="A388">
        <v>1319121</v>
      </c>
      <c r="B388" t="str">
        <f t="shared" si="60"/>
        <v>stacjonarny</v>
      </c>
      <c r="C388" s="1">
        <v>42922</v>
      </c>
      <c r="D388" s="2">
        <v>0.55652777777777773</v>
      </c>
      <c r="E388" s="2">
        <v>0.55682870370370374</v>
      </c>
      <c r="F388" s="2">
        <f t="shared" si="61"/>
        <v>3.0092592592600997E-4</v>
      </c>
      <c r="G388">
        <f t="shared" si="62"/>
        <v>0</v>
      </c>
      <c r="H388">
        <f t="shared" si="63"/>
        <v>0</v>
      </c>
      <c r="I388">
        <f t="shared" si="64"/>
        <v>26</v>
      </c>
      <c r="J388">
        <f t="shared" si="65"/>
        <v>26</v>
      </c>
      <c r="K388">
        <f t="shared" si="66"/>
        <v>1</v>
      </c>
      <c r="L388">
        <f t="shared" ref="L388:L451" si="67">IF(B388="stacjonarny",$J388+L387,L387)</f>
        <v>105589</v>
      </c>
      <c r="M388">
        <f t="shared" ref="M388:M451" si="68">IF(B388="komorkowy",$J388+M387,M387)</f>
        <v>30807</v>
      </c>
      <c r="N388">
        <f t="shared" ref="N388:N451" si="69">IF(OR(B388="stacjonarny",B388="komorkowy"),J388+N387,N387)</f>
        <v>184396</v>
      </c>
      <c r="O388">
        <f>IF(B388="zagraniczny",K388+O387,O387)</f>
        <v>191</v>
      </c>
    </row>
    <row r="389" spans="1:15" x14ac:dyDescent="0.25">
      <c r="A389">
        <v>5026277</v>
      </c>
      <c r="B389" t="str">
        <f t="shared" si="60"/>
        <v>stacjonarny</v>
      </c>
      <c r="C389" s="1">
        <v>42922</v>
      </c>
      <c r="D389" s="2">
        <v>0.55969907407407404</v>
      </c>
      <c r="E389" s="2">
        <v>0.5655324074074074</v>
      </c>
      <c r="F389" s="2">
        <f t="shared" si="61"/>
        <v>5.833333333333357E-3</v>
      </c>
      <c r="G389">
        <f t="shared" si="62"/>
        <v>0</v>
      </c>
      <c r="H389">
        <f t="shared" si="63"/>
        <v>8</v>
      </c>
      <c r="I389">
        <f t="shared" si="64"/>
        <v>24</v>
      </c>
      <c r="J389">
        <f t="shared" si="65"/>
        <v>504</v>
      </c>
      <c r="K389">
        <f t="shared" si="66"/>
        <v>9</v>
      </c>
      <c r="L389">
        <f t="shared" si="67"/>
        <v>106093</v>
      </c>
      <c r="M389">
        <f t="shared" si="68"/>
        <v>30807</v>
      </c>
      <c r="N389">
        <f t="shared" si="69"/>
        <v>184900</v>
      </c>
      <c r="O389">
        <f>IF(B389="zagraniczny",K389+O388,O388)</f>
        <v>191</v>
      </c>
    </row>
    <row r="390" spans="1:15" x14ac:dyDescent="0.25">
      <c r="A390">
        <v>8768896</v>
      </c>
      <c r="B390" t="str">
        <f t="shared" si="60"/>
        <v>stacjonarny</v>
      </c>
      <c r="C390" s="1">
        <v>42922</v>
      </c>
      <c r="D390" s="2">
        <v>0.55982638888888892</v>
      </c>
      <c r="E390" s="2">
        <v>0.57039351851851849</v>
      </c>
      <c r="F390" s="2">
        <f t="shared" si="61"/>
        <v>1.0567129629629579E-2</v>
      </c>
      <c r="G390">
        <f t="shared" si="62"/>
        <v>0</v>
      </c>
      <c r="H390">
        <f t="shared" si="63"/>
        <v>15</v>
      </c>
      <c r="I390">
        <f t="shared" si="64"/>
        <v>13</v>
      </c>
      <c r="J390">
        <f t="shared" si="65"/>
        <v>913</v>
      </c>
      <c r="K390">
        <f t="shared" si="66"/>
        <v>16</v>
      </c>
      <c r="L390">
        <f t="shared" si="67"/>
        <v>107006</v>
      </c>
      <c r="M390">
        <f t="shared" si="68"/>
        <v>30807</v>
      </c>
      <c r="N390">
        <f t="shared" si="69"/>
        <v>185813</v>
      </c>
      <c r="O390">
        <f>IF(B390="zagraniczny",K390+O389,O389)</f>
        <v>191</v>
      </c>
    </row>
    <row r="391" spans="1:15" x14ac:dyDescent="0.25">
      <c r="A391">
        <v>48661666</v>
      </c>
      <c r="B391" t="str">
        <f t="shared" si="60"/>
        <v>komorkowy</v>
      </c>
      <c r="C391" s="1">
        <v>42922</v>
      </c>
      <c r="D391" s="2">
        <v>0.56123842592592588</v>
      </c>
      <c r="E391" s="2">
        <v>0.56376157407407412</v>
      </c>
      <c r="F391" s="2">
        <f t="shared" si="61"/>
        <v>2.5231481481482465E-3</v>
      </c>
      <c r="G391">
        <f t="shared" si="62"/>
        <v>0</v>
      </c>
      <c r="H391">
        <f t="shared" si="63"/>
        <v>3</v>
      </c>
      <c r="I391">
        <f t="shared" si="64"/>
        <v>38</v>
      </c>
      <c r="J391">
        <f t="shared" si="65"/>
        <v>218</v>
      </c>
      <c r="K391">
        <f t="shared" si="66"/>
        <v>4</v>
      </c>
      <c r="L391">
        <f t="shared" si="67"/>
        <v>107006</v>
      </c>
      <c r="M391">
        <f t="shared" si="68"/>
        <v>31025</v>
      </c>
      <c r="N391">
        <f t="shared" si="69"/>
        <v>186031</v>
      </c>
      <c r="O391">
        <f>IF(B391="zagraniczny",K391+O390,O390)</f>
        <v>191</v>
      </c>
    </row>
    <row r="392" spans="1:15" x14ac:dyDescent="0.25">
      <c r="A392">
        <v>9304830</v>
      </c>
      <c r="B392" t="str">
        <f t="shared" si="60"/>
        <v>stacjonarny</v>
      </c>
      <c r="C392" s="1">
        <v>42922</v>
      </c>
      <c r="D392" s="2">
        <v>0.56671296296296292</v>
      </c>
      <c r="E392" s="2">
        <v>0.56832175925925921</v>
      </c>
      <c r="F392" s="2">
        <f t="shared" si="61"/>
        <v>1.6087962962962887E-3</v>
      </c>
      <c r="G392">
        <f t="shared" si="62"/>
        <v>0</v>
      </c>
      <c r="H392">
        <f t="shared" si="63"/>
        <v>2</v>
      </c>
      <c r="I392">
        <f t="shared" si="64"/>
        <v>19</v>
      </c>
      <c r="J392">
        <f t="shared" si="65"/>
        <v>139</v>
      </c>
      <c r="K392">
        <f t="shared" si="66"/>
        <v>3</v>
      </c>
      <c r="L392">
        <f t="shared" si="67"/>
        <v>107145</v>
      </c>
      <c r="M392">
        <f t="shared" si="68"/>
        <v>31025</v>
      </c>
      <c r="N392">
        <f t="shared" si="69"/>
        <v>186170</v>
      </c>
      <c r="O392">
        <f>IF(B392="zagraniczny",K392+O391,O391)</f>
        <v>191</v>
      </c>
    </row>
    <row r="393" spans="1:15" x14ac:dyDescent="0.25">
      <c r="A393">
        <v>3040267</v>
      </c>
      <c r="B393" t="str">
        <f t="shared" si="60"/>
        <v>stacjonarny</v>
      </c>
      <c r="C393" s="1">
        <v>42922</v>
      </c>
      <c r="D393" s="2">
        <v>0.56738425925925928</v>
      </c>
      <c r="E393" s="2">
        <v>0.578587962962963</v>
      </c>
      <c r="F393" s="2">
        <f t="shared" si="61"/>
        <v>1.1203703703703716E-2</v>
      </c>
      <c r="G393">
        <f t="shared" si="62"/>
        <v>0</v>
      </c>
      <c r="H393">
        <f t="shared" si="63"/>
        <v>16</v>
      </c>
      <c r="I393">
        <f t="shared" si="64"/>
        <v>8</v>
      </c>
      <c r="J393">
        <f t="shared" si="65"/>
        <v>968</v>
      </c>
      <c r="K393">
        <f t="shared" si="66"/>
        <v>17</v>
      </c>
      <c r="L393">
        <f t="shared" si="67"/>
        <v>108113</v>
      </c>
      <c r="M393">
        <f t="shared" si="68"/>
        <v>31025</v>
      </c>
      <c r="N393">
        <f t="shared" si="69"/>
        <v>187138</v>
      </c>
      <c r="O393">
        <f>IF(B393="zagraniczny",K393+O392,O392)</f>
        <v>191</v>
      </c>
    </row>
    <row r="394" spans="1:15" x14ac:dyDescent="0.25">
      <c r="A394">
        <v>8405954</v>
      </c>
      <c r="B394" t="str">
        <f t="shared" si="60"/>
        <v>stacjonarny</v>
      </c>
      <c r="C394" s="1">
        <v>42922</v>
      </c>
      <c r="D394" s="2">
        <v>0.57164351851851847</v>
      </c>
      <c r="E394" s="2">
        <v>0.57528935185185182</v>
      </c>
      <c r="F394" s="2">
        <f t="shared" si="61"/>
        <v>3.6458333333333481E-3</v>
      </c>
      <c r="G394">
        <f t="shared" si="62"/>
        <v>0</v>
      </c>
      <c r="H394">
        <f t="shared" si="63"/>
        <v>5</v>
      </c>
      <c r="I394">
        <f t="shared" si="64"/>
        <v>15</v>
      </c>
      <c r="J394">
        <f t="shared" si="65"/>
        <v>315</v>
      </c>
      <c r="K394">
        <f t="shared" si="66"/>
        <v>6</v>
      </c>
      <c r="L394">
        <f t="shared" si="67"/>
        <v>108428</v>
      </c>
      <c r="M394">
        <f t="shared" si="68"/>
        <v>31025</v>
      </c>
      <c r="N394">
        <f t="shared" si="69"/>
        <v>187453</v>
      </c>
      <c r="O394">
        <f>IF(B394="zagraniczny",K394+O393,O393)</f>
        <v>191</v>
      </c>
    </row>
    <row r="395" spans="1:15" x14ac:dyDescent="0.25">
      <c r="A395">
        <v>75873682</v>
      </c>
      <c r="B395" t="str">
        <f t="shared" si="60"/>
        <v>komorkowy</v>
      </c>
      <c r="C395" s="1">
        <v>42922</v>
      </c>
      <c r="D395" s="2">
        <v>0.57399305555555558</v>
      </c>
      <c r="E395" s="2">
        <v>0.58403935185185185</v>
      </c>
      <c r="F395" s="2">
        <f t="shared" si="61"/>
        <v>1.0046296296296275E-2</v>
      </c>
      <c r="G395">
        <f t="shared" si="62"/>
        <v>0</v>
      </c>
      <c r="H395">
        <f t="shared" si="63"/>
        <v>14</v>
      </c>
      <c r="I395">
        <f t="shared" si="64"/>
        <v>28</v>
      </c>
      <c r="J395">
        <f t="shared" si="65"/>
        <v>868</v>
      </c>
      <c r="K395">
        <f t="shared" si="66"/>
        <v>15</v>
      </c>
      <c r="L395">
        <f t="shared" si="67"/>
        <v>108428</v>
      </c>
      <c r="M395">
        <f t="shared" si="68"/>
        <v>31893</v>
      </c>
      <c r="N395">
        <f t="shared" si="69"/>
        <v>188321</v>
      </c>
      <c r="O395">
        <f>IF(B395="zagraniczny",K395+O394,O394)</f>
        <v>191</v>
      </c>
    </row>
    <row r="396" spans="1:15" x14ac:dyDescent="0.25">
      <c r="A396">
        <v>5984039</v>
      </c>
      <c r="B396" t="str">
        <f t="shared" si="60"/>
        <v>stacjonarny</v>
      </c>
      <c r="C396" s="1">
        <v>42922</v>
      </c>
      <c r="D396" s="2">
        <v>0.57586805555555554</v>
      </c>
      <c r="E396" s="2">
        <v>0.57981481481481478</v>
      </c>
      <c r="F396" s="2">
        <f t="shared" si="61"/>
        <v>3.9467592592592471E-3</v>
      </c>
      <c r="G396">
        <f t="shared" si="62"/>
        <v>0</v>
      </c>
      <c r="H396">
        <f t="shared" si="63"/>
        <v>5</v>
      </c>
      <c r="I396">
        <f t="shared" si="64"/>
        <v>41</v>
      </c>
      <c r="J396">
        <f t="shared" si="65"/>
        <v>341</v>
      </c>
      <c r="K396">
        <f t="shared" si="66"/>
        <v>6</v>
      </c>
      <c r="L396">
        <f t="shared" si="67"/>
        <v>108769</v>
      </c>
      <c r="M396">
        <f t="shared" si="68"/>
        <v>31893</v>
      </c>
      <c r="N396">
        <f t="shared" si="69"/>
        <v>188662</v>
      </c>
      <c r="O396">
        <f>IF(B396="zagraniczny",K396+O395,O395)</f>
        <v>191</v>
      </c>
    </row>
    <row r="397" spans="1:15" x14ac:dyDescent="0.25">
      <c r="A397">
        <v>9807682</v>
      </c>
      <c r="B397" t="str">
        <f t="shared" si="60"/>
        <v>stacjonarny</v>
      </c>
      <c r="C397" s="1">
        <v>42922</v>
      </c>
      <c r="D397" s="2">
        <v>0.57592592592592595</v>
      </c>
      <c r="E397" s="2">
        <v>0.57924768518518521</v>
      </c>
      <c r="F397" s="2">
        <f t="shared" si="61"/>
        <v>3.3217592592592604E-3</v>
      </c>
      <c r="G397">
        <f t="shared" si="62"/>
        <v>0</v>
      </c>
      <c r="H397">
        <f t="shared" si="63"/>
        <v>4</v>
      </c>
      <c r="I397">
        <f t="shared" si="64"/>
        <v>47</v>
      </c>
      <c r="J397">
        <f t="shared" si="65"/>
        <v>287</v>
      </c>
      <c r="K397">
        <f t="shared" si="66"/>
        <v>5</v>
      </c>
      <c r="L397">
        <f t="shared" si="67"/>
        <v>109056</v>
      </c>
      <c r="M397">
        <f t="shared" si="68"/>
        <v>31893</v>
      </c>
      <c r="N397">
        <f t="shared" si="69"/>
        <v>188949</v>
      </c>
      <c r="O397">
        <f>IF(B397="zagraniczny",K397+O396,O396)</f>
        <v>191</v>
      </c>
    </row>
    <row r="398" spans="1:15" x14ac:dyDescent="0.25">
      <c r="A398">
        <v>3029994</v>
      </c>
      <c r="B398" t="str">
        <f t="shared" si="60"/>
        <v>stacjonarny</v>
      </c>
      <c r="C398" s="1">
        <v>42922</v>
      </c>
      <c r="D398" s="2">
        <v>0.57737268518518514</v>
      </c>
      <c r="E398" s="2">
        <v>0.58391203703703709</v>
      </c>
      <c r="F398" s="2">
        <f t="shared" si="61"/>
        <v>6.5393518518519489E-3</v>
      </c>
      <c r="G398">
        <f t="shared" si="62"/>
        <v>0</v>
      </c>
      <c r="H398">
        <f t="shared" si="63"/>
        <v>9</v>
      </c>
      <c r="I398">
        <f t="shared" si="64"/>
        <v>25</v>
      </c>
      <c r="J398">
        <f t="shared" si="65"/>
        <v>565</v>
      </c>
      <c r="K398">
        <f t="shared" si="66"/>
        <v>10</v>
      </c>
      <c r="L398">
        <f t="shared" si="67"/>
        <v>109621</v>
      </c>
      <c r="M398">
        <f t="shared" si="68"/>
        <v>31893</v>
      </c>
      <c r="N398">
        <f t="shared" si="69"/>
        <v>189514</v>
      </c>
      <c r="O398">
        <f>IF(B398="zagraniczny",K398+O397,O397)</f>
        <v>191</v>
      </c>
    </row>
    <row r="399" spans="1:15" x14ac:dyDescent="0.25">
      <c r="A399">
        <v>9415767851</v>
      </c>
      <c r="B399" t="str">
        <f t="shared" si="60"/>
        <v>zagraniczny</v>
      </c>
      <c r="C399" s="1">
        <v>42922</v>
      </c>
      <c r="D399" s="2">
        <v>0.5827430555555555</v>
      </c>
      <c r="E399" s="2">
        <v>0.58309027777777778</v>
      </c>
      <c r="F399" s="2">
        <f t="shared" si="61"/>
        <v>3.472222222222765E-4</v>
      </c>
      <c r="G399">
        <f t="shared" si="62"/>
        <v>0</v>
      </c>
      <c r="H399">
        <f t="shared" si="63"/>
        <v>0</v>
      </c>
      <c r="I399">
        <f t="shared" si="64"/>
        <v>30</v>
      </c>
      <c r="J399">
        <f t="shared" si="65"/>
        <v>30</v>
      </c>
      <c r="K399">
        <f t="shared" si="66"/>
        <v>1</v>
      </c>
      <c r="L399">
        <f t="shared" si="67"/>
        <v>109621</v>
      </c>
      <c r="M399">
        <f t="shared" si="68"/>
        <v>31893</v>
      </c>
      <c r="N399">
        <f t="shared" si="69"/>
        <v>189514</v>
      </c>
      <c r="O399">
        <f>IF(B399="zagraniczny",K399+O398,O398)</f>
        <v>192</v>
      </c>
    </row>
    <row r="400" spans="1:15" x14ac:dyDescent="0.25">
      <c r="A400">
        <v>2388040</v>
      </c>
      <c r="B400" t="str">
        <f t="shared" si="60"/>
        <v>stacjonarny</v>
      </c>
      <c r="C400" s="1">
        <v>42922</v>
      </c>
      <c r="D400" s="2">
        <v>0.58496527777777774</v>
      </c>
      <c r="E400" s="2">
        <v>0.59334490740740742</v>
      </c>
      <c r="F400" s="2">
        <f t="shared" si="61"/>
        <v>8.3796296296296813E-3</v>
      </c>
      <c r="G400">
        <f t="shared" si="62"/>
        <v>0</v>
      </c>
      <c r="H400">
        <f t="shared" si="63"/>
        <v>12</v>
      </c>
      <c r="I400">
        <f t="shared" si="64"/>
        <v>4</v>
      </c>
      <c r="J400">
        <f t="shared" si="65"/>
        <v>724</v>
      </c>
      <c r="K400">
        <f t="shared" si="66"/>
        <v>13</v>
      </c>
      <c r="L400">
        <f t="shared" si="67"/>
        <v>110345</v>
      </c>
      <c r="M400">
        <f t="shared" si="68"/>
        <v>31893</v>
      </c>
      <c r="N400">
        <f t="shared" si="69"/>
        <v>190238</v>
      </c>
      <c r="O400">
        <f>IF(B400="zagraniczny",K400+O399,O399)</f>
        <v>192</v>
      </c>
    </row>
    <row r="401" spans="1:15" x14ac:dyDescent="0.25">
      <c r="A401">
        <v>41974998</v>
      </c>
      <c r="B401" t="str">
        <f t="shared" si="60"/>
        <v>komorkowy</v>
      </c>
      <c r="C401" s="1">
        <v>42922</v>
      </c>
      <c r="D401" s="2">
        <v>0.58890046296296295</v>
      </c>
      <c r="E401" s="2">
        <v>0.59614583333333337</v>
      </c>
      <c r="F401" s="2">
        <f t="shared" si="61"/>
        <v>7.2453703703704297E-3</v>
      </c>
      <c r="G401">
        <f t="shared" si="62"/>
        <v>0</v>
      </c>
      <c r="H401">
        <f t="shared" si="63"/>
        <v>10</v>
      </c>
      <c r="I401">
        <f t="shared" si="64"/>
        <v>26</v>
      </c>
      <c r="J401">
        <f t="shared" si="65"/>
        <v>626</v>
      </c>
      <c r="K401">
        <f t="shared" si="66"/>
        <v>11</v>
      </c>
      <c r="L401">
        <f t="shared" si="67"/>
        <v>110345</v>
      </c>
      <c r="M401">
        <f t="shared" si="68"/>
        <v>32519</v>
      </c>
      <c r="N401">
        <f t="shared" si="69"/>
        <v>190864</v>
      </c>
      <c r="O401">
        <f>IF(B401="zagraniczny",K401+O400,O400)</f>
        <v>192</v>
      </c>
    </row>
    <row r="402" spans="1:15" x14ac:dyDescent="0.25">
      <c r="A402">
        <v>8400710</v>
      </c>
      <c r="B402" t="str">
        <f t="shared" si="60"/>
        <v>stacjonarny</v>
      </c>
      <c r="C402" s="1">
        <v>42922</v>
      </c>
      <c r="D402" s="2">
        <v>0.59182870370370366</v>
      </c>
      <c r="E402" s="2">
        <v>0.59376157407407404</v>
      </c>
      <c r="F402" s="2">
        <f t="shared" si="61"/>
        <v>1.9328703703703765E-3</v>
      </c>
      <c r="G402">
        <f t="shared" si="62"/>
        <v>0</v>
      </c>
      <c r="H402">
        <f t="shared" si="63"/>
        <v>2</v>
      </c>
      <c r="I402">
        <f t="shared" si="64"/>
        <v>47</v>
      </c>
      <c r="J402">
        <f t="shared" si="65"/>
        <v>167</v>
      </c>
      <c r="K402">
        <f t="shared" si="66"/>
        <v>3</v>
      </c>
      <c r="L402">
        <f t="shared" si="67"/>
        <v>110512</v>
      </c>
      <c r="M402">
        <f t="shared" si="68"/>
        <v>32519</v>
      </c>
      <c r="N402">
        <f t="shared" si="69"/>
        <v>191031</v>
      </c>
      <c r="O402">
        <f>IF(B402="zagraniczny",K402+O401,O401)</f>
        <v>192</v>
      </c>
    </row>
    <row r="403" spans="1:15" x14ac:dyDescent="0.25">
      <c r="A403">
        <v>1088377750</v>
      </c>
      <c r="B403" t="str">
        <f t="shared" si="60"/>
        <v>zagraniczny</v>
      </c>
      <c r="C403" s="1">
        <v>42922</v>
      </c>
      <c r="D403" s="2">
        <v>0.59666666666666668</v>
      </c>
      <c r="E403" s="2">
        <v>0.5975462962962963</v>
      </c>
      <c r="F403" s="2">
        <f t="shared" si="61"/>
        <v>8.796296296296191E-4</v>
      </c>
      <c r="G403">
        <f t="shared" si="62"/>
        <v>0</v>
      </c>
      <c r="H403">
        <f t="shared" si="63"/>
        <v>1</v>
      </c>
      <c r="I403">
        <f t="shared" si="64"/>
        <v>16</v>
      </c>
      <c r="J403">
        <f t="shared" si="65"/>
        <v>76</v>
      </c>
      <c r="K403">
        <f t="shared" si="66"/>
        <v>2</v>
      </c>
      <c r="L403">
        <f t="shared" si="67"/>
        <v>110512</v>
      </c>
      <c r="M403">
        <f t="shared" si="68"/>
        <v>32519</v>
      </c>
      <c r="N403">
        <f t="shared" si="69"/>
        <v>191031</v>
      </c>
      <c r="O403">
        <f>IF(B403="zagraniczny",K403+O402,O402)</f>
        <v>194</v>
      </c>
    </row>
    <row r="404" spans="1:15" x14ac:dyDescent="0.25">
      <c r="A404">
        <v>62016185</v>
      </c>
      <c r="B404" t="str">
        <f t="shared" si="60"/>
        <v>komorkowy</v>
      </c>
      <c r="C404" s="1">
        <v>42922</v>
      </c>
      <c r="D404" s="2">
        <v>0.60146990740740736</v>
      </c>
      <c r="E404" s="2">
        <v>0.60932870370370373</v>
      </c>
      <c r="F404" s="2">
        <f t="shared" si="61"/>
        <v>7.8587962962963775E-3</v>
      </c>
      <c r="G404">
        <f t="shared" si="62"/>
        <v>0</v>
      </c>
      <c r="H404">
        <f t="shared" si="63"/>
        <v>11</v>
      </c>
      <c r="I404">
        <f t="shared" si="64"/>
        <v>19</v>
      </c>
      <c r="J404">
        <f t="shared" si="65"/>
        <v>679</v>
      </c>
      <c r="K404">
        <f t="shared" si="66"/>
        <v>12</v>
      </c>
      <c r="L404">
        <f t="shared" si="67"/>
        <v>110512</v>
      </c>
      <c r="M404">
        <f t="shared" si="68"/>
        <v>33198</v>
      </c>
      <c r="N404">
        <f t="shared" si="69"/>
        <v>191710</v>
      </c>
      <c r="O404">
        <f>IF(B404="zagraniczny",K404+O403,O403)</f>
        <v>194</v>
      </c>
    </row>
    <row r="405" spans="1:15" x14ac:dyDescent="0.25">
      <c r="A405">
        <v>4002406</v>
      </c>
      <c r="B405" t="str">
        <f t="shared" si="60"/>
        <v>stacjonarny</v>
      </c>
      <c r="C405" s="1">
        <v>42922</v>
      </c>
      <c r="D405" s="2">
        <v>0.60247685185185185</v>
      </c>
      <c r="E405" s="2">
        <v>0.60782407407407413</v>
      </c>
      <c r="F405" s="2">
        <f t="shared" si="61"/>
        <v>5.3472222222222809E-3</v>
      </c>
      <c r="G405">
        <f t="shared" si="62"/>
        <v>0</v>
      </c>
      <c r="H405">
        <f t="shared" si="63"/>
        <v>7</v>
      </c>
      <c r="I405">
        <f t="shared" si="64"/>
        <v>42</v>
      </c>
      <c r="J405">
        <f t="shared" si="65"/>
        <v>462</v>
      </c>
      <c r="K405">
        <f t="shared" si="66"/>
        <v>8</v>
      </c>
      <c r="L405">
        <f t="shared" si="67"/>
        <v>110974</v>
      </c>
      <c r="M405">
        <f t="shared" si="68"/>
        <v>33198</v>
      </c>
      <c r="N405">
        <f t="shared" si="69"/>
        <v>192172</v>
      </c>
      <c r="O405">
        <f>IF(B405="zagraniczny",K405+O404,O404)</f>
        <v>194</v>
      </c>
    </row>
    <row r="406" spans="1:15" x14ac:dyDescent="0.25">
      <c r="A406">
        <v>2394144</v>
      </c>
      <c r="B406" t="str">
        <f t="shared" si="60"/>
        <v>stacjonarny</v>
      </c>
      <c r="C406" s="1">
        <v>42922</v>
      </c>
      <c r="D406" s="2">
        <v>0.60774305555555552</v>
      </c>
      <c r="E406" s="2">
        <v>0.61297453703703708</v>
      </c>
      <c r="F406" s="2">
        <f t="shared" si="61"/>
        <v>5.2314814814815591E-3</v>
      </c>
      <c r="G406">
        <f t="shared" si="62"/>
        <v>0</v>
      </c>
      <c r="H406">
        <f t="shared" si="63"/>
        <v>7</v>
      </c>
      <c r="I406">
        <f t="shared" si="64"/>
        <v>32</v>
      </c>
      <c r="J406">
        <f t="shared" si="65"/>
        <v>452</v>
      </c>
      <c r="K406">
        <f t="shared" si="66"/>
        <v>8</v>
      </c>
      <c r="L406">
        <f t="shared" si="67"/>
        <v>111426</v>
      </c>
      <c r="M406">
        <f t="shared" si="68"/>
        <v>33198</v>
      </c>
      <c r="N406">
        <f t="shared" si="69"/>
        <v>192624</v>
      </c>
      <c r="O406">
        <f>IF(B406="zagraniczny",K406+O405,O405)</f>
        <v>194</v>
      </c>
    </row>
    <row r="407" spans="1:15" x14ac:dyDescent="0.25">
      <c r="A407">
        <v>9763924</v>
      </c>
      <c r="B407" t="str">
        <f t="shared" si="60"/>
        <v>stacjonarny</v>
      </c>
      <c r="C407" s="1">
        <v>42922</v>
      </c>
      <c r="D407" s="2">
        <v>0.611724537037037</v>
      </c>
      <c r="E407" s="2">
        <v>0.62217592592592597</v>
      </c>
      <c r="F407" s="2">
        <f t="shared" si="61"/>
        <v>1.0451388888888968E-2</v>
      </c>
      <c r="G407">
        <f t="shared" si="62"/>
        <v>0</v>
      </c>
      <c r="H407">
        <f t="shared" si="63"/>
        <v>15</v>
      </c>
      <c r="I407">
        <f t="shared" si="64"/>
        <v>3</v>
      </c>
      <c r="J407">
        <f t="shared" si="65"/>
        <v>903</v>
      </c>
      <c r="K407">
        <f t="shared" si="66"/>
        <v>16</v>
      </c>
      <c r="L407">
        <f t="shared" si="67"/>
        <v>112329</v>
      </c>
      <c r="M407">
        <f t="shared" si="68"/>
        <v>33198</v>
      </c>
      <c r="N407">
        <f t="shared" si="69"/>
        <v>193527</v>
      </c>
      <c r="O407">
        <f>IF(B407="zagraniczny",K407+O406,O406)</f>
        <v>194</v>
      </c>
    </row>
    <row r="408" spans="1:15" x14ac:dyDescent="0.25">
      <c r="A408">
        <v>7977726</v>
      </c>
      <c r="B408" t="str">
        <f t="shared" si="60"/>
        <v>stacjonarny</v>
      </c>
      <c r="C408" s="1">
        <v>42922</v>
      </c>
      <c r="D408" s="2">
        <v>0.6139930555555555</v>
      </c>
      <c r="E408" s="2">
        <v>0.62364583333333334</v>
      </c>
      <c r="F408" s="2">
        <f t="shared" si="61"/>
        <v>9.6527777777778434E-3</v>
      </c>
      <c r="G408">
        <f t="shared" si="62"/>
        <v>0</v>
      </c>
      <c r="H408">
        <f t="shared" si="63"/>
        <v>13</v>
      </c>
      <c r="I408">
        <f t="shared" si="64"/>
        <v>54</v>
      </c>
      <c r="J408">
        <f t="shared" si="65"/>
        <v>834</v>
      </c>
      <c r="K408">
        <f t="shared" si="66"/>
        <v>14</v>
      </c>
      <c r="L408">
        <f t="shared" si="67"/>
        <v>113163</v>
      </c>
      <c r="M408">
        <f t="shared" si="68"/>
        <v>33198</v>
      </c>
      <c r="N408">
        <f t="shared" si="69"/>
        <v>194361</v>
      </c>
      <c r="O408">
        <f>IF(B408="zagraniczny",K408+O407,O407)</f>
        <v>194</v>
      </c>
    </row>
    <row r="409" spans="1:15" x14ac:dyDescent="0.25">
      <c r="A409">
        <v>7219884</v>
      </c>
      <c r="B409" t="str">
        <f t="shared" si="60"/>
        <v>stacjonarny</v>
      </c>
      <c r="C409" s="1">
        <v>42922</v>
      </c>
      <c r="D409" s="2">
        <v>0.61871527777777779</v>
      </c>
      <c r="E409" s="2">
        <v>0.62458333333333338</v>
      </c>
      <c r="F409" s="2">
        <f t="shared" si="61"/>
        <v>5.8680555555555847E-3</v>
      </c>
      <c r="G409">
        <f t="shared" si="62"/>
        <v>0</v>
      </c>
      <c r="H409">
        <f t="shared" si="63"/>
        <v>8</v>
      </c>
      <c r="I409">
        <f t="shared" si="64"/>
        <v>27</v>
      </c>
      <c r="J409">
        <f t="shared" si="65"/>
        <v>507</v>
      </c>
      <c r="K409">
        <f t="shared" si="66"/>
        <v>9</v>
      </c>
      <c r="L409">
        <f t="shared" si="67"/>
        <v>113670</v>
      </c>
      <c r="M409">
        <f t="shared" si="68"/>
        <v>33198</v>
      </c>
      <c r="N409">
        <f t="shared" si="69"/>
        <v>194868</v>
      </c>
      <c r="O409">
        <f>IF(B409="zagraniczny",K409+O408,O408)</f>
        <v>194</v>
      </c>
    </row>
    <row r="410" spans="1:15" x14ac:dyDescent="0.25">
      <c r="A410">
        <v>8211396842</v>
      </c>
      <c r="B410" t="str">
        <f t="shared" si="60"/>
        <v>zagraniczny</v>
      </c>
      <c r="C410" s="1">
        <v>42922</v>
      </c>
      <c r="D410" s="2">
        <v>0.6237731481481481</v>
      </c>
      <c r="E410" s="2">
        <v>0.63299768518518518</v>
      </c>
      <c r="F410" s="2">
        <f t="shared" si="61"/>
        <v>9.2245370370370727E-3</v>
      </c>
      <c r="G410">
        <f t="shared" si="62"/>
        <v>0</v>
      </c>
      <c r="H410">
        <f t="shared" si="63"/>
        <v>13</v>
      </c>
      <c r="I410">
        <f t="shared" si="64"/>
        <v>17</v>
      </c>
      <c r="J410">
        <f t="shared" si="65"/>
        <v>797</v>
      </c>
      <c r="K410">
        <f t="shared" si="66"/>
        <v>14</v>
      </c>
      <c r="L410">
        <f t="shared" si="67"/>
        <v>113670</v>
      </c>
      <c r="M410">
        <f t="shared" si="68"/>
        <v>33198</v>
      </c>
      <c r="N410">
        <f t="shared" si="69"/>
        <v>194868</v>
      </c>
      <c r="O410">
        <f>IF(B410="zagraniczny",K410+O409,O409)</f>
        <v>208</v>
      </c>
    </row>
    <row r="411" spans="1:15" x14ac:dyDescent="0.25">
      <c r="A411">
        <v>4860618</v>
      </c>
      <c r="B411" t="str">
        <f t="shared" si="60"/>
        <v>stacjonarny</v>
      </c>
      <c r="C411" s="1">
        <v>42922</v>
      </c>
      <c r="D411" s="2">
        <v>0.62396990740740743</v>
      </c>
      <c r="E411" s="2">
        <v>0.62693287037037038</v>
      </c>
      <c r="F411" s="2">
        <f t="shared" si="61"/>
        <v>2.962962962962945E-3</v>
      </c>
      <c r="G411">
        <f t="shared" si="62"/>
        <v>0</v>
      </c>
      <c r="H411">
        <f t="shared" si="63"/>
        <v>4</v>
      </c>
      <c r="I411">
        <f t="shared" si="64"/>
        <v>16</v>
      </c>
      <c r="J411">
        <f t="shared" si="65"/>
        <v>256</v>
      </c>
      <c r="K411">
        <f t="shared" si="66"/>
        <v>5</v>
      </c>
      <c r="L411">
        <f t="shared" si="67"/>
        <v>113926</v>
      </c>
      <c r="M411">
        <f t="shared" si="68"/>
        <v>33198</v>
      </c>
      <c r="N411">
        <f t="shared" si="69"/>
        <v>195124</v>
      </c>
      <c r="O411">
        <f>IF(B411="zagraniczny",K411+O410,O410)</f>
        <v>208</v>
      </c>
    </row>
    <row r="412" spans="1:15" x14ac:dyDescent="0.25">
      <c r="A412">
        <v>6772052</v>
      </c>
      <c r="B412" t="str">
        <f t="shared" si="60"/>
        <v>stacjonarny</v>
      </c>
      <c r="C412" s="1">
        <v>42922</v>
      </c>
      <c r="D412" s="2">
        <v>0.62491898148148151</v>
      </c>
      <c r="E412" s="2">
        <v>0.63265046296296301</v>
      </c>
      <c r="F412" s="2">
        <f t="shared" si="61"/>
        <v>7.7314814814815058E-3</v>
      </c>
      <c r="G412">
        <f t="shared" si="62"/>
        <v>0</v>
      </c>
      <c r="H412">
        <f t="shared" si="63"/>
        <v>11</v>
      </c>
      <c r="I412">
        <f t="shared" si="64"/>
        <v>8</v>
      </c>
      <c r="J412">
        <f t="shared" si="65"/>
        <v>668</v>
      </c>
      <c r="K412">
        <f t="shared" si="66"/>
        <v>12</v>
      </c>
      <c r="L412">
        <f t="shared" si="67"/>
        <v>114594</v>
      </c>
      <c r="M412">
        <f t="shared" si="68"/>
        <v>33198</v>
      </c>
      <c r="N412">
        <f t="shared" si="69"/>
        <v>195792</v>
      </c>
      <c r="O412">
        <f>IF(B412="zagraniczny",K412+O411,O411)</f>
        <v>208</v>
      </c>
    </row>
    <row r="413" spans="1:15" x14ac:dyDescent="0.25">
      <c r="A413">
        <v>6290575</v>
      </c>
      <c r="B413" t="str">
        <f t="shared" si="60"/>
        <v>stacjonarny</v>
      </c>
      <c r="C413" s="1">
        <v>42922</v>
      </c>
      <c r="D413" s="2">
        <v>0.62614583333333329</v>
      </c>
      <c r="E413" s="2">
        <v>0.6318287037037037</v>
      </c>
      <c r="F413" s="2">
        <f t="shared" si="61"/>
        <v>5.6828703703704075E-3</v>
      </c>
      <c r="G413">
        <f t="shared" si="62"/>
        <v>0</v>
      </c>
      <c r="H413">
        <f t="shared" si="63"/>
        <v>8</v>
      </c>
      <c r="I413">
        <f t="shared" si="64"/>
        <v>11</v>
      </c>
      <c r="J413">
        <f t="shared" si="65"/>
        <v>491</v>
      </c>
      <c r="K413">
        <f t="shared" si="66"/>
        <v>9</v>
      </c>
      <c r="L413">
        <f t="shared" si="67"/>
        <v>115085</v>
      </c>
      <c r="M413">
        <f t="shared" si="68"/>
        <v>33198</v>
      </c>
      <c r="N413">
        <f t="shared" si="69"/>
        <v>196283</v>
      </c>
      <c r="O413">
        <f>IF(B413="zagraniczny",K413+O412,O412)</f>
        <v>208</v>
      </c>
    </row>
    <row r="414" spans="1:15" x14ac:dyDescent="0.25">
      <c r="A414">
        <v>13972929</v>
      </c>
      <c r="B414" t="str">
        <f t="shared" si="60"/>
        <v>komorkowy</v>
      </c>
      <c r="C414" s="1">
        <v>42923</v>
      </c>
      <c r="D414" s="2">
        <v>0.33677083333333335</v>
      </c>
      <c r="E414" s="2">
        <v>0.34700231481481481</v>
      </c>
      <c r="F414" s="2">
        <f t="shared" si="61"/>
        <v>1.0231481481481453E-2</v>
      </c>
      <c r="G414">
        <f t="shared" si="62"/>
        <v>0</v>
      </c>
      <c r="H414">
        <f t="shared" si="63"/>
        <v>14</v>
      </c>
      <c r="I414">
        <f t="shared" si="64"/>
        <v>44</v>
      </c>
      <c r="J414">
        <f t="shared" si="65"/>
        <v>884</v>
      </c>
      <c r="K414">
        <f t="shared" si="66"/>
        <v>15</v>
      </c>
      <c r="L414">
        <f t="shared" si="67"/>
        <v>115085</v>
      </c>
      <c r="M414">
        <f t="shared" si="68"/>
        <v>34082</v>
      </c>
      <c r="N414">
        <f t="shared" si="69"/>
        <v>197167</v>
      </c>
      <c r="O414">
        <f>IF(B414="zagraniczny",K414+O413,O413)</f>
        <v>208</v>
      </c>
    </row>
    <row r="415" spans="1:15" x14ac:dyDescent="0.25">
      <c r="A415">
        <v>7663988</v>
      </c>
      <c r="B415" t="str">
        <f t="shared" si="60"/>
        <v>stacjonarny</v>
      </c>
      <c r="C415" s="1">
        <v>42923</v>
      </c>
      <c r="D415" s="2">
        <v>0.34092592592592591</v>
      </c>
      <c r="E415" s="2">
        <v>0.3448148148148148</v>
      </c>
      <c r="F415" s="2">
        <f t="shared" si="61"/>
        <v>3.8888888888888862E-3</v>
      </c>
      <c r="G415">
        <f t="shared" si="62"/>
        <v>0</v>
      </c>
      <c r="H415">
        <f t="shared" si="63"/>
        <v>5</v>
      </c>
      <c r="I415">
        <f t="shared" si="64"/>
        <v>36</v>
      </c>
      <c r="J415">
        <f t="shared" si="65"/>
        <v>336</v>
      </c>
      <c r="K415">
        <f t="shared" si="66"/>
        <v>6</v>
      </c>
      <c r="L415">
        <f t="shared" si="67"/>
        <v>115421</v>
      </c>
      <c r="M415">
        <f t="shared" si="68"/>
        <v>34082</v>
      </c>
      <c r="N415">
        <f t="shared" si="69"/>
        <v>197503</v>
      </c>
      <c r="O415">
        <f>IF(B415="zagraniczny",K415+O414,O414)</f>
        <v>208</v>
      </c>
    </row>
    <row r="416" spans="1:15" x14ac:dyDescent="0.25">
      <c r="A416">
        <v>90532439</v>
      </c>
      <c r="B416" t="str">
        <f t="shared" si="60"/>
        <v>komorkowy</v>
      </c>
      <c r="C416" s="1">
        <v>42923</v>
      </c>
      <c r="D416" s="2">
        <v>0.34288194444444442</v>
      </c>
      <c r="E416" s="2">
        <v>0.34506944444444443</v>
      </c>
      <c r="F416" s="2">
        <f t="shared" si="61"/>
        <v>2.1875000000000089E-3</v>
      </c>
      <c r="G416">
        <f t="shared" si="62"/>
        <v>0</v>
      </c>
      <c r="H416">
        <f t="shared" si="63"/>
        <v>3</v>
      </c>
      <c r="I416">
        <f t="shared" si="64"/>
        <v>9</v>
      </c>
      <c r="J416">
        <f t="shared" si="65"/>
        <v>189</v>
      </c>
      <c r="K416">
        <f t="shared" si="66"/>
        <v>4</v>
      </c>
      <c r="L416">
        <f t="shared" si="67"/>
        <v>115421</v>
      </c>
      <c r="M416">
        <f t="shared" si="68"/>
        <v>34271</v>
      </c>
      <c r="N416">
        <f t="shared" si="69"/>
        <v>197692</v>
      </c>
      <c r="O416">
        <f>IF(B416="zagraniczny",K416+O415,O415)</f>
        <v>208</v>
      </c>
    </row>
    <row r="417" spans="1:15" x14ac:dyDescent="0.25">
      <c r="A417">
        <v>5505912</v>
      </c>
      <c r="B417" t="str">
        <f t="shared" si="60"/>
        <v>stacjonarny</v>
      </c>
      <c r="C417" s="1">
        <v>42923</v>
      </c>
      <c r="D417" s="2">
        <v>0.34465277777777775</v>
      </c>
      <c r="E417" s="2">
        <v>0.34819444444444442</v>
      </c>
      <c r="F417" s="2">
        <f t="shared" si="61"/>
        <v>3.5416666666666652E-3</v>
      </c>
      <c r="G417">
        <f t="shared" si="62"/>
        <v>0</v>
      </c>
      <c r="H417">
        <f t="shared" si="63"/>
        <v>5</v>
      </c>
      <c r="I417">
        <f t="shared" si="64"/>
        <v>6</v>
      </c>
      <c r="J417">
        <f t="shared" si="65"/>
        <v>306</v>
      </c>
      <c r="K417">
        <f t="shared" si="66"/>
        <v>6</v>
      </c>
      <c r="L417">
        <f t="shared" si="67"/>
        <v>115727</v>
      </c>
      <c r="M417">
        <f t="shared" si="68"/>
        <v>34271</v>
      </c>
      <c r="N417">
        <f t="shared" si="69"/>
        <v>197998</v>
      </c>
      <c r="O417">
        <f>IF(B417="zagraniczny",K417+O416,O416)</f>
        <v>208</v>
      </c>
    </row>
    <row r="418" spans="1:15" x14ac:dyDescent="0.25">
      <c r="A418">
        <v>5505912</v>
      </c>
      <c r="B418" t="str">
        <f t="shared" si="60"/>
        <v>stacjonarny</v>
      </c>
      <c r="C418" s="1">
        <v>42923</v>
      </c>
      <c r="D418" s="2">
        <v>0.34848379629629628</v>
      </c>
      <c r="E418" s="2">
        <v>0.35015046296296298</v>
      </c>
      <c r="F418" s="2">
        <f t="shared" si="61"/>
        <v>1.6666666666667052E-3</v>
      </c>
      <c r="G418">
        <f t="shared" si="62"/>
        <v>0</v>
      </c>
      <c r="H418">
        <f t="shared" si="63"/>
        <v>2</v>
      </c>
      <c r="I418">
        <f t="shared" si="64"/>
        <v>24</v>
      </c>
      <c r="J418">
        <f t="shared" si="65"/>
        <v>144</v>
      </c>
      <c r="K418">
        <f t="shared" si="66"/>
        <v>3</v>
      </c>
      <c r="L418">
        <f t="shared" si="67"/>
        <v>115871</v>
      </c>
      <c r="M418">
        <f t="shared" si="68"/>
        <v>34271</v>
      </c>
      <c r="N418">
        <f t="shared" si="69"/>
        <v>198142</v>
      </c>
      <c r="O418">
        <f>IF(B418="zagraniczny",K418+O417,O417)</f>
        <v>208</v>
      </c>
    </row>
    <row r="419" spans="1:15" x14ac:dyDescent="0.25">
      <c r="A419">
        <v>70678482</v>
      </c>
      <c r="B419" t="str">
        <f t="shared" si="60"/>
        <v>komorkowy</v>
      </c>
      <c r="C419" s="1">
        <v>42923</v>
      </c>
      <c r="D419" s="2">
        <v>0.35130787037037037</v>
      </c>
      <c r="E419" s="2">
        <v>0.35899305555555555</v>
      </c>
      <c r="F419" s="2">
        <f t="shared" si="61"/>
        <v>7.6851851851851838E-3</v>
      </c>
      <c r="G419">
        <f t="shared" si="62"/>
        <v>0</v>
      </c>
      <c r="H419">
        <f t="shared" si="63"/>
        <v>11</v>
      </c>
      <c r="I419">
        <f t="shared" si="64"/>
        <v>4</v>
      </c>
      <c r="J419">
        <f t="shared" si="65"/>
        <v>664</v>
      </c>
      <c r="K419">
        <f t="shared" si="66"/>
        <v>12</v>
      </c>
      <c r="L419">
        <f t="shared" si="67"/>
        <v>115871</v>
      </c>
      <c r="M419">
        <f t="shared" si="68"/>
        <v>34935</v>
      </c>
      <c r="N419">
        <f t="shared" si="69"/>
        <v>198806</v>
      </c>
      <c r="O419">
        <f>IF(B419="zagraniczny",K419+O418,O418)</f>
        <v>208</v>
      </c>
    </row>
    <row r="420" spans="1:15" x14ac:dyDescent="0.25">
      <c r="A420">
        <v>6578914</v>
      </c>
      <c r="B420" t="str">
        <f t="shared" si="60"/>
        <v>stacjonarny</v>
      </c>
      <c r="C420" s="1">
        <v>42923</v>
      </c>
      <c r="D420" s="2">
        <v>0.35699074074074072</v>
      </c>
      <c r="E420" s="2">
        <v>0.36546296296296299</v>
      </c>
      <c r="F420" s="2">
        <f t="shared" si="61"/>
        <v>8.4722222222222698E-3</v>
      </c>
      <c r="G420">
        <f t="shared" si="62"/>
        <v>0</v>
      </c>
      <c r="H420">
        <f t="shared" si="63"/>
        <v>12</v>
      </c>
      <c r="I420">
        <f t="shared" si="64"/>
        <v>12</v>
      </c>
      <c r="J420">
        <f t="shared" si="65"/>
        <v>732</v>
      </c>
      <c r="K420">
        <f t="shared" si="66"/>
        <v>13</v>
      </c>
      <c r="L420">
        <f t="shared" si="67"/>
        <v>116603</v>
      </c>
      <c r="M420">
        <f t="shared" si="68"/>
        <v>34935</v>
      </c>
      <c r="N420">
        <f t="shared" si="69"/>
        <v>199538</v>
      </c>
      <c r="O420">
        <f>IF(B420="zagraniczny",K420+O419,O419)</f>
        <v>208</v>
      </c>
    </row>
    <row r="421" spans="1:15" x14ac:dyDescent="0.25">
      <c r="A421">
        <v>3444629</v>
      </c>
      <c r="B421" t="str">
        <f t="shared" si="60"/>
        <v>stacjonarny</v>
      </c>
      <c r="C421" s="1">
        <v>42923</v>
      </c>
      <c r="D421" s="2">
        <v>0.36015046296296294</v>
      </c>
      <c r="E421" s="2">
        <v>0.36656250000000001</v>
      </c>
      <c r="F421" s="2">
        <f t="shared" si="61"/>
        <v>6.4120370370370772E-3</v>
      </c>
      <c r="G421">
        <f t="shared" si="62"/>
        <v>0</v>
      </c>
      <c r="H421">
        <f t="shared" si="63"/>
        <v>9</v>
      </c>
      <c r="I421">
        <f t="shared" si="64"/>
        <v>14</v>
      </c>
      <c r="J421">
        <f t="shared" si="65"/>
        <v>554</v>
      </c>
      <c r="K421">
        <f t="shared" si="66"/>
        <v>10</v>
      </c>
      <c r="L421">
        <f t="shared" si="67"/>
        <v>117157</v>
      </c>
      <c r="M421">
        <f t="shared" si="68"/>
        <v>34935</v>
      </c>
      <c r="N421">
        <f t="shared" si="69"/>
        <v>200092</v>
      </c>
      <c r="O421">
        <f>IF(B421="zagraniczny",K421+O420,O420)</f>
        <v>208</v>
      </c>
    </row>
    <row r="422" spans="1:15" x14ac:dyDescent="0.25">
      <c r="A422">
        <v>95211263</v>
      </c>
      <c r="B422" t="str">
        <f t="shared" si="60"/>
        <v>komorkowy</v>
      </c>
      <c r="C422" s="1">
        <v>42923</v>
      </c>
      <c r="D422" s="2">
        <v>0.36069444444444443</v>
      </c>
      <c r="E422" s="2">
        <v>0.36572916666666666</v>
      </c>
      <c r="F422" s="2">
        <f t="shared" si="61"/>
        <v>5.0347222222222321E-3</v>
      </c>
      <c r="G422">
        <f t="shared" si="62"/>
        <v>0</v>
      </c>
      <c r="H422">
        <f t="shared" si="63"/>
        <v>7</v>
      </c>
      <c r="I422">
        <f t="shared" si="64"/>
        <v>15</v>
      </c>
      <c r="J422">
        <f t="shared" si="65"/>
        <v>435</v>
      </c>
      <c r="K422">
        <f t="shared" si="66"/>
        <v>8</v>
      </c>
      <c r="L422">
        <f t="shared" si="67"/>
        <v>117157</v>
      </c>
      <c r="M422">
        <f t="shared" si="68"/>
        <v>35370</v>
      </c>
      <c r="N422">
        <f t="shared" si="69"/>
        <v>200527</v>
      </c>
      <c r="O422">
        <f>IF(B422="zagraniczny",K422+O421,O421)</f>
        <v>208</v>
      </c>
    </row>
    <row r="423" spans="1:15" x14ac:dyDescent="0.25">
      <c r="A423">
        <v>9468070</v>
      </c>
      <c r="B423" t="str">
        <f t="shared" si="60"/>
        <v>stacjonarny</v>
      </c>
      <c r="C423" s="1">
        <v>42923</v>
      </c>
      <c r="D423" s="2">
        <v>0.36225694444444445</v>
      </c>
      <c r="E423" s="2">
        <v>0.36364583333333333</v>
      </c>
      <c r="F423" s="2">
        <f t="shared" si="61"/>
        <v>1.388888888888884E-3</v>
      </c>
      <c r="G423">
        <f t="shared" si="62"/>
        <v>0</v>
      </c>
      <c r="H423">
        <f t="shared" si="63"/>
        <v>2</v>
      </c>
      <c r="I423">
        <f t="shared" si="64"/>
        <v>0</v>
      </c>
      <c r="J423">
        <f t="shared" si="65"/>
        <v>120</v>
      </c>
      <c r="K423">
        <f t="shared" si="66"/>
        <v>2</v>
      </c>
      <c r="L423">
        <f t="shared" si="67"/>
        <v>117277</v>
      </c>
      <c r="M423">
        <f t="shared" si="68"/>
        <v>35370</v>
      </c>
      <c r="N423">
        <f t="shared" si="69"/>
        <v>200647</v>
      </c>
      <c r="O423">
        <f>IF(B423="zagraniczny",K423+O422,O422)</f>
        <v>208</v>
      </c>
    </row>
    <row r="424" spans="1:15" x14ac:dyDescent="0.25">
      <c r="A424">
        <v>31516318</v>
      </c>
      <c r="B424" t="str">
        <f t="shared" si="60"/>
        <v>komorkowy</v>
      </c>
      <c r="C424" s="1">
        <v>42923</v>
      </c>
      <c r="D424" s="2">
        <v>0.36267361111111113</v>
      </c>
      <c r="E424" s="2">
        <v>0.36622685185185183</v>
      </c>
      <c r="F424" s="2">
        <f t="shared" si="61"/>
        <v>3.5532407407407041E-3</v>
      </c>
      <c r="G424">
        <f t="shared" si="62"/>
        <v>0</v>
      </c>
      <c r="H424">
        <f t="shared" si="63"/>
        <v>5</v>
      </c>
      <c r="I424">
        <f t="shared" si="64"/>
        <v>7</v>
      </c>
      <c r="J424">
        <f t="shared" si="65"/>
        <v>307</v>
      </c>
      <c r="K424">
        <f t="shared" si="66"/>
        <v>6</v>
      </c>
      <c r="L424">
        <f t="shared" si="67"/>
        <v>117277</v>
      </c>
      <c r="M424">
        <f t="shared" si="68"/>
        <v>35677</v>
      </c>
      <c r="N424">
        <f t="shared" si="69"/>
        <v>200954</v>
      </c>
      <c r="O424">
        <f>IF(B424="zagraniczny",K424+O423,O423)</f>
        <v>208</v>
      </c>
    </row>
    <row r="425" spans="1:15" x14ac:dyDescent="0.25">
      <c r="A425">
        <v>9865716</v>
      </c>
      <c r="B425" t="str">
        <f t="shared" si="60"/>
        <v>stacjonarny</v>
      </c>
      <c r="C425" s="1">
        <v>42923</v>
      </c>
      <c r="D425" s="2">
        <v>0.36584490740740738</v>
      </c>
      <c r="E425" s="2">
        <v>0.37709490740740742</v>
      </c>
      <c r="F425" s="2">
        <f t="shared" si="61"/>
        <v>1.1250000000000038E-2</v>
      </c>
      <c r="G425">
        <f t="shared" si="62"/>
        <v>0</v>
      </c>
      <c r="H425">
        <f t="shared" si="63"/>
        <v>16</v>
      </c>
      <c r="I425">
        <f t="shared" si="64"/>
        <v>12</v>
      </c>
      <c r="J425">
        <f t="shared" si="65"/>
        <v>972</v>
      </c>
      <c r="K425">
        <f t="shared" si="66"/>
        <v>17</v>
      </c>
      <c r="L425">
        <f t="shared" si="67"/>
        <v>118249</v>
      </c>
      <c r="M425">
        <f t="shared" si="68"/>
        <v>35677</v>
      </c>
      <c r="N425">
        <f t="shared" si="69"/>
        <v>201926</v>
      </c>
      <c r="O425">
        <f>IF(B425="zagraniczny",K425+O424,O424)</f>
        <v>208</v>
      </c>
    </row>
    <row r="426" spans="1:15" x14ac:dyDescent="0.25">
      <c r="A426">
        <v>8163790</v>
      </c>
      <c r="B426" t="str">
        <f t="shared" si="60"/>
        <v>stacjonarny</v>
      </c>
      <c r="C426" s="1">
        <v>42923</v>
      </c>
      <c r="D426" s="2">
        <v>0.36885416666666665</v>
      </c>
      <c r="E426" s="2">
        <v>0.36932870370370369</v>
      </c>
      <c r="F426" s="2">
        <f t="shared" si="61"/>
        <v>4.745370370370372E-4</v>
      </c>
      <c r="G426">
        <f t="shared" si="62"/>
        <v>0</v>
      </c>
      <c r="H426">
        <f t="shared" si="63"/>
        <v>0</v>
      </c>
      <c r="I426">
        <f t="shared" si="64"/>
        <v>41</v>
      </c>
      <c r="J426">
        <f t="shared" si="65"/>
        <v>41</v>
      </c>
      <c r="K426">
        <f t="shared" si="66"/>
        <v>1</v>
      </c>
      <c r="L426">
        <f t="shared" si="67"/>
        <v>118290</v>
      </c>
      <c r="M426">
        <f t="shared" si="68"/>
        <v>35677</v>
      </c>
      <c r="N426">
        <f t="shared" si="69"/>
        <v>201967</v>
      </c>
      <c r="O426">
        <f>IF(B426="zagraniczny",K426+O425,O425)</f>
        <v>208</v>
      </c>
    </row>
    <row r="427" spans="1:15" x14ac:dyDescent="0.25">
      <c r="A427">
        <v>18070008</v>
      </c>
      <c r="B427" t="str">
        <f t="shared" si="60"/>
        <v>komorkowy</v>
      </c>
      <c r="C427" s="1">
        <v>42923</v>
      </c>
      <c r="D427" s="2">
        <v>0.36996527777777777</v>
      </c>
      <c r="E427" s="2">
        <v>0.37149305555555556</v>
      </c>
      <c r="F427" s="2">
        <f t="shared" si="61"/>
        <v>1.5277777777777946E-3</v>
      </c>
      <c r="G427">
        <f t="shared" si="62"/>
        <v>0</v>
      </c>
      <c r="H427">
        <f t="shared" si="63"/>
        <v>2</v>
      </c>
      <c r="I427">
        <f t="shared" si="64"/>
        <v>12</v>
      </c>
      <c r="J427">
        <f t="shared" si="65"/>
        <v>132</v>
      </c>
      <c r="K427">
        <f t="shared" si="66"/>
        <v>3</v>
      </c>
      <c r="L427">
        <f t="shared" si="67"/>
        <v>118290</v>
      </c>
      <c r="M427">
        <f t="shared" si="68"/>
        <v>35809</v>
      </c>
      <c r="N427">
        <f t="shared" si="69"/>
        <v>202099</v>
      </c>
      <c r="O427">
        <f>IF(B427="zagraniczny",K427+O426,O426)</f>
        <v>208</v>
      </c>
    </row>
    <row r="428" spans="1:15" x14ac:dyDescent="0.25">
      <c r="A428">
        <v>1119740</v>
      </c>
      <c r="B428" t="str">
        <f t="shared" si="60"/>
        <v>stacjonarny</v>
      </c>
      <c r="C428" s="1">
        <v>42923</v>
      </c>
      <c r="D428" s="2">
        <v>0.37112268518518521</v>
      </c>
      <c r="E428" s="2">
        <v>0.37534722222222222</v>
      </c>
      <c r="F428" s="2">
        <f t="shared" si="61"/>
        <v>4.2245370370370128E-3</v>
      </c>
      <c r="G428">
        <f t="shared" si="62"/>
        <v>0</v>
      </c>
      <c r="H428">
        <f t="shared" si="63"/>
        <v>6</v>
      </c>
      <c r="I428">
        <f t="shared" si="64"/>
        <v>5</v>
      </c>
      <c r="J428">
        <f t="shared" si="65"/>
        <v>365</v>
      </c>
      <c r="K428">
        <f t="shared" si="66"/>
        <v>7</v>
      </c>
      <c r="L428">
        <f t="shared" si="67"/>
        <v>118655</v>
      </c>
      <c r="M428">
        <f t="shared" si="68"/>
        <v>35809</v>
      </c>
      <c r="N428">
        <f t="shared" si="69"/>
        <v>202464</v>
      </c>
      <c r="O428">
        <f>IF(B428="zagraniczny",K428+O427,O427)</f>
        <v>208</v>
      </c>
    </row>
    <row r="429" spans="1:15" x14ac:dyDescent="0.25">
      <c r="A429">
        <v>94634526</v>
      </c>
      <c r="B429" t="str">
        <f t="shared" si="60"/>
        <v>komorkowy</v>
      </c>
      <c r="C429" s="1">
        <v>42923</v>
      </c>
      <c r="D429" s="2">
        <v>0.3721990740740741</v>
      </c>
      <c r="E429" s="2">
        <v>0.37956018518518519</v>
      </c>
      <c r="F429" s="2">
        <f t="shared" si="61"/>
        <v>7.3611111111110961E-3</v>
      </c>
      <c r="G429">
        <f t="shared" si="62"/>
        <v>0</v>
      </c>
      <c r="H429">
        <f t="shared" si="63"/>
        <v>10</v>
      </c>
      <c r="I429">
        <f t="shared" si="64"/>
        <v>36</v>
      </c>
      <c r="J429">
        <f t="shared" si="65"/>
        <v>636</v>
      </c>
      <c r="K429">
        <f t="shared" si="66"/>
        <v>11</v>
      </c>
      <c r="L429">
        <f t="shared" si="67"/>
        <v>118655</v>
      </c>
      <c r="M429">
        <f t="shared" si="68"/>
        <v>36445</v>
      </c>
      <c r="N429">
        <f t="shared" si="69"/>
        <v>203100</v>
      </c>
      <c r="O429">
        <f>IF(B429="zagraniczny",K429+O428,O428)</f>
        <v>208</v>
      </c>
    </row>
    <row r="430" spans="1:15" x14ac:dyDescent="0.25">
      <c r="A430">
        <v>67964973</v>
      </c>
      <c r="B430" t="str">
        <f t="shared" si="60"/>
        <v>komorkowy</v>
      </c>
      <c r="C430" s="1">
        <v>42923</v>
      </c>
      <c r="D430" s="2">
        <v>0.37445601851851851</v>
      </c>
      <c r="E430" s="2">
        <v>0.38145833333333334</v>
      </c>
      <c r="F430" s="2">
        <f t="shared" si="61"/>
        <v>7.0023148148148362E-3</v>
      </c>
      <c r="G430">
        <f t="shared" si="62"/>
        <v>0</v>
      </c>
      <c r="H430">
        <f t="shared" si="63"/>
        <v>10</v>
      </c>
      <c r="I430">
        <f t="shared" si="64"/>
        <v>5</v>
      </c>
      <c r="J430">
        <f t="shared" si="65"/>
        <v>605</v>
      </c>
      <c r="K430">
        <f t="shared" si="66"/>
        <v>11</v>
      </c>
      <c r="L430">
        <f t="shared" si="67"/>
        <v>118655</v>
      </c>
      <c r="M430">
        <f t="shared" si="68"/>
        <v>37050</v>
      </c>
      <c r="N430">
        <f t="shared" si="69"/>
        <v>203705</v>
      </c>
      <c r="O430">
        <f>IF(B430="zagraniczny",K430+O429,O429)</f>
        <v>208</v>
      </c>
    </row>
    <row r="431" spans="1:15" x14ac:dyDescent="0.25">
      <c r="A431">
        <v>3505978</v>
      </c>
      <c r="B431" t="str">
        <f t="shared" si="60"/>
        <v>stacjonarny</v>
      </c>
      <c r="C431" s="1">
        <v>42923</v>
      </c>
      <c r="D431" s="2">
        <v>0.3767476851851852</v>
      </c>
      <c r="E431" s="2">
        <v>0.38192129629629629</v>
      </c>
      <c r="F431" s="2">
        <f t="shared" si="61"/>
        <v>5.1736111111110872E-3</v>
      </c>
      <c r="G431">
        <f t="shared" si="62"/>
        <v>0</v>
      </c>
      <c r="H431">
        <f t="shared" si="63"/>
        <v>7</v>
      </c>
      <c r="I431">
        <f t="shared" si="64"/>
        <v>27</v>
      </c>
      <c r="J431">
        <f t="shared" si="65"/>
        <v>447</v>
      </c>
      <c r="K431">
        <f t="shared" si="66"/>
        <v>8</v>
      </c>
      <c r="L431">
        <f t="shared" si="67"/>
        <v>119102</v>
      </c>
      <c r="M431">
        <f t="shared" si="68"/>
        <v>37050</v>
      </c>
      <c r="N431">
        <f t="shared" si="69"/>
        <v>204152</v>
      </c>
      <c r="O431">
        <f>IF(B431="zagraniczny",K431+O430,O430)</f>
        <v>208</v>
      </c>
    </row>
    <row r="432" spans="1:15" x14ac:dyDescent="0.25">
      <c r="A432">
        <v>8685299481</v>
      </c>
      <c r="B432" t="str">
        <f t="shared" si="60"/>
        <v>zagraniczny</v>
      </c>
      <c r="C432" s="1">
        <v>42923</v>
      </c>
      <c r="D432" s="2">
        <v>0.3778009259259259</v>
      </c>
      <c r="E432" s="2">
        <v>0.37927083333333333</v>
      </c>
      <c r="F432" s="2">
        <f t="shared" si="61"/>
        <v>1.4699074074074336E-3</v>
      </c>
      <c r="G432">
        <f t="shared" si="62"/>
        <v>0</v>
      </c>
      <c r="H432">
        <f t="shared" si="63"/>
        <v>2</v>
      </c>
      <c r="I432">
        <f t="shared" si="64"/>
        <v>7</v>
      </c>
      <c r="J432">
        <f t="shared" si="65"/>
        <v>127</v>
      </c>
      <c r="K432">
        <f t="shared" si="66"/>
        <v>3</v>
      </c>
      <c r="L432">
        <f t="shared" si="67"/>
        <v>119102</v>
      </c>
      <c r="M432">
        <f t="shared" si="68"/>
        <v>37050</v>
      </c>
      <c r="N432">
        <f t="shared" si="69"/>
        <v>204152</v>
      </c>
      <c r="O432">
        <f>IF(B432="zagraniczny",K432+O431,O431)</f>
        <v>211</v>
      </c>
    </row>
    <row r="433" spans="1:15" x14ac:dyDescent="0.25">
      <c r="A433">
        <v>8863988</v>
      </c>
      <c r="B433" t="str">
        <f t="shared" si="60"/>
        <v>stacjonarny</v>
      </c>
      <c r="C433" s="1">
        <v>42923</v>
      </c>
      <c r="D433" s="2">
        <v>0.37998842592592591</v>
      </c>
      <c r="E433" s="2">
        <v>0.38434027777777779</v>
      </c>
      <c r="F433" s="2">
        <f t="shared" si="61"/>
        <v>4.3518518518518845E-3</v>
      </c>
      <c r="G433">
        <f t="shared" si="62"/>
        <v>0</v>
      </c>
      <c r="H433">
        <f t="shared" si="63"/>
        <v>6</v>
      </c>
      <c r="I433">
        <f t="shared" si="64"/>
        <v>16</v>
      </c>
      <c r="J433">
        <f t="shared" si="65"/>
        <v>376</v>
      </c>
      <c r="K433">
        <f t="shared" si="66"/>
        <v>7</v>
      </c>
      <c r="L433">
        <f t="shared" si="67"/>
        <v>119478</v>
      </c>
      <c r="M433">
        <f t="shared" si="68"/>
        <v>37050</v>
      </c>
      <c r="N433">
        <f t="shared" si="69"/>
        <v>204528</v>
      </c>
      <c r="O433">
        <f>IF(B433="zagraniczny",K433+O432,O432)</f>
        <v>211</v>
      </c>
    </row>
    <row r="434" spans="1:15" x14ac:dyDescent="0.25">
      <c r="A434">
        <v>29121099</v>
      </c>
      <c r="B434" t="str">
        <f t="shared" si="60"/>
        <v>komorkowy</v>
      </c>
      <c r="C434" s="1">
        <v>42923</v>
      </c>
      <c r="D434" s="2">
        <v>0.3835763888888889</v>
      </c>
      <c r="E434" s="2">
        <v>0.38965277777777779</v>
      </c>
      <c r="F434" s="2">
        <f t="shared" si="61"/>
        <v>6.0763888888888951E-3</v>
      </c>
      <c r="G434">
        <f t="shared" si="62"/>
        <v>0</v>
      </c>
      <c r="H434">
        <f t="shared" si="63"/>
        <v>8</v>
      </c>
      <c r="I434">
        <f t="shared" si="64"/>
        <v>45</v>
      </c>
      <c r="J434">
        <f t="shared" si="65"/>
        <v>525</v>
      </c>
      <c r="K434">
        <f t="shared" si="66"/>
        <v>9</v>
      </c>
      <c r="L434">
        <f t="shared" si="67"/>
        <v>119478</v>
      </c>
      <c r="M434">
        <f t="shared" si="68"/>
        <v>37575</v>
      </c>
      <c r="N434">
        <f t="shared" si="69"/>
        <v>205053</v>
      </c>
      <c r="O434">
        <f>IF(B434="zagraniczny",K434+O433,O433)</f>
        <v>211</v>
      </c>
    </row>
    <row r="435" spans="1:15" x14ac:dyDescent="0.25">
      <c r="A435">
        <v>2814524</v>
      </c>
      <c r="B435" t="str">
        <f t="shared" si="60"/>
        <v>stacjonarny</v>
      </c>
      <c r="C435" s="1">
        <v>42923</v>
      </c>
      <c r="D435" s="2">
        <v>0.38922453703703702</v>
      </c>
      <c r="E435" s="2">
        <v>0.39096064814814813</v>
      </c>
      <c r="F435" s="2">
        <f t="shared" si="61"/>
        <v>1.7361111111111049E-3</v>
      </c>
      <c r="G435">
        <f t="shared" si="62"/>
        <v>0</v>
      </c>
      <c r="H435">
        <f t="shared" si="63"/>
        <v>2</v>
      </c>
      <c r="I435">
        <f t="shared" si="64"/>
        <v>30</v>
      </c>
      <c r="J435">
        <f t="shared" si="65"/>
        <v>150</v>
      </c>
      <c r="K435">
        <f t="shared" si="66"/>
        <v>3</v>
      </c>
      <c r="L435">
        <f t="shared" si="67"/>
        <v>119628</v>
      </c>
      <c r="M435">
        <f t="shared" si="68"/>
        <v>37575</v>
      </c>
      <c r="N435">
        <f t="shared" si="69"/>
        <v>205203</v>
      </c>
      <c r="O435">
        <f>IF(B435="zagraniczny",K435+O434,O434)</f>
        <v>211</v>
      </c>
    </row>
    <row r="436" spans="1:15" x14ac:dyDescent="0.25">
      <c r="A436">
        <v>5341697748</v>
      </c>
      <c r="B436" t="str">
        <f t="shared" si="60"/>
        <v>zagraniczny</v>
      </c>
      <c r="C436" s="1">
        <v>42923</v>
      </c>
      <c r="D436" s="2">
        <v>0.39091435185185186</v>
      </c>
      <c r="E436" s="2">
        <v>0.39620370370370372</v>
      </c>
      <c r="F436" s="2">
        <f t="shared" si="61"/>
        <v>5.2893518518518645E-3</v>
      </c>
      <c r="G436">
        <f t="shared" si="62"/>
        <v>0</v>
      </c>
      <c r="H436">
        <f t="shared" si="63"/>
        <v>7</v>
      </c>
      <c r="I436">
        <f t="shared" si="64"/>
        <v>37</v>
      </c>
      <c r="J436">
        <f t="shared" si="65"/>
        <v>457</v>
      </c>
      <c r="K436">
        <f t="shared" si="66"/>
        <v>8</v>
      </c>
      <c r="L436">
        <f t="shared" si="67"/>
        <v>119628</v>
      </c>
      <c r="M436">
        <f t="shared" si="68"/>
        <v>37575</v>
      </c>
      <c r="N436">
        <f t="shared" si="69"/>
        <v>205203</v>
      </c>
      <c r="O436">
        <f>IF(B436="zagraniczny",K436+O435,O435)</f>
        <v>219</v>
      </c>
    </row>
    <row r="437" spans="1:15" x14ac:dyDescent="0.25">
      <c r="A437">
        <v>4102482</v>
      </c>
      <c r="B437" t="str">
        <f t="shared" si="60"/>
        <v>stacjonarny</v>
      </c>
      <c r="C437" s="1">
        <v>42923</v>
      </c>
      <c r="D437" s="2">
        <v>0.39196759259259262</v>
      </c>
      <c r="E437" s="2">
        <v>0.39486111111111111</v>
      </c>
      <c r="F437" s="2">
        <f t="shared" si="61"/>
        <v>2.8935185185184897E-3</v>
      </c>
      <c r="G437">
        <f t="shared" si="62"/>
        <v>0</v>
      </c>
      <c r="H437">
        <f t="shared" si="63"/>
        <v>4</v>
      </c>
      <c r="I437">
        <f t="shared" si="64"/>
        <v>10</v>
      </c>
      <c r="J437">
        <f t="shared" si="65"/>
        <v>250</v>
      </c>
      <c r="K437">
        <f t="shared" si="66"/>
        <v>5</v>
      </c>
      <c r="L437">
        <f t="shared" si="67"/>
        <v>119878</v>
      </c>
      <c r="M437">
        <f t="shared" si="68"/>
        <v>37575</v>
      </c>
      <c r="N437">
        <f t="shared" si="69"/>
        <v>205453</v>
      </c>
      <c r="O437">
        <f>IF(B437="zagraniczny",K437+O436,O436)</f>
        <v>219</v>
      </c>
    </row>
    <row r="438" spans="1:15" x14ac:dyDescent="0.25">
      <c r="A438">
        <v>5636281</v>
      </c>
      <c r="B438" t="str">
        <f t="shared" si="60"/>
        <v>stacjonarny</v>
      </c>
      <c r="C438" s="1">
        <v>42923</v>
      </c>
      <c r="D438" s="2">
        <v>0.39731481481481479</v>
      </c>
      <c r="E438" s="2">
        <v>0.40688657407407408</v>
      </c>
      <c r="F438" s="2">
        <f t="shared" si="61"/>
        <v>9.5717592592592937E-3</v>
      </c>
      <c r="G438">
        <f t="shared" si="62"/>
        <v>0</v>
      </c>
      <c r="H438">
        <f t="shared" si="63"/>
        <v>13</v>
      </c>
      <c r="I438">
        <f t="shared" si="64"/>
        <v>47</v>
      </c>
      <c r="J438">
        <f t="shared" si="65"/>
        <v>827</v>
      </c>
      <c r="K438">
        <f t="shared" si="66"/>
        <v>14</v>
      </c>
      <c r="L438">
        <f t="shared" si="67"/>
        <v>120705</v>
      </c>
      <c r="M438">
        <f t="shared" si="68"/>
        <v>37575</v>
      </c>
      <c r="N438">
        <f t="shared" si="69"/>
        <v>206280</v>
      </c>
      <c r="O438">
        <f>IF(B438="zagraniczny",K438+O437,O437)</f>
        <v>219</v>
      </c>
    </row>
    <row r="439" spans="1:15" x14ac:dyDescent="0.25">
      <c r="A439">
        <v>7715424</v>
      </c>
      <c r="B439" t="str">
        <f t="shared" si="60"/>
        <v>stacjonarny</v>
      </c>
      <c r="C439" s="1">
        <v>42923</v>
      </c>
      <c r="D439" s="2">
        <v>0.40283564814814815</v>
      </c>
      <c r="E439" s="2">
        <v>0.41091435185185188</v>
      </c>
      <c r="F439" s="2">
        <f t="shared" si="61"/>
        <v>8.0787037037037268E-3</v>
      </c>
      <c r="G439">
        <f t="shared" si="62"/>
        <v>0</v>
      </c>
      <c r="H439">
        <f t="shared" si="63"/>
        <v>11</v>
      </c>
      <c r="I439">
        <f t="shared" si="64"/>
        <v>38</v>
      </c>
      <c r="J439">
        <f t="shared" si="65"/>
        <v>698</v>
      </c>
      <c r="K439">
        <f t="shared" si="66"/>
        <v>12</v>
      </c>
      <c r="L439">
        <f t="shared" si="67"/>
        <v>121403</v>
      </c>
      <c r="M439">
        <f t="shared" si="68"/>
        <v>37575</v>
      </c>
      <c r="N439">
        <f t="shared" si="69"/>
        <v>206978</v>
      </c>
      <c r="O439">
        <f>IF(B439="zagraniczny",K439+O438,O438)</f>
        <v>219</v>
      </c>
    </row>
    <row r="440" spans="1:15" x14ac:dyDescent="0.25">
      <c r="A440">
        <v>3811342</v>
      </c>
      <c r="B440" t="str">
        <f t="shared" si="60"/>
        <v>stacjonarny</v>
      </c>
      <c r="C440" s="1">
        <v>42923</v>
      </c>
      <c r="D440" s="2">
        <v>0.4039814814814815</v>
      </c>
      <c r="E440" s="2">
        <v>0.41211805555555553</v>
      </c>
      <c r="F440" s="2">
        <f t="shared" si="61"/>
        <v>8.1365740740740322E-3</v>
      </c>
      <c r="G440">
        <f t="shared" si="62"/>
        <v>0</v>
      </c>
      <c r="H440">
        <f t="shared" si="63"/>
        <v>11</v>
      </c>
      <c r="I440">
        <f t="shared" si="64"/>
        <v>43</v>
      </c>
      <c r="J440">
        <f t="shared" si="65"/>
        <v>703</v>
      </c>
      <c r="K440">
        <f t="shared" si="66"/>
        <v>12</v>
      </c>
      <c r="L440">
        <f t="shared" si="67"/>
        <v>122106</v>
      </c>
      <c r="M440">
        <f t="shared" si="68"/>
        <v>37575</v>
      </c>
      <c r="N440">
        <f t="shared" si="69"/>
        <v>207681</v>
      </c>
      <c r="O440">
        <f>IF(B440="zagraniczny",K440+O439,O439)</f>
        <v>219</v>
      </c>
    </row>
    <row r="441" spans="1:15" x14ac:dyDescent="0.25">
      <c r="A441">
        <v>8177683</v>
      </c>
      <c r="B441" t="str">
        <f t="shared" si="60"/>
        <v>stacjonarny</v>
      </c>
      <c r="C441" s="1">
        <v>42923</v>
      </c>
      <c r="D441" s="2">
        <v>0.40534722222222225</v>
      </c>
      <c r="E441" s="2">
        <v>0.40887731481481482</v>
      </c>
      <c r="F441" s="2">
        <f t="shared" si="61"/>
        <v>3.5300925925925708E-3</v>
      </c>
      <c r="G441">
        <f t="shared" si="62"/>
        <v>0</v>
      </c>
      <c r="H441">
        <f t="shared" si="63"/>
        <v>5</v>
      </c>
      <c r="I441">
        <f t="shared" si="64"/>
        <v>5</v>
      </c>
      <c r="J441">
        <f t="shared" si="65"/>
        <v>305</v>
      </c>
      <c r="K441">
        <f t="shared" si="66"/>
        <v>6</v>
      </c>
      <c r="L441">
        <f t="shared" si="67"/>
        <v>122411</v>
      </c>
      <c r="M441">
        <f t="shared" si="68"/>
        <v>37575</v>
      </c>
      <c r="N441">
        <f t="shared" si="69"/>
        <v>207986</v>
      </c>
      <c r="O441">
        <f>IF(B441="zagraniczny",K441+O440,O440)</f>
        <v>219</v>
      </c>
    </row>
    <row r="442" spans="1:15" x14ac:dyDescent="0.25">
      <c r="A442">
        <v>51367705</v>
      </c>
      <c r="B442" t="str">
        <f t="shared" si="60"/>
        <v>komorkowy</v>
      </c>
      <c r="C442" s="1">
        <v>42923</v>
      </c>
      <c r="D442" s="2">
        <v>0.41025462962962961</v>
      </c>
      <c r="E442" s="2">
        <v>0.41064814814814815</v>
      </c>
      <c r="F442" s="2">
        <f t="shared" si="61"/>
        <v>3.9351851851854303E-4</v>
      </c>
      <c r="G442">
        <f t="shared" si="62"/>
        <v>0</v>
      </c>
      <c r="H442">
        <f t="shared" si="63"/>
        <v>0</v>
      </c>
      <c r="I442">
        <f t="shared" si="64"/>
        <v>34</v>
      </c>
      <c r="J442">
        <f t="shared" si="65"/>
        <v>34</v>
      </c>
      <c r="K442">
        <f t="shared" si="66"/>
        <v>1</v>
      </c>
      <c r="L442">
        <f t="shared" si="67"/>
        <v>122411</v>
      </c>
      <c r="M442">
        <f t="shared" si="68"/>
        <v>37609</v>
      </c>
      <c r="N442">
        <f t="shared" si="69"/>
        <v>208020</v>
      </c>
      <c r="O442">
        <f>IF(B442="zagraniczny",K442+O441,O441)</f>
        <v>219</v>
      </c>
    </row>
    <row r="443" spans="1:15" x14ac:dyDescent="0.25">
      <c r="A443">
        <v>7646265</v>
      </c>
      <c r="B443" t="str">
        <f t="shared" si="60"/>
        <v>stacjonarny</v>
      </c>
      <c r="C443" s="1">
        <v>42923</v>
      </c>
      <c r="D443" s="2">
        <v>0.4103472222222222</v>
      </c>
      <c r="E443" s="2">
        <v>0.41578703703703701</v>
      </c>
      <c r="F443" s="2">
        <f t="shared" si="61"/>
        <v>5.439814814814814E-3</v>
      </c>
      <c r="G443">
        <f t="shared" si="62"/>
        <v>0</v>
      </c>
      <c r="H443">
        <f t="shared" si="63"/>
        <v>7</v>
      </c>
      <c r="I443">
        <f t="shared" si="64"/>
        <v>50</v>
      </c>
      <c r="J443">
        <f t="shared" si="65"/>
        <v>470</v>
      </c>
      <c r="K443">
        <f t="shared" si="66"/>
        <v>8</v>
      </c>
      <c r="L443">
        <f t="shared" si="67"/>
        <v>122881</v>
      </c>
      <c r="M443">
        <f t="shared" si="68"/>
        <v>37609</v>
      </c>
      <c r="N443">
        <f t="shared" si="69"/>
        <v>208490</v>
      </c>
      <c r="O443">
        <f>IF(B443="zagraniczny",K443+O442,O442)</f>
        <v>219</v>
      </c>
    </row>
    <row r="444" spans="1:15" x14ac:dyDescent="0.25">
      <c r="A444">
        <v>37906881</v>
      </c>
      <c r="B444" t="str">
        <f t="shared" si="60"/>
        <v>komorkowy</v>
      </c>
      <c r="C444" s="1">
        <v>42923</v>
      </c>
      <c r="D444" s="2">
        <v>0.41248842592592594</v>
      </c>
      <c r="E444" s="2">
        <v>0.41328703703703706</v>
      </c>
      <c r="F444" s="2">
        <f t="shared" si="61"/>
        <v>7.9861111111112493E-4</v>
      </c>
      <c r="G444">
        <f t="shared" si="62"/>
        <v>0</v>
      </c>
      <c r="H444">
        <f t="shared" si="63"/>
        <v>1</v>
      </c>
      <c r="I444">
        <f t="shared" si="64"/>
        <v>9</v>
      </c>
      <c r="J444">
        <f t="shared" si="65"/>
        <v>69</v>
      </c>
      <c r="K444">
        <f t="shared" si="66"/>
        <v>2</v>
      </c>
      <c r="L444">
        <f t="shared" si="67"/>
        <v>122881</v>
      </c>
      <c r="M444">
        <f t="shared" si="68"/>
        <v>37678</v>
      </c>
      <c r="N444">
        <f t="shared" si="69"/>
        <v>208559</v>
      </c>
      <c r="O444">
        <f>IF(B444="zagraniczny",K444+O443,O443)</f>
        <v>219</v>
      </c>
    </row>
    <row r="445" spans="1:15" x14ac:dyDescent="0.25">
      <c r="A445">
        <v>9740908</v>
      </c>
      <c r="B445" t="str">
        <f t="shared" si="60"/>
        <v>stacjonarny</v>
      </c>
      <c r="C445" s="1">
        <v>42923</v>
      </c>
      <c r="D445" s="2">
        <v>0.41260416666666666</v>
      </c>
      <c r="E445" s="2">
        <v>0.41520833333333335</v>
      </c>
      <c r="F445" s="2">
        <f t="shared" si="61"/>
        <v>2.6041666666666852E-3</v>
      </c>
      <c r="G445">
        <f t="shared" si="62"/>
        <v>0</v>
      </c>
      <c r="H445">
        <f t="shared" si="63"/>
        <v>3</v>
      </c>
      <c r="I445">
        <f t="shared" si="64"/>
        <v>45</v>
      </c>
      <c r="J445">
        <f t="shared" si="65"/>
        <v>225</v>
      </c>
      <c r="K445">
        <f t="shared" si="66"/>
        <v>4</v>
      </c>
      <c r="L445">
        <f t="shared" si="67"/>
        <v>123106</v>
      </c>
      <c r="M445">
        <f t="shared" si="68"/>
        <v>37678</v>
      </c>
      <c r="N445">
        <f t="shared" si="69"/>
        <v>208784</v>
      </c>
      <c r="O445">
        <f>IF(B445="zagraniczny",K445+O444,O444)</f>
        <v>219</v>
      </c>
    </row>
    <row r="446" spans="1:15" x14ac:dyDescent="0.25">
      <c r="A446">
        <v>45948073</v>
      </c>
      <c r="B446" t="str">
        <f t="shared" si="60"/>
        <v>komorkowy</v>
      </c>
      <c r="C446" s="1">
        <v>42923</v>
      </c>
      <c r="D446" s="2">
        <v>0.41680555555555554</v>
      </c>
      <c r="E446" s="2">
        <v>0.4243865740740741</v>
      </c>
      <c r="F446" s="2">
        <f t="shared" si="61"/>
        <v>7.5810185185185563E-3</v>
      </c>
      <c r="G446">
        <f t="shared" si="62"/>
        <v>0</v>
      </c>
      <c r="H446">
        <f t="shared" si="63"/>
        <v>10</v>
      </c>
      <c r="I446">
        <f t="shared" si="64"/>
        <v>55</v>
      </c>
      <c r="J446">
        <f t="shared" si="65"/>
        <v>655</v>
      </c>
      <c r="K446">
        <f t="shared" si="66"/>
        <v>11</v>
      </c>
      <c r="L446">
        <f t="shared" si="67"/>
        <v>123106</v>
      </c>
      <c r="M446">
        <f t="shared" si="68"/>
        <v>38333</v>
      </c>
      <c r="N446">
        <f t="shared" si="69"/>
        <v>209439</v>
      </c>
      <c r="O446">
        <f>IF(B446="zagraniczny",K446+O445,O445)</f>
        <v>219</v>
      </c>
    </row>
    <row r="447" spans="1:15" x14ac:dyDescent="0.25">
      <c r="A447">
        <v>8070345</v>
      </c>
      <c r="B447" t="str">
        <f t="shared" si="60"/>
        <v>stacjonarny</v>
      </c>
      <c r="C447" s="1">
        <v>42923</v>
      </c>
      <c r="D447" s="2">
        <v>0.41829861111111111</v>
      </c>
      <c r="E447" s="2">
        <v>0.42706018518518518</v>
      </c>
      <c r="F447" s="2">
        <f t="shared" si="61"/>
        <v>8.7615740740740744E-3</v>
      </c>
      <c r="G447">
        <f t="shared" si="62"/>
        <v>0</v>
      </c>
      <c r="H447">
        <f t="shared" si="63"/>
        <v>12</v>
      </c>
      <c r="I447">
        <f t="shared" si="64"/>
        <v>37</v>
      </c>
      <c r="J447">
        <f t="shared" si="65"/>
        <v>757</v>
      </c>
      <c r="K447">
        <f t="shared" si="66"/>
        <v>13</v>
      </c>
      <c r="L447">
        <f t="shared" si="67"/>
        <v>123863</v>
      </c>
      <c r="M447">
        <f t="shared" si="68"/>
        <v>38333</v>
      </c>
      <c r="N447">
        <f t="shared" si="69"/>
        <v>210196</v>
      </c>
      <c r="O447">
        <f>IF(B447="zagraniczny",K447+O446,O446)</f>
        <v>219</v>
      </c>
    </row>
    <row r="448" spans="1:15" x14ac:dyDescent="0.25">
      <c r="A448">
        <v>52214055</v>
      </c>
      <c r="B448" t="str">
        <f t="shared" si="60"/>
        <v>komorkowy</v>
      </c>
      <c r="C448" s="1">
        <v>42923</v>
      </c>
      <c r="D448" s="2">
        <v>0.4199074074074074</v>
      </c>
      <c r="E448" s="2">
        <v>0.42357638888888888</v>
      </c>
      <c r="F448" s="2">
        <f t="shared" si="61"/>
        <v>3.6689814814814814E-3</v>
      </c>
      <c r="G448">
        <f t="shared" si="62"/>
        <v>0</v>
      </c>
      <c r="H448">
        <f t="shared" si="63"/>
        <v>5</v>
      </c>
      <c r="I448">
        <f t="shared" si="64"/>
        <v>17</v>
      </c>
      <c r="J448">
        <f t="shared" si="65"/>
        <v>317</v>
      </c>
      <c r="K448">
        <f t="shared" si="66"/>
        <v>6</v>
      </c>
      <c r="L448">
        <f t="shared" si="67"/>
        <v>123863</v>
      </c>
      <c r="M448">
        <f t="shared" si="68"/>
        <v>38650</v>
      </c>
      <c r="N448">
        <f t="shared" si="69"/>
        <v>210513</v>
      </c>
      <c r="O448">
        <f>IF(B448="zagraniczny",K448+O447,O447)</f>
        <v>219</v>
      </c>
    </row>
    <row r="449" spans="1:15" x14ac:dyDescent="0.25">
      <c r="A449">
        <v>8434044</v>
      </c>
      <c r="B449" t="str">
        <f t="shared" si="60"/>
        <v>stacjonarny</v>
      </c>
      <c r="C449" s="1">
        <v>42923</v>
      </c>
      <c r="D449" s="2">
        <v>0.42149305555555555</v>
      </c>
      <c r="E449" s="2">
        <v>0.42736111111111114</v>
      </c>
      <c r="F449" s="2">
        <f t="shared" si="61"/>
        <v>5.8680555555555847E-3</v>
      </c>
      <c r="G449">
        <f t="shared" si="62"/>
        <v>0</v>
      </c>
      <c r="H449">
        <f t="shared" si="63"/>
        <v>8</v>
      </c>
      <c r="I449">
        <f t="shared" si="64"/>
        <v>27</v>
      </c>
      <c r="J449">
        <f t="shared" si="65"/>
        <v>507</v>
      </c>
      <c r="K449">
        <f t="shared" si="66"/>
        <v>9</v>
      </c>
      <c r="L449">
        <f t="shared" si="67"/>
        <v>124370</v>
      </c>
      <c r="M449">
        <f t="shared" si="68"/>
        <v>38650</v>
      </c>
      <c r="N449">
        <f t="shared" si="69"/>
        <v>211020</v>
      </c>
      <c r="O449">
        <f>IF(B449="zagraniczny",K449+O448,O448)</f>
        <v>219</v>
      </c>
    </row>
    <row r="450" spans="1:15" x14ac:dyDescent="0.25">
      <c r="A450">
        <v>4702334</v>
      </c>
      <c r="B450" t="str">
        <f t="shared" si="60"/>
        <v>stacjonarny</v>
      </c>
      <c r="C450" s="1">
        <v>42923</v>
      </c>
      <c r="D450" s="2">
        <v>0.4255902777777778</v>
      </c>
      <c r="E450" s="2">
        <v>0.43464120370370368</v>
      </c>
      <c r="F450" s="2">
        <f t="shared" si="61"/>
        <v>9.050925925925879E-3</v>
      </c>
      <c r="G450">
        <f t="shared" si="62"/>
        <v>0</v>
      </c>
      <c r="H450">
        <f t="shared" si="63"/>
        <v>13</v>
      </c>
      <c r="I450">
        <f t="shared" si="64"/>
        <v>2</v>
      </c>
      <c r="J450">
        <f t="shared" si="65"/>
        <v>782</v>
      </c>
      <c r="K450">
        <f t="shared" si="66"/>
        <v>14</v>
      </c>
      <c r="L450">
        <f t="shared" si="67"/>
        <v>125152</v>
      </c>
      <c r="M450">
        <f t="shared" si="68"/>
        <v>38650</v>
      </c>
      <c r="N450">
        <f t="shared" si="69"/>
        <v>211802</v>
      </c>
      <c r="O450">
        <f>IF(B450="zagraniczny",K450+O449,O449)</f>
        <v>219</v>
      </c>
    </row>
    <row r="451" spans="1:15" x14ac:dyDescent="0.25">
      <c r="A451">
        <v>1308483040</v>
      </c>
      <c r="B451" t="str">
        <f t="shared" ref="B451:B514" si="70">IF(LEN(A451)=7,"stacjonarny",IF(LEN(A451)=8,"komorkowy","zagraniczny"))</f>
        <v>zagraniczny</v>
      </c>
      <c r="C451" s="1">
        <v>42923</v>
      </c>
      <c r="D451" s="2">
        <v>0.43016203703703704</v>
      </c>
      <c r="E451" s="2">
        <v>0.44123842592592594</v>
      </c>
      <c r="F451" s="2">
        <f t="shared" ref="F451:F514" si="71">E451-D451</f>
        <v>1.1076388888888899E-2</v>
      </c>
      <c r="G451">
        <f t="shared" ref="G451:G514" si="72">HOUR(F451)</f>
        <v>0</v>
      </c>
      <c r="H451">
        <f t="shared" ref="H451:H514" si="73">MINUTE(F451)</f>
        <v>15</v>
      </c>
      <c r="I451">
        <f t="shared" ref="I451:I514" si="74">SECOND(F451)</f>
        <v>57</v>
      </c>
      <c r="J451">
        <f t="shared" ref="J451:J514" si="75">H451*60+I451</f>
        <v>957</v>
      </c>
      <c r="K451">
        <f t="shared" ref="K451:K514" si="76">IF(I451&gt;0,G451*60+H451+1,H451+G451*60)</f>
        <v>16</v>
      </c>
      <c r="L451">
        <f t="shared" si="67"/>
        <v>125152</v>
      </c>
      <c r="M451">
        <f t="shared" si="68"/>
        <v>38650</v>
      </c>
      <c r="N451">
        <f t="shared" si="69"/>
        <v>211802</v>
      </c>
      <c r="O451">
        <f>IF(B451="zagraniczny",K451+O450,O450)</f>
        <v>235</v>
      </c>
    </row>
    <row r="452" spans="1:15" x14ac:dyDescent="0.25">
      <c r="A452">
        <v>34556399</v>
      </c>
      <c r="B452" t="str">
        <f t="shared" si="70"/>
        <v>komorkowy</v>
      </c>
      <c r="C452" s="1">
        <v>42923</v>
      </c>
      <c r="D452" s="2">
        <v>0.43146990740740743</v>
      </c>
      <c r="E452" s="2">
        <v>0.43192129629629628</v>
      </c>
      <c r="F452" s="2">
        <f t="shared" si="71"/>
        <v>4.5138888888884843E-4</v>
      </c>
      <c r="G452">
        <f t="shared" si="72"/>
        <v>0</v>
      </c>
      <c r="H452">
        <f t="shared" si="73"/>
        <v>0</v>
      </c>
      <c r="I452">
        <f t="shared" si="74"/>
        <v>39</v>
      </c>
      <c r="J452">
        <f t="shared" si="75"/>
        <v>39</v>
      </c>
      <c r="K452">
        <f t="shared" si="76"/>
        <v>1</v>
      </c>
      <c r="L452">
        <f t="shared" ref="L452:L515" si="77">IF(B452="stacjonarny",$J452+L451,L451)</f>
        <v>125152</v>
      </c>
      <c r="M452">
        <f t="shared" ref="M452:M515" si="78">IF(B452="komorkowy",$J452+M451,M451)</f>
        <v>38689</v>
      </c>
      <c r="N452">
        <f t="shared" ref="N452:N515" si="79">IF(OR(B452="stacjonarny",B452="komorkowy"),J452+N451,N451)</f>
        <v>211841</v>
      </c>
      <c r="O452">
        <f>IF(B452="zagraniczny",K452+O451,O451)</f>
        <v>235</v>
      </c>
    </row>
    <row r="453" spans="1:15" x14ac:dyDescent="0.25">
      <c r="A453">
        <v>48676568</v>
      </c>
      <c r="B453" t="str">
        <f t="shared" si="70"/>
        <v>komorkowy</v>
      </c>
      <c r="C453" s="1">
        <v>42923</v>
      </c>
      <c r="D453" s="2">
        <v>0.43313657407407408</v>
      </c>
      <c r="E453" s="2">
        <v>0.43811342592592595</v>
      </c>
      <c r="F453" s="2">
        <f t="shared" si="71"/>
        <v>4.9768518518518712E-3</v>
      </c>
      <c r="G453">
        <f t="shared" si="72"/>
        <v>0</v>
      </c>
      <c r="H453">
        <f t="shared" si="73"/>
        <v>7</v>
      </c>
      <c r="I453">
        <f t="shared" si="74"/>
        <v>10</v>
      </c>
      <c r="J453">
        <f t="shared" si="75"/>
        <v>430</v>
      </c>
      <c r="K453">
        <f t="shared" si="76"/>
        <v>8</v>
      </c>
      <c r="L453">
        <f t="shared" si="77"/>
        <v>125152</v>
      </c>
      <c r="M453">
        <f t="shared" si="78"/>
        <v>39119</v>
      </c>
      <c r="N453">
        <f t="shared" si="79"/>
        <v>212271</v>
      </c>
      <c r="O453">
        <f>IF(B453="zagraniczny",K453+O452,O452)</f>
        <v>235</v>
      </c>
    </row>
    <row r="454" spans="1:15" x14ac:dyDescent="0.25">
      <c r="A454">
        <v>1887758</v>
      </c>
      <c r="B454" t="str">
        <f t="shared" si="70"/>
        <v>stacjonarny</v>
      </c>
      <c r="C454" s="1">
        <v>42923</v>
      </c>
      <c r="D454" s="2">
        <v>0.43752314814814813</v>
      </c>
      <c r="E454" s="2">
        <v>0.44806712962962963</v>
      </c>
      <c r="F454" s="2">
        <f t="shared" si="71"/>
        <v>1.0543981481481501E-2</v>
      </c>
      <c r="G454">
        <f t="shared" si="72"/>
        <v>0</v>
      </c>
      <c r="H454">
        <f t="shared" si="73"/>
        <v>15</v>
      </c>
      <c r="I454">
        <f t="shared" si="74"/>
        <v>11</v>
      </c>
      <c r="J454">
        <f t="shared" si="75"/>
        <v>911</v>
      </c>
      <c r="K454">
        <f t="shared" si="76"/>
        <v>16</v>
      </c>
      <c r="L454">
        <f t="shared" si="77"/>
        <v>126063</v>
      </c>
      <c r="M454">
        <f t="shared" si="78"/>
        <v>39119</v>
      </c>
      <c r="N454">
        <f t="shared" si="79"/>
        <v>213182</v>
      </c>
      <c r="O454">
        <f>IF(B454="zagraniczny",K454+O453,O453)</f>
        <v>235</v>
      </c>
    </row>
    <row r="455" spans="1:15" x14ac:dyDescent="0.25">
      <c r="A455">
        <v>3505978</v>
      </c>
      <c r="B455" t="str">
        <f t="shared" si="70"/>
        <v>stacjonarny</v>
      </c>
      <c r="C455" s="1">
        <v>42923</v>
      </c>
      <c r="D455" s="2">
        <v>0.44184027777777779</v>
      </c>
      <c r="E455" s="2">
        <v>0.44582175925925926</v>
      </c>
      <c r="F455" s="2">
        <f t="shared" si="71"/>
        <v>3.9814814814814747E-3</v>
      </c>
      <c r="G455">
        <f t="shared" si="72"/>
        <v>0</v>
      </c>
      <c r="H455">
        <f t="shared" si="73"/>
        <v>5</v>
      </c>
      <c r="I455">
        <f t="shared" si="74"/>
        <v>44</v>
      </c>
      <c r="J455">
        <f t="shared" si="75"/>
        <v>344</v>
      </c>
      <c r="K455">
        <f t="shared" si="76"/>
        <v>6</v>
      </c>
      <c r="L455">
        <f t="shared" si="77"/>
        <v>126407</v>
      </c>
      <c r="M455">
        <f t="shared" si="78"/>
        <v>39119</v>
      </c>
      <c r="N455">
        <f t="shared" si="79"/>
        <v>213526</v>
      </c>
      <c r="O455">
        <f>IF(B455="zagraniczny",K455+O454,O454)</f>
        <v>235</v>
      </c>
    </row>
    <row r="456" spans="1:15" x14ac:dyDescent="0.25">
      <c r="A456">
        <v>4405604</v>
      </c>
      <c r="B456" t="str">
        <f t="shared" si="70"/>
        <v>stacjonarny</v>
      </c>
      <c r="C456" s="1">
        <v>42923</v>
      </c>
      <c r="D456" s="2">
        <v>0.44543981481481482</v>
      </c>
      <c r="E456" s="2">
        <v>0.45271990740740742</v>
      </c>
      <c r="F456" s="2">
        <f t="shared" si="71"/>
        <v>7.2800925925926019E-3</v>
      </c>
      <c r="G456">
        <f t="shared" si="72"/>
        <v>0</v>
      </c>
      <c r="H456">
        <f t="shared" si="73"/>
        <v>10</v>
      </c>
      <c r="I456">
        <f t="shared" si="74"/>
        <v>29</v>
      </c>
      <c r="J456">
        <f t="shared" si="75"/>
        <v>629</v>
      </c>
      <c r="K456">
        <f t="shared" si="76"/>
        <v>11</v>
      </c>
      <c r="L456">
        <f t="shared" si="77"/>
        <v>127036</v>
      </c>
      <c r="M456">
        <f t="shared" si="78"/>
        <v>39119</v>
      </c>
      <c r="N456">
        <f t="shared" si="79"/>
        <v>214155</v>
      </c>
      <c r="O456">
        <f>IF(B456="zagraniczny",K456+O455,O455)</f>
        <v>235</v>
      </c>
    </row>
    <row r="457" spans="1:15" x14ac:dyDescent="0.25">
      <c r="A457">
        <v>2327418</v>
      </c>
      <c r="B457" t="str">
        <f t="shared" si="70"/>
        <v>stacjonarny</v>
      </c>
      <c r="C457" s="1">
        <v>42923</v>
      </c>
      <c r="D457" s="2">
        <v>0.44775462962962964</v>
      </c>
      <c r="E457" s="2">
        <v>0.45450231481481479</v>
      </c>
      <c r="F457" s="2">
        <f t="shared" si="71"/>
        <v>6.7476851851851483E-3</v>
      </c>
      <c r="G457">
        <f t="shared" si="72"/>
        <v>0</v>
      </c>
      <c r="H457">
        <f t="shared" si="73"/>
        <v>9</v>
      </c>
      <c r="I457">
        <f t="shared" si="74"/>
        <v>43</v>
      </c>
      <c r="J457">
        <f t="shared" si="75"/>
        <v>583</v>
      </c>
      <c r="K457">
        <f t="shared" si="76"/>
        <v>10</v>
      </c>
      <c r="L457">
        <f t="shared" si="77"/>
        <v>127619</v>
      </c>
      <c r="M457">
        <f t="shared" si="78"/>
        <v>39119</v>
      </c>
      <c r="N457">
        <f t="shared" si="79"/>
        <v>214738</v>
      </c>
      <c r="O457">
        <f>IF(B457="zagraniczny",K457+O456,O456)</f>
        <v>235</v>
      </c>
    </row>
    <row r="458" spans="1:15" x14ac:dyDescent="0.25">
      <c r="A458">
        <v>5205087</v>
      </c>
      <c r="B458" t="str">
        <f t="shared" si="70"/>
        <v>stacjonarny</v>
      </c>
      <c r="C458" s="1">
        <v>42923</v>
      </c>
      <c r="D458" s="2">
        <v>0.44927083333333334</v>
      </c>
      <c r="E458" s="2">
        <v>0.45666666666666667</v>
      </c>
      <c r="F458" s="2">
        <f t="shared" si="71"/>
        <v>7.3958333333333237E-3</v>
      </c>
      <c r="G458">
        <f t="shared" si="72"/>
        <v>0</v>
      </c>
      <c r="H458">
        <f t="shared" si="73"/>
        <v>10</v>
      </c>
      <c r="I458">
        <f t="shared" si="74"/>
        <v>39</v>
      </c>
      <c r="J458">
        <f t="shared" si="75"/>
        <v>639</v>
      </c>
      <c r="K458">
        <f t="shared" si="76"/>
        <v>11</v>
      </c>
      <c r="L458">
        <f t="shared" si="77"/>
        <v>128258</v>
      </c>
      <c r="M458">
        <f t="shared" si="78"/>
        <v>39119</v>
      </c>
      <c r="N458">
        <f t="shared" si="79"/>
        <v>215377</v>
      </c>
      <c r="O458">
        <f>IF(B458="zagraniczny",K458+O457,O457)</f>
        <v>235</v>
      </c>
    </row>
    <row r="459" spans="1:15" x14ac:dyDescent="0.25">
      <c r="A459">
        <v>1936989939</v>
      </c>
      <c r="B459" t="str">
        <f t="shared" si="70"/>
        <v>zagraniczny</v>
      </c>
      <c r="C459" s="1">
        <v>42923</v>
      </c>
      <c r="D459" s="2">
        <v>0.45091435185185186</v>
      </c>
      <c r="E459" s="2">
        <v>0.4586574074074074</v>
      </c>
      <c r="F459" s="2">
        <f t="shared" si="71"/>
        <v>7.7430555555555447E-3</v>
      </c>
      <c r="G459">
        <f t="shared" si="72"/>
        <v>0</v>
      </c>
      <c r="H459">
        <f t="shared" si="73"/>
        <v>11</v>
      </c>
      <c r="I459">
        <f t="shared" si="74"/>
        <v>9</v>
      </c>
      <c r="J459">
        <f t="shared" si="75"/>
        <v>669</v>
      </c>
      <c r="K459">
        <f t="shared" si="76"/>
        <v>12</v>
      </c>
      <c r="L459">
        <f t="shared" si="77"/>
        <v>128258</v>
      </c>
      <c r="M459">
        <f t="shared" si="78"/>
        <v>39119</v>
      </c>
      <c r="N459">
        <f t="shared" si="79"/>
        <v>215377</v>
      </c>
      <c r="O459">
        <f>IF(B459="zagraniczny",K459+O458,O458)</f>
        <v>247</v>
      </c>
    </row>
    <row r="460" spans="1:15" x14ac:dyDescent="0.25">
      <c r="A460">
        <v>2722706</v>
      </c>
      <c r="B460" t="str">
        <f t="shared" si="70"/>
        <v>stacjonarny</v>
      </c>
      <c r="C460" s="1">
        <v>42923</v>
      </c>
      <c r="D460" s="2">
        <v>0.45416666666666666</v>
      </c>
      <c r="E460" s="2">
        <v>0.46155092592592595</v>
      </c>
      <c r="F460" s="2">
        <f t="shared" si="71"/>
        <v>7.3842592592592848E-3</v>
      </c>
      <c r="G460">
        <f t="shared" si="72"/>
        <v>0</v>
      </c>
      <c r="H460">
        <f t="shared" si="73"/>
        <v>10</v>
      </c>
      <c r="I460">
        <f t="shared" si="74"/>
        <v>38</v>
      </c>
      <c r="J460">
        <f t="shared" si="75"/>
        <v>638</v>
      </c>
      <c r="K460">
        <f t="shared" si="76"/>
        <v>11</v>
      </c>
      <c r="L460">
        <f t="shared" si="77"/>
        <v>128896</v>
      </c>
      <c r="M460">
        <f t="shared" si="78"/>
        <v>39119</v>
      </c>
      <c r="N460">
        <f t="shared" si="79"/>
        <v>216015</v>
      </c>
      <c r="O460">
        <f>IF(B460="zagraniczny",K460+O459,O459)</f>
        <v>247</v>
      </c>
    </row>
    <row r="461" spans="1:15" x14ac:dyDescent="0.25">
      <c r="A461">
        <v>3018218</v>
      </c>
      <c r="B461" t="str">
        <f t="shared" si="70"/>
        <v>stacjonarny</v>
      </c>
      <c r="C461" s="1">
        <v>42923</v>
      </c>
      <c r="D461" s="2">
        <v>0.45950231481481479</v>
      </c>
      <c r="E461" s="2">
        <v>0.46091435185185187</v>
      </c>
      <c r="F461" s="2">
        <f t="shared" si="71"/>
        <v>1.4120370370370727E-3</v>
      </c>
      <c r="G461">
        <f t="shared" si="72"/>
        <v>0</v>
      </c>
      <c r="H461">
        <f t="shared" si="73"/>
        <v>2</v>
      </c>
      <c r="I461">
        <f t="shared" si="74"/>
        <v>2</v>
      </c>
      <c r="J461">
        <f t="shared" si="75"/>
        <v>122</v>
      </c>
      <c r="K461">
        <f t="shared" si="76"/>
        <v>3</v>
      </c>
      <c r="L461">
        <f t="shared" si="77"/>
        <v>129018</v>
      </c>
      <c r="M461">
        <f t="shared" si="78"/>
        <v>39119</v>
      </c>
      <c r="N461">
        <f t="shared" si="79"/>
        <v>216137</v>
      </c>
      <c r="O461">
        <f>IF(B461="zagraniczny",K461+O460,O460)</f>
        <v>247</v>
      </c>
    </row>
    <row r="462" spans="1:15" x14ac:dyDescent="0.25">
      <c r="A462">
        <v>3765658</v>
      </c>
      <c r="B462" t="str">
        <f t="shared" si="70"/>
        <v>stacjonarny</v>
      </c>
      <c r="C462" s="1">
        <v>42923</v>
      </c>
      <c r="D462" s="2">
        <v>0.45981481481481479</v>
      </c>
      <c r="E462" s="2">
        <v>0.46148148148148149</v>
      </c>
      <c r="F462" s="2">
        <f t="shared" si="71"/>
        <v>1.6666666666667052E-3</v>
      </c>
      <c r="G462">
        <f t="shared" si="72"/>
        <v>0</v>
      </c>
      <c r="H462">
        <f t="shared" si="73"/>
        <v>2</v>
      </c>
      <c r="I462">
        <f t="shared" si="74"/>
        <v>24</v>
      </c>
      <c r="J462">
        <f t="shared" si="75"/>
        <v>144</v>
      </c>
      <c r="K462">
        <f t="shared" si="76"/>
        <v>3</v>
      </c>
      <c r="L462">
        <f t="shared" si="77"/>
        <v>129162</v>
      </c>
      <c r="M462">
        <f t="shared" si="78"/>
        <v>39119</v>
      </c>
      <c r="N462">
        <f t="shared" si="79"/>
        <v>216281</v>
      </c>
      <c r="O462">
        <f>IF(B462="zagraniczny",K462+O461,O461)</f>
        <v>247</v>
      </c>
    </row>
    <row r="463" spans="1:15" x14ac:dyDescent="0.25">
      <c r="A463">
        <v>43109897</v>
      </c>
      <c r="B463" t="str">
        <f t="shared" si="70"/>
        <v>komorkowy</v>
      </c>
      <c r="C463" s="1">
        <v>42923</v>
      </c>
      <c r="D463" s="2">
        <v>0.46357638888888891</v>
      </c>
      <c r="E463" s="2">
        <v>0.46807870370370369</v>
      </c>
      <c r="F463" s="2">
        <f t="shared" si="71"/>
        <v>4.5023148148147785E-3</v>
      </c>
      <c r="G463">
        <f t="shared" si="72"/>
        <v>0</v>
      </c>
      <c r="H463">
        <f t="shared" si="73"/>
        <v>6</v>
      </c>
      <c r="I463">
        <f t="shared" si="74"/>
        <v>29</v>
      </c>
      <c r="J463">
        <f t="shared" si="75"/>
        <v>389</v>
      </c>
      <c r="K463">
        <f t="shared" si="76"/>
        <v>7</v>
      </c>
      <c r="L463">
        <f t="shared" si="77"/>
        <v>129162</v>
      </c>
      <c r="M463">
        <f t="shared" si="78"/>
        <v>39508</v>
      </c>
      <c r="N463">
        <f t="shared" si="79"/>
        <v>216670</v>
      </c>
      <c r="O463">
        <f>IF(B463="zagraniczny",K463+O462,O462)</f>
        <v>247</v>
      </c>
    </row>
    <row r="464" spans="1:15" x14ac:dyDescent="0.25">
      <c r="A464">
        <v>3178616</v>
      </c>
      <c r="B464" t="str">
        <f t="shared" si="70"/>
        <v>stacjonarny</v>
      </c>
      <c r="C464" s="1">
        <v>42923</v>
      </c>
      <c r="D464" s="2">
        <v>0.46891203703703704</v>
      </c>
      <c r="E464" s="2">
        <v>0.47209490740740739</v>
      </c>
      <c r="F464" s="2">
        <f t="shared" si="71"/>
        <v>3.1828703703703498E-3</v>
      </c>
      <c r="G464">
        <f t="shared" si="72"/>
        <v>0</v>
      </c>
      <c r="H464">
        <f t="shared" si="73"/>
        <v>4</v>
      </c>
      <c r="I464">
        <f t="shared" si="74"/>
        <v>35</v>
      </c>
      <c r="J464">
        <f t="shared" si="75"/>
        <v>275</v>
      </c>
      <c r="K464">
        <f t="shared" si="76"/>
        <v>5</v>
      </c>
      <c r="L464">
        <f t="shared" si="77"/>
        <v>129437</v>
      </c>
      <c r="M464">
        <f t="shared" si="78"/>
        <v>39508</v>
      </c>
      <c r="N464">
        <f t="shared" si="79"/>
        <v>216945</v>
      </c>
      <c r="O464">
        <f>IF(B464="zagraniczny",K464+O463,O463)</f>
        <v>247</v>
      </c>
    </row>
    <row r="465" spans="1:15" x14ac:dyDescent="0.25">
      <c r="A465">
        <v>71207090</v>
      </c>
      <c r="B465" t="str">
        <f t="shared" si="70"/>
        <v>komorkowy</v>
      </c>
      <c r="C465" s="1">
        <v>42923</v>
      </c>
      <c r="D465" s="2">
        <v>0.47127314814814814</v>
      </c>
      <c r="E465" s="2">
        <v>0.47475694444444444</v>
      </c>
      <c r="F465" s="2">
        <f t="shared" si="71"/>
        <v>3.4837962962963043E-3</v>
      </c>
      <c r="G465">
        <f t="shared" si="72"/>
        <v>0</v>
      </c>
      <c r="H465">
        <f t="shared" si="73"/>
        <v>5</v>
      </c>
      <c r="I465">
        <f t="shared" si="74"/>
        <v>1</v>
      </c>
      <c r="J465">
        <f t="shared" si="75"/>
        <v>301</v>
      </c>
      <c r="K465">
        <f t="shared" si="76"/>
        <v>6</v>
      </c>
      <c r="L465">
        <f t="shared" si="77"/>
        <v>129437</v>
      </c>
      <c r="M465">
        <f t="shared" si="78"/>
        <v>39809</v>
      </c>
      <c r="N465">
        <f t="shared" si="79"/>
        <v>217246</v>
      </c>
      <c r="O465">
        <f>IF(B465="zagraniczny",K465+O464,O464)</f>
        <v>247</v>
      </c>
    </row>
    <row r="466" spans="1:15" x14ac:dyDescent="0.25">
      <c r="A466">
        <v>3465997</v>
      </c>
      <c r="B466" t="str">
        <f t="shared" si="70"/>
        <v>stacjonarny</v>
      </c>
      <c r="C466" s="1">
        <v>42923</v>
      </c>
      <c r="D466" s="2">
        <v>0.47285879629629629</v>
      </c>
      <c r="E466" s="2">
        <v>0.47479166666666667</v>
      </c>
      <c r="F466" s="2">
        <f t="shared" si="71"/>
        <v>1.9328703703703765E-3</v>
      </c>
      <c r="G466">
        <f t="shared" si="72"/>
        <v>0</v>
      </c>
      <c r="H466">
        <f t="shared" si="73"/>
        <v>2</v>
      </c>
      <c r="I466">
        <f t="shared" si="74"/>
        <v>47</v>
      </c>
      <c r="J466">
        <f t="shared" si="75"/>
        <v>167</v>
      </c>
      <c r="K466">
        <f t="shared" si="76"/>
        <v>3</v>
      </c>
      <c r="L466">
        <f t="shared" si="77"/>
        <v>129604</v>
      </c>
      <c r="M466">
        <f t="shared" si="78"/>
        <v>39809</v>
      </c>
      <c r="N466">
        <f t="shared" si="79"/>
        <v>217413</v>
      </c>
      <c r="O466">
        <f>IF(B466="zagraniczny",K466+O465,O465)</f>
        <v>247</v>
      </c>
    </row>
    <row r="467" spans="1:15" x14ac:dyDescent="0.25">
      <c r="A467">
        <v>17490780</v>
      </c>
      <c r="B467" t="str">
        <f t="shared" si="70"/>
        <v>komorkowy</v>
      </c>
      <c r="C467" s="1">
        <v>42923</v>
      </c>
      <c r="D467" s="2">
        <v>0.47409722222222223</v>
      </c>
      <c r="E467" s="2">
        <v>0.48534722222222221</v>
      </c>
      <c r="F467" s="2">
        <f t="shared" si="71"/>
        <v>1.1249999999999982E-2</v>
      </c>
      <c r="G467">
        <f t="shared" si="72"/>
        <v>0</v>
      </c>
      <c r="H467">
        <f t="shared" si="73"/>
        <v>16</v>
      </c>
      <c r="I467">
        <f t="shared" si="74"/>
        <v>12</v>
      </c>
      <c r="J467">
        <f t="shared" si="75"/>
        <v>972</v>
      </c>
      <c r="K467">
        <f t="shared" si="76"/>
        <v>17</v>
      </c>
      <c r="L467">
        <f t="shared" si="77"/>
        <v>129604</v>
      </c>
      <c r="M467">
        <f t="shared" si="78"/>
        <v>40781</v>
      </c>
      <c r="N467">
        <f t="shared" si="79"/>
        <v>218385</v>
      </c>
      <c r="O467">
        <f>IF(B467="zagraniczny",K467+O466,O466)</f>
        <v>247</v>
      </c>
    </row>
    <row r="468" spans="1:15" x14ac:dyDescent="0.25">
      <c r="A468">
        <v>9805082</v>
      </c>
      <c r="B468" t="str">
        <f t="shared" si="70"/>
        <v>stacjonarny</v>
      </c>
      <c r="C468" s="1">
        <v>42923</v>
      </c>
      <c r="D468" s="2">
        <v>0.47561342592592593</v>
      </c>
      <c r="E468" s="2">
        <v>0.47950231481481481</v>
      </c>
      <c r="F468" s="2">
        <f t="shared" si="71"/>
        <v>3.8888888888888862E-3</v>
      </c>
      <c r="G468">
        <f t="shared" si="72"/>
        <v>0</v>
      </c>
      <c r="H468">
        <f t="shared" si="73"/>
        <v>5</v>
      </c>
      <c r="I468">
        <f t="shared" si="74"/>
        <v>36</v>
      </c>
      <c r="J468">
        <f t="shared" si="75"/>
        <v>336</v>
      </c>
      <c r="K468">
        <f t="shared" si="76"/>
        <v>6</v>
      </c>
      <c r="L468">
        <f t="shared" si="77"/>
        <v>129940</v>
      </c>
      <c r="M468">
        <f t="shared" si="78"/>
        <v>40781</v>
      </c>
      <c r="N468">
        <f t="shared" si="79"/>
        <v>218721</v>
      </c>
      <c r="O468">
        <f>IF(B468="zagraniczny",K468+O467,O467)</f>
        <v>247</v>
      </c>
    </row>
    <row r="469" spans="1:15" x14ac:dyDescent="0.25">
      <c r="A469">
        <v>6333547</v>
      </c>
      <c r="B469" t="str">
        <f t="shared" si="70"/>
        <v>stacjonarny</v>
      </c>
      <c r="C469" s="1">
        <v>42923</v>
      </c>
      <c r="D469" s="2">
        <v>0.4788425925925926</v>
      </c>
      <c r="E469" s="2">
        <v>0.48685185185185187</v>
      </c>
      <c r="F469" s="2">
        <f t="shared" si="71"/>
        <v>8.0092592592592715E-3</v>
      </c>
      <c r="G469">
        <f t="shared" si="72"/>
        <v>0</v>
      </c>
      <c r="H469">
        <f t="shared" si="73"/>
        <v>11</v>
      </c>
      <c r="I469">
        <f t="shared" si="74"/>
        <v>32</v>
      </c>
      <c r="J469">
        <f t="shared" si="75"/>
        <v>692</v>
      </c>
      <c r="K469">
        <f t="shared" si="76"/>
        <v>12</v>
      </c>
      <c r="L469">
        <f t="shared" si="77"/>
        <v>130632</v>
      </c>
      <c r="M469">
        <f t="shared" si="78"/>
        <v>40781</v>
      </c>
      <c r="N469">
        <f t="shared" si="79"/>
        <v>219413</v>
      </c>
      <c r="O469">
        <f>IF(B469="zagraniczny",K469+O468,O468)</f>
        <v>247</v>
      </c>
    </row>
    <row r="470" spans="1:15" x14ac:dyDescent="0.25">
      <c r="A470">
        <v>8424969</v>
      </c>
      <c r="B470" t="str">
        <f t="shared" si="70"/>
        <v>stacjonarny</v>
      </c>
      <c r="C470" s="1">
        <v>42923</v>
      </c>
      <c r="D470" s="2">
        <v>0.48380787037037037</v>
      </c>
      <c r="E470" s="2">
        <v>0.49267361111111113</v>
      </c>
      <c r="F470" s="2">
        <f t="shared" si="71"/>
        <v>8.8657407407407574E-3</v>
      </c>
      <c r="G470">
        <f t="shared" si="72"/>
        <v>0</v>
      </c>
      <c r="H470">
        <f t="shared" si="73"/>
        <v>12</v>
      </c>
      <c r="I470">
        <f t="shared" si="74"/>
        <v>46</v>
      </c>
      <c r="J470">
        <f t="shared" si="75"/>
        <v>766</v>
      </c>
      <c r="K470">
        <f t="shared" si="76"/>
        <v>13</v>
      </c>
      <c r="L470">
        <f t="shared" si="77"/>
        <v>131398</v>
      </c>
      <c r="M470">
        <f t="shared" si="78"/>
        <v>40781</v>
      </c>
      <c r="N470">
        <f t="shared" si="79"/>
        <v>220179</v>
      </c>
      <c r="O470">
        <f>IF(B470="zagraniczny",K470+O469,O469)</f>
        <v>247</v>
      </c>
    </row>
    <row r="471" spans="1:15" x14ac:dyDescent="0.25">
      <c r="A471">
        <v>41210751</v>
      </c>
      <c r="B471" t="str">
        <f t="shared" si="70"/>
        <v>komorkowy</v>
      </c>
      <c r="C471" s="1">
        <v>42923</v>
      </c>
      <c r="D471" s="2">
        <v>0.48699074074074072</v>
      </c>
      <c r="E471" s="2">
        <v>0.48884259259259261</v>
      </c>
      <c r="F471" s="2">
        <f t="shared" si="71"/>
        <v>1.8518518518518823E-3</v>
      </c>
      <c r="G471">
        <f t="shared" si="72"/>
        <v>0</v>
      </c>
      <c r="H471">
        <f t="shared" si="73"/>
        <v>2</v>
      </c>
      <c r="I471">
        <f t="shared" si="74"/>
        <v>40</v>
      </c>
      <c r="J471">
        <f t="shared" si="75"/>
        <v>160</v>
      </c>
      <c r="K471">
        <f t="shared" si="76"/>
        <v>3</v>
      </c>
      <c r="L471">
        <f t="shared" si="77"/>
        <v>131398</v>
      </c>
      <c r="M471">
        <f t="shared" si="78"/>
        <v>40941</v>
      </c>
      <c r="N471">
        <f t="shared" si="79"/>
        <v>220339</v>
      </c>
      <c r="O471">
        <f>IF(B471="zagraniczny",K471+O470,O470)</f>
        <v>247</v>
      </c>
    </row>
    <row r="472" spans="1:15" x14ac:dyDescent="0.25">
      <c r="A472">
        <v>9321082</v>
      </c>
      <c r="B472" t="str">
        <f t="shared" si="70"/>
        <v>stacjonarny</v>
      </c>
      <c r="C472" s="1">
        <v>42923</v>
      </c>
      <c r="D472" s="2">
        <v>0.49206018518518518</v>
      </c>
      <c r="E472" s="2">
        <v>0.50086805555555558</v>
      </c>
      <c r="F472" s="2">
        <f t="shared" si="71"/>
        <v>8.8078703703703964E-3</v>
      </c>
      <c r="G472">
        <f t="shared" si="72"/>
        <v>0</v>
      </c>
      <c r="H472">
        <f t="shared" si="73"/>
        <v>12</v>
      </c>
      <c r="I472">
        <f t="shared" si="74"/>
        <v>41</v>
      </c>
      <c r="J472">
        <f t="shared" si="75"/>
        <v>761</v>
      </c>
      <c r="K472">
        <f t="shared" si="76"/>
        <v>13</v>
      </c>
      <c r="L472">
        <f t="shared" si="77"/>
        <v>132159</v>
      </c>
      <c r="M472">
        <f t="shared" si="78"/>
        <v>40941</v>
      </c>
      <c r="N472">
        <f t="shared" si="79"/>
        <v>221100</v>
      </c>
      <c r="O472">
        <f>IF(B472="zagraniczny",K472+O471,O471)</f>
        <v>247</v>
      </c>
    </row>
    <row r="473" spans="1:15" x14ac:dyDescent="0.25">
      <c r="A473">
        <v>80907155</v>
      </c>
      <c r="B473" t="str">
        <f t="shared" si="70"/>
        <v>komorkowy</v>
      </c>
      <c r="C473" s="1">
        <v>42923</v>
      </c>
      <c r="D473" s="2">
        <v>0.49668981481481483</v>
      </c>
      <c r="E473" s="2">
        <v>0.50266203703703705</v>
      </c>
      <c r="F473" s="2">
        <f t="shared" si="71"/>
        <v>5.9722222222222121E-3</v>
      </c>
      <c r="G473">
        <f t="shared" si="72"/>
        <v>0</v>
      </c>
      <c r="H473">
        <f t="shared" si="73"/>
        <v>8</v>
      </c>
      <c r="I473">
        <f t="shared" si="74"/>
        <v>36</v>
      </c>
      <c r="J473">
        <f t="shared" si="75"/>
        <v>516</v>
      </c>
      <c r="K473">
        <f t="shared" si="76"/>
        <v>9</v>
      </c>
      <c r="L473">
        <f t="shared" si="77"/>
        <v>132159</v>
      </c>
      <c r="M473">
        <f t="shared" si="78"/>
        <v>41457</v>
      </c>
      <c r="N473">
        <f t="shared" si="79"/>
        <v>221616</v>
      </c>
      <c r="O473">
        <f>IF(B473="zagraniczny",K473+O472,O472)</f>
        <v>247</v>
      </c>
    </row>
    <row r="474" spans="1:15" x14ac:dyDescent="0.25">
      <c r="A474">
        <v>16303399</v>
      </c>
      <c r="B474" t="str">
        <f t="shared" si="70"/>
        <v>komorkowy</v>
      </c>
      <c r="C474" s="1">
        <v>42923</v>
      </c>
      <c r="D474" s="2">
        <v>0.50232638888888892</v>
      </c>
      <c r="E474" s="2">
        <v>0.50351851851851848</v>
      </c>
      <c r="F474" s="2">
        <f t="shared" si="71"/>
        <v>1.1921296296295569E-3</v>
      </c>
      <c r="G474">
        <f t="shared" si="72"/>
        <v>0</v>
      </c>
      <c r="H474">
        <f t="shared" si="73"/>
        <v>1</v>
      </c>
      <c r="I474">
        <f t="shared" si="74"/>
        <v>43</v>
      </c>
      <c r="J474">
        <f t="shared" si="75"/>
        <v>103</v>
      </c>
      <c r="K474">
        <f t="shared" si="76"/>
        <v>2</v>
      </c>
      <c r="L474">
        <f t="shared" si="77"/>
        <v>132159</v>
      </c>
      <c r="M474">
        <f t="shared" si="78"/>
        <v>41560</v>
      </c>
      <c r="N474">
        <f t="shared" si="79"/>
        <v>221719</v>
      </c>
      <c r="O474">
        <f>IF(B474="zagraniczny",K474+O473,O473)</f>
        <v>247</v>
      </c>
    </row>
    <row r="475" spans="1:15" x14ac:dyDescent="0.25">
      <c r="A475">
        <v>7841442</v>
      </c>
      <c r="B475" t="str">
        <f t="shared" si="70"/>
        <v>stacjonarny</v>
      </c>
      <c r="C475" s="1">
        <v>42923</v>
      </c>
      <c r="D475" s="2">
        <v>0.50498842592592597</v>
      </c>
      <c r="E475" s="2">
        <v>0.50807870370370367</v>
      </c>
      <c r="F475" s="2">
        <f t="shared" si="71"/>
        <v>3.0902777777777057E-3</v>
      </c>
      <c r="G475">
        <f t="shared" si="72"/>
        <v>0</v>
      </c>
      <c r="H475">
        <f t="shared" si="73"/>
        <v>4</v>
      </c>
      <c r="I475">
        <f t="shared" si="74"/>
        <v>27</v>
      </c>
      <c r="J475">
        <f t="shared" si="75"/>
        <v>267</v>
      </c>
      <c r="K475">
        <f t="shared" si="76"/>
        <v>5</v>
      </c>
      <c r="L475">
        <f t="shared" si="77"/>
        <v>132426</v>
      </c>
      <c r="M475">
        <f t="shared" si="78"/>
        <v>41560</v>
      </c>
      <c r="N475">
        <f t="shared" si="79"/>
        <v>221986</v>
      </c>
      <c r="O475">
        <f>IF(B475="zagraniczny",K475+O474,O474)</f>
        <v>247</v>
      </c>
    </row>
    <row r="476" spans="1:15" x14ac:dyDescent="0.25">
      <c r="A476">
        <v>5512237</v>
      </c>
      <c r="B476" t="str">
        <f t="shared" si="70"/>
        <v>stacjonarny</v>
      </c>
      <c r="C476" s="1">
        <v>42923</v>
      </c>
      <c r="D476" s="2">
        <v>0.50883101851851853</v>
      </c>
      <c r="E476" s="2">
        <v>0.50998842592592597</v>
      </c>
      <c r="F476" s="2">
        <f t="shared" si="71"/>
        <v>1.1574074074074403E-3</v>
      </c>
      <c r="G476">
        <f t="shared" si="72"/>
        <v>0</v>
      </c>
      <c r="H476">
        <f t="shared" si="73"/>
        <v>1</v>
      </c>
      <c r="I476">
        <f t="shared" si="74"/>
        <v>40</v>
      </c>
      <c r="J476">
        <f t="shared" si="75"/>
        <v>100</v>
      </c>
      <c r="K476">
        <f t="shared" si="76"/>
        <v>2</v>
      </c>
      <c r="L476">
        <f t="shared" si="77"/>
        <v>132526</v>
      </c>
      <c r="M476">
        <f t="shared" si="78"/>
        <v>41560</v>
      </c>
      <c r="N476">
        <f t="shared" si="79"/>
        <v>222086</v>
      </c>
      <c r="O476">
        <f>IF(B476="zagraniczny",K476+O475,O475)</f>
        <v>247</v>
      </c>
    </row>
    <row r="477" spans="1:15" x14ac:dyDescent="0.25">
      <c r="A477">
        <v>2557668</v>
      </c>
      <c r="B477" t="str">
        <f t="shared" si="70"/>
        <v>stacjonarny</v>
      </c>
      <c r="C477" s="1">
        <v>42923</v>
      </c>
      <c r="D477" s="2">
        <v>0.51253472222222218</v>
      </c>
      <c r="E477" s="2">
        <v>0.51974537037037039</v>
      </c>
      <c r="F477" s="2">
        <f t="shared" si="71"/>
        <v>7.2106481481482021E-3</v>
      </c>
      <c r="G477">
        <f t="shared" si="72"/>
        <v>0</v>
      </c>
      <c r="H477">
        <f t="shared" si="73"/>
        <v>10</v>
      </c>
      <c r="I477">
        <f t="shared" si="74"/>
        <v>23</v>
      </c>
      <c r="J477">
        <f t="shared" si="75"/>
        <v>623</v>
      </c>
      <c r="K477">
        <f t="shared" si="76"/>
        <v>11</v>
      </c>
      <c r="L477">
        <f t="shared" si="77"/>
        <v>133149</v>
      </c>
      <c r="M477">
        <f t="shared" si="78"/>
        <v>41560</v>
      </c>
      <c r="N477">
        <f t="shared" si="79"/>
        <v>222709</v>
      </c>
      <c r="O477">
        <f>IF(B477="zagraniczny",K477+O476,O476)</f>
        <v>247</v>
      </c>
    </row>
    <row r="478" spans="1:15" x14ac:dyDescent="0.25">
      <c r="A478">
        <v>4469748</v>
      </c>
      <c r="B478" t="str">
        <f t="shared" si="70"/>
        <v>stacjonarny</v>
      </c>
      <c r="C478" s="1">
        <v>42923</v>
      </c>
      <c r="D478" s="2">
        <v>0.51744212962962965</v>
      </c>
      <c r="E478" s="2">
        <v>0.52157407407407408</v>
      </c>
      <c r="F478" s="2">
        <f t="shared" si="71"/>
        <v>4.1319444444444242E-3</v>
      </c>
      <c r="G478">
        <f t="shared" si="72"/>
        <v>0</v>
      </c>
      <c r="H478">
        <f t="shared" si="73"/>
        <v>5</v>
      </c>
      <c r="I478">
        <f t="shared" si="74"/>
        <v>57</v>
      </c>
      <c r="J478">
        <f t="shared" si="75"/>
        <v>357</v>
      </c>
      <c r="K478">
        <f t="shared" si="76"/>
        <v>6</v>
      </c>
      <c r="L478">
        <f t="shared" si="77"/>
        <v>133506</v>
      </c>
      <c r="M478">
        <f t="shared" si="78"/>
        <v>41560</v>
      </c>
      <c r="N478">
        <f t="shared" si="79"/>
        <v>223066</v>
      </c>
      <c r="O478">
        <f>IF(B478="zagraniczny",K478+O477,O477)</f>
        <v>247</v>
      </c>
    </row>
    <row r="479" spans="1:15" x14ac:dyDescent="0.25">
      <c r="A479">
        <v>7773546</v>
      </c>
      <c r="B479" t="str">
        <f t="shared" si="70"/>
        <v>stacjonarny</v>
      </c>
      <c r="C479" s="1">
        <v>42923</v>
      </c>
      <c r="D479" s="2">
        <v>0.51883101851851854</v>
      </c>
      <c r="E479" s="2">
        <v>0.52545138888888887</v>
      </c>
      <c r="F479" s="2">
        <f t="shared" si="71"/>
        <v>6.620370370370332E-3</v>
      </c>
      <c r="G479">
        <f t="shared" si="72"/>
        <v>0</v>
      </c>
      <c r="H479">
        <f t="shared" si="73"/>
        <v>9</v>
      </c>
      <c r="I479">
        <f t="shared" si="74"/>
        <v>32</v>
      </c>
      <c r="J479">
        <f t="shared" si="75"/>
        <v>572</v>
      </c>
      <c r="K479">
        <f t="shared" si="76"/>
        <v>10</v>
      </c>
      <c r="L479">
        <f t="shared" si="77"/>
        <v>134078</v>
      </c>
      <c r="M479">
        <f t="shared" si="78"/>
        <v>41560</v>
      </c>
      <c r="N479">
        <f t="shared" si="79"/>
        <v>223638</v>
      </c>
      <c r="O479">
        <f>IF(B479="zagraniczny",K479+O478,O478)</f>
        <v>247</v>
      </c>
    </row>
    <row r="480" spans="1:15" x14ac:dyDescent="0.25">
      <c r="A480">
        <v>9521805</v>
      </c>
      <c r="B480" t="str">
        <f t="shared" si="70"/>
        <v>stacjonarny</v>
      </c>
      <c r="C480" s="1">
        <v>42923</v>
      </c>
      <c r="D480" s="2">
        <v>0.52357638888888891</v>
      </c>
      <c r="E480" s="2">
        <v>0.53096064814814814</v>
      </c>
      <c r="F480" s="2">
        <f t="shared" si="71"/>
        <v>7.3842592592592293E-3</v>
      </c>
      <c r="G480">
        <f t="shared" si="72"/>
        <v>0</v>
      </c>
      <c r="H480">
        <f t="shared" si="73"/>
        <v>10</v>
      </c>
      <c r="I480">
        <f t="shared" si="74"/>
        <v>38</v>
      </c>
      <c r="J480">
        <f t="shared" si="75"/>
        <v>638</v>
      </c>
      <c r="K480">
        <f t="shared" si="76"/>
        <v>11</v>
      </c>
      <c r="L480">
        <f t="shared" si="77"/>
        <v>134716</v>
      </c>
      <c r="M480">
        <f t="shared" si="78"/>
        <v>41560</v>
      </c>
      <c r="N480">
        <f t="shared" si="79"/>
        <v>224276</v>
      </c>
      <c r="O480">
        <f>IF(B480="zagraniczny",K480+O479,O479)</f>
        <v>247</v>
      </c>
    </row>
    <row r="481" spans="1:15" x14ac:dyDescent="0.25">
      <c r="A481">
        <v>1640140</v>
      </c>
      <c r="B481" t="str">
        <f t="shared" si="70"/>
        <v>stacjonarny</v>
      </c>
      <c r="C481" s="1">
        <v>42923</v>
      </c>
      <c r="D481" s="2">
        <v>0.52484953703703707</v>
      </c>
      <c r="E481" s="2">
        <v>0.53331018518518514</v>
      </c>
      <c r="F481" s="2">
        <f t="shared" si="71"/>
        <v>8.4606481481480644E-3</v>
      </c>
      <c r="G481">
        <f t="shared" si="72"/>
        <v>0</v>
      </c>
      <c r="H481">
        <f t="shared" si="73"/>
        <v>12</v>
      </c>
      <c r="I481">
        <f t="shared" si="74"/>
        <v>11</v>
      </c>
      <c r="J481">
        <f t="shared" si="75"/>
        <v>731</v>
      </c>
      <c r="K481">
        <f t="shared" si="76"/>
        <v>13</v>
      </c>
      <c r="L481">
        <f t="shared" si="77"/>
        <v>135447</v>
      </c>
      <c r="M481">
        <f t="shared" si="78"/>
        <v>41560</v>
      </c>
      <c r="N481">
        <f t="shared" si="79"/>
        <v>225007</v>
      </c>
      <c r="O481">
        <f>IF(B481="zagraniczny",K481+O480,O480)</f>
        <v>247</v>
      </c>
    </row>
    <row r="482" spans="1:15" x14ac:dyDescent="0.25">
      <c r="A482">
        <v>5415372</v>
      </c>
      <c r="B482" t="str">
        <f t="shared" si="70"/>
        <v>stacjonarny</v>
      </c>
      <c r="C482" s="1">
        <v>42923</v>
      </c>
      <c r="D482" s="2">
        <v>0.52690972222222221</v>
      </c>
      <c r="E482" s="2">
        <v>0.53266203703703707</v>
      </c>
      <c r="F482" s="2">
        <f t="shared" si="71"/>
        <v>5.7523148148148628E-3</v>
      </c>
      <c r="G482">
        <f t="shared" si="72"/>
        <v>0</v>
      </c>
      <c r="H482">
        <f t="shared" si="73"/>
        <v>8</v>
      </c>
      <c r="I482">
        <f t="shared" si="74"/>
        <v>17</v>
      </c>
      <c r="J482">
        <f t="shared" si="75"/>
        <v>497</v>
      </c>
      <c r="K482">
        <f t="shared" si="76"/>
        <v>9</v>
      </c>
      <c r="L482">
        <f t="shared" si="77"/>
        <v>135944</v>
      </c>
      <c r="M482">
        <f t="shared" si="78"/>
        <v>41560</v>
      </c>
      <c r="N482">
        <f t="shared" si="79"/>
        <v>225504</v>
      </c>
      <c r="O482">
        <f>IF(B482="zagraniczny",K482+O481,O481)</f>
        <v>247</v>
      </c>
    </row>
    <row r="483" spans="1:15" x14ac:dyDescent="0.25">
      <c r="A483">
        <v>23504109</v>
      </c>
      <c r="B483" t="str">
        <f t="shared" si="70"/>
        <v>komorkowy</v>
      </c>
      <c r="C483" s="1">
        <v>42923</v>
      </c>
      <c r="D483" s="2">
        <v>0.52921296296296294</v>
      </c>
      <c r="E483" s="2">
        <v>0.53706018518518517</v>
      </c>
      <c r="F483" s="2">
        <f t="shared" si="71"/>
        <v>7.8472222222222276E-3</v>
      </c>
      <c r="G483">
        <f t="shared" si="72"/>
        <v>0</v>
      </c>
      <c r="H483">
        <f t="shared" si="73"/>
        <v>11</v>
      </c>
      <c r="I483">
        <f t="shared" si="74"/>
        <v>18</v>
      </c>
      <c r="J483">
        <f t="shared" si="75"/>
        <v>678</v>
      </c>
      <c r="K483">
        <f t="shared" si="76"/>
        <v>12</v>
      </c>
      <c r="L483">
        <f t="shared" si="77"/>
        <v>135944</v>
      </c>
      <c r="M483">
        <f t="shared" si="78"/>
        <v>42238</v>
      </c>
      <c r="N483">
        <f t="shared" si="79"/>
        <v>226182</v>
      </c>
      <c r="O483">
        <f>IF(B483="zagraniczny",K483+O482,O482)</f>
        <v>247</v>
      </c>
    </row>
    <row r="484" spans="1:15" x14ac:dyDescent="0.25">
      <c r="A484">
        <v>7914439</v>
      </c>
      <c r="B484" t="str">
        <f t="shared" si="70"/>
        <v>stacjonarny</v>
      </c>
      <c r="C484" s="1">
        <v>42923</v>
      </c>
      <c r="D484" s="2">
        <v>0.52964120370370371</v>
      </c>
      <c r="E484" s="2">
        <v>0.53607638888888887</v>
      </c>
      <c r="F484" s="2">
        <f t="shared" si="71"/>
        <v>6.4351851851851549E-3</v>
      </c>
      <c r="G484">
        <f t="shared" si="72"/>
        <v>0</v>
      </c>
      <c r="H484">
        <f t="shared" si="73"/>
        <v>9</v>
      </c>
      <c r="I484">
        <f t="shared" si="74"/>
        <v>16</v>
      </c>
      <c r="J484">
        <f t="shared" si="75"/>
        <v>556</v>
      </c>
      <c r="K484">
        <f t="shared" si="76"/>
        <v>10</v>
      </c>
      <c r="L484">
        <f t="shared" si="77"/>
        <v>136500</v>
      </c>
      <c r="M484">
        <f t="shared" si="78"/>
        <v>42238</v>
      </c>
      <c r="N484">
        <f t="shared" si="79"/>
        <v>226738</v>
      </c>
      <c r="O484">
        <f>IF(B484="zagraniczny",K484+O483,O483)</f>
        <v>247</v>
      </c>
    </row>
    <row r="485" spans="1:15" x14ac:dyDescent="0.25">
      <c r="A485">
        <v>3900921</v>
      </c>
      <c r="B485" t="str">
        <f t="shared" si="70"/>
        <v>stacjonarny</v>
      </c>
      <c r="C485" s="1">
        <v>42923</v>
      </c>
      <c r="D485" s="2">
        <v>0.52968749999999998</v>
      </c>
      <c r="E485" s="2">
        <v>0.53865740740740742</v>
      </c>
      <c r="F485" s="2">
        <f t="shared" si="71"/>
        <v>8.9699074074074403E-3</v>
      </c>
      <c r="G485">
        <f t="shared" si="72"/>
        <v>0</v>
      </c>
      <c r="H485">
        <f t="shared" si="73"/>
        <v>12</v>
      </c>
      <c r="I485">
        <f t="shared" si="74"/>
        <v>55</v>
      </c>
      <c r="J485">
        <f t="shared" si="75"/>
        <v>775</v>
      </c>
      <c r="K485">
        <f t="shared" si="76"/>
        <v>13</v>
      </c>
      <c r="L485">
        <f t="shared" si="77"/>
        <v>137275</v>
      </c>
      <c r="M485">
        <f t="shared" si="78"/>
        <v>42238</v>
      </c>
      <c r="N485">
        <f t="shared" si="79"/>
        <v>227513</v>
      </c>
      <c r="O485">
        <f>IF(B485="zagraniczny",K485+O484,O484)</f>
        <v>247</v>
      </c>
    </row>
    <row r="486" spans="1:15" x14ac:dyDescent="0.25">
      <c r="A486">
        <v>1081610</v>
      </c>
      <c r="B486" t="str">
        <f t="shared" si="70"/>
        <v>stacjonarny</v>
      </c>
      <c r="C486" s="1">
        <v>42923</v>
      </c>
      <c r="D486" s="2">
        <v>0.53372685185185187</v>
      </c>
      <c r="E486" s="2">
        <v>0.54082175925925924</v>
      </c>
      <c r="F486" s="2">
        <f t="shared" si="71"/>
        <v>7.0949074074073692E-3</v>
      </c>
      <c r="G486">
        <f t="shared" si="72"/>
        <v>0</v>
      </c>
      <c r="H486">
        <f t="shared" si="73"/>
        <v>10</v>
      </c>
      <c r="I486">
        <f t="shared" si="74"/>
        <v>13</v>
      </c>
      <c r="J486">
        <f t="shared" si="75"/>
        <v>613</v>
      </c>
      <c r="K486">
        <f t="shared" si="76"/>
        <v>11</v>
      </c>
      <c r="L486">
        <f t="shared" si="77"/>
        <v>137888</v>
      </c>
      <c r="M486">
        <f t="shared" si="78"/>
        <v>42238</v>
      </c>
      <c r="N486">
        <f t="shared" si="79"/>
        <v>228126</v>
      </c>
      <c r="O486">
        <f>IF(B486="zagraniczny",K486+O485,O485)</f>
        <v>247</v>
      </c>
    </row>
    <row r="487" spans="1:15" x14ac:dyDescent="0.25">
      <c r="A487">
        <v>9176754</v>
      </c>
      <c r="B487" t="str">
        <f t="shared" si="70"/>
        <v>stacjonarny</v>
      </c>
      <c r="C487" s="1">
        <v>42923</v>
      </c>
      <c r="D487" s="2">
        <v>0.5345833333333333</v>
      </c>
      <c r="E487" s="2">
        <v>0.54532407407407413</v>
      </c>
      <c r="F487" s="2">
        <f t="shared" si="71"/>
        <v>1.0740740740740828E-2</v>
      </c>
      <c r="G487">
        <f t="shared" si="72"/>
        <v>0</v>
      </c>
      <c r="H487">
        <f t="shared" si="73"/>
        <v>15</v>
      </c>
      <c r="I487">
        <f t="shared" si="74"/>
        <v>28</v>
      </c>
      <c r="J487">
        <f t="shared" si="75"/>
        <v>928</v>
      </c>
      <c r="K487">
        <f t="shared" si="76"/>
        <v>16</v>
      </c>
      <c r="L487">
        <f t="shared" si="77"/>
        <v>138816</v>
      </c>
      <c r="M487">
        <f t="shared" si="78"/>
        <v>42238</v>
      </c>
      <c r="N487">
        <f t="shared" si="79"/>
        <v>229054</v>
      </c>
      <c r="O487">
        <f>IF(B487="zagraniczny",K487+O486,O486)</f>
        <v>247</v>
      </c>
    </row>
    <row r="488" spans="1:15" x14ac:dyDescent="0.25">
      <c r="A488">
        <v>1814327</v>
      </c>
      <c r="B488" t="str">
        <f t="shared" si="70"/>
        <v>stacjonarny</v>
      </c>
      <c r="C488" s="1">
        <v>42923</v>
      </c>
      <c r="D488" s="2">
        <v>0.5385416666666667</v>
      </c>
      <c r="E488" s="2">
        <v>0.53870370370370368</v>
      </c>
      <c r="F488" s="2">
        <f t="shared" si="71"/>
        <v>1.6203703703698835E-4</v>
      </c>
      <c r="G488">
        <f t="shared" si="72"/>
        <v>0</v>
      </c>
      <c r="H488">
        <f t="shared" si="73"/>
        <v>0</v>
      </c>
      <c r="I488">
        <f t="shared" si="74"/>
        <v>14</v>
      </c>
      <c r="J488">
        <f t="shared" si="75"/>
        <v>14</v>
      </c>
      <c r="K488">
        <f t="shared" si="76"/>
        <v>1</v>
      </c>
      <c r="L488">
        <f t="shared" si="77"/>
        <v>138830</v>
      </c>
      <c r="M488">
        <f t="shared" si="78"/>
        <v>42238</v>
      </c>
      <c r="N488">
        <f t="shared" si="79"/>
        <v>229068</v>
      </c>
      <c r="O488">
        <f>IF(B488="zagraniczny",K488+O487,O487)</f>
        <v>247</v>
      </c>
    </row>
    <row r="489" spans="1:15" x14ac:dyDescent="0.25">
      <c r="A489">
        <v>87702896</v>
      </c>
      <c r="B489" t="str">
        <f t="shared" si="70"/>
        <v>komorkowy</v>
      </c>
      <c r="C489" s="1">
        <v>42923</v>
      </c>
      <c r="D489" s="2">
        <v>0.54137731481481477</v>
      </c>
      <c r="E489" s="2">
        <v>0.55253472222222222</v>
      </c>
      <c r="F489" s="2">
        <f t="shared" si="71"/>
        <v>1.1157407407407449E-2</v>
      </c>
      <c r="G489">
        <f t="shared" si="72"/>
        <v>0</v>
      </c>
      <c r="H489">
        <f t="shared" si="73"/>
        <v>16</v>
      </c>
      <c r="I489">
        <f t="shared" si="74"/>
        <v>4</v>
      </c>
      <c r="J489">
        <f t="shared" si="75"/>
        <v>964</v>
      </c>
      <c r="K489">
        <f t="shared" si="76"/>
        <v>17</v>
      </c>
      <c r="L489">
        <f t="shared" si="77"/>
        <v>138830</v>
      </c>
      <c r="M489">
        <f t="shared" si="78"/>
        <v>43202</v>
      </c>
      <c r="N489">
        <f t="shared" si="79"/>
        <v>230032</v>
      </c>
      <c r="O489">
        <f>IF(B489="zagraniczny",K489+O488,O488)</f>
        <v>247</v>
      </c>
    </row>
    <row r="490" spans="1:15" x14ac:dyDescent="0.25">
      <c r="A490">
        <v>4131448</v>
      </c>
      <c r="B490" t="str">
        <f t="shared" si="70"/>
        <v>stacjonarny</v>
      </c>
      <c r="C490" s="1">
        <v>42923</v>
      </c>
      <c r="D490" s="2">
        <v>0.54305555555555551</v>
      </c>
      <c r="E490" s="2">
        <v>0.5444444444444444</v>
      </c>
      <c r="F490" s="2">
        <f t="shared" si="71"/>
        <v>1.388888888888884E-3</v>
      </c>
      <c r="G490">
        <f t="shared" si="72"/>
        <v>0</v>
      </c>
      <c r="H490">
        <f t="shared" si="73"/>
        <v>2</v>
      </c>
      <c r="I490">
        <f t="shared" si="74"/>
        <v>0</v>
      </c>
      <c r="J490">
        <f t="shared" si="75"/>
        <v>120</v>
      </c>
      <c r="K490">
        <f t="shared" si="76"/>
        <v>2</v>
      </c>
      <c r="L490">
        <f t="shared" si="77"/>
        <v>138950</v>
      </c>
      <c r="M490">
        <f t="shared" si="78"/>
        <v>43202</v>
      </c>
      <c r="N490">
        <f t="shared" si="79"/>
        <v>230152</v>
      </c>
      <c r="O490">
        <f>IF(B490="zagraniczny",K490+O489,O489)</f>
        <v>247</v>
      </c>
    </row>
    <row r="491" spans="1:15" x14ac:dyDescent="0.25">
      <c r="A491">
        <v>97798921</v>
      </c>
      <c r="B491" t="str">
        <f t="shared" si="70"/>
        <v>komorkowy</v>
      </c>
      <c r="C491" s="1">
        <v>42923</v>
      </c>
      <c r="D491" s="2">
        <v>0.5434606481481481</v>
      </c>
      <c r="E491" s="2">
        <v>0.55003472222222227</v>
      </c>
      <c r="F491" s="2">
        <f t="shared" si="71"/>
        <v>6.5740740740741765E-3</v>
      </c>
      <c r="G491">
        <f t="shared" si="72"/>
        <v>0</v>
      </c>
      <c r="H491">
        <f t="shared" si="73"/>
        <v>9</v>
      </c>
      <c r="I491">
        <f t="shared" si="74"/>
        <v>28</v>
      </c>
      <c r="J491">
        <f t="shared" si="75"/>
        <v>568</v>
      </c>
      <c r="K491">
        <f t="shared" si="76"/>
        <v>10</v>
      </c>
      <c r="L491">
        <f t="shared" si="77"/>
        <v>138950</v>
      </c>
      <c r="M491">
        <f t="shared" si="78"/>
        <v>43770</v>
      </c>
      <c r="N491">
        <f t="shared" si="79"/>
        <v>230720</v>
      </c>
      <c r="O491">
        <f>IF(B491="zagraniczny",K491+O490,O490)</f>
        <v>247</v>
      </c>
    </row>
    <row r="492" spans="1:15" x14ac:dyDescent="0.25">
      <c r="A492">
        <v>97798921</v>
      </c>
      <c r="B492" t="str">
        <f t="shared" si="70"/>
        <v>komorkowy</v>
      </c>
      <c r="C492" s="1">
        <v>42923</v>
      </c>
      <c r="D492" s="2">
        <v>0.54372685185185188</v>
      </c>
      <c r="E492" s="2">
        <v>0.54856481481481478</v>
      </c>
      <c r="F492" s="2">
        <f t="shared" si="71"/>
        <v>4.8379629629629051E-3</v>
      </c>
      <c r="G492">
        <f t="shared" si="72"/>
        <v>0</v>
      </c>
      <c r="H492">
        <f t="shared" si="73"/>
        <v>6</v>
      </c>
      <c r="I492">
        <f t="shared" si="74"/>
        <v>58</v>
      </c>
      <c r="J492">
        <f t="shared" si="75"/>
        <v>418</v>
      </c>
      <c r="K492">
        <f t="shared" si="76"/>
        <v>7</v>
      </c>
      <c r="L492">
        <f t="shared" si="77"/>
        <v>138950</v>
      </c>
      <c r="M492">
        <f t="shared" si="78"/>
        <v>44188</v>
      </c>
      <c r="N492">
        <f t="shared" si="79"/>
        <v>231138</v>
      </c>
      <c r="O492">
        <f>IF(B492="zagraniczny",K492+O491,O491)</f>
        <v>247</v>
      </c>
    </row>
    <row r="493" spans="1:15" x14ac:dyDescent="0.25">
      <c r="A493">
        <v>3919087</v>
      </c>
      <c r="B493" t="str">
        <f t="shared" si="70"/>
        <v>stacjonarny</v>
      </c>
      <c r="C493" s="1">
        <v>42923</v>
      </c>
      <c r="D493" s="2">
        <v>0.54379629629629633</v>
      </c>
      <c r="E493" s="2">
        <v>0.54679398148148151</v>
      </c>
      <c r="F493" s="2">
        <f t="shared" si="71"/>
        <v>2.9976851851851727E-3</v>
      </c>
      <c r="G493">
        <f t="shared" si="72"/>
        <v>0</v>
      </c>
      <c r="H493">
        <f t="shared" si="73"/>
        <v>4</v>
      </c>
      <c r="I493">
        <f t="shared" si="74"/>
        <v>19</v>
      </c>
      <c r="J493">
        <f t="shared" si="75"/>
        <v>259</v>
      </c>
      <c r="K493">
        <f t="shared" si="76"/>
        <v>5</v>
      </c>
      <c r="L493">
        <f t="shared" si="77"/>
        <v>139209</v>
      </c>
      <c r="M493">
        <f t="shared" si="78"/>
        <v>44188</v>
      </c>
      <c r="N493">
        <f t="shared" si="79"/>
        <v>231397</v>
      </c>
      <c r="O493">
        <f>IF(B493="zagraniczny",K493+O492,O492)</f>
        <v>247</v>
      </c>
    </row>
    <row r="494" spans="1:15" x14ac:dyDescent="0.25">
      <c r="A494">
        <v>2619219</v>
      </c>
      <c r="B494" t="str">
        <f t="shared" si="70"/>
        <v>stacjonarny</v>
      </c>
      <c r="C494" s="1">
        <v>42923</v>
      </c>
      <c r="D494" s="2">
        <v>0.54752314814814818</v>
      </c>
      <c r="E494" s="2">
        <v>0.5486805555555555</v>
      </c>
      <c r="F494" s="2">
        <f t="shared" si="71"/>
        <v>1.1574074074073293E-3</v>
      </c>
      <c r="G494">
        <f t="shared" si="72"/>
        <v>0</v>
      </c>
      <c r="H494">
        <f t="shared" si="73"/>
        <v>1</v>
      </c>
      <c r="I494">
        <f t="shared" si="74"/>
        <v>40</v>
      </c>
      <c r="J494">
        <f t="shared" si="75"/>
        <v>100</v>
      </c>
      <c r="K494">
        <f t="shared" si="76"/>
        <v>2</v>
      </c>
      <c r="L494">
        <f t="shared" si="77"/>
        <v>139309</v>
      </c>
      <c r="M494">
        <f t="shared" si="78"/>
        <v>44188</v>
      </c>
      <c r="N494">
        <f t="shared" si="79"/>
        <v>231497</v>
      </c>
      <c r="O494">
        <f>IF(B494="zagraniczny",K494+O493,O493)</f>
        <v>247</v>
      </c>
    </row>
    <row r="495" spans="1:15" x14ac:dyDescent="0.25">
      <c r="A495">
        <v>54536153</v>
      </c>
      <c r="B495" t="str">
        <f t="shared" si="70"/>
        <v>komorkowy</v>
      </c>
      <c r="C495" s="1">
        <v>42923</v>
      </c>
      <c r="D495" s="2">
        <v>0.54858796296296297</v>
      </c>
      <c r="E495" s="2">
        <v>0.55723379629629632</v>
      </c>
      <c r="F495" s="2">
        <f t="shared" si="71"/>
        <v>8.6458333333333526E-3</v>
      </c>
      <c r="G495">
        <f t="shared" si="72"/>
        <v>0</v>
      </c>
      <c r="H495">
        <f t="shared" si="73"/>
        <v>12</v>
      </c>
      <c r="I495">
        <f t="shared" si="74"/>
        <v>27</v>
      </c>
      <c r="J495">
        <f t="shared" si="75"/>
        <v>747</v>
      </c>
      <c r="K495">
        <f t="shared" si="76"/>
        <v>13</v>
      </c>
      <c r="L495">
        <f t="shared" si="77"/>
        <v>139309</v>
      </c>
      <c r="M495">
        <f t="shared" si="78"/>
        <v>44935</v>
      </c>
      <c r="N495">
        <f t="shared" si="79"/>
        <v>232244</v>
      </c>
      <c r="O495">
        <f>IF(B495="zagraniczny",K495+O494,O494)</f>
        <v>247</v>
      </c>
    </row>
    <row r="496" spans="1:15" x14ac:dyDescent="0.25">
      <c r="A496">
        <v>6813775</v>
      </c>
      <c r="B496" t="str">
        <f t="shared" si="70"/>
        <v>stacjonarny</v>
      </c>
      <c r="C496" s="1">
        <v>42923</v>
      </c>
      <c r="D496" s="2">
        <v>0.55363425925925924</v>
      </c>
      <c r="E496" s="2">
        <v>0.55819444444444444</v>
      </c>
      <c r="F496" s="2">
        <f t="shared" si="71"/>
        <v>4.5601851851851949E-3</v>
      </c>
      <c r="G496">
        <f t="shared" si="72"/>
        <v>0</v>
      </c>
      <c r="H496">
        <f t="shared" si="73"/>
        <v>6</v>
      </c>
      <c r="I496">
        <f t="shared" si="74"/>
        <v>34</v>
      </c>
      <c r="J496">
        <f t="shared" si="75"/>
        <v>394</v>
      </c>
      <c r="K496">
        <f t="shared" si="76"/>
        <v>7</v>
      </c>
      <c r="L496">
        <f t="shared" si="77"/>
        <v>139703</v>
      </c>
      <c r="M496">
        <f t="shared" si="78"/>
        <v>44935</v>
      </c>
      <c r="N496">
        <f t="shared" si="79"/>
        <v>232638</v>
      </c>
      <c r="O496">
        <f>IF(B496="zagraniczny",K496+O495,O495)</f>
        <v>247</v>
      </c>
    </row>
    <row r="497" spans="1:15" x14ac:dyDescent="0.25">
      <c r="A497">
        <v>72312196</v>
      </c>
      <c r="B497" t="str">
        <f t="shared" si="70"/>
        <v>komorkowy</v>
      </c>
      <c r="C497" s="1">
        <v>42923</v>
      </c>
      <c r="D497" s="2">
        <v>0.55532407407407403</v>
      </c>
      <c r="E497" s="2">
        <v>0.56598379629629625</v>
      </c>
      <c r="F497" s="2">
        <f t="shared" si="71"/>
        <v>1.0659722222222223E-2</v>
      </c>
      <c r="G497">
        <f t="shared" si="72"/>
        <v>0</v>
      </c>
      <c r="H497">
        <f t="shared" si="73"/>
        <v>15</v>
      </c>
      <c r="I497">
        <f t="shared" si="74"/>
        <v>21</v>
      </c>
      <c r="J497">
        <f t="shared" si="75"/>
        <v>921</v>
      </c>
      <c r="K497">
        <f t="shared" si="76"/>
        <v>16</v>
      </c>
      <c r="L497">
        <f t="shared" si="77"/>
        <v>139703</v>
      </c>
      <c r="M497">
        <f t="shared" si="78"/>
        <v>45856</v>
      </c>
      <c r="N497">
        <f t="shared" si="79"/>
        <v>233559</v>
      </c>
      <c r="O497">
        <f>IF(B497="zagraniczny",K497+O496,O496)</f>
        <v>247</v>
      </c>
    </row>
    <row r="498" spans="1:15" x14ac:dyDescent="0.25">
      <c r="A498">
        <v>2235911</v>
      </c>
      <c r="B498" t="str">
        <f t="shared" si="70"/>
        <v>stacjonarny</v>
      </c>
      <c r="C498" s="1">
        <v>42923</v>
      </c>
      <c r="D498" s="2">
        <v>0.56019675925925927</v>
      </c>
      <c r="E498" s="2">
        <v>0.56783564814814813</v>
      </c>
      <c r="F498" s="2">
        <f t="shared" si="71"/>
        <v>7.6388888888888618E-3</v>
      </c>
      <c r="G498">
        <f t="shared" si="72"/>
        <v>0</v>
      </c>
      <c r="H498">
        <f t="shared" si="73"/>
        <v>11</v>
      </c>
      <c r="I498">
        <f t="shared" si="74"/>
        <v>0</v>
      </c>
      <c r="J498">
        <f t="shared" si="75"/>
        <v>660</v>
      </c>
      <c r="K498">
        <f t="shared" si="76"/>
        <v>11</v>
      </c>
      <c r="L498">
        <f t="shared" si="77"/>
        <v>140363</v>
      </c>
      <c r="M498">
        <f t="shared" si="78"/>
        <v>45856</v>
      </c>
      <c r="N498">
        <f t="shared" si="79"/>
        <v>234219</v>
      </c>
      <c r="O498">
        <f>IF(B498="zagraniczny",K498+O497,O497)</f>
        <v>247</v>
      </c>
    </row>
    <row r="499" spans="1:15" x14ac:dyDescent="0.25">
      <c r="A499">
        <v>9532678004</v>
      </c>
      <c r="B499" t="str">
        <f t="shared" si="70"/>
        <v>zagraniczny</v>
      </c>
      <c r="C499" s="1">
        <v>42923</v>
      </c>
      <c r="D499" s="2">
        <v>0.56347222222222226</v>
      </c>
      <c r="E499" s="2">
        <v>0.57157407407407412</v>
      </c>
      <c r="F499" s="2">
        <f t="shared" si="71"/>
        <v>8.1018518518518601E-3</v>
      </c>
      <c r="G499">
        <f t="shared" si="72"/>
        <v>0</v>
      </c>
      <c r="H499">
        <f t="shared" si="73"/>
        <v>11</v>
      </c>
      <c r="I499">
        <f t="shared" si="74"/>
        <v>40</v>
      </c>
      <c r="J499">
        <f t="shared" si="75"/>
        <v>700</v>
      </c>
      <c r="K499">
        <f t="shared" si="76"/>
        <v>12</v>
      </c>
      <c r="L499">
        <f t="shared" si="77"/>
        <v>140363</v>
      </c>
      <c r="M499">
        <f t="shared" si="78"/>
        <v>45856</v>
      </c>
      <c r="N499">
        <f t="shared" si="79"/>
        <v>234219</v>
      </c>
      <c r="O499">
        <f>IF(B499="zagraniczny",K499+O498,O498)</f>
        <v>259</v>
      </c>
    </row>
    <row r="500" spans="1:15" x14ac:dyDescent="0.25">
      <c r="A500">
        <v>4653709</v>
      </c>
      <c r="B500" t="str">
        <f t="shared" si="70"/>
        <v>stacjonarny</v>
      </c>
      <c r="C500" s="1">
        <v>42923</v>
      </c>
      <c r="D500" s="2">
        <v>0.56795138888888885</v>
      </c>
      <c r="E500" s="2">
        <v>0.57596064814814818</v>
      </c>
      <c r="F500" s="2">
        <f t="shared" si="71"/>
        <v>8.009259259259327E-3</v>
      </c>
      <c r="G500">
        <f t="shared" si="72"/>
        <v>0</v>
      </c>
      <c r="H500">
        <f t="shared" si="73"/>
        <v>11</v>
      </c>
      <c r="I500">
        <f t="shared" si="74"/>
        <v>32</v>
      </c>
      <c r="J500">
        <f t="shared" si="75"/>
        <v>692</v>
      </c>
      <c r="K500">
        <f t="shared" si="76"/>
        <v>12</v>
      </c>
      <c r="L500">
        <f t="shared" si="77"/>
        <v>141055</v>
      </c>
      <c r="M500">
        <f t="shared" si="78"/>
        <v>45856</v>
      </c>
      <c r="N500">
        <f t="shared" si="79"/>
        <v>234911</v>
      </c>
      <c r="O500">
        <f>IF(B500="zagraniczny",K500+O499,O499)</f>
        <v>259</v>
      </c>
    </row>
    <row r="501" spans="1:15" x14ac:dyDescent="0.25">
      <c r="A501">
        <v>1734512</v>
      </c>
      <c r="B501" t="str">
        <f t="shared" si="70"/>
        <v>stacjonarny</v>
      </c>
      <c r="C501" s="1">
        <v>42923</v>
      </c>
      <c r="D501" s="2">
        <v>0.57093749999999999</v>
      </c>
      <c r="E501" s="2">
        <v>0.5765393518518519</v>
      </c>
      <c r="F501" s="2">
        <f t="shared" si="71"/>
        <v>5.6018518518519134E-3</v>
      </c>
      <c r="G501">
        <f t="shared" si="72"/>
        <v>0</v>
      </c>
      <c r="H501">
        <f t="shared" si="73"/>
        <v>8</v>
      </c>
      <c r="I501">
        <f t="shared" si="74"/>
        <v>4</v>
      </c>
      <c r="J501">
        <f t="shared" si="75"/>
        <v>484</v>
      </c>
      <c r="K501">
        <f t="shared" si="76"/>
        <v>9</v>
      </c>
      <c r="L501">
        <f t="shared" si="77"/>
        <v>141539</v>
      </c>
      <c r="M501">
        <f t="shared" si="78"/>
        <v>45856</v>
      </c>
      <c r="N501">
        <f t="shared" si="79"/>
        <v>235395</v>
      </c>
      <c r="O501">
        <f>IF(B501="zagraniczny",K501+O500,O500)</f>
        <v>259</v>
      </c>
    </row>
    <row r="502" spans="1:15" x14ac:dyDescent="0.25">
      <c r="A502">
        <v>6741642</v>
      </c>
      <c r="B502" t="str">
        <f t="shared" si="70"/>
        <v>stacjonarny</v>
      </c>
      <c r="C502" s="1">
        <v>42923</v>
      </c>
      <c r="D502" s="2">
        <v>0.57523148148148151</v>
      </c>
      <c r="E502" s="2">
        <v>0.57535879629629627</v>
      </c>
      <c r="F502" s="2">
        <f t="shared" si="71"/>
        <v>1.273148148147607E-4</v>
      </c>
      <c r="G502">
        <f t="shared" si="72"/>
        <v>0</v>
      </c>
      <c r="H502">
        <f t="shared" si="73"/>
        <v>0</v>
      </c>
      <c r="I502">
        <f t="shared" si="74"/>
        <v>11</v>
      </c>
      <c r="J502">
        <f t="shared" si="75"/>
        <v>11</v>
      </c>
      <c r="K502">
        <f t="shared" si="76"/>
        <v>1</v>
      </c>
      <c r="L502">
        <f t="shared" si="77"/>
        <v>141550</v>
      </c>
      <c r="M502">
        <f t="shared" si="78"/>
        <v>45856</v>
      </c>
      <c r="N502">
        <f t="shared" si="79"/>
        <v>235406</v>
      </c>
      <c r="O502">
        <f>IF(B502="zagraniczny",K502+O501,O501)</f>
        <v>259</v>
      </c>
    </row>
    <row r="503" spans="1:15" x14ac:dyDescent="0.25">
      <c r="A503">
        <v>45862784</v>
      </c>
      <c r="B503" t="str">
        <f t="shared" si="70"/>
        <v>komorkowy</v>
      </c>
      <c r="C503" s="1">
        <v>42923</v>
      </c>
      <c r="D503" s="2">
        <v>0.57768518518518519</v>
      </c>
      <c r="E503" s="2">
        <v>0.58636574074074077</v>
      </c>
      <c r="F503" s="2">
        <f t="shared" si="71"/>
        <v>8.6805555555555802E-3</v>
      </c>
      <c r="G503">
        <f t="shared" si="72"/>
        <v>0</v>
      </c>
      <c r="H503">
        <f t="shared" si="73"/>
        <v>12</v>
      </c>
      <c r="I503">
        <f t="shared" si="74"/>
        <v>30</v>
      </c>
      <c r="J503">
        <f t="shared" si="75"/>
        <v>750</v>
      </c>
      <c r="K503">
        <f t="shared" si="76"/>
        <v>13</v>
      </c>
      <c r="L503">
        <f t="shared" si="77"/>
        <v>141550</v>
      </c>
      <c r="M503">
        <f t="shared" si="78"/>
        <v>46606</v>
      </c>
      <c r="N503">
        <f t="shared" si="79"/>
        <v>236156</v>
      </c>
      <c r="O503">
        <f>IF(B503="zagraniczny",K503+O502,O502)</f>
        <v>259</v>
      </c>
    </row>
    <row r="504" spans="1:15" x14ac:dyDescent="0.25">
      <c r="A504">
        <v>25147401</v>
      </c>
      <c r="B504" t="str">
        <f t="shared" si="70"/>
        <v>komorkowy</v>
      </c>
      <c r="C504" s="1">
        <v>42923</v>
      </c>
      <c r="D504" s="2">
        <v>0.57922453703703702</v>
      </c>
      <c r="E504" s="2">
        <v>0.58821759259259254</v>
      </c>
      <c r="F504" s="2">
        <f t="shared" si="71"/>
        <v>8.9930555555555181E-3</v>
      </c>
      <c r="G504">
        <f t="shared" si="72"/>
        <v>0</v>
      </c>
      <c r="H504">
        <f t="shared" si="73"/>
        <v>12</v>
      </c>
      <c r="I504">
        <f t="shared" si="74"/>
        <v>57</v>
      </c>
      <c r="J504">
        <f t="shared" si="75"/>
        <v>777</v>
      </c>
      <c r="K504">
        <f t="shared" si="76"/>
        <v>13</v>
      </c>
      <c r="L504">
        <f t="shared" si="77"/>
        <v>141550</v>
      </c>
      <c r="M504">
        <f t="shared" si="78"/>
        <v>47383</v>
      </c>
      <c r="N504">
        <f t="shared" si="79"/>
        <v>236933</v>
      </c>
      <c r="O504">
        <f>IF(B504="zagraniczny",K504+O503,O503)</f>
        <v>259</v>
      </c>
    </row>
    <row r="505" spans="1:15" x14ac:dyDescent="0.25">
      <c r="A505">
        <v>4963499</v>
      </c>
      <c r="B505" t="str">
        <f t="shared" si="70"/>
        <v>stacjonarny</v>
      </c>
      <c r="C505" s="1">
        <v>42923</v>
      </c>
      <c r="D505" s="2">
        <v>0.58484953703703701</v>
      </c>
      <c r="E505" s="2">
        <v>0.5869212962962963</v>
      </c>
      <c r="F505" s="2">
        <f t="shared" si="71"/>
        <v>2.0717592592592871E-3</v>
      </c>
      <c r="G505">
        <f t="shared" si="72"/>
        <v>0</v>
      </c>
      <c r="H505">
        <f t="shared" si="73"/>
        <v>2</v>
      </c>
      <c r="I505">
        <f t="shared" si="74"/>
        <v>59</v>
      </c>
      <c r="J505">
        <f t="shared" si="75"/>
        <v>179</v>
      </c>
      <c r="K505">
        <f t="shared" si="76"/>
        <v>3</v>
      </c>
      <c r="L505">
        <f t="shared" si="77"/>
        <v>141729</v>
      </c>
      <c r="M505">
        <f t="shared" si="78"/>
        <v>47383</v>
      </c>
      <c r="N505">
        <f t="shared" si="79"/>
        <v>237112</v>
      </c>
      <c r="O505">
        <f>IF(B505="zagraniczny",K505+O504,O504)</f>
        <v>259</v>
      </c>
    </row>
    <row r="506" spans="1:15" x14ac:dyDescent="0.25">
      <c r="A506">
        <v>7432767</v>
      </c>
      <c r="B506" t="str">
        <f t="shared" si="70"/>
        <v>stacjonarny</v>
      </c>
      <c r="C506" s="1">
        <v>42923</v>
      </c>
      <c r="D506" s="2">
        <v>0.58508101851851857</v>
      </c>
      <c r="E506" s="2">
        <v>0.58635416666666662</v>
      </c>
      <c r="F506" s="2">
        <f t="shared" si="71"/>
        <v>1.2731481481480511E-3</v>
      </c>
      <c r="G506">
        <f t="shared" si="72"/>
        <v>0</v>
      </c>
      <c r="H506">
        <f t="shared" si="73"/>
        <v>1</v>
      </c>
      <c r="I506">
        <f t="shared" si="74"/>
        <v>50</v>
      </c>
      <c r="J506">
        <f t="shared" si="75"/>
        <v>110</v>
      </c>
      <c r="K506">
        <f t="shared" si="76"/>
        <v>2</v>
      </c>
      <c r="L506">
        <f t="shared" si="77"/>
        <v>141839</v>
      </c>
      <c r="M506">
        <f t="shared" si="78"/>
        <v>47383</v>
      </c>
      <c r="N506">
        <f t="shared" si="79"/>
        <v>237222</v>
      </c>
      <c r="O506">
        <f>IF(B506="zagraniczny",K506+O505,O505)</f>
        <v>259</v>
      </c>
    </row>
    <row r="507" spans="1:15" x14ac:dyDescent="0.25">
      <c r="A507">
        <v>3599100</v>
      </c>
      <c r="B507" t="str">
        <f t="shared" si="70"/>
        <v>stacjonarny</v>
      </c>
      <c r="C507" s="1">
        <v>42923</v>
      </c>
      <c r="D507" s="2">
        <v>0.58832175925925922</v>
      </c>
      <c r="E507" s="2">
        <v>0.59277777777777774</v>
      </c>
      <c r="F507" s="2">
        <f t="shared" si="71"/>
        <v>4.4560185185185119E-3</v>
      </c>
      <c r="G507">
        <f t="shared" si="72"/>
        <v>0</v>
      </c>
      <c r="H507">
        <f t="shared" si="73"/>
        <v>6</v>
      </c>
      <c r="I507">
        <f t="shared" si="74"/>
        <v>25</v>
      </c>
      <c r="J507">
        <f t="shared" si="75"/>
        <v>385</v>
      </c>
      <c r="K507">
        <f t="shared" si="76"/>
        <v>7</v>
      </c>
      <c r="L507">
        <f t="shared" si="77"/>
        <v>142224</v>
      </c>
      <c r="M507">
        <f t="shared" si="78"/>
        <v>47383</v>
      </c>
      <c r="N507">
        <f t="shared" si="79"/>
        <v>237607</v>
      </c>
      <c r="O507">
        <f>IF(B507="zagraniczny",K507+O506,O506)</f>
        <v>259</v>
      </c>
    </row>
    <row r="508" spans="1:15" x14ac:dyDescent="0.25">
      <c r="A508">
        <v>8251878</v>
      </c>
      <c r="B508" t="str">
        <f t="shared" si="70"/>
        <v>stacjonarny</v>
      </c>
      <c r="C508" s="1">
        <v>42923</v>
      </c>
      <c r="D508" s="2">
        <v>0.59281249999999996</v>
      </c>
      <c r="E508" s="2">
        <v>0.59375</v>
      </c>
      <c r="F508" s="2">
        <f t="shared" si="71"/>
        <v>9.3750000000003553E-4</v>
      </c>
      <c r="G508">
        <f t="shared" si="72"/>
        <v>0</v>
      </c>
      <c r="H508">
        <f t="shared" si="73"/>
        <v>1</v>
      </c>
      <c r="I508">
        <f t="shared" si="74"/>
        <v>21</v>
      </c>
      <c r="J508">
        <f t="shared" si="75"/>
        <v>81</v>
      </c>
      <c r="K508">
        <f t="shared" si="76"/>
        <v>2</v>
      </c>
      <c r="L508">
        <f t="shared" si="77"/>
        <v>142305</v>
      </c>
      <c r="M508">
        <f t="shared" si="78"/>
        <v>47383</v>
      </c>
      <c r="N508">
        <f t="shared" si="79"/>
        <v>237688</v>
      </c>
      <c r="O508">
        <f>IF(B508="zagraniczny",K508+O507,O507)</f>
        <v>259</v>
      </c>
    </row>
    <row r="509" spans="1:15" x14ac:dyDescent="0.25">
      <c r="A509">
        <v>2826868</v>
      </c>
      <c r="B509" t="str">
        <f t="shared" si="70"/>
        <v>stacjonarny</v>
      </c>
      <c r="C509" s="1">
        <v>42923</v>
      </c>
      <c r="D509" s="2">
        <v>0.59672453703703698</v>
      </c>
      <c r="E509" s="2">
        <v>0.60435185185185181</v>
      </c>
      <c r="F509" s="2">
        <f t="shared" si="71"/>
        <v>7.6273148148148229E-3</v>
      </c>
      <c r="G509">
        <f t="shared" si="72"/>
        <v>0</v>
      </c>
      <c r="H509">
        <f t="shared" si="73"/>
        <v>10</v>
      </c>
      <c r="I509">
        <f t="shared" si="74"/>
        <v>59</v>
      </c>
      <c r="J509">
        <f t="shared" si="75"/>
        <v>659</v>
      </c>
      <c r="K509">
        <f t="shared" si="76"/>
        <v>11</v>
      </c>
      <c r="L509">
        <f t="shared" si="77"/>
        <v>142964</v>
      </c>
      <c r="M509">
        <f t="shared" si="78"/>
        <v>47383</v>
      </c>
      <c r="N509">
        <f t="shared" si="79"/>
        <v>238347</v>
      </c>
      <c r="O509">
        <f>IF(B509="zagraniczny",K509+O508,O508)</f>
        <v>259</v>
      </c>
    </row>
    <row r="510" spans="1:15" x14ac:dyDescent="0.25">
      <c r="A510">
        <v>76099906</v>
      </c>
      <c r="B510" t="str">
        <f t="shared" si="70"/>
        <v>komorkowy</v>
      </c>
      <c r="C510" s="1">
        <v>42923</v>
      </c>
      <c r="D510" s="2">
        <v>0.6004976851851852</v>
      </c>
      <c r="E510" s="2">
        <v>0.61106481481481478</v>
      </c>
      <c r="F510" s="2">
        <f t="shared" si="71"/>
        <v>1.0567129629629579E-2</v>
      </c>
      <c r="G510">
        <f t="shared" si="72"/>
        <v>0</v>
      </c>
      <c r="H510">
        <f t="shared" si="73"/>
        <v>15</v>
      </c>
      <c r="I510">
        <f t="shared" si="74"/>
        <v>13</v>
      </c>
      <c r="J510">
        <f t="shared" si="75"/>
        <v>913</v>
      </c>
      <c r="K510">
        <f t="shared" si="76"/>
        <v>16</v>
      </c>
      <c r="L510">
        <f t="shared" si="77"/>
        <v>142964</v>
      </c>
      <c r="M510">
        <f t="shared" si="78"/>
        <v>48296</v>
      </c>
      <c r="N510">
        <f t="shared" si="79"/>
        <v>239260</v>
      </c>
      <c r="O510">
        <f>IF(B510="zagraniczny",K510+O509,O509)</f>
        <v>259</v>
      </c>
    </row>
    <row r="511" spans="1:15" x14ac:dyDescent="0.25">
      <c r="A511">
        <v>5147242</v>
      </c>
      <c r="B511" t="str">
        <f t="shared" si="70"/>
        <v>stacjonarny</v>
      </c>
      <c r="C511" s="1">
        <v>42923</v>
      </c>
      <c r="D511" s="2">
        <v>0.60381944444444446</v>
      </c>
      <c r="E511" s="2">
        <v>0.60589120370370375</v>
      </c>
      <c r="F511" s="2">
        <f t="shared" si="71"/>
        <v>2.0717592592592871E-3</v>
      </c>
      <c r="G511">
        <f t="shared" si="72"/>
        <v>0</v>
      </c>
      <c r="H511">
        <f t="shared" si="73"/>
        <v>2</v>
      </c>
      <c r="I511">
        <f t="shared" si="74"/>
        <v>59</v>
      </c>
      <c r="J511">
        <f t="shared" si="75"/>
        <v>179</v>
      </c>
      <c r="K511">
        <f t="shared" si="76"/>
        <v>3</v>
      </c>
      <c r="L511">
        <f t="shared" si="77"/>
        <v>143143</v>
      </c>
      <c r="M511">
        <f t="shared" si="78"/>
        <v>48296</v>
      </c>
      <c r="N511">
        <f t="shared" si="79"/>
        <v>239439</v>
      </c>
      <c r="O511">
        <f>IF(B511="zagraniczny",K511+O510,O510)</f>
        <v>259</v>
      </c>
    </row>
    <row r="512" spans="1:15" x14ac:dyDescent="0.25">
      <c r="A512">
        <v>9600226</v>
      </c>
      <c r="B512" t="str">
        <f t="shared" si="70"/>
        <v>stacjonarny</v>
      </c>
      <c r="C512" s="1">
        <v>42923</v>
      </c>
      <c r="D512" s="2">
        <v>0.60758101851851853</v>
      </c>
      <c r="E512" s="2">
        <v>0.61008101851851848</v>
      </c>
      <c r="F512" s="2">
        <f t="shared" si="71"/>
        <v>2.4999999999999467E-3</v>
      </c>
      <c r="G512">
        <f t="shared" si="72"/>
        <v>0</v>
      </c>
      <c r="H512">
        <f t="shared" si="73"/>
        <v>3</v>
      </c>
      <c r="I512">
        <f t="shared" si="74"/>
        <v>36</v>
      </c>
      <c r="J512">
        <f t="shared" si="75"/>
        <v>216</v>
      </c>
      <c r="K512">
        <f t="shared" si="76"/>
        <v>4</v>
      </c>
      <c r="L512">
        <f t="shared" si="77"/>
        <v>143359</v>
      </c>
      <c r="M512">
        <f t="shared" si="78"/>
        <v>48296</v>
      </c>
      <c r="N512">
        <f t="shared" si="79"/>
        <v>239655</v>
      </c>
      <c r="O512">
        <f>IF(B512="zagraniczny",K512+O511,O511)</f>
        <v>259</v>
      </c>
    </row>
    <row r="513" spans="1:15" x14ac:dyDescent="0.25">
      <c r="A513">
        <v>1337042</v>
      </c>
      <c r="B513" t="str">
        <f t="shared" si="70"/>
        <v>stacjonarny</v>
      </c>
      <c r="C513" s="1">
        <v>42923</v>
      </c>
      <c r="D513" s="2">
        <v>0.60930555555555554</v>
      </c>
      <c r="E513" s="2">
        <v>0.62085648148148154</v>
      </c>
      <c r="F513" s="2">
        <f t="shared" si="71"/>
        <v>1.1550925925925992E-2</v>
      </c>
      <c r="G513">
        <f t="shared" si="72"/>
        <v>0</v>
      </c>
      <c r="H513">
        <f t="shared" si="73"/>
        <v>16</v>
      </c>
      <c r="I513">
        <f t="shared" si="74"/>
        <v>38</v>
      </c>
      <c r="J513">
        <f t="shared" si="75"/>
        <v>998</v>
      </c>
      <c r="K513">
        <f t="shared" si="76"/>
        <v>17</v>
      </c>
      <c r="L513">
        <f t="shared" si="77"/>
        <v>144357</v>
      </c>
      <c r="M513">
        <f t="shared" si="78"/>
        <v>48296</v>
      </c>
      <c r="N513">
        <f t="shared" si="79"/>
        <v>240653</v>
      </c>
      <c r="O513">
        <f>IF(B513="zagraniczny",K513+O512,O512)</f>
        <v>259</v>
      </c>
    </row>
    <row r="514" spans="1:15" x14ac:dyDescent="0.25">
      <c r="A514">
        <v>1223943</v>
      </c>
      <c r="B514" t="str">
        <f t="shared" si="70"/>
        <v>stacjonarny</v>
      </c>
      <c r="C514" s="1">
        <v>42923</v>
      </c>
      <c r="D514" s="2">
        <v>0.61412037037037037</v>
      </c>
      <c r="E514" s="2">
        <v>0.62342592592592594</v>
      </c>
      <c r="F514" s="2">
        <f t="shared" si="71"/>
        <v>9.3055555555555669E-3</v>
      </c>
      <c r="G514">
        <f t="shared" si="72"/>
        <v>0</v>
      </c>
      <c r="H514">
        <f t="shared" si="73"/>
        <v>13</v>
      </c>
      <c r="I514">
        <f t="shared" si="74"/>
        <v>24</v>
      </c>
      <c r="J514">
        <f t="shared" si="75"/>
        <v>804</v>
      </c>
      <c r="K514">
        <f t="shared" si="76"/>
        <v>14</v>
      </c>
      <c r="L514">
        <f t="shared" si="77"/>
        <v>145161</v>
      </c>
      <c r="M514">
        <f t="shared" si="78"/>
        <v>48296</v>
      </c>
      <c r="N514">
        <f t="shared" si="79"/>
        <v>241457</v>
      </c>
      <c r="O514">
        <f>IF(B514="zagraniczny",K514+O513,O513)</f>
        <v>259</v>
      </c>
    </row>
    <row r="515" spans="1:15" x14ac:dyDescent="0.25">
      <c r="A515">
        <v>3525921</v>
      </c>
      <c r="B515" t="str">
        <f t="shared" ref="B515:B578" si="80">IF(LEN(A515)=7,"stacjonarny",IF(LEN(A515)=8,"komorkowy","zagraniczny"))</f>
        <v>stacjonarny</v>
      </c>
      <c r="C515" s="1">
        <v>42923</v>
      </c>
      <c r="D515" s="2">
        <v>0.61557870370370371</v>
      </c>
      <c r="E515" s="2">
        <v>0.61946759259259254</v>
      </c>
      <c r="F515" s="2">
        <f t="shared" ref="F515:F578" si="81">E515-D515</f>
        <v>3.8888888888888307E-3</v>
      </c>
      <c r="G515">
        <f t="shared" ref="G515:G578" si="82">HOUR(F515)</f>
        <v>0</v>
      </c>
      <c r="H515">
        <f t="shared" ref="H515:H578" si="83">MINUTE(F515)</f>
        <v>5</v>
      </c>
      <c r="I515">
        <f t="shared" ref="I515:I578" si="84">SECOND(F515)</f>
        <v>36</v>
      </c>
      <c r="J515">
        <f t="shared" ref="J515:J578" si="85">H515*60+I515</f>
        <v>336</v>
      </c>
      <c r="K515">
        <f t="shared" ref="K515:K578" si="86">IF(I515&gt;0,G515*60+H515+1,H515+G515*60)</f>
        <v>6</v>
      </c>
      <c r="L515">
        <f t="shared" si="77"/>
        <v>145497</v>
      </c>
      <c r="M515">
        <f t="shared" si="78"/>
        <v>48296</v>
      </c>
      <c r="N515">
        <f t="shared" si="79"/>
        <v>241793</v>
      </c>
      <c r="O515">
        <f>IF(B515="zagraniczny",K515+O514,O514)</f>
        <v>259</v>
      </c>
    </row>
    <row r="516" spans="1:15" x14ac:dyDescent="0.25">
      <c r="A516">
        <v>5094248</v>
      </c>
      <c r="B516" t="str">
        <f t="shared" si="80"/>
        <v>stacjonarny</v>
      </c>
      <c r="C516" s="1">
        <v>42923</v>
      </c>
      <c r="D516" s="2">
        <v>0.61901620370370369</v>
      </c>
      <c r="E516" s="2">
        <v>0.62861111111111112</v>
      </c>
      <c r="F516" s="2">
        <f t="shared" si="81"/>
        <v>9.594907407407427E-3</v>
      </c>
      <c r="G516">
        <f t="shared" si="82"/>
        <v>0</v>
      </c>
      <c r="H516">
        <f t="shared" si="83"/>
        <v>13</v>
      </c>
      <c r="I516">
        <f t="shared" si="84"/>
        <v>49</v>
      </c>
      <c r="J516">
        <f t="shared" si="85"/>
        <v>829</v>
      </c>
      <c r="K516">
        <f t="shared" si="86"/>
        <v>14</v>
      </c>
      <c r="L516">
        <f t="shared" ref="L516:L579" si="87">IF(B516="stacjonarny",$J516+L515,L515)</f>
        <v>146326</v>
      </c>
      <c r="M516">
        <f t="shared" ref="M516:M579" si="88">IF(B516="komorkowy",$J516+M515,M515)</f>
        <v>48296</v>
      </c>
      <c r="N516">
        <f t="shared" ref="N516:N579" si="89">IF(OR(B516="stacjonarny",B516="komorkowy"),J516+N515,N515)</f>
        <v>242622</v>
      </c>
      <c r="O516">
        <f>IF(B516="zagraniczny",K516+O515,O515)</f>
        <v>259</v>
      </c>
    </row>
    <row r="517" spans="1:15" x14ac:dyDescent="0.25">
      <c r="A517">
        <v>7275091</v>
      </c>
      <c r="B517" t="str">
        <f t="shared" si="80"/>
        <v>stacjonarny</v>
      </c>
      <c r="C517" s="1">
        <v>42923</v>
      </c>
      <c r="D517" s="2">
        <v>0.62306712962962962</v>
      </c>
      <c r="E517" s="2">
        <v>0.63328703703703704</v>
      </c>
      <c r="F517" s="2">
        <f t="shared" si="81"/>
        <v>1.0219907407407414E-2</v>
      </c>
      <c r="G517">
        <f t="shared" si="82"/>
        <v>0</v>
      </c>
      <c r="H517">
        <f t="shared" si="83"/>
        <v>14</v>
      </c>
      <c r="I517">
        <f t="shared" si="84"/>
        <v>43</v>
      </c>
      <c r="J517">
        <f t="shared" si="85"/>
        <v>883</v>
      </c>
      <c r="K517">
        <f t="shared" si="86"/>
        <v>15</v>
      </c>
      <c r="L517">
        <f t="shared" si="87"/>
        <v>147209</v>
      </c>
      <c r="M517">
        <f t="shared" si="88"/>
        <v>48296</v>
      </c>
      <c r="N517">
        <f t="shared" si="89"/>
        <v>243505</v>
      </c>
      <c r="O517">
        <f>IF(B517="zagraniczny",K517+O516,O516)</f>
        <v>259</v>
      </c>
    </row>
    <row r="518" spans="1:15" x14ac:dyDescent="0.25">
      <c r="A518">
        <v>73042148</v>
      </c>
      <c r="B518" t="str">
        <f t="shared" si="80"/>
        <v>komorkowy</v>
      </c>
      <c r="C518" s="1">
        <v>42923</v>
      </c>
      <c r="D518" s="2">
        <v>0.62537037037037035</v>
      </c>
      <c r="E518" s="2">
        <v>0.63498842592592597</v>
      </c>
      <c r="F518" s="2">
        <f t="shared" si="81"/>
        <v>9.6180555555556158E-3</v>
      </c>
      <c r="G518">
        <f t="shared" si="82"/>
        <v>0</v>
      </c>
      <c r="H518">
        <f t="shared" si="83"/>
        <v>13</v>
      </c>
      <c r="I518">
        <f t="shared" si="84"/>
        <v>51</v>
      </c>
      <c r="J518">
        <f t="shared" si="85"/>
        <v>831</v>
      </c>
      <c r="K518">
        <f t="shared" si="86"/>
        <v>14</v>
      </c>
      <c r="L518">
        <f t="shared" si="87"/>
        <v>147209</v>
      </c>
      <c r="M518">
        <f t="shared" si="88"/>
        <v>49127</v>
      </c>
      <c r="N518">
        <f t="shared" si="89"/>
        <v>244336</v>
      </c>
      <c r="O518">
        <f>IF(B518="zagraniczny",K518+O517,O517)</f>
        <v>259</v>
      </c>
    </row>
    <row r="519" spans="1:15" x14ac:dyDescent="0.25">
      <c r="A519">
        <v>8570276</v>
      </c>
      <c r="B519" t="str">
        <f t="shared" si="80"/>
        <v>stacjonarny</v>
      </c>
      <c r="C519" s="1">
        <v>42926</v>
      </c>
      <c r="D519" s="2">
        <v>0.33759259259259261</v>
      </c>
      <c r="E519" s="2">
        <v>0.34880787037037037</v>
      </c>
      <c r="F519" s="2">
        <f t="shared" si="81"/>
        <v>1.1215277777777755E-2</v>
      </c>
      <c r="G519">
        <f t="shared" si="82"/>
        <v>0</v>
      </c>
      <c r="H519">
        <f t="shared" si="83"/>
        <v>16</v>
      </c>
      <c r="I519">
        <f t="shared" si="84"/>
        <v>9</v>
      </c>
      <c r="J519">
        <f t="shared" si="85"/>
        <v>969</v>
      </c>
      <c r="K519">
        <f t="shared" si="86"/>
        <v>17</v>
      </c>
      <c r="L519">
        <f t="shared" si="87"/>
        <v>148178</v>
      </c>
      <c r="M519">
        <f t="shared" si="88"/>
        <v>49127</v>
      </c>
      <c r="N519">
        <f t="shared" si="89"/>
        <v>245305</v>
      </c>
      <c r="O519">
        <f>IF(B519="zagraniczny",K519+O518,O518)</f>
        <v>259</v>
      </c>
    </row>
    <row r="520" spans="1:15" x14ac:dyDescent="0.25">
      <c r="A520">
        <v>1775586</v>
      </c>
      <c r="B520" t="str">
        <f t="shared" si="80"/>
        <v>stacjonarny</v>
      </c>
      <c r="C520" s="1">
        <v>42926</v>
      </c>
      <c r="D520" s="2">
        <v>0.34016203703703701</v>
      </c>
      <c r="E520" s="2">
        <v>0.3495138888888889</v>
      </c>
      <c r="F520" s="2">
        <f t="shared" si="81"/>
        <v>9.3518518518518889E-3</v>
      </c>
      <c r="G520">
        <f t="shared" si="82"/>
        <v>0</v>
      </c>
      <c r="H520">
        <f t="shared" si="83"/>
        <v>13</v>
      </c>
      <c r="I520">
        <f t="shared" si="84"/>
        <v>28</v>
      </c>
      <c r="J520">
        <f t="shared" si="85"/>
        <v>808</v>
      </c>
      <c r="K520">
        <f t="shared" si="86"/>
        <v>14</v>
      </c>
      <c r="L520">
        <f t="shared" si="87"/>
        <v>148986</v>
      </c>
      <c r="M520">
        <f t="shared" si="88"/>
        <v>49127</v>
      </c>
      <c r="N520">
        <f t="shared" si="89"/>
        <v>246113</v>
      </c>
      <c r="O520">
        <f>IF(B520="zagraniczny",K520+O519,O519)</f>
        <v>259</v>
      </c>
    </row>
    <row r="521" spans="1:15" x14ac:dyDescent="0.25">
      <c r="A521">
        <v>27791497</v>
      </c>
      <c r="B521" t="str">
        <f t="shared" si="80"/>
        <v>komorkowy</v>
      </c>
      <c r="C521" s="1">
        <v>42926</v>
      </c>
      <c r="D521" s="2">
        <v>0.34312500000000001</v>
      </c>
      <c r="E521" s="2">
        <v>0.34373842592592591</v>
      </c>
      <c r="F521" s="2">
        <f t="shared" si="81"/>
        <v>6.1342592592589229E-4</v>
      </c>
      <c r="G521">
        <f t="shared" si="82"/>
        <v>0</v>
      </c>
      <c r="H521">
        <f t="shared" si="83"/>
        <v>0</v>
      </c>
      <c r="I521">
        <f t="shared" si="84"/>
        <v>53</v>
      </c>
      <c r="J521">
        <f t="shared" si="85"/>
        <v>53</v>
      </c>
      <c r="K521">
        <f t="shared" si="86"/>
        <v>1</v>
      </c>
      <c r="L521">
        <f t="shared" si="87"/>
        <v>148986</v>
      </c>
      <c r="M521">
        <f t="shared" si="88"/>
        <v>49180</v>
      </c>
      <c r="N521">
        <f t="shared" si="89"/>
        <v>246166</v>
      </c>
      <c r="O521">
        <f>IF(B521="zagraniczny",K521+O520,O520)</f>
        <v>259</v>
      </c>
    </row>
    <row r="522" spans="1:15" x14ac:dyDescent="0.25">
      <c r="A522">
        <v>5162775</v>
      </c>
      <c r="B522" t="str">
        <f t="shared" si="80"/>
        <v>stacjonarny</v>
      </c>
      <c r="C522" s="1">
        <v>42926</v>
      </c>
      <c r="D522" s="2">
        <v>0.34364583333333332</v>
      </c>
      <c r="E522" s="2">
        <v>0.3492824074074074</v>
      </c>
      <c r="F522" s="2">
        <f t="shared" si="81"/>
        <v>5.6365740740740855E-3</v>
      </c>
      <c r="G522">
        <f t="shared" si="82"/>
        <v>0</v>
      </c>
      <c r="H522">
        <f t="shared" si="83"/>
        <v>8</v>
      </c>
      <c r="I522">
        <f t="shared" si="84"/>
        <v>7</v>
      </c>
      <c r="J522">
        <f t="shared" si="85"/>
        <v>487</v>
      </c>
      <c r="K522">
        <f t="shared" si="86"/>
        <v>9</v>
      </c>
      <c r="L522">
        <f t="shared" si="87"/>
        <v>149473</v>
      </c>
      <c r="M522">
        <f t="shared" si="88"/>
        <v>49180</v>
      </c>
      <c r="N522">
        <f t="shared" si="89"/>
        <v>246653</v>
      </c>
      <c r="O522">
        <f>IF(B522="zagraniczny",K522+O521,O521)</f>
        <v>259</v>
      </c>
    </row>
    <row r="523" spans="1:15" x14ac:dyDescent="0.25">
      <c r="A523">
        <v>56115408</v>
      </c>
      <c r="B523" t="str">
        <f t="shared" si="80"/>
        <v>komorkowy</v>
      </c>
      <c r="C523" s="1">
        <v>42926</v>
      </c>
      <c r="D523" s="2">
        <v>0.34796296296296297</v>
      </c>
      <c r="E523" s="2">
        <v>0.35728009259259258</v>
      </c>
      <c r="F523" s="2">
        <f t="shared" si="81"/>
        <v>9.3171296296296058E-3</v>
      </c>
      <c r="G523">
        <f t="shared" si="82"/>
        <v>0</v>
      </c>
      <c r="H523">
        <f t="shared" si="83"/>
        <v>13</v>
      </c>
      <c r="I523">
        <f t="shared" si="84"/>
        <v>25</v>
      </c>
      <c r="J523">
        <f t="shared" si="85"/>
        <v>805</v>
      </c>
      <c r="K523">
        <f t="shared" si="86"/>
        <v>14</v>
      </c>
      <c r="L523">
        <f t="shared" si="87"/>
        <v>149473</v>
      </c>
      <c r="M523">
        <f t="shared" si="88"/>
        <v>49985</v>
      </c>
      <c r="N523">
        <f t="shared" si="89"/>
        <v>247458</v>
      </c>
      <c r="O523">
        <f>IF(B523="zagraniczny",K523+O522,O522)</f>
        <v>259</v>
      </c>
    </row>
    <row r="524" spans="1:15" x14ac:dyDescent="0.25">
      <c r="A524">
        <v>6766881</v>
      </c>
      <c r="B524" t="str">
        <f t="shared" si="80"/>
        <v>stacjonarny</v>
      </c>
      <c r="C524" s="1">
        <v>42926</v>
      </c>
      <c r="D524" s="2">
        <v>0.35249999999999998</v>
      </c>
      <c r="E524" s="2">
        <v>0.35278935185185184</v>
      </c>
      <c r="F524" s="2">
        <f t="shared" si="81"/>
        <v>2.8935185185186008E-4</v>
      </c>
      <c r="G524">
        <f t="shared" si="82"/>
        <v>0</v>
      </c>
      <c r="H524">
        <f t="shared" si="83"/>
        <v>0</v>
      </c>
      <c r="I524">
        <f t="shared" si="84"/>
        <v>25</v>
      </c>
      <c r="J524">
        <f t="shared" si="85"/>
        <v>25</v>
      </c>
      <c r="K524">
        <f t="shared" si="86"/>
        <v>1</v>
      </c>
      <c r="L524">
        <f t="shared" si="87"/>
        <v>149498</v>
      </c>
      <c r="M524">
        <f t="shared" si="88"/>
        <v>49985</v>
      </c>
      <c r="N524">
        <f t="shared" si="89"/>
        <v>247483</v>
      </c>
      <c r="O524">
        <f>IF(B524="zagraniczny",K524+O523,O523)</f>
        <v>259</v>
      </c>
    </row>
    <row r="525" spans="1:15" x14ac:dyDescent="0.25">
      <c r="A525">
        <v>9502975</v>
      </c>
      <c r="B525" t="str">
        <f t="shared" si="80"/>
        <v>stacjonarny</v>
      </c>
      <c r="C525" s="1">
        <v>42926</v>
      </c>
      <c r="D525" s="2">
        <v>0.35483796296296294</v>
      </c>
      <c r="E525" s="2">
        <v>0.35699074074074072</v>
      </c>
      <c r="F525" s="2">
        <f t="shared" si="81"/>
        <v>2.1527777777777812E-3</v>
      </c>
      <c r="G525">
        <f t="shared" si="82"/>
        <v>0</v>
      </c>
      <c r="H525">
        <f t="shared" si="83"/>
        <v>3</v>
      </c>
      <c r="I525">
        <f t="shared" si="84"/>
        <v>6</v>
      </c>
      <c r="J525">
        <f t="shared" si="85"/>
        <v>186</v>
      </c>
      <c r="K525">
        <f t="shared" si="86"/>
        <v>4</v>
      </c>
      <c r="L525">
        <f t="shared" si="87"/>
        <v>149684</v>
      </c>
      <c r="M525">
        <f t="shared" si="88"/>
        <v>49985</v>
      </c>
      <c r="N525">
        <f t="shared" si="89"/>
        <v>247669</v>
      </c>
      <c r="O525">
        <f>IF(B525="zagraniczny",K525+O524,O524)</f>
        <v>259</v>
      </c>
    </row>
    <row r="526" spans="1:15" x14ac:dyDescent="0.25">
      <c r="A526">
        <v>4212838</v>
      </c>
      <c r="B526" t="str">
        <f t="shared" si="80"/>
        <v>stacjonarny</v>
      </c>
      <c r="C526" s="1">
        <v>42926</v>
      </c>
      <c r="D526" s="2">
        <v>0.35760416666666667</v>
      </c>
      <c r="E526" s="2">
        <v>0.35951388888888891</v>
      </c>
      <c r="F526" s="2">
        <f t="shared" si="81"/>
        <v>1.9097222222222432E-3</v>
      </c>
      <c r="G526">
        <f t="shared" si="82"/>
        <v>0</v>
      </c>
      <c r="H526">
        <f t="shared" si="83"/>
        <v>2</v>
      </c>
      <c r="I526">
        <f t="shared" si="84"/>
        <v>45</v>
      </c>
      <c r="J526">
        <f t="shared" si="85"/>
        <v>165</v>
      </c>
      <c r="K526">
        <f t="shared" si="86"/>
        <v>3</v>
      </c>
      <c r="L526">
        <f t="shared" si="87"/>
        <v>149849</v>
      </c>
      <c r="M526">
        <f t="shared" si="88"/>
        <v>49985</v>
      </c>
      <c r="N526">
        <f t="shared" si="89"/>
        <v>247834</v>
      </c>
      <c r="O526">
        <f>IF(B526="zagraniczny",K526+O525,O525)</f>
        <v>259</v>
      </c>
    </row>
    <row r="527" spans="1:15" x14ac:dyDescent="0.25">
      <c r="A527">
        <v>6952061</v>
      </c>
      <c r="B527" t="str">
        <f t="shared" si="80"/>
        <v>stacjonarny</v>
      </c>
      <c r="C527" s="1">
        <v>42926</v>
      </c>
      <c r="D527" s="2">
        <v>0.36282407407407408</v>
      </c>
      <c r="E527" s="2">
        <v>0.37093749999999998</v>
      </c>
      <c r="F527" s="2">
        <f t="shared" si="81"/>
        <v>8.113425925925899E-3</v>
      </c>
      <c r="G527">
        <f t="shared" si="82"/>
        <v>0</v>
      </c>
      <c r="H527">
        <f t="shared" si="83"/>
        <v>11</v>
      </c>
      <c r="I527">
        <f t="shared" si="84"/>
        <v>41</v>
      </c>
      <c r="J527">
        <f t="shared" si="85"/>
        <v>701</v>
      </c>
      <c r="K527">
        <f t="shared" si="86"/>
        <v>12</v>
      </c>
      <c r="L527">
        <f t="shared" si="87"/>
        <v>150550</v>
      </c>
      <c r="M527">
        <f t="shared" si="88"/>
        <v>49985</v>
      </c>
      <c r="N527">
        <f t="shared" si="89"/>
        <v>248535</v>
      </c>
      <c r="O527">
        <f>IF(B527="zagraniczny",K527+O526,O526)</f>
        <v>259</v>
      </c>
    </row>
    <row r="528" spans="1:15" x14ac:dyDescent="0.25">
      <c r="A528">
        <v>56127547</v>
      </c>
      <c r="B528" t="str">
        <f t="shared" si="80"/>
        <v>komorkowy</v>
      </c>
      <c r="C528" s="1">
        <v>42926</v>
      </c>
      <c r="D528" s="2">
        <v>0.36803240740740739</v>
      </c>
      <c r="E528" s="2">
        <v>0.37565972222222221</v>
      </c>
      <c r="F528" s="2">
        <f t="shared" si="81"/>
        <v>7.6273148148148229E-3</v>
      </c>
      <c r="G528">
        <f t="shared" si="82"/>
        <v>0</v>
      </c>
      <c r="H528">
        <f t="shared" si="83"/>
        <v>10</v>
      </c>
      <c r="I528">
        <f t="shared" si="84"/>
        <v>59</v>
      </c>
      <c r="J528">
        <f t="shared" si="85"/>
        <v>659</v>
      </c>
      <c r="K528">
        <f t="shared" si="86"/>
        <v>11</v>
      </c>
      <c r="L528">
        <f t="shared" si="87"/>
        <v>150550</v>
      </c>
      <c r="M528">
        <f t="shared" si="88"/>
        <v>50644</v>
      </c>
      <c r="N528">
        <f t="shared" si="89"/>
        <v>249194</v>
      </c>
      <c r="O528">
        <f>IF(B528="zagraniczny",K528+O527,O527)</f>
        <v>259</v>
      </c>
    </row>
    <row r="529" spans="1:15" x14ac:dyDescent="0.25">
      <c r="A529">
        <v>4952685</v>
      </c>
      <c r="B529" t="str">
        <f t="shared" si="80"/>
        <v>stacjonarny</v>
      </c>
      <c r="C529" s="1">
        <v>42926</v>
      </c>
      <c r="D529" s="2">
        <v>0.36895833333333333</v>
      </c>
      <c r="E529" s="2">
        <v>0.37655092592592593</v>
      </c>
      <c r="F529" s="2">
        <f t="shared" si="81"/>
        <v>7.5925925925925952E-3</v>
      </c>
      <c r="G529">
        <f t="shared" si="82"/>
        <v>0</v>
      </c>
      <c r="H529">
        <f t="shared" si="83"/>
        <v>10</v>
      </c>
      <c r="I529">
        <f t="shared" si="84"/>
        <v>56</v>
      </c>
      <c r="J529">
        <f t="shared" si="85"/>
        <v>656</v>
      </c>
      <c r="K529">
        <f t="shared" si="86"/>
        <v>11</v>
      </c>
      <c r="L529">
        <f t="shared" si="87"/>
        <v>151206</v>
      </c>
      <c r="M529">
        <f t="shared" si="88"/>
        <v>50644</v>
      </c>
      <c r="N529">
        <f t="shared" si="89"/>
        <v>249850</v>
      </c>
      <c r="O529">
        <f>IF(B529="zagraniczny",K529+O528,O528)</f>
        <v>259</v>
      </c>
    </row>
    <row r="530" spans="1:15" x14ac:dyDescent="0.25">
      <c r="A530">
        <v>8632893</v>
      </c>
      <c r="B530" t="str">
        <f t="shared" si="80"/>
        <v>stacjonarny</v>
      </c>
      <c r="C530" s="1">
        <v>42926</v>
      </c>
      <c r="D530" s="2">
        <v>0.36996527777777777</v>
      </c>
      <c r="E530" s="2">
        <v>0.37988425925925928</v>
      </c>
      <c r="F530" s="2">
        <f t="shared" si="81"/>
        <v>9.9189814814815147E-3</v>
      </c>
      <c r="G530">
        <f t="shared" si="82"/>
        <v>0</v>
      </c>
      <c r="H530">
        <f t="shared" si="83"/>
        <v>14</v>
      </c>
      <c r="I530">
        <f t="shared" si="84"/>
        <v>17</v>
      </c>
      <c r="J530">
        <f t="shared" si="85"/>
        <v>857</v>
      </c>
      <c r="K530">
        <f t="shared" si="86"/>
        <v>15</v>
      </c>
      <c r="L530">
        <f t="shared" si="87"/>
        <v>152063</v>
      </c>
      <c r="M530">
        <f t="shared" si="88"/>
        <v>50644</v>
      </c>
      <c r="N530">
        <f t="shared" si="89"/>
        <v>250707</v>
      </c>
      <c r="O530">
        <f>IF(B530="zagraniczny",K530+O529,O529)</f>
        <v>259</v>
      </c>
    </row>
    <row r="531" spans="1:15" x14ac:dyDescent="0.25">
      <c r="A531">
        <v>7320123</v>
      </c>
      <c r="B531" t="str">
        <f t="shared" si="80"/>
        <v>stacjonarny</v>
      </c>
      <c r="C531" s="1">
        <v>42926</v>
      </c>
      <c r="D531" s="2">
        <v>0.37015046296296295</v>
      </c>
      <c r="E531" s="2">
        <v>0.37528935185185186</v>
      </c>
      <c r="F531" s="2">
        <f t="shared" si="81"/>
        <v>5.138888888888915E-3</v>
      </c>
      <c r="G531">
        <f t="shared" si="82"/>
        <v>0</v>
      </c>
      <c r="H531">
        <f t="shared" si="83"/>
        <v>7</v>
      </c>
      <c r="I531">
        <f t="shared" si="84"/>
        <v>24</v>
      </c>
      <c r="J531">
        <f t="shared" si="85"/>
        <v>444</v>
      </c>
      <c r="K531">
        <f t="shared" si="86"/>
        <v>8</v>
      </c>
      <c r="L531">
        <f t="shared" si="87"/>
        <v>152507</v>
      </c>
      <c r="M531">
        <f t="shared" si="88"/>
        <v>50644</v>
      </c>
      <c r="N531">
        <f t="shared" si="89"/>
        <v>251151</v>
      </c>
      <c r="O531">
        <f>IF(B531="zagraniczny",K531+O530,O530)</f>
        <v>259</v>
      </c>
    </row>
    <row r="532" spans="1:15" x14ac:dyDescent="0.25">
      <c r="A532">
        <v>4600571814</v>
      </c>
      <c r="B532" t="str">
        <f t="shared" si="80"/>
        <v>zagraniczny</v>
      </c>
      <c r="C532" s="1">
        <v>42926</v>
      </c>
      <c r="D532" s="2">
        <v>0.3706712962962963</v>
      </c>
      <c r="E532" s="2">
        <v>0.37572916666666667</v>
      </c>
      <c r="F532" s="2">
        <f t="shared" si="81"/>
        <v>5.0578703703703654E-3</v>
      </c>
      <c r="G532">
        <f t="shared" si="82"/>
        <v>0</v>
      </c>
      <c r="H532">
        <f t="shared" si="83"/>
        <v>7</v>
      </c>
      <c r="I532">
        <f t="shared" si="84"/>
        <v>17</v>
      </c>
      <c r="J532">
        <f t="shared" si="85"/>
        <v>437</v>
      </c>
      <c r="K532">
        <f t="shared" si="86"/>
        <v>8</v>
      </c>
      <c r="L532">
        <f t="shared" si="87"/>
        <v>152507</v>
      </c>
      <c r="M532">
        <f t="shared" si="88"/>
        <v>50644</v>
      </c>
      <c r="N532">
        <f t="shared" si="89"/>
        <v>251151</v>
      </c>
      <c r="O532">
        <f>IF(B532="zagraniczny",K532+O531,O531)</f>
        <v>267</v>
      </c>
    </row>
    <row r="533" spans="1:15" x14ac:dyDescent="0.25">
      <c r="A533">
        <v>38063903</v>
      </c>
      <c r="B533" t="str">
        <f t="shared" si="80"/>
        <v>komorkowy</v>
      </c>
      <c r="C533" s="1">
        <v>42926</v>
      </c>
      <c r="D533" s="2">
        <v>0.37207175925925928</v>
      </c>
      <c r="E533" s="2">
        <v>0.37332175925925926</v>
      </c>
      <c r="F533" s="2">
        <f t="shared" si="81"/>
        <v>1.2499999999999734E-3</v>
      </c>
      <c r="G533">
        <f t="shared" si="82"/>
        <v>0</v>
      </c>
      <c r="H533">
        <f t="shared" si="83"/>
        <v>1</v>
      </c>
      <c r="I533">
        <f t="shared" si="84"/>
        <v>48</v>
      </c>
      <c r="J533">
        <f t="shared" si="85"/>
        <v>108</v>
      </c>
      <c r="K533">
        <f t="shared" si="86"/>
        <v>2</v>
      </c>
      <c r="L533">
        <f t="shared" si="87"/>
        <v>152507</v>
      </c>
      <c r="M533">
        <f t="shared" si="88"/>
        <v>50752</v>
      </c>
      <c r="N533">
        <f t="shared" si="89"/>
        <v>251259</v>
      </c>
      <c r="O533">
        <f>IF(B533="zagraniczny",K533+O532,O532)</f>
        <v>267</v>
      </c>
    </row>
    <row r="534" spans="1:15" x14ac:dyDescent="0.25">
      <c r="A534">
        <v>4901642</v>
      </c>
      <c r="B534" t="str">
        <f t="shared" si="80"/>
        <v>stacjonarny</v>
      </c>
      <c r="C534" s="1">
        <v>42926</v>
      </c>
      <c r="D534" s="2">
        <v>0.37747685185185187</v>
      </c>
      <c r="E534" s="2">
        <v>0.38609953703703703</v>
      </c>
      <c r="F534" s="2">
        <f t="shared" si="81"/>
        <v>8.6226851851851638E-3</v>
      </c>
      <c r="G534">
        <f t="shared" si="82"/>
        <v>0</v>
      </c>
      <c r="H534">
        <f t="shared" si="83"/>
        <v>12</v>
      </c>
      <c r="I534">
        <f t="shared" si="84"/>
        <v>25</v>
      </c>
      <c r="J534">
        <f t="shared" si="85"/>
        <v>745</v>
      </c>
      <c r="K534">
        <f t="shared" si="86"/>
        <v>13</v>
      </c>
      <c r="L534">
        <f t="shared" si="87"/>
        <v>153252</v>
      </c>
      <c r="M534">
        <f t="shared" si="88"/>
        <v>50752</v>
      </c>
      <c r="N534">
        <f t="shared" si="89"/>
        <v>252004</v>
      </c>
      <c r="O534">
        <f>IF(B534="zagraniczny",K534+O533,O533)</f>
        <v>267</v>
      </c>
    </row>
    <row r="535" spans="1:15" x14ac:dyDescent="0.25">
      <c r="A535">
        <v>39669014</v>
      </c>
      <c r="B535" t="str">
        <f t="shared" si="80"/>
        <v>komorkowy</v>
      </c>
      <c r="C535" s="1">
        <v>42926</v>
      </c>
      <c r="D535" s="2">
        <v>0.37930555555555556</v>
      </c>
      <c r="E535" s="2">
        <v>0.38686342592592593</v>
      </c>
      <c r="F535" s="2">
        <f t="shared" si="81"/>
        <v>7.5578703703703676E-3</v>
      </c>
      <c r="G535">
        <f t="shared" si="82"/>
        <v>0</v>
      </c>
      <c r="H535">
        <f t="shared" si="83"/>
        <v>10</v>
      </c>
      <c r="I535">
        <f t="shared" si="84"/>
        <v>53</v>
      </c>
      <c r="J535">
        <f t="shared" si="85"/>
        <v>653</v>
      </c>
      <c r="K535">
        <f t="shared" si="86"/>
        <v>11</v>
      </c>
      <c r="L535">
        <f t="shared" si="87"/>
        <v>153252</v>
      </c>
      <c r="M535">
        <f t="shared" si="88"/>
        <v>51405</v>
      </c>
      <c r="N535">
        <f t="shared" si="89"/>
        <v>252657</v>
      </c>
      <c r="O535">
        <f>IF(B535="zagraniczny",K535+O534,O534)</f>
        <v>267</v>
      </c>
    </row>
    <row r="536" spans="1:15" x14ac:dyDescent="0.25">
      <c r="A536">
        <v>48919339</v>
      </c>
      <c r="B536" t="str">
        <f t="shared" si="80"/>
        <v>komorkowy</v>
      </c>
      <c r="C536" s="1">
        <v>42926</v>
      </c>
      <c r="D536" s="2">
        <v>0.38040509259259259</v>
      </c>
      <c r="E536" s="2">
        <v>0.38484953703703706</v>
      </c>
      <c r="F536" s="2">
        <f t="shared" si="81"/>
        <v>4.4444444444444731E-3</v>
      </c>
      <c r="G536">
        <f t="shared" si="82"/>
        <v>0</v>
      </c>
      <c r="H536">
        <f t="shared" si="83"/>
        <v>6</v>
      </c>
      <c r="I536">
        <f t="shared" si="84"/>
        <v>24</v>
      </c>
      <c r="J536">
        <f t="shared" si="85"/>
        <v>384</v>
      </c>
      <c r="K536">
        <f t="shared" si="86"/>
        <v>7</v>
      </c>
      <c r="L536">
        <f t="shared" si="87"/>
        <v>153252</v>
      </c>
      <c r="M536">
        <f t="shared" si="88"/>
        <v>51789</v>
      </c>
      <c r="N536">
        <f t="shared" si="89"/>
        <v>253041</v>
      </c>
      <c r="O536">
        <f>IF(B536="zagraniczny",K536+O535,O535)</f>
        <v>267</v>
      </c>
    </row>
    <row r="537" spans="1:15" x14ac:dyDescent="0.25">
      <c r="A537">
        <v>4960687</v>
      </c>
      <c r="B537" t="str">
        <f t="shared" si="80"/>
        <v>stacjonarny</v>
      </c>
      <c r="C537" s="1">
        <v>42926</v>
      </c>
      <c r="D537" s="2">
        <v>0.3835648148148148</v>
      </c>
      <c r="E537" s="2">
        <v>0.3941087962962963</v>
      </c>
      <c r="F537" s="2">
        <f t="shared" si="81"/>
        <v>1.0543981481481501E-2</v>
      </c>
      <c r="G537">
        <f t="shared" si="82"/>
        <v>0</v>
      </c>
      <c r="H537">
        <f t="shared" si="83"/>
        <v>15</v>
      </c>
      <c r="I537">
        <f t="shared" si="84"/>
        <v>11</v>
      </c>
      <c r="J537">
        <f t="shared" si="85"/>
        <v>911</v>
      </c>
      <c r="K537">
        <f t="shared" si="86"/>
        <v>16</v>
      </c>
      <c r="L537">
        <f t="shared" si="87"/>
        <v>154163</v>
      </c>
      <c r="M537">
        <f t="shared" si="88"/>
        <v>51789</v>
      </c>
      <c r="N537">
        <f t="shared" si="89"/>
        <v>253952</v>
      </c>
      <c r="O537">
        <f>IF(B537="zagraniczny",K537+O536,O536)</f>
        <v>267</v>
      </c>
    </row>
    <row r="538" spans="1:15" x14ac:dyDescent="0.25">
      <c r="A538">
        <v>41156424</v>
      </c>
      <c r="B538" t="str">
        <f t="shared" si="80"/>
        <v>komorkowy</v>
      </c>
      <c r="C538" s="1">
        <v>42926</v>
      </c>
      <c r="D538" s="2">
        <v>0.38715277777777779</v>
      </c>
      <c r="E538" s="2">
        <v>0.39293981481481483</v>
      </c>
      <c r="F538" s="2">
        <f t="shared" si="81"/>
        <v>5.787037037037035E-3</v>
      </c>
      <c r="G538">
        <f t="shared" si="82"/>
        <v>0</v>
      </c>
      <c r="H538">
        <f t="shared" si="83"/>
        <v>8</v>
      </c>
      <c r="I538">
        <f t="shared" si="84"/>
        <v>20</v>
      </c>
      <c r="J538">
        <f t="shared" si="85"/>
        <v>500</v>
      </c>
      <c r="K538">
        <f t="shared" si="86"/>
        <v>9</v>
      </c>
      <c r="L538">
        <f t="shared" si="87"/>
        <v>154163</v>
      </c>
      <c r="M538">
        <f t="shared" si="88"/>
        <v>52289</v>
      </c>
      <c r="N538">
        <f t="shared" si="89"/>
        <v>254452</v>
      </c>
      <c r="O538">
        <f>IF(B538="zagraniczny",K538+O537,O537)</f>
        <v>267</v>
      </c>
    </row>
    <row r="539" spans="1:15" x14ac:dyDescent="0.25">
      <c r="A539">
        <v>5087066</v>
      </c>
      <c r="B539" t="str">
        <f t="shared" si="80"/>
        <v>stacjonarny</v>
      </c>
      <c r="C539" s="1">
        <v>42926</v>
      </c>
      <c r="D539" s="2">
        <v>0.3894097222222222</v>
      </c>
      <c r="E539" s="2">
        <v>0.39869212962962963</v>
      </c>
      <c r="F539" s="2">
        <f t="shared" si="81"/>
        <v>9.2824074074074336E-3</v>
      </c>
      <c r="G539">
        <f t="shared" si="82"/>
        <v>0</v>
      </c>
      <c r="H539">
        <f t="shared" si="83"/>
        <v>13</v>
      </c>
      <c r="I539">
        <f t="shared" si="84"/>
        <v>22</v>
      </c>
      <c r="J539">
        <f t="shared" si="85"/>
        <v>802</v>
      </c>
      <c r="K539">
        <f t="shared" si="86"/>
        <v>14</v>
      </c>
      <c r="L539">
        <f t="shared" si="87"/>
        <v>154965</v>
      </c>
      <c r="M539">
        <f t="shared" si="88"/>
        <v>52289</v>
      </c>
      <c r="N539">
        <f t="shared" si="89"/>
        <v>255254</v>
      </c>
      <c r="O539">
        <f>IF(B539="zagraniczny",K539+O538,O538)</f>
        <v>267</v>
      </c>
    </row>
    <row r="540" spans="1:15" x14ac:dyDescent="0.25">
      <c r="A540">
        <v>4636713</v>
      </c>
      <c r="B540" t="str">
        <f t="shared" si="80"/>
        <v>stacjonarny</v>
      </c>
      <c r="C540" s="1">
        <v>42926</v>
      </c>
      <c r="D540" s="2">
        <v>0.39193287037037039</v>
      </c>
      <c r="E540" s="2">
        <v>0.39712962962962961</v>
      </c>
      <c r="F540" s="2">
        <f t="shared" si="81"/>
        <v>5.1967592592592204E-3</v>
      </c>
      <c r="G540">
        <f t="shared" si="82"/>
        <v>0</v>
      </c>
      <c r="H540">
        <f t="shared" si="83"/>
        <v>7</v>
      </c>
      <c r="I540">
        <f t="shared" si="84"/>
        <v>29</v>
      </c>
      <c r="J540">
        <f t="shared" si="85"/>
        <v>449</v>
      </c>
      <c r="K540">
        <f t="shared" si="86"/>
        <v>8</v>
      </c>
      <c r="L540">
        <f t="shared" si="87"/>
        <v>155414</v>
      </c>
      <c r="M540">
        <f t="shared" si="88"/>
        <v>52289</v>
      </c>
      <c r="N540">
        <f t="shared" si="89"/>
        <v>255703</v>
      </c>
      <c r="O540">
        <f>IF(B540="zagraniczny",K540+O539,O539)</f>
        <v>267</v>
      </c>
    </row>
    <row r="541" spans="1:15" x14ac:dyDescent="0.25">
      <c r="A541">
        <v>3944120</v>
      </c>
      <c r="B541" t="str">
        <f t="shared" si="80"/>
        <v>stacjonarny</v>
      </c>
      <c r="C541" s="1">
        <v>42926</v>
      </c>
      <c r="D541" s="2">
        <v>0.39307870370370368</v>
      </c>
      <c r="E541" s="2">
        <v>0.39380787037037035</v>
      </c>
      <c r="F541" s="2">
        <f t="shared" si="81"/>
        <v>7.2916666666666963E-4</v>
      </c>
      <c r="G541">
        <f t="shared" si="82"/>
        <v>0</v>
      </c>
      <c r="H541">
        <f t="shared" si="83"/>
        <v>1</v>
      </c>
      <c r="I541">
        <f t="shared" si="84"/>
        <v>3</v>
      </c>
      <c r="J541">
        <f t="shared" si="85"/>
        <v>63</v>
      </c>
      <c r="K541">
        <f t="shared" si="86"/>
        <v>2</v>
      </c>
      <c r="L541">
        <f t="shared" si="87"/>
        <v>155477</v>
      </c>
      <c r="M541">
        <f t="shared" si="88"/>
        <v>52289</v>
      </c>
      <c r="N541">
        <f t="shared" si="89"/>
        <v>255766</v>
      </c>
      <c r="O541">
        <f>IF(B541="zagraniczny",K541+O540,O540)</f>
        <v>267</v>
      </c>
    </row>
    <row r="542" spans="1:15" x14ac:dyDescent="0.25">
      <c r="A542">
        <v>5960122</v>
      </c>
      <c r="B542" t="str">
        <f t="shared" si="80"/>
        <v>stacjonarny</v>
      </c>
      <c r="C542" s="1">
        <v>42926</v>
      </c>
      <c r="D542" s="2">
        <v>0.3984375</v>
      </c>
      <c r="E542" s="2">
        <v>0.40802083333333333</v>
      </c>
      <c r="F542" s="2">
        <f t="shared" si="81"/>
        <v>9.5833333333333326E-3</v>
      </c>
      <c r="G542">
        <f t="shared" si="82"/>
        <v>0</v>
      </c>
      <c r="H542">
        <f t="shared" si="83"/>
        <v>13</v>
      </c>
      <c r="I542">
        <f t="shared" si="84"/>
        <v>48</v>
      </c>
      <c r="J542">
        <f t="shared" si="85"/>
        <v>828</v>
      </c>
      <c r="K542">
        <f t="shared" si="86"/>
        <v>14</v>
      </c>
      <c r="L542">
        <f t="shared" si="87"/>
        <v>156305</v>
      </c>
      <c r="M542">
        <f t="shared" si="88"/>
        <v>52289</v>
      </c>
      <c r="N542">
        <f t="shared" si="89"/>
        <v>256594</v>
      </c>
      <c r="O542">
        <f>IF(B542="zagraniczny",K542+O541,O541)</f>
        <v>267</v>
      </c>
    </row>
    <row r="543" spans="1:15" x14ac:dyDescent="0.25">
      <c r="A543">
        <v>6795454</v>
      </c>
      <c r="B543" t="str">
        <f t="shared" si="80"/>
        <v>stacjonarny</v>
      </c>
      <c r="C543" s="1">
        <v>42926</v>
      </c>
      <c r="D543" s="2">
        <v>0.40265046296296297</v>
      </c>
      <c r="E543" s="2">
        <v>0.40284722222222225</v>
      </c>
      <c r="F543" s="2">
        <f t="shared" si="81"/>
        <v>1.9675925925927151E-4</v>
      </c>
      <c r="G543">
        <f t="shared" si="82"/>
        <v>0</v>
      </c>
      <c r="H543">
        <f t="shared" si="83"/>
        <v>0</v>
      </c>
      <c r="I543">
        <f t="shared" si="84"/>
        <v>17</v>
      </c>
      <c r="J543">
        <f t="shared" si="85"/>
        <v>17</v>
      </c>
      <c r="K543">
        <f t="shared" si="86"/>
        <v>1</v>
      </c>
      <c r="L543">
        <f t="shared" si="87"/>
        <v>156322</v>
      </c>
      <c r="M543">
        <f t="shared" si="88"/>
        <v>52289</v>
      </c>
      <c r="N543">
        <f t="shared" si="89"/>
        <v>256611</v>
      </c>
      <c r="O543">
        <f>IF(B543="zagraniczny",K543+O542,O542)</f>
        <v>267</v>
      </c>
    </row>
    <row r="544" spans="1:15" x14ac:dyDescent="0.25">
      <c r="A544">
        <v>5013688</v>
      </c>
      <c r="B544" t="str">
        <f t="shared" si="80"/>
        <v>stacjonarny</v>
      </c>
      <c r="C544" s="1">
        <v>42926</v>
      </c>
      <c r="D544" s="2">
        <v>0.40662037037037035</v>
      </c>
      <c r="E544" s="2">
        <v>0.41171296296296295</v>
      </c>
      <c r="F544" s="2">
        <f t="shared" si="81"/>
        <v>5.092592592592593E-3</v>
      </c>
      <c r="G544">
        <f t="shared" si="82"/>
        <v>0</v>
      </c>
      <c r="H544">
        <f t="shared" si="83"/>
        <v>7</v>
      </c>
      <c r="I544">
        <f t="shared" si="84"/>
        <v>20</v>
      </c>
      <c r="J544">
        <f t="shared" si="85"/>
        <v>440</v>
      </c>
      <c r="K544">
        <f t="shared" si="86"/>
        <v>8</v>
      </c>
      <c r="L544">
        <f t="shared" si="87"/>
        <v>156762</v>
      </c>
      <c r="M544">
        <f t="shared" si="88"/>
        <v>52289</v>
      </c>
      <c r="N544">
        <f t="shared" si="89"/>
        <v>257051</v>
      </c>
      <c r="O544">
        <f>IF(B544="zagraniczny",K544+O543,O543)</f>
        <v>267</v>
      </c>
    </row>
    <row r="545" spans="1:15" x14ac:dyDescent="0.25">
      <c r="A545">
        <v>9487255</v>
      </c>
      <c r="B545" t="str">
        <f t="shared" si="80"/>
        <v>stacjonarny</v>
      </c>
      <c r="C545" s="1">
        <v>42926</v>
      </c>
      <c r="D545" s="2">
        <v>0.40997685185185184</v>
      </c>
      <c r="E545" s="2">
        <v>0.41947916666666668</v>
      </c>
      <c r="F545" s="2">
        <f t="shared" si="81"/>
        <v>9.5023148148148384E-3</v>
      </c>
      <c r="G545">
        <f t="shared" si="82"/>
        <v>0</v>
      </c>
      <c r="H545">
        <f t="shared" si="83"/>
        <v>13</v>
      </c>
      <c r="I545">
        <f t="shared" si="84"/>
        <v>41</v>
      </c>
      <c r="J545">
        <f t="shared" si="85"/>
        <v>821</v>
      </c>
      <c r="K545">
        <f t="shared" si="86"/>
        <v>14</v>
      </c>
      <c r="L545">
        <f t="shared" si="87"/>
        <v>157583</v>
      </c>
      <c r="M545">
        <f t="shared" si="88"/>
        <v>52289</v>
      </c>
      <c r="N545">
        <f t="shared" si="89"/>
        <v>257872</v>
      </c>
      <c r="O545">
        <f>IF(B545="zagraniczny",K545+O544,O544)</f>
        <v>267</v>
      </c>
    </row>
    <row r="546" spans="1:15" x14ac:dyDescent="0.25">
      <c r="A546">
        <v>1592822</v>
      </c>
      <c r="B546" t="str">
        <f t="shared" si="80"/>
        <v>stacjonarny</v>
      </c>
      <c r="C546" s="1">
        <v>42926</v>
      </c>
      <c r="D546" s="2">
        <v>0.41422453703703704</v>
      </c>
      <c r="E546" s="2">
        <v>0.42549768518518516</v>
      </c>
      <c r="F546" s="2">
        <f t="shared" si="81"/>
        <v>1.1273148148148115E-2</v>
      </c>
      <c r="G546">
        <f t="shared" si="82"/>
        <v>0</v>
      </c>
      <c r="H546">
        <f t="shared" si="83"/>
        <v>16</v>
      </c>
      <c r="I546">
        <f t="shared" si="84"/>
        <v>14</v>
      </c>
      <c r="J546">
        <f t="shared" si="85"/>
        <v>974</v>
      </c>
      <c r="K546">
        <f t="shared" si="86"/>
        <v>17</v>
      </c>
      <c r="L546">
        <f t="shared" si="87"/>
        <v>158557</v>
      </c>
      <c r="M546">
        <f t="shared" si="88"/>
        <v>52289</v>
      </c>
      <c r="N546">
        <f t="shared" si="89"/>
        <v>258846</v>
      </c>
      <c r="O546">
        <f>IF(B546="zagraniczny",K546+O545,O545)</f>
        <v>267</v>
      </c>
    </row>
    <row r="547" spans="1:15" x14ac:dyDescent="0.25">
      <c r="A547">
        <v>9084978</v>
      </c>
      <c r="B547" t="str">
        <f t="shared" si="80"/>
        <v>stacjonarny</v>
      </c>
      <c r="C547" s="1">
        <v>42926</v>
      </c>
      <c r="D547" s="2">
        <v>0.41553240740740743</v>
      </c>
      <c r="E547" s="2">
        <v>0.42593750000000002</v>
      </c>
      <c r="F547" s="2">
        <f t="shared" si="81"/>
        <v>1.0405092592592591E-2</v>
      </c>
      <c r="G547">
        <f t="shared" si="82"/>
        <v>0</v>
      </c>
      <c r="H547">
        <f t="shared" si="83"/>
        <v>14</v>
      </c>
      <c r="I547">
        <f t="shared" si="84"/>
        <v>59</v>
      </c>
      <c r="J547">
        <f t="shared" si="85"/>
        <v>899</v>
      </c>
      <c r="K547">
        <f t="shared" si="86"/>
        <v>15</v>
      </c>
      <c r="L547">
        <f t="shared" si="87"/>
        <v>159456</v>
      </c>
      <c r="M547">
        <f t="shared" si="88"/>
        <v>52289</v>
      </c>
      <c r="N547">
        <f t="shared" si="89"/>
        <v>259745</v>
      </c>
      <c r="O547">
        <f>IF(B547="zagraniczny",K547+O546,O546)</f>
        <v>267</v>
      </c>
    </row>
    <row r="548" spans="1:15" x14ac:dyDescent="0.25">
      <c r="A548">
        <v>80038636</v>
      </c>
      <c r="B548" t="str">
        <f t="shared" si="80"/>
        <v>komorkowy</v>
      </c>
      <c r="C548" s="1">
        <v>42926</v>
      </c>
      <c r="D548" s="2">
        <v>0.41734953703703703</v>
      </c>
      <c r="E548" s="2">
        <v>0.42822916666666666</v>
      </c>
      <c r="F548" s="2">
        <f t="shared" si="81"/>
        <v>1.0879629629629628E-2</v>
      </c>
      <c r="G548">
        <f t="shared" si="82"/>
        <v>0</v>
      </c>
      <c r="H548">
        <f t="shared" si="83"/>
        <v>15</v>
      </c>
      <c r="I548">
        <f t="shared" si="84"/>
        <v>40</v>
      </c>
      <c r="J548">
        <f t="shared" si="85"/>
        <v>940</v>
      </c>
      <c r="K548">
        <f t="shared" si="86"/>
        <v>16</v>
      </c>
      <c r="L548">
        <f t="shared" si="87"/>
        <v>159456</v>
      </c>
      <c r="M548">
        <f t="shared" si="88"/>
        <v>53229</v>
      </c>
      <c r="N548">
        <f t="shared" si="89"/>
        <v>260685</v>
      </c>
      <c r="O548">
        <f>IF(B548="zagraniczny",K548+O547,O547)</f>
        <v>267</v>
      </c>
    </row>
    <row r="549" spans="1:15" x14ac:dyDescent="0.25">
      <c r="A549">
        <v>2021941339</v>
      </c>
      <c r="B549" t="str">
        <f t="shared" si="80"/>
        <v>zagraniczny</v>
      </c>
      <c r="C549" s="1">
        <v>42926</v>
      </c>
      <c r="D549" s="2">
        <v>0.41863425925925923</v>
      </c>
      <c r="E549" s="2">
        <v>0.42877314814814815</v>
      </c>
      <c r="F549" s="2">
        <f t="shared" si="81"/>
        <v>1.0138888888888919E-2</v>
      </c>
      <c r="G549">
        <f t="shared" si="82"/>
        <v>0</v>
      </c>
      <c r="H549">
        <f t="shared" si="83"/>
        <v>14</v>
      </c>
      <c r="I549">
        <f t="shared" si="84"/>
        <v>36</v>
      </c>
      <c r="J549">
        <f t="shared" si="85"/>
        <v>876</v>
      </c>
      <c r="K549">
        <f t="shared" si="86"/>
        <v>15</v>
      </c>
      <c r="L549">
        <f t="shared" si="87"/>
        <v>159456</v>
      </c>
      <c r="M549">
        <f t="shared" si="88"/>
        <v>53229</v>
      </c>
      <c r="N549">
        <f t="shared" si="89"/>
        <v>260685</v>
      </c>
      <c r="O549">
        <f>IF(B549="zagraniczny",K549+O548,O548)</f>
        <v>282</v>
      </c>
    </row>
    <row r="550" spans="1:15" x14ac:dyDescent="0.25">
      <c r="A550">
        <v>7718350</v>
      </c>
      <c r="B550" t="str">
        <f t="shared" si="80"/>
        <v>stacjonarny</v>
      </c>
      <c r="C550" s="1">
        <v>42926</v>
      </c>
      <c r="D550" s="2">
        <v>0.42002314814814817</v>
      </c>
      <c r="E550" s="2">
        <v>0.42700231481481482</v>
      </c>
      <c r="F550" s="2">
        <f t="shared" si="81"/>
        <v>6.9791666666666474E-3</v>
      </c>
      <c r="G550">
        <f t="shared" si="82"/>
        <v>0</v>
      </c>
      <c r="H550">
        <f t="shared" si="83"/>
        <v>10</v>
      </c>
      <c r="I550">
        <f t="shared" si="84"/>
        <v>3</v>
      </c>
      <c r="J550">
        <f t="shared" si="85"/>
        <v>603</v>
      </c>
      <c r="K550">
        <f t="shared" si="86"/>
        <v>11</v>
      </c>
      <c r="L550">
        <f t="shared" si="87"/>
        <v>160059</v>
      </c>
      <c r="M550">
        <f t="shared" si="88"/>
        <v>53229</v>
      </c>
      <c r="N550">
        <f t="shared" si="89"/>
        <v>261288</v>
      </c>
      <c r="O550">
        <f>IF(B550="zagraniczny",K550+O549,O549)</f>
        <v>282</v>
      </c>
    </row>
    <row r="551" spans="1:15" x14ac:dyDescent="0.25">
      <c r="A551">
        <v>3153283</v>
      </c>
      <c r="B551" t="str">
        <f t="shared" si="80"/>
        <v>stacjonarny</v>
      </c>
      <c r="C551" s="1">
        <v>42926</v>
      </c>
      <c r="D551" s="2">
        <v>0.42396990740740742</v>
      </c>
      <c r="E551" s="2">
        <v>0.43335648148148148</v>
      </c>
      <c r="F551" s="2">
        <f t="shared" si="81"/>
        <v>9.3865740740740611E-3</v>
      </c>
      <c r="G551">
        <f t="shared" si="82"/>
        <v>0</v>
      </c>
      <c r="H551">
        <f t="shared" si="83"/>
        <v>13</v>
      </c>
      <c r="I551">
        <f t="shared" si="84"/>
        <v>31</v>
      </c>
      <c r="J551">
        <f t="shared" si="85"/>
        <v>811</v>
      </c>
      <c r="K551">
        <f t="shared" si="86"/>
        <v>14</v>
      </c>
      <c r="L551">
        <f t="shared" si="87"/>
        <v>160870</v>
      </c>
      <c r="M551">
        <f t="shared" si="88"/>
        <v>53229</v>
      </c>
      <c r="N551">
        <f t="shared" si="89"/>
        <v>262099</v>
      </c>
      <c r="O551">
        <f>IF(B551="zagraniczny",K551+O550,O550)</f>
        <v>282</v>
      </c>
    </row>
    <row r="552" spans="1:15" x14ac:dyDescent="0.25">
      <c r="A552">
        <v>6341482</v>
      </c>
      <c r="B552" t="str">
        <f t="shared" si="80"/>
        <v>stacjonarny</v>
      </c>
      <c r="C552" s="1">
        <v>42926</v>
      </c>
      <c r="D552" s="2">
        <v>0.42922453703703706</v>
      </c>
      <c r="E552" s="2">
        <v>0.43947916666666664</v>
      </c>
      <c r="F552" s="2">
        <f t="shared" si="81"/>
        <v>1.0254629629629586E-2</v>
      </c>
      <c r="G552">
        <f t="shared" si="82"/>
        <v>0</v>
      </c>
      <c r="H552">
        <f t="shared" si="83"/>
        <v>14</v>
      </c>
      <c r="I552">
        <f t="shared" si="84"/>
        <v>46</v>
      </c>
      <c r="J552">
        <f t="shared" si="85"/>
        <v>886</v>
      </c>
      <c r="K552">
        <f t="shared" si="86"/>
        <v>15</v>
      </c>
      <c r="L552">
        <f t="shared" si="87"/>
        <v>161756</v>
      </c>
      <c r="M552">
        <f t="shared" si="88"/>
        <v>53229</v>
      </c>
      <c r="N552">
        <f t="shared" si="89"/>
        <v>262985</v>
      </c>
      <c r="O552">
        <f>IF(B552="zagraniczny",K552+O551,O551)</f>
        <v>282</v>
      </c>
    </row>
    <row r="553" spans="1:15" x14ac:dyDescent="0.25">
      <c r="A553">
        <v>67964973</v>
      </c>
      <c r="B553" t="str">
        <f t="shared" si="80"/>
        <v>komorkowy</v>
      </c>
      <c r="C553" s="1">
        <v>42926</v>
      </c>
      <c r="D553" s="2">
        <v>0.43475694444444446</v>
      </c>
      <c r="E553" s="2">
        <v>0.43590277777777775</v>
      </c>
      <c r="F553" s="2">
        <f t="shared" si="81"/>
        <v>1.1458333333332904E-3</v>
      </c>
      <c r="G553">
        <f t="shared" si="82"/>
        <v>0</v>
      </c>
      <c r="H553">
        <f t="shared" si="83"/>
        <v>1</v>
      </c>
      <c r="I553">
        <f t="shared" si="84"/>
        <v>39</v>
      </c>
      <c r="J553">
        <f t="shared" si="85"/>
        <v>99</v>
      </c>
      <c r="K553">
        <f t="shared" si="86"/>
        <v>2</v>
      </c>
      <c r="L553">
        <f t="shared" si="87"/>
        <v>161756</v>
      </c>
      <c r="M553">
        <f t="shared" si="88"/>
        <v>53328</v>
      </c>
      <c r="N553">
        <f t="shared" si="89"/>
        <v>263084</v>
      </c>
      <c r="O553">
        <f>IF(B553="zagraniczny",K553+O552,O552)</f>
        <v>282</v>
      </c>
    </row>
    <row r="554" spans="1:15" x14ac:dyDescent="0.25">
      <c r="A554">
        <v>1223943</v>
      </c>
      <c r="B554" t="str">
        <f t="shared" si="80"/>
        <v>stacjonarny</v>
      </c>
      <c r="C554" s="1">
        <v>42926</v>
      </c>
      <c r="D554" s="2">
        <v>0.43961805555555555</v>
      </c>
      <c r="E554" s="2">
        <v>0.45087962962962963</v>
      </c>
      <c r="F554" s="2">
        <f t="shared" si="81"/>
        <v>1.1261574074074077E-2</v>
      </c>
      <c r="G554">
        <f t="shared" si="82"/>
        <v>0</v>
      </c>
      <c r="H554">
        <f t="shared" si="83"/>
        <v>16</v>
      </c>
      <c r="I554">
        <f t="shared" si="84"/>
        <v>13</v>
      </c>
      <c r="J554">
        <f t="shared" si="85"/>
        <v>973</v>
      </c>
      <c r="K554">
        <f t="shared" si="86"/>
        <v>17</v>
      </c>
      <c r="L554">
        <f t="shared" si="87"/>
        <v>162729</v>
      </c>
      <c r="M554">
        <f t="shared" si="88"/>
        <v>53328</v>
      </c>
      <c r="N554">
        <f t="shared" si="89"/>
        <v>264057</v>
      </c>
      <c r="O554">
        <f>IF(B554="zagraniczny",K554+O553,O553)</f>
        <v>282</v>
      </c>
    </row>
    <row r="555" spans="1:15" x14ac:dyDescent="0.25">
      <c r="A555">
        <v>8049834</v>
      </c>
      <c r="B555" t="str">
        <f t="shared" si="80"/>
        <v>stacjonarny</v>
      </c>
      <c r="C555" s="1">
        <v>42926</v>
      </c>
      <c r="D555" s="2">
        <v>0.44210648148148146</v>
      </c>
      <c r="E555" s="2">
        <v>0.44369212962962962</v>
      </c>
      <c r="F555" s="2">
        <f t="shared" si="81"/>
        <v>1.5856481481481555E-3</v>
      </c>
      <c r="G555">
        <f t="shared" si="82"/>
        <v>0</v>
      </c>
      <c r="H555">
        <f t="shared" si="83"/>
        <v>2</v>
      </c>
      <c r="I555">
        <f t="shared" si="84"/>
        <v>17</v>
      </c>
      <c r="J555">
        <f t="shared" si="85"/>
        <v>137</v>
      </c>
      <c r="K555">
        <f t="shared" si="86"/>
        <v>3</v>
      </c>
      <c r="L555">
        <f t="shared" si="87"/>
        <v>162866</v>
      </c>
      <c r="M555">
        <f t="shared" si="88"/>
        <v>53328</v>
      </c>
      <c r="N555">
        <f t="shared" si="89"/>
        <v>264194</v>
      </c>
      <c r="O555">
        <f>IF(B555="zagraniczny",K555+O554,O554)</f>
        <v>282</v>
      </c>
    </row>
    <row r="556" spans="1:15" x14ac:dyDescent="0.25">
      <c r="A556">
        <v>6374704</v>
      </c>
      <c r="B556" t="str">
        <f t="shared" si="80"/>
        <v>stacjonarny</v>
      </c>
      <c r="C556" s="1">
        <v>42926</v>
      </c>
      <c r="D556" s="2">
        <v>0.44572916666666668</v>
      </c>
      <c r="E556" s="2">
        <v>0.4548726851851852</v>
      </c>
      <c r="F556" s="2">
        <f t="shared" si="81"/>
        <v>9.143518518518523E-3</v>
      </c>
      <c r="G556">
        <f t="shared" si="82"/>
        <v>0</v>
      </c>
      <c r="H556">
        <f t="shared" si="83"/>
        <v>13</v>
      </c>
      <c r="I556">
        <f t="shared" si="84"/>
        <v>10</v>
      </c>
      <c r="J556">
        <f t="shared" si="85"/>
        <v>790</v>
      </c>
      <c r="K556">
        <f t="shared" si="86"/>
        <v>14</v>
      </c>
      <c r="L556">
        <f t="shared" si="87"/>
        <v>163656</v>
      </c>
      <c r="M556">
        <f t="shared" si="88"/>
        <v>53328</v>
      </c>
      <c r="N556">
        <f t="shared" si="89"/>
        <v>264984</v>
      </c>
      <c r="O556">
        <f>IF(B556="zagraniczny",K556+O555,O555)</f>
        <v>282</v>
      </c>
    </row>
    <row r="557" spans="1:15" x14ac:dyDescent="0.25">
      <c r="A557">
        <v>99625315</v>
      </c>
      <c r="B557" t="str">
        <f t="shared" si="80"/>
        <v>komorkowy</v>
      </c>
      <c r="C557" s="1">
        <v>42926</v>
      </c>
      <c r="D557" s="2">
        <v>0.44592592592592595</v>
      </c>
      <c r="E557" s="2">
        <v>0.45026620370370368</v>
      </c>
      <c r="F557" s="2">
        <f t="shared" si="81"/>
        <v>4.3402777777777346E-3</v>
      </c>
      <c r="G557">
        <f t="shared" si="82"/>
        <v>0</v>
      </c>
      <c r="H557">
        <f t="shared" si="83"/>
        <v>6</v>
      </c>
      <c r="I557">
        <f t="shared" si="84"/>
        <v>15</v>
      </c>
      <c r="J557">
        <f t="shared" si="85"/>
        <v>375</v>
      </c>
      <c r="K557">
        <f t="shared" si="86"/>
        <v>7</v>
      </c>
      <c r="L557">
        <f t="shared" si="87"/>
        <v>163656</v>
      </c>
      <c r="M557">
        <f t="shared" si="88"/>
        <v>53703</v>
      </c>
      <c r="N557">
        <f t="shared" si="89"/>
        <v>265359</v>
      </c>
      <c r="O557">
        <f>IF(B557="zagraniczny",K557+O556,O556)</f>
        <v>282</v>
      </c>
    </row>
    <row r="558" spans="1:15" x14ac:dyDescent="0.25">
      <c r="A558">
        <v>9728932</v>
      </c>
      <c r="B558" t="str">
        <f t="shared" si="80"/>
        <v>stacjonarny</v>
      </c>
      <c r="C558" s="1">
        <v>42926</v>
      </c>
      <c r="D558" s="2">
        <v>0.44641203703703702</v>
      </c>
      <c r="E558" s="2">
        <v>0.45089120370370372</v>
      </c>
      <c r="F558" s="2">
        <f t="shared" si="81"/>
        <v>4.4791666666667007E-3</v>
      </c>
      <c r="G558">
        <f t="shared" si="82"/>
        <v>0</v>
      </c>
      <c r="H558">
        <f t="shared" si="83"/>
        <v>6</v>
      </c>
      <c r="I558">
        <f t="shared" si="84"/>
        <v>27</v>
      </c>
      <c r="J558">
        <f t="shared" si="85"/>
        <v>387</v>
      </c>
      <c r="K558">
        <f t="shared" si="86"/>
        <v>7</v>
      </c>
      <c r="L558">
        <f t="shared" si="87"/>
        <v>164043</v>
      </c>
      <c r="M558">
        <f t="shared" si="88"/>
        <v>53703</v>
      </c>
      <c r="N558">
        <f t="shared" si="89"/>
        <v>265746</v>
      </c>
      <c r="O558">
        <f>IF(B558="zagraniczny",K558+O557,O557)</f>
        <v>282</v>
      </c>
    </row>
    <row r="559" spans="1:15" x14ac:dyDescent="0.25">
      <c r="A559">
        <v>9121149</v>
      </c>
      <c r="B559" t="str">
        <f t="shared" si="80"/>
        <v>stacjonarny</v>
      </c>
      <c r="C559" s="1">
        <v>42926</v>
      </c>
      <c r="D559" s="2">
        <v>0.45106481481481481</v>
      </c>
      <c r="E559" s="2">
        <v>0.45603009259259258</v>
      </c>
      <c r="F559" s="2">
        <f t="shared" si="81"/>
        <v>4.9652777777777768E-3</v>
      </c>
      <c r="G559">
        <f t="shared" si="82"/>
        <v>0</v>
      </c>
      <c r="H559">
        <f t="shared" si="83"/>
        <v>7</v>
      </c>
      <c r="I559">
        <f t="shared" si="84"/>
        <v>9</v>
      </c>
      <c r="J559">
        <f t="shared" si="85"/>
        <v>429</v>
      </c>
      <c r="K559">
        <f t="shared" si="86"/>
        <v>8</v>
      </c>
      <c r="L559">
        <f t="shared" si="87"/>
        <v>164472</v>
      </c>
      <c r="M559">
        <f t="shared" si="88"/>
        <v>53703</v>
      </c>
      <c r="N559">
        <f t="shared" si="89"/>
        <v>266175</v>
      </c>
      <c r="O559">
        <f>IF(B559="zagraniczny",K559+O558,O558)</f>
        <v>282</v>
      </c>
    </row>
    <row r="560" spans="1:15" x14ac:dyDescent="0.25">
      <c r="A560">
        <v>2790475</v>
      </c>
      <c r="B560" t="str">
        <f t="shared" si="80"/>
        <v>stacjonarny</v>
      </c>
      <c r="C560" s="1">
        <v>42926</v>
      </c>
      <c r="D560" s="2">
        <v>0.45663194444444444</v>
      </c>
      <c r="E560" s="2">
        <v>0.46517361111111111</v>
      </c>
      <c r="F560" s="2">
        <f t="shared" si="81"/>
        <v>8.5416666666666696E-3</v>
      </c>
      <c r="G560">
        <f t="shared" si="82"/>
        <v>0</v>
      </c>
      <c r="H560">
        <f t="shared" si="83"/>
        <v>12</v>
      </c>
      <c r="I560">
        <f t="shared" si="84"/>
        <v>18</v>
      </c>
      <c r="J560">
        <f t="shared" si="85"/>
        <v>738</v>
      </c>
      <c r="K560">
        <f t="shared" si="86"/>
        <v>13</v>
      </c>
      <c r="L560">
        <f t="shared" si="87"/>
        <v>165210</v>
      </c>
      <c r="M560">
        <f t="shared" si="88"/>
        <v>53703</v>
      </c>
      <c r="N560">
        <f t="shared" si="89"/>
        <v>266913</v>
      </c>
      <c r="O560">
        <f>IF(B560="zagraniczny",K560+O559,O559)</f>
        <v>282</v>
      </c>
    </row>
    <row r="561" spans="1:15" x14ac:dyDescent="0.25">
      <c r="A561">
        <v>4148520</v>
      </c>
      <c r="B561" t="str">
        <f t="shared" si="80"/>
        <v>stacjonarny</v>
      </c>
      <c r="C561" s="1">
        <v>42926</v>
      </c>
      <c r="D561" s="2">
        <v>0.46108796296296295</v>
      </c>
      <c r="E561" s="2">
        <v>0.46989583333333335</v>
      </c>
      <c r="F561" s="2">
        <f t="shared" si="81"/>
        <v>8.8078703703703964E-3</v>
      </c>
      <c r="G561">
        <f t="shared" si="82"/>
        <v>0</v>
      </c>
      <c r="H561">
        <f t="shared" si="83"/>
        <v>12</v>
      </c>
      <c r="I561">
        <f t="shared" si="84"/>
        <v>41</v>
      </c>
      <c r="J561">
        <f t="shared" si="85"/>
        <v>761</v>
      </c>
      <c r="K561">
        <f t="shared" si="86"/>
        <v>13</v>
      </c>
      <c r="L561">
        <f t="shared" si="87"/>
        <v>165971</v>
      </c>
      <c r="M561">
        <f t="shared" si="88"/>
        <v>53703</v>
      </c>
      <c r="N561">
        <f t="shared" si="89"/>
        <v>267674</v>
      </c>
      <c r="O561">
        <f>IF(B561="zagraniczny",K561+O560,O560)</f>
        <v>282</v>
      </c>
    </row>
    <row r="562" spans="1:15" x14ac:dyDescent="0.25">
      <c r="A562">
        <v>55462392</v>
      </c>
      <c r="B562" t="str">
        <f t="shared" si="80"/>
        <v>komorkowy</v>
      </c>
      <c r="C562" s="1">
        <v>42926</v>
      </c>
      <c r="D562" s="2">
        <v>0.46597222222222223</v>
      </c>
      <c r="E562" s="2">
        <v>0.46732638888888889</v>
      </c>
      <c r="F562" s="2">
        <f t="shared" si="81"/>
        <v>1.3541666666666563E-3</v>
      </c>
      <c r="G562">
        <f t="shared" si="82"/>
        <v>0</v>
      </c>
      <c r="H562">
        <f t="shared" si="83"/>
        <v>1</v>
      </c>
      <c r="I562">
        <f t="shared" si="84"/>
        <v>57</v>
      </c>
      <c r="J562">
        <f t="shared" si="85"/>
        <v>117</v>
      </c>
      <c r="K562">
        <f t="shared" si="86"/>
        <v>2</v>
      </c>
      <c r="L562">
        <f t="shared" si="87"/>
        <v>165971</v>
      </c>
      <c r="M562">
        <f t="shared" si="88"/>
        <v>53820</v>
      </c>
      <c r="N562">
        <f t="shared" si="89"/>
        <v>267791</v>
      </c>
      <c r="O562">
        <f>IF(B562="zagraniczny",K562+O561,O561)</f>
        <v>282</v>
      </c>
    </row>
    <row r="563" spans="1:15" x14ac:dyDescent="0.25">
      <c r="A563">
        <v>8130722</v>
      </c>
      <c r="B563" t="str">
        <f t="shared" si="80"/>
        <v>stacjonarny</v>
      </c>
      <c r="C563" s="1">
        <v>42926</v>
      </c>
      <c r="D563" s="2">
        <v>0.46649305555555554</v>
      </c>
      <c r="E563" s="2">
        <v>0.47717592592592595</v>
      </c>
      <c r="F563" s="2">
        <f t="shared" si="81"/>
        <v>1.0682870370370412E-2</v>
      </c>
      <c r="G563">
        <f t="shared" si="82"/>
        <v>0</v>
      </c>
      <c r="H563">
        <f t="shared" si="83"/>
        <v>15</v>
      </c>
      <c r="I563">
        <f t="shared" si="84"/>
        <v>23</v>
      </c>
      <c r="J563">
        <f t="shared" si="85"/>
        <v>923</v>
      </c>
      <c r="K563">
        <f t="shared" si="86"/>
        <v>16</v>
      </c>
      <c r="L563">
        <f t="shared" si="87"/>
        <v>166894</v>
      </c>
      <c r="M563">
        <f t="shared" si="88"/>
        <v>53820</v>
      </c>
      <c r="N563">
        <f t="shared" si="89"/>
        <v>268714</v>
      </c>
      <c r="O563">
        <f>IF(B563="zagraniczny",K563+O562,O562)</f>
        <v>282</v>
      </c>
    </row>
    <row r="564" spans="1:15" x14ac:dyDescent="0.25">
      <c r="A564">
        <v>5448890</v>
      </c>
      <c r="B564" t="str">
        <f t="shared" si="80"/>
        <v>stacjonarny</v>
      </c>
      <c r="C564" s="1">
        <v>42926</v>
      </c>
      <c r="D564" s="2">
        <v>0.46957175925925926</v>
      </c>
      <c r="E564" s="2">
        <v>0.47247685185185184</v>
      </c>
      <c r="F564" s="2">
        <f t="shared" si="81"/>
        <v>2.9050925925925841E-3</v>
      </c>
      <c r="G564">
        <f t="shared" si="82"/>
        <v>0</v>
      </c>
      <c r="H564">
        <f t="shared" si="83"/>
        <v>4</v>
      </c>
      <c r="I564">
        <f t="shared" si="84"/>
        <v>11</v>
      </c>
      <c r="J564">
        <f t="shared" si="85"/>
        <v>251</v>
      </c>
      <c r="K564">
        <f t="shared" si="86"/>
        <v>5</v>
      </c>
      <c r="L564">
        <f t="shared" si="87"/>
        <v>167145</v>
      </c>
      <c r="M564">
        <f t="shared" si="88"/>
        <v>53820</v>
      </c>
      <c r="N564">
        <f t="shared" si="89"/>
        <v>268965</v>
      </c>
      <c r="O564">
        <f>IF(B564="zagraniczny",K564+O563,O563)</f>
        <v>282</v>
      </c>
    </row>
    <row r="565" spans="1:15" x14ac:dyDescent="0.25">
      <c r="A565">
        <v>6118241</v>
      </c>
      <c r="B565" t="str">
        <f t="shared" si="80"/>
        <v>stacjonarny</v>
      </c>
      <c r="C565" s="1">
        <v>42926</v>
      </c>
      <c r="D565" s="2">
        <v>0.47462962962962962</v>
      </c>
      <c r="E565" s="2">
        <v>0.47839120370370369</v>
      </c>
      <c r="F565" s="2">
        <f t="shared" si="81"/>
        <v>3.76157407407407E-3</v>
      </c>
      <c r="G565">
        <f t="shared" si="82"/>
        <v>0</v>
      </c>
      <c r="H565">
        <f t="shared" si="83"/>
        <v>5</v>
      </c>
      <c r="I565">
        <f t="shared" si="84"/>
        <v>25</v>
      </c>
      <c r="J565">
        <f t="shared" si="85"/>
        <v>325</v>
      </c>
      <c r="K565">
        <f t="shared" si="86"/>
        <v>6</v>
      </c>
      <c r="L565">
        <f t="shared" si="87"/>
        <v>167470</v>
      </c>
      <c r="M565">
        <f t="shared" si="88"/>
        <v>53820</v>
      </c>
      <c r="N565">
        <f t="shared" si="89"/>
        <v>269290</v>
      </c>
      <c r="O565">
        <f>IF(B565="zagraniczny",K565+O564,O564)</f>
        <v>282</v>
      </c>
    </row>
    <row r="566" spans="1:15" x14ac:dyDescent="0.25">
      <c r="A566">
        <v>1088377750</v>
      </c>
      <c r="B566" t="str">
        <f t="shared" si="80"/>
        <v>zagraniczny</v>
      </c>
      <c r="C566" s="1">
        <v>42926</v>
      </c>
      <c r="D566" s="2">
        <v>0.47535879629629629</v>
      </c>
      <c r="E566" s="2">
        <v>0.48454861111111114</v>
      </c>
      <c r="F566" s="2">
        <f t="shared" si="81"/>
        <v>9.1898148148148451E-3</v>
      </c>
      <c r="G566">
        <f t="shared" si="82"/>
        <v>0</v>
      </c>
      <c r="H566">
        <f t="shared" si="83"/>
        <v>13</v>
      </c>
      <c r="I566">
        <f t="shared" si="84"/>
        <v>14</v>
      </c>
      <c r="J566">
        <f t="shared" si="85"/>
        <v>794</v>
      </c>
      <c r="K566">
        <f t="shared" si="86"/>
        <v>14</v>
      </c>
      <c r="L566">
        <f t="shared" si="87"/>
        <v>167470</v>
      </c>
      <c r="M566">
        <f t="shared" si="88"/>
        <v>53820</v>
      </c>
      <c r="N566">
        <f t="shared" si="89"/>
        <v>269290</v>
      </c>
      <c r="O566">
        <f>IF(B566="zagraniczny",K566+O565,O565)</f>
        <v>296</v>
      </c>
    </row>
    <row r="567" spans="1:15" x14ac:dyDescent="0.25">
      <c r="A567">
        <v>98238772</v>
      </c>
      <c r="B567" t="str">
        <f t="shared" si="80"/>
        <v>komorkowy</v>
      </c>
      <c r="C567" s="1">
        <v>42926</v>
      </c>
      <c r="D567" s="2">
        <v>0.47989583333333335</v>
      </c>
      <c r="E567" s="2">
        <v>0.48138888888888887</v>
      </c>
      <c r="F567" s="2">
        <f t="shared" si="81"/>
        <v>1.4930555555555114E-3</v>
      </c>
      <c r="G567">
        <f t="shared" si="82"/>
        <v>0</v>
      </c>
      <c r="H567">
        <f t="shared" si="83"/>
        <v>2</v>
      </c>
      <c r="I567">
        <f t="shared" si="84"/>
        <v>9</v>
      </c>
      <c r="J567">
        <f t="shared" si="85"/>
        <v>129</v>
      </c>
      <c r="K567">
        <f t="shared" si="86"/>
        <v>3</v>
      </c>
      <c r="L567">
        <f t="shared" si="87"/>
        <v>167470</v>
      </c>
      <c r="M567">
        <f t="shared" si="88"/>
        <v>53949</v>
      </c>
      <c r="N567">
        <f t="shared" si="89"/>
        <v>269419</v>
      </c>
      <c r="O567">
        <f>IF(B567="zagraniczny",K567+O566,O566)</f>
        <v>296</v>
      </c>
    </row>
    <row r="568" spans="1:15" x14ac:dyDescent="0.25">
      <c r="A568">
        <v>9524588</v>
      </c>
      <c r="B568" t="str">
        <f t="shared" si="80"/>
        <v>stacjonarny</v>
      </c>
      <c r="C568" s="1">
        <v>42926</v>
      </c>
      <c r="D568" s="2">
        <v>0.4846759259259259</v>
      </c>
      <c r="E568" s="2">
        <v>0.49550925925925926</v>
      </c>
      <c r="F568" s="2">
        <f t="shared" si="81"/>
        <v>1.0833333333333361E-2</v>
      </c>
      <c r="G568">
        <f t="shared" si="82"/>
        <v>0</v>
      </c>
      <c r="H568">
        <f t="shared" si="83"/>
        <v>15</v>
      </c>
      <c r="I568">
        <f t="shared" si="84"/>
        <v>36</v>
      </c>
      <c r="J568">
        <f t="shared" si="85"/>
        <v>936</v>
      </c>
      <c r="K568">
        <f t="shared" si="86"/>
        <v>16</v>
      </c>
      <c r="L568">
        <f t="shared" si="87"/>
        <v>168406</v>
      </c>
      <c r="M568">
        <f t="shared" si="88"/>
        <v>53949</v>
      </c>
      <c r="N568">
        <f t="shared" si="89"/>
        <v>270355</v>
      </c>
      <c r="O568">
        <f>IF(B568="zagraniczny",K568+O567,O567)</f>
        <v>296</v>
      </c>
    </row>
    <row r="569" spans="1:15" x14ac:dyDescent="0.25">
      <c r="A569">
        <v>96375379</v>
      </c>
      <c r="B569" t="str">
        <f t="shared" si="80"/>
        <v>komorkowy</v>
      </c>
      <c r="C569" s="1">
        <v>42926</v>
      </c>
      <c r="D569" s="2">
        <v>0.4881712962962963</v>
      </c>
      <c r="E569" s="2">
        <v>0.49769675925925927</v>
      </c>
      <c r="F569" s="2">
        <f t="shared" si="81"/>
        <v>9.5254629629629717E-3</v>
      </c>
      <c r="G569">
        <f t="shared" si="82"/>
        <v>0</v>
      </c>
      <c r="H569">
        <f t="shared" si="83"/>
        <v>13</v>
      </c>
      <c r="I569">
        <f t="shared" si="84"/>
        <v>43</v>
      </c>
      <c r="J569">
        <f t="shared" si="85"/>
        <v>823</v>
      </c>
      <c r="K569">
        <f t="shared" si="86"/>
        <v>14</v>
      </c>
      <c r="L569">
        <f t="shared" si="87"/>
        <v>168406</v>
      </c>
      <c r="M569">
        <f t="shared" si="88"/>
        <v>54772</v>
      </c>
      <c r="N569">
        <f t="shared" si="89"/>
        <v>271178</v>
      </c>
      <c r="O569">
        <f>IF(B569="zagraniczny",K569+O568,O568)</f>
        <v>296</v>
      </c>
    </row>
    <row r="570" spans="1:15" x14ac:dyDescent="0.25">
      <c r="A570">
        <v>4759206</v>
      </c>
      <c r="B570" t="str">
        <f t="shared" si="80"/>
        <v>stacjonarny</v>
      </c>
      <c r="C570" s="1">
        <v>42926</v>
      </c>
      <c r="D570" s="2">
        <v>0.49055555555555558</v>
      </c>
      <c r="E570" s="2">
        <v>0.49449074074074073</v>
      </c>
      <c r="F570" s="2">
        <f t="shared" si="81"/>
        <v>3.9351851851851527E-3</v>
      </c>
      <c r="G570">
        <f t="shared" si="82"/>
        <v>0</v>
      </c>
      <c r="H570">
        <f t="shared" si="83"/>
        <v>5</v>
      </c>
      <c r="I570">
        <f t="shared" si="84"/>
        <v>40</v>
      </c>
      <c r="J570">
        <f t="shared" si="85"/>
        <v>340</v>
      </c>
      <c r="K570">
        <f t="shared" si="86"/>
        <v>6</v>
      </c>
      <c r="L570">
        <f t="shared" si="87"/>
        <v>168746</v>
      </c>
      <c r="M570">
        <f t="shared" si="88"/>
        <v>54772</v>
      </c>
      <c r="N570">
        <f t="shared" si="89"/>
        <v>271518</v>
      </c>
      <c r="O570">
        <f>IF(B570="zagraniczny",K570+O569,O569)</f>
        <v>296</v>
      </c>
    </row>
    <row r="571" spans="1:15" x14ac:dyDescent="0.25">
      <c r="A571">
        <v>9197309</v>
      </c>
      <c r="B571" t="str">
        <f t="shared" si="80"/>
        <v>stacjonarny</v>
      </c>
      <c r="C571" s="1">
        <v>42926</v>
      </c>
      <c r="D571" s="2">
        <v>0.49488425925925927</v>
      </c>
      <c r="E571" s="2">
        <v>0.50590277777777781</v>
      </c>
      <c r="F571" s="2">
        <f t="shared" si="81"/>
        <v>1.1018518518518539E-2</v>
      </c>
      <c r="G571">
        <f t="shared" si="82"/>
        <v>0</v>
      </c>
      <c r="H571">
        <f t="shared" si="83"/>
        <v>15</v>
      </c>
      <c r="I571">
        <f t="shared" si="84"/>
        <v>52</v>
      </c>
      <c r="J571">
        <f t="shared" si="85"/>
        <v>952</v>
      </c>
      <c r="K571">
        <f t="shared" si="86"/>
        <v>16</v>
      </c>
      <c r="L571">
        <f t="shared" si="87"/>
        <v>169698</v>
      </c>
      <c r="M571">
        <f t="shared" si="88"/>
        <v>54772</v>
      </c>
      <c r="N571">
        <f t="shared" si="89"/>
        <v>272470</v>
      </c>
      <c r="O571">
        <f>IF(B571="zagraniczny",K571+O570,O570)</f>
        <v>296</v>
      </c>
    </row>
    <row r="572" spans="1:15" x14ac:dyDescent="0.25">
      <c r="A572">
        <v>8322522</v>
      </c>
      <c r="B572" t="str">
        <f t="shared" si="80"/>
        <v>stacjonarny</v>
      </c>
      <c r="C572" s="1">
        <v>42926</v>
      </c>
      <c r="D572" s="2">
        <v>0.49674768518518519</v>
      </c>
      <c r="E572" s="2">
        <v>0.50796296296296295</v>
      </c>
      <c r="F572" s="2">
        <f t="shared" si="81"/>
        <v>1.1215277777777755E-2</v>
      </c>
      <c r="G572">
        <f t="shared" si="82"/>
        <v>0</v>
      </c>
      <c r="H572">
        <f t="shared" si="83"/>
        <v>16</v>
      </c>
      <c r="I572">
        <f t="shared" si="84"/>
        <v>9</v>
      </c>
      <c r="J572">
        <f t="shared" si="85"/>
        <v>969</v>
      </c>
      <c r="K572">
        <f t="shared" si="86"/>
        <v>17</v>
      </c>
      <c r="L572">
        <f t="shared" si="87"/>
        <v>170667</v>
      </c>
      <c r="M572">
        <f t="shared" si="88"/>
        <v>54772</v>
      </c>
      <c r="N572">
        <f t="shared" si="89"/>
        <v>273439</v>
      </c>
      <c r="O572">
        <f>IF(B572="zagraniczny",K572+O571,O571)</f>
        <v>296</v>
      </c>
    </row>
    <row r="573" spans="1:15" x14ac:dyDescent="0.25">
      <c r="A573">
        <v>4264808</v>
      </c>
      <c r="B573" t="str">
        <f t="shared" si="80"/>
        <v>stacjonarny</v>
      </c>
      <c r="C573" s="1">
        <v>42926</v>
      </c>
      <c r="D573" s="2">
        <v>0.50089120370370366</v>
      </c>
      <c r="E573" s="2">
        <v>0.50109953703703702</v>
      </c>
      <c r="F573" s="2">
        <f t="shared" si="81"/>
        <v>2.083333333333659E-4</v>
      </c>
      <c r="G573">
        <f t="shared" si="82"/>
        <v>0</v>
      </c>
      <c r="H573">
        <f t="shared" si="83"/>
        <v>0</v>
      </c>
      <c r="I573">
        <f t="shared" si="84"/>
        <v>18</v>
      </c>
      <c r="J573">
        <f t="shared" si="85"/>
        <v>18</v>
      </c>
      <c r="K573">
        <f t="shared" si="86"/>
        <v>1</v>
      </c>
      <c r="L573">
        <f t="shared" si="87"/>
        <v>170685</v>
      </c>
      <c r="M573">
        <f t="shared" si="88"/>
        <v>54772</v>
      </c>
      <c r="N573">
        <f t="shared" si="89"/>
        <v>273457</v>
      </c>
      <c r="O573">
        <f>IF(B573="zagraniczny",K573+O572,O572)</f>
        <v>296</v>
      </c>
    </row>
    <row r="574" spans="1:15" x14ac:dyDescent="0.25">
      <c r="A574">
        <v>3095218</v>
      </c>
      <c r="B574" t="str">
        <f t="shared" si="80"/>
        <v>stacjonarny</v>
      </c>
      <c r="C574" s="1">
        <v>42926</v>
      </c>
      <c r="D574" s="2">
        <v>0.50635416666666666</v>
      </c>
      <c r="E574" s="2">
        <v>0.51716435185185183</v>
      </c>
      <c r="F574" s="2">
        <f t="shared" si="81"/>
        <v>1.0810185185185173E-2</v>
      </c>
      <c r="G574">
        <f t="shared" si="82"/>
        <v>0</v>
      </c>
      <c r="H574">
        <f t="shared" si="83"/>
        <v>15</v>
      </c>
      <c r="I574">
        <f t="shared" si="84"/>
        <v>34</v>
      </c>
      <c r="J574">
        <f t="shared" si="85"/>
        <v>934</v>
      </c>
      <c r="K574">
        <f t="shared" si="86"/>
        <v>16</v>
      </c>
      <c r="L574">
        <f t="shared" si="87"/>
        <v>171619</v>
      </c>
      <c r="M574">
        <f t="shared" si="88"/>
        <v>54772</v>
      </c>
      <c r="N574">
        <f t="shared" si="89"/>
        <v>274391</v>
      </c>
      <c r="O574">
        <f>IF(B574="zagraniczny",K574+O573,O573)</f>
        <v>296</v>
      </c>
    </row>
    <row r="575" spans="1:15" x14ac:dyDescent="0.25">
      <c r="A575">
        <v>5820632164</v>
      </c>
      <c r="B575" t="str">
        <f t="shared" si="80"/>
        <v>zagraniczny</v>
      </c>
      <c r="C575" s="1">
        <v>42926</v>
      </c>
      <c r="D575" s="2">
        <v>0.51010416666666669</v>
      </c>
      <c r="E575" s="2">
        <v>0.51879629629629631</v>
      </c>
      <c r="F575" s="2">
        <f t="shared" si="81"/>
        <v>8.6921296296296191E-3</v>
      </c>
      <c r="G575">
        <f t="shared" si="82"/>
        <v>0</v>
      </c>
      <c r="H575">
        <f t="shared" si="83"/>
        <v>12</v>
      </c>
      <c r="I575">
        <f t="shared" si="84"/>
        <v>31</v>
      </c>
      <c r="J575">
        <f t="shared" si="85"/>
        <v>751</v>
      </c>
      <c r="K575">
        <f t="shared" si="86"/>
        <v>13</v>
      </c>
      <c r="L575">
        <f t="shared" si="87"/>
        <v>171619</v>
      </c>
      <c r="M575">
        <f t="shared" si="88"/>
        <v>54772</v>
      </c>
      <c r="N575">
        <f t="shared" si="89"/>
        <v>274391</v>
      </c>
      <c r="O575">
        <f>IF(B575="zagraniczny",K575+O574,O574)</f>
        <v>309</v>
      </c>
    </row>
    <row r="576" spans="1:15" x14ac:dyDescent="0.25">
      <c r="A576">
        <v>89814525</v>
      </c>
      <c r="B576" t="str">
        <f t="shared" si="80"/>
        <v>komorkowy</v>
      </c>
      <c r="C576" s="1">
        <v>42926</v>
      </c>
      <c r="D576" s="2">
        <v>0.51090277777777782</v>
      </c>
      <c r="E576" s="2">
        <v>0.51175925925925925</v>
      </c>
      <c r="F576" s="2">
        <f t="shared" si="81"/>
        <v>8.5648148148143033E-4</v>
      </c>
      <c r="G576">
        <f t="shared" si="82"/>
        <v>0</v>
      </c>
      <c r="H576">
        <f t="shared" si="83"/>
        <v>1</v>
      </c>
      <c r="I576">
        <f t="shared" si="84"/>
        <v>14</v>
      </c>
      <c r="J576">
        <f t="shared" si="85"/>
        <v>74</v>
      </c>
      <c r="K576">
        <f t="shared" si="86"/>
        <v>2</v>
      </c>
      <c r="L576">
        <f t="shared" si="87"/>
        <v>171619</v>
      </c>
      <c r="M576">
        <f t="shared" si="88"/>
        <v>54846</v>
      </c>
      <c r="N576">
        <f t="shared" si="89"/>
        <v>274465</v>
      </c>
      <c r="O576">
        <f>IF(B576="zagraniczny",K576+O575,O575)</f>
        <v>309</v>
      </c>
    </row>
    <row r="577" spans="1:15" x14ac:dyDescent="0.25">
      <c r="A577">
        <v>1223816</v>
      </c>
      <c r="B577" t="str">
        <f t="shared" si="80"/>
        <v>stacjonarny</v>
      </c>
      <c r="C577" s="1">
        <v>42926</v>
      </c>
      <c r="D577" s="2">
        <v>0.51116898148148149</v>
      </c>
      <c r="E577" s="2">
        <v>0.51718750000000002</v>
      </c>
      <c r="F577" s="2">
        <f t="shared" si="81"/>
        <v>6.0185185185185341E-3</v>
      </c>
      <c r="G577">
        <f t="shared" si="82"/>
        <v>0</v>
      </c>
      <c r="H577">
        <f t="shared" si="83"/>
        <v>8</v>
      </c>
      <c r="I577">
        <f t="shared" si="84"/>
        <v>40</v>
      </c>
      <c r="J577">
        <f t="shared" si="85"/>
        <v>520</v>
      </c>
      <c r="K577">
        <f t="shared" si="86"/>
        <v>9</v>
      </c>
      <c r="L577">
        <f t="shared" si="87"/>
        <v>172139</v>
      </c>
      <c r="M577">
        <f t="shared" si="88"/>
        <v>54846</v>
      </c>
      <c r="N577">
        <f t="shared" si="89"/>
        <v>274985</v>
      </c>
      <c r="O577">
        <f>IF(B577="zagraniczny",K577+O576,O576)</f>
        <v>309</v>
      </c>
    </row>
    <row r="578" spans="1:15" x14ac:dyDescent="0.25">
      <c r="A578">
        <v>18503160</v>
      </c>
      <c r="B578" t="str">
        <f t="shared" si="80"/>
        <v>komorkowy</v>
      </c>
      <c r="C578" s="1">
        <v>42926</v>
      </c>
      <c r="D578" s="2">
        <v>0.51157407407407407</v>
      </c>
      <c r="E578" s="2">
        <v>0.51663194444444449</v>
      </c>
      <c r="F578" s="2">
        <f t="shared" si="81"/>
        <v>5.0578703703704209E-3</v>
      </c>
      <c r="G578">
        <f t="shared" si="82"/>
        <v>0</v>
      </c>
      <c r="H578">
        <f t="shared" si="83"/>
        <v>7</v>
      </c>
      <c r="I578">
        <f t="shared" si="84"/>
        <v>17</v>
      </c>
      <c r="J578">
        <f t="shared" si="85"/>
        <v>437</v>
      </c>
      <c r="K578">
        <f t="shared" si="86"/>
        <v>8</v>
      </c>
      <c r="L578">
        <f t="shared" si="87"/>
        <v>172139</v>
      </c>
      <c r="M578">
        <f t="shared" si="88"/>
        <v>55283</v>
      </c>
      <c r="N578">
        <f t="shared" si="89"/>
        <v>275422</v>
      </c>
      <c r="O578">
        <f>IF(B578="zagraniczny",K578+O577,O577)</f>
        <v>309</v>
      </c>
    </row>
    <row r="579" spans="1:15" x14ac:dyDescent="0.25">
      <c r="A579">
        <v>21677804</v>
      </c>
      <c r="B579" t="str">
        <f t="shared" ref="B579:B642" si="90">IF(LEN(A579)=7,"stacjonarny",IF(LEN(A579)=8,"komorkowy","zagraniczny"))</f>
        <v>komorkowy</v>
      </c>
      <c r="C579" s="1">
        <v>42926</v>
      </c>
      <c r="D579" s="2">
        <v>0.51328703703703704</v>
      </c>
      <c r="E579" s="2">
        <v>0.51821759259259259</v>
      </c>
      <c r="F579" s="2">
        <f t="shared" ref="F579:F642" si="91">E579-D579</f>
        <v>4.9305555555555491E-3</v>
      </c>
      <c r="G579">
        <f t="shared" ref="G579:G642" si="92">HOUR(F579)</f>
        <v>0</v>
      </c>
      <c r="H579">
        <f t="shared" ref="H579:H642" si="93">MINUTE(F579)</f>
        <v>7</v>
      </c>
      <c r="I579">
        <f t="shared" ref="I579:I642" si="94">SECOND(F579)</f>
        <v>6</v>
      </c>
      <c r="J579">
        <f t="shared" ref="J579:J642" si="95">H579*60+I579</f>
        <v>426</v>
      </c>
      <c r="K579">
        <f t="shared" ref="K579:K642" si="96">IF(I579&gt;0,G579*60+H579+1,H579+G579*60)</f>
        <v>8</v>
      </c>
      <c r="L579">
        <f t="shared" si="87"/>
        <v>172139</v>
      </c>
      <c r="M579">
        <f t="shared" si="88"/>
        <v>55709</v>
      </c>
      <c r="N579">
        <f t="shared" si="89"/>
        <v>275848</v>
      </c>
      <c r="O579">
        <f>IF(B579="zagraniczny",K579+O578,O578)</f>
        <v>309</v>
      </c>
    </row>
    <row r="580" spans="1:15" x14ac:dyDescent="0.25">
      <c r="A580">
        <v>5087066</v>
      </c>
      <c r="B580" t="str">
        <f t="shared" si="90"/>
        <v>stacjonarny</v>
      </c>
      <c r="C580" s="1">
        <v>42926</v>
      </c>
      <c r="D580" s="2">
        <v>0.51603009259259258</v>
      </c>
      <c r="E580" s="2">
        <v>0.5269907407407407</v>
      </c>
      <c r="F580" s="2">
        <f t="shared" si="91"/>
        <v>1.0960648148148122E-2</v>
      </c>
      <c r="G580">
        <f t="shared" si="92"/>
        <v>0</v>
      </c>
      <c r="H580">
        <f t="shared" si="93"/>
        <v>15</v>
      </c>
      <c r="I580">
        <f t="shared" si="94"/>
        <v>47</v>
      </c>
      <c r="J580">
        <f t="shared" si="95"/>
        <v>947</v>
      </c>
      <c r="K580">
        <f t="shared" si="96"/>
        <v>16</v>
      </c>
      <c r="L580">
        <f t="shared" ref="L580:L643" si="97">IF(B580="stacjonarny",$J580+L579,L579)</f>
        <v>173086</v>
      </c>
      <c r="M580">
        <f t="shared" ref="M580:M643" si="98">IF(B580="komorkowy",$J580+M579,M579)</f>
        <v>55709</v>
      </c>
      <c r="N580">
        <f t="shared" ref="N580:N643" si="99">IF(OR(B580="stacjonarny",B580="komorkowy"),J580+N579,N579)</f>
        <v>276795</v>
      </c>
      <c r="O580">
        <f>IF(B580="zagraniczny",K580+O579,O579)</f>
        <v>309</v>
      </c>
    </row>
    <row r="581" spans="1:15" x14ac:dyDescent="0.25">
      <c r="A581">
        <v>6905863</v>
      </c>
      <c r="B581" t="str">
        <f t="shared" si="90"/>
        <v>stacjonarny</v>
      </c>
      <c r="C581" s="1">
        <v>42926</v>
      </c>
      <c r="D581" s="2">
        <v>0.52123842592592595</v>
      </c>
      <c r="E581" s="2">
        <v>0.53008101851851852</v>
      </c>
      <c r="F581" s="2">
        <f t="shared" si="91"/>
        <v>8.8425925925925686E-3</v>
      </c>
      <c r="G581">
        <f t="shared" si="92"/>
        <v>0</v>
      </c>
      <c r="H581">
        <f t="shared" si="93"/>
        <v>12</v>
      </c>
      <c r="I581">
        <f t="shared" si="94"/>
        <v>44</v>
      </c>
      <c r="J581">
        <f t="shared" si="95"/>
        <v>764</v>
      </c>
      <c r="K581">
        <f t="shared" si="96"/>
        <v>13</v>
      </c>
      <c r="L581">
        <f t="shared" si="97"/>
        <v>173850</v>
      </c>
      <c r="M581">
        <f t="shared" si="98"/>
        <v>55709</v>
      </c>
      <c r="N581">
        <f t="shared" si="99"/>
        <v>277559</v>
      </c>
      <c r="O581">
        <f>IF(B581="zagraniczny",K581+O580,O580)</f>
        <v>309</v>
      </c>
    </row>
    <row r="582" spans="1:15" x14ac:dyDescent="0.25">
      <c r="A582">
        <v>4144248</v>
      </c>
      <c r="B582" t="str">
        <f t="shared" si="90"/>
        <v>stacjonarny</v>
      </c>
      <c r="C582" s="1">
        <v>42926</v>
      </c>
      <c r="D582" s="2">
        <v>0.52134259259259264</v>
      </c>
      <c r="E582" s="2">
        <v>0.53226851851851853</v>
      </c>
      <c r="F582" s="2">
        <f t="shared" si="91"/>
        <v>1.0925925925925895E-2</v>
      </c>
      <c r="G582">
        <f t="shared" si="92"/>
        <v>0</v>
      </c>
      <c r="H582">
        <f t="shared" si="93"/>
        <v>15</v>
      </c>
      <c r="I582">
        <f t="shared" si="94"/>
        <v>44</v>
      </c>
      <c r="J582">
        <f t="shared" si="95"/>
        <v>944</v>
      </c>
      <c r="K582">
        <f t="shared" si="96"/>
        <v>16</v>
      </c>
      <c r="L582">
        <f t="shared" si="97"/>
        <v>174794</v>
      </c>
      <c r="M582">
        <f t="shared" si="98"/>
        <v>55709</v>
      </c>
      <c r="N582">
        <f t="shared" si="99"/>
        <v>278503</v>
      </c>
      <c r="O582">
        <f>IF(B582="zagraniczny",K582+O581,O581)</f>
        <v>309</v>
      </c>
    </row>
    <row r="583" spans="1:15" x14ac:dyDescent="0.25">
      <c r="A583">
        <v>16392077</v>
      </c>
      <c r="B583" t="str">
        <f t="shared" si="90"/>
        <v>komorkowy</v>
      </c>
      <c r="C583" s="1">
        <v>42926</v>
      </c>
      <c r="D583" s="2">
        <v>0.52254629629629634</v>
      </c>
      <c r="E583" s="2">
        <v>0.52263888888888888</v>
      </c>
      <c r="F583" s="2">
        <f t="shared" si="91"/>
        <v>9.2592592592533052E-5</v>
      </c>
      <c r="G583">
        <f t="shared" si="92"/>
        <v>0</v>
      </c>
      <c r="H583">
        <f t="shared" si="93"/>
        <v>0</v>
      </c>
      <c r="I583">
        <f t="shared" si="94"/>
        <v>8</v>
      </c>
      <c r="J583">
        <f t="shared" si="95"/>
        <v>8</v>
      </c>
      <c r="K583">
        <f t="shared" si="96"/>
        <v>1</v>
      </c>
      <c r="L583">
        <f t="shared" si="97"/>
        <v>174794</v>
      </c>
      <c r="M583">
        <f t="shared" si="98"/>
        <v>55717</v>
      </c>
      <c r="N583">
        <f t="shared" si="99"/>
        <v>278511</v>
      </c>
      <c r="O583">
        <f>IF(B583="zagraniczny",K583+O582,O582)</f>
        <v>309</v>
      </c>
    </row>
    <row r="584" spans="1:15" x14ac:dyDescent="0.25">
      <c r="A584">
        <v>8865092</v>
      </c>
      <c r="B584" t="str">
        <f t="shared" si="90"/>
        <v>stacjonarny</v>
      </c>
      <c r="C584" s="1">
        <v>42926</v>
      </c>
      <c r="D584" s="2">
        <v>0.52392361111111108</v>
      </c>
      <c r="E584" s="2">
        <v>0.53378472222222217</v>
      </c>
      <c r="F584" s="2">
        <f t="shared" si="91"/>
        <v>9.8611111111110983E-3</v>
      </c>
      <c r="G584">
        <f t="shared" si="92"/>
        <v>0</v>
      </c>
      <c r="H584">
        <f t="shared" si="93"/>
        <v>14</v>
      </c>
      <c r="I584">
        <f t="shared" si="94"/>
        <v>12</v>
      </c>
      <c r="J584">
        <f t="shared" si="95"/>
        <v>852</v>
      </c>
      <c r="K584">
        <f t="shared" si="96"/>
        <v>15</v>
      </c>
      <c r="L584">
        <f t="shared" si="97"/>
        <v>175646</v>
      </c>
      <c r="M584">
        <f t="shared" si="98"/>
        <v>55717</v>
      </c>
      <c r="N584">
        <f t="shared" si="99"/>
        <v>279363</v>
      </c>
      <c r="O584">
        <f>IF(B584="zagraniczny",K584+O583,O583)</f>
        <v>309</v>
      </c>
    </row>
    <row r="585" spans="1:15" x14ac:dyDescent="0.25">
      <c r="A585">
        <v>92597723</v>
      </c>
      <c r="B585" t="str">
        <f t="shared" si="90"/>
        <v>komorkowy</v>
      </c>
      <c r="C585" s="1">
        <v>42926</v>
      </c>
      <c r="D585" s="2">
        <v>0.52837962962962959</v>
      </c>
      <c r="E585" s="2">
        <v>0.53084490740740742</v>
      </c>
      <c r="F585" s="2">
        <f t="shared" si="91"/>
        <v>2.4652777777778301E-3</v>
      </c>
      <c r="G585">
        <f t="shared" si="92"/>
        <v>0</v>
      </c>
      <c r="H585">
        <f t="shared" si="93"/>
        <v>3</v>
      </c>
      <c r="I585">
        <f t="shared" si="94"/>
        <v>33</v>
      </c>
      <c r="J585">
        <f t="shared" si="95"/>
        <v>213</v>
      </c>
      <c r="K585">
        <f t="shared" si="96"/>
        <v>4</v>
      </c>
      <c r="L585">
        <f t="shared" si="97"/>
        <v>175646</v>
      </c>
      <c r="M585">
        <f t="shared" si="98"/>
        <v>55930</v>
      </c>
      <c r="N585">
        <f t="shared" si="99"/>
        <v>279576</v>
      </c>
      <c r="O585">
        <f>IF(B585="zagraniczny",K585+O584,O584)</f>
        <v>309</v>
      </c>
    </row>
    <row r="586" spans="1:15" x14ac:dyDescent="0.25">
      <c r="A586">
        <v>49840829</v>
      </c>
      <c r="B586" t="str">
        <f t="shared" si="90"/>
        <v>komorkowy</v>
      </c>
      <c r="C586" s="1">
        <v>42926</v>
      </c>
      <c r="D586" s="2">
        <v>0.53204861111111112</v>
      </c>
      <c r="E586" s="2">
        <v>0.53737268518518522</v>
      </c>
      <c r="F586" s="2">
        <f t="shared" si="91"/>
        <v>5.3240740740740922E-3</v>
      </c>
      <c r="G586">
        <f t="shared" si="92"/>
        <v>0</v>
      </c>
      <c r="H586">
        <f t="shared" si="93"/>
        <v>7</v>
      </c>
      <c r="I586">
        <f t="shared" si="94"/>
        <v>40</v>
      </c>
      <c r="J586">
        <f t="shared" si="95"/>
        <v>460</v>
      </c>
      <c r="K586">
        <f t="shared" si="96"/>
        <v>8</v>
      </c>
      <c r="L586">
        <f t="shared" si="97"/>
        <v>175646</v>
      </c>
      <c r="M586">
        <f t="shared" si="98"/>
        <v>56390</v>
      </c>
      <c r="N586">
        <f t="shared" si="99"/>
        <v>280036</v>
      </c>
      <c r="O586">
        <f>IF(B586="zagraniczny",K586+O585,O585)</f>
        <v>309</v>
      </c>
    </row>
    <row r="587" spans="1:15" x14ac:dyDescent="0.25">
      <c r="A587">
        <v>20354301</v>
      </c>
      <c r="B587" t="str">
        <f t="shared" si="90"/>
        <v>komorkowy</v>
      </c>
      <c r="C587" s="1">
        <v>42926</v>
      </c>
      <c r="D587" s="2">
        <v>0.53291666666666671</v>
      </c>
      <c r="E587" s="2">
        <v>0.53758101851851847</v>
      </c>
      <c r="F587" s="2">
        <f t="shared" si="91"/>
        <v>4.6643518518517668E-3</v>
      </c>
      <c r="G587">
        <f t="shared" si="92"/>
        <v>0</v>
      </c>
      <c r="H587">
        <f t="shared" si="93"/>
        <v>6</v>
      </c>
      <c r="I587">
        <f t="shared" si="94"/>
        <v>43</v>
      </c>
      <c r="J587">
        <f t="shared" si="95"/>
        <v>403</v>
      </c>
      <c r="K587">
        <f t="shared" si="96"/>
        <v>7</v>
      </c>
      <c r="L587">
        <f t="shared" si="97"/>
        <v>175646</v>
      </c>
      <c r="M587">
        <f t="shared" si="98"/>
        <v>56793</v>
      </c>
      <c r="N587">
        <f t="shared" si="99"/>
        <v>280439</v>
      </c>
      <c r="O587">
        <f>IF(B587="zagraniczny",K587+O586,O586)</f>
        <v>309</v>
      </c>
    </row>
    <row r="588" spans="1:15" x14ac:dyDescent="0.25">
      <c r="A588">
        <v>2731955</v>
      </c>
      <c r="B588" t="str">
        <f t="shared" si="90"/>
        <v>stacjonarny</v>
      </c>
      <c r="C588" s="1">
        <v>42926</v>
      </c>
      <c r="D588" s="2">
        <v>0.53843750000000001</v>
      </c>
      <c r="E588" s="2">
        <v>0.54283564814814811</v>
      </c>
      <c r="F588" s="2">
        <f t="shared" si="91"/>
        <v>4.3981481481480955E-3</v>
      </c>
      <c r="G588">
        <f t="shared" si="92"/>
        <v>0</v>
      </c>
      <c r="H588">
        <f t="shared" si="93"/>
        <v>6</v>
      </c>
      <c r="I588">
        <f t="shared" si="94"/>
        <v>20</v>
      </c>
      <c r="J588">
        <f t="shared" si="95"/>
        <v>380</v>
      </c>
      <c r="K588">
        <f t="shared" si="96"/>
        <v>7</v>
      </c>
      <c r="L588">
        <f t="shared" si="97"/>
        <v>176026</v>
      </c>
      <c r="M588">
        <f t="shared" si="98"/>
        <v>56793</v>
      </c>
      <c r="N588">
        <f t="shared" si="99"/>
        <v>280819</v>
      </c>
      <c r="O588">
        <f>IF(B588="zagraniczny",K588+O587,O587)</f>
        <v>309</v>
      </c>
    </row>
    <row r="589" spans="1:15" x14ac:dyDescent="0.25">
      <c r="A589">
        <v>2304726</v>
      </c>
      <c r="B589" t="str">
        <f t="shared" si="90"/>
        <v>stacjonarny</v>
      </c>
      <c r="C589" s="1">
        <v>42926</v>
      </c>
      <c r="D589" s="2">
        <v>0.54197916666666668</v>
      </c>
      <c r="E589" s="2">
        <v>0.54866898148148147</v>
      </c>
      <c r="F589" s="2">
        <f t="shared" si="91"/>
        <v>6.6898148148147873E-3</v>
      </c>
      <c r="G589">
        <f t="shared" si="92"/>
        <v>0</v>
      </c>
      <c r="H589">
        <f t="shared" si="93"/>
        <v>9</v>
      </c>
      <c r="I589">
        <f t="shared" si="94"/>
        <v>38</v>
      </c>
      <c r="J589">
        <f t="shared" si="95"/>
        <v>578</v>
      </c>
      <c r="K589">
        <f t="shared" si="96"/>
        <v>10</v>
      </c>
      <c r="L589">
        <f t="shared" si="97"/>
        <v>176604</v>
      </c>
      <c r="M589">
        <f t="shared" si="98"/>
        <v>56793</v>
      </c>
      <c r="N589">
        <f t="shared" si="99"/>
        <v>281397</v>
      </c>
      <c r="O589">
        <f>IF(B589="zagraniczny",K589+O588,O588)</f>
        <v>309</v>
      </c>
    </row>
    <row r="590" spans="1:15" x14ac:dyDescent="0.25">
      <c r="A590">
        <v>4653709</v>
      </c>
      <c r="B590" t="str">
        <f t="shared" si="90"/>
        <v>stacjonarny</v>
      </c>
      <c r="C590" s="1">
        <v>42926</v>
      </c>
      <c r="D590" s="2">
        <v>0.54292824074074075</v>
      </c>
      <c r="E590" s="2">
        <v>0.5444444444444444</v>
      </c>
      <c r="F590" s="2">
        <f t="shared" si="91"/>
        <v>1.5162037037036447E-3</v>
      </c>
      <c r="G590">
        <f t="shared" si="92"/>
        <v>0</v>
      </c>
      <c r="H590">
        <f t="shared" si="93"/>
        <v>2</v>
      </c>
      <c r="I590">
        <f t="shared" si="94"/>
        <v>11</v>
      </c>
      <c r="J590">
        <f t="shared" si="95"/>
        <v>131</v>
      </c>
      <c r="K590">
        <f t="shared" si="96"/>
        <v>3</v>
      </c>
      <c r="L590">
        <f t="shared" si="97"/>
        <v>176735</v>
      </c>
      <c r="M590">
        <f t="shared" si="98"/>
        <v>56793</v>
      </c>
      <c r="N590">
        <f t="shared" si="99"/>
        <v>281528</v>
      </c>
      <c r="O590">
        <f>IF(B590="zagraniczny",K590+O589,O589)</f>
        <v>309</v>
      </c>
    </row>
    <row r="591" spans="1:15" x14ac:dyDescent="0.25">
      <c r="A591">
        <v>4848864</v>
      </c>
      <c r="B591" t="str">
        <f t="shared" si="90"/>
        <v>stacjonarny</v>
      </c>
      <c r="C591" s="1">
        <v>42926</v>
      </c>
      <c r="D591" s="2">
        <v>0.54432870370370368</v>
      </c>
      <c r="E591" s="2">
        <v>0.55090277777777774</v>
      </c>
      <c r="F591" s="2">
        <f t="shared" si="91"/>
        <v>6.5740740740740655E-3</v>
      </c>
      <c r="G591">
        <f t="shared" si="92"/>
        <v>0</v>
      </c>
      <c r="H591">
        <f t="shared" si="93"/>
        <v>9</v>
      </c>
      <c r="I591">
        <f t="shared" si="94"/>
        <v>28</v>
      </c>
      <c r="J591">
        <f t="shared" si="95"/>
        <v>568</v>
      </c>
      <c r="K591">
        <f t="shared" si="96"/>
        <v>10</v>
      </c>
      <c r="L591">
        <f t="shared" si="97"/>
        <v>177303</v>
      </c>
      <c r="M591">
        <f t="shared" si="98"/>
        <v>56793</v>
      </c>
      <c r="N591">
        <f t="shared" si="99"/>
        <v>282096</v>
      </c>
      <c r="O591">
        <f>IF(B591="zagraniczny",K591+O590,O590)</f>
        <v>309</v>
      </c>
    </row>
    <row r="592" spans="1:15" x14ac:dyDescent="0.25">
      <c r="A592">
        <v>6709939</v>
      </c>
      <c r="B592" t="str">
        <f t="shared" si="90"/>
        <v>stacjonarny</v>
      </c>
      <c r="C592" s="1">
        <v>42926</v>
      </c>
      <c r="D592" s="2">
        <v>0.54692129629629627</v>
      </c>
      <c r="E592" s="2">
        <v>0.55000000000000004</v>
      </c>
      <c r="F592" s="2">
        <f t="shared" si="91"/>
        <v>3.0787037037037779E-3</v>
      </c>
      <c r="G592">
        <f t="shared" si="92"/>
        <v>0</v>
      </c>
      <c r="H592">
        <f t="shared" si="93"/>
        <v>4</v>
      </c>
      <c r="I592">
        <f t="shared" si="94"/>
        <v>26</v>
      </c>
      <c r="J592">
        <f t="shared" si="95"/>
        <v>266</v>
      </c>
      <c r="K592">
        <f t="shared" si="96"/>
        <v>5</v>
      </c>
      <c r="L592">
        <f t="shared" si="97"/>
        <v>177569</v>
      </c>
      <c r="M592">
        <f t="shared" si="98"/>
        <v>56793</v>
      </c>
      <c r="N592">
        <f t="shared" si="99"/>
        <v>282362</v>
      </c>
      <c r="O592">
        <f>IF(B592="zagraniczny",K592+O591,O591)</f>
        <v>309</v>
      </c>
    </row>
    <row r="593" spans="1:15" x14ac:dyDescent="0.25">
      <c r="A593">
        <v>8870498</v>
      </c>
      <c r="B593" t="str">
        <f t="shared" si="90"/>
        <v>stacjonarny</v>
      </c>
      <c r="C593" s="1">
        <v>42926</v>
      </c>
      <c r="D593" s="2">
        <v>0.55046296296296293</v>
      </c>
      <c r="E593" s="2">
        <v>0.55986111111111114</v>
      </c>
      <c r="F593" s="2">
        <f t="shared" si="91"/>
        <v>9.398148148148211E-3</v>
      </c>
      <c r="G593">
        <f t="shared" si="92"/>
        <v>0</v>
      </c>
      <c r="H593">
        <f t="shared" si="93"/>
        <v>13</v>
      </c>
      <c r="I593">
        <f t="shared" si="94"/>
        <v>32</v>
      </c>
      <c r="J593">
        <f t="shared" si="95"/>
        <v>812</v>
      </c>
      <c r="K593">
        <f t="shared" si="96"/>
        <v>14</v>
      </c>
      <c r="L593">
        <f t="shared" si="97"/>
        <v>178381</v>
      </c>
      <c r="M593">
        <f t="shared" si="98"/>
        <v>56793</v>
      </c>
      <c r="N593">
        <f t="shared" si="99"/>
        <v>283174</v>
      </c>
      <c r="O593">
        <f>IF(B593="zagraniczny",K593+O592,O592)</f>
        <v>309</v>
      </c>
    </row>
    <row r="594" spans="1:15" x14ac:dyDescent="0.25">
      <c r="A594">
        <v>2947889</v>
      </c>
      <c r="B594" t="str">
        <f t="shared" si="90"/>
        <v>stacjonarny</v>
      </c>
      <c r="C594" s="1">
        <v>42926</v>
      </c>
      <c r="D594" s="2">
        <v>0.55246527777777776</v>
      </c>
      <c r="E594" s="2">
        <v>0.56334490740740739</v>
      </c>
      <c r="F594" s="2">
        <f t="shared" si="91"/>
        <v>1.0879629629629628E-2</v>
      </c>
      <c r="G594">
        <f t="shared" si="92"/>
        <v>0</v>
      </c>
      <c r="H594">
        <f t="shared" si="93"/>
        <v>15</v>
      </c>
      <c r="I594">
        <f t="shared" si="94"/>
        <v>40</v>
      </c>
      <c r="J594">
        <f t="shared" si="95"/>
        <v>940</v>
      </c>
      <c r="K594">
        <f t="shared" si="96"/>
        <v>16</v>
      </c>
      <c r="L594">
        <f t="shared" si="97"/>
        <v>179321</v>
      </c>
      <c r="M594">
        <f t="shared" si="98"/>
        <v>56793</v>
      </c>
      <c r="N594">
        <f t="shared" si="99"/>
        <v>284114</v>
      </c>
      <c r="O594">
        <f>IF(B594="zagraniczny",K594+O593,O593)</f>
        <v>309</v>
      </c>
    </row>
    <row r="595" spans="1:15" x14ac:dyDescent="0.25">
      <c r="A595">
        <v>8270097</v>
      </c>
      <c r="B595" t="str">
        <f t="shared" si="90"/>
        <v>stacjonarny</v>
      </c>
      <c r="C595" s="1">
        <v>42926</v>
      </c>
      <c r="D595" s="2">
        <v>0.55650462962962965</v>
      </c>
      <c r="E595" s="2">
        <v>0.55850694444444449</v>
      </c>
      <c r="F595" s="2">
        <f t="shared" si="91"/>
        <v>2.0023148148148318E-3</v>
      </c>
      <c r="G595">
        <f t="shared" si="92"/>
        <v>0</v>
      </c>
      <c r="H595">
        <f t="shared" si="93"/>
        <v>2</v>
      </c>
      <c r="I595">
        <f t="shared" si="94"/>
        <v>53</v>
      </c>
      <c r="J595">
        <f t="shared" si="95"/>
        <v>173</v>
      </c>
      <c r="K595">
        <f t="shared" si="96"/>
        <v>3</v>
      </c>
      <c r="L595">
        <f t="shared" si="97"/>
        <v>179494</v>
      </c>
      <c r="M595">
        <f t="shared" si="98"/>
        <v>56793</v>
      </c>
      <c r="N595">
        <f t="shared" si="99"/>
        <v>284287</v>
      </c>
      <c r="O595">
        <f>IF(B595="zagraniczny",K595+O594,O594)</f>
        <v>309</v>
      </c>
    </row>
    <row r="596" spans="1:15" x14ac:dyDescent="0.25">
      <c r="A596">
        <v>8183468</v>
      </c>
      <c r="B596" t="str">
        <f t="shared" si="90"/>
        <v>stacjonarny</v>
      </c>
      <c r="C596" s="1">
        <v>42926</v>
      </c>
      <c r="D596" s="2">
        <v>0.55832175925925931</v>
      </c>
      <c r="E596" s="2">
        <v>0.56265046296296295</v>
      </c>
      <c r="F596" s="2">
        <f t="shared" si="91"/>
        <v>4.3287037037036402E-3</v>
      </c>
      <c r="G596">
        <f t="shared" si="92"/>
        <v>0</v>
      </c>
      <c r="H596">
        <f t="shared" si="93"/>
        <v>6</v>
      </c>
      <c r="I596">
        <f t="shared" si="94"/>
        <v>14</v>
      </c>
      <c r="J596">
        <f t="shared" si="95"/>
        <v>374</v>
      </c>
      <c r="K596">
        <f t="shared" si="96"/>
        <v>7</v>
      </c>
      <c r="L596">
        <f t="shared" si="97"/>
        <v>179868</v>
      </c>
      <c r="M596">
        <f t="shared" si="98"/>
        <v>56793</v>
      </c>
      <c r="N596">
        <f t="shared" si="99"/>
        <v>284661</v>
      </c>
      <c r="O596">
        <f>IF(B596="zagraniczny",K596+O595,O595)</f>
        <v>309</v>
      </c>
    </row>
    <row r="597" spans="1:15" x14ac:dyDescent="0.25">
      <c r="A597">
        <v>3263806</v>
      </c>
      <c r="B597" t="str">
        <f t="shared" si="90"/>
        <v>stacjonarny</v>
      </c>
      <c r="C597" s="1">
        <v>42926</v>
      </c>
      <c r="D597" s="2">
        <v>0.55864583333333329</v>
      </c>
      <c r="E597" s="2">
        <v>0.56383101851851847</v>
      </c>
      <c r="F597" s="2">
        <f t="shared" si="91"/>
        <v>5.1851851851851816E-3</v>
      </c>
      <c r="G597">
        <f t="shared" si="92"/>
        <v>0</v>
      </c>
      <c r="H597">
        <f t="shared" si="93"/>
        <v>7</v>
      </c>
      <c r="I597">
        <f t="shared" si="94"/>
        <v>28</v>
      </c>
      <c r="J597">
        <f t="shared" si="95"/>
        <v>448</v>
      </c>
      <c r="K597">
        <f t="shared" si="96"/>
        <v>8</v>
      </c>
      <c r="L597">
        <f t="shared" si="97"/>
        <v>180316</v>
      </c>
      <c r="M597">
        <f t="shared" si="98"/>
        <v>56793</v>
      </c>
      <c r="N597">
        <f t="shared" si="99"/>
        <v>285109</v>
      </c>
      <c r="O597">
        <f>IF(B597="zagraniczny",K597+O596,O596)</f>
        <v>309</v>
      </c>
    </row>
    <row r="598" spans="1:15" x14ac:dyDescent="0.25">
      <c r="A598">
        <v>7792980</v>
      </c>
      <c r="B598" t="str">
        <f t="shared" si="90"/>
        <v>stacjonarny</v>
      </c>
      <c r="C598" s="1">
        <v>42926</v>
      </c>
      <c r="D598" s="2">
        <v>0.56234953703703705</v>
      </c>
      <c r="E598" s="2">
        <v>0.57378472222222221</v>
      </c>
      <c r="F598" s="2">
        <f t="shared" si="91"/>
        <v>1.1435185185185159E-2</v>
      </c>
      <c r="G598">
        <f t="shared" si="92"/>
        <v>0</v>
      </c>
      <c r="H598">
        <f t="shared" si="93"/>
        <v>16</v>
      </c>
      <c r="I598">
        <f t="shared" si="94"/>
        <v>28</v>
      </c>
      <c r="J598">
        <f t="shared" si="95"/>
        <v>988</v>
      </c>
      <c r="K598">
        <f t="shared" si="96"/>
        <v>17</v>
      </c>
      <c r="L598">
        <f t="shared" si="97"/>
        <v>181304</v>
      </c>
      <c r="M598">
        <f t="shared" si="98"/>
        <v>56793</v>
      </c>
      <c r="N598">
        <f t="shared" si="99"/>
        <v>286097</v>
      </c>
      <c r="O598">
        <f>IF(B598="zagraniczny",K598+O597,O597)</f>
        <v>309</v>
      </c>
    </row>
    <row r="599" spans="1:15" x14ac:dyDescent="0.25">
      <c r="A599">
        <v>88929925</v>
      </c>
      <c r="B599" t="str">
        <f t="shared" si="90"/>
        <v>komorkowy</v>
      </c>
      <c r="C599" s="1">
        <v>42926</v>
      </c>
      <c r="D599" s="2">
        <v>0.56688657407407406</v>
      </c>
      <c r="E599" s="2">
        <v>0.57342592592592589</v>
      </c>
      <c r="F599" s="2">
        <f t="shared" si="91"/>
        <v>6.5393518518518379E-3</v>
      </c>
      <c r="G599">
        <f t="shared" si="92"/>
        <v>0</v>
      </c>
      <c r="H599">
        <f t="shared" si="93"/>
        <v>9</v>
      </c>
      <c r="I599">
        <f t="shared" si="94"/>
        <v>25</v>
      </c>
      <c r="J599">
        <f t="shared" si="95"/>
        <v>565</v>
      </c>
      <c r="K599">
        <f t="shared" si="96"/>
        <v>10</v>
      </c>
      <c r="L599">
        <f t="shared" si="97"/>
        <v>181304</v>
      </c>
      <c r="M599">
        <f t="shared" si="98"/>
        <v>57358</v>
      </c>
      <c r="N599">
        <f t="shared" si="99"/>
        <v>286662</v>
      </c>
      <c r="O599">
        <f>IF(B599="zagraniczny",K599+O598,O598)</f>
        <v>309</v>
      </c>
    </row>
    <row r="600" spans="1:15" x14ac:dyDescent="0.25">
      <c r="A600">
        <v>2478461</v>
      </c>
      <c r="B600" t="str">
        <f t="shared" si="90"/>
        <v>stacjonarny</v>
      </c>
      <c r="C600" s="1">
        <v>42926</v>
      </c>
      <c r="D600" s="2">
        <v>0.56980324074074074</v>
      </c>
      <c r="E600" s="2">
        <v>0.575775462962963</v>
      </c>
      <c r="F600" s="2">
        <f t="shared" si="91"/>
        <v>5.9722222222222676E-3</v>
      </c>
      <c r="G600">
        <f t="shared" si="92"/>
        <v>0</v>
      </c>
      <c r="H600">
        <f t="shared" si="93"/>
        <v>8</v>
      </c>
      <c r="I600">
        <f t="shared" si="94"/>
        <v>36</v>
      </c>
      <c r="J600">
        <f t="shared" si="95"/>
        <v>516</v>
      </c>
      <c r="K600">
        <f t="shared" si="96"/>
        <v>9</v>
      </c>
      <c r="L600">
        <f t="shared" si="97"/>
        <v>181820</v>
      </c>
      <c r="M600">
        <f t="shared" si="98"/>
        <v>57358</v>
      </c>
      <c r="N600">
        <f t="shared" si="99"/>
        <v>287178</v>
      </c>
      <c r="O600">
        <f>IF(B600="zagraniczny",K600+O599,O599)</f>
        <v>309</v>
      </c>
    </row>
    <row r="601" spans="1:15" x14ac:dyDescent="0.25">
      <c r="A601">
        <v>2838216</v>
      </c>
      <c r="B601" t="str">
        <f t="shared" si="90"/>
        <v>stacjonarny</v>
      </c>
      <c r="C601" s="1">
        <v>42926</v>
      </c>
      <c r="D601" s="2">
        <v>0.5755555555555556</v>
      </c>
      <c r="E601" s="2">
        <v>0.57737268518518514</v>
      </c>
      <c r="F601" s="2">
        <f t="shared" si="91"/>
        <v>1.8171296296295436E-3</v>
      </c>
      <c r="G601">
        <f t="shared" si="92"/>
        <v>0</v>
      </c>
      <c r="H601">
        <f t="shared" si="93"/>
        <v>2</v>
      </c>
      <c r="I601">
        <f t="shared" si="94"/>
        <v>37</v>
      </c>
      <c r="J601">
        <f t="shared" si="95"/>
        <v>157</v>
      </c>
      <c r="K601">
        <f t="shared" si="96"/>
        <v>3</v>
      </c>
      <c r="L601">
        <f t="shared" si="97"/>
        <v>181977</v>
      </c>
      <c r="M601">
        <f t="shared" si="98"/>
        <v>57358</v>
      </c>
      <c r="N601">
        <f t="shared" si="99"/>
        <v>287335</v>
      </c>
      <c r="O601">
        <f>IF(B601="zagraniczny",K601+O600,O600)</f>
        <v>309</v>
      </c>
    </row>
    <row r="602" spans="1:15" x14ac:dyDescent="0.25">
      <c r="A602">
        <v>4853153</v>
      </c>
      <c r="B602" t="str">
        <f t="shared" si="90"/>
        <v>stacjonarny</v>
      </c>
      <c r="C602" s="1">
        <v>42926</v>
      </c>
      <c r="D602" s="2">
        <v>0.5803935185185185</v>
      </c>
      <c r="E602" s="2">
        <v>0.58190972222222226</v>
      </c>
      <c r="F602" s="2">
        <f t="shared" si="91"/>
        <v>1.5162037037037557E-3</v>
      </c>
      <c r="G602">
        <f t="shared" si="92"/>
        <v>0</v>
      </c>
      <c r="H602">
        <f t="shared" si="93"/>
        <v>2</v>
      </c>
      <c r="I602">
        <f t="shared" si="94"/>
        <v>11</v>
      </c>
      <c r="J602">
        <f t="shared" si="95"/>
        <v>131</v>
      </c>
      <c r="K602">
        <f t="shared" si="96"/>
        <v>3</v>
      </c>
      <c r="L602">
        <f t="shared" si="97"/>
        <v>182108</v>
      </c>
      <c r="M602">
        <f t="shared" si="98"/>
        <v>57358</v>
      </c>
      <c r="N602">
        <f t="shared" si="99"/>
        <v>287466</v>
      </c>
      <c r="O602">
        <f>IF(B602="zagraniczny",K602+O601,O601)</f>
        <v>309</v>
      </c>
    </row>
    <row r="603" spans="1:15" x14ac:dyDescent="0.25">
      <c r="A603">
        <v>2985743</v>
      </c>
      <c r="B603" t="str">
        <f t="shared" si="90"/>
        <v>stacjonarny</v>
      </c>
      <c r="C603" s="1">
        <v>42926</v>
      </c>
      <c r="D603" s="2">
        <v>0.58189814814814811</v>
      </c>
      <c r="E603" s="2">
        <v>0.59070601851851856</v>
      </c>
      <c r="F603" s="2">
        <f t="shared" si="91"/>
        <v>8.807870370370452E-3</v>
      </c>
      <c r="G603">
        <f t="shared" si="92"/>
        <v>0</v>
      </c>
      <c r="H603">
        <f t="shared" si="93"/>
        <v>12</v>
      </c>
      <c r="I603">
        <f t="shared" si="94"/>
        <v>41</v>
      </c>
      <c r="J603">
        <f t="shared" si="95"/>
        <v>761</v>
      </c>
      <c r="K603">
        <f t="shared" si="96"/>
        <v>13</v>
      </c>
      <c r="L603">
        <f t="shared" si="97"/>
        <v>182869</v>
      </c>
      <c r="M603">
        <f t="shared" si="98"/>
        <v>57358</v>
      </c>
      <c r="N603">
        <f t="shared" si="99"/>
        <v>288227</v>
      </c>
      <c r="O603">
        <f>IF(B603="zagraniczny",K603+O602,O602)</f>
        <v>309</v>
      </c>
    </row>
    <row r="604" spans="1:15" x14ac:dyDescent="0.25">
      <c r="A604">
        <v>3434934</v>
      </c>
      <c r="B604" t="str">
        <f t="shared" si="90"/>
        <v>stacjonarny</v>
      </c>
      <c r="C604" s="1">
        <v>42926</v>
      </c>
      <c r="D604" s="2">
        <v>0.58254629629629628</v>
      </c>
      <c r="E604" s="2">
        <v>0.58601851851851849</v>
      </c>
      <c r="F604" s="2">
        <f t="shared" si="91"/>
        <v>3.4722222222222099E-3</v>
      </c>
      <c r="G604">
        <f t="shared" si="92"/>
        <v>0</v>
      </c>
      <c r="H604">
        <f t="shared" si="93"/>
        <v>5</v>
      </c>
      <c r="I604">
        <f t="shared" si="94"/>
        <v>0</v>
      </c>
      <c r="J604">
        <f t="shared" si="95"/>
        <v>300</v>
      </c>
      <c r="K604">
        <f t="shared" si="96"/>
        <v>5</v>
      </c>
      <c r="L604">
        <f t="shared" si="97"/>
        <v>183169</v>
      </c>
      <c r="M604">
        <f t="shared" si="98"/>
        <v>57358</v>
      </c>
      <c r="N604">
        <f t="shared" si="99"/>
        <v>288527</v>
      </c>
      <c r="O604">
        <f>IF(B604="zagraniczny",K604+O603,O603)</f>
        <v>309</v>
      </c>
    </row>
    <row r="605" spans="1:15" x14ac:dyDescent="0.25">
      <c r="A605">
        <v>97596112</v>
      </c>
      <c r="B605" t="str">
        <f t="shared" si="90"/>
        <v>komorkowy</v>
      </c>
      <c r="C605" s="1">
        <v>42926</v>
      </c>
      <c r="D605" s="2">
        <v>0.58351851851851855</v>
      </c>
      <c r="E605" s="2">
        <v>0.59368055555555554</v>
      </c>
      <c r="F605" s="2">
        <f t="shared" si="91"/>
        <v>1.0162037037036997E-2</v>
      </c>
      <c r="G605">
        <f t="shared" si="92"/>
        <v>0</v>
      </c>
      <c r="H605">
        <f t="shared" si="93"/>
        <v>14</v>
      </c>
      <c r="I605">
        <f t="shared" si="94"/>
        <v>38</v>
      </c>
      <c r="J605">
        <f t="shared" si="95"/>
        <v>878</v>
      </c>
      <c r="K605">
        <f t="shared" si="96"/>
        <v>15</v>
      </c>
      <c r="L605">
        <f t="shared" si="97"/>
        <v>183169</v>
      </c>
      <c r="M605">
        <f t="shared" si="98"/>
        <v>58236</v>
      </c>
      <c r="N605">
        <f t="shared" si="99"/>
        <v>289405</v>
      </c>
      <c r="O605">
        <f>IF(B605="zagraniczny",K605+O604,O604)</f>
        <v>309</v>
      </c>
    </row>
    <row r="606" spans="1:15" x14ac:dyDescent="0.25">
      <c r="A606">
        <v>1247125</v>
      </c>
      <c r="B606" t="str">
        <f t="shared" si="90"/>
        <v>stacjonarny</v>
      </c>
      <c r="C606" s="1">
        <v>42926</v>
      </c>
      <c r="D606" s="2">
        <v>0.58575231481481482</v>
      </c>
      <c r="E606" s="2">
        <v>0.5935300925925926</v>
      </c>
      <c r="F606" s="2">
        <f t="shared" si="91"/>
        <v>7.7777777777777724E-3</v>
      </c>
      <c r="G606">
        <f t="shared" si="92"/>
        <v>0</v>
      </c>
      <c r="H606">
        <f t="shared" si="93"/>
        <v>11</v>
      </c>
      <c r="I606">
        <f t="shared" si="94"/>
        <v>12</v>
      </c>
      <c r="J606">
        <f t="shared" si="95"/>
        <v>672</v>
      </c>
      <c r="K606">
        <f t="shared" si="96"/>
        <v>12</v>
      </c>
      <c r="L606">
        <f t="shared" si="97"/>
        <v>183841</v>
      </c>
      <c r="M606">
        <f t="shared" si="98"/>
        <v>58236</v>
      </c>
      <c r="N606">
        <f t="shared" si="99"/>
        <v>290077</v>
      </c>
      <c r="O606">
        <f>IF(B606="zagraniczny",K606+O605,O605)</f>
        <v>309</v>
      </c>
    </row>
    <row r="607" spans="1:15" x14ac:dyDescent="0.25">
      <c r="A607">
        <v>6982652</v>
      </c>
      <c r="B607" t="str">
        <f t="shared" si="90"/>
        <v>stacjonarny</v>
      </c>
      <c r="C607" s="1">
        <v>42926</v>
      </c>
      <c r="D607" s="2">
        <v>0.58677083333333335</v>
      </c>
      <c r="E607" s="2">
        <v>0.58759259259259256</v>
      </c>
      <c r="F607" s="2">
        <f t="shared" si="91"/>
        <v>8.2175925925920268E-4</v>
      </c>
      <c r="G607">
        <f t="shared" si="92"/>
        <v>0</v>
      </c>
      <c r="H607">
        <f t="shared" si="93"/>
        <v>1</v>
      </c>
      <c r="I607">
        <f t="shared" si="94"/>
        <v>11</v>
      </c>
      <c r="J607">
        <f t="shared" si="95"/>
        <v>71</v>
      </c>
      <c r="K607">
        <f t="shared" si="96"/>
        <v>2</v>
      </c>
      <c r="L607">
        <f t="shared" si="97"/>
        <v>183912</v>
      </c>
      <c r="M607">
        <f t="shared" si="98"/>
        <v>58236</v>
      </c>
      <c r="N607">
        <f t="shared" si="99"/>
        <v>290148</v>
      </c>
      <c r="O607">
        <f>IF(B607="zagraniczny",K607+O606,O606)</f>
        <v>309</v>
      </c>
    </row>
    <row r="608" spans="1:15" x14ac:dyDescent="0.25">
      <c r="A608">
        <v>11209967</v>
      </c>
      <c r="B608" t="str">
        <f t="shared" si="90"/>
        <v>komorkowy</v>
      </c>
      <c r="C608" s="1">
        <v>42926</v>
      </c>
      <c r="D608" s="2">
        <v>0.58877314814814818</v>
      </c>
      <c r="E608" s="2">
        <v>0.59027777777777779</v>
      </c>
      <c r="F608" s="2">
        <f t="shared" si="91"/>
        <v>1.5046296296296058E-3</v>
      </c>
      <c r="G608">
        <f t="shared" si="92"/>
        <v>0</v>
      </c>
      <c r="H608">
        <f t="shared" si="93"/>
        <v>2</v>
      </c>
      <c r="I608">
        <f t="shared" si="94"/>
        <v>10</v>
      </c>
      <c r="J608">
        <f t="shared" si="95"/>
        <v>130</v>
      </c>
      <c r="K608">
        <f t="shared" si="96"/>
        <v>3</v>
      </c>
      <c r="L608">
        <f t="shared" si="97"/>
        <v>183912</v>
      </c>
      <c r="M608">
        <f t="shared" si="98"/>
        <v>58366</v>
      </c>
      <c r="N608">
        <f t="shared" si="99"/>
        <v>290278</v>
      </c>
      <c r="O608">
        <f>IF(B608="zagraniczny",K608+O607,O607)</f>
        <v>309</v>
      </c>
    </row>
    <row r="609" spans="1:15" x14ac:dyDescent="0.25">
      <c r="A609">
        <v>6251788</v>
      </c>
      <c r="B609" t="str">
        <f t="shared" si="90"/>
        <v>stacjonarny</v>
      </c>
      <c r="C609" s="1">
        <v>42926</v>
      </c>
      <c r="D609" s="2">
        <v>0.58910879629629631</v>
      </c>
      <c r="E609" s="2">
        <v>0.59431712962962968</v>
      </c>
      <c r="F609" s="2">
        <f t="shared" si="91"/>
        <v>5.2083333333333703E-3</v>
      </c>
      <c r="G609">
        <f t="shared" si="92"/>
        <v>0</v>
      </c>
      <c r="H609">
        <f t="shared" si="93"/>
        <v>7</v>
      </c>
      <c r="I609">
        <f t="shared" si="94"/>
        <v>30</v>
      </c>
      <c r="J609">
        <f t="shared" si="95"/>
        <v>450</v>
      </c>
      <c r="K609">
        <f t="shared" si="96"/>
        <v>8</v>
      </c>
      <c r="L609">
        <f t="shared" si="97"/>
        <v>184362</v>
      </c>
      <c r="M609">
        <f t="shared" si="98"/>
        <v>58366</v>
      </c>
      <c r="N609">
        <f t="shared" si="99"/>
        <v>290728</v>
      </c>
      <c r="O609">
        <f>IF(B609="zagraniczny",K609+O608,O608)</f>
        <v>309</v>
      </c>
    </row>
    <row r="610" spans="1:15" x14ac:dyDescent="0.25">
      <c r="A610">
        <v>8679036</v>
      </c>
      <c r="B610" t="str">
        <f t="shared" si="90"/>
        <v>stacjonarny</v>
      </c>
      <c r="C610" s="1">
        <v>42926</v>
      </c>
      <c r="D610" s="2">
        <v>0.58976851851851853</v>
      </c>
      <c r="E610" s="2">
        <v>0.60074074074074069</v>
      </c>
      <c r="F610" s="2">
        <f t="shared" si="91"/>
        <v>1.0972222222222161E-2</v>
      </c>
      <c r="G610">
        <f t="shared" si="92"/>
        <v>0</v>
      </c>
      <c r="H610">
        <f t="shared" si="93"/>
        <v>15</v>
      </c>
      <c r="I610">
        <f t="shared" si="94"/>
        <v>48</v>
      </c>
      <c r="J610">
        <f t="shared" si="95"/>
        <v>948</v>
      </c>
      <c r="K610">
        <f t="shared" si="96"/>
        <v>16</v>
      </c>
      <c r="L610">
        <f t="shared" si="97"/>
        <v>185310</v>
      </c>
      <c r="M610">
        <f t="shared" si="98"/>
        <v>58366</v>
      </c>
      <c r="N610">
        <f t="shared" si="99"/>
        <v>291676</v>
      </c>
      <c r="O610">
        <f>IF(B610="zagraniczny",K610+O609,O609)</f>
        <v>309</v>
      </c>
    </row>
    <row r="611" spans="1:15" x14ac:dyDescent="0.25">
      <c r="A611">
        <v>1288637</v>
      </c>
      <c r="B611" t="str">
        <f t="shared" si="90"/>
        <v>stacjonarny</v>
      </c>
      <c r="C611" s="1">
        <v>42926</v>
      </c>
      <c r="D611" s="2">
        <v>0.59277777777777774</v>
      </c>
      <c r="E611" s="2">
        <v>0.59365740740740736</v>
      </c>
      <c r="F611" s="2">
        <f t="shared" si="91"/>
        <v>8.796296296296191E-4</v>
      </c>
      <c r="G611">
        <f t="shared" si="92"/>
        <v>0</v>
      </c>
      <c r="H611">
        <f t="shared" si="93"/>
        <v>1</v>
      </c>
      <c r="I611">
        <f t="shared" si="94"/>
        <v>16</v>
      </c>
      <c r="J611">
        <f t="shared" si="95"/>
        <v>76</v>
      </c>
      <c r="K611">
        <f t="shared" si="96"/>
        <v>2</v>
      </c>
      <c r="L611">
        <f t="shared" si="97"/>
        <v>185386</v>
      </c>
      <c r="M611">
        <f t="shared" si="98"/>
        <v>58366</v>
      </c>
      <c r="N611">
        <f t="shared" si="99"/>
        <v>291752</v>
      </c>
      <c r="O611">
        <f>IF(B611="zagraniczny",K611+O610,O610)</f>
        <v>309</v>
      </c>
    </row>
    <row r="612" spans="1:15" x14ac:dyDescent="0.25">
      <c r="A612">
        <v>4825302</v>
      </c>
      <c r="B612" t="str">
        <f t="shared" si="90"/>
        <v>stacjonarny</v>
      </c>
      <c r="C612" s="1">
        <v>42926</v>
      </c>
      <c r="D612" s="2">
        <v>0.59670138888888891</v>
      </c>
      <c r="E612" s="2">
        <v>0.59701388888888884</v>
      </c>
      <c r="F612" s="2">
        <f t="shared" si="91"/>
        <v>3.1249999999993783E-4</v>
      </c>
      <c r="G612">
        <f t="shared" si="92"/>
        <v>0</v>
      </c>
      <c r="H612">
        <f t="shared" si="93"/>
        <v>0</v>
      </c>
      <c r="I612">
        <f t="shared" si="94"/>
        <v>27</v>
      </c>
      <c r="J612">
        <f t="shared" si="95"/>
        <v>27</v>
      </c>
      <c r="K612">
        <f t="shared" si="96"/>
        <v>1</v>
      </c>
      <c r="L612">
        <f t="shared" si="97"/>
        <v>185413</v>
      </c>
      <c r="M612">
        <f t="shared" si="98"/>
        <v>58366</v>
      </c>
      <c r="N612">
        <f t="shared" si="99"/>
        <v>291779</v>
      </c>
      <c r="O612">
        <f>IF(B612="zagraniczny",K612+O611,O611)</f>
        <v>309</v>
      </c>
    </row>
    <row r="613" spans="1:15" x14ac:dyDescent="0.25">
      <c r="A613">
        <v>5349562</v>
      </c>
      <c r="B613" t="str">
        <f t="shared" si="90"/>
        <v>stacjonarny</v>
      </c>
      <c r="C613" s="1">
        <v>42926</v>
      </c>
      <c r="D613" s="2">
        <v>0.60041666666666671</v>
      </c>
      <c r="E613" s="2">
        <v>0.6095949074074074</v>
      </c>
      <c r="F613" s="2">
        <f t="shared" si="91"/>
        <v>9.1782407407406952E-3</v>
      </c>
      <c r="G613">
        <f t="shared" si="92"/>
        <v>0</v>
      </c>
      <c r="H613">
        <f t="shared" si="93"/>
        <v>13</v>
      </c>
      <c r="I613">
        <f t="shared" si="94"/>
        <v>13</v>
      </c>
      <c r="J613">
        <f t="shared" si="95"/>
        <v>793</v>
      </c>
      <c r="K613">
        <f t="shared" si="96"/>
        <v>14</v>
      </c>
      <c r="L613">
        <f t="shared" si="97"/>
        <v>186206</v>
      </c>
      <c r="M613">
        <f t="shared" si="98"/>
        <v>58366</v>
      </c>
      <c r="N613">
        <f t="shared" si="99"/>
        <v>292572</v>
      </c>
      <c r="O613">
        <f>IF(B613="zagraniczny",K613+O612,O612)</f>
        <v>309</v>
      </c>
    </row>
    <row r="614" spans="1:15" x14ac:dyDescent="0.25">
      <c r="A614">
        <v>5893512</v>
      </c>
      <c r="B614" t="str">
        <f t="shared" si="90"/>
        <v>stacjonarny</v>
      </c>
      <c r="C614" s="1">
        <v>42926</v>
      </c>
      <c r="D614" s="2">
        <v>0.60517361111111112</v>
      </c>
      <c r="E614" s="2">
        <v>0.61063657407407412</v>
      </c>
      <c r="F614" s="2">
        <f t="shared" si="91"/>
        <v>5.4629629629630028E-3</v>
      </c>
      <c r="G614">
        <f t="shared" si="92"/>
        <v>0</v>
      </c>
      <c r="H614">
        <f t="shared" si="93"/>
        <v>7</v>
      </c>
      <c r="I614">
        <f t="shared" si="94"/>
        <v>52</v>
      </c>
      <c r="J614">
        <f t="shared" si="95"/>
        <v>472</v>
      </c>
      <c r="K614">
        <f t="shared" si="96"/>
        <v>8</v>
      </c>
      <c r="L614">
        <f t="shared" si="97"/>
        <v>186678</v>
      </c>
      <c r="M614">
        <f t="shared" si="98"/>
        <v>58366</v>
      </c>
      <c r="N614">
        <f t="shared" si="99"/>
        <v>293044</v>
      </c>
      <c r="O614">
        <f>IF(B614="zagraniczny",K614+O613,O613)</f>
        <v>309</v>
      </c>
    </row>
    <row r="615" spans="1:15" x14ac:dyDescent="0.25">
      <c r="A615">
        <v>7138804596</v>
      </c>
      <c r="B615" t="str">
        <f t="shared" si="90"/>
        <v>zagraniczny</v>
      </c>
      <c r="C615" s="1">
        <v>42926</v>
      </c>
      <c r="D615" s="2">
        <v>0.60578703703703707</v>
      </c>
      <c r="E615" s="2">
        <v>0.61459490740740741</v>
      </c>
      <c r="F615" s="2">
        <f t="shared" si="91"/>
        <v>8.8078703703703409E-3</v>
      </c>
      <c r="G615">
        <f t="shared" si="92"/>
        <v>0</v>
      </c>
      <c r="H615">
        <f t="shared" si="93"/>
        <v>12</v>
      </c>
      <c r="I615">
        <f t="shared" si="94"/>
        <v>41</v>
      </c>
      <c r="J615">
        <f t="shared" si="95"/>
        <v>761</v>
      </c>
      <c r="K615">
        <f t="shared" si="96"/>
        <v>13</v>
      </c>
      <c r="L615">
        <f t="shared" si="97"/>
        <v>186678</v>
      </c>
      <c r="M615">
        <f t="shared" si="98"/>
        <v>58366</v>
      </c>
      <c r="N615">
        <f t="shared" si="99"/>
        <v>293044</v>
      </c>
      <c r="O615">
        <f>IF(B615="zagraniczny",K615+O614,O614)</f>
        <v>322</v>
      </c>
    </row>
    <row r="616" spans="1:15" x14ac:dyDescent="0.25">
      <c r="A616">
        <v>6468376</v>
      </c>
      <c r="B616" t="str">
        <f t="shared" si="90"/>
        <v>stacjonarny</v>
      </c>
      <c r="C616" s="1">
        <v>42926</v>
      </c>
      <c r="D616" s="2">
        <v>0.61140046296296291</v>
      </c>
      <c r="E616" s="2">
        <v>0.61952546296296296</v>
      </c>
      <c r="F616" s="2">
        <f t="shared" si="91"/>
        <v>8.1250000000000488E-3</v>
      </c>
      <c r="G616">
        <f t="shared" si="92"/>
        <v>0</v>
      </c>
      <c r="H616">
        <f t="shared" si="93"/>
        <v>11</v>
      </c>
      <c r="I616">
        <f t="shared" si="94"/>
        <v>42</v>
      </c>
      <c r="J616">
        <f t="shared" si="95"/>
        <v>702</v>
      </c>
      <c r="K616">
        <f t="shared" si="96"/>
        <v>12</v>
      </c>
      <c r="L616">
        <f t="shared" si="97"/>
        <v>187380</v>
      </c>
      <c r="M616">
        <f t="shared" si="98"/>
        <v>58366</v>
      </c>
      <c r="N616">
        <f t="shared" si="99"/>
        <v>293746</v>
      </c>
      <c r="O616">
        <f>IF(B616="zagraniczny",K616+O615,O615)</f>
        <v>322</v>
      </c>
    </row>
    <row r="617" spans="1:15" x14ac:dyDescent="0.25">
      <c r="A617">
        <v>5076649</v>
      </c>
      <c r="B617" t="str">
        <f t="shared" si="90"/>
        <v>stacjonarny</v>
      </c>
      <c r="C617" s="1">
        <v>42926</v>
      </c>
      <c r="D617" s="2">
        <v>0.61699074074074078</v>
      </c>
      <c r="E617" s="2">
        <v>0.62163194444444447</v>
      </c>
      <c r="F617" s="2">
        <f t="shared" si="91"/>
        <v>4.6412037037036891E-3</v>
      </c>
      <c r="G617">
        <f t="shared" si="92"/>
        <v>0</v>
      </c>
      <c r="H617">
        <f t="shared" si="93"/>
        <v>6</v>
      </c>
      <c r="I617">
        <f t="shared" si="94"/>
        <v>41</v>
      </c>
      <c r="J617">
        <f t="shared" si="95"/>
        <v>401</v>
      </c>
      <c r="K617">
        <f t="shared" si="96"/>
        <v>7</v>
      </c>
      <c r="L617">
        <f t="shared" si="97"/>
        <v>187781</v>
      </c>
      <c r="M617">
        <f t="shared" si="98"/>
        <v>58366</v>
      </c>
      <c r="N617">
        <f t="shared" si="99"/>
        <v>294147</v>
      </c>
      <c r="O617">
        <f>IF(B617="zagraniczny",K617+O616,O616)</f>
        <v>322</v>
      </c>
    </row>
    <row r="618" spans="1:15" x14ac:dyDescent="0.25">
      <c r="A618">
        <v>3494192</v>
      </c>
      <c r="B618" t="str">
        <f t="shared" si="90"/>
        <v>stacjonarny</v>
      </c>
      <c r="C618" s="1">
        <v>42926</v>
      </c>
      <c r="D618" s="2">
        <v>0.62216435185185182</v>
      </c>
      <c r="E618" s="2">
        <v>0.62291666666666667</v>
      </c>
      <c r="F618" s="2">
        <f t="shared" si="91"/>
        <v>7.523148148148584E-4</v>
      </c>
      <c r="G618">
        <f t="shared" si="92"/>
        <v>0</v>
      </c>
      <c r="H618">
        <f t="shared" si="93"/>
        <v>1</v>
      </c>
      <c r="I618">
        <f t="shared" si="94"/>
        <v>5</v>
      </c>
      <c r="J618">
        <f t="shared" si="95"/>
        <v>65</v>
      </c>
      <c r="K618">
        <f t="shared" si="96"/>
        <v>2</v>
      </c>
      <c r="L618">
        <f t="shared" si="97"/>
        <v>187846</v>
      </c>
      <c r="M618">
        <f t="shared" si="98"/>
        <v>58366</v>
      </c>
      <c r="N618">
        <f t="shared" si="99"/>
        <v>294212</v>
      </c>
      <c r="O618">
        <f>IF(B618="zagraniczny",K618+O617,O617)</f>
        <v>322</v>
      </c>
    </row>
    <row r="619" spans="1:15" x14ac:dyDescent="0.25">
      <c r="A619">
        <v>8150086</v>
      </c>
      <c r="B619" t="str">
        <f t="shared" si="90"/>
        <v>stacjonarny</v>
      </c>
      <c r="C619" s="1">
        <v>42926</v>
      </c>
      <c r="D619" s="2">
        <v>0.6272685185185185</v>
      </c>
      <c r="E619" s="2">
        <v>0.63475694444444442</v>
      </c>
      <c r="F619" s="2">
        <f t="shared" si="91"/>
        <v>7.4884259259259123E-3</v>
      </c>
      <c r="G619">
        <f t="shared" si="92"/>
        <v>0</v>
      </c>
      <c r="H619">
        <f t="shared" si="93"/>
        <v>10</v>
      </c>
      <c r="I619">
        <f t="shared" si="94"/>
        <v>47</v>
      </c>
      <c r="J619">
        <f t="shared" si="95"/>
        <v>647</v>
      </c>
      <c r="K619">
        <f t="shared" si="96"/>
        <v>11</v>
      </c>
      <c r="L619">
        <f t="shared" si="97"/>
        <v>188493</v>
      </c>
      <c r="M619">
        <f t="shared" si="98"/>
        <v>58366</v>
      </c>
      <c r="N619">
        <f t="shared" si="99"/>
        <v>294859</v>
      </c>
      <c r="O619">
        <f>IF(B619="zagraniczny",K619+O618,O618)</f>
        <v>322</v>
      </c>
    </row>
    <row r="620" spans="1:15" x14ac:dyDescent="0.25">
      <c r="A620">
        <v>3934931</v>
      </c>
      <c r="B620" t="str">
        <f t="shared" si="90"/>
        <v>stacjonarny</v>
      </c>
      <c r="C620" s="1">
        <v>42927</v>
      </c>
      <c r="D620" s="2">
        <v>0.3349537037037037</v>
      </c>
      <c r="E620" s="2">
        <v>0.3379861111111111</v>
      </c>
      <c r="F620" s="2">
        <f t="shared" si="91"/>
        <v>3.0324074074074003E-3</v>
      </c>
      <c r="G620">
        <f t="shared" si="92"/>
        <v>0</v>
      </c>
      <c r="H620">
        <f t="shared" si="93"/>
        <v>4</v>
      </c>
      <c r="I620">
        <f t="shared" si="94"/>
        <v>22</v>
      </c>
      <c r="J620">
        <f t="shared" si="95"/>
        <v>262</v>
      </c>
      <c r="K620">
        <f t="shared" si="96"/>
        <v>5</v>
      </c>
      <c r="L620">
        <f t="shared" si="97"/>
        <v>188755</v>
      </c>
      <c r="M620">
        <f t="shared" si="98"/>
        <v>58366</v>
      </c>
      <c r="N620">
        <f t="shared" si="99"/>
        <v>295121</v>
      </c>
      <c r="O620">
        <f>IF(B620="zagraniczny",K620+O619,O619)</f>
        <v>322</v>
      </c>
    </row>
    <row r="621" spans="1:15" x14ac:dyDescent="0.25">
      <c r="A621">
        <v>2111996</v>
      </c>
      <c r="B621" t="str">
        <f t="shared" si="90"/>
        <v>stacjonarny</v>
      </c>
      <c r="C621" s="1">
        <v>42927</v>
      </c>
      <c r="D621" s="2">
        <v>0.33706018518518521</v>
      </c>
      <c r="E621" s="2">
        <v>0.33875</v>
      </c>
      <c r="F621" s="2">
        <f t="shared" si="91"/>
        <v>1.6898148148147829E-3</v>
      </c>
      <c r="G621">
        <f t="shared" si="92"/>
        <v>0</v>
      </c>
      <c r="H621">
        <f t="shared" si="93"/>
        <v>2</v>
      </c>
      <c r="I621">
        <f t="shared" si="94"/>
        <v>26</v>
      </c>
      <c r="J621">
        <f t="shared" si="95"/>
        <v>146</v>
      </c>
      <c r="K621">
        <f t="shared" si="96"/>
        <v>3</v>
      </c>
      <c r="L621">
        <f t="shared" si="97"/>
        <v>188901</v>
      </c>
      <c r="M621">
        <f t="shared" si="98"/>
        <v>58366</v>
      </c>
      <c r="N621">
        <f t="shared" si="99"/>
        <v>295267</v>
      </c>
      <c r="O621">
        <f>IF(B621="zagraniczny",K621+O620,O620)</f>
        <v>322</v>
      </c>
    </row>
    <row r="622" spans="1:15" x14ac:dyDescent="0.25">
      <c r="A622">
        <v>6484436</v>
      </c>
      <c r="B622" t="str">
        <f t="shared" si="90"/>
        <v>stacjonarny</v>
      </c>
      <c r="C622" s="1">
        <v>42927</v>
      </c>
      <c r="D622" s="2">
        <v>0.34006944444444442</v>
      </c>
      <c r="E622" s="2">
        <v>0.3427546296296296</v>
      </c>
      <c r="F622" s="2">
        <f t="shared" si="91"/>
        <v>2.6851851851851793E-3</v>
      </c>
      <c r="G622">
        <f t="shared" si="92"/>
        <v>0</v>
      </c>
      <c r="H622">
        <f t="shared" si="93"/>
        <v>3</v>
      </c>
      <c r="I622">
        <f t="shared" si="94"/>
        <v>52</v>
      </c>
      <c r="J622">
        <f t="shared" si="95"/>
        <v>232</v>
      </c>
      <c r="K622">
        <f t="shared" si="96"/>
        <v>4</v>
      </c>
      <c r="L622">
        <f t="shared" si="97"/>
        <v>189133</v>
      </c>
      <c r="M622">
        <f t="shared" si="98"/>
        <v>58366</v>
      </c>
      <c r="N622">
        <f t="shared" si="99"/>
        <v>295499</v>
      </c>
      <c r="O622">
        <f>IF(B622="zagraniczny",K622+O621,O621)</f>
        <v>322</v>
      </c>
    </row>
    <row r="623" spans="1:15" x14ac:dyDescent="0.25">
      <c r="A623">
        <v>97646706</v>
      </c>
      <c r="B623" t="str">
        <f t="shared" si="90"/>
        <v>komorkowy</v>
      </c>
      <c r="C623" s="1">
        <v>42927</v>
      </c>
      <c r="D623" s="2">
        <v>0.34304398148148146</v>
      </c>
      <c r="E623" s="2">
        <v>0.34310185185185182</v>
      </c>
      <c r="F623" s="2">
        <f t="shared" si="91"/>
        <v>5.7870370370360913E-5</v>
      </c>
      <c r="G623">
        <f t="shared" si="92"/>
        <v>0</v>
      </c>
      <c r="H623">
        <f t="shared" si="93"/>
        <v>0</v>
      </c>
      <c r="I623">
        <f t="shared" si="94"/>
        <v>5</v>
      </c>
      <c r="J623">
        <f t="shared" si="95"/>
        <v>5</v>
      </c>
      <c r="K623">
        <f t="shared" si="96"/>
        <v>1</v>
      </c>
      <c r="L623">
        <f t="shared" si="97"/>
        <v>189133</v>
      </c>
      <c r="M623">
        <f t="shared" si="98"/>
        <v>58371</v>
      </c>
      <c r="N623">
        <f t="shared" si="99"/>
        <v>295504</v>
      </c>
      <c r="O623">
        <f>IF(B623="zagraniczny",K623+O622,O622)</f>
        <v>322</v>
      </c>
    </row>
    <row r="624" spans="1:15" x14ac:dyDescent="0.25">
      <c r="A624">
        <v>9932676</v>
      </c>
      <c r="B624" t="str">
        <f t="shared" si="90"/>
        <v>stacjonarny</v>
      </c>
      <c r="C624" s="1">
        <v>42927</v>
      </c>
      <c r="D624" s="2">
        <v>0.34778935185185184</v>
      </c>
      <c r="E624" s="2">
        <v>0.35474537037037035</v>
      </c>
      <c r="F624" s="2">
        <f t="shared" si="91"/>
        <v>6.9560185185185142E-3</v>
      </c>
      <c r="G624">
        <f t="shared" si="92"/>
        <v>0</v>
      </c>
      <c r="H624">
        <f t="shared" si="93"/>
        <v>10</v>
      </c>
      <c r="I624">
        <f t="shared" si="94"/>
        <v>1</v>
      </c>
      <c r="J624">
        <f t="shared" si="95"/>
        <v>601</v>
      </c>
      <c r="K624">
        <f t="shared" si="96"/>
        <v>11</v>
      </c>
      <c r="L624">
        <f t="shared" si="97"/>
        <v>189734</v>
      </c>
      <c r="M624">
        <f t="shared" si="98"/>
        <v>58371</v>
      </c>
      <c r="N624">
        <f t="shared" si="99"/>
        <v>296105</v>
      </c>
      <c r="O624">
        <f>IF(B624="zagraniczny",K624+O623,O623)</f>
        <v>322</v>
      </c>
    </row>
    <row r="625" spans="1:15" x14ac:dyDescent="0.25">
      <c r="A625">
        <v>6062869</v>
      </c>
      <c r="B625" t="str">
        <f t="shared" si="90"/>
        <v>stacjonarny</v>
      </c>
      <c r="C625" s="1">
        <v>42927</v>
      </c>
      <c r="D625" s="2">
        <v>0.3513425925925926</v>
      </c>
      <c r="E625" s="2">
        <v>0.35505787037037034</v>
      </c>
      <c r="F625" s="2">
        <f t="shared" si="91"/>
        <v>3.7152777777777479E-3</v>
      </c>
      <c r="G625">
        <f t="shared" si="92"/>
        <v>0</v>
      </c>
      <c r="H625">
        <f t="shared" si="93"/>
        <v>5</v>
      </c>
      <c r="I625">
        <f t="shared" si="94"/>
        <v>21</v>
      </c>
      <c r="J625">
        <f t="shared" si="95"/>
        <v>321</v>
      </c>
      <c r="K625">
        <f t="shared" si="96"/>
        <v>6</v>
      </c>
      <c r="L625">
        <f t="shared" si="97"/>
        <v>190055</v>
      </c>
      <c r="M625">
        <f t="shared" si="98"/>
        <v>58371</v>
      </c>
      <c r="N625">
        <f t="shared" si="99"/>
        <v>296426</v>
      </c>
      <c r="O625">
        <f>IF(B625="zagraniczny",K625+O624,O624)</f>
        <v>322</v>
      </c>
    </row>
    <row r="626" spans="1:15" x14ac:dyDescent="0.25">
      <c r="A626">
        <v>2828759</v>
      </c>
      <c r="B626" t="str">
        <f t="shared" si="90"/>
        <v>stacjonarny</v>
      </c>
      <c r="C626" s="1">
        <v>42927</v>
      </c>
      <c r="D626" s="2">
        <v>0.35575231481481484</v>
      </c>
      <c r="E626" s="2">
        <v>0.35851851851851851</v>
      </c>
      <c r="F626" s="2">
        <f t="shared" si="91"/>
        <v>2.7662037037036735E-3</v>
      </c>
      <c r="G626">
        <f t="shared" si="92"/>
        <v>0</v>
      </c>
      <c r="H626">
        <f t="shared" si="93"/>
        <v>3</v>
      </c>
      <c r="I626">
        <f t="shared" si="94"/>
        <v>59</v>
      </c>
      <c r="J626">
        <f t="shared" si="95"/>
        <v>239</v>
      </c>
      <c r="K626">
        <f t="shared" si="96"/>
        <v>4</v>
      </c>
      <c r="L626">
        <f t="shared" si="97"/>
        <v>190294</v>
      </c>
      <c r="M626">
        <f t="shared" si="98"/>
        <v>58371</v>
      </c>
      <c r="N626">
        <f t="shared" si="99"/>
        <v>296665</v>
      </c>
      <c r="O626">
        <f>IF(B626="zagraniczny",K626+O625,O625)</f>
        <v>322</v>
      </c>
    </row>
    <row r="627" spans="1:15" x14ac:dyDescent="0.25">
      <c r="A627">
        <v>7215284</v>
      </c>
      <c r="B627" t="str">
        <f t="shared" si="90"/>
        <v>stacjonarny</v>
      </c>
      <c r="C627" s="1">
        <v>42927</v>
      </c>
      <c r="D627" s="2">
        <v>0.3596759259259259</v>
      </c>
      <c r="E627" s="2">
        <v>0.36363425925925924</v>
      </c>
      <c r="F627" s="2">
        <f t="shared" si="91"/>
        <v>3.9583333333333415E-3</v>
      </c>
      <c r="G627">
        <f t="shared" si="92"/>
        <v>0</v>
      </c>
      <c r="H627">
        <f t="shared" si="93"/>
        <v>5</v>
      </c>
      <c r="I627">
        <f t="shared" si="94"/>
        <v>42</v>
      </c>
      <c r="J627">
        <f t="shared" si="95"/>
        <v>342</v>
      </c>
      <c r="K627">
        <f t="shared" si="96"/>
        <v>6</v>
      </c>
      <c r="L627">
        <f t="shared" si="97"/>
        <v>190636</v>
      </c>
      <c r="M627">
        <f t="shared" si="98"/>
        <v>58371</v>
      </c>
      <c r="N627">
        <f t="shared" si="99"/>
        <v>297007</v>
      </c>
      <c r="O627">
        <f>IF(B627="zagraniczny",K627+O626,O626)</f>
        <v>322</v>
      </c>
    </row>
    <row r="628" spans="1:15" x14ac:dyDescent="0.25">
      <c r="A628">
        <v>1384299</v>
      </c>
      <c r="B628" t="str">
        <f t="shared" si="90"/>
        <v>stacjonarny</v>
      </c>
      <c r="C628" s="1">
        <v>42927</v>
      </c>
      <c r="D628" s="2">
        <v>0.36203703703703705</v>
      </c>
      <c r="E628" s="2">
        <v>0.37155092592592592</v>
      </c>
      <c r="F628" s="2">
        <f t="shared" si="91"/>
        <v>9.5138888888888773E-3</v>
      </c>
      <c r="G628">
        <f t="shared" si="92"/>
        <v>0</v>
      </c>
      <c r="H628">
        <f t="shared" si="93"/>
        <v>13</v>
      </c>
      <c r="I628">
        <f t="shared" si="94"/>
        <v>42</v>
      </c>
      <c r="J628">
        <f t="shared" si="95"/>
        <v>822</v>
      </c>
      <c r="K628">
        <f t="shared" si="96"/>
        <v>14</v>
      </c>
      <c r="L628">
        <f t="shared" si="97"/>
        <v>191458</v>
      </c>
      <c r="M628">
        <f t="shared" si="98"/>
        <v>58371</v>
      </c>
      <c r="N628">
        <f t="shared" si="99"/>
        <v>297829</v>
      </c>
      <c r="O628">
        <f>IF(B628="zagraniczny",K628+O627,O627)</f>
        <v>322</v>
      </c>
    </row>
    <row r="629" spans="1:15" x14ac:dyDescent="0.25">
      <c r="A629">
        <v>2486941</v>
      </c>
      <c r="B629" t="str">
        <f t="shared" si="90"/>
        <v>stacjonarny</v>
      </c>
      <c r="C629" s="1">
        <v>42927</v>
      </c>
      <c r="D629" s="2">
        <v>0.36394675925925923</v>
      </c>
      <c r="E629" s="2">
        <v>0.36422453703703705</v>
      </c>
      <c r="F629" s="2">
        <f t="shared" si="91"/>
        <v>2.777777777778212E-4</v>
      </c>
      <c r="G629">
        <f t="shared" si="92"/>
        <v>0</v>
      </c>
      <c r="H629">
        <f t="shared" si="93"/>
        <v>0</v>
      </c>
      <c r="I629">
        <f t="shared" si="94"/>
        <v>24</v>
      </c>
      <c r="J629">
        <f t="shared" si="95"/>
        <v>24</v>
      </c>
      <c r="K629">
        <f t="shared" si="96"/>
        <v>1</v>
      </c>
      <c r="L629">
        <f t="shared" si="97"/>
        <v>191482</v>
      </c>
      <c r="M629">
        <f t="shared" si="98"/>
        <v>58371</v>
      </c>
      <c r="N629">
        <f t="shared" si="99"/>
        <v>297853</v>
      </c>
      <c r="O629">
        <f>IF(B629="zagraniczny",K629+O628,O628)</f>
        <v>322</v>
      </c>
    </row>
    <row r="630" spans="1:15" x14ac:dyDescent="0.25">
      <c r="A630">
        <v>6561564994</v>
      </c>
      <c r="B630" t="str">
        <f t="shared" si="90"/>
        <v>zagraniczny</v>
      </c>
      <c r="C630" s="1">
        <v>42927</v>
      </c>
      <c r="D630" s="2">
        <v>0.36930555555555555</v>
      </c>
      <c r="E630" s="2">
        <v>0.37052083333333335</v>
      </c>
      <c r="F630" s="2">
        <f t="shared" si="91"/>
        <v>1.2152777777778012E-3</v>
      </c>
      <c r="G630">
        <f t="shared" si="92"/>
        <v>0</v>
      </c>
      <c r="H630">
        <f t="shared" si="93"/>
        <v>1</v>
      </c>
      <c r="I630">
        <f t="shared" si="94"/>
        <v>45</v>
      </c>
      <c r="J630">
        <f t="shared" si="95"/>
        <v>105</v>
      </c>
      <c r="K630">
        <f t="shared" si="96"/>
        <v>2</v>
      </c>
      <c r="L630">
        <f t="shared" si="97"/>
        <v>191482</v>
      </c>
      <c r="M630">
        <f t="shared" si="98"/>
        <v>58371</v>
      </c>
      <c r="N630">
        <f t="shared" si="99"/>
        <v>297853</v>
      </c>
      <c r="O630">
        <f>IF(B630="zagraniczny",K630+O629,O629)</f>
        <v>324</v>
      </c>
    </row>
    <row r="631" spans="1:15" x14ac:dyDescent="0.25">
      <c r="A631">
        <v>1207918</v>
      </c>
      <c r="B631" t="str">
        <f t="shared" si="90"/>
        <v>stacjonarny</v>
      </c>
      <c r="C631" s="1">
        <v>42927</v>
      </c>
      <c r="D631" s="2">
        <v>0.37410879629629629</v>
      </c>
      <c r="E631" s="2">
        <v>0.3767361111111111</v>
      </c>
      <c r="F631" s="2">
        <f t="shared" si="91"/>
        <v>2.6273148148148184E-3</v>
      </c>
      <c r="G631">
        <f t="shared" si="92"/>
        <v>0</v>
      </c>
      <c r="H631">
        <f t="shared" si="93"/>
        <v>3</v>
      </c>
      <c r="I631">
        <f t="shared" si="94"/>
        <v>47</v>
      </c>
      <c r="J631">
        <f t="shared" si="95"/>
        <v>227</v>
      </c>
      <c r="K631">
        <f t="shared" si="96"/>
        <v>4</v>
      </c>
      <c r="L631">
        <f t="shared" si="97"/>
        <v>191709</v>
      </c>
      <c r="M631">
        <f t="shared" si="98"/>
        <v>58371</v>
      </c>
      <c r="N631">
        <f t="shared" si="99"/>
        <v>298080</v>
      </c>
      <c r="O631">
        <f>IF(B631="zagraniczny",K631+O630,O630)</f>
        <v>324</v>
      </c>
    </row>
    <row r="632" spans="1:15" x14ac:dyDescent="0.25">
      <c r="A632">
        <v>66800387</v>
      </c>
      <c r="B632" t="str">
        <f t="shared" si="90"/>
        <v>komorkowy</v>
      </c>
      <c r="C632" s="1">
        <v>42927</v>
      </c>
      <c r="D632" s="2">
        <v>0.37684027777777779</v>
      </c>
      <c r="E632" s="2">
        <v>0.38072916666666667</v>
      </c>
      <c r="F632" s="2">
        <f t="shared" si="91"/>
        <v>3.8888888888888862E-3</v>
      </c>
      <c r="G632">
        <f t="shared" si="92"/>
        <v>0</v>
      </c>
      <c r="H632">
        <f t="shared" si="93"/>
        <v>5</v>
      </c>
      <c r="I632">
        <f t="shared" si="94"/>
        <v>36</v>
      </c>
      <c r="J632">
        <f t="shared" si="95"/>
        <v>336</v>
      </c>
      <c r="K632">
        <f t="shared" si="96"/>
        <v>6</v>
      </c>
      <c r="L632">
        <f t="shared" si="97"/>
        <v>191709</v>
      </c>
      <c r="M632">
        <f t="shared" si="98"/>
        <v>58707</v>
      </c>
      <c r="N632">
        <f t="shared" si="99"/>
        <v>298416</v>
      </c>
      <c r="O632">
        <f>IF(B632="zagraniczny",K632+O631,O631)</f>
        <v>324</v>
      </c>
    </row>
    <row r="633" spans="1:15" x14ac:dyDescent="0.25">
      <c r="A633">
        <v>49093359</v>
      </c>
      <c r="B633" t="str">
        <f t="shared" si="90"/>
        <v>komorkowy</v>
      </c>
      <c r="C633" s="1">
        <v>42927</v>
      </c>
      <c r="D633" s="2">
        <v>0.37695601851851851</v>
      </c>
      <c r="E633" s="2">
        <v>0.38138888888888889</v>
      </c>
      <c r="F633" s="2">
        <f t="shared" si="91"/>
        <v>4.4328703703703787E-3</v>
      </c>
      <c r="G633">
        <f t="shared" si="92"/>
        <v>0</v>
      </c>
      <c r="H633">
        <f t="shared" si="93"/>
        <v>6</v>
      </c>
      <c r="I633">
        <f t="shared" si="94"/>
        <v>23</v>
      </c>
      <c r="J633">
        <f t="shared" si="95"/>
        <v>383</v>
      </c>
      <c r="K633">
        <f t="shared" si="96"/>
        <v>7</v>
      </c>
      <c r="L633">
        <f t="shared" si="97"/>
        <v>191709</v>
      </c>
      <c r="M633">
        <f t="shared" si="98"/>
        <v>59090</v>
      </c>
      <c r="N633">
        <f t="shared" si="99"/>
        <v>298799</v>
      </c>
      <c r="O633">
        <f>IF(B633="zagraniczny",K633+O632,O632)</f>
        <v>324</v>
      </c>
    </row>
    <row r="634" spans="1:15" x14ac:dyDescent="0.25">
      <c r="A634">
        <v>2252239</v>
      </c>
      <c r="B634" t="str">
        <f t="shared" si="90"/>
        <v>stacjonarny</v>
      </c>
      <c r="C634" s="1">
        <v>42927</v>
      </c>
      <c r="D634" s="2">
        <v>0.38233796296296296</v>
      </c>
      <c r="E634" s="2">
        <v>0.39034722222222223</v>
      </c>
      <c r="F634" s="2">
        <f t="shared" si="91"/>
        <v>8.0092592592592715E-3</v>
      </c>
      <c r="G634">
        <f t="shared" si="92"/>
        <v>0</v>
      </c>
      <c r="H634">
        <f t="shared" si="93"/>
        <v>11</v>
      </c>
      <c r="I634">
        <f t="shared" si="94"/>
        <v>32</v>
      </c>
      <c r="J634">
        <f t="shared" si="95"/>
        <v>692</v>
      </c>
      <c r="K634">
        <f t="shared" si="96"/>
        <v>12</v>
      </c>
      <c r="L634">
        <f t="shared" si="97"/>
        <v>192401</v>
      </c>
      <c r="M634">
        <f t="shared" si="98"/>
        <v>59090</v>
      </c>
      <c r="N634">
        <f t="shared" si="99"/>
        <v>299491</v>
      </c>
      <c r="O634">
        <f>IF(B634="zagraniczny",K634+O633,O633)</f>
        <v>324</v>
      </c>
    </row>
    <row r="635" spans="1:15" x14ac:dyDescent="0.25">
      <c r="A635">
        <v>4925279</v>
      </c>
      <c r="B635" t="str">
        <f t="shared" si="90"/>
        <v>stacjonarny</v>
      </c>
      <c r="C635" s="1">
        <v>42927</v>
      </c>
      <c r="D635" s="2">
        <v>0.3850925925925926</v>
      </c>
      <c r="E635" s="2">
        <v>0.38929398148148148</v>
      </c>
      <c r="F635" s="2">
        <f t="shared" si="91"/>
        <v>4.2013888888888795E-3</v>
      </c>
      <c r="G635">
        <f t="shared" si="92"/>
        <v>0</v>
      </c>
      <c r="H635">
        <f t="shared" si="93"/>
        <v>6</v>
      </c>
      <c r="I635">
        <f t="shared" si="94"/>
        <v>3</v>
      </c>
      <c r="J635">
        <f t="shared" si="95"/>
        <v>363</v>
      </c>
      <c r="K635">
        <f t="shared" si="96"/>
        <v>7</v>
      </c>
      <c r="L635">
        <f t="shared" si="97"/>
        <v>192764</v>
      </c>
      <c r="M635">
        <f t="shared" si="98"/>
        <v>59090</v>
      </c>
      <c r="N635">
        <f t="shared" si="99"/>
        <v>299854</v>
      </c>
      <c r="O635">
        <f>IF(B635="zagraniczny",K635+O634,O634)</f>
        <v>324</v>
      </c>
    </row>
    <row r="636" spans="1:15" x14ac:dyDescent="0.25">
      <c r="A636">
        <v>25459710</v>
      </c>
      <c r="B636" t="str">
        <f t="shared" si="90"/>
        <v>komorkowy</v>
      </c>
      <c r="C636" s="1">
        <v>42927</v>
      </c>
      <c r="D636" s="2">
        <v>0.38797453703703705</v>
      </c>
      <c r="E636" s="2">
        <v>0.39458333333333334</v>
      </c>
      <c r="F636" s="2">
        <f t="shared" si="91"/>
        <v>6.6087962962962932E-3</v>
      </c>
      <c r="G636">
        <f t="shared" si="92"/>
        <v>0</v>
      </c>
      <c r="H636">
        <f t="shared" si="93"/>
        <v>9</v>
      </c>
      <c r="I636">
        <f t="shared" si="94"/>
        <v>31</v>
      </c>
      <c r="J636">
        <f t="shared" si="95"/>
        <v>571</v>
      </c>
      <c r="K636">
        <f t="shared" si="96"/>
        <v>10</v>
      </c>
      <c r="L636">
        <f t="shared" si="97"/>
        <v>192764</v>
      </c>
      <c r="M636">
        <f t="shared" si="98"/>
        <v>59661</v>
      </c>
      <c r="N636">
        <f t="shared" si="99"/>
        <v>300425</v>
      </c>
      <c r="O636">
        <f>IF(B636="zagraniczny",K636+O635,O635)</f>
        <v>324</v>
      </c>
    </row>
    <row r="637" spans="1:15" x14ac:dyDescent="0.25">
      <c r="A637">
        <v>3943994</v>
      </c>
      <c r="B637" t="str">
        <f t="shared" si="90"/>
        <v>stacjonarny</v>
      </c>
      <c r="C637" s="1">
        <v>42927</v>
      </c>
      <c r="D637" s="2">
        <v>0.39199074074074075</v>
      </c>
      <c r="E637" s="2">
        <v>0.39934027777777775</v>
      </c>
      <c r="F637" s="2">
        <f t="shared" si="91"/>
        <v>7.3495370370370017E-3</v>
      </c>
      <c r="G637">
        <f t="shared" si="92"/>
        <v>0</v>
      </c>
      <c r="H637">
        <f t="shared" si="93"/>
        <v>10</v>
      </c>
      <c r="I637">
        <f t="shared" si="94"/>
        <v>35</v>
      </c>
      <c r="J637">
        <f t="shared" si="95"/>
        <v>635</v>
      </c>
      <c r="K637">
        <f t="shared" si="96"/>
        <v>11</v>
      </c>
      <c r="L637">
        <f t="shared" si="97"/>
        <v>193399</v>
      </c>
      <c r="M637">
        <f t="shared" si="98"/>
        <v>59661</v>
      </c>
      <c r="N637">
        <f t="shared" si="99"/>
        <v>301060</v>
      </c>
      <c r="O637">
        <f>IF(B637="zagraniczny",K637+O636,O636)</f>
        <v>324</v>
      </c>
    </row>
    <row r="638" spans="1:15" x14ac:dyDescent="0.25">
      <c r="A638">
        <v>2109147679</v>
      </c>
      <c r="B638" t="str">
        <f t="shared" si="90"/>
        <v>zagraniczny</v>
      </c>
      <c r="C638" s="1">
        <v>42927</v>
      </c>
      <c r="D638" s="2">
        <v>0.39260416666666664</v>
      </c>
      <c r="E638" s="2">
        <v>0.40322916666666669</v>
      </c>
      <c r="F638" s="2">
        <f t="shared" si="91"/>
        <v>1.0625000000000051E-2</v>
      </c>
      <c r="G638">
        <f t="shared" si="92"/>
        <v>0</v>
      </c>
      <c r="H638">
        <f t="shared" si="93"/>
        <v>15</v>
      </c>
      <c r="I638">
        <f t="shared" si="94"/>
        <v>18</v>
      </c>
      <c r="J638">
        <f t="shared" si="95"/>
        <v>918</v>
      </c>
      <c r="K638">
        <f t="shared" si="96"/>
        <v>16</v>
      </c>
      <c r="L638">
        <f t="shared" si="97"/>
        <v>193399</v>
      </c>
      <c r="M638">
        <f t="shared" si="98"/>
        <v>59661</v>
      </c>
      <c r="N638">
        <f t="shared" si="99"/>
        <v>301060</v>
      </c>
      <c r="O638">
        <f>IF(B638="zagraniczny",K638+O637,O637)</f>
        <v>340</v>
      </c>
    </row>
    <row r="639" spans="1:15" x14ac:dyDescent="0.25">
      <c r="A639">
        <v>9967649</v>
      </c>
      <c r="B639" t="str">
        <f t="shared" si="90"/>
        <v>stacjonarny</v>
      </c>
      <c r="C639" s="1">
        <v>42927</v>
      </c>
      <c r="D639" s="2">
        <v>0.39659722222222221</v>
      </c>
      <c r="E639" s="2">
        <v>0.4042824074074074</v>
      </c>
      <c r="F639" s="2">
        <f t="shared" si="91"/>
        <v>7.6851851851851838E-3</v>
      </c>
      <c r="G639">
        <f t="shared" si="92"/>
        <v>0</v>
      </c>
      <c r="H639">
        <f t="shared" si="93"/>
        <v>11</v>
      </c>
      <c r="I639">
        <f t="shared" si="94"/>
        <v>4</v>
      </c>
      <c r="J639">
        <f t="shared" si="95"/>
        <v>664</v>
      </c>
      <c r="K639">
        <f t="shared" si="96"/>
        <v>12</v>
      </c>
      <c r="L639">
        <f t="shared" si="97"/>
        <v>194063</v>
      </c>
      <c r="M639">
        <f t="shared" si="98"/>
        <v>59661</v>
      </c>
      <c r="N639">
        <f t="shared" si="99"/>
        <v>301724</v>
      </c>
      <c r="O639">
        <f>IF(B639="zagraniczny",K639+O638,O638)</f>
        <v>340</v>
      </c>
    </row>
    <row r="640" spans="1:15" x14ac:dyDescent="0.25">
      <c r="A640">
        <v>2947660</v>
      </c>
      <c r="B640" t="str">
        <f t="shared" si="90"/>
        <v>stacjonarny</v>
      </c>
      <c r="C640" s="1">
        <v>42927</v>
      </c>
      <c r="D640" s="2">
        <v>0.39817129629629627</v>
      </c>
      <c r="E640" s="2">
        <v>0.4045023148148148</v>
      </c>
      <c r="F640" s="2">
        <f t="shared" si="91"/>
        <v>6.3310185185185275E-3</v>
      </c>
      <c r="G640">
        <f t="shared" si="92"/>
        <v>0</v>
      </c>
      <c r="H640">
        <f t="shared" si="93"/>
        <v>9</v>
      </c>
      <c r="I640">
        <f t="shared" si="94"/>
        <v>7</v>
      </c>
      <c r="J640">
        <f t="shared" si="95"/>
        <v>547</v>
      </c>
      <c r="K640">
        <f t="shared" si="96"/>
        <v>10</v>
      </c>
      <c r="L640">
        <f t="shared" si="97"/>
        <v>194610</v>
      </c>
      <c r="M640">
        <f t="shared" si="98"/>
        <v>59661</v>
      </c>
      <c r="N640">
        <f t="shared" si="99"/>
        <v>302271</v>
      </c>
      <c r="O640">
        <f>IF(B640="zagraniczny",K640+O639,O639)</f>
        <v>340</v>
      </c>
    </row>
    <row r="641" spans="1:15" x14ac:dyDescent="0.25">
      <c r="A641">
        <v>6492842</v>
      </c>
      <c r="B641" t="str">
        <f t="shared" si="90"/>
        <v>stacjonarny</v>
      </c>
      <c r="C641" s="1">
        <v>42927</v>
      </c>
      <c r="D641" s="2">
        <v>0.40379629629629632</v>
      </c>
      <c r="E641" s="2">
        <v>0.4100462962962963</v>
      </c>
      <c r="F641" s="2">
        <f t="shared" si="91"/>
        <v>6.2499999999999778E-3</v>
      </c>
      <c r="G641">
        <f t="shared" si="92"/>
        <v>0</v>
      </c>
      <c r="H641">
        <f t="shared" si="93"/>
        <v>9</v>
      </c>
      <c r="I641">
        <f t="shared" si="94"/>
        <v>0</v>
      </c>
      <c r="J641">
        <f t="shared" si="95"/>
        <v>540</v>
      </c>
      <c r="K641">
        <f t="shared" si="96"/>
        <v>9</v>
      </c>
      <c r="L641">
        <f t="shared" si="97"/>
        <v>195150</v>
      </c>
      <c r="M641">
        <f t="shared" si="98"/>
        <v>59661</v>
      </c>
      <c r="N641">
        <f t="shared" si="99"/>
        <v>302811</v>
      </c>
      <c r="O641">
        <f>IF(B641="zagraniczny",K641+O640,O640)</f>
        <v>340</v>
      </c>
    </row>
    <row r="642" spans="1:15" x14ac:dyDescent="0.25">
      <c r="A642">
        <v>70730125</v>
      </c>
      <c r="B642" t="str">
        <f t="shared" si="90"/>
        <v>komorkowy</v>
      </c>
      <c r="C642" s="1">
        <v>42927</v>
      </c>
      <c r="D642" s="2">
        <v>0.40777777777777779</v>
      </c>
      <c r="E642" s="2">
        <v>0.4181597222222222</v>
      </c>
      <c r="F642" s="2">
        <f t="shared" si="91"/>
        <v>1.0381944444444402E-2</v>
      </c>
      <c r="G642">
        <f t="shared" si="92"/>
        <v>0</v>
      </c>
      <c r="H642">
        <f t="shared" si="93"/>
        <v>14</v>
      </c>
      <c r="I642">
        <f t="shared" si="94"/>
        <v>57</v>
      </c>
      <c r="J642">
        <f t="shared" si="95"/>
        <v>897</v>
      </c>
      <c r="K642">
        <f t="shared" si="96"/>
        <v>15</v>
      </c>
      <c r="L642">
        <f t="shared" si="97"/>
        <v>195150</v>
      </c>
      <c r="M642">
        <f t="shared" si="98"/>
        <v>60558</v>
      </c>
      <c r="N642">
        <f t="shared" si="99"/>
        <v>303708</v>
      </c>
      <c r="O642">
        <f>IF(B642="zagraniczny",K642+O641,O641)</f>
        <v>340</v>
      </c>
    </row>
    <row r="643" spans="1:15" x14ac:dyDescent="0.25">
      <c r="A643">
        <v>4056361</v>
      </c>
      <c r="B643" t="str">
        <f t="shared" ref="B643:B706" si="100">IF(LEN(A643)=7,"stacjonarny",IF(LEN(A643)=8,"komorkowy","zagraniczny"))</f>
        <v>stacjonarny</v>
      </c>
      <c r="C643" s="1">
        <v>42927</v>
      </c>
      <c r="D643" s="2">
        <v>0.41239583333333335</v>
      </c>
      <c r="E643" s="2">
        <v>0.41844907407407406</v>
      </c>
      <c r="F643" s="2">
        <f t="shared" ref="F643:F706" si="101">E643-D643</f>
        <v>6.0532407407407063E-3</v>
      </c>
      <c r="G643">
        <f t="shared" ref="G643:G706" si="102">HOUR(F643)</f>
        <v>0</v>
      </c>
      <c r="H643">
        <f t="shared" ref="H643:H706" si="103">MINUTE(F643)</f>
        <v>8</v>
      </c>
      <c r="I643">
        <f t="shared" ref="I643:I706" si="104">SECOND(F643)</f>
        <v>43</v>
      </c>
      <c r="J643">
        <f t="shared" ref="J643:J706" si="105">H643*60+I643</f>
        <v>523</v>
      </c>
      <c r="K643">
        <f t="shared" ref="K643:K706" si="106">IF(I643&gt;0,G643*60+H643+1,H643+G643*60)</f>
        <v>9</v>
      </c>
      <c r="L643">
        <f t="shared" si="97"/>
        <v>195673</v>
      </c>
      <c r="M643">
        <f t="shared" si="98"/>
        <v>60558</v>
      </c>
      <c r="N643">
        <f t="shared" si="99"/>
        <v>304231</v>
      </c>
      <c r="O643">
        <f>IF(B643="zagraniczny",K643+O642,O642)</f>
        <v>340</v>
      </c>
    </row>
    <row r="644" spans="1:15" x14ac:dyDescent="0.25">
      <c r="A644">
        <v>12721215</v>
      </c>
      <c r="B644" t="str">
        <f t="shared" si="100"/>
        <v>komorkowy</v>
      </c>
      <c r="C644" s="1">
        <v>42927</v>
      </c>
      <c r="D644" s="2">
        <v>0.41431712962962963</v>
      </c>
      <c r="E644" s="2">
        <v>0.41986111111111113</v>
      </c>
      <c r="F644" s="2">
        <f t="shared" si="101"/>
        <v>5.5439814814814969E-3</v>
      </c>
      <c r="G644">
        <f t="shared" si="102"/>
        <v>0</v>
      </c>
      <c r="H644">
        <f t="shared" si="103"/>
        <v>7</v>
      </c>
      <c r="I644">
        <f t="shared" si="104"/>
        <v>59</v>
      </c>
      <c r="J644">
        <f t="shared" si="105"/>
        <v>479</v>
      </c>
      <c r="K644">
        <f t="shared" si="106"/>
        <v>8</v>
      </c>
      <c r="L644">
        <f t="shared" ref="L644:L707" si="107">IF(B644="stacjonarny",$J644+L643,L643)</f>
        <v>195673</v>
      </c>
      <c r="M644">
        <f t="shared" ref="M644:M707" si="108">IF(B644="komorkowy",$J644+M643,M643)</f>
        <v>61037</v>
      </c>
      <c r="N644">
        <f t="shared" ref="N644:N707" si="109">IF(OR(B644="stacjonarny",B644="komorkowy"),J644+N643,N643)</f>
        <v>304710</v>
      </c>
      <c r="O644">
        <f>IF(B644="zagraniczny",K644+O643,O643)</f>
        <v>340</v>
      </c>
    </row>
    <row r="645" spans="1:15" x14ac:dyDescent="0.25">
      <c r="A645">
        <v>4566750</v>
      </c>
      <c r="B645" t="str">
        <f t="shared" si="100"/>
        <v>stacjonarny</v>
      </c>
      <c r="C645" s="1">
        <v>42927</v>
      </c>
      <c r="D645" s="2">
        <v>0.41666666666666669</v>
      </c>
      <c r="E645" s="2">
        <v>0.42190972222222223</v>
      </c>
      <c r="F645" s="2">
        <f t="shared" si="101"/>
        <v>5.2430555555555425E-3</v>
      </c>
      <c r="G645">
        <f t="shared" si="102"/>
        <v>0</v>
      </c>
      <c r="H645">
        <f t="shared" si="103"/>
        <v>7</v>
      </c>
      <c r="I645">
        <f t="shared" si="104"/>
        <v>33</v>
      </c>
      <c r="J645">
        <f t="shared" si="105"/>
        <v>453</v>
      </c>
      <c r="K645">
        <f t="shared" si="106"/>
        <v>8</v>
      </c>
      <c r="L645">
        <f t="shared" si="107"/>
        <v>196126</v>
      </c>
      <c r="M645">
        <f t="shared" si="108"/>
        <v>61037</v>
      </c>
      <c r="N645">
        <f t="shared" si="109"/>
        <v>305163</v>
      </c>
      <c r="O645">
        <f>IF(B645="zagraniczny",K645+O644,O644)</f>
        <v>340</v>
      </c>
    </row>
    <row r="646" spans="1:15" x14ac:dyDescent="0.25">
      <c r="A646">
        <v>7279106</v>
      </c>
      <c r="B646" t="str">
        <f t="shared" si="100"/>
        <v>stacjonarny</v>
      </c>
      <c r="C646" s="1">
        <v>42927</v>
      </c>
      <c r="D646" s="2">
        <v>0.41935185185185186</v>
      </c>
      <c r="E646" s="2">
        <v>0.43002314814814813</v>
      </c>
      <c r="F646" s="2">
        <f t="shared" si="101"/>
        <v>1.0671296296296262E-2</v>
      </c>
      <c r="G646">
        <f t="shared" si="102"/>
        <v>0</v>
      </c>
      <c r="H646">
        <f t="shared" si="103"/>
        <v>15</v>
      </c>
      <c r="I646">
        <f t="shared" si="104"/>
        <v>22</v>
      </c>
      <c r="J646">
        <f t="shared" si="105"/>
        <v>922</v>
      </c>
      <c r="K646">
        <f t="shared" si="106"/>
        <v>16</v>
      </c>
      <c r="L646">
        <f t="shared" si="107"/>
        <v>197048</v>
      </c>
      <c r="M646">
        <f t="shared" si="108"/>
        <v>61037</v>
      </c>
      <c r="N646">
        <f t="shared" si="109"/>
        <v>306085</v>
      </c>
      <c r="O646">
        <f>IF(B646="zagraniczny",K646+O645,O645)</f>
        <v>340</v>
      </c>
    </row>
    <row r="647" spans="1:15" x14ac:dyDescent="0.25">
      <c r="A647">
        <v>3824660</v>
      </c>
      <c r="B647" t="str">
        <f t="shared" si="100"/>
        <v>stacjonarny</v>
      </c>
      <c r="C647" s="1">
        <v>42927</v>
      </c>
      <c r="D647" s="2">
        <v>0.4238425925925926</v>
      </c>
      <c r="E647" s="2">
        <v>0.4321875</v>
      </c>
      <c r="F647" s="2">
        <f t="shared" si="101"/>
        <v>8.3449074074073981E-3</v>
      </c>
      <c r="G647">
        <f t="shared" si="102"/>
        <v>0</v>
      </c>
      <c r="H647">
        <f t="shared" si="103"/>
        <v>12</v>
      </c>
      <c r="I647">
        <f t="shared" si="104"/>
        <v>1</v>
      </c>
      <c r="J647">
        <f t="shared" si="105"/>
        <v>721</v>
      </c>
      <c r="K647">
        <f t="shared" si="106"/>
        <v>13</v>
      </c>
      <c r="L647">
        <f t="shared" si="107"/>
        <v>197769</v>
      </c>
      <c r="M647">
        <f t="shared" si="108"/>
        <v>61037</v>
      </c>
      <c r="N647">
        <f t="shared" si="109"/>
        <v>306806</v>
      </c>
      <c r="O647">
        <f>IF(B647="zagraniczny",K647+O646,O646)</f>
        <v>340</v>
      </c>
    </row>
    <row r="648" spans="1:15" x14ac:dyDescent="0.25">
      <c r="A648">
        <v>5815339</v>
      </c>
      <c r="B648" t="str">
        <f t="shared" si="100"/>
        <v>stacjonarny</v>
      </c>
      <c r="C648" s="1">
        <v>42927</v>
      </c>
      <c r="D648" s="2">
        <v>0.42818287037037039</v>
      </c>
      <c r="E648" s="2">
        <v>0.43273148148148149</v>
      </c>
      <c r="F648" s="2">
        <f t="shared" si="101"/>
        <v>4.5486111111111005E-3</v>
      </c>
      <c r="G648">
        <f t="shared" si="102"/>
        <v>0</v>
      </c>
      <c r="H648">
        <f t="shared" si="103"/>
        <v>6</v>
      </c>
      <c r="I648">
        <f t="shared" si="104"/>
        <v>33</v>
      </c>
      <c r="J648">
        <f t="shared" si="105"/>
        <v>393</v>
      </c>
      <c r="K648">
        <f t="shared" si="106"/>
        <v>7</v>
      </c>
      <c r="L648">
        <f t="shared" si="107"/>
        <v>198162</v>
      </c>
      <c r="M648">
        <f t="shared" si="108"/>
        <v>61037</v>
      </c>
      <c r="N648">
        <f t="shared" si="109"/>
        <v>307199</v>
      </c>
      <c r="O648">
        <f>IF(B648="zagraniczny",K648+O647,O647)</f>
        <v>340</v>
      </c>
    </row>
    <row r="649" spans="1:15" x14ac:dyDescent="0.25">
      <c r="A649">
        <v>77946476</v>
      </c>
      <c r="B649" t="str">
        <f t="shared" si="100"/>
        <v>komorkowy</v>
      </c>
      <c r="C649" s="1">
        <v>42927</v>
      </c>
      <c r="D649" s="2">
        <v>0.42995370370370373</v>
      </c>
      <c r="E649" s="2">
        <v>0.43024305555555553</v>
      </c>
      <c r="F649" s="2">
        <f t="shared" si="101"/>
        <v>2.8935185185180456E-4</v>
      </c>
      <c r="G649">
        <f t="shared" si="102"/>
        <v>0</v>
      </c>
      <c r="H649">
        <f t="shared" si="103"/>
        <v>0</v>
      </c>
      <c r="I649">
        <f t="shared" si="104"/>
        <v>25</v>
      </c>
      <c r="J649">
        <f t="shared" si="105"/>
        <v>25</v>
      </c>
      <c r="K649">
        <f t="shared" si="106"/>
        <v>1</v>
      </c>
      <c r="L649">
        <f t="shared" si="107"/>
        <v>198162</v>
      </c>
      <c r="M649">
        <f t="shared" si="108"/>
        <v>61062</v>
      </c>
      <c r="N649">
        <f t="shared" si="109"/>
        <v>307224</v>
      </c>
      <c r="O649">
        <f>IF(B649="zagraniczny",K649+O648,O648)</f>
        <v>340</v>
      </c>
    </row>
    <row r="650" spans="1:15" x14ac:dyDescent="0.25">
      <c r="A650">
        <v>84589848</v>
      </c>
      <c r="B650" t="str">
        <f t="shared" si="100"/>
        <v>komorkowy</v>
      </c>
      <c r="C650" s="1">
        <v>42927</v>
      </c>
      <c r="D650" s="2">
        <v>0.43539351851851854</v>
      </c>
      <c r="E650" s="2">
        <v>0.43763888888888891</v>
      </c>
      <c r="F650" s="2">
        <f t="shared" si="101"/>
        <v>2.2453703703703698E-3</v>
      </c>
      <c r="G650">
        <f t="shared" si="102"/>
        <v>0</v>
      </c>
      <c r="H650">
        <f t="shared" si="103"/>
        <v>3</v>
      </c>
      <c r="I650">
        <f t="shared" si="104"/>
        <v>14</v>
      </c>
      <c r="J650">
        <f t="shared" si="105"/>
        <v>194</v>
      </c>
      <c r="K650">
        <f t="shared" si="106"/>
        <v>4</v>
      </c>
      <c r="L650">
        <f t="shared" si="107"/>
        <v>198162</v>
      </c>
      <c r="M650">
        <f t="shared" si="108"/>
        <v>61256</v>
      </c>
      <c r="N650">
        <f t="shared" si="109"/>
        <v>307418</v>
      </c>
      <c r="O650">
        <f>IF(B650="zagraniczny",K650+O649,O649)</f>
        <v>340</v>
      </c>
    </row>
    <row r="651" spans="1:15" x14ac:dyDescent="0.25">
      <c r="A651">
        <v>4501823</v>
      </c>
      <c r="B651" t="str">
        <f t="shared" si="100"/>
        <v>stacjonarny</v>
      </c>
      <c r="C651" s="1">
        <v>42927</v>
      </c>
      <c r="D651" s="2">
        <v>0.44013888888888891</v>
      </c>
      <c r="E651" s="2">
        <v>0.44690972222222225</v>
      </c>
      <c r="F651" s="2">
        <f t="shared" si="101"/>
        <v>6.770833333333337E-3</v>
      </c>
      <c r="G651">
        <f t="shared" si="102"/>
        <v>0</v>
      </c>
      <c r="H651">
        <f t="shared" si="103"/>
        <v>9</v>
      </c>
      <c r="I651">
        <f t="shared" si="104"/>
        <v>45</v>
      </c>
      <c r="J651">
        <f t="shared" si="105"/>
        <v>585</v>
      </c>
      <c r="K651">
        <f t="shared" si="106"/>
        <v>10</v>
      </c>
      <c r="L651">
        <f t="shared" si="107"/>
        <v>198747</v>
      </c>
      <c r="M651">
        <f t="shared" si="108"/>
        <v>61256</v>
      </c>
      <c r="N651">
        <f t="shared" si="109"/>
        <v>308003</v>
      </c>
      <c r="O651">
        <f>IF(B651="zagraniczny",K651+O650,O650)</f>
        <v>340</v>
      </c>
    </row>
    <row r="652" spans="1:15" x14ac:dyDescent="0.25">
      <c r="A652">
        <v>38244568</v>
      </c>
      <c r="B652" t="str">
        <f t="shared" si="100"/>
        <v>komorkowy</v>
      </c>
      <c r="C652" s="1">
        <v>42927</v>
      </c>
      <c r="D652" s="2">
        <v>0.44381944444444443</v>
      </c>
      <c r="E652" s="2">
        <v>0.45199074074074075</v>
      </c>
      <c r="F652" s="2">
        <f t="shared" si="101"/>
        <v>8.1712962962963154E-3</v>
      </c>
      <c r="G652">
        <f t="shared" si="102"/>
        <v>0</v>
      </c>
      <c r="H652">
        <f t="shared" si="103"/>
        <v>11</v>
      </c>
      <c r="I652">
        <f t="shared" si="104"/>
        <v>46</v>
      </c>
      <c r="J652">
        <f t="shared" si="105"/>
        <v>706</v>
      </c>
      <c r="K652">
        <f t="shared" si="106"/>
        <v>12</v>
      </c>
      <c r="L652">
        <f t="shared" si="107"/>
        <v>198747</v>
      </c>
      <c r="M652">
        <f t="shared" si="108"/>
        <v>61962</v>
      </c>
      <c r="N652">
        <f t="shared" si="109"/>
        <v>308709</v>
      </c>
      <c r="O652">
        <f>IF(B652="zagraniczny",K652+O651,O651)</f>
        <v>340</v>
      </c>
    </row>
    <row r="653" spans="1:15" x14ac:dyDescent="0.25">
      <c r="A653">
        <v>3613950</v>
      </c>
      <c r="B653" t="str">
        <f t="shared" si="100"/>
        <v>stacjonarny</v>
      </c>
      <c r="C653" s="1">
        <v>42927</v>
      </c>
      <c r="D653" s="2">
        <v>0.44657407407407407</v>
      </c>
      <c r="E653" s="2">
        <v>0.44774305555555555</v>
      </c>
      <c r="F653" s="2">
        <f t="shared" si="101"/>
        <v>1.1689814814814792E-3</v>
      </c>
      <c r="G653">
        <f t="shared" si="102"/>
        <v>0</v>
      </c>
      <c r="H653">
        <f t="shared" si="103"/>
        <v>1</v>
      </c>
      <c r="I653">
        <f t="shared" si="104"/>
        <v>41</v>
      </c>
      <c r="J653">
        <f t="shared" si="105"/>
        <v>101</v>
      </c>
      <c r="K653">
        <f t="shared" si="106"/>
        <v>2</v>
      </c>
      <c r="L653">
        <f t="shared" si="107"/>
        <v>198848</v>
      </c>
      <c r="M653">
        <f t="shared" si="108"/>
        <v>61962</v>
      </c>
      <c r="N653">
        <f t="shared" si="109"/>
        <v>308810</v>
      </c>
      <c r="O653">
        <f>IF(B653="zagraniczny",K653+O652,O652)</f>
        <v>340</v>
      </c>
    </row>
    <row r="654" spans="1:15" x14ac:dyDescent="0.25">
      <c r="A654">
        <v>5750819</v>
      </c>
      <c r="B654" t="str">
        <f t="shared" si="100"/>
        <v>stacjonarny</v>
      </c>
      <c r="C654" s="1">
        <v>42927</v>
      </c>
      <c r="D654" s="2">
        <v>0.44751157407407405</v>
      </c>
      <c r="E654" s="2">
        <v>0.45284722222222223</v>
      </c>
      <c r="F654" s="2">
        <f t="shared" si="101"/>
        <v>5.3356481481481866E-3</v>
      </c>
      <c r="G654">
        <f t="shared" si="102"/>
        <v>0</v>
      </c>
      <c r="H654">
        <f t="shared" si="103"/>
        <v>7</v>
      </c>
      <c r="I654">
        <f t="shared" si="104"/>
        <v>41</v>
      </c>
      <c r="J654">
        <f t="shared" si="105"/>
        <v>461</v>
      </c>
      <c r="K654">
        <f t="shared" si="106"/>
        <v>8</v>
      </c>
      <c r="L654">
        <f t="shared" si="107"/>
        <v>199309</v>
      </c>
      <c r="M654">
        <f t="shared" si="108"/>
        <v>61962</v>
      </c>
      <c r="N654">
        <f t="shared" si="109"/>
        <v>309271</v>
      </c>
      <c r="O654">
        <f>IF(B654="zagraniczny",K654+O653,O653)</f>
        <v>340</v>
      </c>
    </row>
    <row r="655" spans="1:15" x14ac:dyDescent="0.25">
      <c r="A655">
        <v>63291235</v>
      </c>
      <c r="B655" t="str">
        <f t="shared" si="100"/>
        <v>komorkowy</v>
      </c>
      <c r="C655" s="1">
        <v>42927</v>
      </c>
      <c r="D655" s="2">
        <v>0.45091435185185186</v>
      </c>
      <c r="E655" s="2">
        <v>0.45429398148148148</v>
      </c>
      <c r="F655" s="2">
        <f t="shared" si="101"/>
        <v>3.3796296296296213E-3</v>
      </c>
      <c r="G655">
        <f t="shared" si="102"/>
        <v>0</v>
      </c>
      <c r="H655">
        <f t="shared" si="103"/>
        <v>4</v>
      </c>
      <c r="I655">
        <f t="shared" si="104"/>
        <v>52</v>
      </c>
      <c r="J655">
        <f t="shared" si="105"/>
        <v>292</v>
      </c>
      <c r="K655">
        <f t="shared" si="106"/>
        <v>5</v>
      </c>
      <c r="L655">
        <f t="shared" si="107"/>
        <v>199309</v>
      </c>
      <c r="M655">
        <f t="shared" si="108"/>
        <v>62254</v>
      </c>
      <c r="N655">
        <f t="shared" si="109"/>
        <v>309563</v>
      </c>
      <c r="O655">
        <f>IF(B655="zagraniczny",K655+O654,O654)</f>
        <v>340</v>
      </c>
    </row>
    <row r="656" spans="1:15" x14ac:dyDescent="0.25">
      <c r="A656">
        <v>3198725</v>
      </c>
      <c r="B656" t="str">
        <f t="shared" si="100"/>
        <v>stacjonarny</v>
      </c>
      <c r="C656" s="1">
        <v>42927</v>
      </c>
      <c r="D656" s="2">
        <v>0.45157407407407407</v>
      </c>
      <c r="E656" s="2">
        <v>0.45738425925925924</v>
      </c>
      <c r="F656" s="2">
        <f t="shared" si="101"/>
        <v>5.8101851851851682E-3</v>
      </c>
      <c r="G656">
        <f t="shared" si="102"/>
        <v>0</v>
      </c>
      <c r="H656">
        <f t="shared" si="103"/>
        <v>8</v>
      </c>
      <c r="I656">
        <f t="shared" si="104"/>
        <v>22</v>
      </c>
      <c r="J656">
        <f t="shared" si="105"/>
        <v>502</v>
      </c>
      <c r="K656">
        <f t="shared" si="106"/>
        <v>9</v>
      </c>
      <c r="L656">
        <f t="shared" si="107"/>
        <v>199811</v>
      </c>
      <c r="M656">
        <f t="shared" si="108"/>
        <v>62254</v>
      </c>
      <c r="N656">
        <f t="shared" si="109"/>
        <v>310065</v>
      </c>
      <c r="O656">
        <f>IF(B656="zagraniczny",K656+O655,O655)</f>
        <v>340</v>
      </c>
    </row>
    <row r="657" spans="1:15" x14ac:dyDescent="0.25">
      <c r="A657">
        <v>6248157784</v>
      </c>
      <c r="B657" t="str">
        <f t="shared" si="100"/>
        <v>zagraniczny</v>
      </c>
      <c r="C657" s="1">
        <v>42927</v>
      </c>
      <c r="D657" s="2">
        <v>0.45475694444444442</v>
      </c>
      <c r="E657" s="2">
        <v>0.4566898148148148</v>
      </c>
      <c r="F657" s="2">
        <f t="shared" si="101"/>
        <v>1.9328703703703765E-3</v>
      </c>
      <c r="G657">
        <f t="shared" si="102"/>
        <v>0</v>
      </c>
      <c r="H657">
        <f t="shared" si="103"/>
        <v>2</v>
      </c>
      <c r="I657">
        <f t="shared" si="104"/>
        <v>47</v>
      </c>
      <c r="J657">
        <f t="shared" si="105"/>
        <v>167</v>
      </c>
      <c r="K657">
        <f t="shared" si="106"/>
        <v>3</v>
      </c>
      <c r="L657">
        <f t="shared" si="107"/>
        <v>199811</v>
      </c>
      <c r="M657">
        <f t="shared" si="108"/>
        <v>62254</v>
      </c>
      <c r="N657">
        <f t="shared" si="109"/>
        <v>310065</v>
      </c>
      <c r="O657">
        <f>IF(B657="zagraniczny",K657+O656,O656)</f>
        <v>343</v>
      </c>
    </row>
    <row r="658" spans="1:15" x14ac:dyDescent="0.25">
      <c r="A658">
        <v>6607648</v>
      </c>
      <c r="B658" t="str">
        <f t="shared" si="100"/>
        <v>stacjonarny</v>
      </c>
      <c r="C658" s="1">
        <v>42927</v>
      </c>
      <c r="D658" s="2">
        <v>0.45873842592592595</v>
      </c>
      <c r="E658" s="2">
        <v>0.46986111111111112</v>
      </c>
      <c r="F658" s="2">
        <f t="shared" si="101"/>
        <v>1.1122685185185166E-2</v>
      </c>
      <c r="G658">
        <f t="shared" si="102"/>
        <v>0</v>
      </c>
      <c r="H658">
        <f t="shared" si="103"/>
        <v>16</v>
      </c>
      <c r="I658">
        <f t="shared" si="104"/>
        <v>1</v>
      </c>
      <c r="J658">
        <f t="shared" si="105"/>
        <v>961</v>
      </c>
      <c r="K658">
        <f t="shared" si="106"/>
        <v>17</v>
      </c>
      <c r="L658">
        <f t="shared" si="107"/>
        <v>200772</v>
      </c>
      <c r="M658">
        <f t="shared" si="108"/>
        <v>62254</v>
      </c>
      <c r="N658">
        <f t="shared" si="109"/>
        <v>311026</v>
      </c>
      <c r="O658">
        <f>IF(B658="zagraniczny",K658+O657,O657)</f>
        <v>343</v>
      </c>
    </row>
    <row r="659" spans="1:15" x14ac:dyDescent="0.25">
      <c r="A659">
        <v>5340881</v>
      </c>
      <c r="B659" t="str">
        <f t="shared" si="100"/>
        <v>stacjonarny</v>
      </c>
      <c r="C659" s="1">
        <v>42927</v>
      </c>
      <c r="D659" s="2">
        <v>0.46413194444444444</v>
      </c>
      <c r="E659" s="2">
        <v>0.46585648148148145</v>
      </c>
      <c r="F659" s="2">
        <f t="shared" si="101"/>
        <v>1.7245370370370106E-3</v>
      </c>
      <c r="G659">
        <f t="shared" si="102"/>
        <v>0</v>
      </c>
      <c r="H659">
        <f t="shared" si="103"/>
        <v>2</v>
      </c>
      <c r="I659">
        <f t="shared" si="104"/>
        <v>29</v>
      </c>
      <c r="J659">
        <f t="shared" si="105"/>
        <v>149</v>
      </c>
      <c r="K659">
        <f t="shared" si="106"/>
        <v>3</v>
      </c>
      <c r="L659">
        <f t="shared" si="107"/>
        <v>200921</v>
      </c>
      <c r="M659">
        <f t="shared" si="108"/>
        <v>62254</v>
      </c>
      <c r="N659">
        <f t="shared" si="109"/>
        <v>311175</v>
      </c>
      <c r="O659">
        <f>IF(B659="zagraniczny",K659+O658,O658)</f>
        <v>343</v>
      </c>
    </row>
    <row r="660" spans="1:15" x14ac:dyDescent="0.25">
      <c r="A660">
        <v>99162491</v>
      </c>
      <c r="B660" t="str">
        <f t="shared" si="100"/>
        <v>komorkowy</v>
      </c>
      <c r="C660" s="1">
        <v>42927</v>
      </c>
      <c r="D660" s="2">
        <v>0.46738425925925925</v>
      </c>
      <c r="E660" s="2">
        <v>0.46800925925925924</v>
      </c>
      <c r="F660" s="2">
        <f t="shared" si="101"/>
        <v>6.2499999999998668E-4</v>
      </c>
      <c r="G660">
        <f t="shared" si="102"/>
        <v>0</v>
      </c>
      <c r="H660">
        <f t="shared" si="103"/>
        <v>0</v>
      </c>
      <c r="I660">
        <f t="shared" si="104"/>
        <v>54</v>
      </c>
      <c r="J660">
        <f t="shared" si="105"/>
        <v>54</v>
      </c>
      <c r="K660">
        <f t="shared" si="106"/>
        <v>1</v>
      </c>
      <c r="L660">
        <f t="shared" si="107"/>
        <v>200921</v>
      </c>
      <c r="M660">
        <f t="shared" si="108"/>
        <v>62308</v>
      </c>
      <c r="N660">
        <f t="shared" si="109"/>
        <v>311229</v>
      </c>
      <c r="O660">
        <f>IF(B660="zagraniczny",K660+O659,O659)</f>
        <v>343</v>
      </c>
    </row>
    <row r="661" spans="1:15" x14ac:dyDescent="0.25">
      <c r="A661">
        <v>3072421</v>
      </c>
      <c r="B661" t="str">
        <f t="shared" si="100"/>
        <v>stacjonarny</v>
      </c>
      <c r="C661" s="1">
        <v>42927</v>
      </c>
      <c r="D661" s="2">
        <v>0.46942129629629631</v>
      </c>
      <c r="E661" s="2">
        <v>0.47766203703703702</v>
      </c>
      <c r="F661" s="2">
        <f t="shared" si="101"/>
        <v>8.2407407407407152E-3</v>
      </c>
      <c r="G661">
        <f t="shared" si="102"/>
        <v>0</v>
      </c>
      <c r="H661">
        <f t="shared" si="103"/>
        <v>11</v>
      </c>
      <c r="I661">
        <f t="shared" si="104"/>
        <v>52</v>
      </c>
      <c r="J661">
        <f t="shared" si="105"/>
        <v>712</v>
      </c>
      <c r="K661">
        <f t="shared" si="106"/>
        <v>12</v>
      </c>
      <c r="L661">
        <f t="shared" si="107"/>
        <v>201633</v>
      </c>
      <c r="M661">
        <f t="shared" si="108"/>
        <v>62308</v>
      </c>
      <c r="N661">
        <f t="shared" si="109"/>
        <v>311941</v>
      </c>
      <c r="O661">
        <f>IF(B661="zagraniczny",K661+O660,O660)</f>
        <v>343</v>
      </c>
    </row>
    <row r="662" spans="1:15" x14ac:dyDescent="0.25">
      <c r="A662">
        <v>1909553</v>
      </c>
      <c r="B662" t="str">
        <f t="shared" si="100"/>
        <v>stacjonarny</v>
      </c>
      <c r="C662" s="1">
        <v>42927</v>
      </c>
      <c r="D662" s="2">
        <v>0.47193287037037035</v>
      </c>
      <c r="E662" s="2">
        <v>0.47763888888888889</v>
      </c>
      <c r="F662" s="2">
        <f t="shared" si="101"/>
        <v>5.7060185185185408E-3</v>
      </c>
      <c r="G662">
        <f t="shared" si="102"/>
        <v>0</v>
      </c>
      <c r="H662">
        <f t="shared" si="103"/>
        <v>8</v>
      </c>
      <c r="I662">
        <f t="shared" si="104"/>
        <v>13</v>
      </c>
      <c r="J662">
        <f t="shared" si="105"/>
        <v>493</v>
      </c>
      <c r="K662">
        <f t="shared" si="106"/>
        <v>9</v>
      </c>
      <c r="L662">
        <f t="shared" si="107"/>
        <v>202126</v>
      </c>
      <c r="M662">
        <f t="shared" si="108"/>
        <v>62308</v>
      </c>
      <c r="N662">
        <f t="shared" si="109"/>
        <v>312434</v>
      </c>
      <c r="O662">
        <f>IF(B662="zagraniczny",K662+O661,O661)</f>
        <v>343</v>
      </c>
    </row>
    <row r="663" spans="1:15" x14ac:dyDescent="0.25">
      <c r="A663">
        <v>62836073</v>
      </c>
      <c r="B663" t="str">
        <f t="shared" si="100"/>
        <v>komorkowy</v>
      </c>
      <c r="C663" s="1">
        <v>42927</v>
      </c>
      <c r="D663" s="2">
        <v>0.47739583333333335</v>
      </c>
      <c r="E663" s="2">
        <v>0.48168981481481482</v>
      </c>
      <c r="F663" s="2">
        <f t="shared" si="101"/>
        <v>4.2939814814814681E-3</v>
      </c>
      <c r="G663">
        <f t="shared" si="102"/>
        <v>0</v>
      </c>
      <c r="H663">
        <f t="shared" si="103"/>
        <v>6</v>
      </c>
      <c r="I663">
        <f t="shared" si="104"/>
        <v>11</v>
      </c>
      <c r="J663">
        <f t="shared" si="105"/>
        <v>371</v>
      </c>
      <c r="K663">
        <f t="shared" si="106"/>
        <v>7</v>
      </c>
      <c r="L663">
        <f t="shared" si="107"/>
        <v>202126</v>
      </c>
      <c r="M663">
        <f t="shared" si="108"/>
        <v>62679</v>
      </c>
      <c r="N663">
        <f t="shared" si="109"/>
        <v>312805</v>
      </c>
      <c r="O663">
        <f>IF(B663="zagraniczny",K663+O662,O662)</f>
        <v>343</v>
      </c>
    </row>
    <row r="664" spans="1:15" x14ac:dyDescent="0.25">
      <c r="A664">
        <v>9566647</v>
      </c>
      <c r="B664" t="str">
        <f t="shared" si="100"/>
        <v>stacjonarny</v>
      </c>
      <c r="C664" s="1">
        <v>42927</v>
      </c>
      <c r="D664" s="2">
        <v>0.48005787037037034</v>
      </c>
      <c r="E664" s="2">
        <v>0.48971064814814813</v>
      </c>
      <c r="F664" s="2">
        <f t="shared" si="101"/>
        <v>9.6527777777777879E-3</v>
      </c>
      <c r="G664">
        <f t="shared" si="102"/>
        <v>0</v>
      </c>
      <c r="H664">
        <f t="shared" si="103"/>
        <v>13</v>
      </c>
      <c r="I664">
        <f t="shared" si="104"/>
        <v>54</v>
      </c>
      <c r="J664">
        <f t="shared" si="105"/>
        <v>834</v>
      </c>
      <c r="K664">
        <f t="shared" si="106"/>
        <v>14</v>
      </c>
      <c r="L664">
        <f t="shared" si="107"/>
        <v>202960</v>
      </c>
      <c r="M664">
        <f t="shared" si="108"/>
        <v>62679</v>
      </c>
      <c r="N664">
        <f t="shared" si="109"/>
        <v>313639</v>
      </c>
      <c r="O664">
        <f>IF(B664="zagraniczny",K664+O663,O663)</f>
        <v>343</v>
      </c>
    </row>
    <row r="665" spans="1:15" x14ac:dyDescent="0.25">
      <c r="A665">
        <v>5833452</v>
      </c>
      <c r="B665" t="str">
        <f t="shared" si="100"/>
        <v>stacjonarny</v>
      </c>
      <c r="C665" s="1">
        <v>42927</v>
      </c>
      <c r="D665" s="2">
        <v>0.48511574074074076</v>
      </c>
      <c r="E665" s="2">
        <v>0.49502314814814813</v>
      </c>
      <c r="F665" s="2">
        <f t="shared" si="101"/>
        <v>9.9074074074073648E-3</v>
      </c>
      <c r="G665">
        <f t="shared" si="102"/>
        <v>0</v>
      </c>
      <c r="H665">
        <f t="shared" si="103"/>
        <v>14</v>
      </c>
      <c r="I665">
        <f t="shared" si="104"/>
        <v>16</v>
      </c>
      <c r="J665">
        <f t="shared" si="105"/>
        <v>856</v>
      </c>
      <c r="K665">
        <f t="shared" si="106"/>
        <v>15</v>
      </c>
      <c r="L665">
        <f t="shared" si="107"/>
        <v>203816</v>
      </c>
      <c r="M665">
        <f t="shared" si="108"/>
        <v>62679</v>
      </c>
      <c r="N665">
        <f t="shared" si="109"/>
        <v>314495</v>
      </c>
      <c r="O665">
        <f>IF(B665="zagraniczny",K665+O664,O664)</f>
        <v>343</v>
      </c>
    </row>
    <row r="666" spans="1:15" x14ac:dyDescent="0.25">
      <c r="A666">
        <v>10760583</v>
      </c>
      <c r="B666" t="str">
        <f t="shared" si="100"/>
        <v>komorkowy</v>
      </c>
      <c r="C666" s="1">
        <v>42927</v>
      </c>
      <c r="D666" s="2">
        <v>0.48994212962962963</v>
      </c>
      <c r="E666" s="2">
        <v>0.4914351851851852</v>
      </c>
      <c r="F666" s="2">
        <f t="shared" si="101"/>
        <v>1.4930555555555669E-3</v>
      </c>
      <c r="G666">
        <f t="shared" si="102"/>
        <v>0</v>
      </c>
      <c r="H666">
        <f t="shared" si="103"/>
        <v>2</v>
      </c>
      <c r="I666">
        <f t="shared" si="104"/>
        <v>9</v>
      </c>
      <c r="J666">
        <f t="shared" si="105"/>
        <v>129</v>
      </c>
      <c r="K666">
        <f t="shared" si="106"/>
        <v>3</v>
      </c>
      <c r="L666">
        <f t="shared" si="107"/>
        <v>203816</v>
      </c>
      <c r="M666">
        <f t="shared" si="108"/>
        <v>62808</v>
      </c>
      <c r="N666">
        <f t="shared" si="109"/>
        <v>314624</v>
      </c>
      <c r="O666">
        <f>IF(B666="zagraniczny",K666+O665,O665)</f>
        <v>343</v>
      </c>
    </row>
    <row r="667" spans="1:15" x14ac:dyDescent="0.25">
      <c r="A667">
        <v>39669014</v>
      </c>
      <c r="B667" t="str">
        <f t="shared" si="100"/>
        <v>komorkowy</v>
      </c>
      <c r="C667" s="1">
        <v>42927</v>
      </c>
      <c r="D667" s="2">
        <v>0.49035879629629631</v>
      </c>
      <c r="E667" s="2">
        <v>0.49082175925925925</v>
      </c>
      <c r="F667" s="2">
        <f t="shared" si="101"/>
        <v>4.6296296296294281E-4</v>
      </c>
      <c r="G667">
        <f t="shared" si="102"/>
        <v>0</v>
      </c>
      <c r="H667">
        <f t="shared" si="103"/>
        <v>0</v>
      </c>
      <c r="I667">
        <f t="shared" si="104"/>
        <v>40</v>
      </c>
      <c r="J667">
        <f t="shared" si="105"/>
        <v>40</v>
      </c>
      <c r="K667">
        <f t="shared" si="106"/>
        <v>1</v>
      </c>
      <c r="L667">
        <f t="shared" si="107"/>
        <v>203816</v>
      </c>
      <c r="M667">
        <f t="shared" si="108"/>
        <v>62848</v>
      </c>
      <c r="N667">
        <f t="shared" si="109"/>
        <v>314664</v>
      </c>
      <c r="O667">
        <f>IF(B667="zagraniczny",K667+O666,O666)</f>
        <v>343</v>
      </c>
    </row>
    <row r="668" spans="1:15" x14ac:dyDescent="0.25">
      <c r="A668">
        <v>5147651</v>
      </c>
      <c r="B668" t="str">
        <f t="shared" si="100"/>
        <v>stacjonarny</v>
      </c>
      <c r="C668" s="1">
        <v>42927</v>
      </c>
      <c r="D668" s="2">
        <v>0.49399305555555556</v>
      </c>
      <c r="E668" s="2">
        <v>0.4959027777777778</v>
      </c>
      <c r="F668" s="2">
        <f t="shared" si="101"/>
        <v>1.9097222222222432E-3</v>
      </c>
      <c r="G668">
        <f t="shared" si="102"/>
        <v>0</v>
      </c>
      <c r="H668">
        <f t="shared" si="103"/>
        <v>2</v>
      </c>
      <c r="I668">
        <f t="shared" si="104"/>
        <v>45</v>
      </c>
      <c r="J668">
        <f t="shared" si="105"/>
        <v>165</v>
      </c>
      <c r="K668">
        <f t="shared" si="106"/>
        <v>3</v>
      </c>
      <c r="L668">
        <f t="shared" si="107"/>
        <v>203981</v>
      </c>
      <c r="M668">
        <f t="shared" si="108"/>
        <v>62848</v>
      </c>
      <c r="N668">
        <f t="shared" si="109"/>
        <v>314829</v>
      </c>
      <c r="O668">
        <f>IF(B668="zagraniczny",K668+O667,O667)</f>
        <v>343</v>
      </c>
    </row>
    <row r="669" spans="1:15" x14ac:dyDescent="0.25">
      <c r="A669">
        <v>41144838</v>
      </c>
      <c r="B669" t="str">
        <f t="shared" si="100"/>
        <v>komorkowy</v>
      </c>
      <c r="C669" s="1">
        <v>42927</v>
      </c>
      <c r="D669" s="2">
        <v>0.49949074074074074</v>
      </c>
      <c r="E669" s="2">
        <v>0.50931712962962961</v>
      </c>
      <c r="F669" s="2">
        <f t="shared" si="101"/>
        <v>9.8263888888888706E-3</v>
      </c>
      <c r="G669">
        <f t="shared" si="102"/>
        <v>0</v>
      </c>
      <c r="H669">
        <f t="shared" si="103"/>
        <v>14</v>
      </c>
      <c r="I669">
        <f t="shared" si="104"/>
        <v>9</v>
      </c>
      <c r="J669">
        <f t="shared" si="105"/>
        <v>849</v>
      </c>
      <c r="K669">
        <f t="shared" si="106"/>
        <v>15</v>
      </c>
      <c r="L669">
        <f t="shared" si="107"/>
        <v>203981</v>
      </c>
      <c r="M669">
        <f t="shared" si="108"/>
        <v>63697</v>
      </c>
      <c r="N669">
        <f t="shared" si="109"/>
        <v>315678</v>
      </c>
      <c r="O669">
        <f>IF(B669="zagraniczny",K669+O668,O668)</f>
        <v>343</v>
      </c>
    </row>
    <row r="670" spans="1:15" x14ac:dyDescent="0.25">
      <c r="A670">
        <v>1332513</v>
      </c>
      <c r="B670" t="str">
        <f t="shared" si="100"/>
        <v>stacjonarny</v>
      </c>
      <c r="C670" s="1">
        <v>42927</v>
      </c>
      <c r="D670" s="2">
        <v>0.50326388888888884</v>
      </c>
      <c r="E670" s="2">
        <v>0.50407407407407412</v>
      </c>
      <c r="F670" s="2">
        <f t="shared" si="101"/>
        <v>8.1018518518527483E-4</v>
      </c>
      <c r="G670">
        <f t="shared" si="102"/>
        <v>0</v>
      </c>
      <c r="H670">
        <f t="shared" si="103"/>
        <v>1</v>
      </c>
      <c r="I670">
        <f t="shared" si="104"/>
        <v>10</v>
      </c>
      <c r="J670">
        <f t="shared" si="105"/>
        <v>70</v>
      </c>
      <c r="K670">
        <f t="shared" si="106"/>
        <v>2</v>
      </c>
      <c r="L670">
        <f t="shared" si="107"/>
        <v>204051</v>
      </c>
      <c r="M670">
        <f t="shared" si="108"/>
        <v>63697</v>
      </c>
      <c r="N670">
        <f t="shared" si="109"/>
        <v>315748</v>
      </c>
      <c r="O670">
        <f>IF(B670="zagraniczny",K670+O669,O669)</f>
        <v>343</v>
      </c>
    </row>
    <row r="671" spans="1:15" x14ac:dyDescent="0.25">
      <c r="A671">
        <v>7743548</v>
      </c>
      <c r="B671" t="str">
        <f t="shared" si="100"/>
        <v>stacjonarny</v>
      </c>
      <c r="C671" s="1">
        <v>42927</v>
      </c>
      <c r="D671" s="2">
        <v>0.50376157407407407</v>
      </c>
      <c r="E671" s="2">
        <v>0.50907407407407412</v>
      </c>
      <c r="F671" s="2">
        <f t="shared" si="101"/>
        <v>5.3125000000000533E-3</v>
      </c>
      <c r="G671">
        <f t="shared" si="102"/>
        <v>0</v>
      </c>
      <c r="H671">
        <f t="shared" si="103"/>
        <v>7</v>
      </c>
      <c r="I671">
        <f t="shared" si="104"/>
        <v>39</v>
      </c>
      <c r="J671">
        <f t="shared" si="105"/>
        <v>459</v>
      </c>
      <c r="K671">
        <f t="shared" si="106"/>
        <v>8</v>
      </c>
      <c r="L671">
        <f t="shared" si="107"/>
        <v>204510</v>
      </c>
      <c r="M671">
        <f t="shared" si="108"/>
        <v>63697</v>
      </c>
      <c r="N671">
        <f t="shared" si="109"/>
        <v>316207</v>
      </c>
      <c r="O671">
        <f>IF(B671="zagraniczny",K671+O670,O670)</f>
        <v>343</v>
      </c>
    </row>
    <row r="672" spans="1:15" x14ac:dyDescent="0.25">
      <c r="A672">
        <v>7451541965</v>
      </c>
      <c r="B672" t="str">
        <f t="shared" si="100"/>
        <v>zagraniczny</v>
      </c>
      <c r="C672" s="1">
        <v>42927</v>
      </c>
      <c r="D672" s="2">
        <v>0.50866898148148143</v>
      </c>
      <c r="E672" s="2">
        <v>0.51324074074074078</v>
      </c>
      <c r="F672" s="2">
        <f t="shared" si="101"/>
        <v>4.5717592592593448E-3</v>
      </c>
      <c r="G672">
        <f t="shared" si="102"/>
        <v>0</v>
      </c>
      <c r="H672">
        <f t="shared" si="103"/>
        <v>6</v>
      </c>
      <c r="I672">
        <f t="shared" si="104"/>
        <v>35</v>
      </c>
      <c r="J672">
        <f t="shared" si="105"/>
        <v>395</v>
      </c>
      <c r="K672">
        <f t="shared" si="106"/>
        <v>7</v>
      </c>
      <c r="L672">
        <f t="shared" si="107"/>
        <v>204510</v>
      </c>
      <c r="M672">
        <f t="shared" si="108"/>
        <v>63697</v>
      </c>
      <c r="N672">
        <f t="shared" si="109"/>
        <v>316207</v>
      </c>
      <c r="O672">
        <f>IF(B672="zagraniczny",K672+O671,O671)</f>
        <v>350</v>
      </c>
    </row>
    <row r="673" spans="1:15" x14ac:dyDescent="0.25">
      <c r="A673">
        <v>2109147679</v>
      </c>
      <c r="B673" t="str">
        <f t="shared" si="100"/>
        <v>zagraniczny</v>
      </c>
      <c r="C673" s="1">
        <v>42927</v>
      </c>
      <c r="D673" s="2">
        <v>0.51282407407407404</v>
      </c>
      <c r="E673" s="2">
        <v>0.51666666666666672</v>
      </c>
      <c r="F673" s="2">
        <f t="shared" si="101"/>
        <v>3.8425925925926752E-3</v>
      </c>
      <c r="G673">
        <f t="shared" si="102"/>
        <v>0</v>
      </c>
      <c r="H673">
        <f t="shared" si="103"/>
        <v>5</v>
      </c>
      <c r="I673">
        <f t="shared" si="104"/>
        <v>32</v>
      </c>
      <c r="J673">
        <f t="shared" si="105"/>
        <v>332</v>
      </c>
      <c r="K673">
        <f t="shared" si="106"/>
        <v>6</v>
      </c>
      <c r="L673">
        <f t="shared" si="107"/>
        <v>204510</v>
      </c>
      <c r="M673">
        <f t="shared" si="108"/>
        <v>63697</v>
      </c>
      <c r="N673">
        <f t="shared" si="109"/>
        <v>316207</v>
      </c>
      <c r="O673">
        <f>IF(B673="zagraniczny",K673+O672,O672)</f>
        <v>356</v>
      </c>
    </row>
    <row r="674" spans="1:15" x14ac:dyDescent="0.25">
      <c r="A674">
        <v>5022247</v>
      </c>
      <c r="B674" t="str">
        <f t="shared" si="100"/>
        <v>stacjonarny</v>
      </c>
      <c r="C674" s="1">
        <v>42927</v>
      </c>
      <c r="D674" s="2">
        <v>0.51854166666666668</v>
      </c>
      <c r="E674" s="2">
        <v>0.52810185185185188</v>
      </c>
      <c r="F674" s="2">
        <f t="shared" si="101"/>
        <v>9.5601851851851993E-3</v>
      </c>
      <c r="G674">
        <f t="shared" si="102"/>
        <v>0</v>
      </c>
      <c r="H674">
        <f t="shared" si="103"/>
        <v>13</v>
      </c>
      <c r="I674">
        <f t="shared" si="104"/>
        <v>46</v>
      </c>
      <c r="J674">
        <f t="shared" si="105"/>
        <v>826</v>
      </c>
      <c r="K674">
        <f t="shared" si="106"/>
        <v>14</v>
      </c>
      <c r="L674">
        <f t="shared" si="107"/>
        <v>205336</v>
      </c>
      <c r="M674">
        <f t="shared" si="108"/>
        <v>63697</v>
      </c>
      <c r="N674">
        <f t="shared" si="109"/>
        <v>317033</v>
      </c>
      <c r="O674">
        <f>IF(B674="zagraniczny",K674+O673,O673)</f>
        <v>356</v>
      </c>
    </row>
    <row r="675" spans="1:15" x14ac:dyDescent="0.25">
      <c r="A675">
        <v>2920581</v>
      </c>
      <c r="B675" t="str">
        <f t="shared" si="100"/>
        <v>stacjonarny</v>
      </c>
      <c r="C675" s="1">
        <v>42927</v>
      </c>
      <c r="D675" s="2">
        <v>0.52399305555555553</v>
      </c>
      <c r="E675" s="2">
        <v>0.53120370370370373</v>
      </c>
      <c r="F675" s="2">
        <f t="shared" si="101"/>
        <v>7.2106481481482021E-3</v>
      </c>
      <c r="G675">
        <f t="shared" si="102"/>
        <v>0</v>
      </c>
      <c r="H675">
        <f t="shared" si="103"/>
        <v>10</v>
      </c>
      <c r="I675">
        <f t="shared" si="104"/>
        <v>23</v>
      </c>
      <c r="J675">
        <f t="shared" si="105"/>
        <v>623</v>
      </c>
      <c r="K675">
        <f t="shared" si="106"/>
        <v>11</v>
      </c>
      <c r="L675">
        <f t="shared" si="107"/>
        <v>205959</v>
      </c>
      <c r="M675">
        <f t="shared" si="108"/>
        <v>63697</v>
      </c>
      <c r="N675">
        <f t="shared" si="109"/>
        <v>317656</v>
      </c>
      <c r="O675">
        <f>IF(B675="zagraniczny",K675+O674,O674)</f>
        <v>356</v>
      </c>
    </row>
    <row r="676" spans="1:15" x14ac:dyDescent="0.25">
      <c r="A676">
        <v>7126980</v>
      </c>
      <c r="B676" t="str">
        <f t="shared" si="100"/>
        <v>stacjonarny</v>
      </c>
      <c r="C676" s="1">
        <v>42927</v>
      </c>
      <c r="D676" s="2">
        <v>0.52592592592592591</v>
      </c>
      <c r="E676" s="2">
        <v>0.53515046296296298</v>
      </c>
      <c r="F676" s="2">
        <f t="shared" si="101"/>
        <v>9.2245370370370727E-3</v>
      </c>
      <c r="G676">
        <f t="shared" si="102"/>
        <v>0</v>
      </c>
      <c r="H676">
        <f t="shared" si="103"/>
        <v>13</v>
      </c>
      <c r="I676">
        <f t="shared" si="104"/>
        <v>17</v>
      </c>
      <c r="J676">
        <f t="shared" si="105"/>
        <v>797</v>
      </c>
      <c r="K676">
        <f t="shared" si="106"/>
        <v>14</v>
      </c>
      <c r="L676">
        <f t="shared" si="107"/>
        <v>206756</v>
      </c>
      <c r="M676">
        <f t="shared" si="108"/>
        <v>63697</v>
      </c>
      <c r="N676">
        <f t="shared" si="109"/>
        <v>318453</v>
      </c>
      <c r="O676">
        <f>IF(B676="zagraniczny",K676+O675,O675)</f>
        <v>356</v>
      </c>
    </row>
    <row r="677" spans="1:15" x14ac:dyDescent="0.25">
      <c r="A677">
        <v>54006070</v>
      </c>
      <c r="B677" t="str">
        <f t="shared" si="100"/>
        <v>komorkowy</v>
      </c>
      <c r="C677" s="1">
        <v>42927</v>
      </c>
      <c r="D677" s="2">
        <v>0.53164351851851854</v>
      </c>
      <c r="E677" s="2">
        <v>0.53324074074074079</v>
      </c>
      <c r="F677" s="2">
        <f t="shared" si="101"/>
        <v>1.5972222222222499E-3</v>
      </c>
      <c r="G677">
        <f t="shared" si="102"/>
        <v>0</v>
      </c>
      <c r="H677">
        <f t="shared" si="103"/>
        <v>2</v>
      </c>
      <c r="I677">
        <f t="shared" si="104"/>
        <v>18</v>
      </c>
      <c r="J677">
        <f t="shared" si="105"/>
        <v>138</v>
      </c>
      <c r="K677">
        <f t="shared" si="106"/>
        <v>3</v>
      </c>
      <c r="L677">
        <f t="shared" si="107"/>
        <v>206756</v>
      </c>
      <c r="M677">
        <f t="shared" si="108"/>
        <v>63835</v>
      </c>
      <c r="N677">
        <f t="shared" si="109"/>
        <v>318591</v>
      </c>
      <c r="O677">
        <f>IF(B677="zagraniczny",K677+O676,O676)</f>
        <v>356</v>
      </c>
    </row>
    <row r="678" spans="1:15" x14ac:dyDescent="0.25">
      <c r="A678">
        <v>8672651</v>
      </c>
      <c r="B678" t="str">
        <f t="shared" si="100"/>
        <v>stacjonarny</v>
      </c>
      <c r="C678" s="1">
        <v>42927</v>
      </c>
      <c r="D678" s="2">
        <v>0.53401620370370373</v>
      </c>
      <c r="E678" s="2">
        <v>0.54462962962962957</v>
      </c>
      <c r="F678" s="2">
        <f t="shared" si="101"/>
        <v>1.0613425925925846E-2</v>
      </c>
      <c r="G678">
        <f t="shared" si="102"/>
        <v>0</v>
      </c>
      <c r="H678">
        <f t="shared" si="103"/>
        <v>15</v>
      </c>
      <c r="I678">
        <f t="shared" si="104"/>
        <v>17</v>
      </c>
      <c r="J678">
        <f t="shared" si="105"/>
        <v>917</v>
      </c>
      <c r="K678">
        <f t="shared" si="106"/>
        <v>16</v>
      </c>
      <c r="L678">
        <f t="shared" si="107"/>
        <v>207673</v>
      </c>
      <c r="M678">
        <f t="shared" si="108"/>
        <v>63835</v>
      </c>
      <c r="N678">
        <f t="shared" si="109"/>
        <v>319508</v>
      </c>
      <c r="O678">
        <f>IF(B678="zagraniczny",K678+O677,O677)</f>
        <v>356</v>
      </c>
    </row>
    <row r="679" spans="1:15" x14ac:dyDescent="0.25">
      <c r="A679">
        <v>54136845</v>
      </c>
      <c r="B679" t="str">
        <f t="shared" si="100"/>
        <v>komorkowy</v>
      </c>
      <c r="C679" s="1">
        <v>42927</v>
      </c>
      <c r="D679" s="2">
        <v>0.53920138888888891</v>
      </c>
      <c r="E679" s="2">
        <v>0.54092592592592592</v>
      </c>
      <c r="F679" s="2">
        <f t="shared" si="101"/>
        <v>1.7245370370370106E-3</v>
      </c>
      <c r="G679">
        <f t="shared" si="102"/>
        <v>0</v>
      </c>
      <c r="H679">
        <f t="shared" si="103"/>
        <v>2</v>
      </c>
      <c r="I679">
        <f t="shared" si="104"/>
        <v>29</v>
      </c>
      <c r="J679">
        <f t="shared" si="105"/>
        <v>149</v>
      </c>
      <c r="K679">
        <f t="shared" si="106"/>
        <v>3</v>
      </c>
      <c r="L679">
        <f t="shared" si="107"/>
        <v>207673</v>
      </c>
      <c r="M679">
        <f t="shared" si="108"/>
        <v>63984</v>
      </c>
      <c r="N679">
        <f t="shared" si="109"/>
        <v>319657</v>
      </c>
      <c r="O679">
        <f>IF(B679="zagraniczny",K679+O678,O678)</f>
        <v>356</v>
      </c>
    </row>
    <row r="680" spans="1:15" x14ac:dyDescent="0.25">
      <c r="A680">
        <v>5223970</v>
      </c>
      <c r="B680" t="str">
        <f t="shared" si="100"/>
        <v>stacjonarny</v>
      </c>
      <c r="C680" s="1">
        <v>42927</v>
      </c>
      <c r="D680" s="2">
        <v>0.53920138888888891</v>
      </c>
      <c r="E680" s="2">
        <v>0.55046296296296293</v>
      </c>
      <c r="F680" s="2">
        <f t="shared" si="101"/>
        <v>1.1261574074074021E-2</v>
      </c>
      <c r="G680">
        <f t="shared" si="102"/>
        <v>0</v>
      </c>
      <c r="H680">
        <f t="shared" si="103"/>
        <v>16</v>
      </c>
      <c r="I680">
        <f t="shared" si="104"/>
        <v>13</v>
      </c>
      <c r="J680">
        <f t="shared" si="105"/>
        <v>973</v>
      </c>
      <c r="K680">
        <f t="shared" si="106"/>
        <v>17</v>
      </c>
      <c r="L680">
        <f t="shared" si="107"/>
        <v>208646</v>
      </c>
      <c r="M680">
        <f t="shared" si="108"/>
        <v>63984</v>
      </c>
      <c r="N680">
        <f t="shared" si="109"/>
        <v>320630</v>
      </c>
      <c r="O680">
        <f>IF(B680="zagraniczny",K680+O679,O679)</f>
        <v>356</v>
      </c>
    </row>
    <row r="681" spans="1:15" x14ac:dyDescent="0.25">
      <c r="A681">
        <v>4264808</v>
      </c>
      <c r="B681" t="str">
        <f t="shared" si="100"/>
        <v>stacjonarny</v>
      </c>
      <c r="C681" s="1">
        <v>42927</v>
      </c>
      <c r="D681" s="2">
        <v>0.53950231481481481</v>
      </c>
      <c r="E681" s="2">
        <v>0.55071759259259256</v>
      </c>
      <c r="F681" s="2">
        <f t="shared" si="101"/>
        <v>1.1215277777777755E-2</v>
      </c>
      <c r="G681">
        <f t="shared" si="102"/>
        <v>0</v>
      </c>
      <c r="H681">
        <f t="shared" si="103"/>
        <v>16</v>
      </c>
      <c r="I681">
        <f t="shared" si="104"/>
        <v>9</v>
      </c>
      <c r="J681">
        <f t="shared" si="105"/>
        <v>969</v>
      </c>
      <c r="K681">
        <f t="shared" si="106"/>
        <v>17</v>
      </c>
      <c r="L681">
        <f t="shared" si="107"/>
        <v>209615</v>
      </c>
      <c r="M681">
        <f t="shared" si="108"/>
        <v>63984</v>
      </c>
      <c r="N681">
        <f t="shared" si="109"/>
        <v>321599</v>
      </c>
      <c r="O681">
        <f>IF(B681="zagraniczny",K681+O680,O680)</f>
        <v>356</v>
      </c>
    </row>
    <row r="682" spans="1:15" x14ac:dyDescent="0.25">
      <c r="A682">
        <v>5790304</v>
      </c>
      <c r="B682" t="str">
        <f t="shared" si="100"/>
        <v>stacjonarny</v>
      </c>
      <c r="C682" s="1">
        <v>42927</v>
      </c>
      <c r="D682" s="2">
        <v>0.539525462962963</v>
      </c>
      <c r="E682" s="2">
        <v>0.54025462962962967</v>
      </c>
      <c r="F682" s="2">
        <f t="shared" si="101"/>
        <v>7.2916666666666963E-4</v>
      </c>
      <c r="G682">
        <f t="shared" si="102"/>
        <v>0</v>
      </c>
      <c r="H682">
        <f t="shared" si="103"/>
        <v>1</v>
      </c>
      <c r="I682">
        <f t="shared" si="104"/>
        <v>3</v>
      </c>
      <c r="J682">
        <f t="shared" si="105"/>
        <v>63</v>
      </c>
      <c r="K682">
        <f t="shared" si="106"/>
        <v>2</v>
      </c>
      <c r="L682">
        <f t="shared" si="107"/>
        <v>209678</v>
      </c>
      <c r="M682">
        <f t="shared" si="108"/>
        <v>63984</v>
      </c>
      <c r="N682">
        <f t="shared" si="109"/>
        <v>321662</v>
      </c>
      <c r="O682">
        <f>IF(B682="zagraniczny",K682+O681,O681)</f>
        <v>356</v>
      </c>
    </row>
    <row r="683" spans="1:15" x14ac:dyDescent="0.25">
      <c r="A683">
        <v>13484133</v>
      </c>
      <c r="B683" t="str">
        <f t="shared" si="100"/>
        <v>komorkowy</v>
      </c>
      <c r="C683" s="1">
        <v>42927</v>
      </c>
      <c r="D683" s="2">
        <v>0.54137731481481477</v>
      </c>
      <c r="E683" s="2">
        <v>0.54577546296296298</v>
      </c>
      <c r="F683" s="2">
        <f t="shared" si="101"/>
        <v>4.3981481481482065E-3</v>
      </c>
      <c r="G683">
        <f t="shared" si="102"/>
        <v>0</v>
      </c>
      <c r="H683">
        <f t="shared" si="103"/>
        <v>6</v>
      </c>
      <c r="I683">
        <f t="shared" si="104"/>
        <v>20</v>
      </c>
      <c r="J683">
        <f t="shared" si="105"/>
        <v>380</v>
      </c>
      <c r="K683">
        <f t="shared" si="106"/>
        <v>7</v>
      </c>
      <c r="L683">
        <f t="shared" si="107"/>
        <v>209678</v>
      </c>
      <c r="M683">
        <f t="shared" si="108"/>
        <v>64364</v>
      </c>
      <c r="N683">
        <f t="shared" si="109"/>
        <v>322042</v>
      </c>
      <c r="O683">
        <f>IF(B683="zagraniczny",K683+O682,O682)</f>
        <v>356</v>
      </c>
    </row>
    <row r="684" spans="1:15" x14ac:dyDescent="0.25">
      <c r="A684">
        <v>6269166</v>
      </c>
      <c r="B684" t="str">
        <f t="shared" si="100"/>
        <v>stacjonarny</v>
      </c>
      <c r="C684" s="1">
        <v>42927</v>
      </c>
      <c r="D684" s="2">
        <v>0.54408564814814819</v>
      </c>
      <c r="E684" s="2">
        <v>0.55355324074074075</v>
      </c>
      <c r="F684" s="2">
        <f t="shared" si="101"/>
        <v>9.4675925925925553E-3</v>
      </c>
      <c r="G684">
        <f t="shared" si="102"/>
        <v>0</v>
      </c>
      <c r="H684">
        <f t="shared" si="103"/>
        <v>13</v>
      </c>
      <c r="I684">
        <f t="shared" si="104"/>
        <v>38</v>
      </c>
      <c r="J684">
        <f t="shared" si="105"/>
        <v>818</v>
      </c>
      <c r="K684">
        <f t="shared" si="106"/>
        <v>14</v>
      </c>
      <c r="L684">
        <f t="shared" si="107"/>
        <v>210496</v>
      </c>
      <c r="M684">
        <f t="shared" si="108"/>
        <v>64364</v>
      </c>
      <c r="N684">
        <f t="shared" si="109"/>
        <v>322860</v>
      </c>
      <c r="O684">
        <f>IF(B684="zagraniczny",K684+O683,O683)</f>
        <v>356</v>
      </c>
    </row>
    <row r="685" spans="1:15" x14ac:dyDescent="0.25">
      <c r="A685">
        <v>5089019</v>
      </c>
      <c r="B685" t="str">
        <f t="shared" si="100"/>
        <v>stacjonarny</v>
      </c>
      <c r="C685" s="1">
        <v>42927</v>
      </c>
      <c r="D685" s="2">
        <v>0.54431712962962964</v>
      </c>
      <c r="E685" s="2">
        <v>0.54921296296296296</v>
      </c>
      <c r="F685" s="2">
        <f t="shared" si="101"/>
        <v>4.8958333333333215E-3</v>
      </c>
      <c r="G685">
        <f t="shared" si="102"/>
        <v>0</v>
      </c>
      <c r="H685">
        <f t="shared" si="103"/>
        <v>7</v>
      </c>
      <c r="I685">
        <f t="shared" si="104"/>
        <v>3</v>
      </c>
      <c r="J685">
        <f t="shared" si="105"/>
        <v>423</v>
      </c>
      <c r="K685">
        <f t="shared" si="106"/>
        <v>8</v>
      </c>
      <c r="L685">
        <f t="shared" si="107"/>
        <v>210919</v>
      </c>
      <c r="M685">
        <f t="shared" si="108"/>
        <v>64364</v>
      </c>
      <c r="N685">
        <f t="shared" si="109"/>
        <v>323283</v>
      </c>
      <c r="O685">
        <f>IF(B685="zagraniczny",K685+O684,O684)</f>
        <v>356</v>
      </c>
    </row>
    <row r="686" spans="1:15" x14ac:dyDescent="0.25">
      <c r="A686">
        <v>6994188</v>
      </c>
      <c r="B686" t="str">
        <f t="shared" si="100"/>
        <v>stacjonarny</v>
      </c>
      <c r="C686" s="1">
        <v>42927</v>
      </c>
      <c r="D686" s="2">
        <v>0.54797453703703702</v>
      </c>
      <c r="E686" s="2">
        <v>0.55550925925925931</v>
      </c>
      <c r="F686" s="2">
        <f t="shared" si="101"/>
        <v>7.5347222222222898E-3</v>
      </c>
      <c r="G686">
        <f t="shared" si="102"/>
        <v>0</v>
      </c>
      <c r="H686">
        <f t="shared" si="103"/>
        <v>10</v>
      </c>
      <c r="I686">
        <f t="shared" si="104"/>
        <v>51</v>
      </c>
      <c r="J686">
        <f t="shared" si="105"/>
        <v>651</v>
      </c>
      <c r="K686">
        <f t="shared" si="106"/>
        <v>11</v>
      </c>
      <c r="L686">
        <f t="shared" si="107"/>
        <v>211570</v>
      </c>
      <c r="M686">
        <f t="shared" si="108"/>
        <v>64364</v>
      </c>
      <c r="N686">
        <f t="shared" si="109"/>
        <v>323934</v>
      </c>
      <c r="O686">
        <f>IF(B686="zagraniczny",K686+O685,O685)</f>
        <v>356</v>
      </c>
    </row>
    <row r="687" spans="1:15" x14ac:dyDescent="0.25">
      <c r="A687">
        <v>16883712</v>
      </c>
      <c r="B687" t="str">
        <f t="shared" si="100"/>
        <v>komorkowy</v>
      </c>
      <c r="C687" s="1">
        <v>42927</v>
      </c>
      <c r="D687" s="2">
        <v>0.55070601851851853</v>
      </c>
      <c r="E687" s="2">
        <v>0.55662037037037038</v>
      </c>
      <c r="F687" s="2">
        <f t="shared" si="101"/>
        <v>5.9143518518518512E-3</v>
      </c>
      <c r="G687">
        <f t="shared" si="102"/>
        <v>0</v>
      </c>
      <c r="H687">
        <f t="shared" si="103"/>
        <v>8</v>
      </c>
      <c r="I687">
        <f t="shared" si="104"/>
        <v>31</v>
      </c>
      <c r="J687">
        <f t="shared" si="105"/>
        <v>511</v>
      </c>
      <c r="K687">
        <f t="shared" si="106"/>
        <v>9</v>
      </c>
      <c r="L687">
        <f t="shared" si="107"/>
        <v>211570</v>
      </c>
      <c r="M687">
        <f t="shared" si="108"/>
        <v>64875</v>
      </c>
      <c r="N687">
        <f t="shared" si="109"/>
        <v>324445</v>
      </c>
      <c r="O687">
        <f>IF(B687="zagraniczny",K687+O686,O686)</f>
        <v>356</v>
      </c>
    </row>
    <row r="688" spans="1:15" x14ac:dyDescent="0.25">
      <c r="A688">
        <v>2781512</v>
      </c>
      <c r="B688" t="str">
        <f t="shared" si="100"/>
        <v>stacjonarny</v>
      </c>
      <c r="C688" s="1">
        <v>42927</v>
      </c>
      <c r="D688" s="2">
        <v>0.55374999999999996</v>
      </c>
      <c r="E688" s="2">
        <v>0.56312499999999999</v>
      </c>
      <c r="F688" s="2">
        <f t="shared" si="101"/>
        <v>9.3750000000000222E-3</v>
      </c>
      <c r="G688">
        <f t="shared" si="102"/>
        <v>0</v>
      </c>
      <c r="H688">
        <f t="shared" si="103"/>
        <v>13</v>
      </c>
      <c r="I688">
        <f t="shared" si="104"/>
        <v>30</v>
      </c>
      <c r="J688">
        <f t="shared" si="105"/>
        <v>810</v>
      </c>
      <c r="K688">
        <f t="shared" si="106"/>
        <v>14</v>
      </c>
      <c r="L688">
        <f t="shared" si="107"/>
        <v>212380</v>
      </c>
      <c r="M688">
        <f t="shared" si="108"/>
        <v>64875</v>
      </c>
      <c r="N688">
        <f t="shared" si="109"/>
        <v>325255</v>
      </c>
      <c r="O688">
        <f>IF(B688="zagraniczny",K688+O687,O687)</f>
        <v>356</v>
      </c>
    </row>
    <row r="689" spans="1:15" x14ac:dyDescent="0.25">
      <c r="A689">
        <v>4273704</v>
      </c>
      <c r="B689" t="str">
        <f t="shared" si="100"/>
        <v>stacjonarny</v>
      </c>
      <c r="C689" s="1">
        <v>42927</v>
      </c>
      <c r="D689" s="2">
        <v>0.554224537037037</v>
      </c>
      <c r="E689" s="2">
        <v>0.56221064814814814</v>
      </c>
      <c r="F689" s="2">
        <f t="shared" si="101"/>
        <v>7.9861111111111382E-3</v>
      </c>
      <c r="G689">
        <f t="shared" si="102"/>
        <v>0</v>
      </c>
      <c r="H689">
        <f t="shared" si="103"/>
        <v>11</v>
      </c>
      <c r="I689">
        <f t="shared" si="104"/>
        <v>30</v>
      </c>
      <c r="J689">
        <f t="shared" si="105"/>
        <v>690</v>
      </c>
      <c r="K689">
        <f t="shared" si="106"/>
        <v>12</v>
      </c>
      <c r="L689">
        <f t="shared" si="107"/>
        <v>213070</v>
      </c>
      <c r="M689">
        <f t="shared" si="108"/>
        <v>64875</v>
      </c>
      <c r="N689">
        <f t="shared" si="109"/>
        <v>325945</v>
      </c>
      <c r="O689">
        <f>IF(B689="zagraniczny",K689+O688,O688)</f>
        <v>356</v>
      </c>
    </row>
    <row r="690" spans="1:15" x14ac:dyDescent="0.25">
      <c r="A690">
        <v>3707498</v>
      </c>
      <c r="B690" t="str">
        <f t="shared" si="100"/>
        <v>stacjonarny</v>
      </c>
      <c r="C690" s="1">
        <v>42927</v>
      </c>
      <c r="D690" s="2">
        <v>0.55982638888888892</v>
      </c>
      <c r="E690" s="2">
        <v>0.56802083333333331</v>
      </c>
      <c r="F690" s="2">
        <f t="shared" si="101"/>
        <v>8.1944444444443931E-3</v>
      </c>
      <c r="G690">
        <f t="shared" si="102"/>
        <v>0</v>
      </c>
      <c r="H690">
        <f t="shared" si="103"/>
        <v>11</v>
      </c>
      <c r="I690">
        <f t="shared" si="104"/>
        <v>48</v>
      </c>
      <c r="J690">
        <f t="shared" si="105"/>
        <v>708</v>
      </c>
      <c r="K690">
        <f t="shared" si="106"/>
        <v>12</v>
      </c>
      <c r="L690">
        <f t="shared" si="107"/>
        <v>213778</v>
      </c>
      <c r="M690">
        <f t="shared" si="108"/>
        <v>64875</v>
      </c>
      <c r="N690">
        <f t="shared" si="109"/>
        <v>326653</v>
      </c>
      <c r="O690">
        <f>IF(B690="zagraniczny",K690+O689,O689)</f>
        <v>356</v>
      </c>
    </row>
    <row r="691" spans="1:15" x14ac:dyDescent="0.25">
      <c r="A691">
        <v>3407358</v>
      </c>
      <c r="B691" t="str">
        <f t="shared" si="100"/>
        <v>stacjonarny</v>
      </c>
      <c r="C691" s="1">
        <v>42927</v>
      </c>
      <c r="D691" s="2">
        <v>0.56560185185185186</v>
      </c>
      <c r="E691" s="2">
        <v>0.56677083333333333</v>
      </c>
      <c r="F691" s="2">
        <f t="shared" si="101"/>
        <v>1.1689814814814792E-3</v>
      </c>
      <c r="G691">
        <f t="shared" si="102"/>
        <v>0</v>
      </c>
      <c r="H691">
        <f t="shared" si="103"/>
        <v>1</v>
      </c>
      <c r="I691">
        <f t="shared" si="104"/>
        <v>41</v>
      </c>
      <c r="J691">
        <f t="shared" si="105"/>
        <v>101</v>
      </c>
      <c r="K691">
        <f t="shared" si="106"/>
        <v>2</v>
      </c>
      <c r="L691">
        <f t="shared" si="107"/>
        <v>213879</v>
      </c>
      <c r="M691">
        <f t="shared" si="108"/>
        <v>64875</v>
      </c>
      <c r="N691">
        <f t="shared" si="109"/>
        <v>326754</v>
      </c>
      <c r="O691">
        <f>IF(B691="zagraniczny",K691+O690,O690)</f>
        <v>356</v>
      </c>
    </row>
    <row r="692" spans="1:15" x14ac:dyDescent="0.25">
      <c r="A692">
        <v>5251861</v>
      </c>
      <c r="B692" t="str">
        <f t="shared" si="100"/>
        <v>stacjonarny</v>
      </c>
      <c r="C692" s="1">
        <v>42927</v>
      </c>
      <c r="D692" s="2">
        <v>0.56940972222222219</v>
      </c>
      <c r="E692" s="2">
        <v>0.57149305555555552</v>
      </c>
      <c r="F692" s="2">
        <f t="shared" si="101"/>
        <v>2.0833333333333259E-3</v>
      </c>
      <c r="G692">
        <f t="shared" si="102"/>
        <v>0</v>
      </c>
      <c r="H692">
        <f t="shared" si="103"/>
        <v>3</v>
      </c>
      <c r="I692">
        <f t="shared" si="104"/>
        <v>0</v>
      </c>
      <c r="J692">
        <f t="shared" si="105"/>
        <v>180</v>
      </c>
      <c r="K692">
        <f t="shared" si="106"/>
        <v>3</v>
      </c>
      <c r="L692">
        <f t="shared" si="107"/>
        <v>214059</v>
      </c>
      <c r="M692">
        <f t="shared" si="108"/>
        <v>64875</v>
      </c>
      <c r="N692">
        <f t="shared" si="109"/>
        <v>326934</v>
      </c>
      <c r="O692">
        <f>IF(B692="zagraniczny",K692+O691,O691)</f>
        <v>356</v>
      </c>
    </row>
    <row r="693" spans="1:15" x14ac:dyDescent="0.25">
      <c r="A693">
        <v>7473070</v>
      </c>
      <c r="B693" t="str">
        <f t="shared" si="100"/>
        <v>stacjonarny</v>
      </c>
      <c r="C693" s="1">
        <v>42927</v>
      </c>
      <c r="D693" s="2">
        <v>0.57185185185185183</v>
      </c>
      <c r="E693" s="2">
        <v>0.58304398148148151</v>
      </c>
      <c r="F693" s="2">
        <f t="shared" si="101"/>
        <v>1.1192129629629677E-2</v>
      </c>
      <c r="G693">
        <f t="shared" si="102"/>
        <v>0</v>
      </c>
      <c r="H693">
        <f t="shared" si="103"/>
        <v>16</v>
      </c>
      <c r="I693">
        <f t="shared" si="104"/>
        <v>7</v>
      </c>
      <c r="J693">
        <f t="shared" si="105"/>
        <v>967</v>
      </c>
      <c r="K693">
        <f t="shared" si="106"/>
        <v>17</v>
      </c>
      <c r="L693">
        <f t="shared" si="107"/>
        <v>215026</v>
      </c>
      <c r="M693">
        <f t="shared" si="108"/>
        <v>64875</v>
      </c>
      <c r="N693">
        <f t="shared" si="109"/>
        <v>327901</v>
      </c>
      <c r="O693">
        <f>IF(B693="zagraniczny",K693+O692,O692)</f>
        <v>356</v>
      </c>
    </row>
    <row r="694" spans="1:15" x14ac:dyDescent="0.25">
      <c r="A694">
        <v>3596504</v>
      </c>
      <c r="B694" t="str">
        <f t="shared" si="100"/>
        <v>stacjonarny</v>
      </c>
      <c r="C694" s="1">
        <v>42927</v>
      </c>
      <c r="D694" s="2">
        <v>0.57592592592592595</v>
      </c>
      <c r="E694" s="2">
        <v>0.58302083333333332</v>
      </c>
      <c r="F694" s="2">
        <f t="shared" si="101"/>
        <v>7.0949074074073692E-3</v>
      </c>
      <c r="G694">
        <f t="shared" si="102"/>
        <v>0</v>
      </c>
      <c r="H694">
        <f t="shared" si="103"/>
        <v>10</v>
      </c>
      <c r="I694">
        <f t="shared" si="104"/>
        <v>13</v>
      </c>
      <c r="J694">
        <f t="shared" si="105"/>
        <v>613</v>
      </c>
      <c r="K694">
        <f t="shared" si="106"/>
        <v>11</v>
      </c>
      <c r="L694">
        <f t="shared" si="107"/>
        <v>215639</v>
      </c>
      <c r="M694">
        <f t="shared" si="108"/>
        <v>64875</v>
      </c>
      <c r="N694">
        <f t="shared" si="109"/>
        <v>328514</v>
      </c>
      <c r="O694">
        <f>IF(B694="zagraniczny",K694+O693,O693)</f>
        <v>356</v>
      </c>
    </row>
    <row r="695" spans="1:15" x14ac:dyDescent="0.25">
      <c r="A695">
        <v>9620982</v>
      </c>
      <c r="B695" t="str">
        <f t="shared" si="100"/>
        <v>stacjonarny</v>
      </c>
      <c r="C695" s="1">
        <v>42927</v>
      </c>
      <c r="D695" s="2">
        <v>0.57593749999999999</v>
      </c>
      <c r="E695" s="2">
        <v>0.58310185185185182</v>
      </c>
      <c r="F695" s="2">
        <f t="shared" si="101"/>
        <v>7.1643518518518245E-3</v>
      </c>
      <c r="G695">
        <f t="shared" si="102"/>
        <v>0</v>
      </c>
      <c r="H695">
        <f t="shared" si="103"/>
        <v>10</v>
      </c>
      <c r="I695">
        <f t="shared" si="104"/>
        <v>19</v>
      </c>
      <c r="J695">
        <f t="shared" si="105"/>
        <v>619</v>
      </c>
      <c r="K695">
        <f t="shared" si="106"/>
        <v>11</v>
      </c>
      <c r="L695">
        <f t="shared" si="107"/>
        <v>216258</v>
      </c>
      <c r="M695">
        <f t="shared" si="108"/>
        <v>64875</v>
      </c>
      <c r="N695">
        <f t="shared" si="109"/>
        <v>329133</v>
      </c>
      <c r="O695">
        <f>IF(B695="zagraniczny",K695+O694,O694)</f>
        <v>356</v>
      </c>
    </row>
    <row r="696" spans="1:15" x14ac:dyDescent="0.25">
      <c r="A696">
        <v>93696449</v>
      </c>
      <c r="B696" t="str">
        <f t="shared" si="100"/>
        <v>komorkowy</v>
      </c>
      <c r="C696" s="1">
        <v>42927</v>
      </c>
      <c r="D696" s="2">
        <v>0.57939814814814816</v>
      </c>
      <c r="E696" s="2">
        <v>0.5795717592592593</v>
      </c>
      <c r="F696" s="2">
        <f t="shared" si="101"/>
        <v>1.7361111111113825E-4</v>
      </c>
      <c r="G696">
        <f t="shared" si="102"/>
        <v>0</v>
      </c>
      <c r="H696">
        <f t="shared" si="103"/>
        <v>0</v>
      </c>
      <c r="I696">
        <f t="shared" si="104"/>
        <v>15</v>
      </c>
      <c r="J696">
        <f t="shared" si="105"/>
        <v>15</v>
      </c>
      <c r="K696">
        <f t="shared" si="106"/>
        <v>1</v>
      </c>
      <c r="L696">
        <f t="shared" si="107"/>
        <v>216258</v>
      </c>
      <c r="M696">
        <f t="shared" si="108"/>
        <v>64890</v>
      </c>
      <c r="N696">
        <f t="shared" si="109"/>
        <v>329148</v>
      </c>
      <c r="O696">
        <f>IF(B696="zagraniczny",K696+O695,O695)</f>
        <v>356</v>
      </c>
    </row>
    <row r="697" spans="1:15" x14ac:dyDescent="0.25">
      <c r="A697">
        <v>6833658</v>
      </c>
      <c r="B697" t="str">
        <f t="shared" si="100"/>
        <v>stacjonarny</v>
      </c>
      <c r="C697" s="1">
        <v>42927</v>
      </c>
      <c r="D697" s="2">
        <v>0.5823842592592593</v>
      </c>
      <c r="E697" s="2">
        <v>0.58479166666666671</v>
      </c>
      <c r="F697" s="2">
        <f t="shared" si="101"/>
        <v>2.4074074074074137E-3</v>
      </c>
      <c r="G697">
        <f t="shared" si="102"/>
        <v>0</v>
      </c>
      <c r="H697">
        <f t="shared" si="103"/>
        <v>3</v>
      </c>
      <c r="I697">
        <f t="shared" si="104"/>
        <v>28</v>
      </c>
      <c r="J697">
        <f t="shared" si="105"/>
        <v>208</v>
      </c>
      <c r="K697">
        <f t="shared" si="106"/>
        <v>4</v>
      </c>
      <c r="L697">
        <f t="shared" si="107"/>
        <v>216466</v>
      </c>
      <c r="M697">
        <f t="shared" si="108"/>
        <v>64890</v>
      </c>
      <c r="N697">
        <f t="shared" si="109"/>
        <v>329356</v>
      </c>
      <c r="O697">
        <f>IF(B697="zagraniczny",K697+O696,O696)</f>
        <v>356</v>
      </c>
    </row>
    <row r="698" spans="1:15" x14ac:dyDescent="0.25">
      <c r="A698">
        <v>85422307</v>
      </c>
      <c r="B698" t="str">
        <f t="shared" si="100"/>
        <v>komorkowy</v>
      </c>
      <c r="C698" s="1">
        <v>42927</v>
      </c>
      <c r="D698" s="2">
        <v>0.58656249999999999</v>
      </c>
      <c r="E698" s="2">
        <v>0.59008101851851846</v>
      </c>
      <c r="F698" s="2">
        <f t="shared" si="101"/>
        <v>3.5185185185184764E-3</v>
      </c>
      <c r="G698">
        <f t="shared" si="102"/>
        <v>0</v>
      </c>
      <c r="H698">
        <f t="shared" si="103"/>
        <v>5</v>
      </c>
      <c r="I698">
        <f t="shared" si="104"/>
        <v>4</v>
      </c>
      <c r="J698">
        <f t="shared" si="105"/>
        <v>304</v>
      </c>
      <c r="K698">
        <f t="shared" si="106"/>
        <v>6</v>
      </c>
      <c r="L698">
        <f t="shared" si="107"/>
        <v>216466</v>
      </c>
      <c r="M698">
        <f t="shared" si="108"/>
        <v>65194</v>
      </c>
      <c r="N698">
        <f t="shared" si="109"/>
        <v>329660</v>
      </c>
      <c r="O698">
        <f>IF(B698="zagraniczny",K698+O697,O697)</f>
        <v>356</v>
      </c>
    </row>
    <row r="699" spans="1:15" x14ac:dyDescent="0.25">
      <c r="A699">
        <v>6191682</v>
      </c>
      <c r="B699" t="str">
        <f t="shared" si="100"/>
        <v>stacjonarny</v>
      </c>
      <c r="C699" s="1">
        <v>42927</v>
      </c>
      <c r="D699" s="2">
        <v>0.58711805555555552</v>
      </c>
      <c r="E699" s="2">
        <v>0.59739583333333335</v>
      </c>
      <c r="F699" s="2">
        <f t="shared" si="101"/>
        <v>1.027777777777783E-2</v>
      </c>
      <c r="G699">
        <f t="shared" si="102"/>
        <v>0</v>
      </c>
      <c r="H699">
        <f t="shared" si="103"/>
        <v>14</v>
      </c>
      <c r="I699">
        <f t="shared" si="104"/>
        <v>48</v>
      </c>
      <c r="J699">
        <f t="shared" si="105"/>
        <v>888</v>
      </c>
      <c r="K699">
        <f t="shared" si="106"/>
        <v>15</v>
      </c>
      <c r="L699">
        <f t="shared" si="107"/>
        <v>217354</v>
      </c>
      <c r="M699">
        <f t="shared" si="108"/>
        <v>65194</v>
      </c>
      <c r="N699">
        <f t="shared" si="109"/>
        <v>330548</v>
      </c>
      <c r="O699">
        <f>IF(B699="zagraniczny",K699+O698,O698)</f>
        <v>356</v>
      </c>
    </row>
    <row r="700" spans="1:15" x14ac:dyDescent="0.25">
      <c r="A700">
        <v>6461167</v>
      </c>
      <c r="B700" t="str">
        <f t="shared" si="100"/>
        <v>stacjonarny</v>
      </c>
      <c r="C700" s="1">
        <v>42927</v>
      </c>
      <c r="D700" s="2">
        <v>0.5889699074074074</v>
      </c>
      <c r="E700" s="2">
        <v>0.59409722222222228</v>
      </c>
      <c r="F700" s="2">
        <f t="shared" si="101"/>
        <v>5.1273148148148762E-3</v>
      </c>
      <c r="G700">
        <f t="shared" si="102"/>
        <v>0</v>
      </c>
      <c r="H700">
        <f t="shared" si="103"/>
        <v>7</v>
      </c>
      <c r="I700">
        <f t="shared" si="104"/>
        <v>23</v>
      </c>
      <c r="J700">
        <f t="shared" si="105"/>
        <v>443</v>
      </c>
      <c r="K700">
        <f t="shared" si="106"/>
        <v>8</v>
      </c>
      <c r="L700">
        <f t="shared" si="107"/>
        <v>217797</v>
      </c>
      <c r="M700">
        <f t="shared" si="108"/>
        <v>65194</v>
      </c>
      <c r="N700">
        <f t="shared" si="109"/>
        <v>330991</v>
      </c>
      <c r="O700">
        <f>IF(B700="zagraniczny",K700+O699,O699)</f>
        <v>356</v>
      </c>
    </row>
    <row r="701" spans="1:15" x14ac:dyDescent="0.25">
      <c r="A701">
        <v>8270097</v>
      </c>
      <c r="B701" t="str">
        <f t="shared" si="100"/>
        <v>stacjonarny</v>
      </c>
      <c r="C701" s="1">
        <v>42927</v>
      </c>
      <c r="D701" s="2">
        <v>0.5900347222222222</v>
      </c>
      <c r="E701" s="2">
        <v>0.59217592592592594</v>
      </c>
      <c r="F701" s="2">
        <f t="shared" si="101"/>
        <v>2.1412037037037424E-3</v>
      </c>
      <c r="G701">
        <f t="shared" si="102"/>
        <v>0</v>
      </c>
      <c r="H701">
        <f t="shared" si="103"/>
        <v>3</v>
      </c>
      <c r="I701">
        <f t="shared" si="104"/>
        <v>5</v>
      </c>
      <c r="J701">
        <f t="shared" si="105"/>
        <v>185</v>
      </c>
      <c r="K701">
        <f t="shared" si="106"/>
        <v>4</v>
      </c>
      <c r="L701">
        <f t="shared" si="107"/>
        <v>217982</v>
      </c>
      <c r="M701">
        <f t="shared" si="108"/>
        <v>65194</v>
      </c>
      <c r="N701">
        <f t="shared" si="109"/>
        <v>331176</v>
      </c>
      <c r="O701">
        <f>IF(B701="zagraniczny",K701+O700,O700)</f>
        <v>356</v>
      </c>
    </row>
    <row r="702" spans="1:15" x14ac:dyDescent="0.25">
      <c r="A702">
        <v>8982137</v>
      </c>
      <c r="B702" t="str">
        <f t="shared" si="100"/>
        <v>stacjonarny</v>
      </c>
      <c r="C702" s="1">
        <v>42927</v>
      </c>
      <c r="D702" s="2">
        <v>0.59010416666666665</v>
      </c>
      <c r="E702" s="2">
        <v>0.59864583333333332</v>
      </c>
      <c r="F702" s="2">
        <f t="shared" si="101"/>
        <v>8.5416666666666696E-3</v>
      </c>
      <c r="G702">
        <f t="shared" si="102"/>
        <v>0</v>
      </c>
      <c r="H702">
        <f t="shared" si="103"/>
        <v>12</v>
      </c>
      <c r="I702">
        <f t="shared" si="104"/>
        <v>18</v>
      </c>
      <c r="J702">
        <f t="shared" si="105"/>
        <v>738</v>
      </c>
      <c r="K702">
        <f t="shared" si="106"/>
        <v>13</v>
      </c>
      <c r="L702">
        <f t="shared" si="107"/>
        <v>218720</v>
      </c>
      <c r="M702">
        <f t="shared" si="108"/>
        <v>65194</v>
      </c>
      <c r="N702">
        <f t="shared" si="109"/>
        <v>331914</v>
      </c>
      <c r="O702">
        <f>IF(B702="zagraniczny",K702+O701,O701)</f>
        <v>356</v>
      </c>
    </row>
    <row r="703" spans="1:15" x14ac:dyDescent="0.25">
      <c r="A703">
        <v>47677051</v>
      </c>
      <c r="B703" t="str">
        <f t="shared" si="100"/>
        <v>komorkowy</v>
      </c>
      <c r="C703" s="1">
        <v>42927</v>
      </c>
      <c r="D703" s="2">
        <v>0.59370370370370373</v>
      </c>
      <c r="E703" s="2">
        <v>0.60396990740740741</v>
      </c>
      <c r="F703" s="2">
        <f t="shared" si="101"/>
        <v>1.026620370370368E-2</v>
      </c>
      <c r="G703">
        <f t="shared" si="102"/>
        <v>0</v>
      </c>
      <c r="H703">
        <f t="shared" si="103"/>
        <v>14</v>
      </c>
      <c r="I703">
        <f t="shared" si="104"/>
        <v>47</v>
      </c>
      <c r="J703">
        <f t="shared" si="105"/>
        <v>887</v>
      </c>
      <c r="K703">
        <f t="shared" si="106"/>
        <v>15</v>
      </c>
      <c r="L703">
        <f t="shared" si="107"/>
        <v>218720</v>
      </c>
      <c r="M703">
        <f t="shared" si="108"/>
        <v>66081</v>
      </c>
      <c r="N703">
        <f t="shared" si="109"/>
        <v>332801</v>
      </c>
      <c r="O703">
        <f>IF(B703="zagraniczny",K703+O702,O702)</f>
        <v>356</v>
      </c>
    </row>
    <row r="704" spans="1:15" x14ac:dyDescent="0.25">
      <c r="A704">
        <v>76139570</v>
      </c>
      <c r="B704" t="str">
        <f t="shared" si="100"/>
        <v>komorkowy</v>
      </c>
      <c r="C704" s="1">
        <v>42927</v>
      </c>
      <c r="D704" s="2">
        <v>0.59593750000000001</v>
      </c>
      <c r="E704" s="2">
        <v>0.6004976851851852</v>
      </c>
      <c r="F704" s="2">
        <f t="shared" si="101"/>
        <v>4.5601851851851949E-3</v>
      </c>
      <c r="G704">
        <f t="shared" si="102"/>
        <v>0</v>
      </c>
      <c r="H704">
        <f t="shared" si="103"/>
        <v>6</v>
      </c>
      <c r="I704">
        <f t="shared" si="104"/>
        <v>34</v>
      </c>
      <c r="J704">
        <f t="shared" si="105"/>
        <v>394</v>
      </c>
      <c r="K704">
        <f t="shared" si="106"/>
        <v>7</v>
      </c>
      <c r="L704">
        <f t="shared" si="107"/>
        <v>218720</v>
      </c>
      <c r="M704">
        <f t="shared" si="108"/>
        <v>66475</v>
      </c>
      <c r="N704">
        <f t="shared" si="109"/>
        <v>333195</v>
      </c>
      <c r="O704">
        <f>IF(B704="zagraniczny",K704+O703,O703)</f>
        <v>356</v>
      </c>
    </row>
    <row r="705" spans="1:15" x14ac:dyDescent="0.25">
      <c r="A705">
        <v>62016185</v>
      </c>
      <c r="B705" t="str">
        <f t="shared" si="100"/>
        <v>komorkowy</v>
      </c>
      <c r="C705" s="1">
        <v>42927</v>
      </c>
      <c r="D705" s="2">
        <v>0.60037037037037033</v>
      </c>
      <c r="E705" s="2">
        <v>0.60719907407407403</v>
      </c>
      <c r="F705" s="2">
        <f t="shared" si="101"/>
        <v>6.8287037037036979E-3</v>
      </c>
      <c r="G705">
        <f t="shared" si="102"/>
        <v>0</v>
      </c>
      <c r="H705">
        <f t="shared" si="103"/>
        <v>9</v>
      </c>
      <c r="I705">
        <f t="shared" si="104"/>
        <v>50</v>
      </c>
      <c r="J705">
        <f t="shared" si="105"/>
        <v>590</v>
      </c>
      <c r="K705">
        <f t="shared" si="106"/>
        <v>10</v>
      </c>
      <c r="L705">
        <f t="shared" si="107"/>
        <v>218720</v>
      </c>
      <c r="M705">
        <f t="shared" si="108"/>
        <v>67065</v>
      </c>
      <c r="N705">
        <f t="shared" si="109"/>
        <v>333785</v>
      </c>
      <c r="O705">
        <f>IF(B705="zagraniczny",K705+O704,O704)</f>
        <v>356</v>
      </c>
    </row>
    <row r="706" spans="1:15" x14ac:dyDescent="0.25">
      <c r="A706">
        <v>93696449</v>
      </c>
      <c r="B706" t="str">
        <f t="shared" si="100"/>
        <v>komorkowy</v>
      </c>
      <c r="C706" s="1">
        <v>42927</v>
      </c>
      <c r="D706" s="2">
        <v>0.60077546296296291</v>
      </c>
      <c r="E706" s="2">
        <v>0.60853009259259261</v>
      </c>
      <c r="F706" s="2">
        <f t="shared" si="101"/>
        <v>7.7546296296296946E-3</v>
      </c>
      <c r="G706">
        <f t="shared" si="102"/>
        <v>0</v>
      </c>
      <c r="H706">
        <f t="shared" si="103"/>
        <v>11</v>
      </c>
      <c r="I706">
        <f t="shared" si="104"/>
        <v>10</v>
      </c>
      <c r="J706">
        <f t="shared" si="105"/>
        <v>670</v>
      </c>
      <c r="K706">
        <f t="shared" si="106"/>
        <v>12</v>
      </c>
      <c r="L706">
        <f t="shared" si="107"/>
        <v>218720</v>
      </c>
      <c r="M706">
        <f t="shared" si="108"/>
        <v>67735</v>
      </c>
      <c r="N706">
        <f t="shared" si="109"/>
        <v>334455</v>
      </c>
      <c r="O706">
        <f>IF(B706="zagraniczny",K706+O705,O705)</f>
        <v>356</v>
      </c>
    </row>
    <row r="707" spans="1:15" x14ac:dyDescent="0.25">
      <c r="A707">
        <v>7914439</v>
      </c>
      <c r="B707" t="str">
        <f t="shared" ref="B707:B770" si="110">IF(LEN(A707)=7,"stacjonarny",IF(LEN(A707)=8,"komorkowy","zagraniczny"))</f>
        <v>stacjonarny</v>
      </c>
      <c r="C707" s="1">
        <v>42927</v>
      </c>
      <c r="D707" s="2">
        <v>0.60320601851851852</v>
      </c>
      <c r="E707" s="2">
        <v>0.61459490740740741</v>
      </c>
      <c r="F707" s="2">
        <f t="shared" ref="F707:F770" si="111">E707-D707</f>
        <v>1.1388888888888893E-2</v>
      </c>
      <c r="G707">
        <f t="shared" ref="G707:G770" si="112">HOUR(F707)</f>
        <v>0</v>
      </c>
      <c r="H707">
        <f t="shared" ref="H707:H770" si="113">MINUTE(F707)</f>
        <v>16</v>
      </c>
      <c r="I707">
        <f t="shared" ref="I707:I770" si="114">SECOND(F707)</f>
        <v>24</v>
      </c>
      <c r="J707">
        <f t="shared" ref="J707:J770" si="115">H707*60+I707</f>
        <v>984</v>
      </c>
      <c r="K707">
        <f t="shared" ref="K707:K770" si="116">IF(I707&gt;0,G707*60+H707+1,H707+G707*60)</f>
        <v>17</v>
      </c>
      <c r="L707">
        <f t="shared" si="107"/>
        <v>219704</v>
      </c>
      <c r="M707">
        <f t="shared" si="108"/>
        <v>67735</v>
      </c>
      <c r="N707">
        <f t="shared" si="109"/>
        <v>335439</v>
      </c>
      <c r="O707">
        <f>IF(B707="zagraniczny",K707+O706,O706)</f>
        <v>356</v>
      </c>
    </row>
    <row r="708" spans="1:15" x14ac:dyDescent="0.25">
      <c r="A708">
        <v>38047574</v>
      </c>
      <c r="B708" t="str">
        <f t="shared" si="110"/>
        <v>komorkowy</v>
      </c>
      <c r="C708" s="1">
        <v>42927</v>
      </c>
      <c r="D708" s="2">
        <v>0.60721064814814818</v>
      </c>
      <c r="E708" s="2">
        <v>0.61490740740740746</v>
      </c>
      <c r="F708" s="2">
        <f t="shared" si="111"/>
        <v>7.6967592592592782E-3</v>
      </c>
      <c r="G708">
        <f t="shared" si="112"/>
        <v>0</v>
      </c>
      <c r="H708">
        <f t="shared" si="113"/>
        <v>11</v>
      </c>
      <c r="I708">
        <f t="shared" si="114"/>
        <v>5</v>
      </c>
      <c r="J708">
        <f t="shared" si="115"/>
        <v>665</v>
      </c>
      <c r="K708">
        <f t="shared" si="116"/>
        <v>12</v>
      </c>
      <c r="L708">
        <f t="shared" ref="L708:L771" si="117">IF(B708="stacjonarny",$J708+L707,L707)</f>
        <v>219704</v>
      </c>
      <c r="M708">
        <f t="shared" ref="M708:M771" si="118">IF(B708="komorkowy",$J708+M707,M707)</f>
        <v>68400</v>
      </c>
      <c r="N708">
        <f t="shared" ref="N708:N771" si="119">IF(OR(B708="stacjonarny",B708="komorkowy"),J708+N707,N707)</f>
        <v>336104</v>
      </c>
      <c r="O708">
        <f>IF(B708="zagraniczny",K708+O707,O707)</f>
        <v>356</v>
      </c>
    </row>
    <row r="709" spans="1:15" x14ac:dyDescent="0.25">
      <c r="A709">
        <v>3184339</v>
      </c>
      <c r="B709" t="str">
        <f t="shared" si="110"/>
        <v>stacjonarny</v>
      </c>
      <c r="C709" s="1">
        <v>42927</v>
      </c>
      <c r="D709" s="2">
        <v>0.61179398148148145</v>
      </c>
      <c r="E709" s="2">
        <v>0.61260416666666662</v>
      </c>
      <c r="F709" s="2">
        <f t="shared" si="111"/>
        <v>8.101851851851638E-4</v>
      </c>
      <c r="G709">
        <f t="shared" si="112"/>
        <v>0</v>
      </c>
      <c r="H709">
        <f t="shared" si="113"/>
        <v>1</v>
      </c>
      <c r="I709">
        <f t="shared" si="114"/>
        <v>10</v>
      </c>
      <c r="J709">
        <f t="shared" si="115"/>
        <v>70</v>
      </c>
      <c r="K709">
        <f t="shared" si="116"/>
        <v>2</v>
      </c>
      <c r="L709">
        <f t="shared" si="117"/>
        <v>219774</v>
      </c>
      <c r="M709">
        <f t="shared" si="118"/>
        <v>68400</v>
      </c>
      <c r="N709">
        <f t="shared" si="119"/>
        <v>336174</v>
      </c>
      <c r="O709">
        <f>IF(B709="zagraniczny",K709+O708,O708)</f>
        <v>356</v>
      </c>
    </row>
    <row r="710" spans="1:15" x14ac:dyDescent="0.25">
      <c r="A710">
        <v>8126744698</v>
      </c>
      <c r="B710" t="str">
        <f t="shared" si="110"/>
        <v>zagraniczny</v>
      </c>
      <c r="C710" s="1">
        <v>42927</v>
      </c>
      <c r="D710" s="2">
        <v>0.61664351851851851</v>
      </c>
      <c r="E710" s="2">
        <v>0.61856481481481485</v>
      </c>
      <c r="F710" s="2">
        <f t="shared" si="111"/>
        <v>1.9212962962963376E-3</v>
      </c>
      <c r="G710">
        <f t="shared" si="112"/>
        <v>0</v>
      </c>
      <c r="H710">
        <f t="shared" si="113"/>
        <v>2</v>
      </c>
      <c r="I710">
        <f t="shared" si="114"/>
        <v>46</v>
      </c>
      <c r="J710">
        <f t="shared" si="115"/>
        <v>166</v>
      </c>
      <c r="K710">
        <f t="shared" si="116"/>
        <v>3</v>
      </c>
      <c r="L710">
        <f t="shared" si="117"/>
        <v>219774</v>
      </c>
      <c r="M710">
        <f t="shared" si="118"/>
        <v>68400</v>
      </c>
      <c r="N710">
        <f t="shared" si="119"/>
        <v>336174</v>
      </c>
      <c r="O710">
        <f>IF(B710="zagraniczny",K710+O709,O709)</f>
        <v>359</v>
      </c>
    </row>
    <row r="711" spans="1:15" x14ac:dyDescent="0.25">
      <c r="A711">
        <v>52391912</v>
      </c>
      <c r="B711" t="str">
        <f t="shared" si="110"/>
        <v>komorkowy</v>
      </c>
      <c r="C711" s="1">
        <v>42927</v>
      </c>
      <c r="D711" s="2">
        <v>0.62067129629629625</v>
      </c>
      <c r="E711" s="2">
        <v>0.62475694444444441</v>
      </c>
      <c r="F711" s="2">
        <f t="shared" si="111"/>
        <v>4.0856481481481577E-3</v>
      </c>
      <c r="G711">
        <f t="shared" si="112"/>
        <v>0</v>
      </c>
      <c r="H711">
        <f t="shared" si="113"/>
        <v>5</v>
      </c>
      <c r="I711">
        <f t="shared" si="114"/>
        <v>53</v>
      </c>
      <c r="J711">
        <f t="shared" si="115"/>
        <v>353</v>
      </c>
      <c r="K711">
        <f t="shared" si="116"/>
        <v>6</v>
      </c>
      <c r="L711">
        <f t="shared" si="117"/>
        <v>219774</v>
      </c>
      <c r="M711">
        <f t="shared" si="118"/>
        <v>68753</v>
      </c>
      <c r="N711">
        <f t="shared" si="119"/>
        <v>336527</v>
      </c>
      <c r="O711">
        <f>IF(B711="zagraniczny",K711+O710,O710)</f>
        <v>359</v>
      </c>
    </row>
    <row r="712" spans="1:15" x14ac:dyDescent="0.25">
      <c r="A712">
        <v>1223943</v>
      </c>
      <c r="B712" t="str">
        <f t="shared" si="110"/>
        <v>stacjonarny</v>
      </c>
      <c r="C712" s="1">
        <v>42927</v>
      </c>
      <c r="D712" s="2">
        <v>0.6252199074074074</v>
      </c>
      <c r="E712" s="2">
        <v>0.63226851851851851</v>
      </c>
      <c r="F712" s="2">
        <f t="shared" si="111"/>
        <v>7.0486111111111027E-3</v>
      </c>
      <c r="G712">
        <f t="shared" si="112"/>
        <v>0</v>
      </c>
      <c r="H712">
        <f t="shared" si="113"/>
        <v>10</v>
      </c>
      <c r="I712">
        <f t="shared" si="114"/>
        <v>9</v>
      </c>
      <c r="J712">
        <f t="shared" si="115"/>
        <v>609</v>
      </c>
      <c r="K712">
        <f t="shared" si="116"/>
        <v>11</v>
      </c>
      <c r="L712">
        <f t="shared" si="117"/>
        <v>220383</v>
      </c>
      <c r="M712">
        <f t="shared" si="118"/>
        <v>68753</v>
      </c>
      <c r="N712">
        <f t="shared" si="119"/>
        <v>337136</v>
      </c>
      <c r="O712">
        <f>IF(B712="zagraniczny",K712+O711,O711)</f>
        <v>359</v>
      </c>
    </row>
    <row r="713" spans="1:15" x14ac:dyDescent="0.25">
      <c r="A713">
        <v>14201334</v>
      </c>
      <c r="B713" t="str">
        <f t="shared" si="110"/>
        <v>komorkowy</v>
      </c>
      <c r="C713" s="1">
        <v>42928</v>
      </c>
      <c r="D713" s="2">
        <v>0.33568287037037037</v>
      </c>
      <c r="E713" s="2">
        <v>0.34125</v>
      </c>
      <c r="F713" s="2">
        <f t="shared" si="111"/>
        <v>5.5671296296296302E-3</v>
      </c>
      <c r="G713">
        <f t="shared" si="112"/>
        <v>0</v>
      </c>
      <c r="H713">
        <f t="shared" si="113"/>
        <v>8</v>
      </c>
      <c r="I713">
        <f t="shared" si="114"/>
        <v>1</v>
      </c>
      <c r="J713">
        <f t="shared" si="115"/>
        <v>481</v>
      </c>
      <c r="K713">
        <f t="shared" si="116"/>
        <v>9</v>
      </c>
      <c r="L713">
        <f t="shared" si="117"/>
        <v>220383</v>
      </c>
      <c r="M713">
        <f t="shared" si="118"/>
        <v>69234</v>
      </c>
      <c r="N713">
        <f t="shared" si="119"/>
        <v>337617</v>
      </c>
      <c r="O713">
        <f>IF(B713="zagraniczny",K713+O712,O712)</f>
        <v>359</v>
      </c>
    </row>
    <row r="714" spans="1:15" x14ac:dyDescent="0.25">
      <c r="A714">
        <v>1972250241</v>
      </c>
      <c r="B714" t="str">
        <f t="shared" si="110"/>
        <v>zagraniczny</v>
      </c>
      <c r="C714" s="1">
        <v>42928</v>
      </c>
      <c r="D714" s="2">
        <v>0.33716435185185184</v>
      </c>
      <c r="E714" s="2">
        <v>0.33778935185185183</v>
      </c>
      <c r="F714" s="2">
        <f t="shared" si="111"/>
        <v>6.2499999999998668E-4</v>
      </c>
      <c r="G714">
        <f t="shared" si="112"/>
        <v>0</v>
      </c>
      <c r="H714">
        <f t="shared" si="113"/>
        <v>0</v>
      </c>
      <c r="I714">
        <f t="shared" si="114"/>
        <v>54</v>
      </c>
      <c r="J714">
        <f t="shared" si="115"/>
        <v>54</v>
      </c>
      <c r="K714">
        <f t="shared" si="116"/>
        <v>1</v>
      </c>
      <c r="L714">
        <f t="shared" si="117"/>
        <v>220383</v>
      </c>
      <c r="M714">
        <f t="shared" si="118"/>
        <v>69234</v>
      </c>
      <c r="N714">
        <f t="shared" si="119"/>
        <v>337617</v>
      </c>
      <c r="O714">
        <f>IF(B714="zagraniczny",K714+O713,O713)</f>
        <v>360</v>
      </c>
    </row>
    <row r="715" spans="1:15" x14ac:dyDescent="0.25">
      <c r="A715">
        <v>3028093</v>
      </c>
      <c r="B715" t="str">
        <f t="shared" si="110"/>
        <v>stacjonarny</v>
      </c>
      <c r="C715" s="1">
        <v>42928</v>
      </c>
      <c r="D715" s="2">
        <v>0.34185185185185185</v>
      </c>
      <c r="E715" s="2">
        <v>0.34375</v>
      </c>
      <c r="F715" s="2">
        <f t="shared" si="111"/>
        <v>1.8981481481481488E-3</v>
      </c>
      <c r="G715">
        <f t="shared" si="112"/>
        <v>0</v>
      </c>
      <c r="H715">
        <f t="shared" si="113"/>
        <v>2</v>
      </c>
      <c r="I715">
        <f t="shared" si="114"/>
        <v>44</v>
      </c>
      <c r="J715">
        <f t="shared" si="115"/>
        <v>164</v>
      </c>
      <c r="K715">
        <f t="shared" si="116"/>
        <v>3</v>
      </c>
      <c r="L715">
        <f t="shared" si="117"/>
        <v>220547</v>
      </c>
      <c r="M715">
        <f t="shared" si="118"/>
        <v>69234</v>
      </c>
      <c r="N715">
        <f t="shared" si="119"/>
        <v>337781</v>
      </c>
      <c r="O715">
        <f>IF(B715="zagraniczny",K715+O714,O714)</f>
        <v>360</v>
      </c>
    </row>
    <row r="716" spans="1:15" x14ac:dyDescent="0.25">
      <c r="A716">
        <v>27487200</v>
      </c>
      <c r="B716" t="str">
        <f t="shared" si="110"/>
        <v>komorkowy</v>
      </c>
      <c r="C716" s="1">
        <v>42928</v>
      </c>
      <c r="D716" s="2">
        <v>0.34646990740740741</v>
      </c>
      <c r="E716" s="2">
        <v>0.3550462962962963</v>
      </c>
      <c r="F716" s="2">
        <f t="shared" si="111"/>
        <v>8.5763888888888973E-3</v>
      </c>
      <c r="G716">
        <f t="shared" si="112"/>
        <v>0</v>
      </c>
      <c r="H716">
        <f t="shared" si="113"/>
        <v>12</v>
      </c>
      <c r="I716">
        <f t="shared" si="114"/>
        <v>21</v>
      </c>
      <c r="J716">
        <f t="shared" si="115"/>
        <v>741</v>
      </c>
      <c r="K716">
        <f t="shared" si="116"/>
        <v>13</v>
      </c>
      <c r="L716">
        <f t="shared" si="117"/>
        <v>220547</v>
      </c>
      <c r="M716">
        <f t="shared" si="118"/>
        <v>69975</v>
      </c>
      <c r="N716">
        <f t="shared" si="119"/>
        <v>338522</v>
      </c>
      <c r="O716">
        <f>IF(B716="zagraniczny",K716+O715,O715)</f>
        <v>360</v>
      </c>
    </row>
    <row r="717" spans="1:15" x14ac:dyDescent="0.25">
      <c r="A717">
        <v>7377702</v>
      </c>
      <c r="B717" t="str">
        <f t="shared" si="110"/>
        <v>stacjonarny</v>
      </c>
      <c r="C717" s="1">
        <v>42928</v>
      </c>
      <c r="D717" s="2">
        <v>0.34722222222222221</v>
      </c>
      <c r="E717" s="2">
        <v>0.3532986111111111</v>
      </c>
      <c r="F717" s="2">
        <f t="shared" si="111"/>
        <v>6.0763888888888951E-3</v>
      </c>
      <c r="G717">
        <f t="shared" si="112"/>
        <v>0</v>
      </c>
      <c r="H717">
        <f t="shared" si="113"/>
        <v>8</v>
      </c>
      <c r="I717">
        <f t="shared" si="114"/>
        <v>45</v>
      </c>
      <c r="J717">
        <f t="shared" si="115"/>
        <v>525</v>
      </c>
      <c r="K717">
        <f t="shared" si="116"/>
        <v>9</v>
      </c>
      <c r="L717">
        <f t="shared" si="117"/>
        <v>221072</v>
      </c>
      <c r="M717">
        <f t="shared" si="118"/>
        <v>69975</v>
      </c>
      <c r="N717">
        <f t="shared" si="119"/>
        <v>339047</v>
      </c>
      <c r="O717">
        <f>IF(B717="zagraniczny",K717+O716,O716)</f>
        <v>360</v>
      </c>
    </row>
    <row r="718" spans="1:15" x14ac:dyDescent="0.25">
      <c r="A718">
        <v>9294571</v>
      </c>
      <c r="B718" t="str">
        <f t="shared" si="110"/>
        <v>stacjonarny</v>
      </c>
      <c r="C718" s="1">
        <v>42928</v>
      </c>
      <c r="D718" s="2">
        <v>0.35115740740740742</v>
      </c>
      <c r="E718" s="2">
        <v>0.35447916666666668</v>
      </c>
      <c r="F718" s="2">
        <f t="shared" si="111"/>
        <v>3.3217592592592604E-3</v>
      </c>
      <c r="G718">
        <f t="shared" si="112"/>
        <v>0</v>
      </c>
      <c r="H718">
        <f t="shared" si="113"/>
        <v>4</v>
      </c>
      <c r="I718">
        <f t="shared" si="114"/>
        <v>47</v>
      </c>
      <c r="J718">
        <f t="shared" si="115"/>
        <v>287</v>
      </c>
      <c r="K718">
        <f t="shared" si="116"/>
        <v>5</v>
      </c>
      <c r="L718">
        <f t="shared" si="117"/>
        <v>221359</v>
      </c>
      <c r="M718">
        <f t="shared" si="118"/>
        <v>69975</v>
      </c>
      <c r="N718">
        <f t="shared" si="119"/>
        <v>339334</v>
      </c>
      <c r="O718">
        <f>IF(B718="zagraniczny",K718+O717,O717)</f>
        <v>360</v>
      </c>
    </row>
    <row r="719" spans="1:15" x14ac:dyDescent="0.25">
      <c r="A719">
        <v>6865106</v>
      </c>
      <c r="B719" t="str">
        <f t="shared" si="110"/>
        <v>stacjonarny</v>
      </c>
      <c r="C719" s="1">
        <v>42928</v>
      </c>
      <c r="D719" s="2">
        <v>0.35636574074074073</v>
      </c>
      <c r="E719" s="2">
        <v>0.36511574074074077</v>
      </c>
      <c r="F719" s="2">
        <f t="shared" si="111"/>
        <v>8.7500000000000355E-3</v>
      </c>
      <c r="G719">
        <f t="shared" si="112"/>
        <v>0</v>
      </c>
      <c r="H719">
        <f t="shared" si="113"/>
        <v>12</v>
      </c>
      <c r="I719">
        <f t="shared" si="114"/>
        <v>36</v>
      </c>
      <c r="J719">
        <f t="shared" si="115"/>
        <v>756</v>
      </c>
      <c r="K719">
        <f t="shared" si="116"/>
        <v>13</v>
      </c>
      <c r="L719">
        <f t="shared" si="117"/>
        <v>222115</v>
      </c>
      <c r="M719">
        <f t="shared" si="118"/>
        <v>69975</v>
      </c>
      <c r="N719">
        <f t="shared" si="119"/>
        <v>340090</v>
      </c>
      <c r="O719">
        <f>IF(B719="zagraniczny",K719+O718,O718)</f>
        <v>360</v>
      </c>
    </row>
    <row r="720" spans="1:15" x14ac:dyDescent="0.25">
      <c r="A720">
        <v>62086163</v>
      </c>
      <c r="B720" t="str">
        <f t="shared" si="110"/>
        <v>komorkowy</v>
      </c>
      <c r="C720" s="1">
        <v>42928</v>
      </c>
      <c r="D720" s="2">
        <v>0.36060185185185184</v>
      </c>
      <c r="E720" s="2">
        <v>0.36312499999999998</v>
      </c>
      <c r="F720" s="2">
        <f t="shared" si="111"/>
        <v>2.5231481481481355E-3</v>
      </c>
      <c r="G720">
        <f t="shared" si="112"/>
        <v>0</v>
      </c>
      <c r="H720">
        <f t="shared" si="113"/>
        <v>3</v>
      </c>
      <c r="I720">
        <f t="shared" si="114"/>
        <v>38</v>
      </c>
      <c r="J720">
        <f t="shared" si="115"/>
        <v>218</v>
      </c>
      <c r="K720">
        <f t="shared" si="116"/>
        <v>4</v>
      </c>
      <c r="L720">
        <f t="shared" si="117"/>
        <v>222115</v>
      </c>
      <c r="M720">
        <f t="shared" si="118"/>
        <v>70193</v>
      </c>
      <c r="N720">
        <f t="shared" si="119"/>
        <v>340308</v>
      </c>
      <c r="O720">
        <f>IF(B720="zagraniczny",K720+O719,O719)</f>
        <v>360</v>
      </c>
    </row>
    <row r="721" spans="1:15" x14ac:dyDescent="0.25">
      <c r="A721">
        <v>6367284</v>
      </c>
      <c r="B721" t="str">
        <f t="shared" si="110"/>
        <v>stacjonarny</v>
      </c>
      <c r="C721" s="1">
        <v>42928</v>
      </c>
      <c r="D721" s="2">
        <v>0.36519675925925926</v>
      </c>
      <c r="E721" s="2">
        <v>0.36751157407407409</v>
      </c>
      <c r="F721" s="2">
        <f t="shared" si="111"/>
        <v>2.3148148148148251E-3</v>
      </c>
      <c r="G721">
        <f t="shared" si="112"/>
        <v>0</v>
      </c>
      <c r="H721">
        <f t="shared" si="113"/>
        <v>3</v>
      </c>
      <c r="I721">
        <f t="shared" si="114"/>
        <v>20</v>
      </c>
      <c r="J721">
        <f t="shared" si="115"/>
        <v>200</v>
      </c>
      <c r="K721">
        <f t="shared" si="116"/>
        <v>4</v>
      </c>
      <c r="L721">
        <f t="shared" si="117"/>
        <v>222315</v>
      </c>
      <c r="M721">
        <f t="shared" si="118"/>
        <v>70193</v>
      </c>
      <c r="N721">
        <f t="shared" si="119"/>
        <v>340508</v>
      </c>
      <c r="O721">
        <f>IF(B721="zagraniczny",K721+O720,O720)</f>
        <v>360</v>
      </c>
    </row>
    <row r="722" spans="1:15" x14ac:dyDescent="0.25">
      <c r="A722">
        <v>1811630</v>
      </c>
      <c r="B722" t="str">
        <f t="shared" si="110"/>
        <v>stacjonarny</v>
      </c>
      <c r="C722" s="1">
        <v>42928</v>
      </c>
      <c r="D722" s="2">
        <v>0.36787037037037035</v>
      </c>
      <c r="E722" s="2">
        <v>0.36855324074074075</v>
      </c>
      <c r="F722" s="2">
        <f t="shared" si="111"/>
        <v>6.828703703704031E-4</v>
      </c>
      <c r="G722">
        <f t="shared" si="112"/>
        <v>0</v>
      </c>
      <c r="H722">
        <f t="shared" si="113"/>
        <v>0</v>
      </c>
      <c r="I722">
        <f t="shared" si="114"/>
        <v>59</v>
      </c>
      <c r="J722">
        <f t="shared" si="115"/>
        <v>59</v>
      </c>
      <c r="K722">
        <f t="shared" si="116"/>
        <v>1</v>
      </c>
      <c r="L722">
        <f t="shared" si="117"/>
        <v>222374</v>
      </c>
      <c r="M722">
        <f t="shared" si="118"/>
        <v>70193</v>
      </c>
      <c r="N722">
        <f t="shared" si="119"/>
        <v>340567</v>
      </c>
      <c r="O722">
        <f>IF(B722="zagraniczny",K722+O721,O721)</f>
        <v>360</v>
      </c>
    </row>
    <row r="723" spans="1:15" x14ac:dyDescent="0.25">
      <c r="A723">
        <v>9346036178</v>
      </c>
      <c r="B723" t="str">
        <f t="shared" si="110"/>
        <v>zagraniczny</v>
      </c>
      <c r="C723" s="1">
        <v>42928</v>
      </c>
      <c r="D723" s="2">
        <v>0.37017361111111113</v>
      </c>
      <c r="E723" s="2">
        <v>0.38035879629629632</v>
      </c>
      <c r="F723" s="2">
        <f t="shared" si="111"/>
        <v>1.0185185185185186E-2</v>
      </c>
      <c r="G723">
        <f t="shared" si="112"/>
        <v>0</v>
      </c>
      <c r="H723">
        <f t="shared" si="113"/>
        <v>14</v>
      </c>
      <c r="I723">
        <f t="shared" si="114"/>
        <v>40</v>
      </c>
      <c r="J723">
        <f t="shared" si="115"/>
        <v>880</v>
      </c>
      <c r="K723">
        <f t="shared" si="116"/>
        <v>15</v>
      </c>
      <c r="L723">
        <f t="shared" si="117"/>
        <v>222374</v>
      </c>
      <c r="M723">
        <f t="shared" si="118"/>
        <v>70193</v>
      </c>
      <c r="N723">
        <f t="shared" si="119"/>
        <v>340567</v>
      </c>
      <c r="O723">
        <f>IF(B723="zagraniczny",K723+O722,O722)</f>
        <v>375</v>
      </c>
    </row>
    <row r="724" spans="1:15" x14ac:dyDescent="0.25">
      <c r="A724">
        <v>1138033</v>
      </c>
      <c r="B724" t="str">
        <f t="shared" si="110"/>
        <v>stacjonarny</v>
      </c>
      <c r="C724" s="1">
        <v>42928</v>
      </c>
      <c r="D724" s="2">
        <v>0.37504629629629632</v>
      </c>
      <c r="E724" s="2">
        <v>0.37731481481481483</v>
      </c>
      <c r="F724" s="2">
        <f t="shared" si="111"/>
        <v>2.2685185185185031E-3</v>
      </c>
      <c r="G724">
        <f t="shared" si="112"/>
        <v>0</v>
      </c>
      <c r="H724">
        <f t="shared" si="113"/>
        <v>3</v>
      </c>
      <c r="I724">
        <f t="shared" si="114"/>
        <v>16</v>
      </c>
      <c r="J724">
        <f t="shared" si="115"/>
        <v>196</v>
      </c>
      <c r="K724">
        <f t="shared" si="116"/>
        <v>4</v>
      </c>
      <c r="L724">
        <f t="shared" si="117"/>
        <v>222570</v>
      </c>
      <c r="M724">
        <f t="shared" si="118"/>
        <v>70193</v>
      </c>
      <c r="N724">
        <f t="shared" si="119"/>
        <v>340763</v>
      </c>
      <c r="O724">
        <f>IF(B724="zagraniczny",K724+O723,O723)</f>
        <v>375</v>
      </c>
    </row>
    <row r="725" spans="1:15" x14ac:dyDescent="0.25">
      <c r="A725">
        <v>2114812</v>
      </c>
      <c r="B725" t="str">
        <f t="shared" si="110"/>
        <v>stacjonarny</v>
      </c>
      <c r="C725" s="1">
        <v>42928</v>
      </c>
      <c r="D725" s="2">
        <v>0.37615740740740738</v>
      </c>
      <c r="E725" s="2">
        <v>0.38158564814814816</v>
      </c>
      <c r="F725" s="2">
        <f t="shared" si="111"/>
        <v>5.4282407407407751E-3</v>
      </c>
      <c r="G725">
        <f t="shared" si="112"/>
        <v>0</v>
      </c>
      <c r="H725">
        <f t="shared" si="113"/>
        <v>7</v>
      </c>
      <c r="I725">
        <f t="shared" si="114"/>
        <v>49</v>
      </c>
      <c r="J725">
        <f t="shared" si="115"/>
        <v>469</v>
      </c>
      <c r="K725">
        <f t="shared" si="116"/>
        <v>8</v>
      </c>
      <c r="L725">
        <f t="shared" si="117"/>
        <v>223039</v>
      </c>
      <c r="M725">
        <f t="shared" si="118"/>
        <v>70193</v>
      </c>
      <c r="N725">
        <f t="shared" si="119"/>
        <v>341232</v>
      </c>
      <c r="O725">
        <f>IF(B725="zagraniczny",K725+O724,O724)</f>
        <v>375</v>
      </c>
    </row>
    <row r="726" spans="1:15" x14ac:dyDescent="0.25">
      <c r="A726">
        <v>4195677</v>
      </c>
      <c r="B726" t="str">
        <f t="shared" si="110"/>
        <v>stacjonarny</v>
      </c>
      <c r="C726" s="1">
        <v>42928</v>
      </c>
      <c r="D726" s="2">
        <v>0.37644675925925924</v>
      </c>
      <c r="E726" s="2">
        <v>0.38192129629629629</v>
      </c>
      <c r="F726" s="2">
        <f t="shared" si="111"/>
        <v>5.4745370370370416E-3</v>
      </c>
      <c r="G726">
        <f t="shared" si="112"/>
        <v>0</v>
      </c>
      <c r="H726">
        <f t="shared" si="113"/>
        <v>7</v>
      </c>
      <c r="I726">
        <f t="shared" si="114"/>
        <v>53</v>
      </c>
      <c r="J726">
        <f t="shared" si="115"/>
        <v>473</v>
      </c>
      <c r="K726">
        <f t="shared" si="116"/>
        <v>8</v>
      </c>
      <c r="L726">
        <f t="shared" si="117"/>
        <v>223512</v>
      </c>
      <c r="M726">
        <f t="shared" si="118"/>
        <v>70193</v>
      </c>
      <c r="N726">
        <f t="shared" si="119"/>
        <v>341705</v>
      </c>
      <c r="O726">
        <f>IF(B726="zagraniczny",K726+O725,O725)</f>
        <v>375</v>
      </c>
    </row>
    <row r="727" spans="1:15" x14ac:dyDescent="0.25">
      <c r="A727">
        <v>3493348</v>
      </c>
      <c r="B727" t="str">
        <f t="shared" si="110"/>
        <v>stacjonarny</v>
      </c>
      <c r="C727" s="1">
        <v>42928</v>
      </c>
      <c r="D727" s="2">
        <v>0.37934027777777779</v>
      </c>
      <c r="E727" s="2">
        <v>0.38925925925925925</v>
      </c>
      <c r="F727" s="2">
        <f t="shared" si="111"/>
        <v>9.9189814814814592E-3</v>
      </c>
      <c r="G727">
        <f t="shared" si="112"/>
        <v>0</v>
      </c>
      <c r="H727">
        <f t="shared" si="113"/>
        <v>14</v>
      </c>
      <c r="I727">
        <f t="shared" si="114"/>
        <v>17</v>
      </c>
      <c r="J727">
        <f t="shared" si="115"/>
        <v>857</v>
      </c>
      <c r="K727">
        <f t="shared" si="116"/>
        <v>15</v>
      </c>
      <c r="L727">
        <f t="shared" si="117"/>
        <v>224369</v>
      </c>
      <c r="M727">
        <f t="shared" si="118"/>
        <v>70193</v>
      </c>
      <c r="N727">
        <f t="shared" si="119"/>
        <v>342562</v>
      </c>
      <c r="O727">
        <f>IF(B727="zagraniczny",K727+O726,O726)</f>
        <v>375</v>
      </c>
    </row>
    <row r="728" spans="1:15" x14ac:dyDescent="0.25">
      <c r="A728">
        <v>6005020</v>
      </c>
      <c r="B728" t="str">
        <f t="shared" si="110"/>
        <v>stacjonarny</v>
      </c>
      <c r="C728" s="1">
        <v>42928</v>
      </c>
      <c r="D728" s="2">
        <v>0.38046296296296295</v>
      </c>
      <c r="E728" s="2">
        <v>0.38739583333333333</v>
      </c>
      <c r="F728" s="2">
        <f t="shared" si="111"/>
        <v>6.9328703703703809E-3</v>
      </c>
      <c r="G728">
        <f t="shared" si="112"/>
        <v>0</v>
      </c>
      <c r="H728">
        <f t="shared" si="113"/>
        <v>9</v>
      </c>
      <c r="I728">
        <f t="shared" si="114"/>
        <v>59</v>
      </c>
      <c r="J728">
        <f t="shared" si="115"/>
        <v>599</v>
      </c>
      <c r="K728">
        <f t="shared" si="116"/>
        <v>10</v>
      </c>
      <c r="L728">
        <f t="shared" si="117"/>
        <v>224968</v>
      </c>
      <c r="M728">
        <f t="shared" si="118"/>
        <v>70193</v>
      </c>
      <c r="N728">
        <f t="shared" si="119"/>
        <v>343161</v>
      </c>
      <c r="O728">
        <f>IF(B728="zagraniczny",K728+O727,O727)</f>
        <v>375</v>
      </c>
    </row>
    <row r="729" spans="1:15" x14ac:dyDescent="0.25">
      <c r="A729">
        <v>7421868</v>
      </c>
      <c r="B729" t="str">
        <f t="shared" si="110"/>
        <v>stacjonarny</v>
      </c>
      <c r="C729" s="1">
        <v>42928</v>
      </c>
      <c r="D729" s="2">
        <v>0.38292824074074072</v>
      </c>
      <c r="E729" s="2">
        <v>0.38613425925925926</v>
      </c>
      <c r="F729" s="2">
        <f t="shared" si="111"/>
        <v>3.2060185185185386E-3</v>
      </c>
      <c r="G729">
        <f t="shared" si="112"/>
        <v>0</v>
      </c>
      <c r="H729">
        <f t="shared" si="113"/>
        <v>4</v>
      </c>
      <c r="I729">
        <f t="shared" si="114"/>
        <v>37</v>
      </c>
      <c r="J729">
        <f t="shared" si="115"/>
        <v>277</v>
      </c>
      <c r="K729">
        <f t="shared" si="116"/>
        <v>5</v>
      </c>
      <c r="L729">
        <f t="shared" si="117"/>
        <v>225245</v>
      </c>
      <c r="M729">
        <f t="shared" si="118"/>
        <v>70193</v>
      </c>
      <c r="N729">
        <f t="shared" si="119"/>
        <v>343438</v>
      </c>
      <c r="O729">
        <f>IF(B729="zagraniczny",K729+O728,O728)</f>
        <v>375</v>
      </c>
    </row>
    <row r="730" spans="1:15" x14ac:dyDescent="0.25">
      <c r="A730">
        <v>2227803</v>
      </c>
      <c r="B730" t="str">
        <f t="shared" si="110"/>
        <v>stacjonarny</v>
      </c>
      <c r="C730" s="1">
        <v>42928</v>
      </c>
      <c r="D730" s="2">
        <v>0.38317129629629632</v>
      </c>
      <c r="E730" s="2">
        <v>0.39157407407407407</v>
      </c>
      <c r="F730" s="2">
        <f t="shared" si="111"/>
        <v>8.402777777777759E-3</v>
      </c>
      <c r="G730">
        <f t="shared" si="112"/>
        <v>0</v>
      </c>
      <c r="H730">
        <f t="shared" si="113"/>
        <v>12</v>
      </c>
      <c r="I730">
        <f t="shared" si="114"/>
        <v>6</v>
      </c>
      <c r="J730">
        <f t="shared" si="115"/>
        <v>726</v>
      </c>
      <c r="K730">
        <f t="shared" si="116"/>
        <v>13</v>
      </c>
      <c r="L730">
        <f t="shared" si="117"/>
        <v>225971</v>
      </c>
      <c r="M730">
        <f t="shared" si="118"/>
        <v>70193</v>
      </c>
      <c r="N730">
        <f t="shared" si="119"/>
        <v>344164</v>
      </c>
      <c r="O730">
        <f>IF(B730="zagraniczny",K730+O729,O729)</f>
        <v>375</v>
      </c>
    </row>
    <row r="731" spans="1:15" x14ac:dyDescent="0.25">
      <c r="A731">
        <v>4007464</v>
      </c>
      <c r="B731" t="str">
        <f t="shared" si="110"/>
        <v>stacjonarny</v>
      </c>
      <c r="C731" s="1">
        <v>42928</v>
      </c>
      <c r="D731" s="2">
        <v>0.38767361111111109</v>
      </c>
      <c r="E731" s="2">
        <v>0.38848379629629631</v>
      </c>
      <c r="F731" s="2">
        <f t="shared" si="111"/>
        <v>8.1018518518521931E-4</v>
      </c>
      <c r="G731">
        <f t="shared" si="112"/>
        <v>0</v>
      </c>
      <c r="H731">
        <f t="shared" si="113"/>
        <v>1</v>
      </c>
      <c r="I731">
        <f t="shared" si="114"/>
        <v>10</v>
      </c>
      <c r="J731">
        <f t="shared" si="115"/>
        <v>70</v>
      </c>
      <c r="K731">
        <f t="shared" si="116"/>
        <v>2</v>
      </c>
      <c r="L731">
        <f t="shared" si="117"/>
        <v>226041</v>
      </c>
      <c r="M731">
        <f t="shared" si="118"/>
        <v>70193</v>
      </c>
      <c r="N731">
        <f t="shared" si="119"/>
        <v>344234</v>
      </c>
      <c r="O731">
        <f>IF(B731="zagraniczny",K731+O730,O730)</f>
        <v>375</v>
      </c>
    </row>
    <row r="732" spans="1:15" x14ac:dyDescent="0.25">
      <c r="A732">
        <v>54713807</v>
      </c>
      <c r="B732" t="str">
        <f t="shared" si="110"/>
        <v>komorkowy</v>
      </c>
      <c r="C732" s="1">
        <v>42928</v>
      </c>
      <c r="D732" s="2">
        <v>0.38968750000000002</v>
      </c>
      <c r="E732" s="2">
        <v>0.39152777777777775</v>
      </c>
      <c r="F732" s="2">
        <f t="shared" si="111"/>
        <v>1.8402777777777324E-3</v>
      </c>
      <c r="G732">
        <f t="shared" si="112"/>
        <v>0</v>
      </c>
      <c r="H732">
        <f t="shared" si="113"/>
        <v>2</v>
      </c>
      <c r="I732">
        <f t="shared" si="114"/>
        <v>39</v>
      </c>
      <c r="J732">
        <f t="shared" si="115"/>
        <v>159</v>
      </c>
      <c r="K732">
        <f t="shared" si="116"/>
        <v>3</v>
      </c>
      <c r="L732">
        <f t="shared" si="117"/>
        <v>226041</v>
      </c>
      <c r="M732">
        <f t="shared" si="118"/>
        <v>70352</v>
      </c>
      <c r="N732">
        <f t="shared" si="119"/>
        <v>344393</v>
      </c>
      <c r="O732">
        <f>IF(B732="zagraniczny",K732+O731,O731)</f>
        <v>375</v>
      </c>
    </row>
    <row r="733" spans="1:15" x14ac:dyDescent="0.25">
      <c r="A733">
        <v>7097883</v>
      </c>
      <c r="B733" t="str">
        <f t="shared" si="110"/>
        <v>stacjonarny</v>
      </c>
      <c r="C733" s="1">
        <v>42928</v>
      </c>
      <c r="D733" s="2">
        <v>0.39206018518518521</v>
      </c>
      <c r="E733" s="2">
        <v>0.39436342592592594</v>
      </c>
      <c r="F733" s="2">
        <f t="shared" si="111"/>
        <v>2.3032407407407307E-3</v>
      </c>
      <c r="G733">
        <f t="shared" si="112"/>
        <v>0</v>
      </c>
      <c r="H733">
        <f t="shared" si="113"/>
        <v>3</v>
      </c>
      <c r="I733">
        <f t="shared" si="114"/>
        <v>19</v>
      </c>
      <c r="J733">
        <f t="shared" si="115"/>
        <v>199</v>
      </c>
      <c r="K733">
        <f t="shared" si="116"/>
        <v>4</v>
      </c>
      <c r="L733">
        <f t="shared" si="117"/>
        <v>226240</v>
      </c>
      <c r="M733">
        <f t="shared" si="118"/>
        <v>70352</v>
      </c>
      <c r="N733">
        <f t="shared" si="119"/>
        <v>344592</v>
      </c>
      <c r="O733">
        <f>IF(B733="zagraniczny",K733+O732,O732)</f>
        <v>375</v>
      </c>
    </row>
    <row r="734" spans="1:15" x14ac:dyDescent="0.25">
      <c r="A734">
        <v>48630026</v>
      </c>
      <c r="B734" t="str">
        <f t="shared" si="110"/>
        <v>komorkowy</v>
      </c>
      <c r="C734" s="1">
        <v>42928</v>
      </c>
      <c r="D734" s="2">
        <v>0.39709490740740738</v>
      </c>
      <c r="E734" s="2">
        <v>0.40651620370370373</v>
      </c>
      <c r="F734" s="2">
        <f t="shared" si="111"/>
        <v>9.4212962962963442E-3</v>
      </c>
      <c r="G734">
        <f t="shared" si="112"/>
        <v>0</v>
      </c>
      <c r="H734">
        <f t="shared" si="113"/>
        <v>13</v>
      </c>
      <c r="I734">
        <f t="shared" si="114"/>
        <v>34</v>
      </c>
      <c r="J734">
        <f t="shared" si="115"/>
        <v>814</v>
      </c>
      <c r="K734">
        <f t="shared" si="116"/>
        <v>14</v>
      </c>
      <c r="L734">
        <f t="shared" si="117"/>
        <v>226240</v>
      </c>
      <c r="M734">
        <f t="shared" si="118"/>
        <v>71166</v>
      </c>
      <c r="N734">
        <f t="shared" si="119"/>
        <v>345406</v>
      </c>
      <c r="O734">
        <f>IF(B734="zagraniczny",K734+O733,O733)</f>
        <v>375</v>
      </c>
    </row>
    <row r="735" spans="1:15" x14ac:dyDescent="0.25">
      <c r="A735">
        <v>1279245</v>
      </c>
      <c r="B735" t="str">
        <f t="shared" si="110"/>
        <v>stacjonarny</v>
      </c>
      <c r="C735" s="1">
        <v>42928</v>
      </c>
      <c r="D735" s="2">
        <v>0.40247685185185184</v>
      </c>
      <c r="E735" s="2">
        <v>0.40831018518518519</v>
      </c>
      <c r="F735" s="2">
        <f t="shared" si="111"/>
        <v>5.833333333333357E-3</v>
      </c>
      <c r="G735">
        <f t="shared" si="112"/>
        <v>0</v>
      </c>
      <c r="H735">
        <f t="shared" si="113"/>
        <v>8</v>
      </c>
      <c r="I735">
        <f t="shared" si="114"/>
        <v>24</v>
      </c>
      <c r="J735">
        <f t="shared" si="115"/>
        <v>504</v>
      </c>
      <c r="K735">
        <f t="shared" si="116"/>
        <v>9</v>
      </c>
      <c r="L735">
        <f t="shared" si="117"/>
        <v>226744</v>
      </c>
      <c r="M735">
        <f t="shared" si="118"/>
        <v>71166</v>
      </c>
      <c r="N735">
        <f t="shared" si="119"/>
        <v>345910</v>
      </c>
      <c r="O735">
        <f>IF(B735="zagraniczny",K735+O734,O734)</f>
        <v>375</v>
      </c>
    </row>
    <row r="736" spans="1:15" x14ac:dyDescent="0.25">
      <c r="A736">
        <v>2571251</v>
      </c>
      <c r="B736" t="str">
        <f t="shared" si="110"/>
        <v>stacjonarny</v>
      </c>
      <c r="C736" s="1">
        <v>42928</v>
      </c>
      <c r="D736" s="2">
        <v>0.40822916666666664</v>
      </c>
      <c r="E736" s="2">
        <v>0.41586805555555556</v>
      </c>
      <c r="F736" s="2">
        <f t="shared" si="111"/>
        <v>7.6388888888889173E-3</v>
      </c>
      <c r="G736">
        <f t="shared" si="112"/>
        <v>0</v>
      </c>
      <c r="H736">
        <f t="shared" si="113"/>
        <v>11</v>
      </c>
      <c r="I736">
        <f t="shared" si="114"/>
        <v>0</v>
      </c>
      <c r="J736">
        <f t="shared" si="115"/>
        <v>660</v>
      </c>
      <c r="K736">
        <f t="shared" si="116"/>
        <v>11</v>
      </c>
      <c r="L736">
        <f t="shared" si="117"/>
        <v>227404</v>
      </c>
      <c r="M736">
        <f t="shared" si="118"/>
        <v>71166</v>
      </c>
      <c r="N736">
        <f t="shared" si="119"/>
        <v>346570</v>
      </c>
      <c r="O736">
        <f>IF(B736="zagraniczny",K736+O735,O735)</f>
        <v>375</v>
      </c>
    </row>
    <row r="737" spans="1:15" x14ac:dyDescent="0.25">
      <c r="A737">
        <v>9566647</v>
      </c>
      <c r="B737" t="str">
        <f t="shared" si="110"/>
        <v>stacjonarny</v>
      </c>
      <c r="C737" s="1">
        <v>42928</v>
      </c>
      <c r="D737" s="2">
        <v>0.40881944444444446</v>
      </c>
      <c r="E737" s="2">
        <v>0.40950231481481481</v>
      </c>
      <c r="F737" s="2">
        <f t="shared" si="111"/>
        <v>6.8287037037034759E-4</v>
      </c>
      <c r="G737">
        <f t="shared" si="112"/>
        <v>0</v>
      </c>
      <c r="H737">
        <f t="shared" si="113"/>
        <v>0</v>
      </c>
      <c r="I737">
        <f t="shared" si="114"/>
        <v>59</v>
      </c>
      <c r="J737">
        <f t="shared" si="115"/>
        <v>59</v>
      </c>
      <c r="K737">
        <f t="shared" si="116"/>
        <v>1</v>
      </c>
      <c r="L737">
        <f t="shared" si="117"/>
        <v>227463</v>
      </c>
      <c r="M737">
        <f t="shared" si="118"/>
        <v>71166</v>
      </c>
      <c r="N737">
        <f t="shared" si="119"/>
        <v>346629</v>
      </c>
      <c r="O737">
        <f>IF(B737="zagraniczny",K737+O736,O736)</f>
        <v>375</v>
      </c>
    </row>
    <row r="738" spans="1:15" x14ac:dyDescent="0.25">
      <c r="A738">
        <v>1454555</v>
      </c>
      <c r="B738" t="str">
        <f t="shared" si="110"/>
        <v>stacjonarny</v>
      </c>
      <c r="C738" s="1">
        <v>42928</v>
      </c>
      <c r="D738" s="2">
        <v>0.41078703703703706</v>
      </c>
      <c r="E738" s="2">
        <v>0.41078703703703706</v>
      </c>
      <c r="F738" s="2">
        <f t="shared" si="111"/>
        <v>0</v>
      </c>
      <c r="G738">
        <f t="shared" si="112"/>
        <v>0</v>
      </c>
      <c r="H738">
        <f t="shared" si="113"/>
        <v>0</v>
      </c>
      <c r="I738">
        <f t="shared" si="114"/>
        <v>0</v>
      </c>
      <c r="J738">
        <f t="shared" si="115"/>
        <v>0</v>
      </c>
      <c r="K738">
        <f t="shared" si="116"/>
        <v>0</v>
      </c>
      <c r="L738">
        <f t="shared" si="117"/>
        <v>227463</v>
      </c>
      <c r="M738">
        <f t="shared" si="118"/>
        <v>71166</v>
      </c>
      <c r="N738">
        <f t="shared" si="119"/>
        <v>346629</v>
      </c>
      <c r="O738">
        <f>IF(B738="zagraniczny",K738+O737,O737)</f>
        <v>375</v>
      </c>
    </row>
    <row r="739" spans="1:15" x14ac:dyDescent="0.25">
      <c r="A739">
        <v>21996267</v>
      </c>
      <c r="B739" t="str">
        <f t="shared" si="110"/>
        <v>komorkowy</v>
      </c>
      <c r="C739" s="1">
        <v>42928</v>
      </c>
      <c r="D739" s="2">
        <v>0.41218749999999998</v>
      </c>
      <c r="E739" s="2">
        <v>0.41280092592592593</v>
      </c>
      <c r="F739" s="2">
        <f t="shared" si="111"/>
        <v>6.134259259259478E-4</v>
      </c>
      <c r="G739">
        <f t="shared" si="112"/>
        <v>0</v>
      </c>
      <c r="H739">
        <f t="shared" si="113"/>
        <v>0</v>
      </c>
      <c r="I739">
        <f t="shared" si="114"/>
        <v>53</v>
      </c>
      <c r="J739">
        <f t="shared" si="115"/>
        <v>53</v>
      </c>
      <c r="K739">
        <f t="shared" si="116"/>
        <v>1</v>
      </c>
      <c r="L739">
        <f t="shared" si="117"/>
        <v>227463</v>
      </c>
      <c r="M739">
        <f t="shared" si="118"/>
        <v>71219</v>
      </c>
      <c r="N739">
        <f t="shared" si="119"/>
        <v>346682</v>
      </c>
      <c r="O739">
        <f>IF(B739="zagraniczny",K739+O738,O738)</f>
        <v>375</v>
      </c>
    </row>
    <row r="740" spans="1:15" x14ac:dyDescent="0.25">
      <c r="A740">
        <v>8429072</v>
      </c>
      <c r="B740" t="str">
        <f t="shared" si="110"/>
        <v>stacjonarny</v>
      </c>
      <c r="C740" s="1">
        <v>42928</v>
      </c>
      <c r="D740" s="2">
        <v>0.41414351851851849</v>
      </c>
      <c r="E740" s="2">
        <v>0.42015046296296299</v>
      </c>
      <c r="F740" s="2">
        <f t="shared" si="111"/>
        <v>6.0069444444444953E-3</v>
      </c>
      <c r="G740">
        <f t="shared" si="112"/>
        <v>0</v>
      </c>
      <c r="H740">
        <f t="shared" si="113"/>
        <v>8</v>
      </c>
      <c r="I740">
        <f t="shared" si="114"/>
        <v>39</v>
      </c>
      <c r="J740">
        <f t="shared" si="115"/>
        <v>519</v>
      </c>
      <c r="K740">
        <f t="shared" si="116"/>
        <v>9</v>
      </c>
      <c r="L740">
        <f t="shared" si="117"/>
        <v>227982</v>
      </c>
      <c r="M740">
        <f t="shared" si="118"/>
        <v>71219</v>
      </c>
      <c r="N740">
        <f t="shared" si="119"/>
        <v>347201</v>
      </c>
      <c r="O740">
        <f>IF(B740="zagraniczny",K740+O739,O739)</f>
        <v>375</v>
      </c>
    </row>
    <row r="741" spans="1:15" x14ac:dyDescent="0.25">
      <c r="A741">
        <v>9815754</v>
      </c>
      <c r="B741" t="str">
        <f t="shared" si="110"/>
        <v>stacjonarny</v>
      </c>
      <c r="C741" s="1">
        <v>42928</v>
      </c>
      <c r="D741" s="2">
        <v>0.41853009259259261</v>
      </c>
      <c r="E741" s="2">
        <v>0.42037037037037039</v>
      </c>
      <c r="F741" s="2">
        <f t="shared" si="111"/>
        <v>1.8402777777777879E-3</v>
      </c>
      <c r="G741">
        <f t="shared" si="112"/>
        <v>0</v>
      </c>
      <c r="H741">
        <f t="shared" si="113"/>
        <v>2</v>
      </c>
      <c r="I741">
        <f t="shared" si="114"/>
        <v>39</v>
      </c>
      <c r="J741">
        <f t="shared" si="115"/>
        <v>159</v>
      </c>
      <c r="K741">
        <f t="shared" si="116"/>
        <v>3</v>
      </c>
      <c r="L741">
        <f t="shared" si="117"/>
        <v>228141</v>
      </c>
      <c r="M741">
        <f t="shared" si="118"/>
        <v>71219</v>
      </c>
      <c r="N741">
        <f t="shared" si="119"/>
        <v>347360</v>
      </c>
      <c r="O741">
        <f>IF(B741="zagraniczny",K741+O740,O740)</f>
        <v>375</v>
      </c>
    </row>
    <row r="742" spans="1:15" x14ac:dyDescent="0.25">
      <c r="A742">
        <v>2434652</v>
      </c>
      <c r="B742" t="str">
        <f t="shared" si="110"/>
        <v>stacjonarny</v>
      </c>
      <c r="C742" s="1">
        <v>42928</v>
      </c>
      <c r="D742" s="2">
        <v>0.42370370370370369</v>
      </c>
      <c r="E742" s="2">
        <v>0.43412037037037038</v>
      </c>
      <c r="F742" s="2">
        <f t="shared" si="111"/>
        <v>1.0416666666666685E-2</v>
      </c>
      <c r="G742">
        <f t="shared" si="112"/>
        <v>0</v>
      </c>
      <c r="H742">
        <f t="shared" si="113"/>
        <v>15</v>
      </c>
      <c r="I742">
        <f t="shared" si="114"/>
        <v>0</v>
      </c>
      <c r="J742">
        <f t="shared" si="115"/>
        <v>900</v>
      </c>
      <c r="K742">
        <f t="shared" si="116"/>
        <v>15</v>
      </c>
      <c r="L742">
        <f t="shared" si="117"/>
        <v>229041</v>
      </c>
      <c r="M742">
        <f t="shared" si="118"/>
        <v>71219</v>
      </c>
      <c r="N742">
        <f t="shared" si="119"/>
        <v>348260</v>
      </c>
      <c r="O742">
        <f>IF(B742="zagraniczny",K742+O741,O741)</f>
        <v>375</v>
      </c>
    </row>
    <row r="743" spans="1:15" x14ac:dyDescent="0.25">
      <c r="A743">
        <v>4939683</v>
      </c>
      <c r="B743" t="str">
        <f t="shared" si="110"/>
        <v>stacjonarny</v>
      </c>
      <c r="C743" s="1">
        <v>42928</v>
      </c>
      <c r="D743" s="2">
        <v>0.42650462962962965</v>
      </c>
      <c r="E743" s="2">
        <v>0.43417824074074074</v>
      </c>
      <c r="F743" s="2">
        <f t="shared" si="111"/>
        <v>7.6736111111110894E-3</v>
      </c>
      <c r="G743">
        <f t="shared" si="112"/>
        <v>0</v>
      </c>
      <c r="H743">
        <f t="shared" si="113"/>
        <v>11</v>
      </c>
      <c r="I743">
        <f t="shared" si="114"/>
        <v>3</v>
      </c>
      <c r="J743">
        <f t="shared" si="115"/>
        <v>663</v>
      </c>
      <c r="K743">
        <f t="shared" si="116"/>
        <v>12</v>
      </c>
      <c r="L743">
        <f t="shared" si="117"/>
        <v>229704</v>
      </c>
      <c r="M743">
        <f t="shared" si="118"/>
        <v>71219</v>
      </c>
      <c r="N743">
        <f t="shared" si="119"/>
        <v>348923</v>
      </c>
      <c r="O743">
        <f>IF(B743="zagraniczny",K743+O742,O742)</f>
        <v>375</v>
      </c>
    </row>
    <row r="744" spans="1:15" x14ac:dyDescent="0.25">
      <c r="A744">
        <v>6821027</v>
      </c>
      <c r="B744" t="str">
        <f t="shared" si="110"/>
        <v>stacjonarny</v>
      </c>
      <c r="C744" s="1">
        <v>42928</v>
      </c>
      <c r="D744" s="2">
        <v>0.42766203703703703</v>
      </c>
      <c r="E744" s="2">
        <v>0.43533564814814812</v>
      </c>
      <c r="F744" s="2">
        <f t="shared" si="111"/>
        <v>7.6736111111110894E-3</v>
      </c>
      <c r="G744">
        <f t="shared" si="112"/>
        <v>0</v>
      </c>
      <c r="H744">
        <f t="shared" si="113"/>
        <v>11</v>
      </c>
      <c r="I744">
        <f t="shared" si="114"/>
        <v>3</v>
      </c>
      <c r="J744">
        <f t="shared" si="115"/>
        <v>663</v>
      </c>
      <c r="K744">
        <f t="shared" si="116"/>
        <v>12</v>
      </c>
      <c r="L744">
        <f t="shared" si="117"/>
        <v>230367</v>
      </c>
      <c r="M744">
        <f t="shared" si="118"/>
        <v>71219</v>
      </c>
      <c r="N744">
        <f t="shared" si="119"/>
        <v>349586</v>
      </c>
      <c r="O744">
        <f>IF(B744="zagraniczny",K744+O743,O743)</f>
        <v>375</v>
      </c>
    </row>
    <row r="745" spans="1:15" x14ac:dyDescent="0.25">
      <c r="A745">
        <v>3253368</v>
      </c>
      <c r="B745" t="str">
        <f t="shared" si="110"/>
        <v>stacjonarny</v>
      </c>
      <c r="C745" s="1">
        <v>42928</v>
      </c>
      <c r="D745" s="2">
        <v>0.43041666666666667</v>
      </c>
      <c r="E745" s="2">
        <v>0.43164351851851851</v>
      </c>
      <c r="F745" s="2">
        <f t="shared" si="111"/>
        <v>1.2268518518518401E-3</v>
      </c>
      <c r="G745">
        <f t="shared" si="112"/>
        <v>0</v>
      </c>
      <c r="H745">
        <f t="shared" si="113"/>
        <v>1</v>
      </c>
      <c r="I745">
        <f t="shared" si="114"/>
        <v>46</v>
      </c>
      <c r="J745">
        <f t="shared" si="115"/>
        <v>106</v>
      </c>
      <c r="K745">
        <f t="shared" si="116"/>
        <v>2</v>
      </c>
      <c r="L745">
        <f t="shared" si="117"/>
        <v>230473</v>
      </c>
      <c r="M745">
        <f t="shared" si="118"/>
        <v>71219</v>
      </c>
      <c r="N745">
        <f t="shared" si="119"/>
        <v>349692</v>
      </c>
      <c r="O745">
        <f>IF(B745="zagraniczny",K745+O744,O744)</f>
        <v>375</v>
      </c>
    </row>
    <row r="746" spans="1:15" x14ac:dyDescent="0.25">
      <c r="A746">
        <v>3505978</v>
      </c>
      <c r="B746" t="str">
        <f t="shared" si="110"/>
        <v>stacjonarny</v>
      </c>
      <c r="C746" s="1">
        <v>42928</v>
      </c>
      <c r="D746" s="2">
        <v>0.43381944444444442</v>
      </c>
      <c r="E746" s="2">
        <v>0.44515046296296296</v>
      </c>
      <c r="F746" s="2">
        <f t="shared" si="111"/>
        <v>1.1331018518518532E-2</v>
      </c>
      <c r="G746">
        <f t="shared" si="112"/>
        <v>0</v>
      </c>
      <c r="H746">
        <f t="shared" si="113"/>
        <v>16</v>
      </c>
      <c r="I746">
        <f t="shared" si="114"/>
        <v>19</v>
      </c>
      <c r="J746">
        <f t="shared" si="115"/>
        <v>979</v>
      </c>
      <c r="K746">
        <f t="shared" si="116"/>
        <v>17</v>
      </c>
      <c r="L746">
        <f t="shared" si="117"/>
        <v>231452</v>
      </c>
      <c r="M746">
        <f t="shared" si="118"/>
        <v>71219</v>
      </c>
      <c r="N746">
        <f t="shared" si="119"/>
        <v>350671</v>
      </c>
      <c r="O746">
        <f>IF(B746="zagraniczny",K746+O745,O745)</f>
        <v>375</v>
      </c>
    </row>
    <row r="747" spans="1:15" x14ac:dyDescent="0.25">
      <c r="A747">
        <v>91743317</v>
      </c>
      <c r="B747" t="str">
        <f t="shared" si="110"/>
        <v>komorkowy</v>
      </c>
      <c r="C747" s="1">
        <v>42928</v>
      </c>
      <c r="D747" s="2">
        <v>0.43717592592592591</v>
      </c>
      <c r="E747" s="2">
        <v>0.44695601851851852</v>
      </c>
      <c r="F747" s="2">
        <f t="shared" si="111"/>
        <v>9.7800925925926041E-3</v>
      </c>
      <c r="G747">
        <f t="shared" si="112"/>
        <v>0</v>
      </c>
      <c r="H747">
        <f t="shared" si="113"/>
        <v>14</v>
      </c>
      <c r="I747">
        <f t="shared" si="114"/>
        <v>5</v>
      </c>
      <c r="J747">
        <f t="shared" si="115"/>
        <v>845</v>
      </c>
      <c r="K747">
        <f t="shared" si="116"/>
        <v>15</v>
      </c>
      <c r="L747">
        <f t="shared" si="117"/>
        <v>231452</v>
      </c>
      <c r="M747">
        <f t="shared" si="118"/>
        <v>72064</v>
      </c>
      <c r="N747">
        <f t="shared" si="119"/>
        <v>351516</v>
      </c>
      <c r="O747">
        <f>IF(B747="zagraniczny",K747+O746,O746)</f>
        <v>375</v>
      </c>
    </row>
    <row r="748" spans="1:15" x14ac:dyDescent="0.25">
      <c r="A748">
        <v>5104536</v>
      </c>
      <c r="B748" t="str">
        <f t="shared" si="110"/>
        <v>stacjonarny</v>
      </c>
      <c r="C748" s="1">
        <v>42928</v>
      </c>
      <c r="D748" s="2">
        <v>0.44146990740740738</v>
      </c>
      <c r="E748" s="2">
        <v>0.44412037037037039</v>
      </c>
      <c r="F748" s="2">
        <f t="shared" si="111"/>
        <v>2.6504629629630072E-3</v>
      </c>
      <c r="G748">
        <f t="shared" si="112"/>
        <v>0</v>
      </c>
      <c r="H748">
        <f t="shared" si="113"/>
        <v>3</v>
      </c>
      <c r="I748">
        <f t="shared" si="114"/>
        <v>49</v>
      </c>
      <c r="J748">
        <f t="shared" si="115"/>
        <v>229</v>
      </c>
      <c r="K748">
        <f t="shared" si="116"/>
        <v>4</v>
      </c>
      <c r="L748">
        <f t="shared" si="117"/>
        <v>231681</v>
      </c>
      <c r="M748">
        <f t="shared" si="118"/>
        <v>72064</v>
      </c>
      <c r="N748">
        <f t="shared" si="119"/>
        <v>351745</v>
      </c>
      <c r="O748">
        <f>IF(B748="zagraniczny",K748+O747,O747)</f>
        <v>375</v>
      </c>
    </row>
    <row r="749" spans="1:15" x14ac:dyDescent="0.25">
      <c r="A749">
        <v>7353916</v>
      </c>
      <c r="B749" t="str">
        <f t="shared" si="110"/>
        <v>stacjonarny</v>
      </c>
      <c r="C749" s="1">
        <v>42928</v>
      </c>
      <c r="D749" s="2">
        <v>0.44663194444444443</v>
      </c>
      <c r="E749" s="2">
        <v>0.45378472222222221</v>
      </c>
      <c r="F749" s="2">
        <f t="shared" si="111"/>
        <v>7.1527777777777857E-3</v>
      </c>
      <c r="G749">
        <f t="shared" si="112"/>
        <v>0</v>
      </c>
      <c r="H749">
        <f t="shared" si="113"/>
        <v>10</v>
      </c>
      <c r="I749">
        <f t="shared" si="114"/>
        <v>18</v>
      </c>
      <c r="J749">
        <f t="shared" si="115"/>
        <v>618</v>
      </c>
      <c r="K749">
        <f t="shared" si="116"/>
        <v>11</v>
      </c>
      <c r="L749">
        <f t="shared" si="117"/>
        <v>232299</v>
      </c>
      <c r="M749">
        <f t="shared" si="118"/>
        <v>72064</v>
      </c>
      <c r="N749">
        <f t="shared" si="119"/>
        <v>352363</v>
      </c>
      <c r="O749">
        <f>IF(B749="zagraniczny",K749+O748,O748)</f>
        <v>375</v>
      </c>
    </row>
    <row r="750" spans="1:15" x14ac:dyDescent="0.25">
      <c r="A750">
        <v>4412771</v>
      </c>
      <c r="B750" t="str">
        <f t="shared" si="110"/>
        <v>stacjonarny</v>
      </c>
      <c r="C750" s="1">
        <v>42928</v>
      </c>
      <c r="D750" s="2">
        <v>0.44809027777777777</v>
      </c>
      <c r="E750" s="2">
        <v>0.45256944444444447</v>
      </c>
      <c r="F750" s="2">
        <f t="shared" si="111"/>
        <v>4.4791666666667007E-3</v>
      </c>
      <c r="G750">
        <f t="shared" si="112"/>
        <v>0</v>
      </c>
      <c r="H750">
        <f t="shared" si="113"/>
        <v>6</v>
      </c>
      <c r="I750">
        <f t="shared" si="114"/>
        <v>27</v>
      </c>
      <c r="J750">
        <f t="shared" si="115"/>
        <v>387</v>
      </c>
      <c r="K750">
        <f t="shared" si="116"/>
        <v>7</v>
      </c>
      <c r="L750">
        <f t="shared" si="117"/>
        <v>232686</v>
      </c>
      <c r="M750">
        <f t="shared" si="118"/>
        <v>72064</v>
      </c>
      <c r="N750">
        <f t="shared" si="119"/>
        <v>352750</v>
      </c>
      <c r="O750">
        <f>IF(B750="zagraniczny",K750+O749,O749)</f>
        <v>375</v>
      </c>
    </row>
    <row r="751" spans="1:15" x14ac:dyDescent="0.25">
      <c r="A751">
        <v>6709939</v>
      </c>
      <c r="B751" t="str">
        <f t="shared" si="110"/>
        <v>stacjonarny</v>
      </c>
      <c r="C751" s="1">
        <v>42928</v>
      </c>
      <c r="D751" s="2">
        <v>0.44817129629629632</v>
      </c>
      <c r="E751" s="2">
        <v>0.4506134259259259</v>
      </c>
      <c r="F751" s="2">
        <f t="shared" si="111"/>
        <v>2.4421296296295858E-3</v>
      </c>
      <c r="G751">
        <f t="shared" si="112"/>
        <v>0</v>
      </c>
      <c r="H751">
        <f t="shared" si="113"/>
        <v>3</v>
      </c>
      <c r="I751">
        <f t="shared" si="114"/>
        <v>31</v>
      </c>
      <c r="J751">
        <f t="shared" si="115"/>
        <v>211</v>
      </c>
      <c r="K751">
        <f t="shared" si="116"/>
        <v>4</v>
      </c>
      <c r="L751">
        <f t="shared" si="117"/>
        <v>232897</v>
      </c>
      <c r="M751">
        <f t="shared" si="118"/>
        <v>72064</v>
      </c>
      <c r="N751">
        <f t="shared" si="119"/>
        <v>352961</v>
      </c>
      <c r="O751">
        <f>IF(B751="zagraniczny",K751+O750,O750)</f>
        <v>375</v>
      </c>
    </row>
    <row r="752" spans="1:15" x14ac:dyDescent="0.25">
      <c r="A752">
        <v>7891185</v>
      </c>
      <c r="B752" t="str">
        <f t="shared" si="110"/>
        <v>stacjonarny</v>
      </c>
      <c r="C752" s="1">
        <v>42928</v>
      </c>
      <c r="D752" s="2">
        <v>0.45010416666666669</v>
      </c>
      <c r="E752" s="2">
        <v>0.46153935185185185</v>
      </c>
      <c r="F752" s="2">
        <f t="shared" si="111"/>
        <v>1.1435185185185159E-2</v>
      </c>
      <c r="G752">
        <f t="shared" si="112"/>
        <v>0</v>
      </c>
      <c r="H752">
        <f t="shared" si="113"/>
        <v>16</v>
      </c>
      <c r="I752">
        <f t="shared" si="114"/>
        <v>28</v>
      </c>
      <c r="J752">
        <f t="shared" si="115"/>
        <v>988</v>
      </c>
      <c r="K752">
        <f t="shared" si="116"/>
        <v>17</v>
      </c>
      <c r="L752">
        <f t="shared" si="117"/>
        <v>233885</v>
      </c>
      <c r="M752">
        <f t="shared" si="118"/>
        <v>72064</v>
      </c>
      <c r="N752">
        <f t="shared" si="119"/>
        <v>353949</v>
      </c>
      <c r="O752">
        <f>IF(B752="zagraniczny",K752+O751,O751)</f>
        <v>375</v>
      </c>
    </row>
    <row r="753" spans="1:15" x14ac:dyDescent="0.25">
      <c r="A753">
        <v>90417363</v>
      </c>
      <c r="B753" t="str">
        <f t="shared" si="110"/>
        <v>komorkowy</v>
      </c>
      <c r="C753" s="1">
        <v>42928</v>
      </c>
      <c r="D753" s="2">
        <v>0.45504629629629628</v>
      </c>
      <c r="E753" s="2">
        <v>0.4607175925925926</v>
      </c>
      <c r="F753" s="2">
        <f t="shared" si="111"/>
        <v>5.6712962962963132E-3</v>
      </c>
      <c r="G753">
        <f t="shared" si="112"/>
        <v>0</v>
      </c>
      <c r="H753">
        <f t="shared" si="113"/>
        <v>8</v>
      </c>
      <c r="I753">
        <f t="shared" si="114"/>
        <v>10</v>
      </c>
      <c r="J753">
        <f t="shared" si="115"/>
        <v>490</v>
      </c>
      <c r="K753">
        <f t="shared" si="116"/>
        <v>9</v>
      </c>
      <c r="L753">
        <f t="shared" si="117"/>
        <v>233885</v>
      </c>
      <c r="M753">
        <f t="shared" si="118"/>
        <v>72554</v>
      </c>
      <c r="N753">
        <f t="shared" si="119"/>
        <v>354439</v>
      </c>
      <c r="O753">
        <f>IF(B753="zagraniczny",K753+O752,O752)</f>
        <v>375</v>
      </c>
    </row>
    <row r="754" spans="1:15" x14ac:dyDescent="0.25">
      <c r="A754">
        <v>4929499</v>
      </c>
      <c r="B754" t="str">
        <f t="shared" si="110"/>
        <v>stacjonarny</v>
      </c>
      <c r="C754" s="1">
        <v>42928</v>
      </c>
      <c r="D754" s="2">
        <v>0.45673611111111112</v>
      </c>
      <c r="E754" s="2">
        <v>0.4586574074074074</v>
      </c>
      <c r="F754" s="2">
        <f t="shared" si="111"/>
        <v>1.9212962962962821E-3</v>
      </c>
      <c r="G754">
        <f t="shared" si="112"/>
        <v>0</v>
      </c>
      <c r="H754">
        <f t="shared" si="113"/>
        <v>2</v>
      </c>
      <c r="I754">
        <f t="shared" si="114"/>
        <v>46</v>
      </c>
      <c r="J754">
        <f t="shared" si="115"/>
        <v>166</v>
      </c>
      <c r="K754">
        <f t="shared" si="116"/>
        <v>3</v>
      </c>
      <c r="L754">
        <f t="shared" si="117"/>
        <v>234051</v>
      </c>
      <c r="M754">
        <f t="shared" si="118"/>
        <v>72554</v>
      </c>
      <c r="N754">
        <f t="shared" si="119"/>
        <v>354605</v>
      </c>
      <c r="O754">
        <f>IF(B754="zagraniczny",K754+O753,O753)</f>
        <v>375</v>
      </c>
    </row>
    <row r="755" spans="1:15" x14ac:dyDescent="0.25">
      <c r="A755">
        <v>3824371</v>
      </c>
      <c r="B755" t="str">
        <f t="shared" si="110"/>
        <v>stacjonarny</v>
      </c>
      <c r="C755" s="1">
        <v>42928</v>
      </c>
      <c r="D755" s="2">
        <v>0.46217592592592593</v>
      </c>
      <c r="E755" s="2">
        <v>0.47150462962962963</v>
      </c>
      <c r="F755" s="2">
        <f t="shared" si="111"/>
        <v>9.3287037037037002E-3</v>
      </c>
      <c r="G755">
        <f t="shared" si="112"/>
        <v>0</v>
      </c>
      <c r="H755">
        <f t="shared" si="113"/>
        <v>13</v>
      </c>
      <c r="I755">
        <f t="shared" si="114"/>
        <v>26</v>
      </c>
      <c r="J755">
        <f t="shared" si="115"/>
        <v>806</v>
      </c>
      <c r="K755">
        <f t="shared" si="116"/>
        <v>14</v>
      </c>
      <c r="L755">
        <f t="shared" si="117"/>
        <v>234857</v>
      </c>
      <c r="M755">
        <f t="shared" si="118"/>
        <v>72554</v>
      </c>
      <c r="N755">
        <f t="shared" si="119"/>
        <v>355411</v>
      </c>
      <c r="O755">
        <f>IF(B755="zagraniczny",K755+O754,O754)</f>
        <v>375</v>
      </c>
    </row>
    <row r="756" spans="1:15" x14ac:dyDescent="0.25">
      <c r="A756">
        <v>1119740</v>
      </c>
      <c r="B756" t="str">
        <f t="shared" si="110"/>
        <v>stacjonarny</v>
      </c>
      <c r="C756" s="1">
        <v>42928</v>
      </c>
      <c r="D756" s="2">
        <v>0.46663194444444445</v>
      </c>
      <c r="E756" s="2">
        <v>0.47532407407407407</v>
      </c>
      <c r="F756" s="2">
        <f t="shared" si="111"/>
        <v>8.6921296296296191E-3</v>
      </c>
      <c r="G756">
        <f t="shared" si="112"/>
        <v>0</v>
      </c>
      <c r="H756">
        <f t="shared" si="113"/>
        <v>12</v>
      </c>
      <c r="I756">
        <f t="shared" si="114"/>
        <v>31</v>
      </c>
      <c r="J756">
        <f t="shared" si="115"/>
        <v>751</v>
      </c>
      <c r="K756">
        <f t="shared" si="116"/>
        <v>13</v>
      </c>
      <c r="L756">
        <f t="shared" si="117"/>
        <v>235608</v>
      </c>
      <c r="M756">
        <f t="shared" si="118"/>
        <v>72554</v>
      </c>
      <c r="N756">
        <f t="shared" si="119"/>
        <v>356162</v>
      </c>
      <c r="O756">
        <f>IF(B756="zagraniczny",K756+O755,O755)</f>
        <v>375</v>
      </c>
    </row>
    <row r="757" spans="1:15" x14ac:dyDescent="0.25">
      <c r="A757">
        <v>1219073</v>
      </c>
      <c r="B757" t="str">
        <f t="shared" si="110"/>
        <v>stacjonarny</v>
      </c>
      <c r="C757" s="1">
        <v>42928</v>
      </c>
      <c r="D757" s="2">
        <v>0.46870370370370368</v>
      </c>
      <c r="E757" s="2">
        <v>0.47320601851851851</v>
      </c>
      <c r="F757" s="2">
        <f t="shared" si="111"/>
        <v>4.502314814814834E-3</v>
      </c>
      <c r="G757">
        <f t="shared" si="112"/>
        <v>0</v>
      </c>
      <c r="H757">
        <f t="shared" si="113"/>
        <v>6</v>
      </c>
      <c r="I757">
        <f t="shared" si="114"/>
        <v>29</v>
      </c>
      <c r="J757">
        <f t="shared" si="115"/>
        <v>389</v>
      </c>
      <c r="K757">
        <f t="shared" si="116"/>
        <v>7</v>
      </c>
      <c r="L757">
        <f t="shared" si="117"/>
        <v>235997</v>
      </c>
      <c r="M757">
        <f t="shared" si="118"/>
        <v>72554</v>
      </c>
      <c r="N757">
        <f t="shared" si="119"/>
        <v>356551</v>
      </c>
      <c r="O757">
        <f>IF(B757="zagraniczny",K757+O756,O756)</f>
        <v>375</v>
      </c>
    </row>
    <row r="758" spans="1:15" x14ac:dyDescent="0.25">
      <c r="A758">
        <v>87702896</v>
      </c>
      <c r="B758" t="str">
        <f t="shared" si="110"/>
        <v>komorkowy</v>
      </c>
      <c r="C758" s="1">
        <v>42928</v>
      </c>
      <c r="D758" s="2">
        <v>0.47358796296296296</v>
      </c>
      <c r="E758" s="2">
        <v>0.47878472222222224</v>
      </c>
      <c r="F758" s="2">
        <f t="shared" si="111"/>
        <v>5.196759259259276E-3</v>
      </c>
      <c r="G758">
        <f t="shared" si="112"/>
        <v>0</v>
      </c>
      <c r="H758">
        <f t="shared" si="113"/>
        <v>7</v>
      </c>
      <c r="I758">
        <f t="shared" si="114"/>
        <v>29</v>
      </c>
      <c r="J758">
        <f t="shared" si="115"/>
        <v>449</v>
      </c>
      <c r="K758">
        <f t="shared" si="116"/>
        <v>8</v>
      </c>
      <c r="L758">
        <f t="shared" si="117"/>
        <v>235997</v>
      </c>
      <c r="M758">
        <f t="shared" si="118"/>
        <v>73003</v>
      </c>
      <c r="N758">
        <f t="shared" si="119"/>
        <v>357000</v>
      </c>
      <c r="O758">
        <f>IF(B758="zagraniczny",K758+O757,O757)</f>
        <v>375</v>
      </c>
    </row>
    <row r="759" spans="1:15" x14ac:dyDescent="0.25">
      <c r="A759">
        <v>94197168</v>
      </c>
      <c r="B759" t="str">
        <f t="shared" si="110"/>
        <v>komorkowy</v>
      </c>
      <c r="C759" s="1">
        <v>42928</v>
      </c>
      <c r="D759" s="2">
        <v>0.47819444444444442</v>
      </c>
      <c r="E759" s="2">
        <v>0.48442129629629632</v>
      </c>
      <c r="F759" s="2">
        <f t="shared" si="111"/>
        <v>6.2268518518519E-3</v>
      </c>
      <c r="G759">
        <f t="shared" si="112"/>
        <v>0</v>
      </c>
      <c r="H759">
        <f t="shared" si="113"/>
        <v>8</v>
      </c>
      <c r="I759">
        <f t="shared" si="114"/>
        <v>58</v>
      </c>
      <c r="J759">
        <f t="shared" si="115"/>
        <v>538</v>
      </c>
      <c r="K759">
        <f t="shared" si="116"/>
        <v>9</v>
      </c>
      <c r="L759">
        <f t="shared" si="117"/>
        <v>235997</v>
      </c>
      <c r="M759">
        <f t="shared" si="118"/>
        <v>73541</v>
      </c>
      <c r="N759">
        <f t="shared" si="119"/>
        <v>357538</v>
      </c>
      <c r="O759">
        <f>IF(B759="zagraniczny",K759+O758,O758)</f>
        <v>375</v>
      </c>
    </row>
    <row r="760" spans="1:15" x14ac:dyDescent="0.25">
      <c r="A760">
        <v>8655825</v>
      </c>
      <c r="B760" t="str">
        <f t="shared" si="110"/>
        <v>stacjonarny</v>
      </c>
      <c r="C760" s="1">
        <v>42928</v>
      </c>
      <c r="D760" s="2">
        <v>0.48251157407407408</v>
      </c>
      <c r="E760" s="2">
        <v>0.48732638888888891</v>
      </c>
      <c r="F760" s="2">
        <f t="shared" si="111"/>
        <v>4.8148148148148273E-3</v>
      </c>
      <c r="G760">
        <f t="shared" si="112"/>
        <v>0</v>
      </c>
      <c r="H760">
        <f t="shared" si="113"/>
        <v>6</v>
      </c>
      <c r="I760">
        <f t="shared" si="114"/>
        <v>56</v>
      </c>
      <c r="J760">
        <f t="shared" si="115"/>
        <v>416</v>
      </c>
      <c r="K760">
        <f t="shared" si="116"/>
        <v>7</v>
      </c>
      <c r="L760">
        <f t="shared" si="117"/>
        <v>236413</v>
      </c>
      <c r="M760">
        <f t="shared" si="118"/>
        <v>73541</v>
      </c>
      <c r="N760">
        <f t="shared" si="119"/>
        <v>357954</v>
      </c>
      <c r="O760">
        <f>IF(B760="zagraniczny",K760+O759,O759)</f>
        <v>375</v>
      </c>
    </row>
    <row r="761" spans="1:15" x14ac:dyDescent="0.25">
      <c r="A761">
        <v>47707639</v>
      </c>
      <c r="B761" t="str">
        <f t="shared" si="110"/>
        <v>komorkowy</v>
      </c>
      <c r="C761" s="1">
        <v>42928</v>
      </c>
      <c r="D761" s="2">
        <v>0.48827546296296298</v>
      </c>
      <c r="E761" s="2">
        <v>0.49432870370370369</v>
      </c>
      <c r="F761" s="2">
        <f t="shared" si="111"/>
        <v>6.0532407407407063E-3</v>
      </c>
      <c r="G761">
        <f t="shared" si="112"/>
        <v>0</v>
      </c>
      <c r="H761">
        <f t="shared" si="113"/>
        <v>8</v>
      </c>
      <c r="I761">
        <f t="shared" si="114"/>
        <v>43</v>
      </c>
      <c r="J761">
        <f t="shared" si="115"/>
        <v>523</v>
      </c>
      <c r="K761">
        <f t="shared" si="116"/>
        <v>9</v>
      </c>
      <c r="L761">
        <f t="shared" si="117"/>
        <v>236413</v>
      </c>
      <c r="M761">
        <f t="shared" si="118"/>
        <v>74064</v>
      </c>
      <c r="N761">
        <f t="shared" si="119"/>
        <v>358477</v>
      </c>
      <c r="O761">
        <f>IF(B761="zagraniczny",K761+O760,O760)</f>
        <v>375</v>
      </c>
    </row>
    <row r="762" spans="1:15" x14ac:dyDescent="0.25">
      <c r="A762">
        <v>5029329</v>
      </c>
      <c r="B762" t="str">
        <f t="shared" si="110"/>
        <v>stacjonarny</v>
      </c>
      <c r="C762" s="1">
        <v>42928</v>
      </c>
      <c r="D762" s="2">
        <v>0.49062499999999998</v>
      </c>
      <c r="E762" s="2">
        <v>0.49535879629629631</v>
      </c>
      <c r="F762" s="2">
        <f t="shared" si="111"/>
        <v>4.7337962962963331E-3</v>
      </c>
      <c r="G762">
        <f t="shared" si="112"/>
        <v>0</v>
      </c>
      <c r="H762">
        <f t="shared" si="113"/>
        <v>6</v>
      </c>
      <c r="I762">
        <f t="shared" si="114"/>
        <v>49</v>
      </c>
      <c r="J762">
        <f t="shared" si="115"/>
        <v>409</v>
      </c>
      <c r="K762">
        <f t="shared" si="116"/>
        <v>7</v>
      </c>
      <c r="L762">
        <f t="shared" si="117"/>
        <v>236822</v>
      </c>
      <c r="M762">
        <f t="shared" si="118"/>
        <v>74064</v>
      </c>
      <c r="N762">
        <f t="shared" si="119"/>
        <v>358886</v>
      </c>
      <c r="O762">
        <f>IF(B762="zagraniczny",K762+O761,O761)</f>
        <v>375</v>
      </c>
    </row>
    <row r="763" spans="1:15" x14ac:dyDescent="0.25">
      <c r="A763">
        <v>8825868</v>
      </c>
      <c r="B763" t="str">
        <f t="shared" si="110"/>
        <v>stacjonarny</v>
      </c>
      <c r="C763" s="1">
        <v>42928</v>
      </c>
      <c r="D763" s="2">
        <v>0.49552083333333335</v>
      </c>
      <c r="E763" s="2">
        <v>0.50263888888888886</v>
      </c>
      <c r="F763" s="2">
        <f t="shared" si="111"/>
        <v>7.1180555555555025E-3</v>
      </c>
      <c r="G763">
        <f t="shared" si="112"/>
        <v>0</v>
      </c>
      <c r="H763">
        <f t="shared" si="113"/>
        <v>10</v>
      </c>
      <c r="I763">
        <f t="shared" si="114"/>
        <v>15</v>
      </c>
      <c r="J763">
        <f t="shared" si="115"/>
        <v>615</v>
      </c>
      <c r="K763">
        <f t="shared" si="116"/>
        <v>11</v>
      </c>
      <c r="L763">
        <f t="shared" si="117"/>
        <v>237437</v>
      </c>
      <c r="M763">
        <f t="shared" si="118"/>
        <v>74064</v>
      </c>
      <c r="N763">
        <f t="shared" si="119"/>
        <v>359501</v>
      </c>
      <c r="O763">
        <f>IF(B763="zagraniczny",K763+O762,O762)</f>
        <v>375</v>
      </c>
    </row>
    <row r="764" spans="1:15" x14ac:dyDescent="0.25">
      <c r="A764">
        <v>8461631</v>
      </c>
      <c r="B764" t="str">
        <f t="shared" si="110"/>
        <v>stacjonarny</v>
      </c>
      <c r="C764" s="1">
        <v>42928</v>
      </c>
      <c r="D764" s="2">
        <v>0.50025462962962963</v>
      </c>
      <c r="E764" s="2">
        <v>0.50344907407407402</v>
      </c>
      <c r="F764" s="2">
        <f t="shared" si="111"/>
        <v>3.1944444444443887E-3</v>
      </c>
      <c r="G764">
        <f t="shared" si="112"/>
        <v>0</v>
      </c>
      <c r="H764">
        <f t="shared" si="113"/>
        <v>4</v>
      </c>
      <c r="I764">
        <f t="shared" si="114"/>
        <v>36</v>
      </c>
      <c r="J764">
        <f t="shared" si="115"/>
        <v>276</v>
      </c>
      <c r="K764">
        <f t="shared" si="116"/>
        <v>5</v>
      </c>
      <c r="L764">
        <f t="shared" si="117"/>
        <v>237713</v>
      </c>
      <c r="M764">
        <f t="shared" si="118"/>
        <v>74064</v>
      </c>
      <c r="N764">
        <f t="shared" si="119"/>
        <v>359777</v>
      </c>
      <c r="O764">
        <f>IF(B764="zagraniczny",K764+O763,O763)</f>
        <v>375</v>
      </c>
    </row>
    <row r="765" spans="1:15" x14ac:dyDescent="0.25">
      <c r="A765">
        <v>76777492</v>
      </c>
      <c r="B765" t="str">
        <f t="shared" si="110"/>
        <v>komorkowy</v>
      </c>
      <c r="C765" s="1">
        <v>42928</v>
      </c>
      <c r="D765" s="2">
        <v>0.50071759259259263</v>
      </c>
      <c r="E765" s="2">
        <v>0.5085763888888889</v>
      </c>
      <c r="F765" s="2">
        <f t="shared" si="111"/>
        <v>7.8587962962962665E-3</v>
      </c>
      <c r="G765">
        <f t="shared" si="112"/>
        <v>0</v>
      </c>
      <c r="H765">
        <f t="shared" si="113"/>
        <v>11</v>
      </c>
      <c r="I765">
        <f t="shared" si="114"/>
        <v>19</v>
      </c>
      <c r="J765">
        <f t="shared" si="115"/>
        <v>679</v>
      </c>
      <c r="K765">
        <f t="shared" si="116"/>
        <v>12</v>
      </c>
      <c r="L765">
        <f t="shared" si="117"/>
        <v>237713</v>
      </c>
      <c r="M765">
        <f t="shared" si="118"/>
        <v>74743</v>
      </c>
      <c r="N765">
        <f t="shared" si="119"/>
        <v>360456</v>
      </c>
      <c r="O765">
        <f>IF(B765="zagraniczny",K765+O764,O764)</f>
        <v>375</v>
      </c>
    </row>
    <row r="766" spans="1:15" x14ac:dyDescent="0.25">
      <c r="A766">
        <v>71036125</v>
      </c>
      <c r="B766" t="str">
        <f t="shared" si="110"/>
        <v>komorkowy</v>
      </c>
      <c r="C766" s="1">
        <v>42928</v>
      </c>
      <c r="D766" s="2">
        <v>0.50597222222222227</v>
      </c>
      <c r="E766" s="2">
        <v>0.51633101851851848</v>
      </c>
      <c r="F766" s="2">
        <f t="shared" si="111"/>
        <v>1.0358796296296213E-2</v>
      </c>
      <c r="G766">
        <f t="shared" si="112"/>
        <v>0</v>
      </c>
      <c r="H766">
        <f t="shared" si="113"/>
        <v>14</v>
      </c>
      <c r="I766">
        <f t="shared" si="114"/>
        <v>55</v>
      </c>
      <c r="J766">
        <f t="shared" si="115"/>
        <v>895</v>
      </c>
      <c r="K766">
        <f t="shared" si="116"/>
        <v>15</v>
      </c>
      <c r="L766">
        <f t="shared" si="117"/>
        <v>237713</v>
      </c>
      <c r="M766">
        <f t="shared" si="118"/>
        <v>75638</v>
      </c>
      <c r="N766">
        <f t="shared" si="119"/>
        <v>361351</v>
      </c>
      <c r="O766">
        <f>IF(B766="zagraniczny",K766+O765,O765)</f>
        <v>375</v>
      </c>
    </row>
    <row r="767" spans="1:15" x14ac:dyDescent="0.25">
      <c r="A767">
        <v>2989192</v>
      </c>
      <c r="B767" t="str">
        <f t="shared" si="110"/>
        <v>stacjonarny</v>
      </c>
      <c r="C767" s="1">
        <v>42928</v>
      </c>
      <c r="D767" s="2">
        <v>0.5087962962962963</v>
      </c>
      <c r="E767" s="2">
        <v>0.51349537037037041</v>
      </c>
      <c r="F767" s="2">
        <f t="shared" si="111"/>
        <v>4.6990740740741055E-3</v>
      </c>
      <c r="G767">
        <f t="shared" si="112"/>
        <v>0</v>
      </c>
      <c r="H767">
        <f t="shared" si="113"/>
        <v>6</v>
      </c>
      <c r="I767">
        <f t="shared" si="114"/>
        <v>46</v>
      </c>
      <c r="J767">
        <f t="shared" si="115"/>
        <v>406</v>
      </c>
      <c r="K767">
        <f t="shared" si="116"/>
        <v>7</v>
      </c>
      <c r="L767">
        <f t="shared" si="117"/>
        <v>238119</v>
      </c>
      <c r="M767">
        <f t="shared" si="118"/>
        <v>75638</v>
      </c>
      <c r="N767">
        <f t="shared" si="119"/>
        <v>361757</v>
      </c>
      <c r="O767">
        <f>IF(B767="zagraniczny",K767+O766,O766)</f>
        <v>375</v>
      </c>
    </row>
    <row r="768" spans="1:15" x14ac:dyDescent="0.25">
      <c r="A768">
        <v>5131341</v>
      </c>
      <c r="B768" t="str">
        <f t="shared" si="110"/>
        <v>stacjonarny</v>
      </c>
      <c r="C768" s="1">
        <v>42928</v>
      </c>
      <c r="D768" s="2">
        <v>0.50974537037037038</v>
      </c>
      <c r="E768" s="2">
        <v>0.51072916666666668</v>
      </c>
      <c r="F768" s="2">
        <f t="shared" si="111"/>
        <v>9.8379629629630205E-4</v>
      </c>
      <c r="G768">
        <f t="shared" si="112"/>
        <v>0</v>
      </c>
      <c r="H768">
        <f t="shared" si="113"/>
        <v>1</v>
      </c>
      <c r="I768">
        <f t="shared" si="114"/>
        <v>25</v>
      </c>
      <c r="J768">
        <f t="shared" si="115"/>
        <v>85</v>
      </c>
      <c r="K768">
        <f t="shared" si="116"/>
        <v>2</v>
      </c>
      <c r="L768">
        <f t="shared" si="117"/>
        <v>238204</v>
      </c>
      <c r="M768">
        <f t="shared" si="118"/>
        <v>75638</v>
      </c>
      <c r="N768">
        <f t="shared" si="119"/>
        <v>361842</v>
      </c>
      <c r="O768">
        <f>IF(B768="zagraniczny",K768+O767,O767)</f>
        <v>375</v>
      </c>
    </row>
    <row r="769" spans="1:15" x14ac:dyDescent="0.25">
      <c r="A769">
        <v>2826868</v>
      </c>
      <c r="B769" t="str">
        <f t="shared" si="110"/>
        <v>stacjonarny</v>
      </c>
      <c r="C769" s="1">
        <v>42928</v>
      </c>
      <c r="D769" s="2">
        <v>0.51549768518518524</v>
      </c>
      <c r="E769" s="2">
        <v>0.51550925925925928</v>
      </c>
      <c r="F769" s="2">
        <f t="shared" si="111"/>
        <v>1.1574074074038876E-5</v>
      </c>
      <c r="G769">
        <f t="shared" si="112"/>
        <v>0</v>
      </c>
      <c r="H769">
        <f t="shared" si="113"/>
        <v>0</v>
      </c>
      <c r="I769">
        <f t="shared" si="114"/>
        <v>1</v>
      </c>
      <c r="J769">
        <f t="shared" si="115"/>
        <v>1</v>
      </c>
      <c r="K769">
        <f t="shared" si="116"/>
        <v>1</v>
      </c>
      <c r="L769">
        <f t="shared" si="117"/>
        <v>238205</v>
      </c>
      <c r="M769">
        <f t="shared" si="118"/>
        <v>75638</v>
      </c>
      <c r="N769">
        <f t="shared" si="119"/>
        <v>361843</v>
      </c>
      <c r="O769">
        <f>IF(B769="zagraniczny",K769+O768,O768)</f>
        <v>375</v>
      </c>
    </row>
    <row r="770" spans="1:15" x14ac:dyDescent="0.25">
      <c r="A770">
        <v>9849071</v>
      </c>
      <c r="B770" t="str">
        <f t="shared" si="110"/>
        <v>stacjonarny</v>
      </c>
      <c r="C770" s="1">
        <v>42928</v>
      </c>
      <c r="D770" s="2">
        <v>0.51561342592592596</v>
      </c>
      <c r="E770" s="2">
        <v>0.52171296296296299</v>
      </c>
      <c r="F770" s="2">
        <f t="shared" si="111"/>
        <v>6.0995370370370283E-3</v>
      </c>
      <c r="G770">
        <f t="shared" si="112"/>
        <v>0</v>
      </c>
      <c r="H770">
        <f t="shared" si="113"/>
        <v>8</v>
      </c>
      <c r="I770">
        <f t="shared" si="114"/>
        <v>47</v>
      </c>
      <c r="J770">
        <f t="shared" si="115"/>
        <v>527</v>
      </c>
      <c r="K770">
        <f t="shared" si="116"/>
        <v>9</v>
      </c>
      <c r="L770">
        <f t="shared" si="117"/>
        <v>238732</v>
      </c>
      <c r="M770">
        <f t="shared" si="118"/>
        <v>75638</v>
      </c>
      <c r="N770">
        <f t="shared" si="119"/>
        <v>362370</v>
      </c>
      <c r="O770">
        <f>IF(B770="zagraniczny",K770+O769,O769)</f>
        <v>375</v>
      </c>
    </row>
    <row r="771" spans="1:15" x14ac:dyDescent="0.25">
      <c r="A771">
        <v>47025160</v>
      </c>
      <c r="B771" t="str">
        <f t="shared" ref="B771:B834" si="120">IF(LEN(A771)=7,"stacjonarny",IF(LEN(A771)=8,"komorkowy","zagraniczny"))</f>
        <v>komorkowy</v>
      </c>
      <c r="C771" s="1">
        <v>42928</v>
      </c>
      <c r="D771" s="2">
        <v>0.52009259259259255</v>
      </c>
      <c r="E771" s="2">
        <v>0.52987268518518515</v>
      </c>
      <c r="F771" s="2">
        <f t="shared" ref="F771:F834" si="121">E771-D771</f>
        <v>9.7800925925926041E-3</v>
      </c>
      <c r="G771">
        <f t="shared" ref="G771:G834" si="122">HOUR(F771)</f>
        <v>0</v>
      </c>
      <c r="H771">
        <f t="shared" ref="H771:H834" si="123">MINUTE(F771)</f>
        <v>14</v>
      </c>
      <c r="I771">
        <f t="shared" ref="I771:I834" si="124">SECOND(F771)</f>
        <v>5</v>
      </c>
      <c r="J771">
        <f t="shared" ref="J771:J834" si="125">H771*60+I771</f>
        <v>845</v>
      </c>
      <c r="K771">
        <f t="shared" ref="K771:K834" si="126">IF(I771&gt;0,G771*60+H771+1,H771+G771*60)</f>
        <v>15</v>
      </c>
      <c r="L771">
        <f t="shared" si="117"/>
        <v>238732</v>
      </c>
      <c r="M771">
        <f t="shared" si="118"/>
        <v>76483</v>
      </c>
      <c r="N771">
        <f t="shared" si="119"/>
        <v>363215</v>
      </c>
      <c r="O771">
        <f>IF(B771="zagraniczny",K771+O770,O770)</f>
        <v>375</v>
      </c>
    </row>
    <row r="772" spans="1:15" x14ac:dyDescent="0.25">
      <c r="A772">
        <v>97798921</v>
      </c>
      <c r="B772" t="str">
        <f t="shared" si="120"/>
        <v>komorkowy</v>
      </c>
      <c r="C772" s="1">
        <v>42928</v>
      </c>
      <c r="D772" s="2">
        <v>0.52172453703703703</v>
      </c>
      <c r="E772" s="2">
        <v>0.52606481481481482</v>
      </c>
      <c r="F772" s="2">
        <f t="shared" si="121"/>
        <v>4.3402777777777901E-3</v>
      </c>
      <c r="G772">
        <f t="shared" si="122"/>
        <v>0</v>
      </c>
      <c r="H772">
        <f t="shared" si="123"/>
        <v>6</v>
      </c>
      <c r="I772">
        <f t="shared" si="124"/>
        <v>15</v>
      </c>
      <c r="J772">
        <f t="shared" si="125"/>
        <v>375</v>
      </c>
      <c r="K772">
        <f t="shared" si="126"/>
        <v>7</v>
      </c>
      <c r="L772">
        <f t="shared" ref="L772:L835" si="127">IF(B772="stacjonarny",$J772+L771,L771)</f>
        <v>238732</v>
      </c>
      <c r="M772">
        <f t="shared" ref="M772:M835" si="128">IF(B772="komorkowy",$J772+M771,M771)</f>
        <v>76858</v>
      </c>
      <c r="N772">
        <f t="shared" ref="N772:N835" si="129">IF(OR(B772="stacjonarny",B772="komorkowy"),J772+N771,N771)</f>
        <v>363590</v>
      </c>
      <c r="O772">
        <f>IF(B772="zagraniczny",K772+O771,O771)</f>
        <v>375</v>
      </c>
    </row>
    <row r="773" spans="1:15" x14ac:dyDescent="0.25">
      <c r="A773">
        <v>2248131</v>
      </c>
      <c r="B773" t="str">
        <f t="shared" si="120"/>
        <v>stacjonarny</v>
      </c>
      <c r="C773" s="1">
        <v>42928</v>
      </c>
      <c r="D773" s="2">
        <v>0.52298611111111115</v>
      </c>
      <c r="E773" s="2">
        <v>0.53249999999999997</v>
      </c>
      <c r="F773" s="2">
        <f t="shared" si="121"/>
        <v>9.5138888888888218E-3</v>
      </c>
      <c r="G773">
        <f t="shared" si="122"/>
        <v>0</v>
      </c>
      <c r="H773">
        <f t="shared" si="123"/>
        <v>13</v>
      </c>
      <c r="I773">
        <f t="shared" si="124"/>
        <v>42</v>
      </c>
      <c r="J773">
        <f t="shared" si="125"/>
        <v>822</v>
      </c>
      <c r="K773">
        <f t="shared" si="126"/>
        <v>14</v>
      </c>
      <c r="L773">
        <f t="shared" si="127"/>
        <v>239554</v>
      </c>
      <c r="M773">
        <f t="shared" si="128"/>
        <v>76858</v>
      </c>
      <c r="N773">
        <f t="shared" si="129"/>
        <v>364412</v>
      </c>
      <c r="O773">
        <f>IF(B773="zagraniczny",K773+O772,O772)</f>
        <v>375</v>
      </c>
    </row>
    <row r="774" spans="1:15" x14ac:dyDescent="0.25">
      <c r="A774">
        <v>1973826522</v>
      </c>
      <c r="B774" t="str">
        <f t="shared" si="120"/>
        <v>zagraniczny</v>
      </c>
      <c r="C774" s="1">
        <v>42928</v>
      </c>
      <c r="D774" s="2">
        <v>0.52342592592592596</v>
      </c>
      <c r="E774" s="2">
        <v>0.52350694444444446</v>
      </c>
      <c r="F774" s="2">
        <f t="shared" si="121"/>
        <v>8.1018518518494176E-5</v>
      </c>
      <c r="G774">
        <f t="shared" si="122"/>
        <v>0</v>
      </c>
      <c r="H774">
        <f t="shared" si="123"/>
        <v>0</v>
      </c>
      <c r="I774">
        <f t="shared" si="124"/>
        <v>7</v>
      </c>
      <c r="J774">
        <f t="shared" si="125"/>
        <v>7</v>
      </c>
      <c r="K774">
        <f t="shared" si="126"/>
        <v>1</v>
      </c>
      <c r="L774">
        <f t="shared" si="127"/>
        <v>239554</v>
      </c>
      <c r="M774">
        <f t="shared" si="128"/>
        <v>76858</v>
      </c>
      <c r="N774">
        <f t="shared" si="129"/>
        <v>364412</v>
      </c>
      <c r="O774">
        <f>IF(B774="zagraniczny",K774+O773,O773)</f>
        <v>376</v>
      </c>
    </row>
    <row r="775" spans="1:15" x14ac:dyDescent="0.25">
      <c r="A775">
        <v>6293367175</v>
      </c>
      <c r="B775" t="str">
        <f t="shared" si="120"/>
        <v>zagraniczny</v>
      </c>
      <c r="C775" s="1">
        <v>42928</v>
      </c>
      <c r="D775" s="2">
        <v>0.52649305555555559</v>
      </c>
      <c r="E775" s="2">
        <v>0.53123842592592596</v>
      </c>
      <c r="F775" s="2">
        <f t="shared" si="121"/>
        <v>4.745370370370372E-3</v>
      </c>
      <c r="G775">
        <f t="shared" si="122"/>
        <v>0</v>
      </c>
      <c r="H775">
        <f t="shared" si="123"/>
        <v>6</v>
      </c>
      <c r="I775">
        <f t="shared" si="124"/>
        <v>50</v>
      </c>
      <c r="J775">
        <f t="shared" si="125"/>
        <v>410</v>
      </c>
      <c r="K775">
        <f t="shared" si="126"/>
        <v>7</v>
      </c>
      <c r="L775">
        <f t="shared" si="127"/>
        <v>239554</v>
      </c>
      <c r="M775">
        <f t="shared" si="128"/>
        <v>76858</v>
      </c>
      <c r="N775">
        <f t="shared" si="129"/>
        <v>364412</v>
      </c>
      <c r="O775">
        <f>IF(B775="zagraniczny",K775+O774,O774)</f>
        <v>383</v>
      </c>
    </row>
    <row r="776" spans="1:15" x14ac:dyDescent="0.25">
      <c r="A776">
        <v>5092577</v>
      </c>
      <c r="B776" t="str">
        <f t="shared" si="120"/>
        <v>stacjonarny</v>
      </c>
      <c r="C776" s="1">
        <v>42928</v>
      </c>
      <c r="D776" s="2">
        <v>0.52834490740740736</v>
      </c>
      <c r="E776" s="2">
        <v>0.53267361111111111</v>
      </c>
      <c r="F776" s="2">
        <f t="shared" si="121"/>
        <v>4.3287037037037512E-3</v>
      </c>
      <c r="G776">
        <f t="shared" si="122"/>
        <v>0</v>
      </c>
      <c r="H776">
        <f t="shared" si="123"/>
        <v>6</v>
      </c>
      <c r="I776">
        <f t="shared" si="124"/>
        <v>14</v>
      </c>
      <c r="J776">
        <f t="shared" si="125"/>
        <v>374</v>
      </c>
      <c r="K776">
        <f t="shared" si="126"/>
        <v>7</v>
      </c>
      <c r="L776">
        <f t="shared" si="127"/>
        <v>239928</v>
      </c>
      <c r="M776">
        <f t="shared" si="128"/>
        <v>76858</v>
      </c>
      <c r="N776">
        <f t="shared" si="129"/>
        <v>364786</v>
      </c>
      <c r="O776">
        <f>IF(B776="zagraniczny",K776+O775,O775)</f>
        <v>383</v>
      </c>
    </row>
    <row r="777" spans="1:15" x14ac:dyDescent="0.25">
      <c r="A777">
        <v>62086163</v>
      </c>
      <c r="B777" t="str">
        <f t="shared" si="120"/>
        <v>komorkowy</v>
      </c>
      <c r="C777" s="1">
        <v>42928</v>
      </c>
      <c r="D777" s="2">
        <v>0.53126157407407404</v>
      </c>
      <c r="E777" s="2">
        <v>0.5326157407407407</v>
      </c>
      <c r="F777" s="2">
        <f t="shared" si="121"/>
        <v>1.3541666666666563E-3</v>
      </c>
      <c r="G777">
        <f t="shared" si="122"/>
        <v>0</v>
      </c>
      <c r="H777">
        <f t="shared" si="123"/>
        <v>1</v>
      </c>
      <c r="I777">
        <f t="shared" si="124"/>
        <v>57</v>
      </c>
      <c r="J777">
        <f t="shared" si="125"/>
        <v>117</v>
      </c>
      <c r="K777">
        <f t="shared" si="126"/>
        <v>2</v>
      </c>
      <c r="L777">
        <f t="shared" si="127"/>
        <v>239928</v>
      </c>
      <c r="M777">
        <f t="shared" si="128"/>
        <v>76975</v>
      </c>
      <c r="N777">
        <f t="shared" si="129"/>
        <v>364903</v>
      </c>
      <c r="O777">
        <f>IF(B777="zagraniczny",K777+O776,O776)</f>
        <v>383</v>
      </c>
    </row>
    <row r="778" spans="1:15" x14ac:dyDescent="0.25">
      <c r="A778">
        <v>4657345</v>
      </c>
      <c r="B778" t="str">
        <f t="shared" si="120"/>
        <v>stacjonarny</v>
      </c>
      <c r="C778" s="1">
        <v>42928</v>
      </c>
      <c r="D778" s="2">
        <v>0.53608796296296302</v>
      </c>
      <c r="E778" s="2">
        <v>0.53631944444444446</v>
      </c>
      <c r="F778" s="2">
        <f t="shared" si="121"/>
        <v>2.3148148148144365E-4</v>
      </c>
      <c r="G778">
        <f t="shared" si="122"/>
        <v>0</v>
      </c>
      <c r="H778">
        <f t="shared" si="123"/>
        <v>0</v>
      </c>
      <c r="I778">
        <f t="shared" si="124"/>
        <v>20</v>
      </c>
      <c r="J778">
        <f t="shared" si="125"/>
        <v>20</v>
      </c>
      <c r="K778">
        <f t="shared" si="126"/>
        <v>1</v>
      </c>
      <c r="L778">
        <f t="shared" si="127"/>
        <v>239948</v>
      </c>
      <c r="M778">
        <f t="shared" si="128"/>
        <v>76975</v>
      </c>
      <c r="N778">
        <f t="shared" si="129"/>
        <v>364923</v>
      </c>
      <c r="O778">
        <f>IF(B778="zagraniczny",K778+O777,O777)</f>
        <v>383</v>
      </c>
    </row>
    <row r="779" spans="1:15" x14ac:dyDescent="0.25">
      <c r="A779">
        <v>7937998</v>
      </c>
      <c r="B779" t="str">
        <f t="shared" si="120"/>
        <v>stacjonarny</v>
      </c>
      <c r="C779" s="1">
        <v>42928</v>
      </c>
      <c r="D779" s="2">
        <v>0.53798611111111116</v>
      </c>
      <c r="E779" s="2">
        <v>0.54011574074074076</v>
      </c>
      <c r="F779" s="2">
        <f t="shared" si="121"/>
        <v>2.1296296296295925E-3</v>
      </c>
      <c r="G779">
        <f t="shared" si="122"/>
        <v>0</v>
      </c>
      <c r="H779">
        <f t="shared" si="123"/>
        <v>3</v>
      </c>
      <c r="I779">
        <f t="shared" si="124"/>
        <v>4</v>
      </c>
      <c r="J779">
        <f t="shared" si="125"/>
        <v>184</v>
      </c>
      <c r="K779">
        <f t="shared" si="126"/>
        <v>4</v>
      </c>
      <c r="L779">
        <f t="shared" si="127"/>
        <v>240132</v>
      </c>
      <c r="M779">
        <f t="shared" si="128"/>
        <v>76975</v>
      </c>
      <c r="N779">
        <f t="shared" si="129"/>
        <v>365107</v>
      </c>
      <c r="O779">
        <f>IF(B779="zagraniczny",K779+O778,O778)</f>
        <v>383</v>
      </c>
    </row>
    <row r="780" spans="1:15" x14ac:dyDescent="0.25">
      <c r="A780">
        <v>7269536</v>
      </c>
      <c r="B780" t="str">
        <f t="shared" si="120"/>
        <v>stacjonarny</v>
      </c>
      <c r="C780" s="1">
        <v>42928</v>
      </c>
      <c r="D780" s="2">
        <v>0.53827546296296291</v>
      </c>
      <c r="E780" s="2">
        <v>0.54309027777777774</v>
      </c>
      <c r="F780" s="2">
        <f t="shared" si="121"/>
        <v>4.8148148148148273E-3</v>
      </c>
      <c r="G780">
        <f t="shared" si="122"/>
        <v>0</v>
      </c>
      <c r="H780">
        <f t="shared" si="123"/>
        <v>6</v>
      </c>
      <c r="I780">
        <f t="shared" si="124"/>
        <v>56</v>
      </c>
      <c r="J780">
        <f t="shared" si="125"/>
        <v>416</v>
      </c>
      <c r="K780">
        <f t="shared" si="126"/>
        <v>7</v>
      </c>
      <c r="L780">
        <f t="shared" si="127"/>
        <v>240548</v>
      </c>
      <c r="M780">
        <f t="shared" si="128"/>
        <v>76975</v>
      </c>
      <c r="N780">
        <f t="shared" si="129"/>
        <v>365523</v>
      </c>
      <c r="O780">
        <f>IF(B780="zagraniczny",K780+O779,O779)</f>
        <v>383</v>
      </c>
    </row>
    <row r="781" spans="1:15" x14ac:dyDescent="0.25">
      <c r="A781">
        <v>98939809</v>
      </c>
      <c r="B781" t="str">
        <f t="shared" si="120"/>
        <v>komorkowy</v>
      </c>
      <c r="C781" s="1">
        <v>42928</v>
      </c>
      <c r="D781" s="2">
        <v>0.53873842592592591</v>
      </c>
      <c r="E781" s="2">
        <v>0.54084490740740743</v>
      </c>
      <c r="F781" s="2">
        <f t="shared" si="121"/>
        <v>2.1064814814815147E-3</v>
      </c>
      <c r="G781">
        <f t="shared" si="122"/>
        <v>0</v>
      </c>
      <c r="H781">
        <f t="shared" si="123"/>
        <v>3</v>
      </c>
      <c r="I781">
        <f t="shared" si="124"/>
        <v>2</v>
      </c>
      <c r="J781">
        <f t="shared" si="125"/>
        <v>182</v>
      </c>
      <c r="K781">
        <f t="shared" si="126"/>
        <v>4</v>
      </c>
      <c r="L781">
        <f t="shared" si="127"/>
        <v>240548</v>
      </c>
      <c r="M781">
        <f t="shared" si="128"/>
        <v>77157</v>
      </c>
      <c r="N781">
        <f t="shared" si="129"/>
        <v>365705</v>
      </c>
      <c r="O781">
        <f>IF(B781="zagraniczny",K781+O780,O780)</f>
        <v>383</v>
      </c>
    </row>
    <row r="782" spans="1:15" x14ac:dyDescent="0.25">
      <c r="A782">
        <v>7766265</v>
      </c>
      <c r="B782" t="str">
        <f t="shared" si="120"/>
        <v>stacjonarny</v>
      </c>
      <c r="C782" s="1">
        <v>42928</v>
      </c>
      <c r="D782" s="2">
        <v>0.54391203703703705</v>
      </c>
      <c r="E782" s="2">
        <v>0.54538194444444443</v>
      </c>
      <c r="F782" s="2">
        <f t="shared" si="121"/>
        <v>1.4699074074073781E-3</v>
      </c>
      <c r="G782">
        <f t="shared" si="122"/>
        <v>0</v>
      </c>
      <c r="H782">
        <f t="shared" si="123"/>
        <v>2</v>
      </c>
      <c r="I782">
        <f t="shared" si="124"/>
        <v>7</v>
      </c>
      <c r="J782">
        <f t="shared" si="125"/>
        <v>127</v>
      </c>
      <c r="K782">
        <f t="shared" si="126"/>
        <v>3</v>
      </c>
      <c r="L782">
        <f t="shared" si="127"/>
        <v>240675</v>
      </c>
      <c r="M782">
        <f t="shared" si="128"/>
        <v>77157</v>
      </c>
      <c r="N782">
        <f t="shared" si="129"/>
        <v>365832</v>
      </c>
      <c r="O782">
        <f>IF(B782="zagraniczny",K782+O781,O781)</f>
        <v>383</v>
      </c>
    </row>
    <row r="783" spans="1:15" x14ac:dyDescent="0.25">
      <c r="A783">
        <v>7377702</v>
      </c>
      <c r="B783" t="str">
        <f t="shared" si="120"/>
        <v>stacjonarny</v>
      </c>
      <c r="C783" s="1">
        <v>42928</v>
      </c>
      <c r="D783" s="2">
        <v>0.54689814814814819</v>
      </c>
      <c r="E783" s="2">
        <v>0.54949074074074078</v>
      </c>
      <c r="F783" s="2">
        <f t="shared" si="121"/>
        <v>2.5925925925925908E-3</v>
      </c>
      <c r="G783">
        <f t="shared" si="122"/>
        <v>0</v>
      </c>
      <c r="H783">
        <f t="shared" si="123"/>
        <v>3</v>
      </c>
      <c r="I783">
        <f t="shared" si="124"/>
        <v>44</v>
      </c>
      <c r="J783">
        <f t="shared" si="125"/>
        <v>224</v>
      </c>
      <c r="K783">
        <f t="shared" si="126"/>
        <v>4</v>
      </c>
      <c r="L783">
        <f t="shared" si="127"/>
        <v>240899</v>
      </c>
      <c r="M783">
        <f t="shared" si="128"/>
        <v>77157</v>
      </c>
      <c r="N783">
        <f t="shared" si="129"/>
        <v>366056</v>
      </c>
      <c r="O783">
        <f>IF(B783="zagraniczny",K783+O782,O782)</f>
        <v>383</v>
      </c>
    </row>
    <row r="784" spans="1:15" x14ac:dyDescent="0.25">
      <c r="A784">
        <v>38244568</v>
      </c>
      <c r="B784" t="str">
        <f t="shared" si="120"/>
        <v>komorkowy</v>
      </c>
      <c r="C784" s="1">
        <v>42928</v>
      </c>
      <c r="D784" s="2">
        <v>0.54826388888888888</v>
      </c>
      <c r="E784" s="2">
        <v>0.54920138888888892</v>
      </c>
      <c r="F784" s="2">
        <f t="shared" si="121"/>
        <v>9.3750000000003553E-4</v>
      </c>
      <c r="G784">
        <f t="shared" si="122"/>
        <v>0</v>
      </c>
      <c r="H784">
        <f t="shared" si="123"/>
        <v>1</v>
      </c>
      <c r="I784">
        <f t="shared" si="124"/>
        <v>21</v>
      </c>
      <c r="J784">
        <f t="shared" si="125"/>
        <v>81</v>
      </c>
      <c r="K784">
        <f t="shared" si="126"/>
        <v>2</v>
      </c>
      <c r="L784">
        <f t="shared" si="127"/>
        <v>240899</v>
      </c>
      <c r="M784">
        <f t="shared" si="128"/>
        <v>77238</v>
      </c>
      <c r="N784">
        <f t="shared" si="129"/>
        <v>366137</v>
      </c>
      <c r="O784">
        <f>IF(B784="zagraniczny",K784+O783,O783)</f>
        <v>383</v>
      </c>
    </row>
    <row r="785" spans="1:15" x14ac:dyDescent="0.25">
      <c r="A785">
        <v>5094248</v>
      </c>
      <c r="B785" t="str">
        <f t="shared" si="120"/>
        <v>stacjonarny</v>
      </c>
      <c r="C785" s="1">
        <v>42928</v>
      </c>
      <c r="D785" s="2">
        <v>0.55118055555555556</v>
      </c>
      <c r="E785" s="2">
        <v>0.56003472222222217</v>
      </c>
      <c r="F785" s="2">
        <f t="shared" si="121"/>
        <v>8.8541666666666075E-3</v>
      </c>
      <c r="G785">
        <f t="shared" si="122"/>
        <v>0</v>
      </c>
      <c r="H785">
        <f t="shared" si="123"/>
        <v>12</v>
      </c>
      <c r="I785">
        <f t="shared" si="124"/>
        <v>45</v>
      </c>
      <c r="J785">
        <f t="shared" si="125"/>
        <v>765</v>
      </c>
      <c r="K785">
        <f t="shared" si="126"/>
        <v>13</v>
      </c>
      <c r="L785">
        <f t="shared" si="127"/>
        <v>241664</v>
      </c>
      <c r="M785">
        <f t="shared" si="128"/>
        <v>77238</v>
      </c>
      <c r="N785">
        <f t="shared" si="129"/>
        <v>366902</v>
      </c>
      <c r="O785">
        <f>IF(B785="zagraniczny",K785+O784,O784)</f>
        <v>383</v>
      </c>
    </row>
    <row r="786" spans="1:15" x14ac:dyDescent="0.25">
      <c r="A786">
        <v>1233459</v>
      </c>
      <c r="B786" t="str">
        <f t="shared" si="120"/>
        <v>stacjonarny</v>
      </c>
      <c r="C786" s="1">
        <v>42928</v>
      </c>
      <c r="D786" s="2">
        <v>0.55565972222222226</v>
      </c>
      <c r="E786" s="2">
        <v>0.55674768518518514</v>
      </c>
      <c r="F786" s="2">
        <f t="shared" si="121"/>
        <v>1.087962962962874E-3</v>
      </c>
      <c r="G786">
        <f t="shared" si="122"/>
        <v>0</v>
      </c>
      <c r="H786">
        <f t="shared" si="123"/>
        <v>1</v>
      </c>
      <c r="I786">
        <f t="shared" si="124"/>
        <v>34</v>
      </c>
      <c r="J786">
        <f t="shared" si="125"/>
        <v>94</v>
      </c>
      <c r="K786">
        <f t="shared" si="126"/>
        <v>2</v>
      </c>
      <c r="L786">
        <f t="shared" si="127"/>
        <v>241758</v>
      </c>
      <c r="M786">
        <f t="shared" si="128"/>
        <v>77238</v>
      </c>
      <c r="N786">
        <f t="shared" si="129"/>
        <v>366996</v>
      </c>
      <c r="O786">
        <f>IF(B786="zagraniczny",K786+O785,O785)</f>
        <v>383</v>
      </c>
    </row>
    <row r="787" spans="1:15" x14ac:dyDescent="0.25">
      <c r="A787">
        <v>9398644</v>
      </c>
      <c r="B787" t="str">
        <f t="shared" si="120"/>
        <v>stacjonarny</v>
      </c>
      <c r="C787" s="1">
        <v>42928</v>
      </c>
      <c r="D787" s="2">
        <v>0.55717592592592591</v>
      </c>
      <c r="E787" s="2">
        <v>0.56753472222222223</v>
      </c>
      <c r="F787" s="2">
        <f t="shared" si="121"/>
        <v>1.0358796296296324E-2</v>
      </c>
      <c r="G787">
        <f t="shared" si="122"/>
        <v>0</v>
      </c>
      <c r="H787">
        <f t="shared" si="123"/>
        <v>14</v>
      </c>
      <c r="I787">
        <f t="shared" si="124"/>
        <v>55</v>
      </c>
      <c r="J787">
        <f t="shared" si="125"/>
        <v>895</v>
      </c>
      <c r="K787">
        <f t="shared" si="126"/>
        <v>15</v>
      </c>
      <c r="L787">
        <f t="shared" si="127"/>
        <v>242653</v>
      </c>
      <c r="M787">
        <f t="shared" si="128"/>
        <v>77238</v>
      </c>
      <c r="N787">
        <f t="shared" si="129"/>
        <v>367891</v>
      </c>
      <c r="O787">
        <f>IF(B787="zagraniczny",K787+O786,O786)</f>
        <v>383</v>
      </c>
    </row>
    <row r="788" spans="1:15" x14ac:dyDescent="0.25">
      <c r="A788">
        <v>3390459</v>
      </c>
      <c r="B788" t="str">
        <f t="shared" si="120"/>
        <v>stacjonarny</v>
      </c>
      <c r="C788" s="1">
        <v>42928</v>
      </c>
      <c r="D788" s="2">
        <v>0.55869212962962966</v>
      </c>
      <c r="E788" s="2">
        <v>0.55922453703703701</v>
      </c>
      <c r="F788" s="2">
        <f t="shared" si="121"/>
        <v>5.324074074073426E-4</v>
      </c>
      <c r="G788">
        <f t="shared" si="122"/>
        <v>0</v>
      </c>
      <c r="H788">
        <f t="shared" si="123"/>
        <v>0</v>
      </c>
      <c r="I788">
        <f t="shared" si="124"/>
        <v>46</v>
      </c>
      <c r="J788">
        <f t="shared" si="125"/>
        <v>46</v>
      </c>
      <c r="K788">
        <f t="shared" si="126"/>
        <v>1</v>
      </c>
      <c r="L788">
        <f t="shared" si="127"/>
        <v>242699</v>
      </c>
      <c r="M788">
        <f t="shared" si="128"/>
        <v>77238</v>
      </c>
      <c r="N788">
        <f t="shared" si="129"/>
        <v>367937</v>
      </c>
      <c r="O788">
        <f>IF(B788="zagraniczny",K788+O787,O787)</f>
        <v>383</v>
      </c>
    </row>
    <row r="789" spans="1:15" x14ac:dyDescent="0.25">
      <c r="A789">
        <v>5252835</v>
      </c>
      <c r="B789" t="str">
        <f t="shared" si="120"/>
        <v>stacjonarny</v>
      </c>
      <c r="C789" s="1">
        <v>42928</v>
      </c>
      <c r="D789" s="2">
        <v>0.55907407407407406</v>
      </c>
      <c r="E789" s="2">
        <v>0.56937499999999996</v>
      </c>
      <c r="F789" s="2">
        <f t="shared" si="121"/>
        <v>1.0300925925925908E-2</v>
      </c>
      <c r="G789">
        <f t="shared" si="122"/>
        <v>0</v>
      </c>
      <c r="H789">
        <f t="shared" si="123"/>
        <v>14</v>
      </c>
      <c r="I789">
        <f t="shared" si="124"/>
        <v>50</v>
      </c>
      <c r="J789">
        <f t="shared" si="125"/>
        <v>890</v>
      </c>
      <c r="K789">
        <f t="shared" si="126"/>
        <v>15</v>
      </c>
      <c r="L789">
        <f t="shared" si="127"/>
        <v>243589</v>
      </c>
      <c r="M789">
        <f t="shared" si="128"/>
        <v>77238</v>
      </c>
      <c r="N789">
        <f t="shared" si="129"/>
        <v>368827</v>
      </c>
      <c r="O789">
        <f>IF(B789="zagraniczny",K789+O788,O788)</f>
        <v>383</v>
      </c>
    </row>
    <row r="790" spans="1:15" x14ac:dyDescent="0.25">
      <c r="A790">
        <v>15643568</v>
      </c>
      <c r="B790" t="str">
        <f t="shared" si="120"/>
        <v>komorkowy</v>
      </c>
      <c r="C790" s="1">
        <v>42928</v>
      </c>
      <c r="D790" s="2">
        <v>0.56074074074074076</v>
      </c>
      <c r="E790" s="2">
        <v>0.56283564814814813</v>
      </c>
      <c r="F790" s="2">
        <f t="shared" si="121"/>
        <v>2.0949074074073648E-3</v>
      </c>
      <c r="G790">
        <f t="shared" si="122"/>
        <v>0</v>
      </c>
      <c r="H790">
        <f t="shared" si="123"/>
        <v>3</v>
      </c>
      <c r="I790">
        <f t="shared" si="124"/>
        <v>1</v>
      </c>
      <c r="J790">
        <f t="shared" si="125"/>
        <v>181</v>
      </c>
      <c r="K790">
        <f t="shared" si="126"/>
        <v>4</v>
      </c>
      <c r="L790">
        <f t="shared" si="127"/>
        <v>243589</v>
      </c>
      <c r="M790">
        <f t="shared" si="128"/>
        <v>77419</v>
      </c>
      <c r="N790">
        <f t="shared" si="129"/>
        <v>369008</v>
      </c>
      <c r="O790">
        <f>IF(B790="zagraniczny",K790+O789,O789)</f>
        <v>383</v>
      </c>
    </row>
    <row r="791" spans="1:15" x14ac:dyDescent="0.25">
      <c r="A791">
        <v>39921944</v>
      </c>
      <c r="B791" t="str">
        <f t="shared" si="120"/>
        <v>komorkowy</v>
      </c>
      <c r="C791" s="1">
        <v>42928</v>
      </c>
      <c r="D791" s="2">
        <v>0.56398148148148153</v>
      </c>
      <c r="E791" s="2">
        <v>0.57387731481481485</v>
      </c>
      <c r="F791" s="2">
        <f t="shared" si="121"/>
        <v>9.8958333333333259E-3</v>
      </c>
      <c r="G791">
        <f t="shared" si="122"/>
        <v>0</v>
      </c>
      <c r="H791">
        <f t="shared" si="123"/>
        <v>14</v>
      </c>
      <c r="I791">
        <f t="shared" si="124"/>
        <v>15</v>
      </c>
      <c r="J791">
        <f t="shared" si="125"/>
        <v>855</v>
      </c>
      <c r="K791">
        <f t="shared" si="126"/>
        <v>15</v>
      </c>
      <c r="L791">
        <f t="shared" si="127"/>
        <v>243589</v>
      </c>
      <c r="M791">
        <f t="shared" si="128"/>
        <v>78274</v>
      </c>
      <c r="N791">
        <f t="shared" si="129"/>
        <v>369863</v>
      </c>
      <c r="O791">
        <f>IF(B791="zagraniczny",K791+O790,O790)</f>
        <v>383</v>
      </c>
    </row>
    <row r="792" spans="1:15" x14ac:dyDescent="0.25">
      <c r="A792">
        <v>66800387</v>
      </c>
      <c r="B792" t="str">
        <f t="shared" si="120"/>
        <v>komorkowy</v>
      </c>
      <c r="C792" s="1">
        <v>42928</v>
      </c>
      <c r="D792" s="2">
        <v>0.56509259259259259</v>
      </c>
      <c r="E792" s="2">
        <v>0.56554398148148144</v>
      </c>
      <c r="F792" s="2">
        <f t="shared" si="121"/>
        <v>4.5138888888884843E-4</v>
      </c>
      <c r="G792">
        <f t="shared" si="122"/>
        <v>0</v>
      </c>
      <c r="H792">
        <f t="shared" si="123"/>
        <v>0</v>
      </c>
      <c r="I792">
        <f t="shared" si="124"/>
        <v>39</v>
      </c>
      <c r="J792">
        <f t="shared" si="125"/>
        <v>39</v>
      </c>
      <c r="K792">
        <f t="shared" si="126"/>
        <v>1</v>
      </c>
      <c r="L792">
        <f t="shared" si="127"/>
        <v>243589</v>
      </c>
      <c r="M792">
        <f t="shared" si="128"/>
        <v>78313</v>
      </c>
      <c r="N792">
        <f t="shared" si="129"/>
        <v>369902</v>
      </c>
      <c r="O792">
        <f>IF(B792="zagraniczny",K792+O791,O791)</f>
        <v>383</v>
      </c>
    </row>
    <row r="793" spans="1:15" x14ac:dyDescent="0.25">
      <c r="A793">
        <v>88664428</v>
      </c>
      <c r="B793" t="str">
        <f t="shared" si="120"/>
        <v>komorkowy</v>
      </c>
      <c r="C793" s="1">
        <v>42928</v>
      </c>
      <c r="D793" s="2">
        <v>0.56527777777777777</v>
      </c>
      <c r="E793" s="2">
        <v>0.56814814814814818</v>
      </c>
      <c r="F793" s="2">
        <f t="shared" si="121"/>
        <v>2.870370370370412E-3</v>
      </c>
      <c r="G793">
        <f t="shared" si="122"/>
        <v>0</v>
      </c>
      <c r="H793">
        <f t="shared" si="123"/>
        <v>4</v>
      </c>
      <c r="I793">
        <f t="shared" si="124"/>
        <v>8</v>
      </c>
      <c r="J793">
        <f t="shared" si="125"/>
        <v>248</v>
      </c>
      <c r="K793">
        <f t="shared" si="126"/>
        <v>5</v>
      </c>
      <c r="L793">
        <f t="shared" si="127"/>
        <v>243589</v>
      </c>
      <c r="M793">
        <f t="shared" si="128"/>
        <v>78561</v>
      </c>
      <c r="N793">
        <f t="shared" si="129"/>
        <v>370150</v>
      </c>
      <c r="O793">
        <f>IF(B793="zagraniczny",K793+O792,O792)</f>
        <v>383</v>
      </c>
    </row>
    <row r="794" spans="1:15" x14ac:dyDescent="0.25">
      <c r="A794">
        <v>4111617</v>
      </c>
      <c r="B794" t="str">
        <f t="shared" si="120"/>
        <v>stacjonarny</v>
      </c>
      <c r="C794" s="1">
        <v>42928</v>
      </c>
      <c r="D794" s="2">
        <v>0.56555555555555559</v>
      </c>
      <c r="E794" s="2">
        <v>0.5697106481481482</v>
      </c>
      <c r="F794" s="2">
        <f t="shared" si="121"/>
        <v>4.155092592592613E-3</v>
      </c>
      <c r="G794">
        <f t="shared" si="122"/>
        <v>0</v>
      </c>
      <c r="H794">
        <f t="shared" si="123"/>
        <v>5</v>
      </c>
      <c r="I794">
        <f t="shared" si="124"/>
        <v>59</v>
      </c>
      <c r="J794">
        <f t="shared" si="125"/>
        <v>359</v>
      </c>
      <c r="K794">
        <f t="shared" si="126"/>
        <v>6</v>
      </c>
      <c r="L794">
        <f t="shared" si="127"/>
        <v>243948</v>
      </c>
      <c r="M794">
        <f t="shared" si="128"/>
        <v>78561</v>
      </c>
      <c r="N794">
        <f t="shared" si="129"/>
        <v>370509</v>
      </c>
      <c r="O794">
        <f>IF(B794="zagraniczny",K794+O793,O793)</f>
        <v>383</v>
      </c>
    </row>
    <row r="795" spans="1:15" x14ac:dyDescent="0.25">
      <c r="A795">
        <v>9804309</v>
      </c>
      <c r="B795" t="str">
        <f t="shared" si="120"/>
        <v>stacjonarny</v>
      </c>
      <c r="C795" s="1">
        <v>42928</v>
      </c>
      <c r="D795" s="2">
        <v>0.56918981481481479</v>
      </c>
      <c r="E795" s="2">
        <v>0.5784259259259259</v>
      </c>
      <c r="F795" s="2">
        <f t="shared" si="121"/>
        <v>9.2361111111111116E-3</v>
      </c>
      <c r="G795">
        <f t="shared" si="122"/>
        <v>0</v>
      </c>
      <c r="H795">
        <f t="shared" si="123"/>
        <v>13</v>
      </c>
      <c r="I795">
        <f t="shared" si="124"/>
        <v>18</v>
      </c>
      <c r="J795">
        <f t="shared" si="125"/>
        <v>798</v>
      </c>
      <c r="K795">
        <f t="shared" si="126"/>
        <v>14</v>
      </c>
      <c r="L795">
        <f t="shared" si="127"/>
        <v>244746</v>
      </c>
      <c r="M795">
        <f t="shared" si="128"/>
        <v>78561</v>
      </c>
      <c r="N795">
        <f t="shared" si="129"/>
        <v>371307</v>
      </c>
      <c r="O795">
        <f>IF(B795="zagraniczny",K795+O794,O794)</f>
        <v>383</v>
      </c>
    </row>
    <row r="796" spans="1:15" x14ac:dyDescent="0.25">
      <c r="A796">
        <v>3382728</v>
      </c>
      <c r="B796" t="str">
        <f t="shared" si="120"/>
        <v>stacjonarny</v>
      </c>
      <c r="C796" s="1">
        <v>42928</v>
      </c>
      <c r="D796" s="2">
        <v>0.56953703703703706</v>
      </c>
      <c r="E796" s="2">
        <v>0.57401620370370365</v>
      </c>
      <c r="F796" s="2">
        <f t="shared" si="121"/>
        <v>4.4791666666665897E-3</v>
      </c>
      <c r="G796">
        <f t="shared" si="122"/>
        <v>0</v>
      </c>
      <c r="H796">
        <f t="shared" si="123"/>
        <v>6</v>
      </c>
      <c r="I796">
        <f t="shared" si="124"/>
        <v>27</v>
      </c>
      <c r="J796">
        <f t="shared" si="125"/>
        <v>387</v>
      </c>
      <c r="K796">
        <f t="shared" si="126"/>
        <v>7</v>
      </c>
      <c r="L796">
        <f t="shared" si="127"/>
        <v>245133</v>
      </c>
      <c r="M796">
        <f t="shared" si="128"/>
        <v>78561</v>
      </c>
      <c r="N796">
        <f t="shared" si="129"/>
        <v>371694</v>
      </c>
      <c r="O796">
        <f>IF(B796="zagraniczny",K796+O795,O795)</f>
        <v>383</v>
      </c>
    </row>
    <row r="797" spans="1:15" x14ac:dyDescent="0.25">
      <c r="A797">
        <v>9091369</v>
      </c>
      <c r="B797" t="str">
        <f t="shared" si="120"/>
        <v>stacjonarny</v>
      </c>
      <c r="C797" s="1">
        <v>42928</v>
      </c>
      <c r="D797" s="2">
        <v>0.57231481481481483</v>
      </c>
      <c r="E797" s="2">
        <v>0.57403935185185184</v>
      </c>
      <c r="F797" s="2">
        <f t="shared" si="121"/>
        <v>1.7245370370370106E-3</v>
      </c>
      <c r="G797">
        <f t="shared" si="122"/>
        <v>0</v>
      </c>
      <c r="H797">
        <f t="shared" si="123"/>
        <v>2</v>
      </c>
      <c r="I797">
        <f t="shared" si="124"/>
        <v>29</v>
      </c>
      <c r="J797">
        <f t="shared" si="125"/>
        <v>149</v>
      </c>
      <c r="K797">
        <f t="shared" si="126"/>
        <v>3</v>
      </c>
      <c r="L797">
        <f t="shared" si="127"/>
        <v>245282</v>
      </c>
      <c r="M797">
        <f t="shared" si="128"/>
        <v>78561</v>
      </c>
      <c r="N797">
        <f t="shared" si="129"/>
        <v>371843</v>
      </c>
      <c r="O797">
        <f>IF(B797="zagraniczny",K797+O796,O796)</f>
        <v>383</v>
      </c>
    </row>
    <row r="798" spans="1:15" x14ac:dyDescent="0.25">
      <c r="A798">
        <v>3981821518</v>
      </c>
      <c r="B798" t="str">
        <f t="shared" si="120"/>
        <v>zagraniczny</v>
      </c>
      <c r="C798" s="1">
        <v>42928</v>
      </c>
      <c r="D798" s="2">
        <v>0.57445601851851846</v>
      </c>
      <c r="E798" s="2">
        <v>0.57703703703703701</v>
      </c>
      <c r="F798" s="2">
        <f t="shared" si="121"/>
        <v>2.5810185185185519E-3</v>
      </c>
      <c r="G798">
        <f t="shared" si="122"/>
        <v>0</v>
      </c>
      <c r="H798">
        <f t="shared" si="123"/>
        <v>3</v>
      </c>
      <c r="I798">
        <f t="shared" si="124"/>
        <v>43</v>
      </c>
      <c r="J798">
        <f t="shared" si="125"/>
        <v>223</v>
      </c>
      <c r="K798">
        <f t="shared" si="126"/>
        <v>4</v>
      </c>
      <c r="L798">
        <f t="shared" si="127"/>
        <v>245282</v>
      </c>
      <c r="M798">
        <f t="shared" si="128"/>
        <v>78561</v>
      </c>
      <c r="N798">
        <f t="shared" si="129"/>
        <v>371843</v>
      </c>
      <c r="O798">
        <f>IF(B798="zagraniczny",K798+O797,O797)</f>
        <v>387</v>
      </c>
    </row>
    <row r="799" spans="1:15" x14ac:dyDescent="0.25">
      <c r="A799">
        <v>6304174</v>
      </c>
      <c r="B799" t="str">
        <f t="shared" si="120"/>
        <v>stacjonarny</v>
      </c>
      <c r="C799" s="1">
        <v>42928</v>
      </c>
      <c r="D799" s="2">
        <v>0.57445601851851846</v>
      </c>
      <c r="E799" s="2">
        <v>0.58512731481481484</v>
      </c>
      <c r="F799" s="2">
        <f t="shared" si="121"/>
        <v>1.0671296296296373E-2</v>
      </c>
      <c r="G799">
        <f t="shared" si="122"/>
        <v>0</v>
      </c>
      <c r="H799">
        <f t="shared" si="123"/>
        <v>15</v>
      </c>
      <c r="I799">
        <f t="shared" si="124"/>
        <v>22</v>
      </c>
      <c r="J799">
        <f t="shared" si="125"/>
        <v>922</v>
      </c>
      <c r="K799">
        <f t="shared" si="126"/>
        <v>16</v>
      </c>
      <c r="L799">
        <f t="shared" si="127"/>
        <v>246204</v>
      </c>
      <c r="M799">
        <f t="shared" si="128"/>
        <v>78561</v>
      </c>
      <c r="N799">
        <f t="shared" si="129"/>
        <v>372765</v>
      </c>
      <c r="O799">
        <f>IF(B799="zagraniczny",K799+O798,O798)</f>
        <v>387</v>
      </c>
    </row>
    <row r="800" spans="1:15" x14ac:dyDescent="0.25">
      <c r="A800">
        <v>8233999</v>
      </c>
      <c r="B800" t="str">
        <f t="shared" si="120"/>
        <v>stacjonarny</v>
      </c>
      <c r="C800" s="1">
        <v>42928</v>
      </c>
      <c r="D800" s="2">
        <v>0.57828703703703699</v>
      </c>
      <c r="E800" s="2">
        <v>0.58834490740740741</v>
      </c>
      <c r="F800" s="2">
        <f t="shared" si="121"/>
        <v>1.0057870370370425E-2</v>
      </c>
      <c r="G800">
        <f t="shared" si="122"/>
        <v>0</v>
      </c>
      <c r="H800">
        <f t="shared" si="123"/>
        <v>14</v>
      </c>
      <c r="I800">
        <f t="shared" si="124"/>
        <v>29</v>
      </c>
      <c r="J800">
        <f t="shared" si="125"/>
        <v>869</v>
      </c>
      <c r="K800">
        <f t="shared" si="126"/>
        <v>15</v>
      </c>
      <c r="L800">
        <f t="shared" si="127"/>
        <v>247073</v>
      </c>
      <c r="M800">
        <f t="shared" si="128"/>
        <v>78561</v>
      </c>
      <c r="N800">
        <f t="shared" si="129"/>
        <v>373634</v>
      </c>
      <c r="O800">
        <f>IF(B800="zagraniczny",K800+O799,O799)</f>
        <v>387</v>
      </c>
    </row>
    <row r="801" spans="1:15" x14ac:dyDescent="0.25">
      <c r="A801">
        <v>97782375</v>
      </c>
      <c r="B801" t="str">
        <f t="shared" si="120"/>
        <v>komorkowy</v>
      </c>
      <c r="C801" s="1">
        <v>42928</v>
      </c>
      <c r="D801" s="2">
        <v>0.58054398148148145</v>
      </c>
      <c r="E801" s="2">
        <v>0.58196759259259256</v>
      </c>
      <c r="F801" s="2">
        <f t="shared" si="121"/>
        <v>1.4236111111111116E-3</v>
      </c>
      <c r="G801">
        <f t="shared" si="122"/>
        <v>0</v>
      </c>
      <c r="H801">
        <f t="shared" si="123"/>
        <v>2</v>
      </c>
      <c r="I801">
        <f t="shared" si="124"/>
        <v>3</v>
      </c>
      <c r="J801">
        <f t="shared" si="125"/>
        <v>123</v>
      </c>
      <c r="K801">
        <f t="shared" si="126"/>
        <v>3</v>
      </c>
      <c r="L801">
        <f t="shared" si="127"/>
        <v>247073</v>
      </c>
      <c r="M801">
        <f t="shared" si="128"/>
        <v>78684</v>
      </c>
      <c r="N801">
        <f t="shared" si="129"/>
        <v>373757</v>
      </c>
      <c r="O801">
        <f>IF(B801="zagraniczny",K801+O800,O800)</f>
        <v>387</v>
      </c>
    </row>
    <row r="802" spans="1:15" x14ac:dyDescent="0.25">
      <c r="A802">
        <v>2826868</v>
      </c>
      <c r="B802" t="str">
        <f t="shared" si="120"/>
        <v>stacjonarny</v>
      </c>
      <c r="C802" s="1">
        <v>42928</v>
      </c>
      <c r="D802" s="2">
        <v>0.58266203703703701</v>
      </c>
      <c r="E802" s="2">
        <v>0.59348379629629633</v>
      </c>
      <c r="F802" s="2">
        <f t="shared" si="121"/>
        <v>1.0821759259259323E-2</v>
      </c>
      <c r="G802">
        <f t="shared" si="122"/>
        <v>0</v>
      </c>
      <c r="H802">
        <f t="shared" si="123"/>
        <v>15</v>
      </c>
      <c r="I802">
        <f t="shared" si="124"/>
        <v>35</v>
      </c>
      <c r="J802">
        <f t="shared" si="125"/>
        <v>935</v>
      </c>
      <c r="K802">
        <f t="shared" si="126"/>
        <v>16</v>
      </c>
      <c r="L802">
        <f t="shared" si="127"/>
        <v>248008</v>
      </c>
      <c r="M802">
        <f t="shared" si="128"/>
        <v>78684</v>
      </c>
      <c r="N802">
        <f t="shared" si="129"/>
        <v>374692</v>
      </c>
      <c r="O802">
        <f>IF(B802="zagraniczny",K802+O801,O801)</f>
        <v>387</v>
      </c>
    </row>
    <row r="803" spans="1:15" x14ac:dyDescent="0.25">
      <c r="A803">
        <v>93794133</v>
      </c>
      <c r="B803" t="str">
        <f t="shared" si="120"/>
        <v>komorkowy</v>
      </c>
      <c r="C803" s="1">
        <v>42928</v>
      </c>
      <c r="D803" s="2">
        <v>0.58592592592592596</v>
      </c>
      <c r="E803" s="2">
        <v>0.59038194444444447</v>
      </c>
      <c r="F803" s="2">
        <f t="shared" si="121"/>
        <v>4.4560185185185119E-3</v>
      </c>
      <c r="G803">
        <f t="shared" si="122"/>
        <v>0</v>
      </c>
      <c r="H803">
        <f t="shared" si="123"/>
        <v>6</v>
      </c>
      <c r="I803">
        <f t="shared" si="124"/>
        <v>25</v>
      </c>
      <c r="J803">
        <f t="shared" si="125"/>
        <v>385</v>
      </c>
      <c r="K803">
        <f t="shared" si="126"/>
        <v>7</v>
      </c>
      <c r="L803">
        <f t="shared" si="127"/>
        <v>248008</v>
      </c>
      <c r="M803">
        <f t="shared" si="128"/>
        <v>79069</v>
      </c>
      <c r="N803">
        <f t="shared" si="129"/>
        <v>375077</v>
      </c>
      <c r="O803">
        <f>IF(B803="zagraniczny",K803+O802,O802)</f>
        <v>387</v>
      </c>
    </row>
    <row r="804" spans="1:15" x14ac:dyDescent="0.25">
      <c r="A804">
        <v>85838361</v>
      </c>
      <c r="B804" t="str">
        <f t="shared" si="120"/>
        <v>komorkowy</v>
      </c>
      <c r="C804" s="1">
        <v>42928</v>
      </c>
      <c r="D804" s="2">
        <v>0.58909722222222227</v>
      </c>
      <c r="E804" s="2">
        <v>0.5993518518518518</v>
      </c>
      <c r="F804" s="2">
        <f t="shared" si="121"/>
        <v>1.025462962962953E-2</v>
      </c>
      <c r="G804">
        <f t="shared" si="122"/>
        <v>0</v>
      </c>
      <c r="H804">
        <f t="shared" si="123"/>
        <v>14</v>
      </c>
      <c r="I804">
        <f t="shared" si="124"/>
        <v>46</v>
      </c>
      <c r="J804">
        <f t="shared" si="125"/>
        <v>886</v>
      </c>
      <c r="K804">
        <f t="shared" si="126"/>
        <v>15</v>
      </c>
      <c r="L804">
        <f t="shared" si="127"/>
        <v>248008</v>
      </c>
      <c r="M804">
        <f t="shared" si="128"/>
        <v>79955</v>
      </c>
      <c r="N804">
        <f t="shared" si="129"/>
        <v>375963</v>
      </c>
      <c r="O804">
        <f>IF(B804="zagraniczny",K804+O803,O803)</f>
        <v>387</v>
      </c>
    </row>
    <row r="805" spans="1:15" x14ac:dyDescent="0.25">
      <c r="A805">
        <v>1616328</v>
      </c>
      <c r="B805" t="str">
        <f t="shared" si="120"/>
        <v>stacjonarny</v>
      </c>
      <c r="C805" s="1">
        <v>42928</v>
      </c>
      <c r="D805" s="2">
        <v>0.59354166666666663</v>
      </c>
      <c r="E805" s="2">
        <v>0.59888888888888892</v>
      </c>
      <c r="F805" s="2">
        <f t="shared" si="121"/>
        <v>5.3472222222222809E-3</v>
      </c>
      <c r="G805">
        <f t="shared" si="122"/>
        <v>0</v>
      </c>
      <c r="H805">
        <f t="shared" si="123"/>
        <v>7</v>
      </c>
      <c r="I805">
        <f t="shared" si="124"/>
        <v>42</v>
      </c>
      <c r="J805">
        <f t="shared" si="125"/>
        <v>462</v>
      </c>
      <c r="K805">
        <f t="shared" si="126"/>
        <v>8</v>
      </c>
      <c r="L805">
        <f t="shared" si="127"/>
        <v>248470</v>
      </c>
      <c r="M805">
        <f t="shared" si="128"/>
        <v>79955</v>
      </c>
      <c r="N805">
        <f t="shared" si="129"/>
        <v>376425</v>
      </c>
      <c r="O805">
        <f>IF(B805="zagraniczny",K805+O804,O804)</f>
        <v>387</v>
      </c>
    </row>
    <row r="806" spans="1:15" x14ac:dyDescent="0.25">
      <c r="A806">
        <v>9773176</v>
      </c>
      <c r="B806" t="str">
        <f t="shared" si="120"/>
        <v>stacjonarny</v>
      </c>
      <c r="C806" s="1">
        <v>42928</v>
      </c>
      <c r="D806" s="2">
        <v>0.59873842592592597</v>
      </c>
      <c r="E806" s="2">
        <v>0.60127314814814814</v>
      </c>
      <c r="F806" s="2">
        <f t="shared" si="121"/>
        <v>2.5347222222221744E-3</v>
      </c>
      <c r="G806">
        <f t="shared" si="122"/>
        <v>0</v>
      </c>
      <c r="H806">
        <f t="shared" si="123"/>
        <v>3</v>
      </c>
      <c r="I806">
        <f t="shared" si="124"/>
        <v>39</v>
      </c>
      <c r="J806">
        <f t="shared" si="125"/>
        <v>219</v>
      </c>
      <c r="K806">
        <f t="shared" si="126"/>
        <v>4</v>
      </c>
      <c r="L806">
        <f t="shared" si="127"/>
        <v>248689</v>
      </c>
      <c r="M806">
        <f t="shared" si="128"/>
        <v>79955</v>
      </c>
      <c r="N806">
        <f t="shared" si="129"/>
        <v>376644</v>
      </c>
      <c r="O806">
        <f>IF(B806="zagraniczny",K806+O805,O805)</f>
        <v>387</v>
      </c>
    </row>
    <row r="807" spans="1:15" x14ac:dyDescent="0.25">
      <c r="A807">
        <v>8246306</v>
      </c>
      <c r="B807" t="str">
        <f t="shared" si="120"/>
        <v>stacjonarny</v>
      </c>
      <c r="C807" s="1">
        <v>42928</v>
      </c>
      <c r="D807" s="2">
        <v>0.59928240740740746</v>
      </c>
      <c r="E807" s="2">
        <v>0.60182870370370367</v>
      </c>
      <c r="F807" s="2">
        <f t="shared" si="121"/>
        <v>2.5462962962962132E-3</v>
      </c>
      <c r="G807">
        <f t="shared" si="122"/>
        <v>0</v>
      </c>
      <c r="H807">
        <f t="shared" si="123"/>
        <v>3</v>
      </c>
      <c r="I807">
        <f t="shared" si="124"/>
        <v>40</v>
      </c>
      <c r="J807">
        <f t="shared" si="125"/>
        <v>220</v>
      </c>
      <c r="K807">
        <f t="shared" si="126"/>
        <v>4</v>
      </c>
      <c r="L807">
        <f t="shared" si="127"/>
        <v>248909</v>
      </c>
      <c r="M807">
        <f t="shared" si="128"/>
        <v>79955</v>
      </c>
      <c r="N807">
        <f t="shared" si="129"/>
        <v>376864</v>
      </c>
      <c r="O807">
        <f>IF(B807="zagraniczny",K807+O806,O806)</f>
        <v>387</v>
      </c>
    </row>
    <row r="808" spans="1:15" x14ac:dyDescent="0.25">
      <c r="A808">
        <v>2412611</v>
      </c>
      <c r="B808" t="str">
        <f t="shared" si="120"/>
        <v>stacjonarny</v>
      </c>
      <c r="C808" s="1">
        <v>42928</v>
      </c>
      <c r="D808" s="2">
        <v>0.60065972222222219</v>
      </c>
      <c r="E808" s="2">
        <v>0.60902777777777772</v>
      </c>
      <c r="F808" s="2">
        <f t="shared" si="121"/>
        <v>8.3680555555555314E-3</v>
      </c>
      <c r="G808">
        <f t="shared" si="122"/>
        <v>0</v>
      </c>
      <c r="H808">
        <f t="shared" si="123"/>
        <v>12</v>
      </c>
      <c r="I808">
        <f t="shared" si="124"/>
        <v>3</v>
      </c>
      <c r="J808">
        <f t="shared" si="125"/>
        <v>723</v>
      </c>
      <c r="K808">
        <f t="shared" si="126"/>
        <v>13</v>
      </c>
      <c r="L808">
        <f t="shared" si="127"/>
        <v>249632</v>
      </c>
      <c r="M808">
        <f t="shared" si="128"/>
        <v>79955</v>
      </c>
      <c r="N808">
        <f t="shared" si="129"/>
        <v>377587</v>
      </c>
      <c r="O808">
        <f>IF(B808="zagraniczny",K808+O807,O807)</f>
        <v>387</v>
      </c>
    </row>
    <row r="809" spans="1:15" x14ac:dyDescent="0.25">
      <c r="A809">
        <v>7795911</v>
      </c>
      <c r="B809" t="str">
        <f t="shared" si="120"/>
        <v>stacjonarny</v>
      </c>
      <c r="C809" s="1">
        <v>42928</v>
      </c>
      <c r="D809" s="2">
        <v>0.60528935185185184</v>
      </c>
      <c r="E809" s="2">
        <v>0.60805555555555557</v>
      </c>
      <c r="F809" s="2">
        <f t="shared" si="121"/>
        <v>2.766203703703729E-3</v>
      </c>
      <c r="G809">
        <f t="shared" si="122"/>
        <v>0</v>
      </c>
      <c r="H809">
        <f t="shared" si="123"/>
        <v>3</v>
      </c>
      <c r="I809">
        <f t="shared" si="124"/>
        <v>59</v>
      </c>
      <c r="J809">
        <f t="shared" si="125"/>
        <v>239</v>
      </c>
      <c r="K809">
        <f t="shared" si="126"/>
        <v>4</v>
      </c>
      <c r="L809">
        <f t="shared" si="127"/>
        <v>249871</v>
      </c>
      <c r="M809">
        <f t="shared" si="128"/>
        <v>79955</v>
      </c>
      <c r="N809">
        <f t="shared" si="129"/>
        <v>377826</v>
      </c>
      <c r="O809">
        <f>IF(B809="zagraniczny",K809+O808,O808)</f>
        <v>387</v>
      </c>
    </row>
    <row r="810" spans="1:15" x14ac:dyDescent="0.25">
      <c r="A810">
        <v>8063487</v>
      </c>
      <c r="B810" t="str">
        <f t="shared" si="120"/>
        <v>stacjonarny</v>
      </c>
      <c r="C810" s="1">
        <v>42928</v>
      </c>
      <c r="D810" s="2">
        <v>0.61028935185185185</v>
      </c>
      <c r="E810" s="2">
        <v>0.61681712962962965</v>
      </c>
      <c r="F810" s="2">
        <f t="shared" si="121"/>
        <v>6.527777777777799E-3</v>
      </c>
      <c r="G810">
        <f t="shared" si="122"/>
        <v>0</v>
      </c>
      <c r="H810">
        <f t="shared" si="123"/>
        <v>9</v>
      </c>
      <c r="I810">
        <f t="shared" si="124"/>
        <v>24</v>
      </c>
      <c r="J810">
        <f t="shared" si="125"/>
        <v>564</v>
      </c>
      <c r="K810">
        <f t="shared" si="126"/>
        <v>10</v>
      </c>
      <c r="L810">
        <f t="shared" si="127"/>
        <v>250435</v>
      </c>
      <c r="M810">
        <f t="shared" si="128"/>
        <v>79955</v>
      </c>
      <c r="N810">
        <f t="shared" si="129"/>
        <v>378390</v>
      </c>
      <c r="O810">
        <f>IF(B810="zagraniczny",K810+O809,O809)</f>
        <v>387</v>
      </c>
    </row>
    <row r="811" spans="1:15" x14ac:dyDescent="0.25">
      <c r="A811">
        <v>68677362</v>
      </c>
      <c r="B811" t="str">
        <f t="shared" si="120"/>
        <v>komorkowy</v>
      </c>
      <c r="C811" s="1">
        <v>42928</v>
      </c>
      <c r="D811" s="2">
        <v>0.61534722222222227</v>
      </c>
      <c r="E811" s="2">
        <v>0.61554398148148148</v>
      </c>
      <c r="F811" s="2">
        <f t="shared" si="121"/>
        <v>1.96759259259216E-4</v>
      </c>
      <c r="G811">
        <f t="shared" si="122"/>
        <v>0</v>
      </c>
      <c r="H811">
        <f t="shared" si="123"/>
        <v>0</v>
      </c>
      <c r="I811">
        <f t="shared" si="124"/>
        <v>17</v>
      </c>
      <c r="J811">
        <f t="shared" si="125"/>
        <v>17</v>
      </c>
      <c r="K811">
        <f t="shared" si="126"/>
        <v>1</v>
      </c>
      <c r="L811">
        <f t="shared" si="127"/>
        <v>250435</v>
      </c>
      <c r="M811">
        <f t="shared" si="128"/>
        <v>79972</v>
      </c>
      <c r="N811">
        <f t="shared" si="129"/>
        <v>378407</v>
      </c>
      <c r="O811">
        <f>IF(B811="zagraniczny",K811+O810,O810)</f>
        <v>387</v>
      </c>
    </row>
    <row r="812" spans="1:15" x14ac:dyDescent="0.25">
      <c r="A812">
        <v>6766787935</v>
      </c>
      <c r="B812" t="str">
        <f t="shared" si="120"/>
        <v>zagraniczny</v>
      </c>
      <c r="C812" s="1">
        <v>42928</v>
      </c>
      <c r="D812" s="2">
        <v>0.62077546296296293</v>
      </c>
      <c r="E812" s="2">
        <v>0.62708333333333333</v>
      </c>
      <c r="F812" s="2">
        <f t="shared" si="121"/>
        <v>6.3078703703703942E-3</v>
      </c>
      <c r="G812">
        <f t="shared" si="122"/>
        <v>0</v>
      </c>
      <c r="H812">
        <f t="shared" si="123"/>
        <v>9</v>
      </c>
      <c r="I812">
        <f t="shared" si="124"/>
        <v>5</v>
      </c>
      <c r="J812">
        <f t="shared" si="125"/>
        <v>545</v>
      </c>
      <c r="K812">
        <f t="shared" si="126"/>
        <v>10</v>
      </c>
      <c r="L812">
        <f t="shared" si="127"/>
        <v>250435</v>
      </c>
      <c r="M812">
        <f t="shared" si="128"/>
        <v>79972</v>
      </c>
      <c r="N812">
        <f t="shared" si="129"/>
        <v>378407</v>
      </c>
      <c r="O812">
        <f>IF(B812="zagraniczny",K812+O811,O811)</f>
        <v>397</v>
      </c>
    </row>
    <row r="813" spans="1:15" x14ac:dyDescent="0.25">
      <c r="A813">
        <v>27791497</v>
      </c>
      <c r="B813" t="str">
        <f t="shared" si="120"/>
        <v>komorkowy</v>
      </c>
      <c r="C813" s="1">
        <v>42928</v>
      </c>
      <c r="D813" s="2">
        <v>0.62372685185185184</v>
      </c>
      <c r="E813" s="2">
        <v>0.63241898148148146</v>
      </c>
      <c r="F813" s="2">
        <f t="shared" si="121"/>
        <v>8.6921296296296191E-3</v>
      </c>
      <c r="G813">
        <f t="shared" si="122"/>
        <v>0</v>
      </c>
      <c r="H813">
        <f t="shared" si="123"/>
        <v>12</v>
      </c>
      <c r="I813">
        <f t="shared" si="124"/>
        <v>31</v>
      </c>
      <c r="J813">
        <f t="shared" si="125"/>
        <v>751</v>
      </c>
      <c r="K813">
        <f t="shared" si="126"/>
        <v>13</v>
      </c>
      <c r="L813">
        <f t="shared" si="127"/>
        <v>250435</v>
      </c>
      <c r="M813">
        <f t="shared" si="128"/>
        <v>80723</v>
      </c>
      <c r="N813">
        <f t="shared" si="129"/>
        <v>379158</v>
      </c>
      <c r="O813">
        <f>IF(B813="zagraniczny",K813+O812,O812)</f>
        <v>397</v>
      </c>
    </row>
    <row r="814" spans="1:15" x14ac:dyDescent="0.25">
      <c r="A814">
        <v>6158527</v>
      </c>
      <c r="B814" t="str">
        <f t="shared" si="120"/>
        <v>stacjonarny</v>
      </c>
      <c r="C814" s="1">
        <v>42928</v>
      </c>
      <c r="D814" s="2">
        <v>0.62449074074074074</v>
      </c>
      <c r="E814" s="2">
        <v>0.62653935185185183</v>
      </c>
      <c r="F814" s="2">
        <f t="shared" si="121"/>
        <v>2.0486111111110983E-3</v>
      </c>
      <c r="G814">
        <f t="shared" si="122"/>
        <v>0</v>
      </c>
      <c r="H814">
        <f t="shared" si="123"/>
        <v>2</v>
      </c>
      <c r="I814">
        <f t="shared" si="124"/>
        <v>57</v>
      </c>
      <c r="J814">
        <f t="shared" si="125"/>
        <v>177</v>
      </c>
      <c r="K814">
        <f t="shared" si="126"/>
        <v>3</v>
      </c>
      <c r="L814">
        <f t="shared" si="127"/>
        <v>250612</v>
      </c>
      <c r="M814">
        <f t="shared" si="128"/>
        <v>80723</v>
      </c>
      <c r="N814">
        <f t="shared" si="129"/>
        <v>379335</v>
      </c>
      <c r="O814">
        <f>IF(B814="zagraniczny",K814+O813,O813)</f>
        <v>397</v>
      </c>
    </row>
    <row r="815" spans="1:15" x14ac:dyDescent="0.25">
      <c r="A815">
        <v>3456554</v>
      </c>
      <c r="B815" t="str">
        <f t="shared" si="120"/>
        <v>stacjonarny</v>
      </c>
      <c r="C815" s="1">
        <v>42928</v>
      </c>
      <c r="D815" s="2">
        <v>0.62615740740740744</v>
      </c>
      <c r="E815" s="2">
        <v>0.63491898148148151</v>
      </c>
      <c r="F815" s="2">
        <f t="shared" si="121"/>
        <v>8.7615740740740744E-3</v>
      </c>
      <c r="G815">
        <f t="shared" si="122"/>
        <v>0</v>
      </c>
      <c r="H815">
        <f t="shared" si="123"/>
        <v>12</v>
      </c>
      <c r="I815">
        <f t="shared" si="124"/>
        <v>37</v>
      </c>
      <c r="J815">
        <f t="shared" si="125"/>
        <v>757</v>
      </c>
      <c r="K815">
        <f t="shared" si="126"/>
        <v>13</v>
      </c>
      <c r="L815">
        <f t="shared" si="127"/>
        <v>251369</v>
      </c>
      <c r="M815">
        <f t="shared" si="128"/>
        <v>80723</v>
      </c>
      <c r="N815">
        <f t="shared" si="129"/>
        <v>380092</v>
      </c>
      <c r="O815">
        <f>IF(B815="zagraniczny",K815+O814,O814)</f>
        <v>397</v>
      </c>
    </row>
    <row r="816" spans="1:15" x14ac:dyDescent="0.25">
      <c r="A816">
        <v>3437033</v>
      </c>
      <c r="B816" t="str">
        <f t="shared" si="120"/>
        <v>stacjonarny</v>
      </c>
      <c r="C816" s="1">
        <v>42929</v>
      </c>
      <c r="D816" s="2">
        <v>0.33812500000000001</v>
      </c>
      <c r="E816" s="2">
        <v>0.34457175925925926</v>
      </c>
      <c r="F816" s="2">
        <f t="shared" si="121"/>
        <v>6.4467592592592493E-3</v>
      </c>
      <c r="G816">
        <f t="shared" si="122"/>
        <v>0</v>
      </c>
      <c r="H816">
        <f t="shared" si="123"/>
        <v>9</v>
      </c>
      <c r="I816">
        <f t="shared" si="124"/>
        <v>17</v>
      </c>
      <c r="J816">
        <f t="shared" si="125"/>
        <v>557</v>
      </c>
      <c r="K816">
        <f t="shared" si="126"/>
        <v>10</v>
      </c>
      <c r="L816">
        <f t="shared" si="127"/>
        <v>251926</v>
      </c>
      <c r="M816">
        <f t="shared" si="128"/>
        <v>80723</v>
      </c>
      <c r="N816">
        <f t="shared" si="129"/>
        <v>380649</v>
      </c>
      <c r="O816">
        <f>IF(B816="zagraniczny",K816+O815,O815)</f>
        <v>397</v>
      </c>
    </row>
    <row r="817" spans="1:15" x14ac:dyDescent="0.25">
      <c r="A817">
        <v>2128068</v>
      </c>
      <c r="B817" t="str">
        <f t="shared" si="120"/>
        <v>stacjonarny</v>
      </c>
      <c r="C817" s="1">
        <v>42929</v>
      </c>
      <c r="D817" s="2">
        <v>0.34258101851851852</v>
      </c>
      <c r="E817" s="2">
        <v>0.34574074074074074</v>
      </c>
      <c r="F817" s="2">
        <f t="shared" si="121"/>
        <v>3.1597222222222165E-3</v>
      </c>
      <c r="G817">
        <f t="shared" si="122"/>
        <v>0</v>
      </c>
      <c r="H817">
        <f t="shared" si="123"/>
        <v>4</v>
      </c>
      <c r="I817">
        <f t="shared" si="124"/>
        <v>33</v>
      </c>
      <c r="J817">
        <f t="shared" si="125"/>
        <v>273</v>
      </c>
      <c r="K817">
        <f t="shared" si="126"/>
        <v>5</v>
      </c>
      <c r="L817">
        <f t="shared" si="127"/>
        <v>252199</v>
      </c>
      <c r="M817">
        <f t="shared" si="128"/>
        <v>80723</v>
      </c>
      <c r="N817">
        <f t="shared" si="129"/>
        <v>380922</v>
      </c>
      <c r="O817">
        <f>IF(B817="zagraniczny",K817+O816,O816)</f>
        <v>397</v>
      </c>
    </row>
    <row r="818" spans="1:15" x14ac:dyDescent="0.25">
      <c r="A818">
        <v>20679187</v>
      </c>
      <c r="B818" t="str">
        <f t="shared" si="120"/>
        <v>komorkowy</v>
      </c>
      <c r="C818" s="1">
        <v>42929</v>
      </c>
      <c r="D818" s="2">
        <v>0.34833333333333333</v>
      </c>
      <c r="E818" s="2">
        <v>0.35206018518518517</v>
      </c>
      <c r="F818" s="2">
        <f t="shared" si="121"/>
        <v>3.7268518518518423E-3</v>
      </c>
      <c r="G818">
        <f t="shared" si="122"/>
        <v>0</v>
      </c>
      <c r="H818">
        <f t="shared" si="123"/>
        <v>5</v>
      </c>
      <c r="I818">
        <f t="shared" si="124"/>
        <v>22</v>
      </c>
      <c r="J818">
        <f t="shared" si="125"/>
        <v>322</v>
      </c>
      <c r="K818">
        <f t="shared" si="126"/>
        <v>6</v>
      </c>
      <c r="L818">
        <f t="shared" si="127"/>
        <v>252199</v>
      </c>
      <c r="M818">
        <f t="shared" si="128"/>
        <v>81045</v>
      </c>
      <c r="N818">
        <f t="shared" si="129"/>
        <v>381244</v>
      </c>
      <c r="O818">
        <f>IF(B818="zagraniczny",K818+O817,O817)</f>
        <v>397</v>
      </c>
    </row>
    <row r="819" spans="1:15" x14ac:dyDescent="0.25">
      <c r="A819">
        <v>9259392564</v>
      </c>
      <c r="B819" t="str">
        <f t="shared" si="120"/>
        <v>zagraniczny</v>
      </c>
      <c r="C819" s="1">
        <v>42929</v>
      </c>
      <c r="D819" s="2">
        <v>0.35311342592592593</v>
      </c>
      <c r="E819" s="2">
        <v>0.35888888888888887</v>
      </c>
      <c r="F819" s="2">
        <f t="shared" si="121"/>
        <v>5.7754629629629406E-3</v>
      </c>
      <c r="G819">
        <f t="shared" si="122"/>
        <v>0</v>
      </c>
      <c r="H819">
        <f t="shared" si="123"/>
        <v>8</v>
      </c>
      <c r="I819">
        <f t="shared" si="124"/>
        <v>19</v>
      </c>
      <c r="J819">
        <f t="shared" si="125"/>
        <v>499</v>
      </c>
      <c r="K819">
        <f t="shared" si="126"/>
        <v>9</v>
      </c>
      <c r="L819">
        <f t="shared" si="127"/>
        <v>252199</v>
      </c>
      <c r="M819">
        <f t="shared" si="128"/>
        <v>81045</v>
      </c>
      <c r="N819">
        <f t="shared" si="129"/>
        <v>381244</v>
      </c>
      <c r="O819">
        <f>IF(B819="zagraniczny",K819+O818,O818)</f>
        <v>406</v>
      </c>
    </row>
    <row r="820" spans="1:15" x14ac:dyDescent="0.25">
      <c r="A820">
        <v>7852624</v>
      </c>
      <c r="B820" t="str">
        <f t="shared" si="120"/>
        <v>stacjonarny</v>
      </c>
      <c r="C820" s="1">
        <v>42929</v>
      </c>
      <c r="D820" s="2">
        <v>0.35885416666666664</v>
      </c>
      <c r="E820" s="2">
        <v>0.36913194444444447</v>
      </c>
      <c r="F820" s="2">
        <f t="shared" si="121"/>
        <v>1.027777777777783E-2</v>
      </c>
      <c r="G820">
        <f t="shared" si="122"/>
        <v>0</v>
      </c>
      <c r="H820">
        <f t="shared" si="123"/>
        <v>14</v>
      </c>
      <c r="I820">
        <f t="shared" si="124"/>
        <v>48</v>
      </c>
      <c r="J820">
        <f t="shared" si="125"/>
        <v>888</v>
      </c>
      <c r="K820">
        <f t="shared" si="126"/>
        <v>15</v>
      </c>
      <c r="L820">
        <f t="shared" si="127"/>
        <v>253087</v>
      </c>
      <c r="M820">
        <f t="shared" si="128"/>
        <v>81045</v>
      </c>
      <c r="N820">
        <f t="shared" si="129"/>
        <v>382132</v>
      </c>
      <c r="O820">
        <f>IF(B820="zagraniczny",K820+O819,O819)</f>
        <v>406</v>
      </c>
    </row>
    <row r="821" spans="1:15" x14ac:dyDescent="0.25">
      <c r="A821">
        <v>8838584</v>
      </c>
      <c r="B821" t="str">
        <f t="shared" si="120"/>
        <v>stacjonarny</v>
      </c>
      <c r="C821" s="1">
        <v>42929</v>
      </c>
      <c r="D821" s="2">
        <v>0.36204861111111108</v>
      </c>
      <c r="E821" s="2">
        <v>0.37230324074074073</v>
      </c>
      <c r="F821" s="2">
        <f t="shared" si="121"/>
        <v>1.0254629629629641E-2</v>
      </c>
      <c r="G821">
        <f t="shared" si="122"/>
        <v>0</v>
      </c>
      <c r="H821">
        <f t="shared" si="123"/>
        <v>14</v>
      </c>
      <c r="I821">
        <f t="shared" si="124"/>
        <v>46</v>
      </c>
      <c r="J821">
        <f t="shared" si="125"/>
        <v>886</v>
      </c>
      <c r="K821">
        <f t="shared" si="126"/>
        <v>15</v>
      </c>
      <c r="L821">
        <f t="shared" si="127"/>
        <v>253973</v>
      </c>
      <c r="M821">
        <f t="shared" si="128"/>
        <v>81045</v>
      </c>
      <c r="N821">
        <f t="shared" si="129"/>
        <v>383018</v>
      </c>
      <c r="O821">
        <f>IF(B821="zagraniczny",K821+O820,O820)</f>
        <v>406</v>
      </c>
    </row>
    <row r="822" spans="1:15" x14ac:dyDescent="0.25">
      <c r="A822">
        <v>2492731</v>
      </c>
      <c r="B822" t="str">
        <f t="shared" si="120"/>
        <v>stacjonarny</v>
      </c>
      <c r="C822" s="1">
        <v>42929</v>
      </c>
      <c r="D822" s="2">
        <v>0.36341435185185184</v>
      </c>
      <c r="E822" s="2">
        <v>0.36506944444444445</v>
      </c>
      <c r="F822" s="2">
        <f t="shared" si="121"/>
        <v>1.6550925925926108E-3</v>
      </c>
      <c r="G822">
        <f t="shared" si="122"/>
        <v>0</v>
      </c>
      <c r="H822">
        <f t="shared" si="123"/>
        <v>2</v>
      </c>
      <c r="I822">
        <f t="shared" si="124"/>
        <v>23</v>
      </c>
      <c r="J822">
        <f t="shared" si="125"/>
        <v>143</v>
      </c>
      <c r="K822">
        <f t="shared" si="126"/>
        <v>3</v>
      </c>
      <c r="L822">
        <f t="shared" si="127"/>
        <v>254116</v>
      </c>
      <c r="M822">
        <f t="shared" si="128"/>
        <v>81045</v>
      </c>
      <c r="N822">
        <f t="shared" si="129"/>
        <v>383161</v>
      </c>
      <c r="O822">
        <f>IF(B822="zagraniczny",K822+O821,O821)</f>
        <v>406</v>
      </c>
    </row>
    <row r="823" spans="1:15" x14ac:dyDescent="0.25">
      <c r="A823">
        <v>8028777</v>
      </c>
      <c r="B823" t="str">
        <f t="shared" si="120"/>
        <v>stacjonarny</v>
      </c>
      <c r="C823" s="1">
        <v>42929</v>
      </c>
      <c r="D823" s="2">
        <v>0.36505787037037035</v>
      </c>
      <c r="E823" s="2">
        <v>0.37204861111111109</v>
      </c>
      <c r="F823" s="2">
        <f t="shared" si="121"/>
        <v>6.9907407407407418E-3</v>
      </c>
      <c r="G823">
        <f t="shared" si="122"/>
        <v>0</v>
      </c>
      <c r="H823">
        <f t="shared" si="123"/>
        <v>10</v>
      </c>
      <c r="I823">
        <f t="shared" si="124"/>
        <v>4</v>
      </c>
      <c r="J823">
        <f t="shared" si="125"/>
        <v>604</v>
      </c>
      <c r="K823">
        <f t="shared" si="126"/>
        <v>11</v>
      </c>
      <c r="L823">
        <f t="shared" si="127"/>
        <v>254720</v>
      </c>
      <c r="M823">
        <f t="shared" si="128"/>
        <v>81045</v>
      </c>
      <c r="N823">
        <f t="shared" si="129"/>
        <v>383765</v>
      </c>
      <c r="O823">
        <f>IF(B823="zagraniczny",K823+O822,O822)</f>
        <v>406</v>
      </c>
    </row>
    <row r="824" spans="1:15" x14ac:dyDescent="0.25">
      <c r="A824">
        <v>2619219</v>
      </c>
      <c r="B824" t="str">
        <f t="shared" si="120"/>
        <v>stacjonarny</v>
      </c>
      <c r="C824" s="1">
        <v>42929</v>
      </c>
      <c r="D824" s="2">
        <v>0.36586805555555557</v>
      </c>
      <c r="E824" s="2">
        <v>0.36783564814814818</v>
      </c>
      <c r="F824" s="2">
        <f t="shared" si="121"/>
        <v>1.9675925925926041E-3</v>
      </c>
      <c r="G824">
        <f t="shared" si="122"/>
        <v>0</v>
      </c>
      <c r="H824">
        <f t="shared" si="123"/>
        <v>2</v>
      </c>
      <c r="I824">
        <f t="shared" si="124"/>
        <v>50</v>
      </c>
      <c r="J824">
        <f t="shared" si="125"/>
        <v>170</v>
      </c>
      <c r="K824">
        <f t="shared" si="126"/>
        <v>3</v>
      </c>
      <c r="L824">
        <f t="shared" si="127"/>
        <v>254890</v>
      </c>
      <c r="M824">
        <f t="shared" si="128"/>
        <v>81045</v>
      </c>
      <c r="N824">
        <f t="shared" si="129"/>
        <v>383935</v>
      </c>
      <c r="O824">
        <f>IF(B824="zagraniczny",K824+O823,O823)</f>
        <v>406</v>
      </c>
    </row>
    <row r="825" spans="1:15" x14ac:dyDescent="0.25">
      <c r="A825">
        <v>2506618</v>
      </c>
      <c r="B825" t="str">
        <f t="shared" si="120"/>
        <v>stacjonarny</v>
      </c>
      <c r="C825" s="1">
        <v>42929</v>
      </c>
      <c r="D825" s="2">
        <v>0.36704861111111109</v>
      </c>
      <c r="E825" s="2">
        <v>0.37783564814814813</v>
      </c>
      <c r="F825" s="2">
        <f t="shared" si="121"/>
        <v>1.0787037037037039E-2</v>
      </c>
      <c r="G825">
        <f t="shared" si="122"/>
        <v>0</v>
      </c>
      <c r="H825">
        <f t="shared" si="123"/>
        <v>15</v>
      </c>
      <c r="I825">
        <f t="shared" si="124"/>
        <v>32</v>
      </c>
      <c r="J825">
        <f t="shared" si="125"/>
        <v>932</v>
      </c>
      <c r="K825">
        <f t="shared" si="126"/>
        <v>16</v>
      </c>
      <c r="L825">
        <f t="shared" si="127"/>
        <v>255822</v>
      </c>
      <c r="M825">
        <f t="shared" si="128"/>
        <v>81045</v>
      </c>
      <c r="N825">
        <f t="shared" si="129"/>
        <v>384867</v>
      </c>
      <c r="O825">
        <f>IF(B825="zagraniczny",K825+O824,O824)</f>
        <v>406</v>
      </c>
    </row>
    <row r="826" spans="1:15" x14ac:dyDescent="0.25">
      <c r="A826">
        <v>7979313</v>
      </c>
      <c r="B826" t="str">
        <f t="shared" si="120"/>
        <v>stacjonarny</v>
      </c>
      <c r="C826" s="1">
        <v>42929</v>
      </c>
      <c r="D826" s="2">
        <v>0.37074074074074076</v>
      </c>
      <c r="E826" s="2">
        <v>0.37601851851851853</v>
      </c>
      <c r="F826" s="2">
        <f t="shared" si="121"/>
        <v>5.2777777777777701E-3</v>
      </c>
      <c r="G826">
        <f t="shared" si="122"/>
        <v>0</v>
      </c>
      <c r="H826">
        <f t="shared" si="123"/>
        <v>7</v>
      </c>
      <c r="I826">
        <f t="shared" si="124"/>
        <v>36</v>
      </c>
      <c r="J826">
        <f t="shared" si="125"/>
        <v>456</v>
      </c>
      <c r="K826">
        <f t="shared" si="126"/>
        <v>8</v>
      </c>
      <c r="L826">
        <f t="shared" si="127"/>
        <v>256278</v>
      </c>
      <c r="M826">
        <f t="shared" si="128"/>
        <v>81045</v>
      </c>
      <c r="N826">
        <f t="shared" si="129"/>
        <v>385323</v>
      </c>
      <c r="O826">
        <f>IF(B826="zagraniczny",K826+O825,O825)</f>
        <v>406</v>
      </c>
    </row>
    <row r="827" spans="1:15" x14ac:dyDescent="0.25">
      <c r="A827">
        <v>23123600</v>
      </c>
      <c r="B827" t="str">
        <f t="shared" si="120"/>
        <v>komorkowy</v>
      </c>
      <c r="C827" s="1">
        <v>42929</v>
      </c>
      <c r="D827" s="2">
        <v>0.37334490740740739</v>
      </c>
      <c r="E827" s="2">
        <v>0.37408564814814815</v>
      </c>
      <c r="F827" s="2">
        <f t="shared" si="121"/>
        <v>7.4074074074076401E-4</v>
      </c>
      <c r="G827">
        <f t="shared" si="122"/>
        <v>0</v>
      </c>
      <c r="H827">
        <f t="shared" si="123"/>
        <v>1</v>
      </c>
      <c r="I827">
        <f t="shared" si="124"/>
        <v>4</v>
      </c>
      <c r="J827">
        <f t="shared" si="125"/>
        <v>64</v>
      </c>
      <c r="K827">
        <f t="shared" si="126"/>
        <v>2</v>
      </c>
      <c r="L827">
        <f t="shared" si="127"/>
        <v>256278</v>
      </c>
      <c r="M827">
        <f t="shared" si="128"/>
        <v>81109</v>
      </c>
      <c r="N827">
        <f t="shared" si="129"/>
        <v>385387</v>
      </c>
      <c r="O827">
        <f>IF(B827="zagraniczny",K827+O826,O826)</f>
        <v>406</v>
      </c>
    </row>
    <row r="828" spans="1:15" x14ac:dyDescent="0.25">
      <c r="A828">
        <v>9849476</v>
      </c>
      <c r="B828" t="str">
        <f t="shared" si="120"/>
        <v>stacjonarny</v>
      </c>
      <c r="C828" s="1">
        <v>42929</v>
      </c>
      <c r="D828" s="2">
        <v>0.37653935185185183</v>
      </c>
      <c r="E828" s="2">
        <v>0.37709490740740742</v>
      </c>
      <c r="F828" s="2">
        <f t="shared" si="121"/>
        <v>5.5555555555558689E-4</v>
      </c>
      <c r="G828">
        <f t="shared" si="122"/>
        <v>0</v>
      </c>
      <c r="H828">
        <f t="shared" si="123"/>
        <v>0</v>
      </c>
      <c r="I828">
        <f t="shared" si="124"/>
        <v>48</v>
      </c>
      <c r="J828">
        <f t="shared" si="125"/>
        <v>48</v>
      </c>
      <c r="K828">
        <f t="shared" si="126"/>
        <v>1</v>
      </c>
      <c r="L828">
        <f t="shared" si="127"/>
        <v>256326</v>
      </c>
      <c r="M828">
        <f t="shared" si="128"/>
        <v>81109</v>
      </c>
      <c r="N828">
        <f t="shared" si="129"/>
        <v>385435</v>
      </c>
      <c r="O828">
        <f>IF(B828="zagraniczny",K828+O827,O827)</f>
        <v>406</v>
      </c>
    </row>
    <row r="829" spans="1:15" x14ac:dyDescent="0.25">
      <c r="A829">
        <v>27410048</v>
      </c>
      <c r="B829" t="str">
        <f t="shared" si="120"/>
        <v>komorkowy</v>
      </c>
      <c r="C829" s="1">
        <v>42929</v>
      </c>
      <c r="D829" s="2">
        <v>0.37748842592592591</v>
      </c>
      <c r="E829" s="2">
        <v>0.37763888888888891</v>
      </c>
      <c r="F829" s="2">
        <f t="shared" si="121"/>
        <v>1.5046296296300499E-4</v>
      </c>
      <c r="G829">
        <f t="shared" si="122"/>
        <v>0</v>
      </c>
      <c r="H829">
        <f t="shared" si="123"/>
        <v>0</v>
      </c>
      <c r="I829">
        <f t="shared" si="124"/>
        <v>13</v>
      </c>
      <c r="J829">
        <f t="shared" si="125"/>
        <v>13</v>
      </c>
      <c r="K829">
        <f t="shared" si="126"/>
        <v>1</v>
      </c>
      <c r="L829">
        <f t="shared" si="127"/>
        <v>256326</v>
      </c>
      <c r="M829">
        <f t="shared" si="128"/>
        <v>81122</v>
      </c>
      <c r="N829">
        <f t="shared" si="129"/>
        <v>385448</v>
      </c>
      <c r="O829">
        <f>IF(B829="zagraniczny",K829+O828,O828)</f>
        <v>406</v>
      </c>
    </row>
    <row r="830" spans="1:15" x14ac:dyDescent="0.25">
      <c r="A830">
        <v>6746757</v>
      </c>
      <c r="B830" t="str">
        <f t="shared" si="120"/>
        <v>stacjonarny</v>
      </c>
      <c r="C830" s="1">
        <v>42929</v>
      </c>
      <c r="D830" s="2">
        <v>0.3790162037037037</v>
      </c>
      <c r="E830" s="2">
        <v>0.38123842592592594</v>
      </c>
      <c r="F830" s="2">
        <f t="shared" si="121"/>
        <v>2.2222222222222365E-3</v>
      </c>
      <c r="G830">
        <f t="shared" si="122"/>
        <v>0</v>
      </c>
      <c r="H830">
        <f t="shared" si="123"/>
        <v>3</v>
      </c>
      <c r="I830">
        <f t="shared" si="124"/>
        <v>12</v>
      </c>
      <c r="J830">
        <f t="shared" si="125"/>
        <v>192</v>
      </c>
      <c r="K830">
        <f t="shared" si="126"/>
        <v>4</v>
      </c>
      <c r="L830">
        <f t="shared" si="127"/>
        <v>256518</v>
      </c>
      <c r="M830">
        <f t="shared" si="128"/>
        <v>81122</v>
      </c>
      <c r="N830">
        <f t="shared" si="129"/>
        <v>385640</v>
      </c>
      <c r="O830">
        <f>IF(B830="zagraniczny",K830+O829,O829)</f>
        <v>406</v>
      </c>
    </row>
    <row r="831" spans="1:15" x14ac:dyDescent="0.25">
      <c r="A831">
        <v>5087066</v>
      </c>
      <c r="B831" t="str">
        <f t="shared" si="120"/>
        <v>stacjonarny</v>
      </c>
      <c r="C831" s="1">
        <v>42929</v>
      </c>
      <c r="D831" s="2">
        <v>0.38018518518518518</v>
      </c>
      <c r="E831" s="2">
        <v>0.38339120370370372</v>
      </c>
      <c r="F831" s="2">
        <f t="shared" si="121"/>
        <v>3.2060185185185386E-3</v>
      </c>
      <c r="G831">
        <f t="shared" si="122"/>
        <v>0</v>
      </c>
      <c r="H831">
        <f t="shared" si="123"/>
        <v>4</v>
      </c>
      <c r="I831">
        <f t="shared" si="124"/>
        <v>37</v>
      </c>
      <c r="J831">
        <f t="shared" si="125"/>
        <v>277</v>
      </c>
      <c r="K831">
        <f t="shared" si="126"/>
        <v>5</v>
      </c>
      <c r="L831">
        <f t="shared" si="127"/>
        <v>256795</v>
      </c>
      <c r="M831">
        <f t="shared" si="128"/>
        <v>81122</v>
      </c>
      <c r="N831">
        <f t="shared" si="129"/>
        <v>385917</v>
      </c>
      <c r="O831">
        <f>IF(B831="zagraniczny",K831+O830,O830)</f>
        <v>406</v>
      </c>
    </row>
    <row r="832" spans="1:15" x14ac:dyDescent="0.25">
      <c r="A832">
        <v>9680416</v>
      </c>
      <c r="B832" t="str">
        <f t="shared" si="120"/>
        <v>stacjonarny</v>
      </c>
      <c r="C832" s="1">
        <v>42929</v>
      </c>
      <c r="D832" s="2">
        <v>0.38480324074074074</v>
      </c>
      <c r="E832" s="2">
        <v>0.39057870370370368</v>
      </c>
      <c r="F832" s="2">
        <f t="shared" si="121"/>
        <v>5.7754629629629406E-3</v>
      </c>
      <c r="G832">
        <f t="shared" si="122"/>
        <v>0</v>
      </c>
      <c r="H832">
        <f t="shared" si="123"/>
        <v>8</v>
      </c>
      <c r="I832">
        <f t="shared" si="124"/>
        <v>19</v>
      </c>
      <c r="J832">
        <f t="shared" si="125"/>
        <v>499</v>
      </c>
      <c r="K832">
        <f t="shared" si="126"/>
        <v>9</v>
      </c>
      <c r="L832">
        <f t="shared" si="127"/>
        <v>257294</v>
      </c>
      <c r="M832">
        <f t="shared" si="128"/>
        <v>81122</v>
      </c>
      <c r="N832">
        <f t="shared" si="129"/>
        <v>386416</v>
      </c>
      <c r="O832">
        <f>IF(B832="zagraniczny",K832+O831,O831)</f>
        <v>406</v>
      </c>
    </row>
    <row r="833" spans="1:15" x14ac:dyDescent="0.25">
      <c r="A833">
        <v>9356216</v>
      </c>
      <c r="B833" t="str">
        <f t="shared" si="120"/>
        <v>stacjonarny</v>
      </c>
      <c r="C833" s="1">
        <v>42929</v>
      </c>
      <c r="D833" s="2">
        <v>0.38966435185185183</v>
      </c>
      <c r="E833" s="2">
        <v>0.40104166666666669</v>
      </c>
      <c r="F833" s="2">
        <f t="shared" si="121"/>
        <v>1.1377314814814854E-2</v>
      </c>
      <c r="G833">
        <f t="shared" si="122"/>
        <v>0</v>
      </c>
      <c r="H833">
        <f t="shared" si="123"/>
        <v>16</v>
      </c>
      <c r="I833">
        <f t="shared" si="124"/>
        <v>23</v>
      </c>
      <c r="J833">
        <f t="shared" si="125"/>
        <v>983</v>
      </c>
      <c r="K833">
        <f t="shared" si="126"/>
        <v>17</v>
      </c>
      <c r="L833">
        <f t="shared" si="127"/>
        <v>258277</v>
      </c>
      <c r="M833">
        <f t="shared" si="128"/>
        <v>81122</v>
      </c>
      <c r="N833">
        <f t="shared" si="129"/>
        <v>387399</v>
      </c>
      <c r="O833">
        <f>IF(B833="zagraniczny",K833+O832,O832)</f>
        <v>406</v>
      </c>
    </row>
    <row r="834" spans="1:15" x14ac:dyDescent="0.25">
      <c r="A834">
        <v>7415603</v>
      </c>
      <c r="B834" t="str">
        <f t="shared" si="120"/>
        <v>stacjonarny</v>
      </c>
      <c r="C834" s="1">
        <v>42929</v>
      </c>
      <c r="D834" s="2">
        <v>0.39194444444444443</v>
      </c>
      <c r="E834" s="2">
        <v>0.39535879629629628</v>
      </c>
      <c r="F834" s="2">
        <f t="shared" si="121"/>
        <v>3.414351851851849E-3</v>
      </c>
      <c r="G834">
        <f t="shared" si="122"/>
        <v>0</v>
      </c>
      <c r="H834">
        <f t="shared" si="123"/>
        <v>4</v>
      </c>
      <c r="I834">
        <f t="shared" si="124"/>
        <v>55</v>
      </c>
      <c r="J834">
        <f t="shared" si="125"/>
        <v>295</v>
      </c>
      <c r="K834">
        <f t="shared" si="126"/>
        <v>5</v>
      </c>
      <c r="L834">
        <f t="shared" si="127"/>
        <v>258572</v>
      </c>
      <c r="M834">
        <f t="shared" si="128"/>
        <v>81122</v>
      </c>
      <c r="N834">
        <f t="shared" si="129"/>
        <v>387694</v>
      </c>
      <c r="O834">
        <f>IF(B834="zagraniczny",K834+O833,O833)</f>
        <v>406</v>
      </c>
    </row>
    <row r="835" spans="1:15" x14ac:dyDescent="0.25">
      <c r="A835">
        <v>28145499</v>
      </c>
      <c r="B835" t="str">
        <f t="shared" ref="B835:B898" si="130">IF(LEN(A835)=7,"stacjonarny",IF(LEN(A835)=8,"komorkowy","zagraniczny"))</f>
        <v>komorkowy</v>
      </c>
      <c r="C835" s="1">
        <v>42929</v>
      </c>
      <c r="D835" s="2">
        <v>0.3972222222222222</v>
      </c>
      <c r="E835" s="2">
        <v>0.40084490740740741</v>
      </c>
      <c r="F835" s="2">
        <f t="shared" ref="F835:F898" si="131">E835-D835</f>
        <v>3.6226851851852149E-3</v>
      </c>
      <c r="G835">
        <f t="shared" ref="G835:G898" si="132">HOUR(F835)</f>
        <v>0</v>
      </c>
      <c r="H835">
        <f t="shared" ref="H835:H898" si="133">MINUTE(F835)</f>
        <v>5</v>
      </c>
      <c r="I835">
        <f t="shared" ref="I835:I898" si="134">SECOND(F835)</f>
        <v>13</v>
      </c>
      <c r="J835">
        <f t="shared" ref="J835:J898" si="135">H835*60+I835</f>
        <v>313</v>
      </c>
      <c r="K835">
        <f t="shared" ref="K835:K898" si="136">IF(I835&gt;0,G835*60+H835+1,H835+G835*60)</f>
        <v>6</v>
      </c>
      <c r="L835">
        <f t="shared" si="127"/>
        <v>258572</v>
      </c>
      <c r="M835">
        <f t="shared" si="128"/>
        <v>81435</v>
      </c>
      <c r="N835">
        <f t="shared" si="129"/>
        <v>388007</v>
      </c>
      <c r="O835">
        <f>IF(B835="zagraniczny",K835+O834,O834)</f>
        <v>406</v>
      </c>
    </row>
    <row r="836" spans="1:15" x14ac:dyDescent="0.25">
      <c r="A836">
        <v>61527800</v>
      </c>
      <c r="B836" t="str">
        <f t="shared" si="130"/>
        <v>komorkowy</v>
      </c>
      <c r="C836" s="1">
        <v>42929</v>
      </c>
      <c r="D836" s="2">
        <v>0.39988425925925924</v>
      </c>
      <c r="E836" s="2">
        <v>0.4100462962962963</v>
      </c>
      <c r="F836" s="2">
        <f t="shared" si="131"/>
        <v>1.0162037037037053E-2</v>
      </c>
      <c r="G836">
        <f t="shared" si="132"/>
        <v>0</v>
      </c>
      <c r="H836">
        <f t="shared" si="133"/>
        <v>14</v>
      </c>
      <c r="I836">
        <f t="shared" si="134"/>
        <v>38</v>
      </c>
      <c r="J836">
        <f t="shared" si="135"/>
        <v>878</v>
      </c>
      <c r="K836">
        <f t="shared" si="136"/>
        <v>15</v>
      </c>
      <c r="L836">
        <f t="shared" ref="L836:L899" si="137">IF(B836="stacjonarny",$J836+L835,L835)</f>
        <v>258572</v>
      </c>
      <c r="M836">
        <f t="shared" ref="M836:M899" si="138">IF(B836="komorkowy",$J836+M835,M835)</f>
        <v>82313</v>
      </c>
      <c r="N836">
        <f t="shared" ref="N836:N899" si="139">IF(OR(B836="stacjonarny",B836="komorkowy"),J836+N835,N835)</f>
        <v>388885</v>
      </c>
      <c r="O836">
        <f>IF(B836="zagraniczny",K836+O835,O835)</f>
        <v>406</v>
      </c>
    </row>
    <row r="837" spans="1:15" x14ac:dyDescent="0.25">
      <c r="A837">
        <v>4873703</v>
      </c>
      <c r="B837" t="str">
        <f t="shared" si="130"/>
        <v>stacjonarny</v>
      </c>
      <c r="C837" s="1">
        <v>42929</v>
      </c>
      <c r="D837" s="2">
        <v>0.40539351851851851</v>
      </c>
      <c r="E837" s="2">
        <v>0.4143634259259259</v>
      </c>
      <c r="F837" s="2">
        <f t="shared" si="131"/>
        <v>8.9699074074073848E-3</v>
      </c>
      <c r="G837">
        <f t="shared" si="132"/>
        <v>0</v>
      </c>
      <c r="H837">
        <f t="shared" si="133"/>
        <v>12</v>
      </c>
      <c r="I837">
        <f t="shared" si="134"/>
        <v>55</v>
      </c>
      <c r="J837">
        <f t="shared" si="135"/>
        <v>775</v>
      </c>
      <c r="K837">
        <f t="shared" si="136"/>
        <v>13</v>
      </c>
      <c r="L837">
        <f t="shared" si="137"/>
        <v>259347</v>
      </c>
      <c r="M837">
        <f t="shared" si="138"/>
        <v>82313</v>
      </c>
      <c r="N837">
        <f t="shared" si="139"/>
        <v>389660</v>
      </c>
      <c r="O837">
        <f>IF(B837="zagraniczny",K837+O836,O836)</f>
        <v>406</v>
      </c>
    </row>
    <row r="838" spans="1:15" x14ac:dyDescent="0.25">
      <c r="A838">
        <v>43019885</v>
      </c>
      <c r="B838" t="str">
        <f t="shared" si="130"/>
        <v>komorkowy</v>
      </c>
      <c r="C838" s="1">
        <v>42929</v>
      </c>
      <c r="D838" s="2">
        <v>0.4064814814814815</v>
      </c>
      <c r="E838" s="2">
        <v>0.41630787037037037</v>
      </c>
      <c r="F838" s="2">
        <f t="shared" si="131"/>
        <v>9.8263888888888706E-3</v>
      </c>
      <c r="G838">
        <f t="shared" si="132"/>
        <v>0</v>
      </c>
      <c r="H838">
        <f t="shared" si="133"/>
        <v>14</v>
      </c>
      <c r="I838">
        <f t="shared" si="134"/>
        <v>9</v>
      </c>
      <c r="J838">
        <f t="shared" si="135"/>
        <v>849</v>
      </c>
      <c r="K838">
        <f t="shared" si="136"/>
        <v>15</v>
      </c>
      <c r="L838">
        <f t="shared" si="137"/>
        <v>259347</v>
      </c>
      <c r="M838">
        <f t="shared" si="138"/>
        <v>83162</v>
      </c>
      <c r="N838">
        <f t="shared" si="139"/>
        <v>390509</v>
      </c>
      <c r="O838">
        <f>IF(B838="zagraniczny",K838+O837,O837)</f>
        <v>406</v>
      </c>
    </row>
    <row r="839" spans="1:15" x14ac:dyDescent="0.25">
      <c r="A839">
        <v>7388260</v>
      </c>
      <c r="B839" t="str">
        <f t="shared" si="130"/>
        <v>stacjonarny</v>
      </c>
      <c r="C839" s="1">
        <v>42929</v>
      </c>
      <c r="D839" s="2">
        <v>0.41149305555555554</v>
      </c>
      <c r="E839" s="2">
        <v>0.41928240740740741</v>
      </c>
      <c r="F839" s="2">
        <f t="shared" si="131"/>
        <v>7.7893518518518667E-3</v>
      </c>
      <c r="G839">
        <f t="shared" si="132"/>
        <v>0</v>
      </c>
      <c r="H839">
        <f t="shared" si="133"/>
        <v>11</v>
      </c>
      <c r="I839">
        <f t="shared" si="134"/>
        <v>13</v>
      </c>
      <c r="J839">
        <f t="shared" si="135"/>
        <v>673</v>
      </c>
      <c r="K839">
        <f t="shared" si="136"/>
        <v>12</v>
      </c>
      <c r="L839">
        <f t="shared" si="137"/>
        <v>260020</v>
      </c>
      <c r="M839">
        <f t="shared" si="138"/>
        <v>83162</v>
      </c>
      <c r="N839">
        <f t="shared" si="139"/>
        <v>391182</v>
      </c>
      <c r="O839">
        <f>IF(B839="zagraniczny",K839+O838,O838)</f>
        <v>406</v>
      </c>
    </row>
    <row r="840" spans="1:15" x14ac:dyDescent="0.25">
      <c r="A840">
        <v>4581715</v>
      </c>
      <c r="B840" t="str">
        <f t="shared" si="130"/>
        <v>stacjonarny</v>
      </c>
      <c r="C840" s="1">
        <v>42929</v>
      </c>
      <c r="D840" s="2">
        <v>0.41172453703703704</v>
      </c>
      <c r="E840" s="2">
        <v>0.42146990740740742</v>
      </c>
      <c r="F840" s="2">
        <f t="shared" si="131"/>
        <v>9.7453703703703765E-3</v>
      </c>
      <c r="G840">
        <f t="shared" si="132"/>
        <v>0</v>
      </c>
      <c r="H840">
        <f t="shared" si="133"/>
        <v>14</v>
      </c>
      <c r="I840">
        <f t="shared" si="134"/>
        <v>2</v>
      </c>
      <c r="J840">
        <f t="shared" si="135"/>
        <v>842</v>
      </c>
      <c r="K840">
        <f t="shared" si="136"/>
        <v>15</v>
      </c>
      <c r="L840">
        <f t="shared" si="137"/>
        <v>260862</v>
      </c>
      <c r="M840">
        <f t="shared" si="138"/>
        <v>83162</v>
      </c>
      <c r="N840">
        <f t="shared" si="139"/>
        <v>392024</v>
      </c>
      <c r="O840">
        <f>IF(B840="zagraniczny",K840+O839,O839)</f>
        <v>406</v>
      </c>
    </row>
    <row r="841" spans="1:15" x14ac:dyDescent="0.25">
      <c r="A841">
        <v>58420185</v>
      </c>
      <c r="B841" t="str">
        <f t="shared" si="130"/>
        <v>komorkowy</v>
      </c>
      <c r="C841" s="1">
        <v>42929</v>
      </c>
      <c r="D841" s="2">
        <v>0.41729166666666667</v>
      </c>
      <c r="E841" s="2">
        <v>0.42122685185185182</v>
      </c>
      <c r="F841" s="2">
        <f t="shared" si="131"/>
        <v>3.9351851851851527E-3</v>
      </c>
      <c r="G841">
        <f t="shared" si="132"/>
        <v>0</v>
      </c>
      <c r="H841">
        <f t="shared" si="133"/>
        <v>5</v>
      </c>
      <c r="I841">
        <f t="shared" si="134"/>
        <v>40</v>
      </c>
      <c r="J841">
        <f t="shared" si="135"/>
        <v>340</v>
      </c>
      <c r="K841">
        <f t="shared" si="136"/>
        <v>6</v>
      </c>
      <c r="L841">
        <f t="shared" si="137"/>
        <v>260862</v>
      </c>
      <c r="M841">
        <f t="shared" si="138"/>
        <v>83502</v>
      </c>
      <c r="N841">
        <f t="shared" si="139"/>
        <v>392364</v>
      </c>
      <c r="O841">
        <f>IF(B841="zagraniczny",K841+O840,O840)</f>
        <v>406</v>
      </c>
    </row>
    <row r="842" spans="1:15" x14ac:dyDescent="0.25">
      <c r="A842">
        <v>45948073</v>
      </c>
      <c r="B842" t="str">
        <f t="shared" si="130"/>
        <v>komorkowy</v>
      </c>
      <c r="C842" s="1">
        <v>42929</v>
      </c>
      <c r="D842" s="2">
        <v>0.41979166666666667</v>
      </c>
      <c r="E842" s="2">
        <v>0.42586805555555557</v>
      </c>
      <c r="F842" s="2">
        <f t="shared" si="131"/>
        <v>6.0763888888888951E-3</v>
      </c>
      <c r="G842">
        <f t="shared" si="132"/>
        <v>0</v>
      </c>
      <c r="H842">
        <f t="shared" si="133"/>
        <v>8</v>
      </c>
      <c r="I842">
        <f t="shared" si="134"/>
        <v>45</v>
      </c>
      <c r="J842">
        <f t="shared" si="135"/>
        <v>525</v>
      </c>
      <c r="K842">
        <f t="shared" si="136"/>
        <v>9</v>
      </c>
      <c r="L842">
        <f t="shared" si="137"/>
        <v>260862</v>
      </c>
      <c r="M842">
        <f t="shared" si="138"/>
        <v>84027</v>
      </c>
      <c r="N842">
        <f t="shared" si="139"/>
        <v>392889</v>
      </c>
      <c r="O842">
        <f>IF(B842="zagraniczny",K842+O841,O841)</f>
        <v>406</v>
      </c>
    </row>
    <row r="843" spans="1:15" x14ac:dyDescent="0.25">
      <c r="A843">
        <v>4473835</v>
      </c>
      <c r="B843" t="str">
        <f t="shared" si="130"/>
        <v>stacjonarny</v>
      </c>
      <c r="C843" s="1">
        <v>42929</v>
      </c>
      <c r="D843" s="2">
        <v>0.42091435185185183</v>
      </c>
      <c r="E843" s="2">
        <v>0.42609953703703701</v>
      </c>
      <c r="F843" s="2">
        <f t="shared" si="131"/>
        <v>5.1851851851851816E-3</v>
      </c>
      <c r="G843">
        <f t="shared" si="132"/>
        <v>0</v>
      </c>
      <c r="H843">
        <f t="shared" si="133"/>
        <v>7</v>
      </c>
      <c r="I843">
        <f t="shared" si="134"/>
        <v>28</v>
      </c>
      <c r="J843">
        <f t="shared" si="135"/>
        <v>448</v>
      </c>
      <c r="K843">
        <f t="shared" si="136"/>
        <v>8</v>
      </c>
      <c r="L843">
        <f t="shared" si="137"/>
        <v>261310</v>
      </c>
      <c r="M843">
        <f t="shared" si="138"/>
        <v>84027</v>
      </c>
      <c r="N843">
        <f t="shared" si="139"/>
        <v>393337</v>
      </c>
      <c r="O843">
        <f>IF(B843="zagraniczny",K843+O842,O842)</f>
        <v>406</v>
      </c>
    </row>
    <row r="844" spans="1:15" x14ac:dyDescent="0.25">
      <c r="A844">
        <v>7739841</v>
      </c>
      <c r="B844" t="str">
        <f t="shared" si="130"/>
        <v>stacjonarny</v>
      </c>
      <c r="C844" s="1">
        <v>42929</v>
      </c>
      <c r="D844" s="2">
        <v>0.42418981481481483</v>
      </c>
      <c r="E844" s="2">
        <v>0.42598379629629629</v>
      </c>
      <c r="F844" s="2">
        <f t="shared" si="131"/>
        <v>1.7939814814814659E-3</v>
      </c>
      <c r="G844">
        <f t="shared" si="132"/>
        <v>0</v>
      </c>
      <c r="H844">
        <f t="shared" si="133"/>
        <v>2</v>
      </c>
      <c r="I844">
        <f t="shared" si="134"/>
        <v>35</v>
      </c>
      <c r="J844">
        <f t="shared" si="135"/>
        <v>155</v>
      </c>
      <c r="K844">
        <f t="shared" si="136"/>
        <v>3</v>
      </c>
      <c r="L844">
        <f t="shared" si="137"/>
        <v>261465</v>
      </c>
      <c r="M844">
        <f t="shared" si="138"/>
        <v>84027</v>
      </c>
      <c r="N844">
        <f t="shared" si="139"/>
        <v>393492</v>
      </c>
      <c r="O844">
        <f>IF(B844="zagraniczny",K844+O843,O843)</f>
        <v>406</v>
      </c>
    </row>
    <row r="845" spans="1:15" x14ac:dyDescent="0.25">
      <c r="A845">
        <v>6275284312</v>
      </c>
      <c r="B845" t="str">
        <f t="shared" si="130"/>
        <v>zagraniczny</v>
      </c>
      <c r="C845" s="1">
        <v>42929</v>
      </c>
      <c r="D845" s="2">
        <v>0.4291550925925926</v>
      </c>
      <c r="E845" s="2">
        <v>0.4339351851851852</v>
      </c>
      <c r="F845" s="2">
        <f t="shared" si="131"/>
        <v>4.7800925925925997E-3</v>
      </c>
      <c r="G845">
        <f t="shared" si="132"/>
        <v>0</v>
      </c>
      <c r="H845">
        <f t="shared" si="133"/>
        <v>6</v>
      </c>
      <c r="I845">
        <f t="shared" si="134"/>
        <v>53</v>
      </c>
      <c r="J845">
        <f t="shared" si="135"/>
        <v>413</v>
      </c>
      <c r="K845">
        <f t="shared" si="136"/>
        <v>7</v>
      </c>
      <c r="L845">
        <f t="shared" si="137"/>
        <v>261465</v>
      </c>
      <c r="M845">
        <f t="shared" si="138"/>
        <v>84027</v>
      </c>
      <c r="N845">
        <f t="shared" si="139"/>
        <v>393492</v>
      </c>
      <c r="O845">
        <f>IF(B845="zagraniczny",K845+O844,O844)</f>
        <v>413</v>
      </c>
    </row>
    <row r="846" spans="1:15" x14ac:dyDescent="0.25">
      <c r="A846">
        <v>1692981</v>
      </c>
      <c r="B846" t="str">
        <f t="shared" si="130"/>
        <v>stacjonarny</v>
      </c>
      <c r="C846" s="1">
        <v>42929</v>
      </c>
      <c r="D846" s="2">
        <v>0.43297453703703703</v>
      </c>
      <c r="E846" s="2">
        <v>0.43424768518518519</v>
      </c>
      <c r="F846" s="2">
        <f t="shared" si="131"/>
        <v>1.2731481481481621E-3</v>
      </c>
      <c r="G846">
        <f t="shared" si="132"/>
        <v>0</v>
      </c>
      <c r="H846">
        <f t="shared" si="133"/>
        <v>1</v>
      </c>
      <c r="I846">
        <f t="shared" si="134"/>
        <v>50</v>
      </c>
      <c r="J846">
        <f t="shared" si="135"/>
        <v>110</v>
      </c>
      <c r="K846">
        <f t="shared" si="136"/>
        <v>2</v>
      </c>
      <c r="L846">
        <f t="shared" si="137"/>
        <v>261575</v>
      </c>
      <c r="M846">
        <f t="shared" si="138"/>
        <v>84027</v>
      </c>
      <c r="N846">
        <f t="shared" si="139"/>
        <v>393602</v>
      </c>
      <c r="O846">
        <f>IF(B846="zagraniczny",K846+O845,O845)</f>
        <v>413</v>
      </c>
    </row>
    <row r="847" spans="1:15" x14ac:dyDescent="0.25">
      <c r="A847">
        <v>9270571</v>
      </c>
      <c r="B847" t="str">
        <f t="shared" si="130"/>
        <v>stacjonarny</v>
      </c>
      <c r="C847" s="1">
        <v>42929</v>
      </c>
      <c r="D847" s="2">
        <v>0.43782407407407409</v>
      </c>
      <c r="E847" s="2">
        <v>0.44560185185185186</v>
      </c>
      <c r="F847" s="2">
        <f t="shared" si="131"/>
        <v>7.7777777777777724E-3</v>
      </c>
      <c r="G847">
        <f t="shared" si="132"/>
        <v>0</v>
      </c>
      <c r="H847">
        <f t="shared" si="133"/>
        <v>11</v>
      </c>
      <c r="I847">
        <f t="shared" si="134"/>
        <v>12</v>
      </c>
      <c r="J847">
        <f t="shared" si="135"/>
        <v>672</v>
      </c>
      <c r="K847">
        <f t="shared" si="136"/>
        <v>12</v>
      </c>
      <c r="L847">
        <f t="shared" si="137"/>
        <v>262247</v>
      </c>
      <c r="M847">
        <f t="shared" si="138"/>
        <v>84027</v>
      </c>
      <c r="N847">
        <f t="shared" si="139"/>
        <v>394274</v>
      </c>
      <c r="O847">
        <f>IF(B847="zagraniczny",K847+O846,O846)</f>
        <v>413</v>
      </c>
    </row>
    <row r="848" spans="1:15" x14ac:dyDescent="0.25">
      <c r="A848">
        <v>6299545</v>
      </c>
      <c r="B848" t="str">
        <f t="shared" si="130"/>
        <v>stacjonarny</v>
      </c>
      <c r="C848" s="1">
        <v>42929</v>
      </c>
      <c r="D848" s="2">
        <v>0.43986111111111109</v>
      </c>
      <c r="E848" s="2">
        <v>0.44298611111111114</v>
      </c>
      <c r="F848" s="2">
        <f t="shared" si="131"/>
        <v>3.1250000000000444E-3</v>
      </c>
      <c r="G848">
        <f t="shared" si="132"/>
        <v>0</v>
      </c>
      <c r="H848">
        <f t="shared" si="133"/>
        <v>4</v>
      </c>
      <c r="I848">
        <f t="shared" si="134"/>
        <v>30</v>
      </c>
      <c r="J848">
        <f t="shared" si="135"/>
        <v>270</v>
      </c>
      <c r="K848">
        <f t="shared" si="136"/>
        <v>5</v>
      </c>
      <c r="L848">
        <f t="shared" si="137"/>
        <v>262517</v>
      </c>
      <c r="M848">
        <f t="shared" si="138"/>
        <v>84027</v>
      </c>
      <c r="N848">
        <f t="shared" si="139"/>
        <v>394544</v>
      </c>
      <c r="O848">
        <f>IF(B848="zagraniczny",K848+O847,O847)</f>
        <v>413</v>
      </c>
    </row>
    <row r="849" spans="1:15" x14ac:dyDescent="0.25">
      <c r="A849">
        <v>67064385</v>
      </c>
      <c r="B849" t="str">
        <f t="shared" si="130"/>
        <v>komorkowy</v>
      </c>
      <c r="C849" s="1">
        <v>42929</v>
      </c>
      <c r="D849" s="2">
        <v>0.44278935185185186</v>
      </c>
      <c r="E849" s="2">
        <v>0.44480324074074074</v>
      </c>
      <c r="F849" s="2">
        <f t="shared" si="131"/>
        <v>2.0138888888888706E-3</v>
      </c>
      <c r="G849">
        <f t="shared" si="132"/>
        <v>0</v>
      </c>
      <c r="H849">
        <f t="shared" si="133"/>
        <v>2</v>
      </c>
      <c r="I849">
        <f t="shared" si="134"/>
        <v>54</v>
      </c>
      <c r="J849">
        <f t="shared" si="135"/>
        <v>174</v>
      </c>
      <c r="K849">
        <f t="shared" si="136"/>
        <v>3</v>
      </c>
      <c r="L849">
        <f t="shared" si="137"/>
        <v>262517</v>
      </c>
      <c r="M849">
        <f t="shared" si="138"/>
        <v>84201</v>
      </c>
      <c r="N849">
        <f t="shared" si="139"/>
        <v>394718</v>
      </c>
      <c r="O849">
        <f>IF(B849="zagraniczny",K849+O848,O848)</f>
        <v>413</v>
      </c>
    </row>
    <row r="850" spans="1:15" x14ac:dyDescent="0.25">
      <c r="A850">
        <v>4062215</v>
      </c>
      <c r="B850" t="str">
        <f t="shared" si="130"/>
        <v>stacjonarny</v>
      </c>
      <c r="C850" s="1">
        <v>42929</v>
      </c>
      <c r="D850" s="2">
        <v>0.44732638888888887</v>
      </c>
      <c r="E850" s="2">
        <v>0.45466435185185183</v>
      </c>
      <c r="F850" s="2">
        <f t="shared" si="131"/>
        <v>7.3379629629629628E-3</v>
      </c>
      <c r="G850">
        <f t="shared" si="132"/>
        <v>0</v>
      </c>
      <c r="H850">
        <f t="shared" si="133"/>
        <v>10</v>
      </c>
      <c r="I850">
        <f t="shared" si="134"/>
        <v>34</v>
      </c>
      <c r="J850">
        <f t="shared" si="135"/>
        <v>634</v>
      </c>
      <c r="K850">
        <f t="shared" si="136"/>
        <v>11</v>
      </c>
      <c r="L850">
        <f t="shared" si="137"/>
        <v>263151</v>
      </c>
      <c r="M850">
        <f t="shared" si="138"/>
        <v>84201</v>
      </c>
      <c r="N850">
        <f t="shared" si="139"/>
        <v>395352</v>
      </c>
      <c r="O850">
        <f>IF(B850="zagraniczny",K850+O849,O849)</f>
        <v>413</v>
      </c>
    </row>
    <row r="851" spans="1:15" x14ac:dyDescent="0.25">
      <c r="A851">
        <v>2835355</v>
      </c>
      <c r="B851" t="str">
        <f t="shared" si="130"/>
        <v>stacjonarny</v>
      </c>
      <c r="C851" s="1">
        <v>42929</v>
      </c>
      <c r="D851" s="2">
        <v>0.45131944444444444</v>
      </c>
      <c r="E851" s="2">
        <v>0.45689814814814816</v>
      </c>
      <c r="F851" s="2">
        <f t="shared" si="131"/>
        <v>5.5787037037037246E-3</v>
      </c>
      <c r="G851">
        <f t="shared" si="132"/>
        <v>0</v>
      </c>
      <c r="H851">
        <f t="shared" si="133"/>
        <v>8</v>
      </c>
      <c r="I851">
        <f t="shared" si="134"/>
        <v>2</v>
      </c>
      <c r="J851">
        <f t="shared" si="135"/>
        <v>482</v>
      </c>
      <c r="K851">
        <f t="shared" si="136"/>
        <v>9</v>
      </c>
      <c r="L851">
        <f t="shared" si="137"/>
        <v>263633</v>
      </c>
      <c r="M851">
        <f t="shared" si="138"/>
        <v>84201</v>
      </c>
      <c r="N851">
        <f t="shared" si="139"/>
        <v>395834</v>
      </c>
      <c r="O851">
        <f>IF(B851="zagraniczny",K851+O850,O850)</f>
        <v>413</v>
      </c>
    </row>
    <row r="852" spans="1:15" x14ac:dyDescent="0.25">
      <c r="A852">
        <v>9283739</v>
      </c>
      <c r="B852" t="str">
        <f t="shared" si="130"/>
        <v>stacjonarny</v>
      </c>
      <c r="C852" s="1">
        <v>42929</v>
      </c>
      <c r="D852" s="2">
        <v>0.45489583333333333</v>
      </c>
      <c r="E852" s="2">
        <v>0.46451388888888889</v>
      </c>
      <c r="F852" s="2">
        <f t="shared" si="131"/>
        <v>9.6180555555555602E-3</v>
      </c>
      <c r="G852">
        <f t="shared" si="132"/>
        <v>0</v>
      </c>
      <c r="H852">
        <f t="shared" si="133"/>
        <v>13</v>
      </c>
      <c r="I852">
        <f t="shared" si="134"/>
        <v>51</v>
      </c>
      <c r="J852">
        <f t="shared" si="135"/>
        <v>831</v>
      </c>
      <c r="K852">
        <f t="shared" si="136"/>
        <v>14</v>
      </c>
      <c r="L852">
        <f t="shared" si="137"/>
        <v>264464</v>
      </c>
      <c r="M852">
        <f t="shared" si="138"/>
        <v>84201</v>
      </c>
      <c r="N852">
        <f t="shared" si="139"/>
        <v>396665</v>
      </c>
      <c r="O852">
        <f>IF(B852="zagraniczny",K852+O851,O851)</f>
        <v>413</v>
      </c>
    </row>
    <row r="853" spans="1:15" x14ac:dyDescent="0.25">
      <c r="A853">
        <v>7118082</v>
      </c>
      <c r="B853" t="str">
        <f t="shared" si="130"/>
        <v>stacjonarny</v>
      </c>
      <c r="C853" s="1">
        <v>42929</v>
      </c>
      <c r="D853" s="2">
        <v>0.45682870370370371</v>
      </c>
      <c r="E853" s="2">
        <v>0.4664699074074074</v>
      </c>
      <c r="F853" s="2">
        <f t="shared" si="131"/>
        <v>9.6412037037036935E-3</v>
      </c>
      <c r="G853">
        <f t="shared" si="132"/>
        <v>0</v>
      </c>
      <c r="H853">
        <f t="shared" si="133"/>
        <v>13</v>
      </c>
      <c r="I853">
        <f t="shared" si="134"/>
        <v>53</v>
      </c>
      <c r="J853">
        <f t="shared" si="135"/>
        <v>833</v>
      </c>
      <c r="K853">
        <f t="shared" si="136"/>
        <v>14</v>
      </c>
      <c r="L853">
        <f t="shared" si="137"/>
        <v>265297</v>
      </c>
      <c r="M853">
        <f t="shared" si="138"/>
        <v>84201</v>
      </c>
      <c r="N853">
        <f t="shared" si="139"/>
        <v>397498</v>
      </c>
      <c r="O853">
        <f>IF(B853="zagraniczny",K853+O852,O852)</f>
        <v>413</v>
      </c>
    </row>
    <row r="854" spans="1:15" x14ac:dyDescent="0.25">
      <c r="A854">
        <v>30178521</v>
      </c>
      <c r="B854" t="str">
        <f t="shared" si="130"/>
        <v>komorkowy</v>
      </c>
      <c r="C854" s="1">
        <v>42929</v>
      </c>
      <c r="D854" s="2">
        <v>0.45968750000000003</v>
      </c>
      <c r="E854" s="2">
        <v>0.46520833333333333</v>
      </c>
      <c r="F854" s="2">
        <f t="shared" si="131"/>
        <v>5.5208333333333082E-3</v>
      </c>
      <c r="G854">
        <f t="shared" si="132"/>
        <v>0</v>
      </c>
      <c r="H854">
        <f t="shared" si="133"/>
        <v>7</v>
      </c>
      <c r="I854">
        <f t="shared" si="134"/>
        <v>57</v>
      </c>
      <c r="J854">
        <f t="shared" si="135"/>
        <v>477</v>
      </c>
      <c r="K854">
        <f t="shared" si="136"/>
        <v>8</v>
      </c>
      <c r="L854">
        <f t="shared" si="137"/>
        <v>265297</v>
      </c>
      <c r="M854">
        <f t="shared" si="138"/>
        <v>84678</v>
      </c>
      <c r="N854">
        <f t="shared" si="139"/>
        <v>397975</v>
      </c>
      <c r="O854">
        <f>IF(B854="zagraniczny",K854+O853,O853)</f>
        <v>413</v>
      </c>
    </row>
    <row r="855" spans="1:15" x14ac:dyDescent="0.25">
      <c r="A855">
        <v>5014399</v>
      </c>
      <c r="B855" t="str">
        <f t="shared" si="130"/>
        <v>stacjonarny</v>
      </c>
      <c r="C855" s="1">
        <v>42929</v>
      </c>
      <c r="D855" s="2">
        <v>0.46444444444444444</v>
      </c>
      <c r="E855" s="2">
        <v>0.46787037037037038</v>
      </c>
      <c r="F855" s="2">
        <f t="shared" si="131"/>
        <v>3.4259259259259434E-3</v>
      </c>
      <c r="G855">
        <f t="shared" si="132"/>
        <v>0</v>
      </c>
      <c r="H855">
        <f t="shared" si="133"/>
        <v>4</v>
      </c>
      <c r="I855">
        <f t="shared" si="134"/>
        <v>56</v>
      </c>
      <c r="J855">
        <f t="shared" si="135"/>
        <v>296</v>
      </c>
      <c r="K855">
        <f t="shared" si="136"/>
        <v>5</v>
      </c>
      <c r="L855">
        <f t="shared" si="137"/>
        <v>265593</v>
      </c>
      <c r="M855">
        <f t="shared" si="138"/>
        <v>84678</v>
      </c>
      <c r="N855">
        <f t="shared" si="139"/>
        <v>398271</v>
      </c>
      <c r="O855">
        <f>IF(B855="zagraniczny",K855+O854,O854)</f>
        <v>413</v>
      </c>
    </row>
    <row r="856" spans="1:15" x14ac:dyDescent="0.25">
      <c r="A856">
        <v>3984696</v>
      </c>
      <c r="B856" t="str">
        <f t="shared" si="130"/>
        <v>stacjonarny</v>
      </c>
      <c r="C856" s="1">
        <v>42929</v>
      </c>
      <c r="D856" s="2">
        <v>0.46581018518518519</v>
      </c>
      <c r="E856" s="2">
        <v>0.46589120370370368</v>
      </c>
      <c r="F856" s="2">
        <f t="shared" si="131"/>
        <v>8.1018518518494176E-5</v>
      </c>
      <c r="G856">
        <f t="shared" si="132"/>
        <v>0</v>
      </c>
      <c r="H856">
        <f t="shared" si="133"/>
        <v>0</v>
      </c>
      <c r="I856">
        <f t="shared" si="134"/>
        <v>7</v>
      </c>
      <c r="J856">
        <f t="shared" si="135"/>
        <v>7</v>
      </c>
      <c r="K856">
        <f t="shared" si="136"/>
        <v>1</v>
      </c>
      <c r="L856">
        <f t="shared" si="137"/>
        <v>265600</v>
      </c>
      <c r="M856">
        <f t="shared" si="138"/>
        <v>84678</v>
      </c>
      <c r="N856">
        <f t="shared" si="139"/>
        <v>398278</v>
      </c>
      <c r="O856">
        <f>IF(B856="zagraniczny",K856+O855,O855)</f>
        <v>413</v>
      </c>
    </row>
    <row r="857" spans="1:15" x14ac:dyDescent="0.25">
      <c r="A857">
        <v>53386383</v>
      </c>
      <c r="B857" t="str">
        <f t="shared" si="130"/>
        <v>komorkowy</v>
      </c>
      <c r="C857" s="1">
        <v>42929</v>
      </c>
      <c r="D857" s="2">
        <v>0.47099537037037037</v>
      </c>
      <c r="E857" s="2">
        <v>0.47175925925925927</v>
      </c>
      <c r="F857" s="2">
        <f t="shared" si="131"/>
        <v>7.6388888888889728E-4</v>
      </c>
      <c r="G857">
        <f t="shared" si="132"/>
        <v>0</v>
      </c>
      <c r="H857">
        <f t="shared" si="133"/>
        <v>1</v>
      </c>
      <c r="I857">
        <f t="shared" si="134"/>
        <v>6</v>
      </c>
      <c r="J857">
        <f t="shared" si="135"/>
        <v>66</v>
      </c>
      <c r="K857">
        <f t="shared" si="136"/>
        <v>2</v>
      </c>
      <c r="L857">
        <f t="shared" si="137"/>
        <v>265600</v>
      </c>
      <c r="M857">
        <f t="shared" si="138"/>
        <v>84744</v>
      </c>
      <c r="N857">
        <f t="shared" si="139"/>
        <v>398344</v>
      </c>
      <c r="O857">
        <f>IF(B857="zagraniczny",K857+O856,O856)</f>
        <v>413</v>
      </c>
    </row>
    <row r="858" spans="1:15" x14ac:dyDescent="0.25">
      <c r="A858">
        <v>8733120283</v>
      </c>
      <c r="B858" t="str">
        <f t="shared" si="130"/>
        <v>zagraniczny</v>
      </c>
      <c r="C858" s="1">
        <v>42929</v>
      </c>
      <c r="D858" s="2">
        <v>0.47134259259259259</v>
      </c>
      <c r="E858" s="2">
        <v>0.47659722222222223</v>
      </c>
      <c r="F858" s="2">
        <f t="shared" si="131"/>
        <v>5.2546296296296369E-3</v>
      </c>
      <c r="G858">
        <f t="shared" si="132"/>
        <v>0</v>
      </c>
      <c r="H858">
        <f t="shared" si="133"/>
        <v>7</v>
      </c>
      <c r="I858">
        <f t="shared" si="134"/>
        <v>34</v>
      </c>
      <c r="J858">
        <f t="shared" si="135"/>
        <v>454</v>
      </c>
      <c r="K858">
        <f t="shared" si="136"/>
        <v>8</v>
      </c>
      <c r="L858">
        <f t="shared" si="137"/>
        <v>265600</v>
      </c>
      <c r="M858">
        <f t="shared" si="138"/>
        <v>84744</v>
      </c>
      <c r="N858">
        <f t="shared" si="139"/>
        <v>398344</v>
      </c>
      <c r="O858">
        <f>IF(B858="zagraniczny",K858+O857,O857)</f>
        <v>421</v>
      </c>
    </row>
    <row r="859" spans="1:15" x14ac:dyDescent="0.25">
      <c r="A859">
        <v>6934405</v>
      </c>
      <c r="B859" t="str">
        <f t="shared" si="130"/>
        <v>stacjonarny</v>
      </c>
      <c r="C859" s="1">
        <v>42929</v>
      </c>
      <c r="D859" s="2">
        <v>0.47321759259259261</v>
      </c>
      <c r="E859" s="2">
        <v>0.48008101851851853</v>
      </c>
      <c r="F859" s="2">
        <f t="shared" si="131"/>
        <v>6.8634259259259256E-3</v>
      </c>
      <c r="G859">
        <f t="shared" si="132"/>
        <v>0</v>
      </c>
      <c r="H859">
        <f t="shared" si="133"/>
        <v>9</v>
      </c>
      <c r="I859">
        <f t="shared" si="134"/>
        <v>53</v>
      </c>
      <c r="J859">
        <f t="shared" si="135"/>
        <v>593</v>
      </c>
      <c r="K859">
        <f t="shared" si="136"/>
        <v>10</v>
      </c>
      <c r="L859">
        <f t="shared" si="137"/>
        <v>266193</v>
      </c>
      <c r="M859">
        <f t="shared" si="138"/>
        <v>84744</v>
      </c>
      <c r="N859">
        <f t="shared" si="139"/>
        <v>398937</v>
      </c>
      <c r="O859">
        <f>IF(B859="zagraniczny",K859+O858,O858)</f>
        <v>421</v>
      </c>
    </row>
    <row r="860" spans="1:15" x14ac:dyDescent="0.25">
      <c r="A860">
        <v>54136845</v>
      </c>
      <c r="B860" t="str">
        <f t="shared" si="130"/>
        <v>komorkowy</v>
      </c>
      <c r="C860" s="1">
        <v>42929</v>
      </c>
      <c r="D860" s="2">
        <v>0.47890046296296296</v>
      </c>
      <c r="E860" s="2">
        <v>0.48042824074074075</v>
      </c>
      <c r="F860" s="2">
        <f t="shared" si="131"/>
        <v>1.5277777777777946E-3</v>
      </c>
      <c r="G860">
        <f t="shared" si="132"/>
        <v>0</v>
      </c>
      <c r="H860">
        <f t="shared" si="133"/>
        <v>2</v>
      </c>
      <c r="I860">
        <f t="shared" si="134"/>
        <v>12</v>
      </c>
      <c r="J860">
        <f t="shared" si="135"/>
        <v>132</v>
      </c>
      <c r="K860">
        <f t="shared" si="136"/>
        <v>3</v>
      </c>
      <c r="L860">
        <f t="shared" si="137"/>
        <v>266193</v>
      </c>
      <c r="M860">
        <f t="shared" si="138"/>
        <v>84876</v>
      </c>
      <c r="N860">
        <f t="shared" si="139"/>
        <v>399069</v>
      </c>
      <c r="O860">
        <f>IF(B860="zagraniczny",K860+O859,O859)</f>
        <v>421</v>
      </c>
    </row>
    <row r="861" spans="1:15" x14ac:dyDescent="0.25">
      <c r="A861">
        <v>76310343</v>
      </c>
      <c r="B861" t="str">
        <f t="shared" si="130"/>
        <v>komorkowy</v>
      </c>
      <c r="C861" s="1">
        <v>42929</v>
      </c>
      <c r="D861" s="2">
        <v>0.48312500000000003</v>
      </c>
      <c r="E861" s="2">
        <v>0.4889236111111111</v>
      </c>
      <c r="F861" s="2">
        <f t="shared" si="131"/>
        <v>5.7986111111110739E-3</v>
      </c>
      <c r="G861">
        <f t="shared" si="132"/>
        <v>0</v>
      </c>
      <c r="H861">
        <f t="shared" si="133"/>
        <v>8</v>
      </c>
      <c r="I861">
        <f t="shared" si="134"/>
        <v>21</v>
      </c>
      <c r="J861">
        <f t="shared" si="135"/>
        <v>501</v>
      </c>
      <c r="K861">
        <f t="shared" si="136"/>
        <v>9</v>
      </c>
      <c r="L861">
        <f t="shared" si="137"/>
        <v>266193</v>
      </c>
      <c r="M861">
        <f t="shared" si="138"/>
        <v>85377</v>
      </c>
      <c r="N861">
        <f t="shared" si="139"/>
        <v>399570</v>
      </c>
      <c r="O861">
        <f>IF(B861="zagraniczny",K861+O860,O860)</f>
        <v>421</v>
      </c>
    </row>
    <row r="862" spans="1:15" x14ac:dyDescent="0.25">
      <c r="A862">
        <v>9005999</v>
      </c>
      <c r="B862" t="str">
        <f t="shared" si="130"/>
        <v>stacjonarny</v>
      </c>
      <c r="C862" s="1">
        <v>42929</v>
      </c>
      <c r="D862" s="2">
        <v>0.4878587962962963</v>
      </c>
      <c r="E862" s="2">
        <v>0.49609953703703702</v>
      </c>
      <c r="F862" s="2">
        <f t="shared" si="131"/>
        <v>8.2407407407407152E-3</v>
      </c>
      <c r="G862">
        <f t="shared" si="132"/>
        <v>0</v>
      </c>
      <c r="H862">
        <f t="shared" si="133"/>
        <v>11</v>
      </c>
      <c r="I862">
        <f t="shared" si="134"/>
        <v>52</v>
      </c>
      <c r="J862">
        <f t="shared" si="135"/>
        <v>712</v>
      </c>
      <c r="K862">
        <f t="shared" si="136"/>
        <v>12</v>
      </c>
      <c r="L862">
        <f t="shared" si="137"/>
        <v>266905</v>
      </c>
      <c r="M862">
        <f t="shared" si="138"/>
        <v>85377</v>
      </c>
      <c r="N862">
        <f t="shared" si="139"/>
        <v>400282</v>
      </c>
      <c r="O862">
        <f>IF(B862="zagraniczny",K862+O861,O861)</f>
        <v>421</v>
      </c>
    </row>
    <row r="863" spans="1:15" x14ac:dyDescent="0.25">
      <c r="A863">
        <v>7763451</v>
      </c>
      <c r="B863" t="str">
        <f t="shared" si="130"/>
        <v>stacjonarny</v>
      </c>
      <c r="C863" s="1">
        <v>42929</v>
      </c>
      <c r="D863" s="2">
        <v>0.4911226851851852</v>
      </c>
      <c r="E863" s="2">
        <v>0.49859953703703702</v>
      </c>
      <c r="F863" s="2">
        <f t="shared" si="131"/>
        <v>7.4768518518518179E-3</v>
      </c>
      <c r="G863">
        <f t="shared" si="132"/>
        <v>0</v>
      </c>
      <c r="H863">
        <f t="shared" si="133"/>
        <v>10</v>
      </c>
      <c r="I863">
        <f t="shared" si="134"/>
        <v>46</v>
      </c>
      <c r="J863">
        <f t="shared" si="135"/>
        <v>646</v>
      </c>
      <c r="K863">
        <f t="shared" si="136"/>
        <v>11</v>
      </c>
      <c r="L863">
        <f t="shared" si="137"/>
        <v>267551</v>
      </c>
      <c r="M863">
        <f t="shared" si="138"/>
        <v>85377</v>
      </c>
      <c r="N863">
        <f t="shared" si="139"/>
        <v>400928</v>
      </c>
      <c r="O863">
        <f>IF(B863="zagraniczny",K863+O862,O862)</f>
        <v>421</v>
      </c>
    </row>
    <row r="864" spans="1:15" x14ac:dyDescent="0.25">
      <c r="A864">
        <v>3765001</v>
      </c>
      <c r="B864" t="str">
        <f t="shared" si="130"/>
        <v>stacjonarny</v>
      </c>
      <c r="C864" s="1">
        <v>42929</v>
      </c>
      <c r="D864" s="2">
        <v>0.49283564814814818</v>
      </c>
      <c r="E864" s="2">
        <v>0.50396990740740744</v>
      </c>
      <c r="F864" s="2">
        <f t="shared" si="131"/>
        <v>1.113425925925926E-2</v>
      </c>
      <c r="G864">
        <f t="shared" si="132"/>
        <v>0</v>
      </c>
      <c r="H864">
        <f t="shared" si="133"/>
        <v>16</v>
      </c>
      <c r="I864">
        <f t="shared" si="134"/>
        <v>2</v>
      </c>
      <c r="J864">
        <f t="shared" si="135"/>
        <v>962</v>
      </c>
      <c r="K864">
        <f t="shared" si="136"/>
        <v>17</v>
      </c>
      <c r="L864">
        <f t="shared" si="137"/>
        <v>268513</v>
      </c>
      <c r="M864">
        <f t="shared" si="138"/>
        <v>85377</v>
      </c>
      <c r="N864">
        <f t="shared" si="139"/>
        <v>401890</v>
      </c>
      <c r="O864">
        <f>IF(B864="zagraniczny",K864+O863,O863)</f>
        <v>421</v>
      </c>
    </row>
    <row r="865" spans="1:15" x14ac:dyDescent="0.25">
      <c r="A865">
        <v>8498076</v>
      </c>
      <c r="B865" t="str">
        <f t="shared" si="130"/>
        <v>stacjonarny</v>
      </c>
      <c r="C865" s="1">
        <v>42929</v>
      </c>
      <c r="D865" s="2">
        <v>0.49493055555555554</v>
      </c>
      <c r="E865" s="2">
        <v>0.49898148148148147</v>
      </c>
      <c r="F865" s="2">
        <f t="shared" si="131"/>
        <v>4.05092592592593E-3</v>
      </c>
      <c r="G865">
        <f t="shared" si="132"/>
        <v>0</v>
      </c>
      <c r="H865">
        <f t="shared" si="133"/>
        <v>5</v>
      </c>
      <c r="I865">
        <f t="shared" si="134"/>
        <v>50</v>
      </c>
      <c r="J865">
        <f t="shared" si="135"/>
        <v>350</v>
      </c>
      <c r="K865">
        <f t="shared" si="136"/>
        <v>6</v>
      </c>
      <c r="L865">
        <f t="shared" si="137"/>
        <v>268863</v>
      </c>
      <c r="M865">
        <f t="shared" si="138"/>
        <v>85377</v>
      </c>
      <c r="N865">
        <f t="shared" si="139"/>
        <v>402240</v>
      </c>
      <c r="O865">
        <f>IF(B865="zagraniczny",K865+O864,O864)</f>
        <v>421</v>
      </c>
    </row>
    <row r="866" spans="1:15" x14ac:dyDescent="0.25">
      <c r="A866">
        <v>4995171</v>
      </c>
      <c r="B866" t="str">
        <f t="shared" si="130"/>
        <v>stacjonarny</v>
      </c>
      <c r="C866" s="1">
        <v>42929</v>
      </c>
      <c r="D866" s="2">
        <v>0.5006018518518518</v>
      </c>
      <c r="E866" s="2">
        <v>0.50388888888888894</v>
      </c>
      <c r="F866" s="2">
        <f t="shared" si="131"/>
        <v>3.2870370370371438E-3</v>
      </c>
      <c r="G866">
        <f t="shared" si="132"/>
        <v>0</v>
      </c>
      <c r="H866">
        <f t="shared" si="133"/>
        <v>4</v>
      </c>
      <c r="I866">
        <f t="shared" si="134"/>
        <v>44</v>
      </c>
      <c r="J866">
        <f t="shared" si="135"/>
        <v>284</v>
      </c>
      <c r="K866">
        <f t="shared" si="136"/>
        <v>5</v>
      </c>
      <c r="L866">
        <f t="shared" si="137"/>
        <v>269147</v>
      </c>
      <c r="M866">
        <f t="shared" si="138"/>
        <v>85377</v>
      </c>
      <c r="N866">
        <f t="shared" si="139"/>
        <v>402524</v>
      </c>
      <c r="O866">
        <f>IF(B866="zagraniczny",K866+O865,O865)</f>
        <v>421</v>
      </c>
    </row>
    <row r="867" spans="1:15" x14ac:dyDescent="0.25">
      <c r="A867">
        <v>8929993</v>
      </c>
      <c r="B867" t="str">
        <f t="shared" si="130"/>
        <v>stacjonarny</v>
      </c>
      <c r="C867" s="1">
        <v>42929</v>
      </c>
      <c r="D867" s="2">
        <v>0.50173611111111116</v>
      </c>
      <c r="E867" s="2">
        <v>0.50722222222222224</v>
      </c>
      <c r="F867" s="2">
        <f t="shared" si="131"/>
        <v>5.4861111111110805E-3</v>
      </c>
      <c r="G867">
        <f t="shared" si="132"/>
        <v>0</v>
      </c>
      <c r="H867">
        <f t="shared" si="133"/>
        <v>7</v>
      </c>
      <c r="I867">
        <f t="shared" si="134"/>
        <v>54</v>
      </c>
      <c r="J867">
        <f t="shared" si="135"/>
        <v>474</v>
      </c>
      <c r="K867">
        <f t="shared" si="136"/>
        <v>8</v>
      </c>
      <c r="L867">
        <f t="shared" si="137"/>
        <v>269621</v>
      </c>
      <c r="M867">
        <f t="shared" si="138"/>
        <v>85377</v>
      </c>
      <c r="N867">
        <f t="shared" si="139"/>
        <v>402998</v>
      </c>
      <c r="O867">
        <f>IF(B867="zagraniczny",K867+O866,O866)</f>
        <v>421</v>
      </c>
    </row>
    <row r="868" spans="1:15" x14ac:dyDescent="0.25">
      <c r="A868">
        <v>7473804</v>
      </c>
      <c r="B868" t="str">
        <f t="shared" si="130"/>
        <v>stacjonarny</v>
      </c>
      <c r="C868" s="1">
        <v>42929</v>
      </c>
      <c r="D868" s="2">
        <v>0.50675925925925924</v>
      </c>
      <c r="E868" s="2">
        <v>0.5138194444444445</v>
      </c>
      <c r="F868" s="2">
        <f t="shared" si="131"/>
        <v>7.0601851851852526E-3</v>
      </c>
      <c r="G868">
        <f t="shared" si="132"/>
        <v>0</v>
      </c>
      <c r="H868">
        <f t="shared" si="133"/>
        <v>10</v>
      </c>
      <c r="I868">
        <f t="shared" si="134"/>
        <v>10</v>
      </c>
      <c r="J868">
        <f t="shared" si="135"/>
        <v>610</v>
      </c>
      <c r="K868">
        <f t="shared" si="136"/>
        <v>11</v>
      </c>
      <c r="L868">
        <f t="shared" si="137"/>
        <v>270231</v>
      </c>
      <c r="M868">
        <f t="shared" si="138"/>
        <v>85377</v>
      </c>
      <c r="N868">
        <f t="shared" si="139"/>
        <v>403608</v>
      </c>
      <c r="O868">
        <f>IF(B868="zagraniczny",K868+O867,O867)</f>
        <v>421</v>
      </c>
    </row>
    <row r="869" spans="1:15" x14ac:dyDescent="0.25">
      <c r="A869">
        <v>1816002</v>
      </c>
      <c r="B869" t="str">
        <f t="shared" si="130"/>
        <v>stacjonarny</v>
      </c>
      <c r="C869" s="1">
        <v>42929</v>
      </c>
      <c r="D869" s="2">
        <v>0.50732638888888892</v>
      </c>
      <c r="E869" s="2">
        <v>0.51005787037037043</v>
      </c>
      <c r="F869" s="2">
        <f t="shared" si="131"/>
        <v>2.7314814814815014E-3</v>
      </c>
      <c r="G869">
        <f t="shared" si="132"/>
        <v>0</v>
      </c>
      <c r="H869">
        <f t="shared" si="133"/>
        <v>3</v>
      </c>
      <c r="I869">
        <f t="shared" si="134"/>
        <v>56</v>
      </c>
      <c r="J869">
        <f t="shared" si="135"/>
        <v>236</v>
      </c>
      <c r="K869">
        <f t="shared" si="136"/>
        <v>4</v>
      </c>
      <c r="L869">
        <f t="shared" si="137"/>
        <v>270467</v>
      </c>
      <c r="M869">
        <f t="shared" si="138"/>
        <v>85377</v>
      </c>
      <c r="N869">
        <f t="shared" si="139"/>
        <v>403844</v>
      </c>
      <c r="O869">
        <f>IF(B869="zagraniczny",K869+O868,O868)</f>
        <v>421</v>
      </c>
    </row>
    <row r="870" spans="1:15" x14ac:dyDescent="0.25">
      <c r="A870">
        <v>4133182</v>
      </c>
      <c r="B870" t="str">
        <f t="shared" si="130"/>
        <v>stacjonarny</v>
      </c>
      <c r="C870" s="1">
        <v>42929</v>
      </c>
      <c r="D870" s="2">
        <v>0.51061342592592596</v>
      </c>
      <c r="E870" s="2">
        <v>0.5118287037037037</v>
      </c>
      <c r="F870" s="2">
        <f t="shared" si="131"/>
        <v>1.2152777777777457E-3</v>
      </c>
      <c r="G870">
        <f t="shared" si="132"/>
        <v>0</v>
      </c>
      <c r="H870">
        <f t="shared" si="133"/>
        <v>1</v>
      </c>
      <c r="I870">
        <f t="shared" si="134"/>
        <v>45</v>
      </c>
      <c r="J870">
        <f t="shared" si="135"/>
        <v>105</v>
      </c>
      <c r="K870">
        <f t="shared" si="136"/>
        <v>2</v>
      </c>
      <c r="L870">
        <f t="shared" si="137"/>
        <v>270572</v>
      </c>
      <c r="M870">
        <f t="shared" si="138"/>
        <v>85377</v>
      </c>
      <c r="N870">
        <f t="shared" si="139"/>
        <v>403949</v>
      </c>
      <c r="O870">
        <f>IF(B870="zagraniczny",K870+O869,O869)</f>
        <v>421</v>
      </c>
    </row>
    <row r="871" spans="1:15" x14ac:dyDescent="0.25">
      <c r="A871">
        <v>63141248</v>
      </c>
      <c r="B871" t="str">
        <f t="shared" si="130"/>
        <v>komorkowy</v>
      </c>
      <c r="C871" s="1">
        <v>42929</v>
      </c>
      <c r="D871" s="2">
        <v>0.51224537037037032</v>
      </c>
      <c r="E871" s="2">
        <v>0.51730324074074074</v>
      </c>
      <c r="F871" s="2">
        <f t="shared" si="131"/>
        <v>5.0578703703704209E-3</v>
      </c>
      <c r="G871">
        <f t="shared" si="132"/>
        <v>0</v>
      </c>
      <c r="H871">
        <f t="shared" si="133"/>
        <v>7</v>
      </c>
      <c r="I871">
        <f t="shared" si="134"/>
        <v>17</v>
      </c>
      <c r="J871">
        <f t="shared" si="135"/>
        <v>437</v>
      </c>
      <c r="K871">
        <f t="shared" si="136"/>
        <v>8</v>
      </c>
      <c r="L871">
        <f t="shared" si="137"/>
        <v>270572</v>
      </c>
      <c r="M871">
        <f t="shared" si="138"/>
        <v>85814</v>
      </c>
      <c r="N871">
        <f t="shared" si="139"/>
        <v>404386</v>
      </c>
      <c r="O871">
        <f>IF(B871="zagraniczny",K871+O870,O870)</f>
        <v>421</v>
      </c>
    </row>
    <row r="872" spans="1:15" x14ac:dyDescent="0.25">
      <c r="A872">
        <v>7384686</v>
      </c>
      <c r="B872" t="str">
        <f t="shared" si="130"/>
        <v>stacjonarny</v>
      </c>
      <c r="C872" s="1">
        <v>42929</v>
      </c>
      <c r="D872" s="2">
        <v>0.51616898148148149</v>
      </c>
      <c r="E872" s="2">
        <v>0.52461805555555552</v>
      </c>
      <c r="F872" s="2">
        <f t="shared" si="131"/>
        <v>8.4490740740740256E-3</v>
      </c>
      <c r="G872">
        <f t="shared" si="132"/>
        <v>0</v>
      </c>
      <c r="H872">
        <f t="shared" si="133"/>
        <v>12</v>
      </c>
      <c r="I872">
        <f t="shared" si="134"/>
        <v>10</v>
      </c>
      <c r="J872">
        <f t="shared" si="135"/>
        <v>730</v>
      </c>
      <c r="K872">
        <f t="shared" si="136"/>
        <v>13</v>
      </c>
      <c r="L872">
        <f t="shared" si="137"/>
        <v>271302</v>
      </c>
      <c r="M872">
        <f t="shared" si="138"/>
        <v>85814</v>
      </c>
      <c r="N872">
        <f t="shared" si="139"/>
        <v>405116</v>
      </c>
      <c r="O872">
        <f>IF(B872="zagraniczny",K872+O871,O871)</f>
        <v>421</v>
      </c>
    </row>
    <row r="873" spans="1:15" x14ac:dyDescent="0.25">
      <c r="A873">
        <v>3150344</v>
      </c>
      <c r="B873" t="str">
        <f t="shared" si="130"/>
        <v>stacjonarny</v>
      </c>
      <c r="C873" s="1">
        <v>42929</v>
      </c>
      <c r="D873" s="2">
        <v>0.51709490740740738</v>
      </c>
      <c r="E873" s="2">
        <v>0.52684027777777775</v>
      </c>
      <c r="F873" s="2">
        <f t="shared" si="131"/>
        <v>9.7453703703703765E-3</v>
      </c>
      <c r="G873">
        <f t="shared" si="132"/>
        <v>0</v>
      </c>
      <c r="H873">
        <f t="shared" si="133"/>
        <v>14</v>
      </c>
      <c r="I873">
        <f t="shared" si="134"/>
        <v>2</v>
      </c>
      <c r="J873">
        <f t="shared" si="135"/>
        <v>842</v>
      </c>
      <c r="K873">
        <f t="shared" si="136"/>
        <v>15</v>
      </c>
      <c r="L873">
        <f t="shared" si="137"/>
        <v>272144</v>
      </c>
      <c r="M873">
        <f t="shared" si="138"/>
        <v>85814</v>
      </c>
      <c r="N873">
        <f t="shared" si="139"/>
        <v>405958</v>
      </c>
      <c r="O873">
        <f>IF(B873="zagraniczny",K873+O872,O872)</f>
        <v>421</v>
      </c>
    </row>
    <row r="874" spans="1:15" x14ac:dyDescent="0.25">
      <c r="A874">
        <v>6786847</v>
      </c>
      <c r="B874" t="str">
        <f t="shared" si="130"/>
        <v>stacjonarny</v>
      </c>
      <c r="C874" s="1">
        <v>42929</v>
      </c>
      <c r="D874" s="2">
        <v>0.51986111111111111</v>
      </c>
      <c r="E874" s="2">
        <v>0.52924768518518517</v>
      </c>
      <c r="F874" s="2">
        <f t="shared" si="131"/>
        <v>9.3865740740740611E-3</v>
      </c>
      <c r="G874">
        <f t="shared" si="132"/>
        <v>0</v>
      </c>
      <c r="H874">
        <f t="shared" si="133"/>
        <v>13</v>
      </c>
      <c r="I874">
        <f t="shared" si="134"/>
        <v>31</v>
      </c>
      <c r="J874">
        <f t="shared" si="135"/>
        <v>811</v>
      </c>
      <c r="K874">
        <f t="shared" si="136"/>
        <v>14</v>
      </c>
      <c r="L874">
        <f t="shared" si="137"/>
        <v>272955</v>
      </c>
      <c r="M874">
        <f t="shared" si="138"/>
        <v>85814</v>
      </c>
      <c r="N874">
        <f t="shared" si="139"/>
        <v>406769</v>
      </c>
      <c r="O874">
        <f>IF(B874="zagraniczny",K874+O873,O873)</f>
        <v>421</v>
      </c>
    </row>
    <row r="875" spans="1:15" x14ac:dyDescent="0.25">
      <c r="A875">
        <v>2947889</v>
      </c>
      <c r="B875" t="str">
        <f t="shared" si="130"/>
        <v>stacjonarny</v>
      </c>
      <c r="C875" s="1">
        <v>42929</v>
      </c>
      <c r="D875" s="2">
        <v>0.5232175925925926</v>
      </c>
      <c r="E875" s="2">
        <v>0.52965277777777775</v>
      </c>
      <c r="F875" s="2">
        <f t="shared" si="131"/>
        <v>6.4351851851851549E-3</v>
      </c>
      <c r="G875">
        <f t="shared" si="132"/>
        <v>0</v>
      </c>
      <c r="H875">
        <f t="shared" si="133"/>
        <v>9</v>
      </c>
      <c r="I875">
        <f t="shared" si="134"/>
        <v>16</v>
      </c>
      <c r="J875">
        <f t="shared" si="135"/>
        <v>556</v>
      </c>
      <c r="K875">
        <f t="shared" si="136"/>
        <v>10</v>
      </c>
      <c r="L875">
        <f t="shared" si="137"/>
        <v>273511</v>
      </c>
      <c r="M875">
        <f t="shared" si="138"/>
        <v>85814</v>
      </c>
      <c r="N875">
        <f t="shared" si="139"/>
        <v>407325</v>
      </c>
      <c r="O875">
        <f>IF(B875="zagraniczny",K875+O874,O874)</f>
        <v>421</v>
      </c>
    </row>
    <row r="876" spans="1:15" x14ac:dyDescent="0.25">
      <c r="A876">
        <v>28961250</v>
      </c>
      <c r="B876" t="str">
        <f t="shared" si="130"/>
        <v>komorkowy</v>
      </c>
      <c r="C876" s="1">
        <v>42929</v>
      </c>
      <c r="D876" s="2">
        <v>0.52353009259259264</v>
      </c>
      <c r="E876" s="2">
        <v>0.53097222222222218</v>
      </c>
      <c r="F876" s="2">
        <f t="shared" si="131"/>
        <v>7.4421296296295347E-3</v>
      </c>
      <c r="G876">
        <f t="shared" si="132"/>
        <v>0</v>
      </c>
      <c r="H876">
        <f t="shared" si="133"/>
        <v>10</v>
      </c>
      <c r="I876">
        <f t="shared" si="134"/>
        <v>43</v>
      </c>
      <c r="J876">
        <f t="shared" si="135"/>
        <v>643</v>
      </c>
      <c r="K876">
        <f t="shared" si="136"/>
        <v>11</v>
      </c>
      <c r="L876">
        <f t="shared" si="137"/>
        <v>273511</v>
      </c>
      <c r="M876">
        <f t="shared" si="138"/>
        <v>86457</v>
      </c>
      <c r="N876">
        <f t="shared" si="139"/>
        <v>407968</v>
      </c>
      <c r="O876">
        <f>IF(B876="zagraniczny",K876+O875,O875)</f>
        <v>421</v>
      </c>
    </row>
    <row r="877" spans="1:15" x14ac:dyDescent="0.25">
      <c r="A877">
        <v>3328479</v>
      </c>
      <c r="B877" t="str">
        <f t="shared" si="130"/>
        <v>stacjonarny</v>
      </c>
      <c r="C877" s="1">
        <v>42929</v>
      </c>
      <c r="D877" s="2">
        <v>0.52668981481481481</v>
      </c>
      <c r="E877" s="2">
        <v>0.53594907407407411</v>
      </c>
      <c r="F877" s="2">
        <f t="shared" si="131"/>
        <v>9.2592592592593004E-3</v>
      </c>
      <c r="G877">
        <f t="shared" si="132"/>
        <v>0</v>
      </c>
      <c r="H877">
        <f t="shared" si="133"/>
        <v>13</v>
      </c>
      <c r="I877">
        <f t="shared" si="134"/>
        <v>20</v>
      </c>
      <c r="J877">
        <f t="shared" si="135"/>
        <v>800</v>
      </c>
      <c r="K877">
        <f t="shared" si="136"/>
        <v>14</v>
      </c>
      <c r="L877">
        <f t="shared" si="137"/>
        <v>274311</v>
      </c>
      <c r="M877">
        <f t="shared" si="138"/>
        <v>86457</v>
      </c>
      <c r="N877">
        <f t="shared" si="139"/>
        <v>408768</v>
      </c>
      <c r="O877">
        <f>IF(B877="zagraniczny",K877+O876,O876)</f>
        <v>421</v>
      </c>
    </row>
    <row r="878" spans="1:15" x14ac:dyDescent="0.25">
      <c r="A878">
        <v>61322035</v>
      </c>
      <c r="B878" t="str">
        <f t="shared" si="130"/>
        <v>komorkowy</v>
      </c>
      <c r="C878" s="1">
        <v>42929</v>
      </c>
      <c r="D878" s="2">
        <v>0.52906249999999999</v>
      </c>
      <c r="E878" s="2">
        <v>0.5294444444444445</v>
      </c>
      <c r="F878" s="2">
        <f t="shared" si="131"/>
        <v>3.8194444444450415E-4</v>
      </c>
      <c r="G878">
        <f t="shared" si="132"/>
        <v>0</v>
      </c>
      <c r="H878">
        <f t="shared" si="133"/>
        <v>0</v>
      </c>
      <c r="I878">
        <f t="shared" si="134"/>
        <v>33</v>
      </c>
      <c r="J878">
        <f t="shared" si="135"/>
        <v>33</v>
      </c>
      <c r="K878">
        <f t="shared" si="136"/>
        <v>1</v>
      </c>
      <c r="L878">
        <f t="shared" si="137"/>
        <v>274311</v>
      </c>
      <c r="M878">
        <f t="shared" si="138"/>
        <v>86490</v>
      </c>
      <c r="N878">
        <f t="shared" si="139"/>
        <v>408801</v>
      </c>
      <c r="O878">
        <f>IF(B878="zagraniczny",K878+O877,O877)</f>
        <v>421</v>
      </c>
    </row>
    <row r="879" spans="1:15" x14ac:dyDescent="0.25">
      <c r="A879">
        <v>40308049</v>
      </c>
      <c r="B879" t="str">
        <f t="shared" si="130"/>
        <v>komorkowy</v>
      </c>
      <c r="C879" s="1">
        <v>42929</v>
      </c>
      <c r="D879" s="2">
        <v>0.53047453703703706</v>
      </c>
      <c r="E879" s="2">
        <v>0.53797453703703701</v>
      </c>
      <c r="F879" s="2">
        <f t="shared" si="131"/>
        <v>7.4999999999999512E-3</v>
      </c>
      <c r="G879">
        <f t="shared" si="132"/>
        <v>0</v>
      </c>
      <c r="H879">
        <f t="shared" si="133"/>
        <v>10</v>
      </c>
      <c r="I879">
        <f t="shared" si="134"/>
        <v>48</v>
      </c>
      <c r="J879">
        <f t="shared" si="135"/>
        <v>648</v>
      </c>
      <c r="K879">
        <f t="shared" si="136"/>
        <v>11</v>
      </c>
      <c r="L879">
        <f t="shared" si="137"/>
        <v>274311</v>
      </c>
      <c r="M879">
        <f t="shared" si="138"/>
        <v>87138</v>
      </c>
      <c r="N879">
        <f t="shared" si="139"/>
        <v>409449</v>
      </c>
      <c r="O879">
        <f>IF(B879="zagraniczny",K879+O878,O878)</f>
        <v>421</v>
      </c>
    </row>
    <row r="880" spans="1:15" x14ac:dyDescent="0.25">
      <c r="A880">
        <v>7066778</v>
      </c>
      <c r="B880" t="str">
        <f t="shared" si="130"/>
        <v>stacjonarny</v>
      </c>
      <c r="C880" s="1">
        <v>42929</v>
      </c>
      <c r="D880" s="2">
        <v>0.53484953703703708</v>
      </c>
      <c r="E880" s="2">
        <v>0.538599537037037</v>
      </c>
      <c r="F880" s="2">
        <f t="shared" si="131"/>
        <v>3.7499999999999201E-3</v>
      </c>
      <c r="G880">
        <f t="shared" si="132"/>
        <v>0</v>
      </c>
      <c r="H880">
        <f t="shared" si="133"/>
        <v>5</v>
      </c>
      <c r="I880">
        <f t="shared" si="134"/>
        <v>24</v>
      </c>
      <c r="J880">
        <f t="shared" si="135"/>
        <v>324</v>
      </c>
      <c r="K880">
        <f t="shared" si="136"/>
        <v>6</v>
      </c>
      <c r="L880">
        <f t="shared" si="137"/>
        <v>274635</v>
      </c>
      <c r="M880">
        <f t="shared" si="138"/>
        <v>87138</v>
      </c>
      <c r="N880">
        <f t="shared" si="139"/>
        <v>409773</v>
      </c>
      <c r="O880">
        <f>IF(B880="zagraniczny",K880+O879,O879)</f>
        <v>421</v>
      </c>
    </row>
    <row r="881" spans="1:15" x14ac:dyDescent="0.25">
      <c r="A881">
        <v>3434934</v>
      </c>
      <c r="B881" t="str">
        <f t="shared" si="130"/>
        <v>stacjonarny</v>
      </c>
      <c r="C881" s="1">
        <v>42929</v>
      </c>
      <c r="D881" s="2">
        <v>0.54039351851851847</v>
      </c>
      <c r="E881" s="2">
        <v>0.55039351851851848</v>
      </c>
      <c r="F881" s="2">
        <f t="shared" si="131"/>
        <v>1.0000000000000009E-2</v>
      </c>
      <c r="G881">
        <f t="shared" si="132"/>
        <v>0</v>
      </c>
      <c r="H881">
        <f t="shared" si="133"/>
        <v>14</v>
      </c>
      <c r="I881">
        <f t="shared" si="134"/>
        <v>24</v>
      </c>
      <c r="J881">
        <f t="shared" si="135"/>
        <v>864</v>
      </c>
      <c r="K881">
        <f t="shared" si="136"/>
        <v>15</v>
      </c>
      <c r="L881">
        <f t="shared" si="137"/>
        <v>275499</v>
      </c>
      <c r="M881">
        <f t="shared" si="138"/>
        <v>87138</v>
      </c>
      <c r="N881">
        <f t="shared" si="139"/>
        <v>410637</v>
      </c>
      <c r="O881">
        <f>IF(B881="zagraniczny",K881+O880,O880)</f>
        <v>421</v>
      </c>
    </row>
    <row r="882" spans="1:15" x14ac:dyDescent="0.25">
      <c r="A882">
        <v>3017523</v>
      </c>
      <c r="B882" t="str">
        <f t="shared" si="130"/>
        <v>stacjonarny</v>
      </c>
      <c r="C882" s="1">
        <v>42929</v>
      </c>
      <c r="D882" s="2">
        <v>0.54342592592592598</v>
      </c>
      <c r="E882" s="2">
        <v>0.54971064814814818</v>
      </c>
      <c r="F882" s="2">
        <f t="shared" si="131"/>
        <v>6.2847222222222054E-3</v>
      </c>
      <c r="G882">
        <f t="shared" si="132"/>
        <v>0</v>
      </c>
      <c r="H882">
        <f t="shared" si="133"/>
        <v>9</v>
      </c>
      <c r="I882">
        <f t="shared" si="134"/>
        <v>3</v>
      </c>
      <c r="J882">
        <f t="shared" si="135"/>
        <v>543</v>
      </c>
      <c r="K882">
        <f t="shared" si="136"/>
        <v>10</v>
      </c>
      <c r="L882">
        <f t="shared" si="137"/>
        <v>276042</v>
      </c>
      <c r="M882">
        <f t="shared" si="138"/>
        <v>87138</v>
      </c>
      <c r="N882">
        <f t="shared" si="139"/>
        <v>411180</v>
      </c>
      <c r="O882">
        <f>IF(B882="zagraniczny",K882+O881,O881)</f>
        <v>421</v>
      </c>
    </row>
    <row r="883" spans="1:15" x14ac:dyDescent="0.25">
      <c r="A883">
        <v>26699217</v>
      </c>
      <c r="B883" t="str">
        <f t="shared" si="130"/>
        <v>komorkowy</v>
      </c>
      <c r="C883" s="1">
        <v>42929</v>
      </c>
      <c r="D883" s="2">
        <v>0.5471759259259259</v>
      </c>
      <c r="E883" s="2">
        <v>0.55871527777777774</v>
      </c>
      <c r="F883" s="2">
        <f t="shared" si="131"/>
        <v>1.1539351851851842E-2</v>
      </c>
      <c r="G883">
        <f t="shared" si="132"/>
        <v>0</v>
      </c>
      <c r="H883">
        <f t="shared" si="133"/>
        <v>16</v>
      </c>
      <c r="I883">
        <f t="shared" si="134"/>
        <v>37</v>
      </c>
      <c r="J883">
        <f t="shared" si="135"/>
        <v>997</v>
      </c>
      <c r="K883">
        <f t="shared" si="136"/>
        <v>17</v>
      </c>
      <c r="L883">
        <f t="shared" si="137"/>
        <v>276042</v>
      </c>
      <c r="M883">
        <f t="shared" si="138"/>
        <v>88135</v>
      </c>
      <c r="N883">
        <f t="shared" si="139"/>
        <v>412177</v>
      </c>
      <c r="O883">
        <f>IF(B883="zagraniczny",K883+O882,O882)</f>
        <v>421</v>
      </c>
    </row>
    <row r="884" spans="1:15" x14ac:dyDescent="0.25">
      <c r="A884">
        <v>3192836</v>
      </c>
      <c r="B884" t="str">
        <f t="shared" si="130"/>
        <v>stacjonarny</v>
      </c>
      <c r="C884" s="1">
        <v>42929</v>
      </c>
      <c r="D884" s="2">
        <v>0.54806712962962967</v>
      </c>
      <c r="E884" s="2">
        <v>0.54826388888888888</v>
      </c>
      <c r="F884" s="2">
        <f t="shared" si="131"/>
        <v>1.96759259259216E-4</v>
      </c>
      <c r="G884">
        <f t="shared" si="132"/>
        <v>0</v>
      </c>
      <c r="H884">
        <f t="shared" si="133"/>
        <v>0</v>
      </c>
      <c r="I884">
        <f t="shared" si="134"/>
        <v>17</v>
      </c>
      <c r="J884">
        <f t="shared" si="135"/>
        <v>17</v>
      </c>
      <c r="K884">
        <f t="shared" si="136"/>
        <v>1</v>
      </c>
      <c r="L884">
        <f t="shared" si="137"/>
        <v>276059</v>
      </c>
      <c r="M884">
        <f t="shared" si="138"/>
        <v>88135</v>
      </c>
      <c r="N884">
        <f t="shared" si="139"/>
        <v>412194</v>
      </c>
      <c r="O884">
        <f>IF(B884="zagraniczny",K884+O883,O883)</f>
        <v>421</v>
      </c>
    </row>
    <row r="885" spans="1:15" x14ac:dyDescent="0.25">
      <c r="A885">
        <v>6979384</v>
      </c>
      <c r="B885" t="str">
        <f t="shared" si="130"/>
        <v>stacjonarny</v>
      </c>
      <c r="C885" s="1">
        <v>42929</v>
      </c>
      <c r="D885" s="2">
        <v>0.55315972222222221</v>
      </c>
      <c r="E885" s="2">
        <v>0.56252314814814819</v>
      </c>
      <c r="F885" s="2">
        <f t="shared" si="131"/>
        <v>9.3634259259259833E-3</v>
      </c>
      <c r="G885">
        <f t="shared" si="132"/>
        <v>0</v>
      </c>
      <c r="H885">
        <f t="shared" si="133"/>
        <v>13</v>
      </c>
      <c r="I885">
        <f t="shared" si="134"/>
        <v>29</v>
      </c>
      <c r="J885">
        <f t="shared" si="135"/>
        <v>809</v>
      </c>
      <c r="K885">
        <f t="shared" si="136"/>
        <v>14</v>
      </c>
      <c r="L885">
        <f t="shared" si="137"/>
        <v>276868</v>
      </c>
      <c r="M885">
        <f t="shared" si="138"/>
        <v>88135</v>
      </c>
      <c r="N885">
        <f t="shared" si="139"/>
        <v>413003</v>
      </c>
      <c r="O885">
        <f>IF(B885="zagraniczny",K885+O884,O884)</f>
        <v>421</v>
      </c>
    </row>
    <row r="886" spans="1:15" x14ac:dyDescent="0.25">
      <c r="A886">
        <v>5277660</v>
      </c>
      <c r="B886" t="str">
        <f t="shared" si="130"/>
        <v>stacjonarny</v>
      </c>
      <c r="C886" s="1">
        <v>42929</v>
      </c>
      <c r="D886" s="2">
        <v>0.55543981481481486</v>
      </c>
      <c r="E886" s="2">
        <v>0.56340277777777781</v>
      </c>
      <c r="F886" s="2">
        <f t="shared" si="131"/>
        <v>7.9629629629629495E-3</v>
      </c>
      <c r="G886">
        <f t="shared" si="132"/>
        <v>0</v>
      </c>
      <c r="H886">
        <f t="shared" si="133"/>
        <v>11</v>
      </c>
      <c r="I886">
        <f t="shared" si="134"/>
        <v>28</v>
      </c>
      <c r="J886">
        <f t="shared" si="135"/>
        <v>688</v>
      </c>
      <c r="K886">
        <f t="shared" si="136"/>
        <v>12</v>
      </c>
      <c r="L886">
        <f t="shared" si="137"/>
        <v>277556</v>
      </c>
      <c r="M886">
        <f t="shared" si="138"/>
        <v>88135</v>
      </c>
      <c r="N886">
        <f t="shared" si="139"/>
        <v>413691</v>
      </c>
      <c r="O886">
        <f>IF(B886="zagraniczny",K886+O885,O885)</f>
        <v>421</v>
      </c>
    </row>
    <row r="887" spans="1:15" x14ac:dyDescent="0.25">
      <c r="A887">
        <v>9543572</v>
      </c>
      <c r="B887" t="str">
        <f t="shared" si="130"/>
        <v>stacjonarny</v>
      </c>
      <c r="C887" s="1">
        <v>42929</v>
      </c>
      <c r="D887" s="2">
        <v>0.55556712962962962</v>
      </c>
      <c r="E887" s="2">
        <v>0.56344907407407407</v>
      </c>
      <c r="F887" s="2">
        <f t="shared" si="131"/>
        <v>7.8819444444444553E-3</v>
      </c>
      <c r="G887">
        <f t="shared" si="132"/>
        <v>0</v>
      </c>
      <c r="H887">
        <f t="shared" si="133"/>
        <v>11</v>
      </c>
      <c r="I887">
        <f t="shared" si="134"/>
        <v>21</v>
      </c>
      <c r="J887">
        <f t="shared" si="135"/>
        <v>681</v>
      </c>
      <c r="K887">
        <f t="shared" si="136"/>
        <v>12</v>
      </c>
      <c r="L887">
        <f t="shared" si="137"/>
        <v>278237</v>
      </c>
      <c r="M887">
        <f t="shared" si="138"/>
        <v>88135</v>
      </c>
      <c r="N887">
        <f t="shared" si="139"/>
        <v>414372</v>
      </c>
      <c r="O887">
        <f>IF(B887="zagraniczny",K887+O886,O886)</f>
        <v>421</v>
      </c>
    </row>
    <row r="888" spans="1:15" x14ac:dyDescent="0.25">
      <c r="A888">
        <v>3984696</v>
      </c>
      <c r="B888" t="str">
        <f t="shared" si="130"/>
        <v>stacjonarny</v>
      </c>
      <c r="C888" s="1">
        <v>42929</v>
      </c>
      <c r="D888" s="2">
        <v>0.55923611111111116</v>
      </c>
      <c r="E888" s="2">
        <v>0.5665162037037037</v>
      </c>
      <c r="F888" s="2">
        <f t="shared" si="131"/>
        <v>7.2800925925925464E-3</v>
      </c>
      <c r="G888">
        <f t="shared" si="132"/>
        <v>0</v>
      </c>
      <c r="H888">
        <f t="shared" si="133"/>
        <v>10</v>
      </c>
      <c r="I888">
        <f t="shared" si="134"/>
        <v>29</v>
      </c>
      <c r="J888">
        <f t="shared" si="135"/>
        <v>629</v>
      </c>
      <c r="K888">
        <f t="shared" si="136"/>
        <v>11</v>
      </c>
      <c r="L888">
        <f t="shared" si="137"/>
        <v>278866</v>
      </c>
      <c r="M888">
        <f t="shared" si="138"/>
        <v>88135</v>
      </c>
      <c r="N888">
        <f t="shared" si="139"/>
        <v>415001</v>
      </c>
      <c r="O888">
        <f>IF(B888="zagraniczny",K888+O887,O887)</f>
        <v>421</v>
      </c>
    </row>
    <row r="889" spans="1:15" x14ac:dyDescent="0.25">
      <c r="A889">
        <v>47855743</v>
      </c>
      <c r="B889" t="str">
        <f t="shared" si="130"/>
        <v>komorkowy</v>
      </c>
      <c r="C889" s="1">
        <v>42929</v>
      </c>
      <c r="D889" s="2">
        <v>0.56371527777777775</v>
      </c>
      <c r="E889" s="2">
        <v>0.57344907407407408</v>
      </c>
      <c r="F889" s="2">
        <f t="shared" si="131"/>
        <v>9.7337962962963376E-3</v>
      </c>
      <c r="G889">
        <f t="shared" si="132"/>
        <v>0</v>
      </c>
      <c r="H889">
        <f t="shared" si="133"/>
        <v>14</v>
      </c>
      <c r="I889">
        <f t="shared" si="134"/>
        <v>1</v>
      </c>
      <c r="J889">
        <f t="shared" si="135"/>
        <v>841</v>
      </c>
      <c r="K889">
        <f t="shared" si="136"/>
        <v>15</v>
      </c>
      <c r="L889">
        <f t="shared" si="137"/>
        <v>278866</v>
      </c>
      <c r="M889">
        <f t="shared" si="138"/>
        <v>88976</v>
      </c>
      <c r="N889">
        <f t="shared" si="139"/>
        <v>415842</v>
      </c>
      <c r="O889">
        <f>IF(B889="zagraniczny",K889+O888,O888)</f>
        <v>421</v>
      </c>
    </row>
    <row r="890" spans="1:15" x14ac:dyDescent="0.25">
      <c r="A890">
        <v>3095218</v>
      </c>
      <c r="B890" t="str">
        <f t="shared" si="130"/>
        <v>stacjonarny</v>
      </c>
      <c r="C890" s="1">
        <v>42929</v>
      </c>
      <c r="D890" s="2">
        <v>0.56581018518518522</v>
      </c>
      <c r="E890" s="2">
        <v>0.57694444444444448</v>
      </c>
      <c r="F890" s="2">
        <f t="shared" si="131"/>
        <v>1.113425925925926E-2</v>
      </c>
      <c r="G890">
        <f t="shared" si="132"/>
        <v>0</v>
      </c>
      <c r="H890">
        <f t="shared" si="133"/>
        <v>16</v>
      </c>
      <c r="I890">
        <f t="shared" si="134"/>
        <v>2</v>
      </c>
      <c r="J890">
        <f t="shared" si="135"/>
        <v>962</v>
      </c>
      <c r="K890">
        <f t="shared" si="136"/>
        <v>17</v>
      </c>
      <c r="L890">
        <f t="shared" si="137"/>
        <v>279828</v>
      </c>
      <c r="M890">
        <f t="shared" si="138"/>
        <v>88976</v>
      </c>
      <c r="N890">
        <f t="shared" si="139"/>
        <v>416804</v>
      </c>
      <c r="O890">
        <f>IF(B890="zagraniczny",K890+O889,O889)</f>
        <v>421</v>
      </c>
    </row>
    <row r="891" spans="1:15" x14ac:dyDescent="0.25">
      <c r="A891">
        <v>7933399</v>
      </c>
      <c r="B891" t="str">
        <f t="shared" si="130"/>
        <v>stacjonarny</v>
      </c>
      <c r="C891" s="1">
        <v>42929</v>
      </c>
      <c r="D891" s="2">
        <v>0.57054398148148144</v>
      </c>
      <c r="E891" s="2">
        <v>0.57388888888888889</v>
      </c>
      <c r="F891" s="2">
        <f t="shared" si="131"/>
        <v>3.3449074074074492E-3</v>
      </c>
      <c r="G891">
        <f t="shared" si="132"/>
        <v>0</v>
      </c>
      <c r="H891">
        <f t="shared" si="133"/>
        <v>4</v>
      </c>
      <c r="I891">
        <f t="shared" si="134"/>
        <v>49</v>
      </c>
      <c r="J891">
        <f t="shared" si="135"/>
        <v>289</v>
      </c>
      <c r="K891">
        <f t="shared" si="136"/>
        <v>5</v>
      </c>
      <c r="L891">
        <f t="shared" si="137"/>
        <v>280117</v>
      </c>
      <c r="M891">
        <f t="shared" si="138"/>
        <v>88976</v>
      </c>
      <c r="N891">
        <f t="shared" si="139"/>
        <v>417093</v>
      </c>
      <c r="O891">
        <f>IF(B891="zagraniczny",K891+O890,O890)</f>
        <v>421</v>
      </c>
    </row>
    <row r="892" spans="1:15" x14ac:dyDescent="0.25">
      <c r="A892">
        <v>54821549</v>
      </c>
      <c r="B892" t="str">
        <f t="shared" si="130"/>
        <v>komorkowy</v>
      </c>
      <c r="C892" s="1">
        <v>42929</v>
      </c>
      <c r="D892" s="2">
        <v>0.57287037037037036</v>
      </c>
      <c r="E892" s="2">
        <v>0.57663194444444443</v>
      </c>
      <c r="F892" s="2">
        <f t="shared" si="131"/>
        <v>3.76157407407407E-3</v>
      </c>
      <c r="G892">
        <f t="shared" si="132"/>
        <v>0</v>
      </c>
      <c r="H892">
        <f t="shared" si="133"/>
        <v>5</v>
      </c>
      <c r="I892">
        <f t="shared" si="134"/>
        <v>25</v>
      </c>
      <c r="J892">
        <f t="shared" si="135"/>
        <v>325</v>
      </c>
      <c r="K892">
        <f t="shared" si="136"/>
        <v>6</v>
      </c>
      <c r="L892">
        <f t="shared" si="137"/>
        <v>280117</v>
      </c>
      <c r="M892">
        <f t="shared" si="138"/>
        <v>89301</v>
      </c>
      <c r="N892">
        <f t="shared" si="139"/>
        <v>417418</v>
      </c>
      <c r="O892">
        <f>IF(B892="zagraniczny",K892+O891,O891)</f>
        <v>421</v>
      </c>
    </row>
    <row r="893" spans="1:15" x14ac:dyDescent="0.25">
      <c r="A893">
        <v>14919021</v>
      </c>
      <c r="B893" t="str">
        <f t="shared" si="130"/>
        <v>komorkowy</v>
      </c>
      <c r="C893" s="1">
        <v>42929</v>
      </c>
      <c r="D893" s="2">
        <v>0.57331018518518517</v>
      </c>
      <c r="E893" s="2">
        <v>0.57547453703703699</v>
      </c>
      <c r="F893" s="2">
        <f t="shared" si="131"/>
        <v>2.1643518518518201E-3</v>
      </c>
      <c r="G893">
        <f t="shared" si="132"/>
        <v>0</v>
      </c>
      <c r="H893">
        <f t="shared" si="133"/>
        <v>3</v>
      </c>
      <c r="I893">
        <f t="shared" si="134"/>
        <v>7</v>
      </c>
      <c r="J893">
        <f t="shared" si="135"/>
        <v>187</v>
      </c>
      <c r="K893">
        <f t="shared" si="136"/>
        <v>4</v>
      </c>
      <c r="L893">
        <f t="shared" si="137"/>
        <v>280117</v>
      </c>
      <c r="M893">
        <f t="shared" si="138"/>
        <v>89488</v>
      </c>
      <c r="N893">
        <f t="shared" si="139"/>
        <v>417605</v>
      </c>
      <c r="O893">
        <f>IF(B893="zagraniczny",K893+O892,O892)</f>
        <v>421</v>
      </c>
    </row>
    <row r="894" spans="1:15" x14ac:dyDescent="0.25">
      <c r="A894">
        <v>9175377</v>
      </c>
      <c r="B894" t="str">
        <f t="shared" si="130"/>
        <v>stacjonarny</v>
      </c>
      <c r="C894" s="1">
        <v>42929</v>
      </c>
      <c r="D894" s="2">
        <v>0.57648148148148148</v>
      </c>
      <c r="E894" s="2">
        <v>0.57916666666666672</v>
      </c>
      <c r="F894" s="2">
        <f t="shared" si="131"/>
        <v>2.6851851851852349E-3</v>
      </c>
      <c r="G894">
        <f t="shared" si="132"/>
        <v>0</v>
      </c>
      <c r="H894">
        <f t="shared" si="133"/>
        <v>3</v>
      </c>
      <c r="I894">
        <f t="shared" si="134"/>
        <v>52</v>
      </c>
      <c r="J894">
        <f t="shared" si="135"/>
        <v>232</v>
      </c>
      <c r="K894">
        <f t="shared" si="136"/>
        <v>4</v>
      </c>
      <c r="L894">
        <f t="shared" si="137"/>
        <v>280349</v>
      </c>
      <c r="M894">
        <f t="shared" si="138"/>
        <v>89488</v>
      </c>
      <c r="N894">
        <f t="shared" si="139"/>
        <v>417837</v>
      </c>
      <c r="O894">
        <f>IF(B894="zagraniczny",K894+O893,O893)</f>
        <v>421</v>
      </c>
    </row>
    <row r="895" spans="1:15" x14ac:dyDescent="0.25">
      <c r="A895">
        <v>3656681</v>
      </c>
      <c r="B895" t="str">
        <f t="shared" si="130"/>
        <v>stacjonarny</v>
      </c>
      <c r="C895" s="1">
        <v>42929</v>
      </c>
      <c r="D895" s="2">
        <v>0.58067129629629632</v>
      </c>
      <c r="E895" s="2">
        <v>0.59149305555555554</v>
      </c>
      <c r="F895" s="2">
        <f t="shared" si="131"/>
        <v>1.0821759259259212E-2</v>
      </c>
      <c r="G895">
        <f t="shared" si="132"/>
        <v>0</v>
      </c>
      <c r="H895">
        <f t="shared" si="133"/>
        <v>15</v>
      </c>
      <c r="I895">
        <f t="shared" si="134"/>
        <v>35</v>
      </c>
      <c r="J895">
        <f t="shared" si="135"/>
        <v>935</v>
      </c>
      <c r="K895">
        <f t="shared" si="136"/>
        <v>16</v>
      </c>
      <c r="L895">
        <f t="shared" si="137"/>
        <v>281284</v>
      </c>
      <c r="M895">
        <f t="shared" si="138"/>
        <v>89488</v>
      </c>
      <c r="N895">
        <f t="shared" si="139"/>
        <v>418772</v>
      </c>
      <c r="O895">
        <f>IF(B895="zagraniczny",K895+O894,O894)</f>
        <v>421</v>
      </c>
    </row>
    <row r="896" spans="1:15" x14ac:dyDescent="0.25">
      <c r="A896">
        <v>5741700</v>
      </c>
      <c r="B896" t="str">
        <f t="shared" si="130"/>
        <v>stacjonarny</v>
      </c>
      <c r="C896" s="1">
        <v>42929</v>
      </c>
      <c r="D896" s="2">
        <v>0.58644675925925926</v>
      </c>
      <c r="E896" s="2">
        <v>0.5978472222222222</v>
      </c>
      <c r="F896" s="2">
        <f t="shared" si="131"/>
        <v>1.1400462962962932E-2</v>
      </c>
      <c r="G896">
        <f t="shared" si="132"/>
        <v>0</v>
      </c>
      <c r="H896">
        <f t="shared" si="133"/>
        <v>16</v>
      </c>
      <c r="I896">
        <f t="shared" si="134"/>
        <v>25</v>
      </c>
      <c r="J896">
        <f t="shared" si="135"/>
        <v>985</v>
      </c>
      <c r="K896">
        <f t="shared" si="136"/>
        <v>17</v>
      </c>
      <c r="L896">
        <f t="shared" si="137"/>
        <v>282269</v>
      </c>
      <c r="M896">
        <f t="shared" si="138"/>
        <v>89488</v>
      </c>
      <c r="N896">
        <f t="shared" si="139"/>
        <v>419757</v>
      </c>
      <c r="O896">
        <f>IF(B896="zagraniczny",K896+O895,O895)</f>
        <v>421</v>
      </c>
    </row>
    <row r="897" spans="1:15" x14ac:dyDescent="0.25">
      <c r="A897">
        <v>18816694</v>
      </c>
      <c r="B897" t="str">
        <f t="shared" si="130"/>
        <v>komorkowy</v>
      </c>
      <c r="C897" s="1">
        <v>42929</v>
      </c>
      <c r="D897" s="2">
        <v>0.59179398148148143</v>
      </c>
      <c r="E897" s="2">
        <v>0.60054398148148147</v>
      </c>
      <c r="F897" s="2">
        <f t="shared" si="131"/>
        <v>8.7500000000000355E-3</v>
      </c>
      <c r="G897">
        <f t="shared" si="132"/>
        <v>0</v>
      </c>
      <c r="H897">
        <f t="shared" si="133"/>
        <v>12</v>
      </c>
      <c r="I897">
        <f t="shared" si="134"/>
        <v>36</v>
      </c>
      <c r="J897">
        <f t="shared" si="135"/>
        <v>756</v>
      </c>
      <c r="K897">
        <f t="shared" si="136"/>
        <v>13</v>
      </c>
      <c r="L897">
        <f t="shared" si="137"/>
        <v>282269</v>
      </c>
      <c r="M897">
        <f t="shared" si="138"/>
        <v>90244</v>
      </c>
      <c r="N897">
        <f t="shared" si="139"/>
        <v>420513</v>
      </c>
      <c r="O897">
        <f>IF(B897="zagraniczny",K897+O896,O896)</f>
        <v>421</v>
      </c>
    </row>
    <row r="898" spans="1:15" x14ac:dyDescent="0.25">
      <c r="A898">
        <v>6177366</v>
      </c>
      <c r="B898" t="str">
        <f t="shared" si="130"/>
        <v>stacjonarny</v>
      </c>
      <c r="C898" s="1">
        <v>42929</v>
      </c>
      <c r="D898" s="2">
        <v>0.59266203703703701</v>
      </c>
      <c r="E898" s="2">
        <v>0.59672453703703698</v>
      </c>
      <c r="F898" s="2">
        <f t="shared" si="131"/>
        <v>4.0624999999999689E-3</v>
      </c>
      <c r="G898">
        <f t="shared" si="132"/>
        <v>0</v>
      </c>
      <c r="H898">
        <f t="shared" si="133"/>
        <v>5</v>
      </c>
      <c r="I898">
        <f t="shared" si="134"/>
        <v>51</v>
      </c>
      <c r="J898">
        <f t="shared" si="135"/>
        <v>351</v>
      </c>
      <c r="K898">
        <f t="shared" si="136"/>
        <v>6</v>
      </c>
      <c r="L898">
        <f t="shared" si="137"/>
        <v>282620</v>
      </c>
      <c r="M898">
        <f t="shared" si="138"/>
        <v>90244</v>
      </c>
      <c r="N898">
        <f t="shared" si="139"/>
        <v>420864</v>
      </c>
      <c r="O898">
        <f>IF(B898="zagraniczny",K898+O897,O897)</f>
        <v>421</v>
      </c>
    </row>
    <row r="899" spans="1:15" x14ac:dyDescent="0.25">
      <c r="A899">
        <v>4221160</v>
      </c>
      <c r="B899" t="str">
        <f t="shared" ref="B899:B962" si="140">IF(LEN(A899)=7,"stacjonarny",IF(LEN(A899)=8,"komorkowy","zagraniczny"))</f>
        <v>stacjonarny</v>
      </c>
      <c r="C899" s="1">
        <v>42929</v>
      </c>
      <c r="D899" s="2">
        <v>0.59437499999999999</v>
      </c>
      <c r="E899" s="2">
        <v>0.60349537037037038</v>
      </c>
      <c r="F899" s="2">
        <f t="shared" ref="F899:F962" si="141">E899-D899</f>
        <v>9.1203703703703898E-3</v>
      </c>
      <c r="G899">
        <f t="shared" ref="G899:G962" si="142">HOUR(F899)</f>
        <v>0</v>
      </c>
      <c r="H899">
        <f t="shared" ref="H899:H962" si="143">MINUTE(F899)</f>
        <v>13</v>
      </c>
      <c r="I899">
        <f t="shared" ref="I899:I962" si="144">SECOND(F899)</f>
        <v>8</v>
      </c>
      <c r="J899">
        <f t="shared" ref="J899:J962" si="145">H899*60+I899</f>
        <v>788</v>
      </c>
      <c r="K899">
        <f t="shared" ref="K899:K962" si="146">IF(I899&gt;0,G899*60+H899+1,H899+G899*60)</f>
        <v>14</v>
      </c>
      <c r="L899">
        <f t="shared" si="137"/>
        <v>283408</v>
      </c>
      <c r="M899">
        <f t="shared" si="138"/>
        <v>90244</v>
      </c>
      <c r="N899">
        <f t="shared" si="139"/>
        <v>421652</v>
      </c>
      <c r="O899">
        <f>IF(B899="zagraniczny",K899+O898,O898)</f>
        <v>421</v>
      </c>
    </row>
    <row r="900" spans="1:15" x14ac:dyDescent="0.25">
      <c r="A900">
        <v>9339774</v>
      </c>
      <c r="B900" t="str">
        <f t="shared" si="140"/>
        <v>stacjonarny</v>
      </c>
      <c r="C900" s="1">
        <v>42929</v>
      </c>
      <c r="D900" s="2">
        <v>0.59745370370370365</v>
      </c>
      <c r="E900" s="2">
        <v>0.607025462962963</v>
      </c>
      <c r="F900" s="2">
        <f t="shared" si="141"/>
        <v>9.5717592592593492E-3</v>
      </c>
      <c r="G900">
        <f t="shared" si="142"/>
        <v>0</v>
      </c>
      <c r="H900">
        <f t="shared" si="143"/>
        <v>13</v>
      </c>
      <c r="I900">
        <f t="shared" si="144"/>
        <v>47</v>
      </c>
      <c r="J900">
        <f t="shared" si="145"/>
        <v>827</v>
      </c>
      <c r="K900">
        <f t="shared" si="146"/>
        <v>14</v>
      </c>
      <c r="L900">
        <f t="shared" ref="L900:L963" si="147">IF(B900="stacjonarny",$J900+L899,L899)</f>
        <v>284235</v>
      </c>
      <c r="M900">
        <f t="shared" ref="M900:M963" si="148">IF(B900="komorkowy",$J900+M899,M899)</f>
        <v>90244</v>
      </c>
      <c r="N900">
        <f t="shared" ref="N900:N963" si="149">IF(OR(B900="stacjonarny",B900="komorkowy"),J900+N899,N899)</f>
        <v>422479</v>
      </c>
      <c r="O900">
        <f>IF(B900="zagraniczny",K900+O899,O899)</f>
        <v>421</v>
      </c>
    </row>
    <row r="901" spans="1:15" x14ac:dyDescent="0.25">
      <c r="A901">
        <v>46255010</v>
      </c>
      <c r="B901" t="str">
        <f t="shared" si="140"/>
        <v>komorkowy</v>
      </c>
      <c r="C901" s="1">
        <v>42929</v>
      </c>
      <c r="D901" s="2">
        <v>0.60008101851851847</v>
      </c>
      <c r="E901" s="2">
        <v>0.60182870370370367</v>
      </c>
      <c r="F901" s="2">
        <f t="shared" si="141"/>
        <v>1.7476851851851993E-3</v>
      </c>
      <c r="G901">
        <f t="shared" si="142"/>
        <v>0</v>
      </c>
      <c r="H901">
        <f t="shared" si="143"/>
        <v>2</v>
      </c>
      <c r="I901">
        <f t="shared" si="144"/>
        <v>31</v>
      </c>
      <c r="J901">
        <f t="shared" si="145"/>
        <v>151</v>
      </c>
      <c r="K901">
        <f t="shared" si="146"/>
        <v>3</v>
      </c>
      <c r="L901">
        <f t="shared" si="147"/>
        <v>284235</v>
      </c>
      <c r="M901">
        <f t="shared" si="148"/>
        <v>90395</v>
      </c>
      <c r="N901">
        <f t="shared" si="149"/>
        <v>422630</v>
      </c>
      <c r="O901">
        <f>IF(B901="zagraniczny",K901+O900,O900)</f>
        <v>421</v>
      </c>
    </row>
    <row r="902" spans="1:15" x14ac:dyDescent="0.25">
      <c r="A902">
        <v>91208799</v>
      </c>
      <c r="B902" t="str">
        <f t="shared" si="140"/>
        <v>komorkowy</v>
      </c>
      <c r="C902" s="1">
        <v>42929</v>
      </c>
      <c r="D902" s="2">
        <v>0.60311342592592587</v>
      </c>
      <c r="E902" s="2">
        <v>0.61048611111111106</v>
      </c>
      <c r="F902" s="2">
        <f t="shared" si="141"/>
        <v>7.3726851851851904E-3</v>
      </c>
      <c r="G902">
        <f t="shared" si="142"/>
        <v>0</v>
      </c>
      <c r="H902">
        <f t="shared" si="143"/>
        <v>10</v>
      </c>
      <c r="I902">
        <f t="shared" si="144"/>
        <v>37</v>
      </c>
      <c r="J902">
        <f t="shared" si="145"/>
        <v>637</v>
      </c>
      <c r="K902">
        <f t="shared" si="146"/>
        <v>11</v>
      </c>
      <c r="L902">
        <f t="shared" si="147"/>
        <v>284235</v>
      </c>
      <c r="M902">
        <f t="shared" si="148"/>
        <v>91032</v>
      </c>
      <c r="N902">
        <f t="shared" si="149"/>
        <v>423267</v>
      </c>
      <c r="O902">
        <f>IF(B902="zagraniczny",K902+O901,O901)</f>
        <v>421</v>
      </c>
    </row>
    <row r="903" spans="1:15" x14ac:dyDescent="0.25">
      <c r="A903">
        <v>7211782</v>
      </c>
      <c r="B903" t="str">
        <f t="shared" si="140"/>
        <v>stacjonarny</v>
      </c>
      <c r="C903" s="1">
        <v>42929</v>
      </c>
      <c r="D903" s="2">
        <v>0.60773148148148148</v>
      </c>
      <c r="E903" s="2">
        <v>0.60799768518518515</v>
      </c>
      <c r="F903" s="2">
        <f t="shared" si="141"/>
        <v>2.662037037036713E-4</v>
      </c>
      <c r="G903">
        <f t="shared" si="142"/>
        <v>0</v>
      </c>
      <c r="H903">
        <f t="shared" si="143"/>
        <v>0</v>
      </c>
      <c r="I903">
        <f t="shared" si="144"/>
        <v>23</v>
      </c>
      <c r="J903">
        <f t="shared" si="145"/>
        <v>23</v>
      </c>
      <c r="K903">
        <f t="shared" si="146"/>
        <v>1</v>
      </c>
      <c r="L903">
        <f t="shared" si="147"/>
        <v>284258</v>
      </c>
      <c r="M903">
        <f t="shared" si="148"/>
        <v>91032</v>
      </c>
      <c r="N903">
        <f t="shared" si="149"/>
        <v>423290</v>
      </c>
      <c r="O903">
        <f>IF(B903="zagraniczny",K903+O902,O902)</f>
        <v>421</v>
      </c>
    </row>
    <row r="904" spans="1:15" x14ac:dyDescent="0.25">
      <c r="A904">
        <v>3429335</v>
      </c>
      <c r="B904" t="str">
        <f t="shared" si="140"/>
        <v>stacjonarny</v>
      </c>
      <c r="C904" s="1">
        <v>42929</v>
      </c>
      <c r="D904" s="2">
        <v>0.61346064814814816</v>
      </c>
      <c r="E904" s="2">
        <v>0.62468749999999995</v>
      </c>
      <c r="F904" s="2">
        <f t="shared" si="141"/>
        <v>1.1226851851851793E-2</v>
      </c>
      <c r="G904">
        <f t="shared" si="142"/>
        <v>0</v>
      </c>
      <c r="H904">
        <f t="shared" si="143"/>
        <v>16</v>
      </c>
      <c r="I904">
        <f t="shared" si="144"/>
        <v>10</v>
      </c>
      <c r="J904">
        <f t="shared" si="145"/>
        <v>970</v>
      </c>
      <c r="K904">
        <f t="shared" si="146"/>
        <v>17</v>
      </c>
      <c r="L904">
        <f t="shared" si="147"/>
        <v>285228</v>
      </c>
      <c r="M904">
        <f t="shared" si="148"/>
        <v>91032</v>
      </c>
      <c r="N904">
        <f t="shared" si="149"/>
        <v>424260</v>
      </c>
      <c r="O904">
        <f>IF(B904="zagraniczny",K904+O903,O903)</f>
        <v>421</v>
      </c>
    </row>
    <row r="905" spans="1:15" x14ac:dyDescent="0.25">
      <c r="A905">
        <v>3206241</v>
      </c>
      <c r="B905" t="str">
        <f t="shared" si="140"/>
        <v>stacjonarny</v>
      </c>
      <c r="C905" s="1">
        <v>42929</v>
      </c>
      <c r="D905" s="2">
        <v>0.61614583333333328</v>
      </c>
      <c r="E905" s="2">
        <v>0.62736111111111115</v>
      </c>
      <c r="F905" s="2">
        <f t="shared" si="141"/>
        <v>1.1215277777777866E-2</v>
      </c>
      <c r="G905">
        <f t="shared" si="142"/>
        <v>0</v>
      </c>
      <c r="H905">
        <f t="shared" si="143"/>
        <v>16</v>
      </c>
      <c r="I905">
        <f t="shared" si="144"/>
        <v>9</v>
      </c>
      <c r="J905">
        <f t="shared" si="145"/>
        <v>969</v>
      </c>
      <c r="K905">
        <f t="shared" si="146"/>
        <v>17</v>
      </c>
      <c r="L905">
        <f t="shared" si="147"/>
        <v>286197</v>
      </c>
      <c r="M905">
        <f t="shared" si="148"/>
        <v>91032</v>
      </c>
      <c r="N905">
        <f t="shared" si="149"/>
        <v>425229</v>
      </c>
      <c r="O905">
        <f>IF(B905="zagraniczny",K905+O904,O904)</f>
        <v>421</v>
      </c>
    </row>
    <row r="906" spans="1:15" x14ac:dyDescent="0.25">
      <c r="A906">
        <v>8750670</v>
      </c>
      <c r="B906" t="str">
        <f t="shared" si="140"/>
        <v>stacjonarny</v>
      </c>
      <c r="C906" s="1">
        <v>42929</v>
      </c>
      <c r="D906" s="2">
        <v>0.61686342592592591</v>
      </c>
      <c r="E906" s="2">
        <v>0.61760416666666662</v>
      </c>
      <c r="F906" s="2">
        <f t="shared" si="141"/>
        <v>7.407407407407085E-4</v>
      </c>
      <c r="G906">
        <f t="shared" si="142"/>
        <v>0</v>
      </c>
      <c r="H906">
        <f t="shared" si="143"/>
        <v>1</v>
      </c>
      <c r="I906">
        <f t="shared" si="144"/>
        <v>4</v>
      </c>
      <c r="J906">
        <f t="shared" si="145"/>
        <v>64</v>
      </c>
      <c r="K906">
        <f t="shared" si="146"/>
        <v>2</v>
      </c>
      <c r="L906">
        <f t="shared" si="147"/>
        <v>286261</v>
      </c>
      <c r="M906">
        <f t="shared" si="148"/>
        <v>91032</v>
      </c>
      <c r="N906">
        <f t="shared" si="149"/>
        <v>425293</v>
      </c>
      <c r="O906">
        <f>IF(B906="zagraniczny",K906+O905,O905)</f>
        <v>421</v>
      </c>
    </row>
    <row r="907" spans="1:15" x14ac:dyDescent="0.25">
      <c r="A907">
        <v>7792679</v>
      </c>
      <c r="B907" t="str">
        <f t="shared" si="140"/>
        <v>stacjonarny</v>
      </c>
      <c r="C907" s="1">
        <v>42929</v>
      </c>
      <c r="D907" s="2">
        <v>0.62046296296296299</v>
      </c>
      <c r="E907" s="2">
        <v>0.62071759259259263</v>
      </c>
      <c r="F907" s="2">
        <f t="shared" si="141"/>
        <v>2.5462962962963243E-4</v>
      </c>
      <c r="G907">
        <f t="shared" si="142"/>
        <v>0</v>
      </c>
      <c r="H907">
        <f t="shared" si="143"/>
        <v>0</v>
      </c>
      <c r="I907">
        <f t="shared" si="144"/>
        <v>22</v>
      </c>
      <c r="J907">
        <f t="shared" si="145"/>
        <v>22</v>
      </c>
      <c r="K907">
        <f t="shared" si="146"/>
        <v>1</v>
      </c>
      <c r="L907">
        <f t="shared" si="147"/>
        <v>286283</v>
      </c>
      <c r="M907">
        <f t="shared" si="148"/>
        <v>91032</v>
      </c>
      <c r="N907">
        <f t="shared" si="149"/>
        <v>425315</v>
      </c>
      <c r="O907">
        <f>IF(B907="zagraniczny",K907+O906,O906)</f>
        <v>421</v>
      </c>
    </row>
    <row r="908" spans="1:15" x14ac:dyDescent="0.25">
      <c r="A908">
        <v>9287211</v>
      </c>
      <c r="B908" t="str">
        <f t="shared" si="140"/>
        <v>stacjonarny</v>
      </c>
      <c r="C908" s="1">
        <v>42929</v>
      </c>
      <c r="D908" s="2">
        <v>0.62178240740740742</v>
      </c>
      <c r="E908" s="2">
        <v>0.62540509259259258</v>
      </c>
      <c r="F908" s="2">
        <f t="shared" si="141"/>
        <v>3.6226851851851594E-3</v>
      </c>
      <c r="G908">
        <f t="shared" si="142"/>
        <v>0</v>
      </c>
      <c r="H908">
        <f t="shared" si="143"/>
        <v>5</v>
      </c>
      <c r="I908">
        <f t="shared" si="144"/>
        <v>13</v>
      </c>
      <c r="J908">
        <f t="shared" si="145"/>
        <v>313</v>
      </c>
      <c r="K908">
        <f t="shared" si="146"/>
        <v>6</v>
      </c>
      <c r="L908">
        <f t="shared" si="147"/>
        <v>286596</v>
      </c>
      <c r="M908">
        <f t="shared" si="148"/>
        <v>91032</v>
      </c>
      <c r="N908">
        <f t="shared" si="149"/>
        <v>425628</v>
      </c>
      <c r="O908">
        <f>IF(B908="zagraniczny",K908+O907,O907)</f>
        <v>421</v>
      </c>
    </row>
    <row r="909" spans="1:15" x14ac:dyDescent="0.25">
      <c r="A909">
        <v>1997542</v>
      </c>
      <c r="B909" t="str">
        <f t="shared" si="140"/>
        <v>stacjonarny</v>
      </c>
      <c r="C909" s="1">
        <v>42929</v>
      </c>
      <c r="D909" s="2">
        <v>0.62749999999999995</v>
      </c>
      <c r="E909" s="2">
        <v>0.63146990740740738</v>
      </c>
      <c r="F909" s="2">
        <f t="shared" si="141"/>
        <v>3.9699074074074359E-3</v>
      </c>
      <c r="G909">
        <f t="shared" si="142"/>
        <v>0</v>
      </c>
      <c r="H909">
        <f t="shared" si="143"/>
        <v>5</v>
      </c>
      <c r="I909">
        <f t="shared" si="144"/>
        <v>43</v>
      </c>
      <c r="J909">
        <f t="shared" si="145"/>
        <v>343</v>
      </c>
      <c r="K909">
        <f t="shared" si="146"/>
        <v>6</v>
      </c>
      <c r="L909">
        <f t="shared" si="147"/>
        <v>286939</v>
      </c>
      <c r="M909">
        <f t="shared" si="148"/>
        <v>91032</v>
      </c>
      <c r="N909">
        <f t="shared" si="149"/>
        <v>425971</v>
      </c>
      <c r="O909">
        <f>IF(B909="zagraniczny",K909+O908,O908)</f>
        <v>421</v>
      </c>
    </row>
    <row r="910" spans="1:15" x14ac:dyDescent="0.25">
      <c r="A910">
        <v>3558582</v>
      </c>
      <c r="B910" t="str">
        <f t="shared" si="140"/>
        <v>stacjonarny</v>
      </c>
      <c r="C910" s="1">
        <v>42930</v>
      </c>
      <c r="D910" s="2">
        <v>0.33658564814814818</v>
      </c>
      <c r="E910" s="2">
        <v>0.34384259259259259</v>
      </c>
      <c r="F910" s="2">
        <f t="shared" si="141"/>
        <v>7.2569444444444131E-3</v>
      </c>
      <c r="G910">
        <f t="shared" si="142"/>
        <v>0</v>
      </c>
      <c r="H910">
        <f t="shared" si="143"/>
        <v>10</v>
      </c>
      <c r="I910">
        <f t="shared" si="144"/>
        <v>27</v>
      </c>
      <c r="J910">
        <f t="shared" si="145"/>
        <v>627</v>
      </c>
      <c r="K910">
        <f t="shared" si="146"/>
        <v>11</v>
      </c>
      <c r="L910">
        <f t="shared" si="147"/>
        <v>287566</v>
      </c>
      <c r="M910">
        <f t="shared" si="148"/>
        <v>91032</v>
      </c>
      <c r="N910">
        <f t="shared" si="149"/>
        <v>426598</v>
      </c>
      <c r="O910">
        <f>IF(B910="zagraniczny",K910+O909,O909)</f>
        <v>421</v>
      </c>
    </row>
    <row r="911" spans="1:15" x14ac:dyDescent="0.25">
      <c r="A911">
        <v>25240352</v>
      </c>
      <c r="B911" t="str">
        <f t="shared" si="140"/>
        <v>komorkowy</v>
      </c>
      <c r="C911" s="1">
        <v>42930</v>
      </c>
      <c r="D911" s="2">
        <v>0.3369212962962963</v>
      </c>
      <c r="E911" s="2">
        <v>0.34468749999999998</v>
      </c>
      <c r="F911" s="2">
        <f t="shared" si="141"/>
        <v>7.766203703703678E-3</v>
      </c>
      <c r="G911">
        <f t="shared" si="142"/>
        <v>0</v>
      </c>
      <c r="H911">
        <f t="shared" si="143"/>
        <v>11</v>
      </c>
      <c r="I911">
        <f t="shared" si="144"/>
        <v>11</v>
      </c>
      <c r="J911">
        <f t="shared" si="145"/>
        <v>671</v>
      </c>
      <c r="K911">
        <f t="shared" si="146"/>
        <v>12</v>
      </c>
      <c r="L911">
        <f t="shared" si="147"/>
        <v>287566</v>
      </c>
      <c r="M911">
        <f t="shared" si="148"/>
        <v>91703</v>
      </c>
      <c r="N911">
        <f t="shared" si="149"/>
        <v>427269</v>
      </c>
      <c r="O911">
        <f>IF(B911="zagraniczny",K911+O910,O910)</f>
        <v>421</v>
      </c>
    </row>
    <row r="912" spans="1:15" x14ac:dyDescent="0.25">
      <c r="A912">
        <v>5829504</v>
      </c>
      <c r="B912" t="str">
        <f t="shared" si="140"/>
        <v>stacjonarny</v>
      </c>
      <c r="C912" s="1">
        <v>42930</v>
      </c>
      <c r="D912" s="2">
        <v>0.33802083333333333</v>
      </c>
      <c r="E912" s="2">
        <v>0.34233796296296298</v>
      </c>
      <c r="F912" s="2">
        <f t="shared" si="141"/>
        <v>4.3171296296296569E-3</v>
      </c>
      <c r="G912">
        <f t="shared" si="142"/>
        <v>0</v>
      </c>
      <c r="H912">
        <f t="shared" si="143"/>
        <v>6</v>
      </c>
      <c r="I912">
        <f t="shared" si="144"/>
        <v>13</v>
      </c>
      <c r="J912">
        <f t="shared" si="145"/>
        <v>373</v>
      </c>
      <c r="K912">
        <f t="shared" si="146"/>
        <v>7</v>
      </c>
      <c r="L912">
        <f t="shared" si="147"/>
        <v>287939</v>
      </c>
      <c r="M912">
        <f t="shared" si="148"/>
        <v>91703</v>
      </c>
      <c r="N912">
        <f t="shared" si="149"/>
        <v>427642</v>
      </c>
      <c r="O912">
        <f>IF(B912="zagraniczny",K912+O911,O911)</f>
        <v>421</v>
      </c>
    </row>
    <row r="913" spans="1:15" x14ac:dyDescent="0.25">
      <c r="A913">
        <v>97317489</v>
      </c>
      <c r="B913" t="str">
        <f t="shared" si="140"/>
        <v>komorkowy</v>
      </c>
      <c r="C913" s="1">
        <v>42930</v>
      </c>
      <c r="D913" s="2">
        <v>0.34062500000000001</v>
      </c>
      <c r="E913" s="2">
        <v>0.34333333333333332</v>
      </c>
      <c r="F913" s="2">
        <f t="shared" si="141"/>
        <v>2.7083333333333126E-3</v>
      </c>
      <c r="G913">
        <f t="shared" si="142"/>
        <v>0</v>
      </c>
      <c r="H913">
        <f t="shared" si="143"/>
        <v>3</v>
      </c>
      <c r="I913">
        <f t="shared" si="144"/>
        <v>54</v>
      </c>
      <c r="J913">
        <f t="shared" si="145"/>
        <v>234</v>
      </c>
      <c r="K913">
        <f t="shared" si="146"/>
        <v>4</v>
      </c>
      <c r="L913">
        <f t="shared" si="147"/>
        <v>287939</v>
      </c>
      <c r="M913">
        <f t="shared" si="148"/>
        <v>91937</v>
      </c>
      <c r="N913">
        <f t="shared" si="149"/>
        <v>427876</v>
      </c>
      <c r="O913">
        <f>IF(B913="zagraniczny",K913+O912,O912)</f>
        <v>421</v>
      </c>
    </row>
    <row r="914" spans="1:15" x14ac:dyDescent="0.25">
      <c r="A914">
        <v>53762222</v>
      </c>
      <c r="B914" t="str">
        <f t="shared" si="140"/>
        <v>komorkowy</v>
      </c>
      <c r="C914" s="1">
        <v>42930</v>
      </c>
      <c r="D914" s="2">
        <v>0.34262731481481479</v>
      </c>
      <c r="E914" s="2">
        <v>0.34824074074074074</v>
      </c>
      <c r="F914" s="2">
        <f t="shared" si="141"/>
        <v>5.6134259259259522E-3</v>
      </c>
      <c r="G914">
        <f t="shared" si="142"/>
        <v>0</v>
      </c>
      <c r="H914">
        <f t="shared" si="143"/>
        <v>8</v>
      </c>
      <c r="I914">
        <f t="shared" si="144"/>
        <v>5</v>
      </c>
      <c r="J914">
        <f t="shared" si="145"/>
        <v>485</v>
      </c>
      <c r="K914">
        <f t="shared" si="146"/>
        <v>9</v>
      </c>
      <c r="L914">
        <f t="shared" si="147"/>
        <v>287939</v>
      </c>
      <c r="M914">
        <f t="shared" si="148"/>
        <v>92422</v>
      </c>
      <c r="N914">
        <f t="shared" si="149"/>
        <v>428361</v>
      </c>
      <c r="O914">
        <f>IF(B914="zagraniczny",K914+O913,O913)</f>
        <v>421</v>
      </c>
    </row>
    <row r="915" spans="1:15" x14ac:dyDescent="0.25">
      <c r="A915">
        <v>3363840</v>
      </c>
      <c r="B915" t="str">
        <f t="shared" si="140"/>
        <v>stacjonarny</v>
      </c>
      <c r="C915" s="1">
        <v>42930</v>
      </c>
      <c r="D915" s="2">
        <v>0.34431712962962963</v>
      </c>
      <c r="E915" s="2">
        <v>0.34605324074074073</v>
      </c>
      <c r="F915" s="2">
        <f t="shared" si="141"/>
        <v>1.7361111111111049E-3</v>
      </c>
      <c r="G915">
        <f t="shared" si="142"/>
        <v>0</v>
      </c>
      <c r="H915">
        <f t="shared" si="143"/>
        <v>2</v>
      </c>
      <c r="I915">
        <f t="shared" si="144"/>
        <v>30</v>
      </c>
      <c r="J915">
        <f t="shared" si="145"/>
        <v>150</v>
      </c>
      <c r="K915">
        <f t="shared" si="146"/>
        <v>3</v>
      </c>
      <c r="L915">
        <f t="shared" si="147"/>
        <v>288089</v>
      </c>
      <c r="M915">
        <f t="shared" si="148"/>
        <v>92422</v>
      </c>
      <c r="N915">
        <f t="shared" si="149"/>
        <v>428511</v>
      </c>
      <c r="O915">
        <f>IF(B915="zagraniczny",K915+O914,O914)</f>
        <v>421</v>
      </c>
    </row>
    <row r="916" spans="1:15" x14ac:dyDescent="0.25">
      <c r="A916">
        <v>5542324</v>
      </c>
      <c r="B916" t="str">
        <f t="shared" si="140"/>
        <v>stacjonarny</v>
      </c>
      <c r="C916" s="1">
        <v>42930</v>
      </c>
      <c r="D916" s="2">
        <v>0.34528935185185183</v>
      </c>
      <c r="E916" s="2">
        <v>0.3541435185185185</v>
      </c>
      <c r="F916" s="2">
        <f t="shared" si="141"/>
        <v>8.854166666666663E-3</v>
      </c>
      <c r="G916">
        <f t="shared" si="142"/>
        <v>0</v>
      </c>
      <c r="H916">
        <f t="shared" si="143"/>
        <v>12</v>
      </c>
      <c r="I916">
        <f t="shared" si="144"/>
        <v>45</v>
      </c>
      <c r="J916">
        <f t="shared" si="145"/>
        <v>765</v>
      </c>
      <c r="K916">
        <f t="shared" si="146"/>
        <v>13</v>
      </c>
      <c r="L916">
        <f t="shared" si="147"/>
        <v>288854</v>
      </c>
      <c r="M916">
        <f t="shared" si="148"/>
        <v>92422</v>
      </c>
      <c r="N916">
        <f t="shared" si="149"/>
        <v>429276</v>
      </c>
      <c r="O916">
        <f>IF(B916="zagraniczny",K916+O915,O915)</f>
        <v>421</v>
      </c>
    </row>
    <row r="917" spans="1:15" x14ac:dyDescent="0.25">
      <c r="A917">
        <v>9853612</v>
      </c>
      <c r="B917" t="str">
        <f t="shared" si="140"/>
        <v>stacjonarny</v>
      </c>
      <c r="C917" s="1">
        <v>42930</v>
      </c>
      <c r="D917" s="2">
        <v>0.34848379629629628</v>
      </c>
      <c r="E917" s="2">
        <v>0.35927083333333332</v>
      </c>
      <c r="F917" s="2">
        <f t="shared" si="141"/>
        <v>1.0787037037037039E-2</v>
      </c>
      <c r="G917">
        <f t="shared" si="142"/>
        <v>0</v>
      </c>
      <c r="H917">
        <f t="shared" si="143"/>
        <v>15</v>
      </c>
      <c r="I917">
        <f t="shared" si="144"/>
        <v>32</v>
      </c>
      <c r="J917">
        <f t="shared" si="145"/>
        <v>932</v>
      </c>
      <c r="K917">
        <f t="shared" si="146"/>
        <v>16</v>
      </c>
      <c r="L917">
        <f t="shared" si="147"/>
        <v>289786</v>
      </c>
      <c r="M917">
        <f t="shared" si="148"/>
        <v>92422</v>
      </c>
      <c r="N917">
        <f t="shared" si="149"/>
        <v>430208</v>
      </c>
      <c r="O917">
        <f>IF(B917="zagraniczny",K917+O916,O916)</f>
        <v>421</v>
      </c>
    </row>
    <row r="918" spans="1:15" x14ac:dyDescent="0.25">
      <c r="A918">
        <v>5392799</v>
      </c>
      <c r="B918" t="str">
        <f t="shared" si="140"/>
        <v>stacjonarny</v>
      </c>
      <c r="C918" s="1">
        <v>42930</v>
      </c>
      <c r="D918" s="2">
        <v>0.35270833333333335</v>
      </c>
      <c r="E918" s="2">
        <v>0.36254629629629631</v>
      </c>
      <c r="F918" s="2">
        <f t="shared" si="141"/>
        <v>9.837962962962965E-3</v>
      </c>
      <c r="G918">
        <f t="shared" si="142"/>
        <v>0</v>
      </c>
      <c r="H918">
        <f t="shared" si="143"/>
        <v>14</v>
      </c>
      <c r="I918">
        <f t="shared" si="144"/>
        <v>10</v>
      </c>
      <c r="J918">
        <f t="shared" si="145"/>
        <v>850</v>
      </c>
      <c r="K918">
        <f t="shared" si="146"/>
        <v>15</v>
      </c>
      <c r="L918">
        <f t="shared" si="147"/>
        <v>290636</v>
      </c>
      <c r="M918">
        <f t="shared" si="148"/>
        <v>92422</v>
      </c>
      <c r="N918">
        <f t="shared" si="149"/>
        <v>431058</v>
      </c>
      <c r="O918">
        <f>IF(B918="zagraniczny",K918+O917,O917)</f>
        <v>421</v>
      </c>
    </row>
    <row r="919" spans="1:15" x14ac:dyDescent="0.25">
      <c r="A919">
        <v>1089768</v>
      </c>
      <c r="B919" t="str">
        <f t="shared" si="140"/>
        <v>stacjonarny</v>
      </c>
      <c r="C919" s="1">
        <v>42930</v>
      </c>
      <c r="D919" s="2">
        <v>0.35497685185185185</v>
      </c>
      <c r="E919" s="2">
        <v>0.36493055555555554</v>
      </c>
      <c r="F919" s="2">
        <f t="shared" si="141"/>
        <v>9.9537037037036868E-3</v>
      </c>
      <c r="G919">
        <f t="shared" si="142"/>
        <v>0</v>
      </c>
      <c r="H919">
        <f t="shared" si="143"/>
        <v>14</v>
      </c>
      <c r="I919">
        <f t="shared" si="144"/>
        <v>20</v>
      </c>
      <c r="J919">
        <f t="shared" si="145"/>
        <v>860</v>
      </c>
      <c r="K919">
        <f t="shared" si="146"/>
        <v>15</v>
      </c>
      <c r="L919">
        <f t="shared" si="147"/>
        <v>291496</v>
      </c>
      <c r="M919">
        <f t="shared" si="148"/>
        <v>92422</v>
      </c>
      <c r="N919">
        <f t="shared" si="149"/>
        <v>431918</v>
      </c>
      <c r="O919">
        <f>IF(B919="zagraniczny",K919+O918,O918)</f>
        <v>421</v>
      </c>
    </row>
    <row r="920" spans="1:15" x14ac:dyDescent="0.25">
      <c r="A920">
        <v>4274311</v>
      </c>
      <c r="B920" t="str">
        <f t="shared" si="140"/>
        <v>stacjonarny</v>
      </c>
      <c r="C920" s="1">
        <v>42930</v>
      </c>
      <c r="D920" s="2">
        <v>0.35699074074074072</v>
      </c>
      <c r="E920" s="2">
        <v>0.36554398148148148</v>
      </c>
      <c r="F920" s="2">
        <f t="shared" si="141"/>
        <v>8.553240740740764E-3</v>
      </c>
      <c r="G920">
        <f t="shared" si="142"/>
        <v>0</v>
      </c>
      <c r="H920">
        <f t="shared" si="143"/>
        <v>12</v>
      </c>
      <c r="I920">
        <f t="shared" si="144"/>
        <v>19</v>
      </c>
      <c r="J920">
        <f t="shared" si="145"/>
        <v>739</v>
      </c>
      <c r="K920">
        <f t="shared" si="146"/>
        <v>13</v>
      </c>
      <c r="L920">
        <f t="shared" si="147"/>
        <v>292235</v>
      </c>
      <c r="M920">
        <f t="shared" si="148"/>
        <v>92422</v>
      </c>
      <c r="N920">
        <f t="shared" si="149"/>
        <v>432657</v>
      </c>
      <c r="O920">
        <f>IF(B920="zagraniczny",K920+O919,O919)</f>
        <v>421</v>
      </c>
    </row>
    <row r="921" spans="1:15" x14ac:dyDescent="0.25">
      <c r="A921">
        <v>8276893</v>
      </c>
      <c r="B921" t="str">
        <f t="shared" si="140"/>
        <v>stacjonarny</v>
      </c>
      <c r="C921" s="1">
        <v>42930</v>
      </c>
      <c r="D921" s="2">
        <v>0.36056712962962961</v>
      </c>
      <c r="E921" s="2">
        <v>0.36929398148148146</v>
      </c>
      <c r="F921" s="2">
        <f t="shared" si="141"/>
        <v>8.7268518518518468E-3</v>
      </c>
      <c r="G921">
        <f t="shared" si="142"/>
        <v>0</v>
      </c>
      <c r="H921">
        <f t="shared" si="143"/>
        <v>12</v>
      </c>
      <c r="I921">
        <f t="shared" si="144"/>
        <v>34</v>
      </c>
      <c r="J921">
        <f t="shared" si="145"/>
        <v>754</v>
      </c>
      <c r="K921">
        <f t="shared" si="146"/>
        <v>13</v>
      </c>
      <c r="L921">
        <f t="shared" si="147"/>
        <v>292989</v>
      </c>
      <c r="M921">
        <f t="shared" si="148"/>
        <v>92422</v>
      </c>
      <c r="N921">
        <f t="shared" si="149"/>
        <v>433411</v>
      </c>
      <c r="O921">
        <f>IF(B921="zagraniczny",K921+O920,O920)</f>
        <v>421</v>
      </c>
    </row>
    <row r="922" spans="1:15" x14ac:dyDescent="0.25">
      <c r="A922">
        <v>24724114</v>
      </c>
      <c r="B922" t="str">
        <f t="shared" si="140"/>
        <v>komorkowy</v>
      </c>
      <c r="C922" s="1">
        <v>42930</v>
      </c>
      <c r="D922" s="2">
        <v>0.36212962962962963</v>
      </c>
      <c r="E922" s="2">
        <v>0.36342592592592593</v>
      </c>
      <c r="F922" s="2">
        <f t="shared" si="141"/>
        <v>1.2962962962962954E-3</v>
      </c>
      <c r="G922">
        <f t="shared" si="142"/>
        <v>0</v>
      </c>
      <c r="H922">
        <f t="shared" si="143"/>
        <v>1</v>
      </c>
      <c r="I922">
        <f t="shared" si="144"/>
        <v>52</v>
      </c>
      <c r="J922">
        <f t="shared" si="145"/>
        <v>112</v>
      </c>
      <c r="K922">
        <f t="shared" si="146"/>
        <v>2</v>
      </c>
      <c r="L922">
        <f t="shared" si="147"/>
        <v>292989</v>
      </c>
      <c r="M922">
        <f t="shared" si="148"/>
        <v>92534</v>
      </c>
      <c r="N922">
        <f t="shared" si="149"/>
        <v>433523</v>
      </c>
      <c r="O922">
        <f>IF(B922="zagraniczny",K922+O921,O921)</f>
        <v>421</v>
      </c>
    </row>
    <row r="923" spans="1:15" x14ac:dyDescent="0.25">
      <c r="A923">
        <v>23580194</v>
      </c>
      <c r="B923" t="str">
        <f t="shared" si="140"/>
        <v>komorkowy</v>
      </c>
      <c r="C923" s="1">
        <v>42930</v>
      </c>
      <c r="D923" s="2">
        <v>0.36516203703703703</v>
      </c>
      <c r="E923" s="2">
        <v>0.37596064814814817</v>
      </c>
      <c r="F923" s="2">
        <f t="shared" si="141"/>
        <v>1.0798611111111134E-2</v>
      </c>
      <c r="G923">
        <f t="shared" si="142"/>
        <v>0</v>
      </c>
      <c r="H923">
        <f t="shared" si="143"/>
        <v>15</v>
      </c>
      <c r="I923">
        <f t="shared" si="144"/>
        <v>33</v>
      </c>
      <c r="J923">
        <f t="shared" si="145"/>
        <v>933</v>
      </c>
      <c r="K923">
        <f t="shared" si="146"/>
        <v>16</v>
      </c>
      <c r="L923">
        <f t="shared" si="147"/>
        <v>292989</v>
      </c>
      <c r="M923">
        <f t="shared" si="148"/>
        <v>93467</v>
      </c>
      <c r="N923">
        <f t="shared" si="149"/>
        <v>434456</v>
      </c>
      <c r="O923">
        <f>IF(B923="zagraniczny",K923+O922,O922)</f>
        <v>421</v>
      </c>
    </row>
    <row r="924" spans="1:15" x14ac:dyDescent="0.25">
      <c r="A924">
        <v>1775131</v>
      </c>
      <c r="B924" t="str">
        <f t="shared" si="140"/>
        <v>stacjonarny</v>
      </c>
      <c r="C924" s="1">
        <v>42930</v>
      </c>
      <c r="D924" s="2">
        <v>0.36922453703703706</v>
      </c>
      <c r="E924" s="2">
        <v>0.36994212962962963</v>
      </c>
      <c r="F924" s="2">
        <f t="shared" si="141"/>
        <v>7.1759259259257524E-4</v>
      </c>
      <c r="G924">
        <f t="shared" si="142"/>
        <v>0</v>
      </c>
      <c r="H924">
        <f t="shared" si="143"/>
        <v>1</v>
      </c>
      <c r="I924">
        <f t="shared" si="144"/>
        <v>2</v>
      </c>
      <c r="J924">
        <f t="shared" si="145"/>
        <v>62</v>
      </c>
      <c r="K924">
        <f t="shared" si="146"/>
        <v>2</v>
      </c>
      <c r="L924">
        <f t="shared" si="147"/>
        <v>293051</v>
      </c>
      <c r="M924">
        <f t="shared" si="148"/>
        <v>93467</v>
      </c>
      <c r="N924">
        <f t="shared" si="149"/>
        <v>434518</v>
      </c>
      <c r="O924">
        <f>IF(B924="zagraniczny",K924+O923,O923)</f>
        <v>421</v>
      </c>
    </row>
    <row r="925" spans="1:15" x14ac:dyDescent="0.25">
      <c r="A925">
        <v>8001915</v>
      </c>
      <c r="B925" t="str">
        <f t="shared" si="140"/>
        <v>stacjonarny</v>
      </c>
      <c r="C925" s="1">
        <v>42930</v>
      </c>
      <c r="D925" s="2">
        <v>0.3712037037037037</v>
      </c>
      <c r="E925" s="2">
        <v>0.38064814814814812</v>
      </c>
      <c r="F925" s="2">
        <f t="shared" si="141"/>
        <v>9.444444444444422E-3</v>
      </c>
      <c r="G925">
        <f t="shared" si="142"/>
        <v>0</v>
      </c>
      <c r="H925">
        <f t="shared" si="143"/>
        <v>13</v>
      </c>
      <c r="I925">
        <f t="shared" si="144"/>
        <v>36</v>
      </c>
      <c r="J925">
        <f t="shared" si="145"/>
        <v>816</v>
      </c>
      <c r="K925">
        <f t="shared" si="146"/>
        <v>14</v>
      </c>
      <c r="L925">
        <f t="shared" si="147"/>
        <v>293867</v>
      </c>
      <c r="M925">
        <f t="shared" si="148"/>
        <v>93467</v>
      </c>
      <c r="N925">
        <f t="shared" si="149"/>
        <v>435334</v>
      </c>
      <c r="O925">
        <f>IF(B925="zagraniczny",K925+O924,O924)</f>
        <v>421</v>
      </c>
    </row>
    <row r="926" spans="1:15" x14ac:dyDescent="0.25">
      <c r="A926">
        <v>7508054</v>
      </c>
      <c r="B926" t="str">
        <f t="shared" si="140"/>
        <v>stacjonarny</v>
      </c>
      <c r="C926" s="1">
        <v>42930</v>
      </c>
      <c r="D926" s="2">
        <v>0.37480324074074073</v>
      </c>
      <c r="E926" s="2">
        <v>0.38201388888888888</v>
      </c>
      <c r="F926" s="2">
        <f t="shared" si="141"/>
        <v>7.2106481481481466E-3</v>
      </c>
      <c r="G926">
        <f t="shared" si="142"/>
        <v>0</v>
      </c>
      <c r="H926">
        <f t="shared" si="143"/>
        <v>10</v>
      </c>
      <c r="I926">
        <f t="shared" si="144"/>
        <v>23</v>
      </c>
      <c r="J926">
        <f t="shared" si="145"/>
        <v>623</v>
      </c>
      <c r="K926">
        <f t="shared" si="146"/>
        <v>11</v>
      </c>
      <c r="L926">
        <f t="shared" si="147"/>
        <v>294490</v>
      </c>
      <c r="M926">
        <f t="shared" si="148"/>
        <v>93467</v>
      </c>
      <c r="N926">
        <f t="shared" si="149"/>
        <v>435957</v>
      </c>
      <c r="O926">
        <f>IF(B926="zagraniczny",K926+O925,O925)</f>
        <v>421</v>
      </c>
    </row>
    <row r="927" spans="1:15" x14ac:dyDescent="0.25">
      <c r="A927">
        <v>5854377</v>
      </c>
      <c r="B927" t="str">
        <f t="shared" si="140"/>
        <v>stacjonarny</v>
      </c>
      <c r="C927" s="1">
        <v>42930</v>
      </c>
      <c r="D927" s="2">
        <v>0.37506944444444446</v>
      </c>
      <c r="E927" s="2">
        <v>0.37829861111111113</v>
      </c>
      <c r="F927" s="2">
        <f t="shared" si="141"/>
        <v>3.2291666666666718E-3</v>
      </c>
      <c r="G927">
        <f t="shared" si="142"/>
        <v>0</v>
      </c>
      <c r="H927">
        <f t="shared" si="143"/>
        <v>4</v>
      </c>
      <c r="I927">
        <f t="shared" si="144"/>
        <v>39</v>
      </c>
      <c r="J927">
        <f t="shared" si="145"/>
        <v>279</v>
      </c>
      <c r="K927">
        <f t="shared" si="146"/>
        <v>5</v>
      </c>
      <c r="L927">
        <f t="shared" si="147"/>
        <v>294769</v>
      </c>
      <c r="M927">
        <f t="shared" si="148"/>
        <v>93467</v>
      </c>
      <c r="N927">
        <f t="shared" si="149"/>
        <v>436236</v>
      </c>
      <c r="O927">
        <f>IF(B927="zagraniczny",K927+O926,O926)</f>
        <v>421</v>
      </c>
    </row>
    <row r="928" spans="1:15" x14ac:dyDescent="0.25">
      <c r="A928">
        <v>3478173</v>
      </c>
      <c r="B928" t="str">
        <f t="shared" si="140"/>
        <v>stacjonarny</v>
      </c>
      <c r="C928" s="1">
        <v>42930</v>
      </c>
      <c r="D928" s="2">
        <v>0.37942129629629628</v>
      </c>
      <c r="E928" s="2">
        <v>0.38388888888888889</v>
      </c>
      <c r="F928" s="2">
        <f t="shared" si="141"/>
        <v>4.4675925925926063E-3</v>
      </c>
      <c r="G928">
        <f t="shared" si="142"/>
        <v>0</v>
      </c>
      <c r="H928">
        <f t="shared" si="143"/>
        <v>6</v>
      </c>
      <c r="I928">
        <f t="shared" si="144"/>
        <v>26</v>
      </c>
      <c r="J928">
        <f t="shared" si="145"/>
        <v>386</v>
      </c>
      <c r="K928">
        <f t="shared" si="146"/>
        <v>7</v>
      </c>
      <c r="L928">
        <f t="shared" si="147"/>
        <v>295155</v>
      </c>
      <c r="M928">
        <f t="shared" si="148"/>
        <v>93467</v>
      </c>
      <c r="N928">
        <f t="shared" si="149"/>
        <v>436622</v>
      </c>
      <c r="O928">
        <f>IF(B928="zagraniczny",K928+O927,O927)</f>
        <v>421</v>
      </c>
    </row>
    <row r="929" spans="1:15" x14ac:dyDescent="0.25">
      <c r="A929">
        <v>3999937</v>
      </c>
      <c r="B929" t="str">
        <f t="shared" si="140"/>
        <v>stacjonarny</v>
      </c>
      <c r="C929" s="1">
        <v>42930</v>
      </c>
      <c r="D929" s="2">
        <v>0.38447916666666665</v>
      </c>
      <c r="E929" s="2">
        <v>0.39068287037037036</v>
      </c>
      <c r="F929" s="2">
        <f t="shared" si="141"/>
        <v>6.2037037037037113E-3</v>
      </c>
      <c r="G929">
        <f t="shared" si="142"/>
        <v>0</v>
      </c>
      <c r="H929">
        <f t="shared" si="143"/>
        <v>8</v>
      </c>
      <c r="I929">
        <f t="shared" si="144"/>
        <v>56</v>
      </c>
      <c r="J929">
        <f t="shared" si="145"/>
        <v>536</v>
      </c>
      <c r="K929">
        <f t="shared" si="146"/>
        <v>9</v>
      </c>
      <c r="L929">
        <f t="shared" si="147"/>
        <v>295691</v>
      </c>
      <c r="M929">
        <f t="shared" si="148"/>
        <v>93467</v>
      </c>
      <c r="N929">
        <f t="shared" si="149"/>
        <v>437158</v>
      </c>
      <c r="O929">
        <f>IF(B929="zagraniczny",K929+O928,O928)</f>
        <v>421</v>
      </c>
    </row>
    <row r="930" spans="1:15" x14ac:dyDescent="0.25">
      <c r="A930">
        <v>83559673</v>
      </c>
      <c r="B930" t="str">
        <f t="shared" si="140"/>
        <v>komorkowy</v>
      </c>
      <c r="C930" s="1">
        <v>42930</v>
      </c>
      <c r="D930" s="2">
        <v>0.38571759259259258</v>
      </c>
      <c r="E930" s="2">
        <v>0.39630787037037035</v>
      </c>
      <c r="F930" s="2">
        <f t="shared" si="141"/>
        <v>1.0590277777777768E-2</v>
      </c>
      <c r="G930">
        <f t="shared" si="142"/>
        <v>0</v>
      </c>
      <c r="H930">
        <f t="shared" si="143"/>
        <v>15</v>
      </c>
      <c r="I930">
        <f t="shared" si="144"/>
        <v>15</v>
      </c>
      <c r="J930">
        <f t="shared" si="145"/>
        <v>915</v>
      </c>
      <c r="K930">
        <f t="shared" si="146"/>
        <v>16</v>
      </c>
      <c r="L930">
        <f t="shared" si="147"/>
        <v>295691</v>
      </c>
      <c r="M930">
        <f t="shared" si="148"/>
        <v>94382</v>
      </c>
      <c r="N930">
        <f t="shared" si="149"/>
        <v>438073</v>
      </c>
      <c r="O930">
        <f>IF(B930="zagraniczny",K930+O929,O929)</f>
        <v>421</v>
      </c>
    </row>
    <row r="931" spans="1:15" x14ac:dyDescent="0.25">
      <c r="A931">
        <v>1355775</v>
      </c>
      <c r="B931" t="str">
        <f t="shared" si="140"/>
        <v>stacjonarny</v>
      </c>
      <c r="C931" s="1">
        <v>42930</v>
      </c>
      <c r="D931" s="2">
        <v>0.38942129629629629</v>
      </c>
      <c r="E931" s="2">
        <v>0.39034722222222223</v>
      </c>
      <c r="F931" s="2">
        <f t="shared" si="141"/>
        <v>9.2592592592594114E-4</v>
      </c>
      <c r="G931">
        <f t="shared" si="142"/>
        <v>0</v>
      </c>
      <c r="H931">
        <f t="shared" si="143"/>
        <v>1</v>
      </c>
      <c r="I931">
        <f t="shared" si="144"/>
        <v>20</v>
      </c>
      <c r="J931">
        <f t="shared" si="145"/>
        <v>80</v>
      </c>
      <c r="K931">
        <f t="shared" si="146"/>
        <v>2</v>
      </c>
      <c r="L931">
        <f t="shared" si="147"/>
        <v>295771</v>
      </c>
      <c r="M931">
        <f t="shared" si="148"/>
        <v>94382</v>
      </c>
      <c r="N931">
        <f t="shared" si="149"/>
        <v>438153</v>
      </c>
      <c r="O931">
        <f>IF(B931="zagraniczny",K931+O930,O930)</f>
        <v>421</v>
      </c>
    </row>
    <row r="932" spans="1:15" x14ac:dyDescent="0.25">
      <c r="A932">
        <v>3463982286</v>
      </c>
      <c r="B932" t="str">
        <f t="shared" si="140"/>
        <v>zagraniczny</v>
      </c>
      <c r="C932" s="1">
        <v>42930</v>
      </c>
      <c r="D932" s="2">
        <v>0.39506944444444442</v>
      </c>
      <c r="E932" s="2">
        <v>0.40261574074074075</v>
      </c>
      <c r="F932" s="2">
        <f t="shared" si="141"/>
        <v>7.5462962962963287E-3</v>
      </c>
      <c r="G932">
        <f t="shared" si="142"/>
        <v>0</v>
      </c>
      <c r="H932">
        <f t="shared" si="143"/>
        <v>10</v>
      </c>
      <c r="I932">
        <f t="shared" si="144"/>
        <v>52</v>
      </c>
      <c r="J932">
        <f t="shared" si="145"/>
        <v>652</v>
      </c>
      <c r="K932">
        <f t="shared" si="146"/>
        <v>11</v>
      </c>
      <c r="L932">
        <f t="shared" si="147"/>
        <v>295771</v>
      </c>
      <c r="M932">
        <f t="shared" si="148"/>
        <v>94382</v>
      </c>
      <c r="N932">
        <f t="shared" si="149"/>
        <v>438153</v>
      </c>
      <c r="O932">
        <f>IF(B932="zagraniczny",K932+O931,O931)</f>
        <v>432</v>
      </c>
    </row>
    <row r="933" spans="1:15" x14ac:dyDescent="0.25">
      <c r="A933">
        <v>8870498</v>
      </c>
      <c r="B933" t="str">
        <f t="shared" si="140"/>
        <v>stacjonarny</v>
      </c>
      <c r="C933" s="1">
        <v>42930</v>
      </c>
      <c r="D933" s="2">
        <v>0.4001736111111111</v>
      </c>
      <c r="E933" s="2">
        <v>0.40182870370370372</v>
      </c>
      <c r="F933" s="2">
        <f t="shared" si="141"/>
        <v>1.6550925925926108E-3</v>
      </c>
      <c r="G933">
        <f t="shared" si="142"/>
        <v>0</v>
      </c>
      <c r="H933">
        <f t="shared" si="143"/>
        <v>2</v>
      </c>
      <c r="I933">
        <f t="shared" si="144"/>
        <v>23</v>
      </c>
      <c r="J933">
        <f t="shared" si="145"/>
        <v>143</v>
      </c>
      <c r="K933">
        <f t="shared" si="146"/>
        <v>3</v>
      </c>
      <c r="L933">
        <f t="shared" si="147"/>
        <v>295914</v>
      </c>
      <c r="M933">
        <f t="shared" si="148"/>
        <v>94382</v>
      </c>
      <c r="N933">
        <f t="shared" si="149"/>
        <v>438296</v>
      </c>
      <c r="O933">
        <f>IF(B933="zagraniczny",K933+O932,O932)</f>
        <v>432</v>
      </c>
    </row>
    <row r="934" spans="1:15" x14ac:dyDescent="0.25">
      <c r="A934">
        <v>9894998</v>
      </c>
      <c r="B934" t="str">
        <f t="shared" si="140"/>
        <v>stacjonarny</v>
      </c>
      <c r="C934" s="1">
        <v>42930</v>
      </c>
      <c r="D934" s="2">
        <v>0.40337962962962964</v>
      </c>
      <c r="E934" s="2">
        <v>0.41137731481481482</v>
      </c>
      <c r="F934" s="2">
        <f t="shared" si="141"/>
        <v>7.9976851851851771E-3</v>
      </c>
      <c r="G934">
        <f t="shared" si="142"/>
        <v>0</v>
      </c>
      <c r="H934">
        <f t="shared" si="143"/>
        <v>11</v>
      </c>
      <c r="I934">
        <f t="shared" si="144"/>
        <v>31</v>
      </c>
      <c r="J934">
        <f t="shared" si="145"/>
        <v>691</v>
      </c>
      <c r="K934">
        <f t="shared" si="146"/>
        <v>12</v>
      </c>
      <c r="L934">
        <f t="shared" si="147"/>
        <v>296605</v>
      </c>
      <c r="M934">
        <f t="shared" si="148"/>
        <v>94382</v>
      </c>
      <c r="N934">
        <f t="shared" si="149"/>
        <v>438987</v>
      </c>
      <c r="O934">
        <f>IF(B934="zagraniczny",K934+O933,O933)</f>
        <v>432</v>
      </c>
    </row>
    <row r="935" spans="1:15" x14ac:dyDescent="0.25">
      <c r="A935">
        <v>8841955</v>
      </c>
      <c r="B935" t="str">
        <f t="shared" si="140"/>
        <v>stacjonarny</v>
      </c>
      <c r="C935" s="1">
        <v>42930</v>
      </c>
      <c r="D935" s="2">
        <v>0.40635416666666668</v>
      </c>
      <c r="E935" s="2">
        <v>0.40642361111111114</v>
      </c>
      <c r="F935" s="2">
        <f t="shared" si="141"/>
        <v>6.94444444444553E-5</v>
      </c>
      <c r="G935">
        <f t="shared" si="142"/>
        <v>0</v>
      </c>
      <c r="H935">
        <f t="shared" si="143"/>
        <v>0</v>
      </c>
      <c r="I935">
        <f t="shared" si="144"/>
        <v>6</v>
      </c>
      <c r="J935">
        <f t="shared" si="145"/>
        <v>6</v>
      </c>
      <c r="K935">
        <f t="shared" si="146"/>
        <v>1</v>
      </c>
      <c r="L935">
        <f t="shared" si="147"/>
        <v>296611</v>
      </c>
      <c r="M935">
        <f t="shared" si="148"/>
        <v>94382</v>
      </c>
      <c r="N935">
        <f t="shared" si="149"/>
        <v>438993</v>
      </c>
      <c r="O935">
        <f>IF(B935="zagraniczny",K935+O934,O934)</f>
        <v>432</v>
      </c>
    </row>
    <row r="936" spans="1:15" x14ac:dyDescent="0.25">
      <c r="A936">
        <v>7379567</v>
      </c>
      <c r="B936" t="str">
        <f t="shared" si="140"/>
        <v>stacjonarny</v>
      </c>
      <c r="C936" s="1">
        <v>42930</v>
      </c>
      <c r="D936" s="2">
        <v>0.4098148148148148</v>
      </c>
      <c r="E936" s="2">
        <v>0.41626157407407405</v>
      </c>
      <c r="F936" s="2">
        <f t="shared" si="141"/>
        <v>6.4467592592592493E-3</v>
      </c>
      <c r="G936">
        <f t="shared" si="142"/>
        <v>0</v>
      </c>
      <c r="H936">
        <f t="shared" si="143"/>
        <v>9</v>
      </c>
      <c r="I936">
        <f t="shared" si="144"/>
        <v>17</v>
      </c>
      <c r="J936">
        <f t="shared" si="145"/>
        <v>557</v>
      </c>
      <c r="K936">
        <f t="shared" si="146"/>
        <v>10</v>
      </c>
      <c r="L936">
        <f t="shared" si="147"/>
        <v>297168</v>
      </c>
      <c r="M936">
        <f t="shared" si="148"/>
        <v>94382</v>
      </c>
      <c r="N936">
        <f t="shared" si="149"/>
        <v>439550</v>
      </c>
      <c r="O936">
        <f>IF(B936="zagraniczny",K936+O935,O935)</f>
        <v>432</v>
      </c>
    </row>
    <row r="937" spans="1:15" x14ac:dyDescent="0.25">
      <c r="A937">
        <v>2092198</v>
      </c>
      <c r="B937" t="str">
        <f t="shared" si="140"/>
        <v>stacjonarny</v>
      </c>
      <c r="C937" s="1">
        <v>42930</v>
      </c>
      <c r="D937" s="2">
        <v>0.41068287037037038</v>
      </c>
      <c r="E937" s="2">
        <v>0.41288194444444443</v>
      </c>
      <c r="F937" s="2">
        <f t="shared" si="141"/>
        <v>2.1990740740740478E-3</v>
      </c>
      <c r="G937">
        <f t="shared" si="142"/>
        <v>0</v>
      </c>
      <c r="H937">
        <f t="shared" si="143"/>
        <v>3</v>
      </c>
      <c r="I937">
        <f t="shared" si="144"/>
        <v>10</v>
      </c>
      <c r="J937">
        <f t="shared" si="145"/>
        <v>190</v>
      </c>
      <c r="K937">
        <f t="shared" si="146"/>
        <v>4</v>
      </c>
      <c r="L937">
        <f t="shared" si="147"/>
        <v>297358</v>
      </c>
      <c r="M937">
        <f t="shared" si="148"/>
        <v>94382</v>
      </c>
      <c r="N937">
        <f t="shared" si="149"/>
        <v>439740</v>
      </c>
      <c r="O937">
        <f>IF(B937="zagraniczny",K937+O936,O936)</f>
        <v>432</v>
      </c>
    </row>
    <row r="938" spans="1:15" x14ac:dyDescent="0.25">
      <c r="A938">
        <v>6006309</v>
      </c>
      <c r="B938" t="str">
        <f t="shared" si="140"/>
        <v>stacjonarny</v>
      </c>
      <c r="C938" s="1">
        <v>42930</v>
      </c>
      <c r="D938" s="2">
        <v>0.41601851851851851</v>
      </c>
      <c r="E938" s="2">
        <v>0.41792824074074075</v>
      </c>
      <c r="F938" s="2">
        <f t="shared" si="141"/>
        <v>1.9097222222222432E-3</v>
      </c>
      <c r="G938">
        <f t="shared" si="142"/>
        <v>0</v>
      </c>
      <c r="H938">
        <f t="shared" si="143"/>
        <v>2</v>
      </c>
      <c r="I938">
        <f t="shared" si="144"/>
        <v>45</v>
      </c>
      <c r="J938">
        <f t="shared" si="145"/>
        <v>165</v>
      </c>
      <c r="K938">
        <f t="shared" si="146"/>
        <v>3</v>
      </c>
      <c r="L938">
        <f t="shared" si="147"/>
        <v>297523</v>
      </c>
      <c r="M938">
        <f t="shared" si="148"/>
        <v>94382</v>
      </c>
      <c r="N938">
        <f t="shared" si="149"/>
        <v>439905</v>
      </c>
      <c r="O938">
        <f>IF(B938="zagraniczny",K938+O937,O937)</f>
        <v>432</v>
      </c>
    </row>
    <row r="939" spans="1:15" x14ac:dyDescent="0.25">
      <c r="A939">
        <v>6736331</v>
      </c>
      <c r="B939" t="str">
        <f t="shared" si="140"/>
        <v>stacjonarny</v>
      </c>
      <c r="C939" s="1">
        <v>42930</v>
      </c>
      <c r="D939" s="2">
        <v>0.41616898148148146</v>
      </c>
      <c r="E939" s="2">
        <v>0.42019675925925926</v>
      </c>
      <c r="F939" s="2">
        <f t="shared" si="141"/>
        <v>4.0277777777777968E-3</v>
      </c>
      <c r="G939">
        <f t="shared" si="142"/>
        <v>0</v>
      </c>
      <c r="H939">
        <f t="shared" si="143"/>
        <v>5</v>
      </c>
      <c r="I939">
        <f t="shared" si="144"/>
        <v>48</v>
      </c>
      <c r="J939">
        <f t="shared" si="145"/>
        <v>348</v>
      </c>
      <c r="K939">
        <f t="shared" si="146"/>
        <v>6</v>
      </c>
      <c r="L939">
        <f t="shared" si="147"/>
        <v>297871</v>
      </c>
      <c r="M939">
        <f t="shared" si="148"/>
        <v>94382</v>
      </c>
      <c r="N939">
        <f t="shared" si="149"/>
        <v>440253</v>
      </c>
      <c r="O939">
        <f>IF(B939="zagraniczny",K939+O938,O938)</f>
        <v>432</v>
      </c>
    </row>
    <row r="940" spans="1:15" x14ac:dyDescent="0.25">
      <c r="A940">
        <v>7291318</v>
      </c>
      <c r="B940" t="str">
        <f t="shared" si="140"/>
        <v>stacjonarny</v>
      </c>
      <c r="C940" s="1">
        <v>42930</v>
      </c>
      <c r="D940" s="2">
        <v>0.41781249999999998</v>
      </c>
      <c r="E940" s="2">
        <v>0.42886574074074074</v>
      </c>
      <c r="F940" s="2">
        <f t="shared" si="141"/>
        <v>1.1053240740740766E-2</v>
      </c>
      <c r="G940">
        <f t="shared" si="142"/>
        <v>0</v>
      </c>
      <c r="H940">
        <f t="shared" si="143"/>
        <v>15</v>
      </c>
      <c r="I940">
        <f t="shared" si="144"/>
        <v>55</v>
      </c>
      <c r="J940">
        <f t="shared" si="145"/>
        <v>955</v>
      </c>
      <c r="K940">
        <f t="shared" si="146"/>
        <v>16</v>
      </c>
      <c r="L940">
        <f t="shared" si="147"/>
        <v>298826</v>
      </c>
      <c r="M940">
        <f t="shared" si="148"/>
        <v>94382</v>
      </c>
      <c r="N940">
        <f t="shared" si="149"/>
        <v>441208</v>
      </c>
      <c r="O940">
        <f>IF(B940="zagraniczny",K940+O939,O939)</f>
        <v>432</v>
      </c>
    </row>
    <row r="941" spans="1:15" x14ac:dyDescent="0.25">
      <c r="A941">
        <v>30178521</v>
      </c>
      <c r="B941" t="str">
        <f t="shared" si="140"/>
        <v>komorkowy</v>
      </c>
      <c r="C941" s="1">
        <v>42930</v>
      </c>
      <c r="D941" s="2">
        <v>0.42238425925925926</v>
      </c>
      <c r="E941" s="2">
        <v>0.42388888888888887</v>
      </c>
      <c r="F941" s="2">
        <f t="shared" si="141"/>
        <v>1.5046296296296058E-3</v>
      </c>
      <c r="G941">
        <f t="shared" si="142"/>
        <v>0</v>
      </c>
      <c r="H941">
        <f t="shared" si="143"/>
        <v>2</v>
      </c>
      <c r="I941">
        <f t="shared" si="144"/>
        <v>10</v>
      </c>
      <c r="J941">
        <f t="shared" si="145"/>
        <v>130</v>
      </c>
      <c r="K941">
        <f t="shared" si="146"/>
        <v>3</v>
      </c>
      <c r="L941">
        <f t="shared" si="147"/>
        <v>298826</v>
      </c>
      <c r="M941">
        <f t="shared" si="148"/>
        <v>94512</v>
      </c>
      <c r="N941">
        <f t="shared" si="149"/>
        <v>441338</v>
      </c>
      <c r="O941">
        <f>IF(B941="zagraniczny",K941+O940,O940)</f>
        <v>432</v>
      </c>
    </row>
    <row r="942" spans="1:15" x14ac:dyDescent="0.25">
      <c r="A942">
        <v>3232376</v>
      </c>
      <c r="B942" t="str">
        <f t="shared" si="140"/>
        <v>stacjonarny</v>
      </c>
      <c r="C942" s="1">
        <v>42930</v>
      </c>
      <c r="D942" s="2">
        <v>0.42584490740740738</v>
      </c>
      <c r="E942" s="2">
        <v>0.43512731481481481</v>
      </c>
      <c r="F942" s="2">
        <f t="shared" si="141"/>
        <v>9.2824074074074336E-3</v>
      </c>
      <c r="G942">
        <f t="shared" si="142"/>
        <v>0</v>
      </c>
      <c r="H942">
        <f t="shared" si="143"/>
        <v>13</v>
      </c>
      <c r="I942">
        <f t="shared" si="144"/>
        <v>22</v>
      </c>
      <c r="J942">
        <f t="shared" si="145"/>
        <v>802</v>
      </c>
      <c r="K942">
        <f t="shared" si="146"/>
        <v>14</v>
      </c>
      <c r="L942">
        <f t="shared" si="147"/>
        <v>299628</v>
      </c>
      <c r="M942">
        <f t="shared" si="148"/>
        <v>94512</v>
      </c>
      <c r="N942">
        <f t="shared" si="149"/>
        <v>442140</v>
      </c>
      <c r="O942">
        <f>IF(B942="zagraniczny",K942+O941,O941)</f>
        <v>432</v>
      </c>
    </row>
    <row r="943" spans="1:15" x14ac:dyDescent="0.25">
      <c r="A943">
        <v>7536048937</v>
      </c>
      <c r="B943" t="str">
        <f t="shared" si="140"/>
        <v>zagraniczny</v>
      </c>
      <c r="C943" s="1">
        <v>42930</v>
      </c>
      <c r="D943" s="2">
        <v>0.43115740740740743</v>
      </c>
      <c r="E943" s="2">
        <v>0.43990740740740741</v>
      </c>
      <c r="F943" s="2">
        <f t="shared" si="141"/>
        <v>8.74999999999998E-3</v>
      </c>
      <c r="G943">
        <f t="shared" si="142"/>
        <v>0</v>
      </c>
      <c r="H943">
        <f t="shared" si="143"/>
        <v>12</v>
      </c>
      <c r="I943">
        <f t="shared" si="144"/>
        <v>36</v>
      </c>
      <c r="J943">
        <f t="shared" si="145"/>
        <v>756</v>
      </c>
      <c r="K943">
        <f t="shared" si="146"/>
        <v>13</v>
      </c>
      <c r="L943">
        <f t="shared" si="147"/>
        <v>299628</v>
      </c>
      <c r="M943">
        <f t="shared" si="148"/>
        <v>94512</v>
      </c>
      <c r="N943">
        <f t="shared" si="149"/>
        <v>442140</v>
      </c>
      <c r="O943">
        <f>IF(B943="zagraniczny",K943+O942,O942)</f>
        <v>445</v>
      </c>
    </row>
    <row r="944" spans="1:15" x14ac:dyDescent="0.25">
      <c r="A944">
        <v>6026397</v>
      </c>
      <c r="B944" t="str">
        <f t="shared" si="140"/>
        <v>stacjonarny</v>
      </c>
      <c r="C944" s="1">
        <v>42930</v>
      </c>
      <c r="D944" s="2">
        <v>0.43362268518518521</v>
      </c>
      <c r="E944" s="2">
        <v>0.44447916666666665</v>
      </c>
      <c r="F944" s="2">
        <f t="shared" si="141"/>
        <v>1.0856481481481439E-2</v>
      </c>
      <c r="G944">
        <f t="shared" si="142"/>
        <v>0</v>
      </c>
      <c r="H944">
        <f t="shared" si="143"/>
        <v>15</v>
      </c>
      <c r="I944">
        <f t="shared" si="144"/>
        <v>38</v>
      </c>
      <c r="J944">
        <f t="shared" si="145"/>
        <v>938</v>
      </c>
      <c r="K944">
        <f t="shared" si="146"/>
        <v>16</v>
      </c>
      <c r="L944">
        <f t="shared" si="147"/>
        <v>300566</v>
      </c>
      <c r="M944">
        <f t="shared" si="148"/>
        <v>94512</v>
      </c>
      <c r="N944">
        <f t="shared" si="149"/>
        <v>443078</v>
      </c>
      <c r="O944">
        <f>IF(B944="zagraniczny",K944+O943,O943)</f>
        <v>445</v>
      </c>
    </row>
    <row r="945" spans="1:15" x14ac:dyDescent="0.25">
      <c r="A945">
        <v>54821549</v>
      </c>
      <c r="B945" t="str">
        <f t="shared" si="140"/>
        <v>komorkowy</v>
      </c>
      <c r="C945" s="1">
        <v>42930</v>
      </c>
      <c r="D945" s="2">
        <v>0.43517361111111114</v>
      </c>
      <c r="E945" s="2">
        <v>0.4466087962962963</v>
      </c>
      <c r="F945" s="2">
        <f t="shared" si="141"/>
        <v>1.1435185185185159E-2</v>
      </c>
      <c r="G945">
        <f t="shared" si="142"/>
        <v>0</v>
      </c>
      <c r="H945">
        <f t="shared" si="143"/>
        <v>16</v>
      </c>
      <c r="I945">
        <f t="shared" si="144"/>
        <v>28</v>
      </c>
      <c r="J945">
        <f t="shared" si="145"/>
        <v>988</v>
      </c>
      <c r="K945">
        <f t="shared" si="146"/>
        <v>17</v>
      </c>
      <c r="L945">
        <f t="shared" si="147"/>
        <v>300566</v>
      </c>
      <c r="M945">
        <f t="shared" si="148"/>
        <v>95500</v>
      </c>
      <c r="N945">
        <f t="shared" si="149"/>
        <v>444066</v>
      </c>
      <c r="O945">
        <f>IF(B945="zagraniczny",K945+O944,O944)</f>
        <v>445</v>
      </c>
    </row>
    <row r="946" spans="1:15" x14ac:dyDescent="0.25">
      <c r="A946">
        <v>4555937</v>
      </c>
      <c r="B946" t="str">
        <f t="shared" si="140"/>
        <v>stacjonarny</v>
      </c>
      <c r="C946" s="1">
        <v>42930</v>
      </c>
      <c r="D946" s="2">
        <v>0.43956018518518519</v>
      </c>
      <c r="E946" s="2">
        <v>0.44253472222222223</v>
      </c>
      <c r="F946" s="2">
        <f t="shared" si="141"/>
        <v>2.9745370370370394E-3</v>
      </c>
      <c r="G946">
        <f t="shared" si="142"/>
        <v>0</v>
      </c>
      <c r="H946">
        <f t="shared" si="143"/>
        <v>4</v>
      </c>
      <c r="I946">
        <f t="shared" si="144"/>
        <v>17</v>
      </c>
      <c r="J946">
        <f t="shared" si="145"/>
        <v>257</v>
      </c>
      <c r="K946">
        <f t="shared" si="146"/>
        <v>5</v>
      </c>
      <c r="L946">
        <f t="shared" si="147"/>
        <v>300823</v>
      </c>
      <c r="M946">
        <f t="shared" si="148"/>
        <v>95500</v>
      </c>
      <c r="N946">
        <f t="shared" si="149"/>
        <v>444323</v>
      </c>
      <c r="O946">
        <f>IF(B946="zagraniczny",K946+O945,O945)</f>
        <v>445</v>
      </c>
    </row>
    <row r="947" spans="1:15" x14ac:dyDescent="0.25">
      <c r="A947">
        <v>65621292</v>
      </c>
      <c r="B947" t="str">
        <f t="shared" si="140"/>
        <v>komorkowy</v>
      </c>
      <c r="C947" s="1">
        <v>42930</v>
      </c>
      <c r="D947" s="2">
        <v>0.44060185185185186</v>
      </c>
      <c r="E947" s="2">
        <v>0.44655092592592593</v>
      </c>
      <c r="F947" s="2">
        <f t="shared" si="141"/>
        <v>5.9490740740740788E-3</v>
      </c>
      <c r="G947">
        <f t="shared" si="142"/>
        <v>0</v>
      </c>
      <c r="H947">
        <f t="shared" si="143"/>
        <v>8</v>
      </c>
      <c r="I947">
        <f t="shared" si="144"/>
        <v>34</v>
      </c>
      <c r="J947">
        <f t="shared" si="145"/>
        <v>514</v>
      </c>
      <c r="K947">
        <f t="shared" si="146"/>
        <v>9</v>
      </c>
      <c r="L947">
        <f t="shared" si="147"/>
        <v>300823</v>
      </c>
      <c r="M947">
        <f t="shared" si="148"/>
        <v>96014</v>
      </c>
      <c r="N947">
        <f t="shared" si="149"/>
        <v>444837</v>
      </c>
      <c r="O947">
        <f>IF(B947="zagraniczny",K947+O946,O946)</f>
        <v>445</v>
      </c>
    </row>
    <row r="948" spans="1:15" x14ac:dyDescent="0.25">
      <c r="A948">
        <v>13898038</v>
      </c>
      <c r="B948" t="str">
        <f t="shared" si="140"/>
        <v>komorkowy</v>
      </c>
      <c r="C948" s="1">
        <v>42930</v>
      </c>
      <c r="D948" s="2">
        <v>0.44072916666666667</v>
      </c>
      <c r="E948" s="2">
        <v>0.4496412037037037</v>
      </c>
      <c r="F948" s="2">
        <f t="shared" si="141"/>
        <v>8.9120370370370239E-3</v>
      </c>
      <c r="G948">
        <f t="shared" si="142"/>
        <v>0</v>
      </c>
      <c r="H948">
        <f t="shared" si="143"/>
        <v>12</v>
      </c>
      <c r="I948">
        <f t="shared" si="144"/>
        <v>50</v>
      </c>
      <c r="J948">
        <f t="shared" si="145"/>
        <v>770</v>
      </c>
      <c r="K948">
        <f t="shared" si="146"/>
        <v>13</v>
      </c>
      <c r="L948">
        <f t="shared" si="147"/>
        <v>300823</v>
      </c>
      <c r="M948">
        <f t="shared" si="148"/>
        <v>96784</v>
      </c>
      <c r="N948">
        <f t="shared" si="149"/>
        <v>445607</v>
      </c>
      <c r="O948">
        <f>IF(B948="zagraniczny",K948+O947,O947)</f>
        <v>445</v>
      </c>
    </row>
    <row r="949" spans="1:15" x14ac:dyDescent="0.25">
      <c r="A949">
        <v>6018613</v>
      </c>
      <c r="B949" t="str">
        <f t="shared" si="140"/>
        <v>stacjonarny</v>
      </c>
      <c r="C949" s="1">
        <v>42930</v>
      </c>
      <c r="D949" s="2">
        <v>0.44295138888888891</v>
      </c>
      <c r="E949" s="2">
        <v>0.44545138888888891</v>
      </c>
      <c r="F949" s="2">
        <f t="shared" si="141"/>
        <v>2.5000000000000022E-3</v>
      </c>
      <c r="G949">
        <f t="shared" si="142"/>
        <v>0</v>
      </c>
      <c r="H949">
        <f t="shared" si="143"/>
        <v>3</v>
      </c>
      <c r="I949">
        <f t="shared" si="144"/>
        <v>36</v>
      </c>
      <c r="J949">
        <f t="shared" si="145"/>
        <v>216</v>
      </c>
      <c r="K949">
        <f t="shared" si="146"/>
        <v>4</v>
      </c>
      <c r="L949">
        <f t="shared" si="147"/>
        <v>301039</v>
      </c>
      <c r="M949">
        <f t="shared" si="148"/>
        <v>96784</v>
      </c>
      <c r="N949">
        <f t="shared" si="149"/>
        <v>445823</v>
      </c>
      <c r="O949">
        <f>IF(B949="zagraniczny",K949+O948,O948)</f>
        <v>445</v>
      </c>
    </row>
    <row r="950" spans="1:15" x14ac:dyDescent="0.25">
      <c r="A950">
        <v>7741751</v>
      </c>
      <c r="B950" t="str">
        <f t="shared" si="140"/>
        <v>stacjonarny</v>
      </c>
      <c r="C950" s="1">
        <v>42930</v>
      </c>
      <c r="D950" s="2">
        <v>0.4450925925925926</v>
      </c>
      <c r="E950" s="2">
        <v>0.44888888888888889</v>
      </c>
      <c r="F950" s="2">
        <f t="shared" si="141"/>
        <v>3.7962962962962976E-3</v>
      </c>
      <c r="G950">
        <f t="shared" si="142"/>
        <v>0</v>
      </c>
      <c r="H950">
        <f t="shared" si="143"/>
        <v>5</v>
      </c>
      <c r="I950">
        <f t="shared" si="144"/>
        <v>28</v>
      </c>
      <c r="J950">
        <f t="shared" si="145"/>
        <v>328</v>
      </c>
      <c r="K950">
        <f t="shared" si="146"/>
        <v>6</v>
      </c>
      <c r="L950">
        <f t="shared" si="147"/>
        <v>301367</v>
      </c>
      <c r="M950">
        <f t="shared" si="148"/>
        <v>96784</v>
      </c>
      <c r="N950">
        <f t="shared" si="149"/>
        <v>446151</v>
      </c>
      <c r="O950">
        <f>IF(B950="zagraniczny",K950+O949,O949)</f>
        <v>445</v>
      </c>
    </row>
    <row r="951" spans="1:15" x14ac:dyDescent="0.25">
      <c r="A951">
        <v>5512492</v>
      </c>
      <c r="B951" t="str">
        <f t="shared" si="140"/>
        <v>stacjonarny</v>
      </c>
      <c r="C951" s="1">
        <v>42930</v>
      </c>
      <c r="D951" s="2">
        <v>0.44538194444444446</v>
      </c>
      <c r="E951" s="2">
        <v>0.4525925925925926</v>
      </c>
      <c r="F951" s="2">
        <f t="shared" si="141"/>
        <v>7.2106481481481466E-3</v>
      </c>
      <c r="G951">
        <f t="shared" si="142"/>
        <v>0</v>
      </c>
      <c r="H951">
        <f t="shared" si="143"/>
        <v>10</v>
      </c>
      <c r="I951">
        <f t="shared" si="144"/>
        <v>23</v>
      </c>
      <c r="J951">
        <f t="shared" si="145"/>
        <v>623</v>
      </c>
      <c r="K951">
        <f t="shared" si="146"/>
        <v>11</v>
      </c>
      <c r="L951">
        <f t="shared" si="147"/>
        <v>301990</v>
      </c>
      <c r="M951">
        <f t="shared" si="148"/>
        <v>96784</v>
      </c>
      <c r="N951">
        <f t="shared" si="149"/>
        <v>446774</v>
      </c>
      <c r="O951">
        <f>IF(B951="zagraniczny",K951+O950,O950)</f>
        <v>445</v>
      </c>
    </row>
    <row r="952" spans="1:15" x14ac:dyDescent="0.25">
      <c r="A952">
        <v>36332723</v>
      </c>
      <c r="B952" t="str">
        <f t="shared" si="140"/>
        <v>komorkowy</v>
      </c>
      <c r="C952" s="1">
        <v>42930</v>
      </c>
      <c r="D952" s="2">
        <v>0.44593749999999999</v>
      </c>
      <c r="E952" s="2">
        <v>0.44957175925925924</v>
      </c>
      <c r="F952" s="2">
        <f t="shared" si="141"/>
        <v>3.6342592592592537E-3</v>
      </c>
      <c r="G952">
        <f t="shared" si="142"/>
        <v>0</v>
      </c>
      <c r="H952">
        <f t="shared" si="143"/>
        <v>5</v>
      </c>
      <c r="I952">
        <f t="shared" si="144"/>
        <v>14</v>
      </c>
      <c r="J952">
        <f t="shared" si="145"/>
        <v>314</v>
      </c>
      <c r="K952">
        <f t="shared" si="146"/>
        <v>6</v>
      </c>
      <c r="L952">
        <f t="shared" si="147"/>
        <v>301990</v>
      </c>
      <c r="M952">
        <f t="shared" si="148"/>
        <v>97098</v>
      </c>
      <c r="N952">
        <f t="shared" si="149"/>
        <v>447088</v>
      </c>
      <c r="O952">
        <f>IF(B952="zagraniczny",K952+O951,O951)</f>
        <v>445</v>
      </c>
    </row>
    <row r="953" spans="1:15" x14ac:dyDescent="0.25">
      <c r="A953">
        <v>28961250</v>
      </c>
      <c r="B953" t="str">
        <f t="shared" si="140"/>
        <v>komorkowy</v>
      </c>
      <c r="C953" s="1">
        <v>42930</v>
      </c>
      <c r="D953" s="2">
        <v>0.4478935185185185</v>
      </c>
      <c r="E953" s="2">
        <v>0.44805555555555554</v>
      </c>
      <c r="F953" s="2">
        <f t="shared" si="141"/>
        <v>1.6203703703704386E-4</v>
      </c>
      <c r="G953">
        <f t="shared" si="142"/>
        <v>0</v>
      </c>
      <c r="H953">
        <f t="shared" si="143"/>
        <v>0</v>
      </c>
      <c r="I953">
        <f t="shared" si="144"/>
        <v>14</v>
      </c>
      <c r="J953">
        <f t="shared" si="145"/>
        <v>14</v>
      </c>
      <c r="K953">
        <f t="shared" si="146"/>
        <v>1</v>
      </c>
      <c r="L953">
        <f t="shared" si="147"/>
        <v>301990</v>
      </c>
      <c r="M953">
        <f t="shared" si="148"/>
        <v>97112</v>
      </c>
      <c r="N953">
        <f t="shared" si="149"/>
        <v>447102</v>
      </c>
      <c r="O953">
        <f>IF(B953="zagraniczny",K953+O952,O952)</f>
        <v>445</v>
      </c>
    </row>
    <row r="954" spans="1:15" x14ac:dyDescent="0.25">
      <c r="A954">
        <v>96191858</v>
      </c>
      <c r="B954" t="str">
        <f t="shared" si="140"/>
        <v>komorkowy</v>
      </c>
      <c r="C954" s="1">
        <v>42930</v>
      </c>
      <c r="D954" s="2">
        <v>0.44916666666666666</v>
      </c>
      <c r="E954" s="2">
        <v>0.46023148148148146</v>
      </c>
      <c r="F954" s="2">
        <f t="shared" si="141"/>
        <v>1.1064814814814805E-2</v>
      </c>
      <c r="G954">
        <f t="shared" si="142"/>
        <v>0</v>
      </c>
      <c r="H954">
        <f t="shared" si="143"/>
        <v>15</v>
      </c>
      <c r="I954">
        <f t="shared" si="144"/>
        <v>56</v>
      </c>
      <c r="J954">
        <f t="shared" si="145"/>
        <v>956</v>
      </c>
      <c r="K954">
        <f t="shared" si="146"/>
        <v>16</v>
      </c>
      <c r="L954">
        <f t="shared" si="147"/>
        <v>301990</v>
      </c>
      <c r="M954">
        <f t="shared" si="148"/>
        <v>98068</v>
      </c>
      <c r="N954">
        <f t="shared" si="149"/>
        <v>448058</v>
      </c>
      <c r="O954">
        <f>IF(B954="zagraniczny",K954+O953,O953)</f>
        <v>445</v>
      </c>
    </row>
    <row r="955" spans="1:15" x14ac:dyDescent="0.25">
      <c r="A955">
        <v>49342013</v>
      </c>
      <c r="B955" t="str">
        <f t="shared" si="140"/>
        <v>komorkowy</v>
      </c>
      <c r="C955" s="1">
        <v>42930</v>
      </c>
      <c r="D955" s="2">
        <v>0.45233796296296297</v>
      </c>
      <c r="E955" s="2">
        <v>0.45649305555555558</v>
      </c>
      <c r="F955" s="2">
        <f t="shared" si="141"/>
        <v>4.155092592592613E-3</v>
      </c>
      <c r="G955">
        <f t="shared" si="142"/>
        <v>0</v>
      </c>
      <c r="H955">
        <f t="shared" si="143"/>
        <v>5</v>
      </c>
      <c r="I955">
        <f t="shared" si="144"/>
        <v>59</v>
      </c>
      <c r="J955">
        <f t="shared" si="145"/>
        <v>359</v>
      </c>
      <c r="K955">
        <f t="shared" si="146"/>
        <v>6</v>
      </c>
      <c r="L955">
        <f t="shared" si="147"/>
        <v>301990</v>
      </c>
      <c r="M955">
        <f t="shared" si="148"/>
        <v>98427</v>
      </c>
      <c r="N955">
        <f t="shared" si="149"/>
        <v>448417</v>
      </c>
      <c r="O955">
        <f>IF(B955="zagraniczny",K955+O954,O954)</f>
        <v>445</v>
      </c>
    </row>
    <row r="956" spans="1:15" x14ac:dyDescent="0.25">
      <c r="A956">
        <v>2329556</v>
      </c>
      <c r="B956" t="str">
        <f t="shared" si="140"/>
        <v>stacjonarny</v>
      </c>
      <c r="C956" s="1">
        <v>42930</v>
      </c>
      <c r="D956" s="2">
        <v>0.45667824074074076</v>
      </c>
      <c r="E956" s="2">
        <v>0.45679398148148148</v>
      </c>
      <c r="F956" s="2">
        <f t="shared" si="141"/>
        <v>1.1574074074072183E-4</v>
      </c>
      <c r="G956">
        <f t="shared" si="142"/>
        <v>0</v>
      </c>
      <c r="H956">
        <f t="shared" si="143"/>
        <v>0</v>
      </c>
      <c r="I956">
        <f t="shared" si="144"/>
        <v>10</v>
      </c>
      <c r="J956">
        <f t="shared" si="145"/>
        <v>10</v>
      </c>
      <c r="K956">
        <f t="shared" si="146"/>
        <v>1</v>
      </c>
      <c r="L956">
        <f t="shared" si="147"/>
        <v>302000</v>
      </c>
      <c r="M956">
        <f t="shared" si="148"/>
        <v>98427</v>
      </c>
      <c r="N956">
        <f t="shared" si="149"/>
        <v>448427</v>
      </c>
      <c r="O956">
        <f>IF(B956="zagraniczny",K956+O955,O955)</f>
        <v>445</v>
      </c>
    </row>
    <row r="957" spans="1:15" x14ac:dyDescent="0.25">
      <c r="A957">
        <v>2969264</v>
      </c>
      <c r="B957" t="str">
        <f t="shared" si="140"/>
        <v>stacjonarny</v>
      </c>
      <c r="C957" s="1">
        <v>42930</v>
      </c>
      <c r="D957" s="2">
        <v>0.45930555555555558</v>
      </c>
      <c r="E957" s="2">
        <v>0.4634375</v>
      </c>
      <c r="F957" s="2">
        <f t="shared" si="141"/>
        <v>4.1319444444444242E-3</v>
      </c>
      <c r="G957">
        <f t="shared" si="142"/>
        <v>0</v>
      </c>
      <c r="H957">
        <f t="shared" si="143"/>
        <v>5</v>
      </c>
      <c r="I957">
        <f t="shared" si="144"/>
        <v>57</v>
      </c>
      <c r="J957">
        <f t="shared" si="145"/>
        <v>357</v>
      </c>
      <c r="K957">
        <f t="shared" si="146"/>
        <v>6</v>
      </c>
      <c r="L957">
        <f t="shared" si="147"/>
        <v>302357</v>
      </c>
      <c r="M957">
        <f t="shared" si="148"/>
        <v>98427</v>
      </c>
      <c r="N957">
        <f t="shared" si="149"/>
        <v>448784</v>
      </c>
      <c r="O957">
        <f>IF(B957="zagraniczny",K957+O956,O956)</f>
        <v>445</v>
      </c>
    </row>
    <row r="958" spans="1:15" x14ac:dyDescent="0.25">
      <c r="A958">
        <v>8498683</v>
      </c>
      <c r="B958" t="str">
        <f t="shared" si="140"/>
        <v>stacjonarny</v>
      </c>
      <c r="C958" s="1">
        <v>42930</v>
      </c>
      <c r="D958" s="2">
        <v>0.45950231481481479</v>
      </c>
      <c r="E958" s="2">
        <v>0.46177083333333335</v>
      </c>
      <c r="F958" s="2">
        <f t="shared" si="141"/>
        <v>2.2685185185185586E-3</v>
      </c>
      <c r="G958">
        <f t="shared" si="142"/>
        <v>0</v>
      </c>
      <c r="H958">
        <f t="shared" si="143"/>
        <v>3</v>
      </c>
      <c r="I958">
        <f t="shared" si="144"/>
        <v>16</v>
      </c>
      <c r="J958">
        <f t="shared" si="145"/>
        <v>196</v>
      </c>
      <c r="K958">
        <f t="shared" si="146"/>
        <v>4</v>
      </c>
      <c r="L958">
        <f t="shared" si="147"/>
        <v>302553</v>
      </c>
      <c r="M958">
        <f t="shared" si="148"/>
        <v>98427</v>
      </c>
      <c r="N958">
        <f t="shared" si="149"/>
        <v>448980</v>
      </c>
      <c r="O958">
        <f>IF(B958="zagraniczny",K958+O957,O957)</f>
        <v>445</v>
      </c>
    </row>
    <row r="959" spans="1:15" x14ac:dyDescent="0.25">
      <c r="A959">
        <v>2341441</v>
      </c>
      <c r="B959" t="str">
        <f t="shared" si="140"/>
        <v>stacjonarny</v>
      </c>
      <c r="C959" s="1">
        <v>42930</v>
      </c>
      <c r="D959" s="2">
        <v>0.46333333333333332</v>
      </c>
      <c r="E959" s="2">
        <v>0.46409722222222222</v>
      </c>
      <c r="F959" s="2">
        <f t="shared" si="141"/>
        <v>7.6388888888889728E-4</v>
      </c>
      <c r="G959">
        <f t="shared" si="142"/>
        <v>0</v>
      </c>
      <c r="H959">
        <f t="shared" si="143"/>
        <v>1</v>
      </c>
      <c r="I959">
        <f t="shared" si="144"/>
        <v>6</v>
      </c>
      <c r="J959">
        <f t="shared" si="145"/>
        <v>66</v>
      </c>
      <c r="K959">
        <f t="shared" si="146"/>
        <v>2</v>
      </c>
      <c r="L959">
        <f t="shared" si="147"/>
        <v>302619</v>
      </c>
      <c r="M959">
        <f t="shared" si="148"/>
        <v>98427</v>
      </c>
      <c r="N959">
        <f t="shared" si="149"/>
        <v>449046</v>
      </c>
      <c r="O959">
        <f>IF(B959="zagraniczny",K959+O958,O958)</f>
        <v>445</v>
      </c>
    </row>
    <row r="960" spans="1:15" x14ac:dyDescent="0.25">
      <c r="A960">
        <v>30270334</v>
      </c>
      <c r="B960" t="str">
        <f t="shared" si="140"/>
        <v>komorkowy</v>
      </c>
      <c r="C960" s="1">
        <v>42930</v>
      </c>
      <c r="D960" s="2">
        <v>0.46587962962962964</v>
      </c>
      <c r="E960" s="2">
        <v>0.46755787037037039</v>
      </c>
      <c r="F960" s="2">
        <f t="shared" si="141"/>
        <v>1.678240740740744E-3</v>
      </c>
      <c r="G960">
        <f t="shared" si="142"/>
        <v>0</v>
      </c>
      <c r="H960">
        <f t="shared" si="143"/>
        <v>2</v>
      </c>
      <c r="I960">
        <f t="shared" si="144"/>
        <v>25</v>
      </c>
      <c r="J960">
        <f t="shared" si="145"/>
        <v>145</v>
      </c>
      <c r="K960">
        <f t="shared" si="146"/>
        <v>3</v>
      </c>
      <c r="L960">
        <f t="shared" si="147"/>
        <v>302619</v>
      </c>
      <c r="M960">
        <f t="shared" si="148"/>
        <v>98572</v>
      </c>
      <c r="N960">
        <f t="shared" si="149"/>
        <v>449191</v>
      </c>
      <c r="O960">
        <f>IF(B960="zagraniczny",K960+O959,O959)</f>
        <v>445</v>
      </c>
    </row>
    <row r="961" spans="1:15" x14ac:dyDescent="0.25">
      <c r="A961">
        <v>4657345</v>
      </c>
      <c r="B961" t="str">
        <f t="shared" si="140"/>
        <v>stacjonarny</v>
      </c>
      <c r="C961" s="1">
        <v>42930</v>
      </c>
      <c r="D961" s="2">
        <v>0.46988425925925925</v>
      </c>
      <c r="E961" s="2">
        <v>0.47721064814814818</v>
      </c>
      <c r="F961" s="2">
        <f t="shared" si="141"/>
        <v>7.3263888888889239E-3</v>
      </c>
      <c r="G961">
        <f t="shared" si="142"/>
        <v>0</v>
      </c>
      <c r="H961">
        <f t="shared" si="143"/>
        <v>10</v>
      </c>
      <c r="I961">
        <f t="shared" si="144"/>
        <v>33</v>
      </c>
      <c r="J961">
        <f t="shared" si="145"/>
        <v>633</v>
      </c>
      <c r="K961">
        <f t="shared" si="146"/>
        <v>11</v>
      </c>
      <c r="L961">
        <f t="shared" si="147"/>
        <v>303252</v>
      </c>
      <c r="M961">
        <f t="shared" si="148"/>
        <v>98572</v>
      </c>
      <c r="N961">
        <f t="shared" si="149"/>
        <v>449824</v>
      </c>
      <c r="O961">
        <f>IF(B961="zagraniczny",K961+O960,O960)</f>
        <v>445</v>
      </c>
    </row>
    <row r="962" spans="1:15" x14ac:dyDescent="0.25">
      <c r="A962">
        <v>2145244</v>
      </c>
      <c r="B962" t="str">
        <f t="shared" si="140"/>
        <v>stacjonarny</v>
      </c>
      <c r="C962" s="1">
        <v>42930</v>
      </c>
      <c r="D962" s="2">
        <v>0.47028935185185183</v>
      </c>
      <c r="E962" s="2">
        <v>0.47052083333333333</v>
      </c>
      <c r="F962" s="2">
        <f t="shared" si="141"/>
        <v>2.3148148148149916E-4</v>
      </c>
      <c r="G962">
        <f t="shared" si="142"/>
        <v>0</v>
      </c>
      <c r="H962">
        <f t="shared" si="143"/>
        <v>0</v>
      </c>
      <c r="I962">
        <f t="shared" si="144"/>
        <v>20</v>
      </c>
      <c r="J962">
        <f t="shared" si="145"/>
        <v>20</v>
      </c>
      <c r="K962">
        <f t="shared" si="146"/>
        <v>1</v>
      </c>
      <c r="L962">
        <f t="shared" si="147"/>
        <v>303272</v>
      </c>
      <c r="M962">
        <f t="shared" si="148"/>
        <v>98572</v>
      </c>
      <c r="N962">
        <f t="shared" si="149"/>
        <v>449844</v>
      </c>
      <c r="O962">
        <f>IF(B962="zagraniczny",K962+O961,O961)</f>
        <v>445</v>
      </c>
    </row>
    <row r="963" spans="1:15" x14ac:dyDescent="0.25">
      <c r="A963">
        <v>7627829</v>
      </c>
      <c r="B963" t="str">
        <f t="shared" ref="B963:B1026" si="150">IF(LEN(A963)=7,"stacjonarny",IF(LEN(A963)=8,"komorkowy","zagraniczny"))</f>
        <v>stacjonarny</v>
      </c>
      <c r="C963" s="1">
        <v>42930</v>
      </c>
      <c r="D963" s="2">
        <v>0.4742824074074074</v>
      </c>
      <c r="E963" s="2">
        <v>0.48538194444444444</v>
      </c>
      <c r="F963" s="2">
        <f t="shared" ref="F963:F1026" si="151">E963-D963</f>
        <v>1.1099537037037033E-2</v>
      </c>
      <c r="G963">
        <f t="shared" ref="G963:G1026" si="152">HOUR(F963)</f>
        <v>0</v>
      </c>
      <c r="H963">
        <f t="shared" ref="H963:H1026" si="153">MINUTE(F963)</f>
        <v>15</v>
      </c>
      <c r="I963">
        <f t="shared" ref="I963:I1026" si="154">SECOND(F963)</f>
        <v>59</v>
      </c>
      <c r="J963">
        <f t="shared" ref="J963:J1026" si="155">H963*60+I963</f>
        <v>959</v>
      </c>
      <c r="K963">
        <f t="shared" ref="K963:K1026" si="156">IF(I963&gt;0,G963*60+H963+1,H963+G963*60)</f>
        <v>16</v>
      </c>
      <c r="L963">
        <f t="shared" si="147"/>
        <v>304231</v>
      </c>
      <c r="M963">
        <f t="shared" si="148"/>
        <v>98572</v>
      </c>
      <c r="N963">
        <f t="shared" si="149"/>
        <v>450803</v>
      </c>
      <c r="O963">
        <f>IF(B963="zagraniczny",K963+O962,O962)</f>
        <v>445</v>
      </c>
    </row>
    <row r="964" spans="1:15" x14ac:dyDescent="0.25">
      <c r="A964">
        <v>9182658</v>
      </c>
      <c r="B964" t="str">
        <f t="shared" si="150"/>
        <v>stacjonarny</v>
      </c>
      <c r="C964" s="1">
        <v>42930</v>
      </c>
      <c r="D964" s="2">
        <v>0.47594907407407405</v>
      </c>
      <c r="E964" s="2">
        <v>0.47641203703703705</v>
      </c>
      <c r="F964" s="2">
        <f t="shared" si="151"/>
        <v>4.6296296296299833E-4</v>
      </c>
      <c r="G964">
        <f t="shared" si="152"/>
        <v>0</v>
      </c>
      <c r="H964">
        <f t="shared" si="153"/>
        <v>0</v>
      </c>
      <c r="I964">
        <f t="shared" si="154"/>
        <v>40</v>
      </c>
      <c r="J964">
        <f t="shared" si="155"/>
        <v>40</v>
      </c>
      <c r="K964">
        <f t="shared" si="156"/>
        <v>1</v>
      </c>
      <c r="L964">
        <f t="shared" ref="L964:L1027" si="157">IF(B964="stacjonarny",$J964+L963,L963)</f>
        <v>304271</v>
      </c>
      <c r="M964">
        <f t="shared" ref="M964:M1027" si="158">IF(B964="komorkowy",$J964+M963,M963)</f>
        <v>98572</v>
      </c>
      <c r="N964">
        <f t="shared" ref="N964:N1027" si="159">IF(OR(B964="stacjonarny",B964="komorkowy"),J964+N963,N963)</f>
        <v>450843</v>
      </c>
      <c r="O964">
        <f>IF(B964="zagraniczny",K964+O963,O963)</f>
        <v>445</v>
      </c>
    </row>
    <row r="965" spans="1:15" x14ac:dyDescent="0.25">
      <c r="A965">
        <v>4191600</v>
      </c>
      <c r="B965" t="str">
        <f t="shared" si="150"/>
        <v>stacjonarny</v>
      </c>
      <c r="C965" s="1">
        <v>42930</v>
      </c>
      <c r="D965" s="2">
        <v>0.47799768518518521</v>
      </c>
      <c r="E965" s="2">
        <v>0.47905092592592591</v>
      </c>
      <c r="F965" s="2">
        <f t="shared" si="151"/>
        <v>1.0532407407407018E-3</v>
      </c>
      <c r="G965">
        <f t="shared" si="152"/>
        <v>0</v>
      </c>
      <c r="H965">
        <f t="shared" si="153"/>
        <v>1</v>
      </c>
      <c r="I965">
        <f t="shared" si="154"/>
        <v>31</v>
      </c>
      <c r="J965">
        <f t="shared" si="155"/>
        <v>91</v>
      </c>
      <c r="K965">
        <f t="shared" si="156"/>
        <v>2</v>
      </c>
      <c r="L965">
        <f t="shared" si="157"/>
        <v>304362</v>
      </c>
      <c r="M965">
        <f t="shared" si="158"/>
        <v>98572</v>
      </c>
      <c r="N965">
        <f t="shared" si="159"/>
        <v>450934</v>
      </c>
      <c r="O965">
        <f>IF(B965="zagraniczny",K965+O964,O964)</f>
        <v>445</v>
      </c>
    </row>
    <row r="966" spans="1:15" x14ac:dyDescent="0.25">
      <c r="A966">
        <v>5492379</v>
      </c>
      <c r="B966" t="str">
        <f t="shared" si="150"/>
        <v>stacjonarny</v>
      </c>
      <c r="C966" s="1">
        <v>42930</v>
      </c>
      <c r="D966" s="2">
        <v>0.47825231481481484</v>
      </c>
      <c r="E966" s="2">
        <v>0.48502314814814818</v>
      </c>
      <c r="F966" s="2">
        <f t="shared" si="151"/>
        <v>6.770833333333337E-3</v>
      </c>
      <c r="G966">
        <f t="shared" si="152"/>
        <v>0</v>
      </c>
      <c r="H966">
        <f t="shared" si="153"/>
        <v>9</v>
      </c>
      <c r="I966">
        <f t="shared" si="154"/>
        <v>45</v>
      </c>
      <c r="J966">
        <f t="shared" si="155"/>
        <v>585</v>
      </c>
      <c r="K966">
        <f t="shared" si="156"/>
        <v>10</v>
      </c>
      <c r="L966">
        <f t="shared" si="157"/>
        <v>304947</v>
      </c>
      <c r="M966">
        <f t="shared" si="158"/>
        <v>98572</v>
      </c>
      <c r="N966">
        <f t="shared" si="159"/>
        <v>451519</v>
      </c>
      <c r="O966">
        <f>IF(B966="zagraniczny",K966+O965,O965)</f>
        <v>445</v>
      </c>
    </row>
    <row r="967" spans="1:15" x14ac:dyDescent="0.25">
      <c r="A967">
        <v>2861766</v>
      </c>
      <c r="B967" t="str">
        <f t="shared" si="150"/>
        <v>stacjonarny</v>
      </c>
      <c r="C967" s="1">
        <v>42930</v>
      </c>
      <c r="D967" s="2">
        <v>0.48138888888888887</v>
      </c>
      <c r="E967" s="2">
        <v>0.48574074074074075</v>
      </c>
      <c r="F967" s="2">
        <f t="shared" si="151"/>
        <v>4.3518518518518845E-3</v>
      </c>
      <c r="G967">
        <f t="shared" si="152"/>
        <v>0</v>
      </c>
      <c r="H967">
        <f t="shared" si="153"/>
        <v>6</v>
      </c>
      <c r="I967">
        <f t="shared" si="154"/>
        <v>16</v>
      </c>
      <c r="J967">
        <f t="shared" si="155"/>
        <v>376</v>
      </c>
      <c r="K967">
        <f t="shared" si="156"/>
        <v>7</v>
      </c>
      <c r="L967">
        <f t="shared" si="157"/>
        <v>305323</v>
      </c>
      <c r="M967">
        <f t="shared" si="158"/>
        <v>98572</v>
      </c>
      <c r="N967">
        <f t="shared" si="159"/>
        <v>451895</v>
      </c>
      <c r="O967">
        <f>IF(B967="zagraniczny",K967+O966,O966)</f>
        <v>445</v>
      </c>
    </row>
    <row r="968" spans="1:15" x14ac:dyDescent="0.25">
      <c r="A968">
        <v>1309359</v>
      </c>
      <c r="B968" t="str">
        <f t="shared" si="150"/>
        <v>stacjonarny</v>
      </c>
      <c r="C968" s="1">
        <v>42930</v>
      </c>
      <c r="D968" s="2">
        <v>0.48422453703703705</v>
      </c>
      <c r="E968" s="2">
        <v>0.48562499999999997</v>
      </c>
      <c r="F968" s="2">
        <f t="shared" si="151"/>
        <v>1.4004629629629228E-3</v>
      </c>
      <c r="G968">
        <f t="shared" si="152"/>
        <v>0</v>
      </c>
      <c r="H968">
        <f t="shared" si="153"/>
        <v>2</v>
      </c>
      <c r="I968">
        <f t="shared" si="154"/>
        <v>1</v>
      </c>
      <c r="J968">
        <f t="shared" si="155"/>
        <v>121</v>
      </c>
      <c r="K968">
        <f t="shared" si="156"/>
        <v>3</v>
      </c>
      <c r="L968">
        <f t="shared" si="157"/>
        <v>305444</v>
      </c>
      <c r="M968">
        <f t="shared" si="158"/>
        <v>98572</v>
      </c>
      <c r="N968">
        <f t="shared" si="159"/>
        <v>452016</v>
      </c>
      <c r="O968">
        <f>IF(B968="zagraniczny",K968+O967,O967)</f>
        <v>445</v>
      </c>
    </row>
    <row r="969" spans="1:15" x14ac:dyDescent="0.25">
      <c r="A969">
        <v>5272270</v>
      </c>
      <c r="B969" t="str">
        <f t="shared" si="150"/>
        <v>stacjonarny</v>
      </c>
      <c r="C969" s="1">
        <v>42930</v>
      </c>
      <c r="D969" s="2">
        <v>0.48579861111111111</v>
      </c>
      <c r="E969" s="2">
        <v>0.49395833333333333</v>
      </c>
      <c r="F969" s="2">
        <f t="shared" si="151"/>
        <v>8.159722222222221E-3</v>
      </c>
      <c r="G969">
        <f t="shared" si="152"/>
        <v>0</v>
      </c>
      <c r="H969">
        <f t="shared" si="153"/>
        <v>11</v>
      </c>
      <c r="I969">
        <f t="shared" si="154"/>
        <v>45</v>
      </c>
      <c r="J969">
        <f t="shared" si="155"/>
        <v>705</v>
      </c>
      <c r="K969">
        <f t="shared" si="156"/>
        <v>12</v>
      </c>
      <c r="L969">
        <f t="shared" si="157"/>
        <v>306149</v>
      </c>
      <c r="M969">
        <f t="shared" si="158"/>
        <v>98572</v>
      </c>
      <c r="N969">
        <f t="shared" si="159"/>
        <v>452721</v>
      </c>
      <c r="O969">
        <f>IF(B969="zagraniczny",K969+O968,O968)</f>
        <v>445</v>
      </c>
    </row>
    <row r="970" spans="1:15" x14ac:dyDescent="0.25">
      <c r="A970">
        <v>9266643</v>
      </c>
      <c r="B970" t="str">
        <f t="shared" si="150"/>
        <v>stacjonarny</v>
      </c>
      <c r="C970" s="1">
        <v>42930</v>
      </c>
      <c r="D970" s="2">
        <v>0.48832175925925925</v>
      </c>
      <c r="E970" s="2">
        <v>0.49005787037037035</v>
      </c>
      <c r="F970" s="2">
        <f t="shared" si="151"/>
        <v>1.7361111111111049E-3</v>
      </c>
      <c r="G970">
        <f t="shared" si="152"/>
        <v>0</v>
      </c>
      <c r="H970">
        <f t="shared" si="153"/>
        <v>2</v>
      </c>
      <c r="I970">
        <f t="shared" si="154"/>
        <v>30</v>
      </c>
      <c r="J970">
        <f t="shared" si="155"/>
        <v>150</v>
      </c>
      <c r="K970">
        <f t="shared" si="156"/>
        <v>3</v>
      </c>
      <c r="L970">
        <f t="shared" si="157"/>
        <v>306299</v>
      </c>
      <c r="M970">
        <f t="shared" si="158"/>
        <v>98572</v>
      </c>
      <c r="N970">
        <f t="shared" si="159"/>
        <v>452871</v>
      </c>
      <c r="O970">
        <f>IF(B970="zagraniczny",K970+O969,O969)</f>
        <v>445</v>
      </c>
    </row>
    <row r="971" spans="1:15" x14ac:dyDescent="0.25">
      <c r="A971">
        <v>3460208</v>
      </c>
      <c r="B971" t="str">
        <f t="shared" si="150"/>
        <v>stacjonarny</v>
      </c>
      <c r="C971" s="1">
        <v>42930</v>
      </c>
      <c r="D971" s="2">
        <v>0.49302083333333335</v>
      </c>
      <c r="E971" s="2">
        <v>0.50244212962962964</v>
      </c>
      <c r="F971" s="2">
        <f t="shared" si="151"/>
        <v>9.4212962962962887E-3</v>
      </c>
      <c r="G971">
        <f t="shared" si="152"/>
        <v>0</v>
      </c>
      <c r="H971">
        <f t="shared" si="153"/>
        <v>13</v>
      </c>
      <c r="I971">
        <f t="shared" si="154"/>
        <v>34</v>
      </c>
      <c r="J971">
        <f t="shared" si="155"/>
        <v>814</v>
      </c>
      <c r="K971">
        <f t="shared" si="156"/>
        <v>14</v>
      </c>
      <c r="L971">
        <f t="shared" si="157"/>
        <v>307113</v>
      </c>
      <c r="M971">
        <f t="shared" si="158"/>
        <v>98572</v>
      </c>
      <c r="N971">
        <f t="shared" si="159"/>
        <v>453685</v>
      </c>
      <c r="O971">
        <f>IF(B971="zagraniczny",K971+O970,O970)</f>
        <v>445</v>
      </c>
    </row>
    <row r="972" spans="1:15" x14ac:dyDescent="0.25">
      <c r="A972">
        <v>25545000</v>
      </c>
      <c r="B972" t="str">
        <f t="shared" si="150"/>
        <v>komorkowy</v>
      </c>
      <c r="C972" s="1">
        <v>42930</v>
      </c>
      <c r="D972" s="2">
        <v>0.4959722222222222</v>
      </c>
      <c r="E972" s="2">
        <v>0.50451388888888893</v>
      </c>
      <c r="F972" s="2">
        <f t="shared" si="151"/>
        <v>8.5416666666667251E-3</v>
      </c>
      <c r="G972">
        <f t="shared" si="152"/>
        <v>0</v>
      </c>
      <c r="H972">
        <f t="shared" si="153"/>
        <v>12</v>
      </c>
      <c r="I972">
        <f t="shared" si="154"/>
        <v>18</v>
      </c>
      <c r="J972">
        <f t="shared" si="155"/>
        <v>738</v>
      </c>
      <c r="K972">
        <f t="shared" si="156"/>
        <v>13</v>
      </c>
      <c r="L972">
        <f t="shared" si="157"/>
        <v>307113</v>
      </c>
      <c r="M972">
        <f t="shared" si="158"/>
        <v>99310</v>
      </c>
      <c r="N972">
        <f t="shared" si="159"/>
        <v>454423</v>
      </c>
      <c r="O972">
        <f>IF(B972="zagraniczny",K972+O971,O971)</f>
        <v>445</v>
      </c>
    </row>
    <row r="973" spans="1:15" x14ac:dyDescent="0.25">
      <c r="A973">
        <v>1207918</v>
      </c>
      <c r="B973" t="str">
        <f t="shared" si="150"/>
        <v>stacjonarny</v>
      </c>
      <c r="C973" s="1">
        <v>42930</v>
      </c>
      <c r="D973" s="2">
        <v>0.50126157407407412</v>
      </c>
      <c r="E973" s="2">
        <v>0.51184027777777774</v>
      </c>
      <c r="F973" s="2">
        <f t="shared" si="151"/>
        <v>1.0578703703703618E-2</v>
      </c>
      <c r="G973">
        <f t="shared" si="152"/>
        <v>0</v>
      </c>
      <c r="H973">
        <f t="shared" si="153"/>
        <v>15</v>
      </c>
      <c r="I973">
        <f t="shared" si="154"/>
        <v>14</v>
      </c>
      <c r="J973">
        <f t="shared" si="155"/>
        <v>914</v>
      </c>
      <c r="K973">
        <f t="shared" si="156"/>
        <v>16</v>
      </c>
      <c r="L973">
        <f t="shared" si="157"/>
        <v>308027</v>
      </c>
      <c r="M973">
        <f t="shared" si="158"/>
        <v>99310</v>
      </c>
      <c r="N973">
        <f t="shared" si="159"/>
        <v>455337</v>
      </c>
      <c r="O973">
        <f>IF(B973="zagraniczny",K973+O972,O972)</f>
        <v>445</v>
      </c>
    </row>
    <row r="974" spans="1:15" x14ac:dyDescent="0.25">
      <c r="A974">
        <v>4471828</v>
      </c>
      <c r="B974" t="str">
        <f t="shared" si="150"/>
        <v>stacjonarny</v>
      </c>
      <c r="C974" s="1">
        <v>42930</v>
      </c>
      <c r="D974" s="2">
        <v>0.50378472222222226</v>
      </c>
      <c r="E974" s="2">
        <v>0.51043981481481482</v>
      </c>
      <c r="F974" s="2">
        <f t="shared" si="151"/>
        <v>6.6550925925925597E-3</v>
      </c>
      <c r="G974">
        <f t="shared" si="152"/>
        <v>0</v>
      </c>
      <c r="H974">
        <f t="shared" si="153"/>
        <v>9</v>
      </c>
      <c r="I974">
        <f t="shared" si="154"/>
        <v>35</v>
      </c>
      <c r="J974">
        <f t="shared" si="155"/>
        <v>575</v>
      </c>
      <c r="K974">
        <f t="shared" si="156"/>
        <v>10</v>
      </c>
      <c r="L974">
        <f t="shared" si="157"/>
        <v>308602</v>
      </c>
      <c r="M974">
        <f t="shared" si="158"/>
        <v>99310</v>
      </c>
      <c r="N974">
        <f t="shared" si="159"/>
        <v>455912</v>
      </c>
      <c r="O974">
        <f>IF(B974="zagraniczny",K974+O973,O973)</f>
        <v>445</v>
      </c>
    </row>
    <row r="975" spans="1:15" x14ac:dyDescent="0.25">
      <c r="A975">
        <v>6516836</v>
      </c>
      <c r="B975" t="str">
        <f t="shared" si="150"/>
        <v>stacjonarny</v>
      </c>
      <c r="C975" s="1">
        <v>42930</v>
      </c>
      <c r="D975" s="2">
        <v>0.50812500000000005</v>
      </c>
      <c r="E975" s="2">
        <v>0.50862268518518516</v>
      </c>
      <c r="F975" s="2">
        <f t="shared" si="151"/>
        <v>4.9768518518511495E-4</v>
      </c>
      <c r="G975">
        <f t="shared" si="152"/>
        <v>0</v>
      </c>
      <c r="H975">
        <f t="shared" si="153"/>
        <v>0</v>
      </c>
      <c r="I975">
        <f t="shared" si="154"/>
        <v>43</v>
      </c>
      <c r="J975">
        <f t="shared" si="155"/>
        <v>43</v>
      </c>
      <c r="K975">
        <f t="shared" si="156"/>
        <v>1</v>
      </c>
      <c r="L975">
        <f t="shared" si="157"/>
        <v>308645</v>
      </c>
      <c r="M975">
        <f t="shared" si="158"/>
        <v>99310</v>
      </c>
      <c r="N975">
        <f t="shared" si="159"/>
        <v>455955</v>
      </c>
      <c r="O975">
        <f>IF(B975="zagraniczny",K975+O974,O974)</f>
        <v>445</v>
      </c>
    </row>
    <row r="976" spans="1:15" x14ac:dyDescent="0.25">
      <c r="A976">
        <v>1197931</v>
      </c>
      <c r="B976" t="str">
        <f t="shared" si="150"/>
        <v>stacjonarny</v>
      </c>
      <c r="C976" s="1">
        <v>42930</v>
      </c>
      <c r="D976" s="2">
        <v>0.51179398148148147</v>
      </c>
      <c r="E976" s="2">
        <v>0.51231481481481478</v>
      </c>
      <c r="F976" s="2">
        <f t="shared" si="151"/>
        <v>5.2083333333330373E-4</v>
      </c>
      <c r="G976">
        <f t="shared" si="152"/>
        <v>0</v>
      </c>
      <c r="H976">
        <f t="shared" si="153"/>
        <v>0</v>
      </c>
      <c r="I976">
        <f t="shared" si="154"/>
        <v>45</v>
      </c>
      <c r="J976">
        <f t="shared" si="155"/>
        <v>45</v>
      </c>
      <c r="K976">
        <f t="shared" si="156"/>
        <v>1</v>
      </c>
      <c r="L976">
        <f t="shared" si="157"/>
        <v>308690</v>
      </c>
      <c r="M976">
        <f t="shared" si="158"/>
        <v>99310</v>
      </c>
      <c r="N976">
        <f t="shared" si="159"/>
        <v>456000</v>
      </c>
      <c r="O976">
        <f>IF(B976="zagraniczny",K976+O975,O975)</f>
        <v>445</v>
      </c>
    </row>
    <row r="977" spans="1:15" x14ac:dyDescent="0.25">
      <c r="A977">
        <v>8750619</v>
      </c>
      <c r="B977" t="str">
        <f t="shared" si="150"/>
        <v>stacjonarny</v>
      </c>
      <c r="C977" s="1">
        <v>42930</v>
      </c>
      <c r="D977" s="2">
        <v>0.51645833333333335</v>
      </c>
      <c r="E977" s="2">
        <v>0.51701388888888888</v>
      </c>
      <c r="F977" s="2">
        <f t="shared" si="151"/>
        <v>5.5555555555553138E-4</v>
      </c>
      <c r="G977">
        <f t="shared" si="152"/>
        <v>0</v>
      </c>
      <c r="H977">
        <f t="shared" si="153"/>
        <v>0</v>
      </c>
      <c r="I977">
        <f t="shared" si="154"/>
        <v>48</v>
      </c>
      <c r="J977">
        <f t="shared" si="155"/>
        <v>48</v>
      </c>
      <c r="K977">
        <f t="shared" si="156"/>
        <v>1</v>
      </c>
      <c r="L977">
        <f t="shared" si="157"/>
        <v>308738</v>
      </c>
      <c r="M977">
        <f t="shared" si="158"/>
        <v>99310</v>
      </c>
      <c r="N977">
        <f t="shared" si="159"/>
        <v>456048</v>
      </c>
      <c r="O977">
        <f>IF(B977="zagraniczny",K977+O976,O976)</f>
        <v>445</v>
      </c>
    </row>
    <row r="978" spans="1:15" x14ac:dyDescent="0.25">
      <c r="A978">
        <v>2076719</v>
      </c>
      <c r="B978" t="str">
        <f t="shared" si="150"/>
        <v>stacjonarny</v>
      </c>
      <c r="C978" s="1">
        <v>42930</v>
      </c>
      <c r="D978" s="2">
        <v>0.52056712962962959</v>
      </c>
      <c r="E978" s="2">
        <v>0.52818287037037037</v>
      </c>
      <c r="F978" s="2">
        <f t="shared" si="151"/>
        <v>7.615740740740784E-3</v>
      </c>
      <c r="G978">
        <f t="shared" si="152"/>
        <v>0</v>
      </c>
      <c r="H978">
        <f t="shared" si="153"/>
        <v>10</v>
      </c>
      <c r="I978">
        <f t="shared" si="154"/>
        <v>58</v>
      </c>
      <c r="J978">
        <f t="shared" si="155"/>
        <v>658</v>
      </c>
      <c r="K978">
        <f t="shared" si="156"/>
        <v>11</v>
      </c>
      <c r="L978">
        <f t="shared" si="157"/>
        <v>309396</v>
      </c>
      <c r="M978">
        <f t="shared" si="158"/>
        <v>99310</v>
      </c>
      <c r="N978">
        <f t="shared" si="159"/>
        <v>456706</v>
      </c>
      <c r="O978">
        <f>IF(B978="zagraniczny",K978+O977,O977)</f>
        <v>445</v>
      </c>
    </row>
    <row r="979" spans="1:15" x14ac:dyDescent="0.25">
      <c r="A979">
        <v>3131883</v>
      </c>
      <c r="B979" t="str">
        <f t="shared" si="150"/>
        <v>stacjonarny</v>
      </c>
      <c r="C979" s="1">
        <v>42930</v>
      </c>
      <c r="D979" s="2">
        <v>0.52427083333333335</v>
      </c>
      <c r="E979" s="2">
        <v>0.52818287037037037</v>
      </c>
      <c r="F979" s="2">
        <f t="shared" si="151"/>
        <v>3.9120370370370194E-3</v>
      </c>
      <c r="G979">
        <f t="shared" si="152"/>
        <v>0</v>
      </c>
      <c r="H979">
        <f t="shared" si="153"/>
        <v>5</v>
      </c>
      <c r="I979">
        <f t="shared" si="154"/>
        <v>38</v>
      </c>
      <c r="J979">
        <f t="shared" si="155"/>
        <v>338</v>
      </c>
      <c r="K979">
        <f t="shared" si="156"/>
        <v>6</v>
      </c>
      <c r="L979">
        <f t="shared" si="157"/>
        <v>309734</v>
      </c>
      <c r="M979">
        <f t="shared" si="158"/>
        <v>99310</v>
      </c>
      <c r="N979">
        <f t="shared" si="159"/>
        <v>457044</v>
      </c>
      <c r="O979">
        <f>IF(B979="zagraniczny",K979+O978,O978)</f>
        <v>445</v>
      </c>
    </row>
    <row r="980" spans="1:15" x14ac:dyDescent="0.25">
      <c r="A980">
        <v>1552302</v>
      </c>
      <c r="B980" t="str">
        <f t="shared" si="150"/>
        <v>stacjonarny</v>
      </c>
      <c r="C980" s="1">
        <v>42930</v>
      </c>
      <c r="D980" s="2">
        <v>0.52953703703703703</v>
      </c>
      <c r="E980" s="2">
        <v>0.54078703703703701</v>
      </c>
      <c r="F980" s="2">
        <f t="shared" si="151"/>
        <v>1.1249999999999982E-2</v>
      </c>
      <c r="G980">
        <f t="shared" si="152"/>
        <v>0</v>
      </c>
      <c r="H980">
        <f t="shared" si="153"/>
        <v>16</v>
      </c>
      <c r="I980">
        <f t="shared" si="154"/>
        <v>12</v>
      </c>
      <c r="J980">
        <f t="shared" si="155"/>
        <v>972</v>
      </c>
      <c r="K980">
        <f t="shared" si="156"/>
        <v>17</v>
      </c>
      <c r="L980">
        <f t="shared" si="157"/>
        <v>310706</v>
      </c>
      <c r="M980">
        <f t="shared" si="158"/>
        <v>99310</v>
      </c>
      <c r="N980">
        <f t="shared" si="159"/>
        <v>458016</v>
      </c>
      <c r="O980">
        <f>IF(B980="zagraniczny",K980+O979,O979)</f>
        <v>445</v>
      </c>
    </row>
    <row r="981" spans="1:15" x14ac:dyDescent="0.25">
      <c r="A981">
        <v>33708687</v>
      </c>
      <c r="B981" t="str">
        <f t="shared" si="150"/>
        <v>komorkowy</v>
      </c>
      <c r="C981" s="1">
        <v>42930</v>
      </c>
      <c r="D981" s="2">
        <v>0.53237268518518521</v>
      </c>
      <c r="E981" s="2">
        <v>0.53413194444444445</v>
      </c>
      <c r="F981" s="2">
        <f t="shared" si="151"/>
        <v>1.7592592592592382E-3</v>
      </c>
      <c r="G981">
        <f t="shared" si="152"/>
        <v>0</v>
      </c>
      <c r="H981">
        <f t="shared" si="153"/>
        <v>2</v>
      </c>
      <c r="I981">
        <f t="shared" si="154"/>
        <v>32</v>
      </c>
      <c r="J981">
        <f t="shared" si="155"/>
        <v>152</v>
      </c>
      <c r="K981">
        <f t="shared" si="156"/>
        <v>3</v>
      </c>
      <c r="L981">
        <f t="shared" si="157"/>
        <v>310706</v>
      </c>
      <c r="M981">
        <f t="shared" si="158"/>
        <v>99462</v>
      </c>
      <c r="N981">
        <f t="shared" si="159"/>
        <v>458168</v>
      </c>
      <c r="O981">
        <f>IF(B981="zagraniczny",K981+O980,O980)</f>
        <v>445</v>
      </c>
    </row>
    <row r="982" spans="1:15" x14ac:dyDescent="0.25">
      <c r="A982">
        <v>23123600</v>
      </c>
      <c r="B982" t="str">
        <f t="shared" si="150"/>
        <v>komorkowy</v>
      </c>
      <c r="C982" s="1">
        <v>42930</v>
      </c>
      <c r="D982" s="2">
        <v>0.53268518518518515</v>
      </c>
      <c r="E982" s="2">
        <v>0.54135416666666669</v>
      </c>
      <c r="F982" s="2">
        <f t="shared" si="151"/>
        <v>8.6689814814815414E-3</v>
      </c>
      <c r="G982">
        <f t="shared" si="152"/>
        <v>0</v>
      </c>
      <c r="H982">
        <f t="shared" si="153"/>
        <v>12</v>
      </c>
      <c r="I982">
        <f t="shared" si="154"/>
        <v>29</v>
      </c>
      <c r="J982">
        <f t="shared" si="155"/>
        <v>749</v>
      </c>
      <c r="K982">
        <f t="shared" si="156"/>
        <v>13</v>
      </c>
      <c r="L982">
        <f t="shared" si="157"/>
        <v>310706</v>
      </c>
      <c r="M982">
        <f t="shared" si="158"/>
        <v>100211</v>
      </c>
      <c r="N982">
        <f t="shared" si="159"/>
        <v>458917</v>
      </c>
      <c r="O982">
        <f>IF(B982="zagraniczny",K982+O981,O981)</f>
        <v>445</v>
      </c>
    </row>
    <row r="983" spans="1:15" x14ac:dyDescent="0.25">
      <c r="A983">
        <v>5913571</v>
      </c>
      <c r="B983" t="str">
        <f t="shared" si="150"/>
        <v>stacjonarny</v>
      </c>
      <c r="C983" s="1">
        <v>42930</v>
      </c>
      <c r="D983" s="2">
        <v>0.53740740740740744</v>
      </c>
      <c r="E983" s="2">
        <v>0.54893518518518514</v>
      </c>
      <c r="F983" s="2">
        <f t="shared" si="151"/>
        <v>1.1527777777777692E-2</v>
      </c>
      <c r="G983">
        <f t="shared" si="152"/>
        <v>0</v>
      </c>
      <c r="H983">
        <f t="shared" si="153"/>
        <v>16</v>
      </c>
      <c r="I983">
        <f t="shared" si="154"/>
        <v>36</v>
      </c>
      <c r="J983">
        <f t="shared" si="155"/>
        <v>996</v>
      </c>
      <c r="K983">
        <f t="shared" si="156"/>
        <v>17</v>
      </c>
      <c r="L983">
        <f t="shared" si="157"/>
        <v>311702</v>
      </c>
      <c r="M983">
        <f t="shared" si="158"/>
        <v>100211</v>
      </c>
      <c r="N983">
        <f t="shared" si="159"/>
        <v>459913</v>
      </c>
      <c r="O983">
        <f>IF(B983="zagraniczny",K983+O982,O982)</f>
        <v>445</v>
      </c>
    </row>
    <row r="984" spans="1:15" x14ac:dyDescent="0.25">
      <c r="A984">
        <v>5790304</v>
      </c>
      <c r="B984" t="str">
        <f t="shared" si="150"/>
        <v>stacjonarny</v>
      </c>
      <c r="C984" s="1">
        <v>42930</v>
      </c>
      <c r="D984" s="2">
        <v>0.53768518518518515</v>
      </c>
      <c r="E984" s="2">
        <v>0.53770833333333334</v>
      </c>
      <c r="F984" s="2">
        <f t="shared" si="151"/>
        <v>2.3148148148188774E-5</v>
      </c>
      <c r="G984">
        <f t="shared" si="152"/>
        <v>0</v>
      </c>
      <c r="H984">
        <f t="shared" si="153"/>
        <v>0</v>
      </c>
      <c r="I984">
        <f t="shared" si="154"/>
        <v>2</v>
      </c>
      <c r="J984">
        <f t="shared" si="155"/>
        <v>2</v>
      </c>
      <c r="K984">
        <f t="shared" si="156"/>
        <v>1</v>
      </c>
      <c r="L984">
        <f t="shared" si="157"/>
        <v>311704</v>
      </c>
      <c r="M984">
        <f t="shared" si="158"/>
        <v>100211</v>
      </c>
      <c r="N984">
        <f t="shared" si="159"/>
        <v>459915</v>
      </c>
      <c r="O984">
        <f>IF(B984="zagraniczny",K984+O983,O983)</f>
        <v>445</v>
      </c>
    </row>
    <row r="985" spans="1:15" x14ac:dyDescent="0.25">
      <c r="A985">
        <v>97953696</v>
      </c>
      <c r="B985" t="str">
        <f t="shared" si="150"/>
        <v>komorkowy</v>
      </c>
      <c r="C985" s="1">
        <v>42930</v>
      </c>
      <c r="D985" s="2">
        <v>0.53909722222222223</v>
      </c>
      <c r="E985" s="2">
        <v>0.54540509259259262</v>
      </c>
      <c r="F985" s="2">
        <f t="shared" si="151"/>
        <v>6.3078703703703942E-3</v>
      </c>
      <c r="G985">
        <f t="shared" si="152"/>
        <v>0</v>
      </c>
      <c r="H985">
        <f t="shared" si="153"/>
        <v>9</v>
      </c>
      <c r="I985">
        <f t="shared" si="154"/>
        <v>5</v>
      </c>
      <c r="J985">
        <f t="shared" si="155"/>
        <v>545</v>
      </c>
      <c r="K985">
        <f t="shared" si="156"/>
        <v>10</v>
      </c>
      <c r="L985">
        <f t="shared" si="157"/>
        <v>311704</v>
      </c>
      <c r="M985">
        <f t="shared" si="158"/>
        <v>100756</v>
      </c>
      <c r="N985">
        <f t="shared" si="159"/>
        <v>460460</v>
      </c>
      <c r="O985">
        <f>IF(B985="zagraniczny",K985+O984,O984)</f>
        <v>445</v>
      </c>
    </row>
    <row r="986" spans="1:15" x14ac:dyDescent="0.25">
      <c r="A986">
        <v>13588783</v>
      </c>
      <c r="B986" t="str">
        <f t="shared" si="150"/>
        <v>komorkowy</v>
      </c>
      <c r="C986" s="1">
        <v>42930</v>
      </c>
      <c r="D986" s="2">
        <v>0.54118055555555555</v>
      </c>
      <c r="E986" s="2">
        <v>0.54894675925925929</v>
      </c>
      <c r="F986" s="2">
        <f t="shared" si="151"/>
        <v>7.7662037037037335E-3</v>
      </c>
      <c r="G986">
        <f t="shared" si="152"/>
        <v>0</v>
      </c>
      <c r="H986">
        <f t="shared" si="153"/>
        <v>11</v>
      </c>
      <c r="I986">
        <f t="shared" si="154"/>
        <v>11</v>
      </c>
      <c r="J986">
        <f t="shared" si="155"/>
        <v>671</v>
      </c>
      <c r="K986">
        <f t="shared" si="156"/>
        <v>12</v>
      </c>
      <c r="L986">
        <f t="shared" si="157"/>
        <v>311704</v>
      </c>
      <c r="M986">
        <f t="shared" si="158"/>
        <v>101427</v>
      </c>
      <c r="N986">
        <f t="shared" si="159"/>
        <v>461131</v>
      </c>
      <c r="O986">
        <f>IF(B986="zagraniczny",K986+O985,O985)</f>
        <v>445</v>
      </c>
    </row>
    <row r="987" spans="1:15" x14ac:dyDescent="0.25">
      <c r="A987">
        <v>3300626</v>
      </c>
      <c r="B987" t="str">
        <f t="shared" si="150"/>
        <v>stacjonarny</v>
      </c>
      <c r="C987" s="1">
        <v>42930</v>
      </c>
      <c r="D987" s="2">
        <v>0.54415509259259254</v>
      </c>
      <c r="E987" s="2">
        <v>0.55156249999999996</v>
      </c>
      <c r="F987" s="2">
        <f t="shared" si="151"/>
        <v>7.4074074074074181E-3</v>
      </c>
      <c r="G987">
        <f t="shared" si="152"/>
        <v>0</v>
      </c>
      <c r="H987">
        <f t="shared" si="153"/>
        <v>10</v>
      </c>
      <c r="I987">
        <f t="shared" si="154"/>
        <v>40</v>
      </c>
      <c r="J987">
        <f t="shared" si="155"/>
        <v>640</v>
      </c>
      <c r="K987">
        <f t="shared" si="156"/>
        <v>11</v>
      </c>
      <c r="L987">
        <f t="shared" si="157"/>
        <v>312344</v>
      </c>
      <c r="M987">
        <f t="shared" si="158"/>
        <v>101427</v>
      </c>
      <c r="N987">
        <f t="shared" si="159"/>
        <v>461771</v>
      </c>
      <c r="O987">
        <f>IF(B987="zagraniczny",K987+O986,O986)</f>
        <v>445</v>
      </c>
    </row>
    <row r="988" spans="1:15" x14ac:dyDescent="0.25">
      <c r="A988">
        <v>9849071</v>
      </c>
      <c r="B988" t="str">
        <f t="shared" si="150"/>
        <v>stacjonarny</v>
      </c>
      <c r="C988" s="1">
        <v>42930</v>
      </c>
      <c r="D988" s="2">
        <v>0.54498842592592589</v>
      </c>
      <c r="E988" s="2">
        <v>0.54879629629629634</v>
      </c>
      <c r="F988" s="2">
        <f t="shared" si="151"/>
        <v>3.8078703703704475E-3</v>
      </c>
      <c r="G988">
        <f t="shared" si="152"/>
        <v>0</v>
      </c>
      <c r="H988">
        <f t="shared" si="153"/>
        <v>5</v>
      </c>
      <c r="I988">
        <f t="shared" si="154"/>
        <v>29</v>
      </c>
      <c r="J988">
        <f t="shared" si="155"/>
        <v>329</v>
      </c>
      <c r="K988">
        <f t="shared" si="156"/>
        <v>6</v>
      </c>
      <c r="L988">
        <f t="shared" si="157"/>
        <v>312673</v>
      </c>
      <c r="M988">
        <f t="shared" si="158"/>
        <v>101427</v>
      </c>
      <c r="N988">
        <f t="shared" si="159"/>
        <v>462100</v>
      </c>
      <c r="O988">
        <f>IF(B988="zagraniczny",K988+O987,O987)</f>
        <v>445</v>
      </c>
    </row>
    <row r="989" spans="1:15" x14ac:dyDescent="0.25">
      <c r="A989">
        <v>39697250</v>
      </c>
      <c r="B989" t="str">
        <f t="shared" si="150"/>
        <v>komorkowy</v>
      </c>
      <c r="C989" s="1">
        <v>42930</v>
      </c>
      <c r="D989" s="2">
        <v>0.54616898148148152</v>
      </c>
      <c r="E989" s="2">
        <v>0.55153935185185188</v>
      </c>
      <c r="F989" s="2">
        <f t="shared" si="151"/>
        <v>5.3703703703703587E-3</v>
      </c>
      <c r="G989">
        <f t="shared" si="152"/>
        <v>0</v>
      </c>
      <c r="H989">
        <f t="shared" si="153"/>
        <v>7</v>
      </c>
      <c r="I989">
        <f t="shared" si="154"/>
        <v>44</v>
      </c>
      <c r="J989">
        <f t="shared" si="155"/>
        <v>464</v>
      </c>
      <c r="K989">
        <f t="shared" si="156"/>
        <v>8</v>
      </c>
      <c r="L989">
        <f t="shared" si="157"/>
        <v>312673</v>
      </c>
      <c r="M989">
        <f t="shared" si="158"/>
        <v>101891</v>
      </c>
      <c r="N989">
        <f t="shared" si="159"/>
        <v>462564</v>
      </c>
      <c r="O989">
        <f>IF(B989="zagraniczny",K989+O988,O988)</f>
        <v>445</v>
      </c>
    </row>
    <row r="990" spans="1:15" x14ac:dyDescent="0.25">
      <c r="A990">
        <v>3826370863</v>
      </c>
      <c r="B990" t="str">
        <f t="shared" si="150"/>
        <v>zagraniczny</v>
      </c>
      <c r="C990" s="1">
        <v>42930</v>
      </c>
      <c r="D990" s="2">
        <v>0.55155092592592592</v>
      </c>
      <c r="E990" s="2">
        <v>0.55709490740740741</v>
      </c>
      <c r="F990" s="2">
        <f t="shared" si="151"/>
        <v>5.5439814814814969E-3</v>
      </c>
      <c r="G990">
        <f t="shared" si="152"/>
        <v>0</v>
      </c>
      <c r="H990">
        <f t="shared" si="153"/>
        <v>7</v>
      </c>
      <c r="I990">
        <f t="shared" si="154"/>
        <v>59</v>
      </c>
      <c r="J990">
        <f t="shared" si="155"/>
        <v>479</v>
      </c>
      <c r="K990">
        <f t="shared" si="156"/>
        <v>8</v>
      </c>
      <c r="L990">
        <f t="shared" si="157"/>
        <v>312673</v>
      </c>
      <c r="M990">
        <f t="shared" si="158"/>
        <v>101891</v>
      </c>
      <c r="N990">
        <f t="shared" si="159"/>
        <v>462564</v>
      </c>
      <c r="O990">
        <f>IF(B990="zagraniczny",K990+O989,O989)</f>
        <v>453</v>
      </c>
    </row>
    <row r="991" spans="1:15" x14ac:dyDescent="0.25">
      <c r="A991">
        <v>9088452</v>
      </c>
      <c r="B991" t="str">
        <f t="shared" si="150"/>
        <v>stacjonarny</v>
      </c>
      <c r="C991" s="1">
        <v>42930</v>
      </c>
      <c r="D991" s="2">
        <v>0.55473379629629627</v>
      </c>
      <c r="E991" s="2">
        <v>0.56253472222222223</v>
      </c>
      <c r="F991" s="2">
        <f t="shared" si="151"/>
        <v>7.8009259259259611E-3</v>
      </c>
      <c r="G991">
        <f t="shared" si="152"/>
        <v>0</v>
      </c>
      <c r="H991">
        <f t="shared" si="153"/>
        <v>11</v>
      </c>
      <c r="I991">
        <f t="shared" si="154"/>
        <v>14</v>
      </c>
      <c r="J991">
        <f t="shared" si="155"/>
        <v>674</v>
      </c>
      <c r="K991">
        <f t="shared" si="156"/>
        <v>12</v>
      </c>
      <c r="L991">
        <f t="shared" si="157"/>
        <v>313347</v>
      </c>
      <c r="M991">
        <f t="shared" si="158"/>
        <v>101891</v>
      </c>
      <c r="N991">
        <f t="shared" si="159"/>
        <v>463238</v>
      </c>
      <c r="O991">
        <f>IF(B991="zagraniczny",K991+O990,O990)</f>
        <v>453</v>
      </c>
    </row>
    <row r="992" spans="1:15" x14ac:dyDescent="0.25">
      <c r="A992">
        <v>8026912</v>
      </c>
      <c r="B992" t="str">
        <f t="shared" si="150"/>
        <v>stacjonarny</v>
      </c>
      <c r="C992" s="1">
        <v>42930</v>
      </c>
      <c r="D992" s="2">
        <v>0.5561342592592593</v>
      </c>
      <c r="E992" s="2">
        <v>0.56366898148148148</v>
      </c>
      <c r="F992" s="2">
        <f t="shared" si="151"/>
        <v>7.5347222222221788E-3</v>
      </c>
      <c r="G992">
        <f t="shared" si="152"/>
        <v>0</v>
      </c>
      <c r="H992">
        <f t="shared" si="153"/>
        <v>10</v>
      </c>
      <c r="I992">
        <f t="shared" si="154"/>
        <v>51</v>
      </c>
      <c r="J992">
        <f t="shared" si="155"/>
        <v>651</v>
      </c>
      <c r="K992">
        <f t="shared" si="156"/>
        <v>11</v>
      </c>
      <c r="L992">
        <f t="shared" si="157"/>
        <v>313998</v>
      </c>
      <c r="M992">
        <f t="shared" si="158"/>
        <v>101891</v>
      </c>
      <c r="N992">
        <f t="shared" si="159"/>
        <v>463889</v>
      </c>
      <c r="O992">
        <f>IF(B992="zagraniczny",K992+O991,O991)</f>
        <v>453</v>
      </c>
    </row>
    <row r="993" spans="1:15" x14ac:dyDescent="0.25">
      <c r="A993">
        <v>24290062</v>
      </c>
      <c r="B993" t="str">
        <f t="shared" si="150"/>
        <v>komorkowy</v>
      </c>
      <c r="C993" s="1">
        <v>42930</v>
      </c>
      <c r="D993" s="2">
        <v>0.56141203703703701</v>
      </c>
      <c r="E993" s="2">
        <v>0.57055555555555559</v>
      </c>
      <c r="F993" s="2">
        <f t="shared" si="151"/>
        <v>9.1435185185185786E-3</v>
      </c>
      <c r="G993">
        <f t="shared" si="152"/>
        <v>0</v>
      </c>
      <c r="H993">
        <f t="shared" si="153"/>
        <v>13</v>
      </c>
      <c r="I993">
        <f t="shared" si="154"/>
        <v>10</v>
      </c>
      <c r="J993">
        <f t="shared" si="155"/>
        <v>790</v>
      </c>
      <c r="K993">
        <f t="shared" si="156"/>
        <v>14</v>
      </c>
      <c r="L993">
        <f t="shared" si="157"/>
        <v>313998</v>
      </c>
      <c r="M993">
        <f t="shared" si="158"/>
        <v>102681</v>
      </c>
      <c r="N993">
        <f t="shared" si="159"/>
        <v>464679</v>
      </c>
      <c r="O993">
        <f>IF(B993="zagraniczny",K993+O992,O992)</f>
        <v>453</v>
      </c>
    </row>
    <row r="994" spans="1:15" x14ac:dyDescent="0.25">
      <c r="A994">
        <v>6785899</v>
      </c>
      <c r="B994" t="str">
        <f t="shared" si="150"/>
        <v>stacjonarny</v>
      </c>
      <c r="C994" s="1">
        <v>42930</v>
      </c>
      <c r="D994" s="2">
        <v>0.56650462962962966</v>
      </c>
      <c r="E994" s="2">
        <v>0.57533564814814819</v>
      </c>
      <c r="F994" s="2">
        <f t="shared" si="151"/>
        <v>8.8310185185185297E-3</v>
      </c>
      <c r="G994">
        <f t="shared" si="152"/>
        <v>0</v>
      </c>
      <c r="H994">
        <f t="shared" si="153"/>
        <v>12</v>
      </c>
      <c r="I994">
        <f t="shared" si="154"/>
        <v>43</v>
      </c>
      <c r="J994">
        <f t="shared" si="155"/>
        <v>763</v>
      </c>
      <c r="K994">
        <f t="shared" si="156"/>
        <v>13</v>
      </c>
      <c r="L994">
        <f t="shared" si="157"/>
        <v>314761</v>
      </c>
      <c r="M994">
        <f t="shared" si="158"/>
        <v>102681</v>
      </c>
      <c r="N994">
        <f t="shared" si="159"/>
        <v>465442</v>
      </c>
      <c r="O994">
        <f>IF(B994="zagraniczny",K994+O993,O993)</f>
        <v>453</v>
      </c>
    </row>
    <row r="995" spans="1:15" x14ac:dyDescent="0.25">
      <c r="A995">
        <v>75048005</v>
      </c>
      <c r="B995" t="str">
        <f t="shared" si="150"/>
        <v>komorkowy</v>
      </c>
      <c r="C995" s="1">
        <v>42930</v>
      </c>
      <c r="D995" s="2">
        <v>0.57197916666666671</v>
      </c>
      <c r="E995" s="2">
        <v>0.58081018518518523</v>
      </c>
      <c r="F995" s="2">
        <f t="shared" si="151"/>
        <v>8.8310185185185297E-3</v>
      </c>
      <c r="G995">
        <f t="shared" si="152"/>
        <v>0</v>
      </c>
      <c r="H995">
        <f t="shared" si="153"/>
        <v>12</v>
      </c>
      <c r="I995">
        <f t="shared" si="154"/>
        <v>43</v>
      </c>
      <c r="J995">
        <f t="shared" si="155"/>
        <v>763</v>
      </c>
      <c r="K995">
        <f t="shared" si="156"/>
        <v>13</v>
      </c>
      <c r="L995">
        <f t="shared" si="157"/>
        <v>314761</v>
      </c>
      <c r="M995">
        <f t="shared" si="158"/>
        <v>103444</v>
      </c>
      <c r="N995">
        <f t="shared" si="159"/>
        <v>466205</v>
      </c>
      <c r="O995">
        <f>IF(B995="zagraniczny",K995+O994,O994)</f>
        <v>453</v>
      </c>
    </row>
    <row r="996" spans="1:15" x14ac:dyDescent="0.25">
      <c r="A996">
        <v>97459926</v>
      </c>
      <c r="B996" t="str">
        <f t="shared" si="150"/>
        <v>komorkowy</v>
      </c>
      <c r="C996" s="1">
        <v>42930</v>
      </c>
      <c r="D996" s="2">
        <v>0.57262731481481477</v>
      </c>
      <c r="E996" s="2">
        <v>0.57991898148148147</v>
      </c>
      <c r="F996" s="2">
        <f t="shared" si="151"/>
        <v>7.2916666666666963E-3</v>
      </c>
      <c r="G996">
        <f t="shared" si="152"/>
        <v>0</v>
      </c>
      <c r="H996">
        <f t="shared" si="153"/>
        <v>10</v>
      </c>
      <c r="I996">
        <f t="shared" si="154"/>
        <v>30</v>
      </c>
      <c r="J996">
        <f t="shared" si="155"/>
        <v>630</v>
      </c>
      <c r="K996">
        <f t="shared" si="156"/>
        <v>11</v>
      </c>
      <c r="L996">
        <f t="shared" si="157"/>
        <v>314761</v>
      </c>
      <c r="M996">
        <f t="shared" si="158"/>
        <v>104074</v>
      </c>
      <c r="N996">
        <f t="shared" si="159"/>
        <v>466835</v>
      </c>
      <c r="O996">
        <f>IF(B996="zagraniczny",K996+O995,O995)</f>
        <v>453</v>
      </c>
    </row>
    <row r="997" spans="1:15" x14ac:dyDescent="0.25">
      <c r="A997">
        <v>9600226</v>
      </c>
      <c r="B997" t="str">
        <f t="shared" si="150"/>
        <v>stacjonarny</v>
      </c>
      <c r="C997" s="1">
        <v>42930</v>
      </c>
      <c r="D997" s="2">
        <v>0.57451388888888888</v>
      </c>
      <c r="E997" s="2">
        <v>0.57847222222222228</v>
      </c>
      <c r="F997" s="2">
        <f t="shared" si="151"/>
        <v>3.958333333333397E-3</v>
      </c>
      <c r="G997">
        <f t="shared" si="152"/>
        <v>0</v>
      </c>
      <c r="H997">
        <f t="shared" si="153"/>
        <v>5</v>
      </c>
      <c r="I997">
        <f t="shared" si="154"/>
        <v>42</v>
      </c>
      <c r="J997">
        <f t="shared" si="155"/>
        <v>342</v>
      </c>
      <c r="K997">
        <f t="shared" si="156"/>
        <v>6</v>
      </c>
      <c r="L997">
        <f t="shared" si="157"/>
        <v>315103</v>
      </c>
      <c r="M997">
        <f t="shared" si="158"/>
        <v>104074</v>
      </c>
      <c r="N997">
        <f t="shared" si="159"/>
        <v>467177</v>
      </c>
      <c r="O997">
        <f>IF(B997="zagraniczny",K997+O996,O996)</f>
        <v>453</v>
      </c>
    </row>
    <row r="998" spans="1:15" x14ac:dyDescent="0.25">
      <c r="A998">
        <v>9685747</v>
      </c>
      <c r="B998" t="str">
        <f t="shared" si="150"/>
        <v>stacjonarny</v>
      </c>
      <c r="C998" s="1">
        <v>42930</v>
      </c>
      <c r="D998" s="2">
        <v>0.57810185185185181</v>
      </c>
      <c r="E998" s="2">
        <v>0.58810185185185182</v>
      </c>
      <c r="F998" s="2">
        <f t="shared" si="151"/>
        <v>1.0000000000000009E-2</v>
      </c>
      <c r="G998">
        <f t="shared" si="152"/>
        <v>0</v>
      </c>
      <c r="H998">
        <f t="shared" si="153"/>
        <v>14</v>
      </c>
      <c r="I998">
        <f t="shared" si="154"/>
        <v>24</v>
      </c>
      <c r="J998">
        <f t="shared" si="155"/>
        <v>864</v>
      </c>
      <c r="K998">
        <f t="shared" si="156"/>
        <v>15</v>
      </c>
      <c r="L998">
        <f t="shared" si="157"/>
        <v>315967</v>
      </c>
      <c r="M998">
        <f t="shared" si="158"/>
        <v>104074</v>
      </c>
      <c r="N998">
        <f t="shared" si="159"/>
        <v>468041</v>
      </c>
      <c r="O998">
        <f>IF(B998="zagraniczny",K998+O997,O997)</f>
        <v>453</v>
      </c>
    </row>
    <row r="999" spans="1:15" x14ac:dyDescent="0.25">
      <c r="A999">
        <v>3178616</v>
      </c>
      <c r="B999" t="str">
        <f t="shared" si="150"/>
        <v>stacjonarny</v>
      </c>
      <c r="C999" s="1">
        <v>42930</v>
      </c>
      <c r="D999" s="2">
        <v>0.58233796296296292</v>
      </c>
      <c r="E999" s="2">
        <v>0.58734953703703707</v>
      </c>
      <c r="F999" s="2">
        <f t="shared" si="151"/>
        <v>5.0115740740741543E-3</v>
      </c>
      <c r="G999">
        <f t="shared" si="152"/>
        <v>0</v>
      </c>
      <c r="H999">
        <f t="shared" si="153"/>
        <v>7</v>
      </c>
      <c r="I999">
        <f t="shared" si="154"/>
        <v>13</v>
      </c>
      <c r="J999">
        <f t="shared" si="155"/>
        <v>433</v>
      </c>
      <c r="K999">
        <f t="shared" si="156"/>
        <v>8</v>
      </c>
      <c r="L999">
        <f t="shared" si="157"/>
        <v>316400</v>
      </c>
      <c r="M999">
        <f t="shared" si="158"/>
        <v>104074</v>
      </c>
      <c r="N999">
        <f t="shared" si="159"/>
        <v>468474</v>
      </c>
      <c r="O999">
        <f>IF(B999="zagraniczny",K999+O998,O998)</f>
        <v>453</v>
      </c>
    </row>
    <row r="1000" spans="1:15" x14ac:dyDescent="0.25">
      <c r="A1000">
        <v>9979899</v>
      </c>
      <c r="B1000" t="str">
        <f t="shared" si="150"/>
        <v>stacjonarny</v>
      </c>
      <c r="C1000" s="1">
        <v>42930</v>
      </c>
      <c r="D1000" s="2">
        <v>0.58810185185185182</v>
      </c>
      <c r="E1000" s="2">
        <v>0.59134259259259259</v>
      </c>
      <c r="F1000" s="2">
        <f t="shared" si="151"/>
        <v>3.2407407407407662E-3</v>
      </c>
      <c r="G1000">
        <f t="shared" si="152"/>
        <v>0</v>
      </c>
      <c r="H1000">
        <f t="shared" si="153"/>
        <v>4</v>
      </c>
      <c r="I1000">
        <f t="shared" si="154"/>
        <v>40</v>
      </c>
      <c r="J1000">
        <f t="shared" si="155"/>
        <v>280</v>
      </c>
      <c r="K1000">
        <f t="shared" si="156"/>
        <v>5</v>
      </c>
      <c r="L1000">
        <f t="shared" si="157"/>
        <v>316680</v>
      </c>
      <c r="M1000">
        <f t="shared" si="158"/>
        <v>104074</v>
      </c>
      <c r="N1000">
        <f t="shared" si="159"/>
        <v>468754</v>
      </c>
      <c r="O1000">
        <f>IF(B1000="zagraniczny",K1000+O999,O999)</f>
        <v>453</v>
      </c>
    </row>
    <row r="1001" spans="1:15" x14ac:dyDescent="0.25">
      <c r="A1001">
        <v>4575865</v>
      </c>
      <c r="B1001" t="str">
        <f t="shared" si="150"/>
        <v>stacjonarny</v>
      </c>
      <c r="C1001" s="1">
        <v>42930</v>
      </c>
      <c r="D1001" s="2">
        <v>0.58959490740740739</v>
      </c>
      <c r="E1001" s="2">
        <v>0.59105324074074073</v>
      </c>
      <c r="F1001" s="2">
        <f t="shared" si="151"/>
        <v>1.4583333333333393E-3</v>
      </c>
      <c r="G1001">
        <f t="shared" si="152"/>
        <v>0</v>
      </c>
      <c r="H1001">
        <f t="shared" si="153"/>
        <v>2</v>
      </c>
      <c r="I1001">
        <f t="shared" si="154"/>
        <v>6</v>
      </c>
      <c r="J1001">
        <f t="shared" si="155"/>
        <v>126</v>
      </c>
      <c r="K1001">
        <f t="shared" si="156"/>
        <v>3</v>
      </c>
      <c r="L1001">
        <f t="shared" si="157"/>
        <v>316806</v>
      </c>
      <c r="M1001">
        <f t="shared" si="158"/>
        <v>104074</v>
      </c>
      <c r="N1001">
        <f t="shared" si="159"/>
        <v>468880</v>
      </c>
      <c r="O1001">
        <f>IF(B1001="zagraniczny",K1001+O1000,O1000)</f>
        <v>453</v>
      </c>
    </row>
    <row r="1002" spans="1:15" x14ac:dyDescent="0.25">
      <c r="A1002">
        <v>1808444</v>
      </c>
      <c r="B1002" t="str">
        <f t="shared" si="150"/>
        <v>stacjonarny</v>
      </c>
      <c r="C1002" s="1">
        <v>42930</v>
      </c>
      <c r="D1002" s="2">
        <v>0.59284722222222219</v>
      </c>
      <c r="E1002" s="2">
        <v>0.59662037037037041</v>
      </c>
      <c r="F1002" s="2">
        <f t="shared" si="151"/>
        <v>3.7731481481482199E-3</v>
      </c>
      <c r="G1002">
        <f t="shared" si="152"/>
        <v>0</v>
      </c>
      <c r="H1002">
        <f t="shared" si="153"/>
        <v>5</v>
      </c>
      <c r="I1002">
        <f t="shared" si="154"/>
        <v>26</v>
      </c>
      <c r="J1002">
        <f t="shared" si="155"/>
        <v>326</v>
      </c>
      <c r="K1002">
        <f t="shared" si="156"/>
        <v>6</v>
      </c>
      <c r="L1002">
        <f t="shared" si="157"/>
        <v>317132</v>
      </c>
      <c r="M1002">
        <f t="shared" si="158"/>
        <v>104074</v>
      </c>
      <c r="N1002">
        <f t="shared" si="159"/>
        <v>469206</v>
      </c>
      <c r="O1002">
        <f>IF(B1002="zagraniczny",K1002+O1001,O1001)</f>
        <v>453</v>
      </c>
    </row>
    <row r="1003" spans="1:15" x14ac:dyDescent="0.25">
      <c r="A1003">
        <v>1649912</v>
      </c>
      <c r="B1003" t="str">
        <f t="shared" si="150"/>
        <v>stacjonarny</v>
      </c>
      <c r="C1003" s="1">
        <v>42930</v>
      </c>
      <c r="D1003" s="2">
        <v>0.59467592592592589</v>
      </c>
      <c r="E1003" s="2">
        <v>0.60392361111111115</v>
      </c>
      <c r="F1003" s="2">
        <f t="shared" si="151"/>
        <v>9.2476851851852615E-3</v>
      </c>
      <c r="G1003">
        <f t="shared" si="152"/>
        <v>0</v>
      </c>
      <c r="H1003">
        <f t="shared" si="153"/>
        <v>13</v>
      </c>
      <c r="I1003">
        <f t="shared" si="154"/>
        <v>19</v>
      </c>
      <c r="J1003">
        <f t="shared" si="155"/>
        <v>799</v>
      </c>
      <c r="K1003">
        <f t="shared" si="156"/>
        <v>14</v>
      </c>
      <c r="L1003">
        <f t="shared" si="157"/>
        <v>317931</v>
      </c>
      <c r="M1003">
        <f t="shared" si="158"/>
        <v>104074</v>
      </c>
      <c r="N1003">
        <f t="shared" si="159"/>
        <v>470005</v>
      </c>
      <c r="O1003">
        <f>IF(B1003="zagraniczny",K1003+O1002,O1002)</f>
        <v>453</v>
      </c>
    </row>
    <row r="1004" spans="1:15" x14ac:dyDescent="0.25">
      <c r="A1004">
        <v>6128500046</v>
      </c>
      <c r="B1004" t="str">
        <f t="shared" si="150"/>
        <v>zagraniczny</v>
      </c>
      <c r="C1004" s="1">
        <v>42930</v>
      </c>
      <c r="D1004" s="2">
        <v>0.5981481481481481</v>
      </c>
      <c r="E1004" s="2">
        <v>0.60513888888888889</v>
      </c>
      <c r="F1004" s="2">
        <f t="shared" si="151"/>
        <v>6.9907407407407973E-3</v>
      </c>
      <c r="G1004">
        <f t="shared" si="152"/>
        <v>0</v>
      </c>
      <c r="H1004">
        <f t="shared" si="153"/>
        <v>10</v>
      </c>
      <c r="I1004">
        <f t="shared" si="154"/>
        <v>4</v>
      </c>
      <c r="J1004">
        <f t="shared" si="155"/>
        <v>604</v>
      </c>
      <c r="K1004">
        <f t="shared" si="156"/>
        <v>11</v>
      </c>
      <c r="L1004">
        <f t="shared" si="157"/>
        <v>317931</v>
      </c>
      <c r="M1004">
        <f t="shared" si="158"/>
        <v>104074</v>
      </c>
      <c r="N1004">
        <f t="shared" si="159"/>
        <v>470005</v>
      </c>
      <c r="O1004">
        <f>IF(B1004="zagraniczny",K1004+O1003,O1003)</f>
        <v>464</v>
      </c>
    </row>
    <row r="1005" spans="1:15" x14ac:dyDescent="0.25">
      <c r="A1005">
        <v>6580951</v>
      </c>
      <c r="B1005" t="str">
        <f t="shared" si="150"/>
        <v>stacjonarny</v>
      </c>
      <c r="C1005" s="1">
        <v>42930</v>
      </c>
      <c r="D1005" s="2">
        <v>0.6001967592592593</v>
      </c>
      <c r="E1005" s="2">
        <v>0.60023148148148153</v>
      </c>
      <c r="F1005" s="2">
        <f t="shared" si="151"/>
        <v>3.472222222222765E-5</v>
      </c>
      <c r="G1005">
        <f t="shared" si="152"/>
        <v>0</v>
      </c>
      <c r="H1005">
        <f t="shared" si="153"/>
        <v>0</v>
      </c>
      <c r="I1005">
        <f t="shared" si="154"/>
        <v>3</v>
      </c>
      <c r="J1005">
        <f t="shared" si="155"/>
        <v>3</v>
      </c>
      <c r="K1005">
        <f t="shared" si="156"/>
        <v>1</v>
      </c>
      <c r="L1005">
        <f t="shared" si="157"/>
        <v>317934</v>
      </c>
      <c r="M1005">
        <f t="shared" si="158"/>
        <v>104074</v>
      </c>
      <c r="N1005">
        <f t="shared" si="159"/>
        <v>470008</v>
      </c>
      <c r="O1005">
        <f>IF(B1005="zagraniczny",K1005+O1004,O1004)</f>
        <v>464</v>
      </c>
    </row>
    <row r="1006" spans="1:15" x14ac:dyDescent="0.25">
      <c r="A1006">
        <v>5536146</v>
      </c>
      <c r="B1006" t="str">
        <f t="shared" si="150"/>
        <v>stacjonarny</v>
      </c>
      <c r="C1006" s="1">
        <v>42930</v>
      </c>
      <c r="D1006" s="2">
        <v>0.60204861111111108</v>
      </c>
      <c r="E1006" s="2">
        <v>0.60319444444444448</v>
      </c>
      <c r="F1006" s="2">
        <f t="shared" si="151"/>
        <v>1.1458333333334014E-3</v>
      </c>
      <c r="G1006">
        <f t="shared" si="152"/>
        <v>0</v>
      </c>
      <c r="H1006">
        <f t="shared" si="153"/>
        <v>1</v>
      </c>
      <c r="I1006">
        <f t="shared" si="154"/>
        <v>39</v>
      </c>
      <c r="J1006">
        <f t="shared" si="155"/>
        <v>99</v>
      </c>
      <c r="K1006">
        <f t="shared" si="156"/>
        <v>2</v>
      </c>
      <c r="L1006">
        <f t="shared" si="157"/>
        <v>318033</v>
      </c>
      <c r="M1006">
        <f t="shared" si="158"/>
        <v>104074</v>
      </c>
      <c r="N1006">
        <f t="shared" si="159"/>
        <v>470107</v>
      </c>
      <c r="O1006">
        <f>IF(B1006="zagraniczny",K1006+O1005,O1005)</f>
        <v>464</v>
      </c>
    </row>
    <row r="1007" spans="1:15" x14ac:dyDescent="0.25">
      <c r="A1007">
        <v>7396921</v>
      </c>
      <c r="B1007" t="str">
        <f t="shared" si="150"/>
        <v>stacjonarny</v>
      </c>
      <c r="C1007" s="1">
        <v>42930</v>
      </c>
      <c r="D1007" s="2">
        <v>0.60775462962962967</v>
      </c>
      <c r="E1007" s="2">
        <v>0.61614583333333328</v>
      </c>
      <c r="F1007" s="2">
        <f t="shared" si="151"/>
        <v>8.3912037037036091E-3</v>
      </c>
      <c r="G1007">
        <f t="shared" si="152"/>
        <v>0</v>
      </c>
      <c r="H1007">
        <f t="shared" si="153"/>
        <v>12</v>
      </c>
      <c r="I1007">
        <f t="shared" si="154"/>
        <v>5</v>
      </c>
      <c r="J1007">
        <f t="shared" si="155"/>
        <v>725</v>
      </c>
      <c r="K1007">
        <f t="shared" si="156"/>
        <v>13</v>
      </c>
      <c r="L1007">
        <f t="shared" si="157"/>
        <v>318758</v>
      </c>
      <c r="M1007">
        <f t="shared" si="158"/>
        <v>104074</v>
      </c>
      <c r="N1007">
        <f t="shared" si="159"/>
        <v>470832</v>
      </c>
      <c r="O1007">
        <f>IF(B1007="zagraniczny",K1007+O1006,O1006)</f>
        <v>464</v>
      </c>
    </row>
    <row r="1008" spans="1:15" x14ac:dyDescent="0.25">
      <c r="A1008">
        <v>8331262</v>
      </c>
      <c r="B1008" t="str">
        <f t="shared" si="150"/>
        <v>stacjonarny</v>
      </c>
      <c r="C1008" s="1">
        <v>42930</v>
      </c>
      <c r="D1008" s="2">
        <v>0.61174768518518519</v>
      </c>
      <c r="E1008" s="2">
        <v>0.61697916666666663</v>
      </c>
      <c r="F1008" s="2">
        <f t="shared" si="151"/>
        <v>5.2314814814814481E-3</v>
      </c>
      <c r="G1008">
        <f t="shared" si="152"/>
        <v>0</v>
      </c>
      <c r="H1008">
        <f t="shared" si="153"/>
        <v>7</v>
      </c>
      <c r="I1008">
        <f t="shared" si="154"/>
        <v>32</v>
      </c>
      <c r="J1008">
        <f t="shared" si="155"/>
        <v>452</v>
      </c>
      <c r="K1008">
        <f t="shared" si="156"/>
        <v>8</v>
      </c>
      <c r="L1008">
        <f t="shared" si="157"/>
        <v>319210</v>
      </c>
      <c r="M1008">
        <f t="shared" si="158"/>
        <v>104074</v>
      </c>
      <c r="N1008">
        <f t="shared" si="159"/>
        <v>471284</v>
      </c>
      <c r="O1008">
        <f>IF(B1008="zagraniczny",K1008+O1007,O1007)</f>
        <v>464</v>
      </c>
    </row>
    <row r="1009" spans="1:15" x14ac:dyDescent="0.25">
      <c r="A1009">
        <v>5146166</v>
      </c>
      <c r="B1009" t="str">
        <f t="shared" si="150"/>
        <v>stacjonarny</v>
      </c>
      <c r="C1009" s="1">
        <v>42930</v>
      </c>
      <c r="D1009" s="2">
        <v>0.61546296296296299</v>
      </c>
      <c r="E1009" s="2">
        <v>0.62185185185185188</v>
      </c>
      <c r="F1009" s="2">
        <f t="shared" si="151"/>
        <v>6.3888888888888884E-3</v>
      </c>
      <c r="G1009">
        <f t="shared" si="152"/>
        <v>0</v>
      </c>
      <c r="H1009">
        <f t="shared" si="153"/>
        <v>9</v>
      </c>
      <c r="I1009">
        <f t="shared" si="154"/>
        <v>12</v>
      </c>
      <c r="J1009">
        <f t="shared" si="155"/>
        <v>552</v>
      </c>
      <c r="K1009">
        <f t="shared" si="156"/>
        <v>10</v>
      </c>
      <c r="L1009">
        <f t="shared" si="157"/>
        <v>319762</v>
      </c>
      <c r="M1009">
        <f t="shared" si="158"/>
        <v>104074</v>
      </c>
      <c r="N1009">
        <f t="shared" si="159"/>
        <v>471836</v>
      </c>
      <c r="O1009">
        <f>IF(B1009="zagraniczny",K1009+O1008,O1008)</f>
        <v>464</v>
      </c>
    </row>
    <row r="1010" spans="1:15" x14ac:dyDescent="0.25">
      <c r="A1010">
        <v>6729705</v>
      </c>
      <c r="B1010" t="str">
        <f t="shared" si="150"/>
        <v>stacjonarny</v>
      </c>
      <c r="C1010" s="1">
        <v>42930</v>
      </c>
      <c r="D1010" s="2">
        <v>0.62111111111111106</v>
      </c>
      <c r="E1010" s="2">
        <v>0.62814814814814812</v>
      </c>
      <c r="F1010" s="2">
        <f t="shared" si="151"/>
        <v>7.0370370370370638E-3</v>
      </c>
      <c r="G1010">
        <f t="shared" si="152"/>
        <v>0</v>
      </c>
      <c r="H1010">
        <f t="shared" si="153"/>
        <v>10</v>
      </c>
      <c r="I1010">
        <f t="shared" si="154"/>
        <v>8</v>
      </c>
      <c r="J1010">
        <f t="shared" si="155"/>
        <v>608</v>
      </c>
      <c r="K1010">
        <f t="shared" si="156"/>
        <v>11</v>
      </c>
      <c r="L1010">
        <f t="shared" si="157"/>
        <v>320370</v>
      </c>
      <c r="M1010">
        <f t="shared" si="158"/>
        <v>104074</v>
      </c>
      <c r="N1010">
        <f t="shared" si="159"/>
        <v>472444</v>
      </c>
      <c r="O1010">
        <f>IF(B1010="zagraniczny",K1010+O1009,O1009)</f>
        <v>464</v>
      </c>
    </row>
    <row r="1011" spans="1:15" x14ac:dyDescent="0.25">
      <c r="A1011">
        <v>5372125</v>
      </c>
      <c r="B1011" t="str">
        <f t="shared" si="150"/>
        <v>stacjonarny</v>
      </c>
      <c r="C1011" s="1">
        <v>42930</v>
      </c>
      <c r="D1011" s="2">
        <v>0.62517361111111114</v>
      </c>
      <c r="E1011" s="2">
        <v>0.62518518518518518</v>
      </c>
      <c r="F1011" s="2">
        <f t="shared" si="151"/>
        <v>1.1574074074038876E-5</v>
      </c>
      <c r="G1011">
        <f t="shared" si="152"/>
        <v>0</v>
      </c>
      <c r="H1011">
        <f t="shared" si="153"/>
        <v>0</v>
      </c>
      <c r="I1011">
        <f t="shared" si="154"/>
        <v>1</v>
      </c>
      <c r="J1011">
        <f t="shared" si="155"/>
        <v>1</v>
      </c>
      <c r="K1011">
        <f t="shared" si="156"/>
        <v>1</v>
      </c>
      <c r="L1011">
        <f t="shared" si="157"/>
        <v>320371</v>
      </c>
      <c r="M1011">
        <f t="shared" si="158"/>
        <v>104074</v>
      </c>
      <c r="N1011">
        <f t="shared" si="159"/>
        <v>472445</v>
      </c>
      <c r="O1011">
        <f>IF(B1011="zagraniczny",K1011+O1010,O1010)</f>
        <v>464</v>
      </c>
    </row>
    <row r="1012" spans="1:15" x14ac:dyDescent="0.25">
      <c r="A1012">
        <v>8870498</v>
      </c>
      <c r="B1012" t="str">
        <f t="shared" si="150"/>
        <v>stacjonarny</v>
      </c>
      <c r="C1012" s="1">
        <v>42933</v>
      </c>
      <c r="D1012" s="2">
        <v>0.33702546296296299</v>
      </c>
      <c r="E1012" s="2">
        <v>0.34466435185185185</v>
      </c>
      <c r="F1012" s="2">
        <f t="shared" si="151"/>
        <v>7.6388888888888618E-3</v>
      </c>
      <c r="G1012">
        <f t="shared" si="152"/>
        <v>0</v>
      </c>
      <c r="H1012">
        <f t="shared" si="153"/>
        <v>11</v>
      </c>
      <c r="I1012">
        <f t="shared" si="154"/>
        <v>0</v>
      </c>
      <c r="J1012">
        <f t="shared" si="155"/>
        <v>660</v>
      </c>
      <c r="K1012">
        <f t="shared" si="156"/>
        <v>11</v>
      </c>
      <c r="L1012">
        <f t="shared" si="157"/>
        <v>321031</v>
      </c>
      <c r="M1012">
        <f t="shared" si="158"/>
        <v>104074</v>
      </c>
      <c r="N1012">
        <f t="shared" si="159"/>
        <v>473105</v>
      </c>
      <c r="O1012">
        <f>IF(B1012="zagraniczny",K1012+O1011,O1011)</f>
        <v>464</v>
      </c>
    </row>
    <row r="1013" spans="1:15" x14ac:dyDescent="0.25">
      <c r="A1013">
        <v>7880585</v>
      </c>
      <c r="B1013" t="str">
        <f t="shared" si="150"/>
        <v>stacjonarny</v>
      </c>
      <c r="C1013" s="1">
        <v>42933</v>
      </c>
      <c r="D1013" s="2">
        <v>0.34074074074074073</v>
      </c>
      <c r="E1013" s="2">
        <v>0.34971064814814817</v>
      </c>
      <c r="F1013" s="2">
        <f t="shared" si="151"/>
        <v>8.9699074074074403E-3</v>
      </c>
      <c r="G1013">
        <f t="shared" si="152"/>
        <v>0</v>
      </c>
      <c r="H1013">
        <f t="shared" si="153"/>
        <v>12</v>
      </c>
      <c r="I1013">
        <f t="shared" si="154"/>
        <v>55</v>
      </c>
      <c r="J1013">
        <f t="shared" si="155"/>
        <v>775</v>
      </c>
      <c r="K1013">
        <f t="shared" si="156"/>
        <v>13</v>
      </c>
      <c r="L1013">
        <f t="shared" si="157"/>
        <v>321806</v>
      </c>
      <c r="M1013">
        <f t="shared" si="158"/>
        <v>104074</v>
      </c>
      <c r="N1013">
        <f t="shared" si="159"/>
        <v>473880</v>
      </c>
      <c r="O1013">
        <f>IF(B1013="zagraniczny",K1013+O1012,O1012)</f>
        <v>464</v>
      </c>
    </row>
    <row r="1014" spans="1:15" x14ac:dyDescent="0.25">
      <c r="A1014">
        <v>3652646</v>
      </c>
      <c r="B1014" t="str">
        <f t="shared" si="150"/>
        <v>stacjonarny</v>
      </c>
      <c r="C1014" s="1">
        <v>42933</v>
      </c>
      <c r="D1014" s="2">
        <v>0.34233796296296298</v>
      </c>
      <c r="E1014" s="2">
        <v>0.34569444444444447</v>
      </c>
      <c r="F1014" s="2">
        <f t="shared" si="151"/>
        <v>3.3564814814814881E-3</v>
      </c>
      <c r="G1014">
        <f t="shared" si="152"/>
        <v>0</v>
      </c>
      <c r="H1014">
        <f t="shared" si="153"/>
        <v>4</v>
      </c>
      <c r="I1014">
        <f t="shared" si="154"/>
        <v>50</v>
      </c>
      <c r="J1014">
        <f t="shared" si="155"/>
        <v>290</v>
      </c>
      <c r="K1014">
        <f t="shared" si="156"/>
        <v>5</v>
      </c>
      <c r="L1014">
        <f t="shared" si="157"/>
        <v>322096</v>
      </c>
      <c r="M1014">
        <f t="shared" si="158"/>
        <v>104074</v>
      </c>
      <c r="N1014">
        <f t="shared" si="159"/>
        <v>474170</v>
      </c>
      <c r="O1014">
        <f>IF(B1014="zagraniczny",K1014+O1013,O1013)</f>
        <v>464</v>
      </c>
    </row>
    <row r="1015" spans="1:15" x14ac:dyDescent="0.25">
      <c r="A1015">
        <v>3691457</v>
      </c>
      <c r="B1015" t="str">
        <f t="shared" si="150"/>
        <v>stacjonarny</v>
      </c>
      <c r="C1015" s="1">
        <v>42933</v>
      </c>
      <c r="D1015" s="2">
        <v>0.34688657407407408</v>
      </c>
      <c r="E1015" s="2">
        <v>0.35810185185185184</v>
      </c>
      <c r="F1015" s="2">
        <f t="shared" si="151"/>
        <v>1.1215277777777755E-2</v>
      </c>
      <c r="G1015">
        <f t="shared" si="152"/>
        <v>0</v>
      </c>
      <c r="H1015">
        <f t="shared" si="153"/>
        <v>16</v>
      </c>
      <c r="I1015">
        <f t="shared" si="154"/>
        <v>9</v>
      </c>
      <c r="J1015">
        <f t="shared" si="155"/>
        <v>969</v>
      </c>
      <c r="K1015">
        <f t="shared" si="156"/>
        <v>17</v>
      </c>
      <c r="L1015">
        <f t="shared" si="157"/>
        <v>323065</v>
      </c>
      <c r="M1015">
        <f t="shared" si="158"/>
        <v>104074</v>
      </c>
      <c r="N1015">
        <f t="shared" si="159"/>
        <v>475139</v>
      </c>
      <c r="O1015">
        <f>IF(B1015="zagraniczny",K1015+O1014,O1014)</f>
        <v>464</v>
      </c>
    </row>
    <row r="1016" spans="1:15" x14ac:dyDescent="0.25">
      <c r="A1016">
        <v>4344184930</v>
      </c>
      <c r="B1016" t="str">
        <f t="shared" si="150"/>
        <v>zagraniczny</v>
      </c>
      <c r="C1016" s="1">
        <v>42933</v>
      </c>
      <c r="D1016" s="2">
        <v>0.34866898148148145</v>
      </c>
      <c r="E1016" s="2">
        <v>0.35778935185185184</v>
      </c>
      <c r="F1016" s="2">
        <f t="shared" si="151"/>
        <v>9.1203703703703898E-3</v>
      </c>
      <c r="G1016">
        <f t="shared" si="152"/>
        <v>0</v>
      </c>
      <c r="H1016">
        <f t="shared" si="153"/>
        <v>13</v>
      </c>
      <c r="I1016">
        <f t="shared" si="154"/>
        <v>8</v>
      </c>
      <c r="J1016">
        <f t="shared" si="155"/>
        <v>788</v>
      </c>
      <c r="K1016">
        <f t="shared" si="156"/>
        <v>14</v>
      </c>
      <c r="L1016">
        <f t="shared" si="157"/>
        <v>323065</v>
      </c>
      <c r="M1016">
        <f t="shared" si="158"/>
        <v>104074</v>
      </c>
      <c r="N1016">
        <f t="shared" si="159"/>
        <v>475139</v>
      </c>
      <c r="O1016">
        <f>IF(B1016="zagraniczny",K1016+O1015,O1015)</f>
        <v>478</v>
      </c>
    </row>
    <row r="1017" spans="1:15" x14ac:dyDescent="0.25">
      <c r="A1017">
        <v>5290460</v>
      </c>
      <c r="B1017" t="str">
        <f t="shared" si="150"/>
        <v>stacjonarny</v>
      </c>
      <c r="C1017" s="1">
        <v>42933</v>
      </c>
      <c r="D1017" s="2">
        <v>0.3525578703703704</v>
      </c>
      <c r="E1017" s="2">
        <v>0.36346064814814816</v>
      </c>
      <c r="F1017" s="2">
        <f t="shared" si="151"/>
        <v>1.0902777777777761E-2</v>
      </c>
      <c r="G1017">
        <f t="shared" si="152"/>
        <v>0</v>
      </c>
      <c r="H1017">
        <f t="shared" si="153"/>
        <v>15</v>
      </c>
      <c r="I1017">
        <f t="shared" si="154"/>
        <v>42</v>
      </c>
      <c r="J1017">
        <f t="shared" si="155"/>
        <v>942</v>
      </c>
      <c r="K1017">
        <f t="shared" si="156"/>
        <v>16</v>
      </c>
      <c r="L1017">
        <f t="shared" si="157"/>
        <v>324007</v>
      </c>
      <c r="M1017">
        <f t="shared" si="158"/>
        <v>104074</v>
      </c>
      <c r="N1017">
        <f t="shared" si="159"/>
        <v>476081</v>
      </c>
      <c r="O1017">
        <f>IF(B1017="zagraniczny",K1017+O1016,O1016)</f>
        <v>478</v>
      </c>
    </row>
    <row r="1018" spans="1:15" x14ac:dyDescent="0.25">
      <c r="A1018">
        <v>6922037</v>
      </c>
      <c r="B1018" t="str">
        <f t="shared" si="150"/>
        <v>stacjonarny</v>
      </c>
      <c r="C1018" s="1">
        <v>42933</v>
      </c>
      <c r="D1018" s="2">
        <v>0.35569444444444442</v>
      </c>
      <c r="E1018" s="2">
        <v>0.35796296296296298</v>
      </c>
      <c r="F1018" s="2">
        <f t="shared" si="151"/>
        <v>2.2685185185185586E-3</v>
      </c>
      <c r="G1018">
        <f t="shared" si="152"/>
        <v>0</v>
      </c>
      <c r="H1018">
        <f t="shared" si="153"/>
        <v>3</v>
      </c>
      <c r="I1018">
        <f t="shared" si="154"/>
        <v>16</v>
      </c>
      <c r="J1018">
        <f t="shared" si="155"/>
        <v>196</v>
      </c>
      <c r="K1018">
        <f t="shared" si="156"/>
        <v>4</v>
      </c>
      <c r="L1018">
        <f t="shared" si="157"/>
        <v>324203</v>
      </c>
      <c r="M1018">
        <f t="shared" si="158"/>
        <v>104074</v>
      </c>
      <c r="N1018">
        <f t="shared" si="159"/>
        <v>476277</v>
      </c>
      <c r="O1018">
        <f>IF(B1018="zagraniczny",K1018+O1017,O1017)</f>
        <v>478</v>
      </c>
    </row>
    <row r="1019" spans="1:15" x14ac:dyDescent="0.25">
      <c r="A1019">
        <v>7060245</v>
      </c>
      <c r="B1019" t="str">
        <f t="shared" si="150"/>
        <v>stacjonarny</v>
      </c>
      <c r="C1019" s="1">
        <v>42933</v>
      </c>
      <c r="D1019" s="2">
        <v>0.35920138888888886</v>
      </c>
      <c r="E1019" s="2">
        <v>0.36319444444444443</v>
      </c>
      <c r="F1019" s="2">
        <f t="shared" si="151"/>
        <v>3.9930555555555691E-3</v>
      </c>
      <c r="G1019">
        <f t="shared" si="152"/>
        <v>0</v>
      </c>
      <c r="H1019">
        <f t="shared" si="153"/>
        <v>5</v>
      </c>
      <c r="I1019">
        <f t="shared" si="154"/>
        <v>45</v>
      </c>
      <c r="J1019">
        <f t="shared" si="155"/>
        <v>345</v>
      </c>
      <c r="K1019">
        <f t="shared" si="156"/>
        <v>6</v>
      </c>
      <c r="L1019">
        <f t="shared" si="157"/>
        <v>324548</v>
      </c>
      <c r="M1019">
        <f t="shared" si="158"/>
        <v>104074</v>
      </c>
      <c r="N1019">
        <f t="shared" si="159"/>
        <v>476622</v>
      </c>
      <c r="O1019">
        <f>IF(B1019="zagraniczny",K1019+O1018,O1018)</f>
        <v>478</v>
      </c>
    </row>
    <row r="1020" spans="1:15" x14ac:dyDescent="0.25">
      <c r="A1020">
        <v>5788783</v>
      </c>
      <c r="B1020" t="str">
        <f t="shared" si="150"/>
        <v>stacjonarny</v>
      </c>
      <c r="C1020" s="1">
        <v>42933</v>
      </c>
      <c r="D1020" s="2">
        <v>0.36114583333333333</v>
      </c>
      <c r="E1020" s="2">
        <v>0.36629629629629629</v>
      </c>
      <c r="F1020" s="2">
        <f t="shared" si="151"/>
        <v>5.1504629629629539E-3</v>
      </c>
      <c r="G1020">
        <f t="shared" si="152"/>
        <v>0</v>
      </c>
      <c r="H1020">
        <f t="shared" si="153"/>
        <v>7</v>
      </c>
      <c r="I1020">
        <f t="shared" si="154"/>
        <v>25</v>
      </c>
      <c r="J1020">
        <f t="shared" si="155"/>
        <v>445</v>
      </c>
      <c r="K1020">
        <f t="shared" si="156"/>
        <v>8</v>
      </c>
      <c r="L1020">
        <f t="shared" si="157"/>
        <v>324993</v>
      </c>
      <c r="M1020">
        <f t="shared" si="158"/>
        <v>104074</v>
      </c>
      <c r="N1020">
        <f t="shared" si="159"/>
        <v>477067</v>
      </c>
      <c r="O1020">
        <f>IF(B1020="zagraniczny",K1020+O1019,O1019)</f>
        <v>478</v>
      </c>
    </row>
    <row r="1021" spans="1:15" x14ac:dyDescent="0.25">
      <c r="A1021">
        <v>8647144</v>
      </c>
      <c r="B1021" t="str">
        <f t="shared" si="150"/>
        <v>stacjonarny</v>
      </c>
      <c r="C1021" s="1">
        <v>42933</v>
      </c>
      <c r="D1021" s="2">
        <v>0.36208333333333331</v>
      </c>
      <c r="E1021" s="2">
        <v>0.36282407407407408</v>
      </c>
      <c r="F1021" s="2">
        <f t="shared" si="151"/>
        <v>7.4074074074076401E-4</v>
      </c>
      <c r="G1021">
        <f t="shared" si="152"/>
        <v>0</v>
      </c>
      <c r="H1021">
        <f t="shared" si="153"/>
        <v>1</v>
      </c>
      <c r="I1021">
        <f t="shared" si="154"/>
        <v>4</v>
      </c>
      <c r="J1021">
        <f t="shared" si="155"/>
        <v>64</v>
      </c>
      <c r="K1021">
        <f t="shared" si="156"/>
        <v>2</v>
      </c>
      <c r="L1021">
        <f t="shared" si="157"/>
        <v>325057</v>
      </c>
      <c r="M1021">
        <f t="shared" si="158"/>
        <v>104074</v>
      </c>
      <c r="N1021">
        <f t="shared" si="159"/>
        <v>477131</v>
      </c>
      <c r="O1021">
        <f>IF(B1021="zagraniczny",K1021+O1020,O1020)</f>
        <v>478</v>
      </c>
    </row>
    <row r="1022" spans="1:15" x14ac:dyDescent="0.25">
      <c r="A1022">
        <v>24665933</v>
      </c>
      <c r="B1022" t="str">
        <f t="shared" si="150"/>
        <v>komorkowy</v>
      </c>
      <c r="C1022" s="1">
        <v>42933</v>
      </c>
      <c r="D1022" s="2">
        <v>0.36373842592592592</v>
      </c>
      <c r="E1022" s="2">
        <v>0.36895833333333333</v>
      </c>
      <c r="F1022" s="2">
        <f t="shared" si="151"/>
        <v>5.2199074074074092E-3</v>
      </c>
      <c r="G1022">
        <f t="shared" si="152"/>
        <v>0</v>
      </c>
      <c r="H1022">
        <f t="shared" si="153"/>
        <v>7</v>
      </c>
      <c r="I1022">
        <f t="shared" si="154"/>
        <v>31</v>
      </c>
      <c r="J1022">
        <f t="shared" si="155"/>
        <v>451</v>
      </c>
      <c r="K1022">
        <f t="shared" si="156"/>
        <v>8</v>
      </c>
      <c r="L1022">
        <f t="shared" si="157"/>
        <v>325057</v>
      </c>
      <c r="M1022">
        <f t="shared" si="158"/>
        <v>104525</v>
      </c>
      <c r="N1022">
        <f t="shared" si="159"/>
        <v>477582</v>
      </c>
      <c r="O1022">
        <f>IF(B1022="zagraniczny",K1022+O1021,O1021)</f>
        <v>478</v>
      </c>
    </row>
    <row r="1023" spans="1:15" x14ac:dyDescent="0.25">
      <c r="A1023">
        <v>3326329</v>
      </c>
      <c r="B1023" t="str">
        <f t="shared" si="150"/>
        <v>stacjonarny</v>
      </c>
      <c r="C1023" s="1">
        <v>42933</v>
      </c>
      <c r="D1023" s="2">
        <v>0.36928240740740742</v>
      </c>
      <c r="E1023" s="2">
        <v>0.37148148148148147</v>
      </c>
      <c r="F1023" s="2">
        <f t="shared" si="151"/>
        <v>2.1990740740740478E-3</v>
      </c>
      <c r="G1023">
        <f t="shared" si="152"/>
        <v>0</v>
      </c>
      <c r="H1023">
        <f t="shared" si="153"/>
        <v>3</v>
      </c>
      <c r="I1023">
        <f t="shared" si="154"/>
        <v>10</v>
      </c>
      <c r="J1023">
        <f t="shared" si="155"/>
        <v>190</v>
      </c>
      <c r="K1023">
        <f t="shared" si="156"/>
        <v>4</v>
      </c>
      <c r="L1023">
        <f t="shared" si="157"/>
        <v>325247</v>
      </c>
      <c r="M1023">
        <f t="shared" si="158"/>
        <v>104525</v>
      </c>
      <c r="N1023">
        <f t="shared" si="159"/>
        <v>477772</v>
      </c>
      <c r="O1023">
        <f>IF(B1023="zagraniczny",K1023+O1022,O1022)</f>
        <v>478</v>
      </c>
    </row>
    <row r="1024" spans="1:15" x14ac:dyDescent="0.25">
      <c r="A1024">
        <v>3478111</v>
      </c>
      <c r="B1024" t="str">
        <f t="shared" si="150"/>
        <v>stacjonarny</v>
      </c>
      <c r="C1024" s="1">
        <v>42933</v>
      </c>
      <c r="D1024" s="2">
        <v>0.37144675925925924</v>
      </c>
      <c r="E1024" s="2">
        <v>0.37270833333333331</v>
      </c>
      <c r="F1024" s="2">
        <f t="shared" si="151"/>
        <v>1.2615740740740677E-3</v>
      </c>
      <c r="G1024">
        <f t="shared" si="152"/>
        <v>0</v>
      </c>
      <c r="H1024">
        <f t="shared" si="153"/>
        <v>1</v>
      </c>
      <c r="I1024">
        <f t="shared" si="154"/>
        <v>49</v>
      </c>
      <c r="J1024">
        <f t="shared" si="155"/>
        <v>109</v>
      </c>
      <c r="K1024">
        <f t="shared" si="156"/>
        <v>2</v>
      </c>
      <c r="L1024">
        <f t="shared" si="157"/>
        <v>325356</v>
      </c>
      <c r="M1024">
        <f t="shared" si="158"/>
        <v>104525</v>
      </c>
      <c r="N1024">
        <f t="shared" si="159"/>
        <v>477881</v>
      </c>
      <c r="O1024">
        <f>IF(B1024="zagraniczny",K1024+O1023,O1023)</f>
        <v>478</v>
      </c>
    </row>
    <row r="1025" spans="1:15" x14ac:dyDescent="0.25">
      <c r="A1025">
        <v>7937998</v>
      </c>
      <c r="B1025" t="str">
        <f t="shared" si="150"/>
        <v>stacjonarny</v>
      </c>
      <c r="C1025" s="1">
        <v>42933</v>
      </c>
      <c r="D1025" s="2">
        <v>0.37627314814814816</v>
      </c>
      <c r="E1025" s="2">
        <v>0.37802083333333331</v>
      </c>
      <c r="F1025" s="2">
        <f t="shared" si="151"/>
        <v>1.7476851851851438E-3</v>
      </c>
      <c r="G1025">
        <f t="shared" si="152"/>
        <v>0</v>
      </c>
      <c r="H1025">
        <f t="shared" si="153"/>
        <v>2</v>
      </c>
      <c r="I1025">
        <f t="shared" si="154"/>
        <v>31</v>
      </c>
      <c r="J1025">
        <f t="shared" si="155"/>
        <v>151</v>
      </c>
      <c r="K1025">
        <f t="shared" si="156"/>
        <v>3</v>
      </c>
      <c r="L1025">
        <f t="shared" si="157"/>
        <v>325507</v>
      </c>
      <c r="M1025">
        <f t="shared" si="158"/>
        <v>104525</v>
      </c>
      <c r="N1025">
        <f t="shared" si="159"/>
        <v>478032</v>
      </c>
      <c r="O1025">
        <f>IF(B1025="zagraniczny",K1025+O1024,O1024)</f>
        <v>478</v>
      </c>
    </row>
    <row r="1026" spans="1:15" x14ac:dyDescent="0.25">
      <c r="A1026">
        <v>82239478</v>
      </c>
      <c r="B1026" t="str">
        <f t="shared" si="150"/>
        <v>komorkowy</v>
      </c>
      <c r="C1026" s="1">
        <v>42933</v>
      </c>
      <c r="D1026" s="2">
        <v>0.38178240740740743</v>
      </c>
      <c r="E1026" s="2">
        <v>0.38648148148148148</v>
      </c>
      <c r="F1026" s="2">
        <f t="shared" si="151"/>
        <v>4.69907407407405E-3</v>
      </c>
      <c r="G1026">
        <f t="shared" si="152"/>
        <v>0</v>
      </c>
      <c r="H1026">
        <f t="shared" si="153"/>
        <v>6</v>
      </c>
      <c r="I1026">
        <f t="shared" si="154"/>
        <v>46</v>
      </c>
      <c r="J1026">
        <f t="shared" si="155"/>
        <v>406</v>
      </c>
      <c r="K1026">
        <f t="shared" si="156"/>
        <v>7</v>
      </c>
      <c r="L1026">
        <f t="shared" si="157"/>
        <v>325507</v>
      </c>
      <c r="M1026">
        <f t="shared" si="158"/>
        <v>104931</v>
      </c>
      <c r="N1026">
        <f t="shared" si="159"/>
        <v>478438</v>
      </c>
      <c r="O1026">
        <f>IF(B1026="zagraniczny",K1026+O1025,O1025)</f>
        <v>478</v>
      </c>
    </row>
    <row r="1027" spans="1:15" x14ac:dyDescent="0.25">
      <c r="A1027">
        <v>2557643</v>
      </c>
      <c r="B1027" t="str">
        <f t="shared" ref="B1027:B1090" si="160">IF(LEN(A1027)=7,"stacjonarny",IF(LEN(A1027)=8,"komorkowy","zagraniczny"))</f>
        <v>stacjonarny</v>
      </c>
      <c r="C1027" s="1">
        <v>42933</v>
      </c>
      <c r="D1027" s="2">
        <v>0.38622685185185185</v>
      </c>
      <c r="E1027" s="2">
        <v>0.38957175925925924</v>
      </c>
      <c r="F1027" s="2">
        <f t="shared" ref="F1027:F1090" si="161">E1027-D1027</f>
        <v>3.3449074074073937E-3</v>
      </c>
      <c r="G1027">
        <f t="shared" ref="G1027:G1090" si="162">HOUR(F1027)</f>
        <v>0</v>
      </c>
      <c r="H1027">
        <f t="shared" ref="H1027:H1090" si="163">MINUTE(F1027)</f>
        <v>4</v>
      </c>
      <c r="I1027">
        <f t="shared" ref="I1027:I1090" si="164">SECOND(F1027)</f>
        <v>49</v>
      </c>
      <c r="J1027">
        <f t="shared" ref="J1027:J1090" si="165">H1027*60+I1027</f>
        <v>289</v>
      </c>
      <c r="K1027">
        <f t="shared" ref="K1027:K1090" si="166">IF(I1027&gt;0,G1027*60+H1027+1,H1027+G1027*60)</f>
        <v>5</v>
      </c>
      <c r="L1027">
        <f t="shared" si="157"/>
        <v>325796</v>
      </c>
      <c r="M1027">
        <f t="shared" si="158"/>
        <v>104931</v>
      </c>
      <c r="N1027">
        <f t="shared" si="159"/>
        <v>478727</v>
      </c>
      <c r="O1027">
        <f>IF(B1027="zagraniczny",K1027+O1026,O1026)</f>
        <v>478</v>
      </c>
    </row>
    <row r="1028" spans="1:15" x14ac:dyDescent="0.25">
      <c r="A1028">
        <v>4501726</v>
      </c>
      <c r="B1028" t="str">
        <f t="shared" si="160"/>
        <v>stacjonarny</v>
      </c>
      <c r="C1028" s="1">
        <v>42933</v>
      </c>
      <c r="D1028" s="2">
        <v>0.38754629629629628</v>
      </c>
      <c r="E1028" s="2">
        <v>0.39260416666666664</v>
      </c>
      <c r="F1028" s="2">
        <f t="shared" si="161"/>
        <v>5.0578703703703654E-3</v>
      </c>
      <c r="G1028">
        <f t="shared" si="162"/>
        <v>0</v>
      </c>
      <c r="H1028">
        <f t="shared" si="163"/>
        <v>7</v>
      </c>
      <c r="I1028">
        <f t="shared" si="164"/>
        <v>17</v>
      </c>
      <c r="J1028">
        <f t="shared" si="165"/>
        <v>437</v>
      </c>
      <c r="K1028">
        <f t="shared" si="166"/>
        <v>8</v>
      </c>
      <c r="L1028">
        <f t="shared" ref="L1028:L1091" si="167">IF(B1028="stacjonarny",$J1028+L1027,L1027)</f>
        <v>326233</v>
      </c>
      <c r="M1028">
        <f t="shared" ref="M1028:M1091" si="168">IF(B1028="komorkowy",$J1028+M1027,M1027)</f>
        <v>104931</v>
      </c>
      <c r="N1028">
        <f t="shared" ref="N1028:N1091" si="169">IF(OR(B1028="stacjonarny",B1028="komorkowy"),J1028+N1027,N1027)</f>
        <v>479164</v>
      </c>
      <c r="O1028">
        <f>IF(B1028="zagraniczny",K1028+O1027,O1027)</f>
        <v>478</v>
      </c>
    </row>
    <row r="1029" spans="1:15" x14ac:dyDescent="0.25">
      <c r="A1029">
        <v>1415198</v>
      </c>
      <c r="B1029" t="str">
        <f t="shared" si="160"/>
        <v>stacjonarny</v>
      </c>
      <c r="C1029" s="1">
        <v>42933</v>
      </c>
      <c r="D1029" s="2">
        <v>0.38991898148148146</v>
      </c>
      <c r="E1029" s="2">
        <v>0.40072916666666669</v>
      </c>
      <c r="F1029" s="2">
        <f t="shared" si="161"/>
        <v>1.0810185185185228E-2</v>
      </c>
      <c r="G1029">
        <f t="shared" si="162"/>
        <v>0</v>
      </c>
      <c r="H1029">
        <f t="shared" si="163"/>
        <v>15</v>
      </c>
      <c r="I1029">
        <f t="shared" si="164"/>
        <v>34</v>
      </c>
      <c r="J1029">
        <f t="shared" si="165"/>
        <v>934</v>
      </c>
      <c r="K1029">
        <f t="shared" si="166"/>
        <v>16</v>
      </c>
      <c r="L1029">
        <f t="shared" si="167"/>
        <v>327167</v>
      </c>
      <c r="M1029">
        <f t="shared" si="168"/>
        <v>104931</v>
      </c>
      <c r="N1029">
        <f t="shared" si="169"/>
        <v>480098</v>
      </c>
      <c r="O1029">
        <f>IF(B1029="zagraniczny",K1029+O1028,O1028)</f>
        <v>478</v>
      </c>
    </row>
    <row r="1030" spans="1:15" x14ac:dyDescent="0.25">
      <c r="A1030">
        <v>23368531</v>
      </c>
      <c r="B1030" t="str">
        <f t="shared" si="160"/>
        <v>komorkowy</v>
      </c>
      <c r="C1030" s="1">
        <v>42933</v>
      </c>
      <c r="D1030" s="2">
        <v>0.39103009259259258</v>
      </c>
      <c r="E1030" s="2">
        <v>0.39221064814814816</v>
      </c>
      <c r="F1030" s="2">
        <f t="shared" si="161"/>
        <v>1.1805555555555736E-3</v>
      </c>
      <c r="G1030">
        <f t="shared" si="162"/>
        <v>0</v>
      </c>
      <c r="H1030">
        <f t="shared" si="163"/>
        <v>1</v>
      </c>
      <c r="I1030">
        <f t="shared" si="164"/>
        <v>42</v>
      </c>
      <c r="J1030">
        <f t="shared" si="165"/>
        <v>102</v>
      </c>
      <c r="K1030">
        <f t="shared" si="166"/>
        <v>2</v>
      </c>
      <c r="L1030">
        <f t="shared" si="167"/>
        <v>327167</v>
      </c>
      <c r="M1030">
        <f t="shared" si="168"/>
        <v>105033</v>
      </c>
      <c r="N1030">
        <f t="shared" si="169"/>
        <v>480200</v>
      </c>
      <c r="O1030">
        <f>IF(B1030="zagraniczny",K1030+O1029,O1029)</f>
        <v>478</v>
      </c>
    </row>
    <row r="1031" spans="1:15" x14ac:dyDescent="0.25">
      <c r="A1031">
        <v>5750549</v>
      </c>
      <c r="B1031" t="str">
        <f t="shared" si="160"/>
        <v>stacjonarny</v>
      </c>
      <c r="C1031" s="1">
        <v>42933</v>
      </c>
      <c r="D1031" s="2">
        <v>0.3948726851851852</v>
      </c>
      <c r="E1031" s="2">
        <v>0.39504629629629628</v>
      </c>
      <c r="F1031" s="2">
        <f t="shared" si="161"/>
        <v>1.7361111111108274E-4</v>
      </c>
      <c r="G1031">
        <f t="shared" si="162"/>
        <v>0</v>
      </c>
      <c r="H1031">
        <f t="shared" si="163"/>
        <v>0</v>
      </c>
      <c r="I1031">
        <f t="shared" si="164"/>
        <v>15</v>
      </c>
      <c r="J1031">
        <f t="shared" si="165"/>
        <v>15</v>
      </c>
      <c r="K1031">
        <f t="shared" si="166"/>
        <v>1</v>
      </c>
      <c r="L1031">
        <f t="shared" si="167"/>
        <v>327182</v>
      </c>
      <c r="M1031">
        <f t="shared" si="168"/>
        <v>105033</v>
      </c>
      <c r="N1031">
        <f t="shared" si="169"/>
        <v>480215</v>
      </c>
      <c r="O1031">
        <f>IF(B1031="zagraniczny",K1031+O1030,O1030)</f>
        <v>478</v>
      </c>
    </row>
    <row r="1032" spans="1:15" x14ac:dyDescent="0.25">
      <c r="A1032">
        <v>3897850970</v>
      </c>
      <c r="B1032" t="str">
        <f t="shared" si="160"/>
        <v>zagraniczny</v>
      </c>
      <c r="C1032" s="1">
        <v>42933</v>
      </c>
      <c r="D1032" s="2">
        <v>0.3951736111111111</v>
      </c>
      <c r="E1032" s="2">
        <v>0.39697916666666666</v>
      </c>
      <c r="F1032" s="2">
        <f t="shared" si="161"/>
        <v>1.8055555555555602E-3</v>
      </c>
      <c r="G1032">
        <f t="shared" si="162"/>
        <v>0</v>
      </c>
      <c r="H1032">
        <f t="shared" si="163"/>
        <v>2</v>
      </c>
      <c r="I1032">
        <f t="shared" si="164"/>
        <v>36</v>
      </c>
      <c r="J1032">
        <f t="shared" si="165"/>
        <v>156</v>
      </c>
      <c r="K1032">
        <f t="shared" si="166"/>
        <v>3</v>
      </c>
      <c r="L1032">
        <f t="shared" si="167"/>
        <v>327182</v>
      </c>
      <c r="M1032">
        <f t="shared" si="168"/>
        <v>105033</v>
      </c>
      <c r="N1032">
        <f t="shared" si="169"/>
        <v>480215</v>
      </c>
      <c r="O1032">
        <f>IF(B1032="zagraniczny",K1032+O1031,O1031)</f>
        <v>481</v>
      </c>
    </row>
    <row r="1033" spans="1:15" x14ac:dyDescent="0.25">
      <c r="A1033">
        <v>2573868</v>
      </c>
      <c r="B1033" t="str">
        <f t="shared" si="160"/>
        <v>stacjonarny</v>
      </c>
      <c r="C1033" s="1">
        <v>42933</v>
      </c>
      <c r="D1033" s="2">
        <v>0.39962962962962961</v>
      </c>
      <c r="E1033" s="2">
        <v>0.40937499999999999</v>
      </c>
      <c r="F1033" s="2">
        <f t="shared" si="161"/>
        <v>9.7453703703703765E-3</v>
      </c>
      <c r="G1033">
        <f t="shared" si="162"/>
        <v>0</v>
      </c>
      <c r="H1033">
        <f t="shared" si="163"/>
        <v>14</v>
      </c>
      <c r="I1033">
        <f t="shared" si="164"/>
        <v>2</v>
      </c>
      <c r="J1033">
        <f t="shared" si="165"/>
        <v>842</v>
      </c>
      <c r="K1033">
        <f t="shared" si="166"/>
        <v>15</v>
      </c>
      <c r="L1033">
        <f t="shared" si="167"/>
        <v>328024</v>
      </c>
      <c r="M1033">
        <f t="shared" si="168"/>
        <v>105033</v>
      </c>
      <c r="N1033">
        <f t="shared" si="169"/>
        <v>481057</v>
      </c>
      <c r="O1033">
        <f>IF(B1033="zagraniczny",K1033+O1032,O1032)</f>
        <v>481</v>
      </c>
    </row>
    <row r="1034" spans="1:15" x14ac:dyDescent="0.25">
      <c r="A1034">
        <v>1701008</v>
      </c>
      <c r="B1034" t="str">
        <f t="shared" si="160"/>
        <v>stacjonarny</v>
      </c>
      <c r="C1034" s="1">
        <v>42933</v>
      </c>
      <c r="D1034" s="2">
        <v>0.40104166666666669</v>
      </c>
      <c r="E1034" s="2">
        <v>0.40837962962962965</v>
      </c>
      <c r="F1034" s="2">
        <f t="shared" si="161"/>
        <v>7.3379629629629628E-3</v>
      </c>
      <c r="G1034">
        <f t="shared" si="162"/>
        <v>0</v>
      </c>
      <c r="H1034">
        <f t="shared" si="163"/>
        <v>10</v>
      </c>
      <c r="I1034">
        <f t="shared" si="164"/>
        <v>34</v>
      </c>
      <c r="J1034">
        <f t="shared" si="165"/>
        <v>634</v>
      </c>
      <c r="K1034">
        <f t="shared" si="166"/>
        <v>11</v>
      </c>
      <c r="L1034">
        <f t="shared" si="167"/>
        <v>328658</v>
      </c>
      <c r="M1034">
        <f t="shared" si="168"/>
        <v>105033</v>
      </c>
      <c r="N1034">
        <f t="shared" si="169"/>
        <v>481691</v>
      </c>
      <c r="O1034">
        <f>IF(B1034="zagraniczny",K1034+O1033,O1033)</f>
        <v>481</v>
      </c>
    </row>
    <row r="1035" spans="1:15" x14ac:dyDescent="0.25">
      <c r="A1035">
        <v>1617146</v>
      </c>
      <c r="B1035" t="str">
        <f t="shared" si="160"/>
        <v>stacjonarny</v>
      </c>
      <c r="C1035" s="1">
        <v>42933</v>
      </c>
      <c r="D1035" s="2">
        <v>0.40575231481481483</v>
      </c>
      <c r="E1035" s="2">
        <v>0.41274305555555557</v>
      </c>
      <c r="F1035" s="2">
        <f t="shared" si="161"/>
        <v>6.9907407407407418E-3</v>
      </c>
      <c r="G1035">
        <f t="shared" si="162"/>
        <v>0</v>
      </c>
      <c r="H1035">
        <f t="shared" si="163"/>
        <v>10</v>
      </c>
      <c r="I1035">
        <f t="shared" si="164"/>
        <v>4</v>
      </c>
      <c r="J1035">
        <f t="shared" si="165"/>
        <v>604</v>
      </c>
      <c r="K1035">
        <f t="shared" si="166"/>
        <v>11</v>
      </c>
      <c r="L1035">
        <f t="shared" si="167"/>
        <v>329262</v>
      </c>
      <c r="M1035">
        <f t="shared" si="168"/>
        <v>105033</v>
      </c>
      <c r="N1035">
        <f t="shared" si="169"/>
        <v>482295</v>
      </c>
      <c r="O1035">
        <f>IF(B1035="zagraniczny",K1035+O1034,O1034)</f>
        <v>481</v>
      </c>
    </row>
    <row r="1036" spans="1:15" x14ac:dyDescent="0.25">
      <c r="A1036">
        <v>7085993</v>
      </c>
      <c r="B1036" t="str">
        <f t="shared" si="160"/>
        <v>stacjonarny</v>
      </c>
      <c r="C1036" s="1">
        <v>42933</v>
      </c>
      <c r="D1036" s="2">
        <v>0.40719907407407407</v>
      </c>
      <c r="E1036" s="2">
        <v>0.41578703703703701</v>
      </c>
      <c r="F1036" s="2">
        <f t="shared" si="161"/>
        <v>8.5879629629629362E-3</v>
      </c>
      <c r="G1036">
        <f t="shared" si="162"/>
        <v>0</v>
      </c>
      <c r="H1036">
        <f t="shared" si="163"/>
        <v>12</v>
      </c>
      <c r="I1036">
        <f t="shared" si="164"/>
        <v>22</v>
      </c>
      <c r="J1036">
        <f t="shared" si="165"/>
        <v>742</v>
      </c>
      <c r="K1036">
        <f t="shared" si="166"/>
        <v>13</v>
      </c>
      <c r="L1036">
        <f t="shared" si="167"/>
        <v>330004</v>
      </c>
      <c r="M1036">
        <f t="shared" si="168"/>
        <v>105033</v>
      </c>
      <c r="N1036">
        <f t="shared" si="169"/>
        <v>483037</v>
      </c>
      <c r="O1036">
        <f>IF(B1036="zagraniczny",K1036+O1035,O1035)</f>
        <v>481</v>
      </c>
    </row>
    <row r="1037" spans="1:15" x14ac:dyDescent="0.25">
      <c r="A1037">
        <v>73460179</v>
      </c>
      <c r="B1037" t="str">
        <f t="shared" si="160"/>
        <v>komorkowy</v>
      </c>
      <c r="C1037" s="1">
        <v>42933</v>
      </c>
      <c r="D1037" s="2">
        <v>0.41060185185185183</v>
      </c>
      <c r="E1037" s="2">
        <v>0.41334490740740742</v>
      </c>
      <c r="F1037" s="2">
        <f t="shared" si="161"/>
        <v>2.7430555555555958E-3</v>
      </c>
      <c r="G1037">
        <f t="shared" si="162"/>
        <v>0</v>
      </c>
      <c r="H1037">
        <f t="shared" si="163"/>
        <v>3</v>
      </c>
      <c r="I1037">
        <f t="shared" si="164"/>
        <v>57</v>
      </c>
      <c r="J1037">
        <f t="shared" si="165"/>
        <v>237</v>
      </c>
      <c r="K1037">
        <f t="shared" si="166"/>
        <v>4</v>
      </c>
      <c r="L1037">
        <f t="shared" si="167"/>
        <v>330004</v>
      </c>
      <c r="M1037">
        <f t="shared" si="168"/>
        <v>105270</v>
      </c>
      <c r="N1037">
        <f t="shared" si="169"/>
        <v>483274</v>
      </c>
      <c r="O1037">
        <f>IF(B1037="zagraniczny",K1037+O1036,O1036)</f>
        <v>481</v>
      </c>
    </row>
    <row r="1038" spans="1:15" x14ac:dyDescent="0.25">
      <c r="A1038">
        <v>5983034</v>
      </c>
      <c r="B1038" t="str">
        <f t="shared" si="160"/>
        <v>stacjonarny</v>
      </c>
      <c r="C1038" s="1">
        <v>42933</v>
      </c>
      <c r="D1038" s="2">
        <v>0.41253472222222221</v>
      </c>
      <c r="E1038" s="2">
        <v>0.41753472222222221</v>
      </c>
      <c r="F1038" s="2">
        <f t="shared" si="161"/>
        <v>5.0000000000000044E-3</v>
      </c>
      <c r="G1038">
        <f t="shared" si="162"/>
        <v>0</v>
      </c>
      <c r="H1038">
        <f t="shared" si="163"/>
        <v>7</v>
      </c>
      <c r="I1038">
        <f t="shared" si="164"/>
        <v>12</v>
      </c>
      <c r="J1038">
        <f t="shared" si="165"/>
        <v>432</v>
      </c>
      <c r="K1038">
        <f t="shared" si="166"/>
        <v>8</v>
      </c>
      <c r="L1038">
        <f t="shared" si="167"/>
        <v>330436</v>
      </c>
      <c r="M1038">
        <f t="shared" si="168"/>
        <v>105270</v>
      </c>
      <c r="N1038">
        <f t="shared" si="169"/>
        <v>483706</v>
      </c>
      <c r="O1038">
        <f>IF(B1038="zagraniczny",K1038+O1037,O1037)</f>
        <v>481</v>
      </c>
    </row>
    <row r="1039" spans="1:15" x14ac:dyDescent="0.25">
      <c r="A1039">
        <v>16724936</v>
      </c>
      <c r="B1039" t="str">
        <f t="shared" si="160"/>
        <v>komorkowy</v>
      </c>
      <c r="C1039" s="1">
        <v>42933</v>
      </c>
      <c r="D1039" s="2">
        <v>0.41317129629629629</v>
      </c>
      <c r="E1039" s="2">
        <v>0.41466435185185185</v>
      </c>
      <c r="F1039" s="2">
        <f t="shared" si="161"/>
        <v>1.4930555555555669E-3</v>
      </c>
      <c r="G1039">
        <f t="shared" si="162"/>
        <v>0</v>
      </c>
      <c r="H1039">
        <f t="shared" si="163"/>
        <v>2</v>
      </c>
      <c r="I1039">
        <f t="shared" si="164"/>
        <v>9</v>
      </c>
      <c r="J1039">
        <f t="shared" si="165"/>
        <v>129</v>
      </c>
      <c r="K1039">
        <f t="shared" si="166"/>
        <v>3</v>
      </c>
      <c r="L1039">
        <f t="shared" si="167"/>
        <v>330436</v>
      </c>
      <c r="M1039">
        <f t="shared" si="168"/>
        <v>105399</v>
      </c>
      <c r="N1039">
        <f t="shared" si="169"/>
        <v>483835</v>
      </c>
      <c r="O1039">
        <f>IF(B1039="zagraniczny",K1039+O1038,O1038)</f>
        <v>481</v>
      </c>
    </row>
    <row r="1040" spans="1:15" x14ac:dyDescent="0.25">
      <c r="A1040">
        <v>19343766</v>
      </c>
      <c r="B1040" t="str">
        <f t="shared" si="160"/>
        <v>komorkowy</v>
      </c>
      <c r="C1040" s="1">
        <v>42933</v>
      </c>
      <c r="D1040" s="2">
        <v>0.41572916666666665</v>
      </c>
      <c r="E1040" s="2">
        <v>0.41825231481481484</v>
      </c>
      <c r="F1040" s="2">
        <f t="shared" si="161"/>
        <v>2.523148148148191E-3</v>
      </c>
      <c r="G1040">
        <f t="shared" si="162"/>
        <v>0</v>
      </c>
      <c r="H1040">
        <f t="shared" si="163"/>
        <v>3</v>
      </c>
      <c r="I1040">
        <f t="shared" si="164"/>
        <v>38</v>
      </c>
      <c r="J1040">
        <f t="shared" si="165"/>
        <v>218</v>
      </c>
      <c r="K1040">
        <f t="shared" si="166"/>
        <v>4</v>
      </c>
      <c r="L1040">
        <f t="shared" si="167"/>
        <v>330436</v>
      </c>
      <c r="M1040">
        <f t="shared" si="168"/>
        <v>105617</v>
      </c>
      <c r="N1040">
        <f t="shared" si="169"/>
        <v>484053</v>
      </c>
      <c r="O1040">
        <f>IF(B1040="zagraniczny",K1040+O1039,O1039)</f>
        <v>481</v>
      </c>
    </row>
    <row r="1041" spans="1:15" x14ac:dyDescent="0.25">
      <c r="A1041">
        <v>7439955</v>
      </c>
      <c r="B1041" t="str">
        <f t="shared" si="160"/>
        <v>stacjonarny</v>
      </c>
      <c r="C1041" s="1">
        <v>42933</v>
      </c>
      <c r="D1041" s="2">
        <v>0.41716435185185186</v>
      </c>
      <c r="E1041" s="2">
        <v>0.4284722222222222</v>
      </c>
      <c r="F1041" s="2">
        <f t="shared" si="161"/>
        <v>1.1307870370370343E-2</v>
      </c>
      <c r="G1041">
        <f t="shared" si="162"/>
        <v>0</v>
      </c>
      <c r="H1041">
        <f t="shared" si="163"/>
        <v>16</v>
      </c>
      <c r="I1041">
        <f t="shared" si="164"/>
        <v>17</v>
      </c>
      <c r="J1041">
        <f t="shared" si="165"/>
        <v>977</v>
      </c>
      <c r="K1041">
        <f t="shared" si="166"/>
        <v>17</v>
      </c>
      <c r="L1041">
        <f t="shared" si="167"/>
        <v>331413</v>
      </c>
      <c r="M1041">
        <f t="shared" si="168"/>
        <v>105617</v>
      </c>
      <c r="N1041">
        <f t="shared" si="169"/>
        <v>485030</v>
      </c>
      <c r="O1041">
        <f>IF(B1041="zagraniczny",K1041+O1040,O1040)</f>
        <v>481</v>
      </c>
    </row>
    <row r="1042" spans="1:15" x14ac:dyDescent="0.25">
      <c r="A1042">
        <v>7224275</v>
      </c>
      <c r="B1042" t="str">
        <f t="shared" si="160"/>
        <v>stacjonarny</v>
      </c>
      <c r="C1042" s="1">
        <v>42933</v>
      </c>
      <c r="D1042" s="2">
        <v>0.41899305555555555</v>
      </c>
      <c r="E1042" s="2">
        <v>0.41968749999999999</v>
      </c>
      <c r="F1042" s="2">
        <f t="shared" si="161"/>
        <v>6.9444444444444198E-4</v>
      </c>
      <c r="G1042">
        <f t="shared" si="162"/>
        <v>0</v>
      </c>
      <c r="H1042">
        <f t="shared" si="163"/>
        <v>1</v>
      </c>
      <c r="I1042">
        <f t="shared" si="164"/>
        <v>0</v>
      </c>
      <c r="J1042">
        <f t="shared" si="165"/>
        <v>60</v>
      </c>
      <c r="K1042">
        <f t="shared" si="166"/>
        <v>1</v>
      </c>
      <c r="L1042">
        <f t="shared" si="167"/>
        <v>331473</v>
      </c>
      <c r="M1042">
        <f t="shared" si="168"/>
        <v>105617</v>
      </c>
      <c r="N1042">
        <f t="shared" si="169"/>
        <v>485090</v>
      </c>
      <c r="O1042">
        <f>IF(B1042="zagraniczny",K1042+O1041,O1041)</f>
        <v>481</v>
      </c>
    </row>
    <row r="1043" spans="1:15" x14ac:dyDescent="0.25">
      <c r="A1043">
        <v>1679471</v>
      </c>
      <c r="B1043" t="str">
        <f t="shared" si="160"/>
        <v>stacjonarny</v>
      </c>
      <c r="C1043" s="1">
        <v>42933</v>
      </c>
      <c r="D1043" s="2">
        <v>0.42386574074074074</v>
      </c>
      <c r="E1043" s="2">
        <v>0.42885416666666665</v>
      </c>
      <c r="F1043" s="2">
        <f t="shared" si="161"/>
        <v>4.9884259259259101E-3</v>
      </c>
      <c r="G1043">
        <f t="shared" si="162"/>
        <v>0</v>
      </c>
      <c r="H1043">
        <f t="shared" si="163"/>
        <v>7</v>
      </c>
      <c r="I1043">
        <f t="shared" si="164"/>
        <v>11</v>
      </c>
      <c r="J1043">
        <f t="shared" si="165"/>
        <v>431</v>
      </c>
      <c r="K1043">
        <f t="shared" si="166"/>
        <v>8</v>
      </c>
      <c r="L1043">
        <f t="shared" si="167"/>
        <v>331904</v>
      </c>
      <c r="M1043">
        <f t="shared" si="168"/>
        <v>105617</v>
      </c>
      <c r="N1043">
        <f t="shared" si="169"/>
        <v>485521</v>
      </c>
      <c r="O1043">
        <f>IF(B1043="zagraniczny",K1043+O1042,O1042)</f>
        <v>481</v>
      </c>
    </row>
    <row r="1044" spans="1:15" x14ac:dyDescent="0.25">
      <c r="A1044">
        <v>6270159</v>
      </c>
      <c r="B1044" t="str">
        <f t="shared" si="160"/>
        <v>stacjonarny</v>
      </c>
      <c r="C1044" s="1">
        <v>42933</v>
      </c>
      <c r="D1044" s="2">
        <v>0.42664351851851851</v>
      </c>
      <c r="E1044" s="2">
        <v>0.42697916666666669</v>
      </c>
      <c r="F1044" s="2">
        <f t="shared" si="161"/>
        <v>3.3564814814818211E-4</v>
      </c>
      <c r="G1044">
        <f t="shared" si="162"/>
        <v>0</v>
      </c>
      <c r="H1044">
        <f t="shared" si="163"/>
        <v>0</v>
      </c>
      <c r="I1044">
        <f t="shared" si="164"/>
        <v>29</v>
      </c>
      <c r="J1044">
        <f t="shared" si="165"/>
        <v>29</v>
      </c>
      <c r="K1044">
        <f t="shared" si="166"/>
        <v>1</v>
      </c>
      <c r="L1044">
        <f t="shared" si="167"/>
        <v>331933</v>
      </c>
      <c r="M1044">
        <f t="shared" si="168"/>
        <v>105617</v>
      </c>
      <c r="N1044">
        <f t="shared" si="169"/>
        <v>485550</v>
      </c>
      <c r="O1044">
        <f>IF(B1044="zagraniczny",K1044+O1043,O1043)</f>
        <v>481</v>
      </c>
    </row>
    <row r="1045" spans="1:15" x14ac:dyDescent="0.25">
      <c r="A1045">
        <v>1482340</v>
      </c>
      <c r="B1045" t="str">
        <f t="shared" si="160"/>
        <v>stacjonarny</v>
      </c>
      <c r="C1045" s="1">
        <v>42933</v>
      </c>
      <c r="D1045" s="2">
        <v>0.42983796296296295</v>
      </c>
      <c r="E1045" s="2">
        <v>0.43975694444444446</v>
      </c>
      <c r="F1045" s="2">
        <f t="shared" si="161"/>
        <v>9.9189814814815147E-3</v>
      </c>
      <c r="G1045">
        <f t="shared" si="162"/>
        <v>0</v>
      </c>
      <c r="H1045">
        <f t="shared" si="163"/>
        <v>14</v>
      </c>
      <c r="I1045">
        <f t="shared" si="164"/>
        <v>17</v>
      </c>
      <c r="J1045">
        <f t="shared" si="165"/>
        <v>857</v>
      </c>
      <c r="K1045">
        <f t="shared" si="166"/>
        <v>15</v>
      </c>
      <c r="L1045">
        <f t="shared" si="167"/>
        <v>332790</v>
      </c>
      <c r="M1045">
        <f t="shared" si="168"/>
        <v>105617</v>
      </c>
      <c r="N1045">
        <f t="shared" si="169"/>
        <v>486407</v>
      </c>
      <c r="O1045">
        <f>IF(B1045="zagraniczny",K1045+O1044,O1044)</f>
        <v>481</v>
      </c>
    </row>
    <row r="1046" spans="1:15" x14ac:dyDescent="0.25">
      <c r="A1046">
        <v>28185580</v>
      </c>
      <c r="B1046" t="str">
        <f t="shared" si="160"/>
        <v>komorkowy</v>
      </c>
      <c r="C1046" s="1">
        <v>42933</v>
      </c>
      <c r="D1046" s="2">
        <v>0.43086805555555557</v>
      </c>
      <c r="E1046" s="2">
        <v>0.43388888888888888</v>
      </c>
      <c r="F1046" s="2">
        <f t="shared" si="161"/>
        <v>3.0208333333333059E-3</v>
      </c>
      <c r="G1046">
        <f t="shared" si="162"/>
        <v>0</v>
      </c>
      <c r="H1046">
        <f t="shared" si="163"/>
        <v>4</v>
      </c>
      <c r="I1046">
        <f t="shared" si="164"/>
        <v>21</v>
      </c>
      <c r="J1046">
        <f t="shared" si="165"/>
        <v>261</v>
      </c>
      <c r="K1046">
        <f t="shared" si="166"/>
        <v>5</v>
      </c>
      <c r="L1046">
        <f t="shared" si="167"/>
        <v>332790</v>
      </c>
      <c r="M1046">
        <f t="shared" si="168"/>
        <v>105878</v>
      </c>
      <c r="N1046">
        <f t="shared" si="169"/>
        <v>486668</v>
      </c>
      <c r="O1046">
        <f>IF(B1046="zagraniczny",K1046+O1045,O1045)</f>
        <v>481</v>
      </c>
    </row>
    <row r="1047" spans="1:15" x14ac:dyDescent="0.25">
      <c r="A1047">
        <v>4222605</v>
      </c>
      <c r="B1047" t="str">
        <f t="shared" si="160"/>
        <v>stacjonarny</v>
      </c>
      <c r="C1047" s="1">
        <v>42933</v>
      </c>
      <c r="D1047" s="2">
        <v>0.43375000000000002</v>
      </c>
      <c r="E1047" s="2">
        <v>0.43592592592592594</v>
      </c>
      <c r="F1047" s="2">
        <f t="shared" si="161"/>
        <v>2.1759259259259145E-3</v>
      </c>
      <c r="G1047">
        <f t="shared" si="162"/>
        <v>0</v>
      </c>
      <c r="H1047">
        <f t="shared" si="163"/>
        <v>3</v>
      </c>
      <c r="I1047">
        <f t="shared" si="164"/>
        <v>8</v>
      </c>
      <c r="J1047">
        <f t="shared" si="165"/>
        <v>188</v>
      </c>
      <c r="K1047">
        <f t="shared" si="166"/>
        <v>4</v>
      </c>
      <c r="L1047">
        <f t="shared" si="167"/>
        <v>332978</v>
      </c>
      <c r="M1047">
        <f t="shared" si="168"/>
        <v>105878</v>
      </c>
      <c r="N1047">
        <f t="shared" si="169"/>
        <v>486856</v>
      </c>
      <c r="O1047">
        <f>IF(B1047="zagraniczny",K1047+O1046,O1046)</f>
        <v>481</v>
      </c>
    </row>
    <row r="1048" spans="1:15" x14ac:dyDescent="0.25">
      <c r="A1048">
        <v>6689117</v>
      </c>
      <c r="B1048" t="str">
        <f t="shared" si="160"/>
        <v>stacjonarny</v>
      </c>
      <c r="C1048" s="1">
        <v>42933</v>
      </c>
      <c r="D1048" s="2">
        <v>0.43546296296296294</v>
      </c>
      <c r="E1048" s="2">
        <v>0.43662037037037038</v>
      </c>
      <c r="F1048" s="2">
        <f t="shared" si="161"/>
        <v>1.1574074074074403E-3</v>
      </c>
      <c r="G1048">
        <f t="shared" si="162"/>
        <v>0</v>
      </c>
      <c r="H1048">
        <f t="shared" si="163"/>
        <v>1</v>
      </c>
      <c r="I1048">
        <f t="shared" si="164"/>
        <v>40</v>
      </c>
      <c r="J1048">
        <f t="shared" si="165"/>
        <v>100</v>
      </c>
      <c r="K1048">
        <f t="shared" si="166"/>
        <v>2</v>
      </c>
      <c r="L1048">
        <f t="shared" si="167"/>
        <v>333078</v>
      </c>
      <c r="M1048">
        <f t="shared" si="168"/>
        <v>105878</v>
      </c>
      <c r="N1048">
        <f t="shared" si="169"/>
        <v>486956</v>
      </c>
      <c r="O1048">
        <f>IF(B1048="zagraniczny",K1048+O1047,O1047)</f>
        <v>481</v>
      </c>
    </row>
    <row r="1049" spans="1:15" x14ac:dyDescent="0.25">
      <c r="A1049">
        <v>3785540</v>
      </c>
      <c r="B1049" t="str">
        <f t="shared" si="160"/>
        <v>stacjonarny</v>
      </c>
      <c r="C1049" s="1">
        <v>42933</v>
      </c>
      <c r="D1049" s="2">
        <v>0.43569444444444444</v>
      </c>
      <c r="E1049" s="2">
        <v>0.4362037037037037</v>
      </c>
      <c r="F1049" s="2">
        <f t="shared" si="161"/>
        <v>5.0925925925926485E-4</v>
      </c>
      <c r="G1049">
        <f t="shared" si="162"/>
        <v>0</v>
      </c>
      <c r="H1049">
        <f t="shared" si="163"/>
        <v>0</v>
      </c>
      <c r="I1049">
        <f t="shared" si="164"/>
        <v>44</v>
      </c>
      <c r="J1049">
        <f t="shared" si="165"/>
        <v>44</v>
      </c>
      <c r="K1049">
        <f t="shared" si="166"/>
        <v>1</v>
      </c>
      <c r="L1049">
        <f t="shared" si="167"/>
        <v>333122</v>
      </c>
      <c r="M1049">
        <f t="shared" si="168"/>
        <v>105878</v>
      </c>
      <c r="N1049">
        <f t="shared" si="169"/>
        <v>487000</v>
      </c>
      <c r="O1049">
        <f>IF(B1049="zagraniczny",K1049+O1048,O1048)</f>
        <v>481</v>
      </c>
    </row>
    <row r="1050" spans="1:15" x14ac:dyDescent="0.25">
      <c r="A1050">
        <v>6151478</v>
      </c>
      <c r="B1050" t="str">
        <f t="shared" si="160"/>
        <v>stacjonarny</v>
      </c>
      <c r="C1050" s="1">
        <v>42933</v>
      </c>
      <c r="D1050" s="2">
        <v>0.44103009259259257</v>
      </c>
      <c r="E1050" s="2">
        <v>0.44807870370370373</v>
      </c>
      <c r="F1050" s="2">
        <f t="shared" si="161"/>
        <v>7.0486111111111582E-3</v>
      </c>
      <c r="G1050">
        <f t="shared" si="162"/>
        <v>0</v>
      </c>
      <c r="H1050">
        <f t="shared" si="163"/>
        <v>10</v>
      </c>
      <c r="I1050">
        <f t="shared" si="164"/>
        <v>9</v>
      </c>
      <c r="J1050">
        <f t="shared" si="165"/>
        <v>609</v>
      </c>
      <c r="K1050">
        <f t="shared" si="166"/>
        <v>11</v>
      </c>
      <c r="L1050">
        <f t="shared" si="167"/>
        <v>333731</v>
      </c>
      <c r="M1050">
        <f t="shared" si="168"/>
        <v>105878</v>
      </c>
      <c r="N1050">
        <f t="shared" si="169"/>
        <v>487609</v>
      </c>
      <c r="O1050">
        <f>IF(B1050="zagraniczny",K1050+O1049,O1049)</f>
        <v>481</v>
      </c>
    </row>
    <row r="1051" spans="1:15" x14ac:dyDescent="0.25">
      <c r="A1051">
        <v>9926754</v>
      </c>
      <c r="B1051" t="str">
        <f t="shared" si="160"/>
        <v>stacjonarny</v>
      </c>
      <c r="C1051" s="1">
        <v>42933</v>
      </c>
      <c r="D1051" s="2">
        <v>0.44421296296296298</v>
      </c>
      <c r="E1051" s="2">
        <v>0.44739583333333333</v>
      </c>
      <c r="F1051" s="2">
        <f t="shared" si="161"/>
        <v>3.1828703703703498E-3</v>
      </c>
      <c r="G1051">
        <f t="shared" si="162"/>
        <v>0</v>
      </c>
      <c r="H1051">
        <f t="shared" si="163"/>
        <v>4</v>
      </c>
      <c r="I1051">
        <f t="shared" si="164"/>
        <v>35</v>
      </c>
      <c r="J1051">
        <f t="shared" si="165"/>
        <v>275</v>
      </c>
      <c r="K1051">
        <f t="shared" si="166"/>
        <v>5</v>
      </c>
      <c r="L1051">
        <f t="shared" si="167"/>
        <v>334006</v>
      </c>
      <c r="M1051">
        <f t="shared" si="168"/>
        <v>105878</v>
      </c>
      <c r="N1051">
        <f t="shared" si="169"/>
        <v>487884</v>
      </c>
      <c r="O1051">
        <f>IF(B1051="zagraniczny",K1051+O1050,O1050)</f>
        <v>481</v>
      </c>
    </row>
    <row r="1052" spans="1:15" x14ac:dyDescent="0.25">
      <c r="A1052">
        <v>89098100</v>
      </c>
      <c r="B1052" t="str">
        <f t="shared" si="160"/>
        <v>komorkowy</v>
      </c>
      <c r="C1052" s="1">
        <v>42933</v>
      </c>
      <c r="D1052" s="2">
        <v>0.44609953703703703</v>
      </c>
      <c r="E1052" s="2">
        <v>0.44979166666666665</v>
      </c>
      <c r="F1052" s="2">
        <f t="shared" si="161"/>
        <v>3.6921296296296147E-3</v>
      </c>
      <c r="G1052">
        <f t="shared" si="162"/>
        <v>0</v>
      </c>
      <c r="H1052">
        <f t="shared" si="163"/>
        <v>5</v>
      </c>
      <c r="I1052">
        <f t="shared" si="164"/>
        <v>19</v>
      </c>
      <c r="J1052">
        <f t="shared" si="165"/>
        <v>319</v>
      </c>
      <c r="K1052">
        <f t="shared" si="166"/>
        <v>6</v>
      </c>
      <c r="L1052">
        <f t="shared" si="167"/>
        <v>334006</v>
      </c>
      <c r="M1052">
        <f t="shared" si="168"/>
        <v>106197</v>
      </c>
      <c r="N1052">
        <f t="shared" si="169"/>
        <v>488203</v>
      </c>
      <c r="O1052">
        <f>IF(B1052="zagraniczny",K1052+O1051,O1051)</f>
        <v>481</v>
      </c>
    </row>
    <row r="1053" spans="1:15" x14ac:dyDescent="0.25">
      <c r="A1053">
        <v>6460935</v>
      </c>
      <c r="B1053" t="str">
        <f t="shared" si="160"/>
        <v>stacjonarny</v>
      </c>
      <c r="C1053" s="1">
        <v>42933</v>
      </c>
      <c r="D1053" s="2">
        <v>0.45122685185185185</v>
      </c>
      <c r="E1053" s="2">
        <v>0.45480324074074074</v>
      </c>
      <c r="F1053" s="2">
        <f t="shared" si="161"/>
        <v>3.5763888888888928E-3</v>
      </c>
      <c r="G1053">
        <f t="shared" si="162"/>
        <v>0</v>
      </c>
      <c r="H1053">
        <f t="shared" si="163"/>
        <v>5</v>
      </c>
      <c r="I1053">
        <f t="shared" si="164"/>
        <v>9</v>
      </c>
      <c r="J1053">
        <f t="shared" si="165"/>
        <v>309</v>
      </c>
      <c r="K1053">
        <f t="shared" si="166"/>
        <v>6</v>
      </c>
      <c r="L1053">
        <f t="shared" si="167"/>
        <v>334315</v>
      </c>
      <c r="M1053">
        <f t="shared" si="168"/>
        <v>106197</v>
      </c>
      <c r="N1053">
        <f t="shared" si="169"/>
        <v>488512</v>
      </c>
      <c r="O1053">
        <f>IF(B1053="zagraniczny",K1053+O1052,O1052)</f>
        <v>481</v>
      </c>
    </row>
    <row r="1054" spans="1:15" x14ac:dyDescent="0.25">
      <c r="A1054">
        <v>83559673</v>
      </c>
      <c r="B1054" t="str">
        <f t="shared" si="160"/>
        <v>komorkowy</v>
      </c>
      <c r="C1054" s="1">
        <v>42933</v>
      </c>
      <c r="D1054" s="2">
        <v>0.45623842592592595</v>
      </c>
      <c r="E1054" s="2">
        <v>0.46062500000000001</v>
      </c>
      <c r="F1054" s="2">
        <f t="shared" si="161"/>
        <v>4.3865740740740566E-3</v>
      </c>
      <c r="G1054">
        <f t="shared" si="162"/>
        <v>0</v>
      </c>
      <c r="H1054">
        <f t="shared" si="163"/>
        <v>6</v>
      </c>
      <c r="I1054">
        <f t="shared" si="164"/>
        <v>19</v>
      </c>
      <c r="J1054">
        <f t="shared" si="165"/>
        <v>379</v>
      </c>
      <c r="K1054">
        <f t="shared" si="166"/>
        <v>7</v>
      </c>
      <c r="L1054">
        <f t="shared" si="167"/>
        <v>334315</v>
      </c>
      <c r="M1054">
        <f t="shared" si="168"/>
        <v>106576</v>
      </c>
      <c r="N1054">
        <f t="shared" si="169"/>
        <v>488891</v>
      </c>
      <c r="O1054">
        <f>IF(B1054="zagraniczny",K1054+O1053,O1053)</f>
        <v>481</v>
      </c>
    </row>
    <row r="1055" spans="1:15" x14ac:dyDescent="0.25">
      <c r="A1055">
        <v>1661633</v>
      </c>
      <c r="B1055" t="str">
        <f t="shared" si="160"/>
        <v>stacjonarny</v>
      </c>
      <c r="C1055" s="1">
        <v>42933</v>
      </c>
      <c r="D1055" s="2">
        <v>0.4611574074074074</v>
      </c>
      <c r="E1055" s="2">
        <v>0.46372685185185186</v>
      </c>
      <c r="F1055" s="2">
        <f t="shared" si="161"/>
        <v>2.5694444444444575E-3</v>
      </c>
      <c r="G1055">
        <f t="shared" si="162"/>
        <v>0</v>
      </c>
      <c r="H1055">
        <f t="shared" si="163"/>
        <v>3</v>
      </c>
      <c r="I1055">
        <f t="shared" si="164"/>
        <v>42</v>
      </c>
      <c r="J1055">
        <f t="shared" si="165"/>
        <v>222</v>
      </c>
      <c r="K1055">
        <f t="shared" si="166"/>
        <v>4</v>
      </c>
      <c r="L1055">
        <f t="shared" si="167"/>
        <v>334537</v>
      </c>
      <c r="M1055">
        <f t="shared" si="168"/>
        <v>106576</v>
      </c>
      <c r="N1055">
        <f t="shared" si="169"/>
        <v>489113</v>
      </c>
      <c r="O1055">
        <f>IF(B1055="zagraniczny",K1055+O1054,O1054)</f>
        <v>481</v>
      </c>
    </row>
    <row r="1056" spans="1:15" x14ac:dyDescent="0.25">
      <c r="A1056">
        <v>5809293</v>
      </c>
      <c r="B1056" t="str">
        <f t="shared" si="160"/>
        <v>stacjonarny</v>
      </c>
      <c r="C1056" s="1">
        <v>42933</v>
      </c>
      <c r="D1056" s="2">
        <v>0.46481481481481479</v>
      </c>
      <c r="E1056" s="2">
        <v>0.47425925925925927</v>
      </c>
      <c r="F1056" s="2">
        <f t="shared" si="161"/>
        <v>9.4444444444444775E-3</v>
      </c>
      <c r="G1056">
        <f t="shared" si="162"/>
        <v>0</v>
      </c>
      <c r="H1056">
        <f t="shared" si="163"/>
        <v>13</v>
      </c>
      <c r="I1056">
        <f t="shared" si="164"/>
        <v>36</v>
      </c>
      <c r="J1056">
        <f t="shared" si="165"/>
        <v>816</v>
      </c>
      <c r="K1056">
        <f t="shared" si="166"/>
        <v>14</v>
      </c>
      <c r="L1056">
        <f t="shared" si="167"/>
        <v>335353</v>
      </c>
      <c r="M1056">
        <f t="shared" si="168"/>
        <v>106576</v>
      </c>
      <c r="N1056">
        <f t="shared" si="169"/>
        <v>489929</v>
      </c>
      <c r="O1056">
        <f>IF(B1056="zagraniczny",K1056+O1055,O1055)</f>
        <v>481</v>
      </c>
    </row>
    <row r="1057" spans="1:15" x14ac:dyDescent="0.25">
      <c r="A1057">
        <v>5790304</v>
      </c>
      <c r="B1057" t="str">
        <f t="shared" si="160"/>
        <v>stacjonarny</v>
      </c>
      <c r="C1057" s="1">
        <v>42933</v>
      </c>
      <c r="D1057" s="2">
        <v>0.46655092592592595</v>
      </c>
      <c r="E1057" s="2">
        <v>0.47357638888888887</v>
      </c>
      <c r="F1057" s="2">
        <f t="shared" si="161"/>
        <v>7.0254629629629139E-3</v>
      </c>
      <c r="G1057">
        <f t="shared" si="162"/>
        <v>0</v>
      </c>
      <c r="H1057">
        <f t="shared" si="163"/>
        <v>10</v>
      </c>
      <c r="I1057">
        <f t="shared" si="164"/>
        <v>7</v>
      </c>
      <c r="J1057">
        <f t="shared" si="165"/>
        <v>607</v>
      </c>
      <c r="K1057">
        <f t="shared" si="166"/>
        <v>11</v>
      </c>
      <c r="L1057">
        <f t="shared" si="167"/>
        <v>335960</v>
      </c>
      <c r="M1057">
        <f t="shared" si="168"/>
        <v>106576</v>
      </c>
      <c r="N1057">
        <f t="shared" si="169"/>
        <v>490536</v>
      </c>
      <c r="O1057">
        <f>IF(B1057="zagraniczny",K1057+O1056,O1056)</f>
        <v>481</v>
      </c>
    </row>
    <row r="1058" spans="1:15" x14ac:dyDescent="0.25">
      <c r="A1058">
        <v>7088840</v>
      </c>
      <c r="B1058" t="str">
        <f t="shared" si="160"/>
        <v>stacjonarny</v>
      </c>
      <c r="C1058" s="1">
        <v>42933</v>
      </c>
      <c r="D1058" s="2">
        <v>0.46711805555555558</v>
      </c>
      <c r="E1058" s="2">
        <v>0.47856481481481483</v>
      </c>
      <c r="F1058" s="2">
        <f t="shared" si="161"/>
        <v>1.1446759259259254E-2</v>
      </c>
      <c r="G1058">
        <f t="shared" si="162"/>
        <v>0</v>
      </c>
      <c r="H1058">
        <f t="shared" si="163"/>
        <v>16</v>
      </c>
      <c r="I1058">
        <f t="shared" si="164"/>
        <v>29</v>
      </c>
      <c r="J1058">
        <f t="shared" si="165"/>
        <v>989</v>
      </c>
      <c r="K1058">
        <f t="shared" si="166"/>
        <v>17</v>
      </c>
      <c r="L1058">
        <f t="shared" si="167"/>
        <v>336949</v>
      </c>
      <c r="M1058">
        <f t="shared" si="168"/>
        <v>106576</v>
      </c>
      <c r="N1058">
        <f t="shared" si="169"/>
        <v>491525</v>
      </c>
      <c r="O1058">
        <f>IF(B1058="zagraniczny",K1058+O1057,O1057)</f>
        <v>481</v>
      </c>
    </row>
    <row r="1059" spans="1:15" x14ac:dyDescent="0.25">
      <c r="A1059">
        <v>1302112</v>
      </c>
      <c r="B1059" t="str">
        <f t="shared" si="160"/>
        <v>stacjonarny</v>
      </c>
      <c r="C1059" s="1">
        <v>42933</v>
      </c>
      <c r="D1059" s="2">
        <v>0.46939814814814818</v>
      </c>
      <c r="E1059" s="2">
        <v>0.47047453703703701</v>
      </c>
      <c r="F1059" s="2">
        <f t="shared" si="161"/>
        <v>1.0763888888888351E-3</v>
      </c>
      <c r="G1059">
        <f t="shared" si="162"/>
        <v>0</v>
      </c>
      <c r="H1059">
        <f t="shared" si="163"/>
        <v>1</v>
      </c>
      <c r="I1059">
        <f t="shared" si="164"/>
        <v>33</v>
      </c>
      <c r="J1059">
        <f t="shared" si="165"/>
        <v>93</v>
      </c>
      <c r="K1059">
        <f t="shared" si="166"/>
        <v>2</v>
      </c>
      <c r="L1059">
        <f t="shared" si="167"/>
        <v>337042</v>
      </c>
      <c r="M1059">
        <f t="shared" si="168"/>
        <v>106576</v>
      </c>
      <c r="N1059">
        <f t="shared" si="169"/>
        <v>491618</v>
      </c>
      <c r="O1059">
        <f>IF(B1059="zagraniczny",K1059+O1058,O1058)</f>
        <v>481</v>
      </c>
    </row>
    <row r="1060" spans="1:15" x14ac:dyDescent="0.25">
      <c r="A1060">
        <v>8299537</v>
      </c>
      <c r="B1060" t="str">
        <f t="shared" si="160"/>
        <v>stacjonarny</v>
      </c>
      <c r="C1060" s="1">
        <v>42933</v>
      </c>
      <c r="D1060" s="2">
        <v>0.47302083333333333</v>
      </c>
      <c r="E1060" s="2">
        <v>0.47939814814814813</v>
      </c>
      <c r="F1060" s="2">
        <f t="shared" si="161"/>
        <v>6.377314814814794E-3</v>
      </c>
      <c r="G1060">
        <f t="shared" si="162"/>
        <v>0</v>
      </c>
      <c r="H1060">
        <f t="shared" si="163"/>
        <v>9</v>
      </c>
      <c r="I1060">
        <f t="shared" si="164"/>
        <v>11</v>
      </c>
      <c r="J1060">
        <f t="shared" si="165"/>
        <v>551</v>
      </c>
      <c r="K1060">
        <f t="shared" si="166"/>
        <v>10</v>
      </c>
      <c r="L1060">
        <f t="shared" si="167"/>
        <v>337593</v>
      </c>
      <c r="M1060">
        <f t="shared" si="168"/>
        <v>106576</v>
      </c>
      <c r="N1060">
        <f t="shared" si="169"/>
        <v>492169</v>
      </c>
      <c r="O1060">
        <f>IF(B1060="zagraniczny",K1060+O1059,O1059)</f>
        <v>481</v>
      </c>
    </row>
    <row r="1061" spans="1:15" x14ac:dyDescent="0.25">
      <c r="A1061">
        <v>1519891</v>
      </c>
      <c r="B1061" t="str">
        <f t="shared" si="160"/>
        <v>stacjonarny</v>
      </c>
      <c r="C1061" s="1">
        <v>42933</v>
      </c>
      <c r="D1061" s="2">
        <v>0.47604166666666664</v>
      </c>
      <c r="E1061" s="2">
        <v>0.48714120370370373</v>
      </c>
      <c r="F1061" s="2">
        <f t="shared" si="161"/>
        <v>1.1099537037037088E-2</v>
      </c>
      <c r="G1061">
        <f t="shared" si="162"/>
        <v>0</v>
      </c>
      <c r="H1061">
        <f t="shared" si="163"/>
        <v>15</v>
      </c>
      <c r="I1061">
        <f t="shared" si="164"/>
        <v>59</v>
      </c>
      <c r="J1061">
        <f t="shared" si="165"/>
        <v>959</v>
      </c>
      <c r="K1061">
        <f t="shared" si="166"/>
        <v>16</v>
      </c>
      <c r="L1061">
        <f t="shared" si="167"/>
        <v>338552</v>
      </c>
      <c r="M1061">
        <f t="shared" si="168"/>
        <v>106576</v>
      </c>
      <c r="N1061">
        <f t="shared" si="169"/>
        <v>493128</v>
      </c>
      <c r="O1061">
        <f>IF(B1061="zagraniczny",K1061+O1060,O1060)</f>
        <v>481</v>
      </c>
    </row>
    <row r="1062" spans="1:15" x14ac:dyDescent="0.25">
      <c r="A1062">
        <v>29771613</v>
      </c>
      <c r="B1062" t="str">
        <f t="shared" si="160"/>
        <v>komorkowy</v>
      </c>
      <c r="C1062" s="1">
        <v>42933</v>
      </c>
      <c r="D1062" s="2">
        <v>0.47706018518518517</v>
      </c>
      <c r="E1062" s="2">
        <v>0.47881944444444446</v>
      </c>
      <c r="F1062" s="2">
        <f t="shared" si="161"/>
        <v>1.7592592592592937E-3</v>
      </c>
      <c r="G1062">
        <f t="shared" si="162"/>
        <v>0</v>
      </c>
      <c r="H1062">
        <f t="shared" si="163"/>
        <v>2</v>
      </c>
      <c r="I1062">
        <f t="shared" si="164"/>
        <v>32</v>
      </c>
      <c r="J1062">
        <f t="shared" si="165"/>
        <v>152</v>
      </c>
      <c r="K1062">
        <f t="shared" si="166"/>
        <v>3</v>
      </c>
      <c r="L1062">
        <f t="shared" si="167"/>
        <v>338552</v>
      </c>
      <c r="M1062">
        <f t="shared" si="168"/>
        <v>106728</v>
      </c>
      <c r="N1062">
        <f t="shared" si="169"/>
        <v>493280</v>
      </c>
      <c r="O1062">
        <f>IF(B1062="zagraniczny",K1062+O1061,O1061)</f>
        <v>481</v>
      </c>
    </row>
    <row r="1063" spans="1:15" x14ac:dyDescent="0.25">
      <c r="A1063">
        <v>9088045</v>
      </c>
      <c r="B1063" t="str">
        <f t="shared" si="160"/>
        <v>stacjonarny</v>
      </c>
      <c r="C1063" s="1">
        <v>42933</v>
      </c>
      <c r="D1063" s="2">
        <v>0.47714120370370372</v>
      </c>
      <c r="E1063" s="2">
        <v>0.47728009259259258</v>
      </c>
      <c r="F1063" s="2">
        <f t="shared" si="161"/>
        <v>1.3888888888885509E-4</v>
      </c>
      <c r="G1063">
        <f t="shared" si="162"/>
        <v>0</v>
      </c>
      <c r="H1063">
        <f t="shared" si="163"/>
        <v>0</v>
      </c>
      <c r="I1063">
        <f t="shared" si="164"/>
        <v>12</v>
      </c>
      <c r="J1063">
        <f t="shared" si="165"/>
        <v>12</v>
      </c>
      <c r="K1063">
        <f t="shared" si="166"/>
        <v>1</v>
      </c>
      <c r="L1063">
        <f t="shared" si="167"/>
        <v>338564</v>
      </c>
      <c r="M1063">
        <f t="shared" si="168"/>
        <v>106728</v>
      </c>
      <c r="N1063">
        <f t="shared" si="169"/>
        <v>493292</v>
      </c>
      <c r="O1063">
        <f>IF(B1063="zagraniczny",K1063+O1062,O1062)</f>
        <v>481</v>
      </c>
    </row>
    <row r="1064" spans="1:15" x14ac:dyDescent="0.25">
      <c r="A1064">
        <v>59864989</v>
      </c>
      <c r="B1064" t="str">
        <f t="shared" si="160"/>
        <v>komorkowy</v>
      </c>
      <c r="C1064" s="1">
        <v>42933</v>
      </c>
      <c r="D1064" s="2">
        <v>0.48119212962962965</v>
      </c>
      <c r="E1064" s="2">
        <v>0.49038194444444444</v>
      </c>
      <c r="F1064" s="2">
        <f t="shared" si="161"/>
        <v>9.1898148148147896E-3</v>
      </c>
      <c r="G1064">
        <f t="shared" si="162"/>
        <v>0</v>
      </c>
      <c r="H1064">
        <f t="shared" si="163"/>
        <v>13</v>
      </c>
      <c r="I1064">
        <f t="shared" si="164"/>
        <v>14</v>
      </c>
      <c r="J1064">
        <f t="shared" si="165"/>
        <v>794</v>
      </c>
      <c r="K1064">
        <f t="shared" si="166"/>
        <v>14</v>
      </c>
      <c r="L1064">
        <f t="shared" si="167"/>
        <v>338564</v>
      </c>
      <c r="M1064">
        <f t="shared" si="168"/>
        <v>107522</v>
      </c>
      <c r="N1064">
        <f t="shared" si="169"/>
        <v>494086</v>
      </c>
      <c r="O1064">
        <f>IF(B1064="zagraniczny",K1064+O1063,O1063)</f>
        <v>481</v>
      </c>
    </row>
    <row r="1065" spans="1:15" x14ac:dyDescent="0.25">
      <c r="A1065">
        <v>2741017</v>
      </c>
      <c r="B1065" t="str">
        <f t="shared" si="160"/>
        <v>stacjonarny</v>
      </c>
      <c r="C1065" s="1">
        <v>42933</v>
      </c>
      <c r="D1065" s="2">
        <v>0.4838425925925926</v>
      </c>
      <c r="E1065" s="2">
        <v>0.49107638888888888</v>
      </c>
      <c r="F1065" s="2">
        <f t="shared" si="161"/>
        <v>7.2337962962962798E-3</v>
      </c>
      <c r="G1065">
        <f t="shared" si="162"/>
        <v>0</v>
      </c>
      <c r="H1065">
        <f t="shared" si="163"/>
        <v>10</v>
      </c>
      <c r="I1065">
        <f t="shared" si="164"/>
        <v>25</v>
      </c>
      <c r="J1065">
        <f t="shared" si="165"/>
        <v>625</v>
      </c>
      <c r="K1065">
        <f t="shared" si="166"/>
        <v>11</v>
      </c>
      <c r="L1065">
        <f t="shared" si="167"/>
        <v>339189</v>
      </c>
      <c r="M1065">
        <f t="shared" si="168"/>
        <v>107522</v>
      </c>
      <c r="N1065">
        <f t="shared" si="169"/>
        <v>494711</v>
      </c>
      <c r="O1065">
        <f>IF(B1065="zagraniczny",K1065+O1064,O1064)</f>
        <v>481</v>
      </c>
    </row>
    <row r="1066" spans="1:15" x14ac:dyDescent="0.25">
      <c r="A1066">
        <v>1092699</v>
      </c>
      <c r="B1066" t="str">
        <f t="shared" si="160"/>
        <v>stacjonarny</v>
      </c>
      <c r="C1066" s="1">
        <v>42933</v>
      </c>
      <c r="D1066" s="2">
        <v>0.48430555555555554</v>
      </c>
      <c r="E1066" s="2">
        <v>0.49372685185185183</v>
      </c>
      <c r="F1066" s="2">
        <f t="shared" si="161"/>
        <v>9.4212962962962887E-3</v>
      </c>
      <c r="G1066">
        <f t="shared" si="162"/>
        <v>0</v>
      </c>
      <c r="H1066">
        <f t="shared" si="163"/>
        <v>13</v>
      </c>
      <c r="I1066">
        <f t="shared" si="164"/>
        <v>34</v>
      </c>
      <c r="J1066">
        <f t="shared" si="165"/>
        <v>814</v>
      </c>
      <c r="K1066">
        <f t="shared" si="166"/>
        <v>14</v>
      </c>
      <c r="L1066">
        <f t="shared" si="167"/>
        <v>340003</v>
      </c>
      <c r="M1066">
        <f t="shared" si="168"/>
        <v>107522</v>
      </c>
      <c r="N1066">
        <f t="shared" si="169"/>
        <v>495525</v>
      </c>
      <c r="O1066">
        <f>IF(B1066="zagraniczny",K1066+O1065,O1065)</f>
        <v>481</v>
      </c>
    </row>
    <row r="1067" spans="1:15" x14ac:dyDescent="0.25">
      <c r="A1067">
        <v>3284714</v>
      </c>
      <c r="B1067" t="str">
        <f t="shared" si="160"/>
        <v>stacjonarny</v>
      </c>
      <c r="C1067" s="1">
        <v>42933</v>
      </c>
      <c r="D1067" s="2">
        <v>0.48533564814814817</v>
      </c>
      <c r="E1067" s="2">
        <v>0.49689814814814814</v>
      </c>
      <c r="F1067" s="2">
        <f t="shared" si="161"/>
        <v>1.1562499999999976E-2</v>
      </c>
      <c r="G1067">
        <f t="shared" si="162"/>
        <v>0</v>
      </c>
      <c r="H1067">
        <f t="shared" si="163"/>
        <v>16</v>
      </c>
      <c r="I1067">
        <f t="shared" si="164"/>
        <v>39</v>
      </c>
      <c r="J1067">
        <f t="shared" si="165"/>
        <v>999</v>
      </c>
      <c r="K1067">
        <f t="shared" si="166"/>
        <v>17</v>
      </c>
      <c r="L1067">
        <f t="shared" si="167"/>
        <v>341002</v>
      </c>
      <c r="M1067">
        <f t="shared" si="168"/>
        <v>107522</v>
      </c>
      <c r="N1067">
        <f t="shared" si="169"/>
        <v>496524</v>
      </c>
      <c r="O1067">
        <f>IF(B1067="zagraniczny",K1067+O1066,O1066)</f>
        <v>481</v>
      </c>
    </row>
    <row r="1068" spans="1:15" x14ac:dyDescent="0.25">
      <c r="A1068">
        <v>1822675725</v>
      </c>
      <c r="B1068" t="str">
        <f t="shared" si="160"/>
        <v>zagraniczny</v>
      </c>
      <c r="C1068" s="1">
        <v>42933</v>
      </c>
      <c r="D1068" s="2">
        <v>0.48542824074074076</v>
      </c>
      <c r="E1068" s="2">
        <v>0.49109953703703701</v>
      </c>
      <c r="F1068" s="2">
        <f t="shared" si="161"/>
        <v>5.6712962962962576E-3</v>
      </c>
      <c r="G1068">
        <f t="shared" si="162"/>
        <v>0</v>
      </c>
      <c r="H1068">
        <f t="shared" si="163"/>
        <v>8</v>
      </c>
      <c r="I1068">
        <f t="shared" si="164"/>
        <v>10</v>
      </c>
      <c r="J1068">
        <f t="shared" si="165"/>
        <v>490</v>
      </c>
      <c r="K1068">
        <f t="shared" si="166"/>
        <v>9</v>
      </c>
      <c r="L1068">
        <f t="shared" si="167"/>
        <v>341002</v>
      </c>
      <c r="M1068">
        <f t="shared" si="168"/>
        <v>107522</v>
      </c>
      <c r="N1068">
        <f t="shared" si="169"/>
        <v>496524</v>
      </c>
      <c r="O1068">
        <f>IF(B1068="zagraniczny",K1068+O1067,O1067)</f>
        <v>490</v>
      </c>
    </row>
    <row r="1069" spans="1:15" x14ac:dyDescent="0.25">
      <c r="A1069">
        <v>9595194</v>
      </c>
      <c r="B1069" t="str">
        <f t="shared" si="160"/>
        <v>stacjonarny</v>
      </c>
      <c r="C1069" s="1">
        <v>42933</v>
      </c>
      <c r="D1069" s="2">
        <v>0.48833333333333334</v>
      </c>
      <c r="E1069" s="2">
        <v>0.49960648148148146</v>
      </c>
      <c r="F1069" s="2">
        <f t="shared" si="161"/>
        <v>1.1273148148148115E-2</v>
      </c>
      <c r="G1069">
        <f t="shared" si="162"/>
        <v>0</v>
      </c>
      <c r="H1069">
        <f t="shared" si="163"/>
        <v>16</v>
      </c>
      <c r="I1069">
        <f t="shared" si="164"/>
        <v>14</v>
      </c>
      <c r="J1069">
        <f t="shared" si="165"/>
        <v>974</v>
      </c>
      <c r="K1069">
        <f t="shared" si="166"/>
        <v>17</v>
      </c>
      <c r="L1069">
        <f t="shared" si="167"/>
        <v>341976</v>
      </c>
      <c r="M1069">
        <f t="shared" si="168"/>
        <v>107522</v>
      </c>
      <c r="N1069">
        <f t="shared" si="169"/>
        <v>497498</v>
      </c>
      <c r="O1069">
        <f>IF(B1069="zagraniczny",K1069+O1068,O1068)</f>
        <v>490</v>
      </c>
    </row>
    <row r="1070" spans="1:15" x14ac:dyDescent="0.25">
      <c r="A1070">
        <v>5015921</v>
      </c>
      <c r="B1070" t="str">
        <f t="shared" si="160"/>
        <v>stacjonarny</v>
      </c>
      <c r="C1070" s="1">
        <v>42933</v>
      </c>
      <c r="D1070" s="2">
        <v>0.49362268518518521</v>
      </c>
      <c r="E1070" s="2">
        <v>0.49859953703703702</v>
      </c>
      <c r="F1070" s="2">
        <f t="shared" si="161"/>
        <v>4.9768518518518157E-3</v>
      </c>
      <c r="G1070">
        <f t="shared" si="162"/>
        <v>0</v>
      </c>
      <c r="H1070">
        <f t="shared" si="163"/>
        <v>7</v>
      </c>
      <c r="I1070">
        <f t="shared" si="164"/>
        <v>10</v>
      </c>
      <c r="J1070">
        <f t="shared" si="165"/>
        <v>430</v>
      </c>
      <c r="K1070">
        <f t="shared" si="166"/>
        <v>8</v>
      </c>
      <c r="L1070">
        <f t="shared" si="167"/>
        <v>342406</v>
      </c>
      <c r="M1070">
        <f t="shared" si="168"/>
        <v>107522</v>
      </c>
      <c r="N1070">
        <f t="shared" si="169"/>
        <v>497928</v>
      </c>
      <c r="O1070">
        <f>IF(B1070="zagraniczny",K1070+O1069,O1069)</f>
        <v>490</v>
      </c>
    </row>
    <row r="1071" spans="1:15" x14ac:dyDescent="0.25">
      <c r="A1071">
        <v>1015521</v>
      </c>
      <c r="B1071" t="str">
        <f t="shared" si="160"/>
        <v>stacjonarny</v>
      </c>
      <c r="C1071" s="1">
        <v>42933</v>
      </c>
      <c r="D1071" s="2">
        <v>0.49658564814814815</v>
      </c>
      <c r="E1071" s="2">
        <v>0.49866898148148148</v>
      </c>
      <c r="F1071" s="2">
        <f t="shared" si="161"/>
        <v>2.0833333333333259E-3</v>
      </c>
      <c r="G1071">
        <f t="shared" si="162"/>
        <v>0</v>
      </c>
      <c r="H1071">
        <f t="shared" si="163"/>
        <v>3</v>
      </c>
      <c r="I1071">
        <f t="shared" si="164"/>
        <v>0</v>
      </c>
      <c r="J1071">
        <f t="shared" si="165"/>
        <v>180</v>
      </c>
      <c r="K1071">
        <f t="shared" si="166"/>
        <v>3</v>
      </c>
      <c r="L1071">
        <f t="shared" si="167"/>
        <v>342586</v>
      </c>
      <c r="M1071">
        <f t="shared" si="168"/>
        <v>107522</v>
      </c>
      <c r="N1071">
        <f t="shared" si="169"/>
        <v>498108</v>
      </c>
      <c r="O1071">
        <f>IF(B1071="zagraniczny",K1071+O1070,O1070)</f>
        <v>490</v>
      </c>
    </row>
    <row r="1072" spans="1:15" x14ac:dyDescent="0.25">
      <c r="A1072">
        <v>4452201</v>
      </c>
      <c r="B1072" t="str">
        <f t="shared" si="160"/>
        <v>stacjonarny</v>
      </c>
      <c r="C1072" s="1">
        <v>42933</v>
      </c>
      <c r="D1072" s="2">
        <v>0.49760416666666668</v>
      </c>
      <c r="E1072" s="2">
        <v>0.50249999999999995</v>
      </c>
      <c r="F1072" s="2">
        <f t="shared" si="161"/>
        <v>4.895833333333266E-3</v>
      </c>
      <c r="G1072">
        <f t="shared" si="162"/>
        <v>0</v>
      </c>
      <c r="H1072">
        <f t="shared" si="163"/>
        <v>7</v>
      </c>
      <c r="I1072">
        <f t="shared" si="164"/>
        <v>3</v>
      </c>
      <c r="J1072">
        <f t="shared" si="165"/>
        <v>423</v>
      </c>
      <c r="K1072">
        <f t="shared" si="166"/>
        <v>8</v>
      </c>
      <c r="L1072">
        <f t="shared" si="167"/>
        <v>343009</v>
      </c>
      <c r="M1072">
        <f t="shared" si="168"/>
        <v>107522</v>
      </c>
      <c r="N1072">
        <f t="shared" si="169"/>
        <v>498531</v>
      </c>
      <c r="O1072">
        <f>IF(B1072="zagraniczny",K1072+O1071,O1071)</f>
        <v>490</v>
      </c>
    </row>
    <row r="1073" spans="1:15" x14ac:dyDescent="0.25">
      <c r="A1073">
        <v>6801890</v>
      </c>
      <c r="B1073" t="str">
        <f t="shared" si="160"/>
        <v>stacjonarny</v>
      </c>
      <c r="C1073" s="1">
        <v>42933</v>
      </c>
      <c r="D1073" s="2">
        <v>0.50284722222222222</v>
      </c>
      <c r="E1073" s="2">
        <v>0.50736111111111115</v>
      </c>
      <c r="F1073" s="2">
        <f t="shared" si="161"/>
        <v>4.5138888888889284E-3</v>
      </c>
      <c r="G1073">
        <f t="shared" si="162"/>
        <v>0</v>
      </c>
      <c r="H1073">
        <f t="shared" si="163"/>
        <v>6</v>
      </c>
      <c r="I1073">
        <f t="shared" si="164"/>
        <v>30</v>
      </c>
      <c r="J1073">
        <f t="shared" si="165"/>
        <v>390</v>
      </c>
      <c r="K1073">
        <f t="shared" si="166"/>
        <v>7</v>
      </c>
      <c r="L1073">
        <f t="shared" si="167"/>
        <v>343399</v>
      </c>
      <c r="M1073">
        <f t="shared" si="168"/>
        <v>107522</v>
      </c>
      <c r="N1073">
        <f t="shared" si="169"/>
        <v>498921</v>
      </c>
      <c r="O1073">
        <f>IF(B1073="zagraniczny",K1073+O1072,O1072)</f>
        <v>490</v>
      </c>
    </row>
    <row r="1074" spans="1:15" x14ac:dyDescent="0.25">
      <c r="A1074">
        <v>19638469</v>
      </c>
      <c r="B1074" t="str">
        <f t="shared" si="160"/>
        <v>komorkowy</v>
      </c>
      <c r="C1074" s="1">
        <v>42933</v>
      </c>
      <c r="D1074" s="2">
        <v>0.50768518518518524</v>
      </c>
      <c r="E1074" s="2">
        <v>0.51817129629629632</v>
      </c>
      <c r="F1074" s="2">
        <f t="shared" si="161"/>
        <v>1.0486111111111085E-2</v>
      </c>
      <c r="G1074">
        <f t="shared" si="162"/>
        <v>0</v>
      </c>
      <c r="H1074">
        <f t="shared" si="163"/>
        <v>15</v>
      </c>
      <c r="I1074">
        <f t="shared" si="164"/>
        <v>6</v>
      </c>
      <c r="J1074">
        <f t="shared" si="165"/>
        <v>906</v>
      </c>
      <c r="K1074">
        <f t="shared" si="166"/>
        <v>16</v>
      </c>
      <c r="L1074">
        <f t="shared" si="167"/>
        <v>343399</v>
      </c>
      <c r="M1074">
        <f t="shared" si="168"/>
        <v>108428</v>
      </c>
      <c r="N1074">
        <f t="shared" si="169"/>
        <v>499827</v>
      </c>
      <c r="O1074">
        <f>IF(B1074="zagraniczny",K1074+O1073,O1073)</f>
        <v>490</v>
      </c>
    </row>
    <row r="1075" spans="1:15" x14ac:dyDescent="0.25">
      <c r="A1075">
        <v>43897696</v>
      </c>
      <c r="B1075" t="str">
        <f t="shared" si="160"/>
        <v>komorkowy</v>
      </c>
      <c r="C1075" s="1">
        <v>42933</v>
      </c>
      <c r="D1075" s="2">
        <v>0.51271990740740736</v>
      </c>
      <c r="E1075" s="2">
        <v>0.51616898148148149</v>
      </c>
      <c r="F1075" s="2">
        <f t="shared" si="161"/>
        <v>3.4490740740741321E-3</v>
      </c>
      <c r="G1075">
        <f t="shared" si="162"/>
        <v>0</v>
      </c>
      <c r="H1075">
        <f t="shared" si="163"/>
        <v>4</v>
      </c>
      <c r="I1075">
        <f t="shared" si="164"/>
        <v>58</v>
      </c>
      <c r="J1075">
        <f t="shared" si="165"/>
        <v>298</v>
      </c>
      <c r="K1075">
        <f t="shared" si="166"/>
        <v>5</v>
      </c>
      <c r="L1075">
        <f t="shared" si="167"/>
        <v>343399</v>
      </c>
      <c r="M1075">
        <f t="shared" si="168"/>
        <v>108726</v>
      </c>
      <c r="N1075">
        <f t="shared" si="169"/>
        <v>500125</v>
      </c>
      <c r="O1075">
        <f>IF(B1075="zagraniczny",K1075+O1074,O1074)</f>
        <v>490</v>
      </c>
    </row>
    <row r="1076" spans="1:15" x14ac:dyDescent="0.25">
      <c r="A1076">
        <v>8253162</v>
      </c>
      <c r="B1076" t="str">
        <f t="shared" si="160"/>
        <v>stacjonarny</v>
      </c>
      <c r="C1076" s="1">
        <v>42933</v>
      </c>
      <c r="D1076" s="2">
        <v>0.51468749999999996</v>
      </c>
      <c r="E1076" s="2">
        <v>0.5204050925925926</v>
      </c>
      <c r="F1076" s="2">
        <f t="shared" si="161"/>
        <v>5.7175925925926352E-3</v>
      </c>
      <c r="G1076">
        <f t="shared" si="162"/>
        <v>0</v>
      </c>
      <c r="H1076">
        <f t="shared" si="163"/>
        <v>8</v>
      </c>
      <c r="I1076">
        <f t="shared" si="164"/>
        <v>14</v>
      </c>
      <c r="J1076">
        <f t="shared" si="165"/>
        <v>494</v>
      </c>
      <c r="K1076">
        <f t="shared" si="166"/>
        <v>9</v>
      </c>
      <c r="L1076">
        <f t="shared" si="167"/>
        <v>343893</v>
      </c>
      <c r="M1076">
        <f t="shared" si="168"/>
        <v>108726</v>
      </c>
      <c r="N1076">
        <f t="shared" si="169"/>
        <v>500619</v>
      </c>
      <c r="O1076">
        <f>IF(B1076="zagraniczny",K1076+O1075,O1075)</f>
        <v>490</v>
      </c>
    </row>
    <row r="1077" spans="1:15" x14ac:dyDescent="0.25">
      <c r="A1077">
        <v>42038927</v>
      </c>
      <c r="B1077" t="str">
        <f t="shared" si="160"/>
        <v>komorkowy</v>
      </c>
      <c r="C1077" s="1">
        <v>42933</v>
      </c>
      <c r="D1077" s="2">
        <v>0.51894675925925926</v>
      </c>
      <c r="E1077" s="2">
        <v>0.52336805555555554</v>
      </c>
      <c r="F1077" s="2">
        <f t="shared" si="161"/>
        <v>4.4212962962962843E-3</v>
      </c>
      <c r="G1077">
        <f t="shared" si="162"/>
        <v>0</v>
      </c>
      <c r="H1077">
        <f t="shared" si="163"/>
        <v>6</v>
      </c>
      <c r="I1077">
        <f t="shared" si="164"/>
        <v>22</v>
      </c>
      <c r="J1077">
        <f t="shared" si="165"/>
        <v>382</v>
      </c>
      <c r="K1077">
        <f t="shared" si="166"/>
        <v>7</v>
      </c>
      <c r="L1077">
        <f t="shared" si="167"/>
        <v>343893</v>
      </c>
      <c r="M1077">
        <f t="shared" si="168"/>
        <v>109108</v>
      </c>
      <c r="N1077">
        <f t="shared" si="169"/>
        <v>501001</v>
      </c>
      <c r="O1077">
        <f>IF(B1077="zagraniczny",K1077+O1076,O1076)</f>
        <v>490</v>
      </c>
    </row>
    <row r="1078" spans="1:15" x14ac:dyDescent="0.25">
      <c r="A1078">
        <v>5758962</v>
      </c>
      <c r="B1078" t="str">
        <f t="shared" si="160"/>
        <v>stacjonarny</v>
      </c>
      <c r="C1078" s="1">
        <v>42933</v>
      </c>
      <c r="D1078" s="2">
        <v>0.52460648148148148</v>
      </c>
      <c r="E1078" s="2">
        <v>0.53292824074074074</v>
      </c>
      <c r="F1078" s="2">
        <f t="shared" si="161"/>
        <v>8.3217592592592649E-3</v>
      </c>
      <c r="G1078">
        <f t="shared" si="162"/>
        <v>0</v>
      </c>
      <c r="H1078">
        <f t="shared" si="163"/>
        <v>11</v>
      </c>
      <c r="I1078">
        <f t="shared" si="164"/>
        <v>59</v>
      </c>
      <c r="J1078">
        <f t="shared" si="165"/>
        <v>719</v>
      </c>
      <c r="K1078">
        <f t="shared" si="166"/>
        <v>12</v>
      </c>
      <c r="L1078">
        <f t="shared" si="167"/>
        <v>344612</v>
      </c>
      <c r="M1078">
        <f t="shared" si="168"/>
        <v>109108</v>
      </c>
      <c r="N1078">
        <f t="shared" si="169"/>
        <v>501720</v>
      </c>
      <c r="O1078">
        <f>IF(B1078="zagraniczny",K1078+O1077,O1077)</f>
        <v>490</v>
      </c>
    </row>
    <row r="1079" spans="1:15" x14ac:dyDescent="0.25">
      <c r="A1079">
        <v>77096634</v>
      </c>
      <c r="B1079" t="str">
        <f t="shared" si="160"/>
        <v>komorkowy</v>
      </c>
      <c r="C1079" s="1">
        <v>42933</v>
      </c>
      <c r="D1079" s="2">
        <v>0.52500000000000002</v>
      </c>
      <c r="E1079" s="2">
        <v>0.53071759259259255</v>
      </c>
      <c r="F1079" s="2">
        <f t="shared" si="161"/>
        <v>5.7175925925925242E-3</v>
      </c>
      <c r="G1079">
        <f t="shared" si="162"/>
        <v>0</v>
      </c>
      <c r="H1079">
        <f t="shared" si="163"/>
        <v>8</v>
      </c>
      <c r="I1079">
        <f t="shared" si="164"/>
        <v>14</v>
      </c>
      <c r="J1079">
        <f t="shared" si="165"/>
        <v>494</v>
      </c>
      <c r="K1079">
        <f t="shared" si="166"/>
        <v>9</v>
      </c>
      <c r="L1079">
        <f t="shared" si="167"/>
        <v>344612</v>
      </c>
      <c r="M1079">
        <f t="shared" si="168"/>
        <v>109602</v>
      </c>
      <c r="N1079">
        <f t="shared" si="169"/>
        <v>502214</v>
      </c>
      <c r="O1079">
        <f>IF(B1079="zagraniczny",K1079+O1078,O1078)</f>
        <v>490</v>
      </c>
    </row>
    <row r="1080" spans="1:15" x14ac:dyDescent="0.25">
      <c r="A1080">
        <v>8041809</v>
      </c>
      <c r="B1080" t="str">
        <f t="shared" si="160"/>
        <v>stacjonarny</v>
      </c>
      <c r="C1080" s="1">
        <v>42933</v>
      </c>
      <c r="D1080" s="2">
        <v>0.52508101851851852</v>
      </c>
      <c r="E1080" s="2">
        <v>0.53238425925925925</v>
      </c>
      <c r="F1080" s="2">
        <f t="shared" si="161"/>
        <v>7.3032407407407351E-3</v>
      </c>
      <c r="G1080">
        <f t="shared" si="162"/>
        <v>0</v>
      </c>
      <c r="H1080">
        <f t="shared" si="163"/>
        <v>10</v>
      </c>
      <c r="I1080">
        <f t="shared" si="164"/>
        <v>31</v>
      </c>
      <c r="J1080">
        <f t="shared" si="165"/>
        <v>631</v>
      </c>
      <c r="K1080">
        <f t="shared" si="166"/>
        <v>11</v>
      </c>
      <c r="L1080">
        <f t="shared" si="167"/>
        <v>345243</v>
      </c>
      <c r="M1080">
        <f t="shared" si="168"/>
        <v>109602</v>
      </c>
      <c r="N1080">
        <f t="shared" si="169"/>
        <v>502845</v>
      </c>
      <c r="O1080">
        <f>IF(B1080="zagraniczny",K1080+O1079,O1079)</f>
        <v>490</v>
      </c>
    </row>
    <row r="1081" spans="1:15" x14ac:dyDescent="0.25">
      <c r="A1081">
        <v>6735390</v>
      </c>
      <c r="B1081" t="str">
        <f t="shared" si="160"/>
        <v>stacjonarny</v>
      </c>
      <c r="C1081" s="1">
        <v>42933</v>
      </c>
      <c r="D1081" s="2">
        <v>0.52612268518518523</v>
      </c>
      <c r="E1081" s="2">
        <v>0.52849537037037042</v>
      </c>
      <c r="F1081" s="2">
        <f t="shared" si="161"/>
        <v>2.372685185185186E-3</v>
      </c>
      <c r="G1081">
        <f t="shared" si="162"/>
        <v>0</v>
      </c>
      <c r="H1081">
        <f t="shared" si="163"/>
        <v>3</v>
      </c>
      <c r="I1081">
        <f t="shared" si="164"/>
        <v>25</v>
      </c>
      <c r="J1081">
        <f t="shared" si="165"/>
        <v>205</v>
      </c>
      <c r="K1081">
        <f t="shared" si="166"/>
        <v>4</v>
      </c>
      <c r="L1081">
        <f t="shared" si="167"/>
        <v>345448</v>
      </c>
      <c r="M1081">
        <f t="shared" si="168"/>
        <v>109602</v>
      </c>
      <c r="N1081">
        <f t="shared" si="169"/>
        <v>503050</v>
      </c>
      <c r="O1081">
        <f>IF(B1081="zagraniczny",K1081+O1080,O1080)</f>
        <v>490</v>
      </c>
    </row>
    <row r="1082" spans="1:15" x14ac:dyDescent="0.25">
      <c r="A1082">
        <v>93811207</v>
      </c>
      <c r="B1082" t="str">
        <f t="shared" si="160"/>
        <v>komorkowy</v>
      </c>
      <c r="C1082" s="1">
        <v>42933</v>
      </c>
      <c r="D1082" s="2">
        <v>0.52707175925925931</v>
      </c>
      <c r="E1082" s="2">
        <v>0.53460648148148149</v>
      </c>
      <c r="F1082" s="2">
        <f t="shared" si="161"/>
        <v>7.5347222222221788E-3</v>
      </c>
      <c r="G1082">
        <f t="shared" si="162"/>
        <v>0</v>
      </c>
      <c r="H1082">
        <f t="shared" si="163"/>
        <v>10</v>
      </c>
      <c r="I1082">
        <f t="shared" si="164"/>
        <v>51</v>
      </c>
      <c r="J1082">
        <f t="shared" si="165"/>
        <v>651</v>
      </c>
      <c r="K1082">
        <f t="shared" si="166"/>
        <v>11</v>
      </c>
      <c r="L1082">
        <f t="shared" si="167"/>
        <v>345448</v>
      </c>
      <c r="M1082">
        <f t="shared" si="168"/>
        <v>110253</v>
      </c>
      <c r="N1082">
        <f t="shared" si="169"/>
        <v>503701</v>
      </c>
      <c r="O1082">
        <f>IF(B1082="zagraniczny",K1082+O1081,O1081)</f>
        <v>490</v>
      </c>
    </row>
    <row r="1083" spans="1:15" x14ac:dyDescent="0.25">
      <c r="A1083">
        <v>8079505</v>
      </c>
      <c r="B1083" t="str">
        <f t="shared" si="160"/>
        <v>stacjonarny</v>
      </c>
      <c r="C1083" s="1">
        <v>42933</v>
      </c>
      <c r="D1083" s="2">
        <v>0.52788194444444447</v>
      </c>
      <c r="E1083" s="2">
        <v>0.52908564814814818</v>
      </c>
      <c r="F1083" s="2">
        <f t="shared" si="161"/>
        <v>1.2037037037037068E-3</v>
      </c>
      <c r="G1083">
        <f t="shared" si="162"/>
        <v>0</v>
      </c>
      <c r="H1083">
        <f t="shared" si="163"/>
        <v>1</v>
      </c>
      <c r="I1083">
        <f t="shared" si="164"/>
        <v>44</v>
      </c>
      <c r="J1083">
        <f t="shared" si="165"/>
        <v>104</v>
      </c>
      <c r="K1083">
        <f t="shared" si="166"/>
        <v>2</v>
      </c>
      <c r="L1083">
        <f t="shared" si="167"/>
        <v>345552</v>
      </c>
      <c r="M1083">
        <f t="shared" si="168"/>
        <v>110253</v>
      </c>
      <c r="N1083">
        <f t="shared" si="169"/>
        <v>503805</v>
      </c>
      <c r="O1083">
        <f>IF(B1083="zagraniczny",K1083+O1082,O1082)</f>
        <v>490</v>
      </c>
    </row>
    <row r="1084" spans="1:15" x14ac:dyDescent="0.25">
      <c r="A1084">
        <v>3348581</v>
      </c>
      <c r="B1084" t="str">
        <f t="shared" si="160"/>
        <v>stacjonarny</v>
      </c>
      <c r="C1084" s="1">
        <v>42933</v>
      </c>
      <c r="D1084" s="2">
        <v>0.53150462962962963</v>
      </c>
      <c r="E1084" s="2">
        <v>0.54208333333333336</v>
      </c>
      <c r="F1084" s="2">
        <f t="shared" si="161"/>
        <v>1.0578703703703729E-2</v>
      </c>
      <c r="G1084">
        <f t="shared" si="162"/>
        <v>0</v>
      </c>
      <c r="H1084">
        <f t="shared" si="163"/>
        <v>15</v>
      </c>
      <c r="I1084">
        <f t="shared" si="164"/>
        <v>14</v>
      </c>
      <c r="J1084">
        <f t="shared" si="165"/>
        <v>914</v>
      </c>
      <c r="K1084">
        <f t="shared" si="166"/>
        <v>16</v>
      </c>
      <c r="L1084">
        <f t="shared" si="167"/>
        <v>346466</v>
      </c>
      <c r="M1084">
        <f t="shared" si="168"/>
        <v>110253</v>
      </c>
      <c r="N1084">
        <f t="shared" si="169"/>
        <v>504719</v>
      </c>
      <c r="O1084">
        <f>IF(B1084="zagraniczny",K1084+O1083,O1083)</f>
        <v>490</v>
      </c>
    </row>
    <row r="1085" spans="1:15" x14ac:dyDescent="0.25">
      <c r="A1085">
        <v>13484133</v>
      </c>
      <c r="B1085" t="str">
        <f t="shared" si="160"/>
        <v>komorkowy</v>
      </c>
      <c r="C1085" s="1">
        <v>42933</v>
      </c>
      <c r="D1085" s="2">
        <v>0.53174768518518523</v>
      </c>
      <c r="E1085" s="2">
        <v>0.53931712962962963</v>
      </c>
      <c r="F1085" s="2">
        <f t="shared" si="161"/>
        <v>7.5694444444444065E-3</v>
      </c>
      <c r="G1085">
        <f t="shared" si="162"/>
        <v>0</v>
      </c>
      <c r="H1085">
        <f t="shared" si="163"/>
        <v>10</v>
      </c>
      <c r="I1085">
        <f t="shared" si="164"/>
        <v>54</v>
      </c>
      <c r="J1085">
        <f t="shared" si="165"/>
        <v>654</v>
      </c>
      <c r="K1085">
        <f t="shared" si="166"/>
        <v>11</v>
      </c>
      <c r="L1085">
        <f t="shared" si="167"/>
        <v>346466</v>
      </c>
      <c r="M1085">
        <f t="shared" si="168"/>
        <v>110907</v>
      </c>
      <c r="N1085">
        <f t="shared" si="169"/>
        <v>505373</v>
      </c>
      <c r="O1085">
        <f>IF(B1085="zagraniczny",K1085+O1084,O1084)</f>
        <v>490</v>
      </c>
    </row>
    <row r="1086" spans="1:15" x14ac:dyDescent="0.25">
      <c r="A1086">
        <v>3017523</v>
      </c>
      <c r="B1086" t="str">
        <f t="shared" si="160"/>
        <v>stacjonarny</v>
      </c>
      <c r="C1086" s="1">
        <v>42933</v>
      </c>
      <c r="D1086" s="2">
        <v>0.53241898148148148</v>
      </c>
      <c r="E1086" s="2">
        <v>0.54011574074074076</v>
      </c>
      <c r="F1086" s="2">
        <f t="shared" si="161"/>
        <v>7.6967592592592782E-3</v>
      </c>
      <c r="G1086">
        <f t="shared" si="162"/>
        <v>0</v>
      </c>
      <c r="H1086">
        <f t="shared" si="163"/>
        <v>11</v>
      </c>
      <c r="I1086">
        <f t="shared" si="164"/>
        <v>5</v>
      </c>
      <c r="J1086">
        <f t="shared" si="165"/>
        <v>665</v>
      </c>
      <c r="K1086">
        <f t="shared" si="166"/>
        <v>12</v>
      </c>
      <c r="L1086">
        <f t="shared" si="167"/>
        <v>347131</v>
      </c>
      <c r="M1086">
        <f t="shared" si="168"/>
        <v>110907</v>
      </c>
      <c r="N1086">
        <f t="shared" si="169"/>
        <v>506038</v>
      </c>
      <c r="O1086">
        <f>IF(B1086="zagraniczny",K1086+O1085,O1085)</f>
        <v>490</v>
      </c>
    </row>
    <row r="1087" spans="1:15" x14ac:dyDescent="0.25">
      <c r="A1087">
        <v>5464497</v>
      </c>
      <c r="B1087" t="str">
        <f t="shared" si="160"/>
        <v>stacjonarny</v>
      </c>
      <c r="C1087" s="1">
        <v>42933</v>
      </c>
      <c r="D1087" s="2">
        <v>0.53608796296296302</v>
      </c>
      <c r="E1087" s="2">
        <v>0.53657407407407409</v>
      </c>
      <c r="F1087" s="2">
        <f t="shared" si="161"/>
        <v>4.8611111111107608E-4</v>
      </c>
      <c r="G1087">
        <f t="shared" si="162"/>
        <v>0</v>
      </c>
      <c r="H1087">
        <f t="shared" si="163"/>
        <v>0</v>
      </c>
      <c r="I1087">
        <f t="shared" si="164"/>
        <v>42</v>
      </c>
      <c r="J1087">
        <f t="shared" si="165"/>
        <v>42</v>
      </c>
      <c r="K1087">
        <f t="shared" si="166"/>
        <v>1</v>
      </c>
      <c r="L1087">
        <f t="shared" si="167"/>
        <v>347173</v>
      </c>
      <c r="M1087">
        <f t="shared" si="168"/>
        <v>110907</v>
      </c>
      <c r="N1087">
        <f t="shared" si="169"/>
        <v>506080</v>
      </c>
      <c r="O1087">
        <f>IF(B1087="zagraniczny",K1087+O1086,O1086)</f>
        <v>490</v>
      </c>
    </row>
    <row r="1088" spans="1:15" x14ac:dyDescent="0.25">
      <c r="A1088">
        <v>5744567</v>
      </c>
      <c r="B1088" t="str">
        <f t="shared" si="160"/>
        <v>stacjonarny</v>
      </c>
      <c r="C1088" s="1">
        <v>42933</v>
      </c>
      <c r="D1088" s="2">
        <v>0.54048611111111111</v>
      </c>
      <c r="E1088" s="2">
        <v>0.54954861111111108</v>
      </c>
      <c r="F1088" s="2">
        <f t="shared" si="161"/>
        <v>9.0624999999999734E-3</v>
      </c>
      <c r="G1088">
        <f t="shared" si="162"/>
        <v>0</v>
      </c>
      <c r="H1088">
        <f t="shared" si="163"/>
        <v>13</v>
      </c>
      <c r="I1088">
        <f t="shared" si="164"/>
        <v>3</v>
      </c>
      <c r="J1088">
        <f t="shared" si="165"/>
        <v>783</v>
      </c>
      <c r="K1088">
        <f t="shared" si="166"/>
        <v>14</v>
      </c>
      <c r="L1088">
        <f t="shared" si="167"/>
        <v>347956</v>
      </c>
      <c r="M1088">
        <f t="shared" si="168"/>
        <v>110907</v>
      </c>
      <c r="N1088">
        <f t="shared" si="169"/>
        <v>506863</v>
      </c>
      <c r="O1088">
        <f>IF(B1088="zagraniczny",K1088+O1087,O1087)</f>
        <v>490</v>
      </c>
    </row>
    <row r="1089" spans="1:15" x14ac:dyDescent="0.25">
      <c r="A1089">
        <v>5107477025</v>
      </c>
      <c r="B1089" t="str">
        <f t="shared" si="160"/>
        <v>zagraniczny</v>
      </c>
      <c r="C1089" s="1">
        <v>42933</v>
      </c>
      <c r="D1089" s="2">
        <v>0.54495370370370366</v>
      </c>
      <c r="E1089" s="2">
        <v>0.5471759259259259</v>
      </c>
      <c r="F1089" s="2">
        <f t="shared" si="161"/>
        <v>2.2222222222222365E-3</v>
      </c>
      <c r="G1089">
        <f t="shared" si="162"/>
        <v>0</v>
      </c>
      <c r="H1089">
        <f t="shared" si="163"/>
        <v>3</v>
      </c>
      <c r="I1089">
        <f t="shared" si="164"/>
        <v>12</v>
      </c>
      <c r="J1089">
        <f t="shared" si="165"/>
        <v>192</v>
      </c>
      <c r="K1089">
        <f t="shared" si="166"/>
        <v>4</v>
      </c>
      <c r="L1089">
        <f t="shared" si="167"/>
        <v>347956</v>
      </c>
      <c r="M1089">
        <f t="shared" si="168"/>
        <v>110907</v>
      </c>
      <c r="N1089">
        <f t="shared" si="169"/>
        <v>506863</v>
      </c>
      <c r="O1089">
        <f>IF(B1089="zagraniczny",K1089+O1088,O1088)</f>
        <v>494</v>
      </c>
    </row>
    <row r="1090" spans="1:15" x14ac:dyDescent="0.25">
      <c r="A1090">
        <v>1332884</v>
      </c>
      <c r="B1090" t="str">
        <f t="shared" si="160"/>
        <v>stacjonarny</v>
      </c>
      <c r="C1090" s="1">
        <v>42933</v>
      </c>
      <c r="D1090" s="2">
        <v>0.546412037037037</v>
      </c>
      <c r="E1090" s="2">
        <v>0.54829861111111111</v>
      </c>
      <c r="F1090" s="2">
        <f t="shared" si="161"/>
        <v>1.8865740740741099E-3</v>
      </c>
      <c r="G1090">
        <f t="shared" si="162"/>
        <v>0</v>
      </c>
      <c r="H1090">
        <f t="shared" si="163"/>
        <v>2</v>
      </c>
      <c r="I1090">
        <f t="shared" si="164"/>
        <v>43</v>
      </c>
      <c r="J1090">
        <f t="shared" si="165"/>
        <v>163</v>
      </c>
      <c r="K1090">
        <f t="shared" si="166"/>
        <v>3</v>
      </c>
      <c r="L1090">
        <f t="shared" si="167"/>
        <v>348119</v>
      </c>
      <c r="M1090">
        <f t="shared" si="168"/>
        <v>110907</v>
      </c>
      <c r="N1090">
        <f t="shared" si="169"/>
        <v>507026</v>
      </c>
      <c r="O1090">
        <f>IF(B1090="zagraniczny",K1090+O1089,O1089)</f>
        <v>494</v>
      </c>
    </row>
    <row r="1091" spans="1:15" x14ac:dyDescent="0.25">
      <c r="A1091">
        <v>38823305</v>
      </c>
      <c r="B1091" t="str">
        <f t="shared" ref="B1091:B1154" si="170">IF(LEN(A1091)=7,"stacjonarny",IF(LEN(A1091)=8,"komorkowy","zagraniczny"))</f>
        <v>komorkowy</v>
      </c>
      <c r="C1091" s="1">
        <v>42933</v>
      </c>
      <c r="D1091" s="2">
        <v>0.54907407407407405</v>
      </c>
      <c r="E1091" s="2">
        <v>0.55969907407407404</v>
      </c>
      <c r="F1091" s="2">
        <f t="shared" ref="F1091:F1154" si="171">E1091-D1091</f>
        <v>1.0624999999999996E-2</v>
      </c>
      <c r="G1091">
        <f t="shared" ref="G1091:G1154" si="172">HOUR(F1091)</f>
        <v>0</v>
      </c>
      <c r="H1091">
        <f t="shared" ref="H1091:H1154" si="173">MINUTE(F1091)</f>
        <v>15</v>
      </c>
      <c r="I1091">
        <f t="shared" ref="I1091:I1154" si="174">SECOND(F1091)</f>
        <v>18</v>
      </c>
      <c r="J1091">
        <f t="shared" ref="J1091:J1154" si="175">H1091*60+I1091</f>
        <v>918</v>
      </c>
      <c r="K1091">
        <f t="shared" ref="K1091:K1154" si="176">IF(I1091&gt;0,G1091*60+H1091+1,H1091+G1091*60)</f>
        <v>16</v>
      </c>
      <c r="L1091">
        <f t="shared" si="167"/>
        <v>348119</v>
      </c>
      <c r="M1091">
        <f t="shared" si="168"/>
        <v>111825</v>
      </c>
      <c r="N1091">
        <f t="shared" si="169"/>
        <v>507944</v>
      </c>
      <c r="O1091">
        <f>IF(B1091="zagraniczny",K1091+O1090,O1090)</f>
        <v>494</v>
      </c>
    </row>
    <row r="1092" spans="1:15" x14ac:dyDescent="0.25">
      <c r="A1092">
        <v>7160339</v>
      </c>
      <c r="B1092" t="str">
        <f t="shared" si="170"/>
        <v>stacjonarny</v>
      </c>
      <c r="C1092" s="1">
        <v>42933</v>
      </c>
      <c r="D1092" s="2">
        <v>0.55456018518518524</v>
      </c>
      <c r="E1092" s="2">
        <v>0.5642476851851852</v>
      </c>
      <c r="F1092" s="2">
        <f t="shared" si="171"/>
        <v>9.68749999999996E-3</v>
      </c>
      <c r="G1092">
        <f t="shared" si="172"/>
        <v>0</v>
      </c>
      <c r="H1092">
        <f t="shared" si="173"/>
        <v>13</v>
      </c>
      <c r="I1092">
        <f t="shared" si="174"/>
        <v>57</v>
      </c>
      <c r="J1092">
        <f t="shared" si="175"/>
        <v>837</v>
      </c>
      <c r="K1092">
        <f t="shared" si="176"/>
        <v>14</v>
      </c>
      <c r="L1092">
        <f t="shared" ref="L1092:L1155" si="177">IF(B1092="stacjonarny",$J1092+L1091,L1091)</f>
        <v>348956</v>
      </c>
      <c r="M1092">
        <f t="shared" ref="M1092:M1155" si="178">IF(B1092="komorkowy",$J1092+M1091,M1091)</f>
        <v>111825</v>
      </c>
      <c r="N1092">
        <f t="shared" ref="N1092:N1155" si="179">IF(OR(B1092="stacjonarny",B1092="komorkowy"),J1092+N1091,N1091)</f>
        <v>508781</v>
      </c>
      <c r="O1092">
        <f>IF(B1092="zagraniczny",K1092+O1091,O1091)</f>
        <v>494</v>
      </c>
    </row>
    <row r="1093" spans="1:15" x14ac:dyDescent="0.25">
      <c r="A1093">
        <v>43277353</v>
      </c>
      <c r="B1093" t="str">
        <f t="shared" si="170"/>
        <v>komorkowy</v>
      </c>
      <c r="C1093" s="1">
        <v>42933</v>
      </c>
      <c r="D1093" s="2">
        <v>0.55519675925925926</v>
      </c>
      <c r="E1093" s="2">
        <v>0.55809027777777775</v>
      </c>
      <c r="F1093" s="2">
        <f t="shared" si="171"/>
        <v>2.8935185185184897E-3</v>
      </c>
      <c r="G1093">
        <f t="shared" si="172"/>
        <v>0</v>
      </c>
      <c r="H1093">
        <f t="shared" si="173"/>
        <v>4</v>
      </c>
      <c r="I1093">
        <f t="shared" si="174"/>
        <v>10</v>
      </c>
      <c r="J1093">
        <f t="shared" si="175"/>
        <v>250</v>
      </c>
      <c r="K1093">
        <f t="shared" si="176"/>
        <v>5</v>
      </c>
      <c r="L1093">
        <f t="shared" si="177"/>
        <v>348956</v>
      </c>
      <c r="M1093">
        <f t="shared" si="178"/>
        <v>112075</v>
      </c>
      <c r="N1093">
        <f t="shared" si="179"/>
        <v>509031</v>
      </c>
      <c r="O1093">
        <f>IF(B1093="zagraniczny",K1093+O1092,O1092)</f>
        <v>494</v>
      </c>
    </row>
    <row r="1094" spans="1:15" x14ac:dyDescent="0.25">
      <c r="A1094">
        <v>8749135</v>
      </c>
      <c r="B1094" t="str">
        <f t="shared" si="170"/>
        <v>stacjonarny</v>
      </c>
      <c r="C1094" s="1">
        <v>42933</v>
      </c>
      <c r="D1094" s="2">
        <v>0.56083333333333329</v>
      </c>
      <c r="E1094" s="2">
        <v>0.56415509259259256</v>
      </c>
      <c r="F1094" s="2">
        <f t="shared" si="171"/>
        <v>3.3217592592592604E-3</v>
      </c>
      <c r="G1094">
        <f t="shared" si="172"/>
        <v>0</v>
      </c>
      <c r="H1094">
        <f t="shared" si="173"/>
        <v>4</v>
      </c>
      <c r="I1094">
        <f t="shared" si="174"/>
        <v>47</v>
      </c>
      <c r="J1094">
        <f t="shared" si="175"/>
        <v>287</v>
      </c>
      <c r="K1094">
        <f t="shared" si="176"/>
        <v>5</v>
      </c>
      <c r="L1094">
        <f t="shared" si="177"/>
        <v>349243</v>
      </c>
      <c r="M1094">
        <f t="shared" si="178"/>
        <v>112075</v>
      </c>
      <c r="N1094">
        <f t="shared" si="179"/>
        <v>509318</v>
      </c>
      <c r="O1094">
        <f>IF(B1094="zagraniczny",K1094+O1093,O1093)</f>
        <v>494</v>
      </c>
    </row>
    <row r="1095" spans="1:15" x14ac:dyDescent="0.25">
      <c r="A1095">
        <v>16977213</v>
      </c>
      <c r="B1095" t="str">
        <f t="shared" si="170"/>
        <v>komorkowy</v>
      </c>
      <c r="C1095" s="1">
        <v>42933</v>
      </c>
      <c r="D1095" s="2">
        <v>0.56462962962962959</v>
      </c>
      <c r="E1095" s="2">
        <v>0.56841435185185185</v>
      </c>
      <c r="F1095" s="2">
        <f t="shared" si="171"/>
        <v>3.7847222222222587E-3</v>
      </c>
      <c r="G1095">
        <f t="shared" si="172"/>
        <v>0</v>
      </c>
      <c r="H1095">
        <f t="shared" si="173"/>
        <v>5</v>
      </c>
      <c r="I1095">
        <f t="shared" si="174"/>
        <v>27</v>
      </c>
      <c r="J1095">
        <f t="shared" si="175"/>
        <v>327</v>
      </c>
      <c r="K1095">
        <f t="shared" si="176"/>
        <v>6</v>
      </c>
      <c r="L1095">
        <f t="shared" si="177"/>
        <v>349243</v>
      </c>
      <c r="M1095">
        <f t="shared" si="178"/>
        <v>112402</v>
      </c>
      <c r="N1095">
        <f t="shared" si="179"/>
        <v>509645</v>
      </c>
      <c r="O1095">
        <f>IF(B1095="zagraniczny",K1095+O1094,O1094)</f>
        <v>494</v>
      </c>
    </row>
    <row r="1096" spans="1:15" x14ac:dyDescent="0.25">
      <c r="A1096">
        <v>13221411</v>
      </c>
      <c r="B1096" t="str">
        <f t="shared" si="170"/>
        <v>komorkowy</v>
      </c>
      <c r="C1096" s="1">
        <v>42933</v>
      </c>
      <c r="D1096" s="2">
        <v>0.56511574074074078</v>
      </c>
      <c r="E1096" s="2">
        <v>0.57498842592592592</v>
      </c>
      <c r="F1096" s="2">
        <f t="shared" si="171"/>
        <v>9.8726851851851372E-3</v>
      </c>
      <c r="G1096">
        <f t="shared" si="172"/>
        <v>0</v>
      </c>
      <c r="H1096">
        <f t="shared" si="173"/>
        <v>14</v>
      </c>
      <c r="I1096">
        <f t="shared" si="174"/>
        <v>13</v>
      </c>
      <c r="J1096">
        <f t="shared" si="175"/>
        <v>853</v>
      </c>
      <c r="K1096">
        <f t="shared" si="176"/>
        <v>15</v>
      </c>
      <c r="L1096">
        <f t="shared" si="177"/>
        <v>349243</v>
      </c>
      <c r="M1096">
        <f t="shared" si="178"/>
        <v>113255</v>
      </c>
      <c r="N1096">
        <f t="shared" si="179"/>
        <v>510498</v>
      </c>
      <c r="O1096">
        <f>IF(B1096="zagraniczny",K1096+O1095,O1095)</f>
        <v>494</v>
      </c>
    </row>
    <row r="1097" spans="1:15" x14ac:dyDescent="0.25">
      <c r="A1097">
        <v>2653312</v>
      </c>
      <c r="B1097" t="str">
        <f t="shared" si="170"/>
        <v>stacjonarny</v>
      </c>
      <c r="C1097" s="1">
        <v>42933</v>
      </c>
      <c r="D1097" s="2">
        <v>0.56893518518518515</v>
      </c>
      <c r="E1097" s="2">
        <v>0.57289351851851855</v>
      </c>
      <c r="F1097" s="2">
        <f t="shared" si="171"/>
        <v>3.958333333333397E-3</v>
      </c>
      <c r="G1097">
        <f t="shared" si="172"/>
        <v>0</v>
      </c>
      <c r="H1097">
        <f t="shared" si="173"/>
        <v>5</v>
      </c>
      <c r="I1097">
        <f t="shared" si="174"/>
        <v>42</v>
      </c>
      <c r="J1097">
        <f t="shared" si="175"/>
        <v>342</v>
      </c>
      <c r="K1097">
        <f t="shared" si="176"/>
        <v>6</v>
      </c>
      <c r="L1097">
        <f t="shared" si="177"/>
        <v>349585</v>
      </c>
      <c r="M1097">
        <f t="shared" si="178"/>
        <v>113255</v>
      </c>
      <c r="N1097">
        <f t="shared" si="179"/>
        <v>510840</v>
      </c>
      <c r="O1097">
        <f>IF(B1097="zagraniczny",K1097+O1096,O1096)</f>
        <v>494</v>
      </c>
    </row>
    <row r="1098" spans="1:15" x14ac:dyDescent="0.25">
      <c r="A1098">
        <v>4187727</v>
      </c>
      <c r="B1098" t="str">
        <f t="shared" si="170"/>
        <v>stacjonarny</v>
      </c>
      <c r="C1098" s="1">
        <v>42933</v>
      </c>
      <c r="D1098" s="2">
        <v>0.57038194444444446</v>
      </c>
      <c r="E1098" s="2">
        <v>0.57341435185185186</v>
      </c>
      <c r="F1098" s="2">
        <f t="shared" si="171"/>
        <v>3.0324074074074003E-3</v>
      </c>
      <c r="G1098">
        <f t="shared" si="172"/>
        <v>0</v>
      </c>
      <c r="H1098">
        <f t="shared" si="173"/>
        <v>4</v>
      </c>
      <c r="I1098">
        <f t="shared" si="174"/>
        <v>22</v>
      </c>
      <c r="J1098">
        <f t="shared" si="175"/>
        <v>262</v>
      </c>
      <c r="K1098">
        <f t="shared" si="176"/>
        <v>5</v>
      </c>
      <c r="L1098">
        <f t="shared" si="177"/>
        <v>349847</v>
      </c>
      <c r="M1098">
        <f t="shared" si="178"/>
        <v>113255</v>
      </c>
      <c r="N1098">
        <f t="shared" si="179"/>
        <v>511102</v>
      </c>
      <c r="O1098">
        <f>IF(B1098="zagraniczny",K1098+O1097,O1097)</f>
        <v>494</v>
      </c>
    </row>
    <row r="1099" spans="1:15" x14ac:dyDescent="0.25">
      <c r="A1099">
        <v>4370146</v>
      </c>
      <c r="B1099" t="str">
        <f t="shared" si="170"/>
        <v>stacjonarny</v>
      </c>
      <c r="C1099" s="1">
        <v>42933</v>
      </c>
      <c r="D1099" s="2">
        <v>0.57170138888888888</v>
      </c>
      <c r="E1099" s="2">
        <v>0.58212962962962966</v>
      </c>
      <c r="F1099" s="2">
        <f t="shared" si="171"/>
        <v>1.042824074074078E-2</v>
      </c>
      <c r="G1099">
        <f t="shared" si="172"/>
        <v>0</v>
      </c>
      <c r="H1099">
        <f t="shared" si="173"/>
        <v>15</v>
      </c>
      <c r="I1099">
        <f t="shared" si="174"/>
        <v>1</v>
      </c>
      <c r="J1099">
        <f t="shared" si="175"/>
        <v>901</v>
      </c>
      <c r="K1099">
        <f t="shared" si="176"/>
        <v>16</v>
      </c>
      <c r="L1099">
        <f t="shared" si="177"/>
        <v>350748</v>
      </c>
      <c r="M1099">
        <f t="shared" si="178"/>
        <v>113255</v>
      </c>
      <c r="N1099">
        <f t="shared" si="179"/>
        <v>512003</v>
      </c>
      <c r="O1099">
        <f>IF(B1099="zagraniczny",K1099+O1098,O1098)</f>
        <v>494</v>
      </c>
    </row>
    <row r="1100" spans="1:15" x14ac:dyDescent="0.25">
      <c r="A1100">
        <v>5725773</v>
      </c>
      <c r="B1100" t="str">
        <f t="shared" si="170"/>
        <v>stacjonarny</v>
      </c>
      <c r="C1100" s="1">
        <v>42933</v>
      </c>
      <c r="D1100" s="2">
        <v>0.57466435185185183</v>
      </c>
      <c r="E1100" s="2">
        <v>0.58538194444444447</v>
      </c>
      <c r="F1100" s="2">
        <f t="shared" si="171"/>
        <v>1.071759259259264E-2</v>
      </c>
      <c r="G1100">
        <f t="shared" si="172"/>
        <v>0</v>
      </c>
      <c r="H1100">
        <f t="shared" si="173"/>
        <v>15</v>
      </c>
      <c r="I1100">
        <f t="shared" si="174"/>
        <v>26</v>
      </c>
      <c r="J1100">
        <f t="shared" si="175"/>
        <v>926</v>
      </c>
      <c r="K1100">
        <f t="shared" si="176"/>
        <v>16</v>
      </c>
      <c r="L1100">
        <f t="shared" si="177"/>
        <v>351674</v>
      </c>
      <c r="M1100">
        <f t="shared" si="178"/>
        <v>113255</v>
      </c>
      <c r="N1100">
        <f t="shared" si="179"/>
        <v>512929</v>
      </c>
      <c r="O1100">
        <f>IF(B1100="zagraniczny",K1100+O1099,O1099)</f>
        <v>494</v>
      </c>
    </row>
    <row r="1101" spans="1:15" x14ac:dyDescent="0.25">
      <c r="A1101">
        <v>6345014</v>
      </c>
      <c r="B1101" t="str">
        <f t="shared" si="170"/>
        <v>stacjonarny</v>
      </c>
      <c r="C1101" s="1">
        <v>42933</v>
      </c>
      <c r="D1101" s="2">
        <v>0.58010416666666664</v>
      </c>
      <c r="E1101" s="2">
        <v>0.58166666666666667</v>
      </c>
      <c r="F1101" s="2">
        <f t="shared" si="171"/>
        <v>1.5625000000000222E-3</v>
      </c>
      <c r="G1101">
        <f t="shared" si="172"/>
        <v>0</v>
      </c>
      <c r="H1101">
        <f t="shared" si="173"/>
        <v>2</v>
      </c>
      <c r="I1101">
        <f t="shared" si="174"/>
        <v>15</v>
      </c>
      <c r="J1101">
        <f t="shared" si="175"/>
        <v>135</v>
      </c>
      <c r="K1101">
        <f t="shared" si="176"/>
        <v>3</v>
      </c>
      <c r="L1101">
        <f t="shared" si="177"/>
        <v>351809</v>
      </c>
      <c r="M1101">
        <f t="shared" si="178"/>
        <v>113255</v>
      </c>
      <c r="N1101">
        <f t="shared" si="179"/>
        <v>513064</v>
      </c>
      <c r="O1101">
        <f>IF(B1101="zagraniczny",K1101+O1100,O1100)</f>
        <v>494</v>
      </c>
    </row>
    <row r="1102" spans="1:15" x14ac:dyDescent="0.25">
      <c r="A1102">
        <v>7507831</v>
      </c>
      <c r="B1102" t="str">
        <f t="shared" si="170"/>
        <v>stacjonarny</v>
      </c>
      <c r="C1102" s="1">
        <v>42933</v>
      </c>
      <c r="D1102" s="2">
        <v>0.58545138888888892</v>
      </c>
      <c r="E1102" s="2">
        <v>0.59214120370370371</v>
      </c>
      <c r="F1102" s="2">
        <f t="shared" si="171"/>
        <v>6.6898148148147873E-3</v>
      </c>
      <c r="G1102">
        <f t="shared" si="172"/>
        <v>0</v>
      </c>
      <c r="H1102">
        <f t="shared" si="173"/>
        <v>9</v>
      </c>
      <c r="I1102">
        <f t="shared" si="174"/>
        <v>38</v>
      </c>
      <c r="J1102">
        <f t="shared" si="175"/>
        <v>578</v>
      </c>
      <c r="K1102">
        <f t="shared" si="176"/>
        <v>10</v>
      </c>
      <c r="L1102">
        <f t="shared" si="177"/>
        <v>352387</v>
      </c>
      <c r="M1102">
        <f t="shared" si="178"/>
        <v>113255</v>
      </c>
      <c r="N1102">
        <f t="shared" si="179"/>
        <v>513642</v>
      </c>
      <c r="O1102">
        <f>IF(B1102="zagraniczny",K1102+O1101,O1101)</f>
        <v>494</v>
      </c>
    </row>
    <row r="1103" spans="1:15" x14ac:dyDescent="0.25">
      <c r="A1103">
        <v>1198407</v>
      </c>
      <c r="B1103" t="str">
        <f t="shared" si="170"/>
        <v>stacjonarny</v>
      </c>
      <c r="C1103" s="1">
        <v>42933</v>
      </c>
      <c r="D1103" s="2">
        <v>0.59004629629629635</v>
      </c>
      <c r="E1103" s="2">
        <v>0.59799768518518515</v>
      </c>
      <c r="F1103" s="2">
        <f t="shared" si="171"/>
        <v>7.9513888888887996E-3</v>
      </c>
      <c r="G1103">
        <f t="shared" si="172"/>
        <v>0</v>
      </c>
      <c r="H1103">
        <f t="shared" si="173"/>
        <v>11</v>
      </c>
      <c r="I1103">
        <f t="shared" si="174"/>
        <v>27</v>
      </c>
      <c r="J1103">
        <f t="shared" si="175"/>
        <v>687</v>
      </c>
      <c r="K1103">
        <f t="shared" si="176"/>
        <v>12</v>
      </c>
      <c r="L1103">
        <f t="shared" si="177"/>
        <v>353074</v>
      </c>
      <c r="M1103">
        <f t="shared" si="178"/>
        <v>113255</v>
      </c>
      <c r="N1103">
        <f t="shared" si="179"/>
        <v>514329</v>
      </c>
      <c r="O1103">
        <f>IF(B1103="zagraniczny",K1103+O1102,O1102)</f>
        <v>494</v>
      </c>
    </row>
    <row r="1104" spans="1:15" x14ac:dyDescent="0.25">
      <c r="A1104">
        <v>4055319</v>
      </c>
      <c r="B1104" t="str">
        <f t="shared" si="170"/>
        <v>stacjonarny</v>
      </c>
      <c r="C1104" s="1">
        <v>42933</v>
      </c>
      <c r="D1104" s="2">
        <v>0.59471064814814811</v>
      </c>
      <c r="E1104" s="2">
        <v>0.60624999999999996</v>
      </c>
      <c r="F1104" s="2">
        <f t="shared" si="171"/>
        <v>1.1539351851851842E-2</v>
      </c>
      <c r="G1104">
        <f t="shared" si="172"/>
        <v>0</v>
      </c>
      <c r="H1104">
        <f t="shared" si="173"/>
        <v>16</v>
      </c>
      <c r="I1104">
        <f t="shared" si="174"/>
        <v>37</v>
      </c>
      <c r="J1104">
        <f t="shared" si="175"/>
        <v>997</v>
      </c>
      <c r="K1104">
        <f t="shared" si="176"/>
        <v>17</v>
      </c>
      <c r="L1104">
        <f t="shared" si="177"/>
        <v>354071</v>
      </c>
      <c r="M1104">
        <f t="shared" si="178"/>
        <v>113255</v>
      </c>
      <c r="N1104">
        <f t="shared" si="179"/>
        <v>515326</v>
      </c>
      <c r="O1104">
        <f>IF(B1104="zagraniczny",K1104+O1103,O1103)</f>
        <v>494</v>
      </c>
    </row>
    <row r="1105" spans="1:15" x14ac:dyDescent="0.25">
      <c r="A1105">
        <v>70730125</v>
      </c>
      <c r="B1105" t="str">
        <f t="shared" si="170"/>
        <v>komorkowy</v>
      </c>
      <c r="C1105" s="1">
        <v>42933</v>
      </c>
      <c r="D1105" s="2">
        <v>0.59578703703703706</v>
      </c>
      <c r="E1105" s="2">
        <v>0.59671296296296295</v>
      </c>
      <c r="F1105" s="2">
        <f t="shared" si="171"/>
        <v>9.2592592592588563E-4</v>
      </c>
      <c r="G1105">
        <f t="shared" si="172"/>
        <v>0</v>
      </c>
      <c r="H1105">
        <f t="shared" si="173"/>
        <v>1</v>
      </c>
      <c r="I1105">
        <f t="shared" si="174"/>
        <v>20</v>
      </c>
      <c r="J1105">
        <f t="shared" si="175"/>
        <v>80</v>
      </c>
      <c r="K1105">
        <f t="shared" si="176"/>
        <v>2</v>
      </c>
      <c r="L1105">
        <f t="shared" si="177"/>
        <v>354071</v>
      </c>
      <c r="M1105">
        <f t="shared" si="178"/>
        <v>113335</v>
      </c>
      <c r="N1105">
        <f t="shared" si="179"/>
        <v>515406</v>
      </c>
      <c r="O1105">
        <f>IF(B1105="zagraniczny",K1105+O1104,O1104)</f>
        <v>494</v>
      </c>
    </row>
    <row r="1106" spans="1:15" x14ac:dyDescent="0.25">
      <c r="A1106">
        <v>45158089</v>
      </c>
      <c r="B1106" t="str">
        <f t="shared" si="170"/>
        <v>komorkowy</v>
      </c>
      <c r="C1106" s="1">
        <v>42933</v>
      </c>
      <c r="D1106" s="2">
        <v>0.5962615740740741</v>
      </c>
      <c r="E1106" s="2">
        <v>0.59780092592592593</v>
      </c>
      <c r="F1106" s="2">
        <f t="shared" si="171"/>
        <v>1.5393518518518334E-3</v>
      </c>
      <c r="G1106">
        <f t="shared" si="172"/>
        <v>0</v>
      </c>
      <c r="H1106">
        <f t="shared" si="173"/>
        <v>2</v>
      </c>
      <c r="I1106">
        <f t="shared" si="174"/>
        <v>13</v>
      </c>
      <c r="J1106">
        <f t="shared" si="175"/>
        <v>133</v>
      </c>
      <c r="K1106">
        <f t="shared" si="176"/>
        <v>3</v>
      </c>
      <c r="L1106">
        <f t="shared" si="177"/>
        <v>354071</v>
      </c>
      <c r="M1106">
        <f t="shared" si="178"/>
        <v>113468</v>
      </c>
      <c r="N1106">
        <f t="shared" si="179"/>
        <v>515539</v>
      </c>
      <c r="O1106">
        <f>IF(B1106="zagraniczny",K1106+O1105,O1105)</f>
        <v>494</v>
      </c>
    </row>
    <row r="1107" spans="1:15" x14ac:dyDescent="0.25">
      <c r="A1107">
        <v>8159631</v>
      </c>
      <c r="B1107" t="str">
        <f t="shared" si="170"/>
        <v>stacjonarny</v>
      </c>
      <c r="C1107" s="1">
        <v>42933</v>
      </c>
      <c r="D1107" s="2">
        <v>0.59650462962962958</v>
      </c>
      <c r="E1107" s="2">
        <v>0.60144675925925928</v>
      </c>
      <c r="F1107" s="2">
        <f t="shared" si="171"/>
        <v>4.942129629629699E-3</v>
      </c>
      <c r="G1107">
        <f t="shared" si="172"/>
        <v>0</v>
      </c>
      <c r="H1107">
        <f t="shared" si="173"/>
        <v>7</v>
      </c>
      <c r="I1107">
        <f t="shared" si="174"/>
        <v>7</v>
      </c>
      <c r="J1107">
        <f t="shared" si="175"/>
        <v>427</v>
      </c>
      <c r="K1107">
        <f t="shared" si="176"/>
        <v>8</v>
      </c>
      <c r="L1107">
        <f t="shared" si="177"/>
        <v>354498</v>
      </c>
      <c r="M1107">
        <f t="shared" si="178"/>
        <v>113468</v>
      </c>
      <c r="N1107">
        <f t="shared" si="179"/>
        <v>515966</v>
      </c>
      <c r="O1107">
        <f>IF(B1107="zagraniczny",K1107+O1106,O1106)</f>
        <v>494</v>
      </c>
    </row>
    <row r="1108" spans="1:15" x14ac:dyDescent="0.25">
      <c r="A1108">
        <v>2645518</v>
      </c>
      <c r="B1108" t="str">
        <f t="shared" si="170"/>
        <v>stacjonarny</v>
      </c>
      <c r="C1108" s="1">
        <v>42933</v>
      </c>
      <c r="D1108" s="2">
        <v>0.60025462962962961</v>
      </c>
      <c r="E1108" s="2">
        <v>0.60699074074074078</v>
      </c>
      <c r="F1108" s="2">
        <f t="shared" si="171"/>
        <v>6.7361111111111649E-3</v>
      </c>
      <c r="G1108">
        <f t="shared" si="172"/>
        <v>0</v>
      </c>
      <c r="H1108">
        <f t="shared" si="173"/>
        <v>9</v>
      </c>
      <c r="I1108">
        <f t="shared" si="174"/>
        <v>42</v>
      </c>
      <c r="J1108">
        <f t="shared" si="175"/>
        <v>582</v>
      </c>
      <c r="K1108">
        <f t="shared" si="176"/>
        <v>10</v>
      </c>
      <c r="L1108">
        <f t="shared" si="177"/>
        <v>355080</v>
      </c>
      <c r="M1108">
        <f t="shared" si="178"/>
        <v>113468</v>
      </c>
      <c r="N1108">
        <f t="shared" si="179"/>
        <v>516548</v>
      </c>
      <c r="O1108">
        <f>IF(B1108="zagraniczny",K1108+O1107,O1107)</f>
        <v>494</v>
      </c>
    </row>
    <row r="1109" spans="1:15" x14ac:dyDescent="0.25">
      <c r="A1109">
        <v>5199929</v>
      </c>
      <c r="B1109" t="str">
        <f t="shared" si="170"/>
        <v>stacjonarny</v>
      </c>
      <c r="C1109" s="1">
        <v>42933</v>
      </c>
      <c r="D1109" s="2">
        <v>0.60083333333333333</v>
      </c>
      <c r="E1109" s="2">
        <v>0.60971064814814813</v>
      </c>
      <c r="F1109" s="2">
        <f t="shared" si="171"/>
        <v>8.8773148148147962E-3</v>
      </c>
      <c r="G1109">
        <f t="shared" si="172"/>
        <v>0</v>
      </c>
      <c r="H1109">
        <f t="shared" si="173"/>
        <v>12</v>
      </c>
      <c r="I1109">
        <f t="shared" si="174"/>
        <v>47</v>
      </c>
      <c r="J1109">
        <f t="shared" si="175"/>
        <v>767</v>
      </c>
      <c r="K1109">
        <f t="shared" si="176"/>
        <v>13</v>
      </c>
      <c r="L1109">
        <f t="shared" si="177"/>
        <v>355847</v>
      </c>
      <c r="M1109">
        <f t="shared" si="178"/>
        <v>113468</v>
      </c>
      <c r="N1109">
        <f t="shared" si="179"/>
        <v>517315</v>
      </c>
      <c r="O1109">
        <f>IF(B1109="zagraniczny",K1109+O1108,O1108)</f>
        <v>494</v>
      </c>
    </row>
    <row r="1110" spans="1:15" x14ac:dyDescent="0.25">
      <c r="A1110">
        <v>4039284</v>
      </c>
      <c r="B1110" t="str">
        <f t="shared" si="170"/>
        <v>stacjonarny</v>
      </c>
      <c r="C1110" s="1">
        <v>42933</v>
      </c>
      <c r="D1110" s="2">
        <v>0.6021643518518518</v>
      </c>
      <c r="E1110" s="2">
        <v>0.60636574074074079</v>
      </c>
      <c r="F1110" s="2">
        <f t="shared" si="171"/>
        <v>4.2013888888889905E-3</v>
      </c>
      <c r="G1110">
        <f t="shared" si="172"/>
        <v>0</v>
      </c>
      <c r="H1110">
        <f t="shared" si="173"/>
        <v>6</v>
      </c>
      <c r="I1110">
        <f t="shared" si="174"/>
        <v>3</v>
      </c>
      <c r="J1110">
        <f t="shared" si="175"/>
        <v>363</v>
      </c>
      <c r="K1110">
        <f t="shared" si="176"/>
        <v>7</v>
      </c>
      <c r="L1110">
        <f t="shared" si="177"/>
        <v>356210</v>
      </c>
      <c r="M1110">
        <f t="shared" si="178"/>
        <v>113468</v>
      </c>
      <c r="N1110">
        <f t="shared" si="179"/>
        <v>517678</v>
      </c>
      <c r="O1110">
        <f>IF(B1110="zagraniczny",K1110+O1109,O1109)</f>
        <v>494</v>
      </c>
    </row>
    <row r="1111" spans="1:15" x14ac:dyDescent="0.25">
      <c r="A1111">
        <v>1431491</v>
      </c>
      <c r="B1111" t="str">
        <f t="shared" si="170"/>
        <v>stacjonarny</v>
      </c>
      <c r="C1111" s="1">
        <v>42933</v>
      </c>
      <c r="D1111" s="2">
        <v>0.60495370370370372</v>
      </c>
      <c r="E1111" s="2">
        <v>0.61153935185185182</v>
      </c>
      <c r="F1111" s="2">
        <f t="shared" si="171"/>
        <v>6.5856481481481044E-3</v>
      </c>
      <c r="G1111">
        <f t="shared" si="172"/>
        <v>0</v>
      </c>
      <c r="H1111">
        <f t="shared" si="173"/>
        <v>9</v>
      </c>
      <c r="I1111">
        <f t="shared" si="174"/>
        <v>29</v>
      </c>
      <c r="J1111">
        <f t="shared" si="175"/>
        <v>569</v>
      </c>
      <c r="K1111">
        <f t="shared" si="176"/>
        <v>10</v>
      </c>
      <c r="L1111">
        <f t="shared" si="177"/>
        <v>356779</v>
      </c>
      <c r="M1111">
        <f t="shared" si="178"/>
        <v>113468</v>
      </c>
      <c r="N1111">
        <f t="shared" si="179"/>
        <v>518247</v>
      </c>
      <c r="O1111">
        <f>IF(B1111="zagraniczny",K1111+O1110,O1110)</f>
        <v>494</v>
      </c>
    </row>
    <row r="1112" spans="1:15" x14ac:dyDescent="0.25">
      <c r="A1112">
        <v>39848401</v>
      </c>
      <c r="B1112" t="str">
        <f t="shared" si="170"/>
        <v>komorkowy</v>
      </c>
      <c r="C1112" s="1">
        <v>42933</v>
      </c>
      <c r="D1112" s="2">
        <v>0.60783564814814817</v>
      </c>
      <c r="E1112" s="2">
        <v>0.60846064814814815</v>
      </c>
      <c r="F1112" s="2">
        <f t="shared" si="171"/>
        <v>6.2499999999998668E-4</v>
      </c>
      <c r="G1112">
        <f t="shared" si="172"/>
        <v>0</v>
      </c>
      <c r="H1112">
        <f t="shared" si="173"/>
        <v>0</v>
      </c>
      <c r="I1112">
        <f t="shared" si="174"/>
        <v>54</v>
      </c>
      <c r="J1112">
        <f t="shared" si="175"/>
        <v>54</v>
      </c>
      <c r="K1112">
        <f t="shared" si="176"/>
        <v>1</v>
      </c>
      <c r="L1112">
        <f t="shared" si="177"/>
        <v>356779</v>
      </c>
      <c r="M1112">
        <f t="shared" si="178"/>
        <v>113522</v>
      </c>
      <c r="N1112">
        <f t="shared" si="179"/>
        <v>518301</v>
      </c>
      <c r="O1112">
        <f>IF(B1112="zagraniczny",K1112+O1111,O1111)</f>
        <v>494</v>
      </c>
    </row>
    <row r="1113" spans="1:15" x14ac:dyDescent="0.25">
      <c r="A1113">
        <v>9225807</v>
      </c>
      <c r="B1113" t="str">
        <f t="shared" si="170"/>
        <v>stacjonarny</v>
      </c>
      <c r="C1113" s="1">
        <v>42933</v>
      </c>
      <c r="D1113" s="2">
        <v>0.61261574074074077</v>
      </c>
      <c r="E1113" s="2">
        <v>0.62048611111111107</v>
      </c>
      <c r="F1113" s="2">
        <f t="shared" si="171"/>
        <v>7.8703703703703054E-3</v>
      </c>
      <c r="G1113">
        <f t="shared" si="172"/>
        <v>0</v>
      </c>
      <c r="H1113">
        <f t="shared" si="173"/>
        <v>11</v>
      </c>
      <c r="I1113">
        <f t="shared" si="174"/>
        <v>20</v>
      </c>
      <c r="J1113">
        <f t="shared" si="175"/>
        <v>680</v>
      </c>
      <c r="K1113">
        <f t="shared" si="176"/>
        <v>12</v>
      </c>
      <c r="L1113">
        <f t="shared" si="177"/>
        <v>357459</v>
      </c>
      <c r="M1113">
        <f t="shared" si="178"/>
        <v>113522</v>
      </c>
      <c r="N1113">
        <f t="shared" si="179"/>
        <v>518981</v>
      </c>
      <c r="O1113">
        <f>IF(B1113="zagraniczny",K1113+O1112,O1112)</f>
        <v>494</v>
      </c>
    </row>
    <row r="1114" spans="1:15" x14ac:dyDescent="0.25">
      <c r="A1114">
        <v>7986409</v>
      </c>
      <c r="B1114" t="str">
        <f t="shared" si="170"/>
        <v>stacjonarny</v>
      </c>
      <c r="C1114" s="1">
        <v>42933</v>
      </c>
      <c r="D1114" s="2">
        <v>0.61473379629629632</v>
      </c>
      <c r="E1114" s="2">
        <v>0.61660879629629628</v>
      </c>
      <c r="F1114" s="2">
        <f t="shared" si="171"/>
        <v>1.87499999999996E-3</v>
      </c>
      <c r="G1114">
        <f t="shared" si="172"/>
        <v>0</v>
      </c>
      <c r="H1114">
        <f t="shared" si="173"/>
        <v>2</v>
      </c>
      <c r="I1114">
        <f t="shared" si="174"/>
        <v>42</v>
      </c>
      <c r="J1114">
        <f t="shared" si="175"/>
        <v>162</v>
      </c>
      <c r="K1114">
        <f t="shared" si="176"/>
        <v>3</v>
      </c>
      <c r="L1114">
        <f t="shared" si="177"/>
        <v>357621</v>
      </c>
      <c r="M1114">
        <f t="shared" si="178"/>
        <v>113522</v>
      </c>
      <c r="N1114">
        <f t="shared" si="179"/>
        <v>519143</v>
      </c>
      <c r="O1114">
        <f>IF(B1114="zagraniczny",K1114+O1113,O1113)</f>
        <v>494</v>
      </c>
    </row>
    <row r="1115" spans="1:15" x14ac:dyDescent="0.25">
      <c r="A1115">
        <v>54554135</v>
      </c>
      <c r="B1115" t="str">
        <f t="shared" si="170"/>
        <v>komorkowy</v>
      </c>
      <c r="C1115" s="1">
        <v>42933</v>
      </c>
      <c r="D1115" s="2">
        <v>0.61943287037037043</v>
      </c>
      <c r="E1115" s="2">
        <v>0.62100694444444449</v>
      </c>
      <c r="F1115" s="2">
        <f t="shared" si="171"/>
        <v>1.5740740740740611E-3</v>
      </c>
      <c r="G1115">
        <f t="shared" si="172"/>
        <v>0</v>
      </c>
      <c r="H1115">
        <f t="shared" si="173"/>
        <v>2</v>
      </c>
      <c r="I1115">
        <f t="shared" si="174"/>
        <v>16</v>
      </c>
      <c r="J1115">
        <f t="shared" si="175"/>
        <v>136</v>
      </c>
      <c r="K1115">
        <f t="shared" si="176"/>
        <v>3</v>
      </c>
      <c r="L1115">
        <f t="shared" si="177"/>
        <v>357621</v>
      </c>
      <c r="M1115">
        <f t="shared" si="178"/>
        <v>113658</v>
      </c>
      <c r="N1115">
        <f t="shared" si="179"/>
        <v>519279</v>
      </c>
      <c r="O1115">
        <f>IF(B1115="zagraniczny",K1115+O1114,O1114)</f>
        <v>494</v>
      </c>
    </row>
    <row r="1116" spans="1:15" x14ac:dyDescent="0.25">
      <c r="A1116">
        <v>1263080</v>
      </c>
      <c r="B1116" t="str">
        <f t="shared" si="170"/>
        <v>stacjonarny</v>
      </c>
      <c r="C1116" s="1">
        <v>42933</v>
      </c>
      <c r="D1116" s="2">
        <v>0.62292824074074071</v>
      </c>
      <c r="E1116" s="2">
        <v>0.63358796296296294</v>
      </c>
      <c r="F1116" s="2">
        <f t="shared" si="171"/>
        <v>1.0659722222222223E-2</v>
      </c>
      <c r="G1116">
        <f t="shared" si="172"/>
        <v>0</v>
      </c>
      <c r="H1116">
        <f t="shared" si="173"/>
        <v>15</v>
      </c>
      <c r="I1116">
        <f t="shared" si="174"/>
        <v>21</v>
      </c>
      <c r="J1116">
        <f t="shared" si="175"/>
        <v>921</v>
      </c>
      <c r="K1116">
        <f t="shared" si="176"/>
        <v>16</v>
      </c>
      <c r="L1116">
        <f t="shared" si="177"/>
        <v>358542</v>
      </c>
      <c r="M1116">
        <f t="shared" si="178"/>
        <v>113658</v>
      </c>
      <c r="N1116">
        <f t="shared" si="179"/>
        <v>520200</v>
      </c>
      <c r="O1116">
        <f>IF(B1116="zagraniczny",K1116+O1115,O1115)</f>
        <v>494</v>
      </c>
    </row>
    <row r="1117" spans="1:15" x14ac:dyDescent="0.25">
      <c r="A1117">
        <v>97953696</v>
      </c>
      <c r="B1117" t="str">
        <f t="shared" si="170"/>
        <v>komorkowy</v>
      </c>
      <c r="C1117" s="1">
        <v>42933</v>
      </c>
      <c r="D1117" s="2">
        <v>0.62657407407407406</v>
      </c>
      <c r="E1117" s="2">
        <v>0.62818287037037035</v>
      </c>
      <c r="F1117" s="2">
        <f t="shared" si="171"/>
        <v>1.6087962962962887E-3</v>
      </c>
      <c r="G1117">
        <f t="shared" si="172"/>
        <v>0</v>
      </c>
      <c r="H1117">
        <f t="shared" si="173"/>
        <v>2</v>
      </c>
      <c r="I1117">
        <f t="shared" si="174"/>
        <v>19</v>
      </c>
      <c r="J1117">
        <f t="shared" si="175"/>
        <v>139</v>
      </c>
      <c r="K1117">
        <f t="shared" si="176"/>
        <v>3</v>
      </c>
      <c r="L1117">
        <f t="shared" si="177"/>
        <v>358542</v>
      </c>
      <c r="M1117">
        <f t="shared" si="178"/>
        <v>113797</v>
      </c>
      <c r="N1117">
        <f t="shared" si="179"/>
        <v>520339</v>
      </c>
      <c r="O1117">
        <f>IF(B1117="zagraniczny",K1117+O1116,O1116)</f>
        <v>494</v>
      </c>
    </row>
    <row r="1118" spans="1:15" x14ac:dyDescent="0.25">
      <c r="A1118">
        <v>9772824</v>
      </c>
      <c r="B1118" t="str">
        <f t="shared" si="170"/>
        <v>stacjonarny</v>
      </c>
      <c r="C1118" s="1">
        <v>42934</v>
      </c>
      <c r="D1118" s="2">
        <v>0.33355324074074072</v>
      </c>
      <c r="E1118" s="2">
        <v>0.33859953703703705</v>
      </c>
      <c r="F1118" s="2">
        <f t="shared" si="171"/>
        <v>5.0462962962963265E-3</v>
      </c>
      <c r="G1118">
        <f t="shared" si="172"/>
        <v>0</v>
      </c>
      <c r="H1118">
        <f t="shared" si="173"/>
        <v>7</v>
      </c>
      <c r="I1118">
        <f t="shared" si="174"/>
        <v>16</v>
      </c>
      <c r="J1118">
        <f t="shared" si="175"/>
        <v>436</v>
      </c>
      <c r="K1118">
        <f t="shared" si="176"/>
        <v>8</v>
      </c>
      <c r="L1118">
        <f t="shared" si="177"/>
        <v>358978</v>
      </c>
      <c r="M1118">
        <f t="shared" si="178"/>
        <v>113797</v>
      </c>
      <c r="N1118">
        <f t="shared" si="179"/>
        <v>520775</v>
      </c>
      <c r="O1118">
        <f>IF(B1118="zagraniczny",K1118+O1117,O1117)</f>
        <v>494</v>
      </c>
    </row>
    <row r="1119" spans="1:15" x14ac:dyDescent="0.25">
      <c r="A1119">
        <v>1157434</v>
      </c>
      <c r="B1119" t="str">
        <f t="shared" si="170"/>
        <v>stacjonarny</v>
      </c>
      <c r="C1119" s="1">
        <v>42934</v>
      </c>
      <c r="D1119" s="2">
        <v>0.33582175925925928</v>
      </c>
      <c r="E1119" s="2">
        <v>0.34681712962962963</v>
      </c>
      <c r="F1119" s="2">
        <f t="shared" si="171"/>
        <v>1.099537037037035E-2</v>
      </c>
      <c r="G1119">
        <f t="shared" si="172"/>
        <v>0</v>
      </c>
      <c r="H1119">
        <f t="shared" si="173"/>
        <v>15</v>
      </c>
      <c r="I1119">
        <f t="shared" si="174"/>
        <v>50</v>
      </c>
      <c r="J1119">
        <f t="shared" si="175"/>
        <v>950</v>
      </c>
      <c r="K1119">
        <f t="shared" si="176"/>
        <v>16</v>
      </c>
      <c r="L1119">
        <f t="shared" si="177"/>
        <v>359928</v>
      </c>
      <c r="M1119">
        <f t="shared" si="178"/>
        <v>113797</v>
      </c>
      <c r="N1119">
        <f t="shared" si="179"/>
        <v>521725</v>
      </c>
      <c r="O1119">
        <f>IF(B1119="zagraniczny",K1119+O1118,O1118)</f>
        <v>494</v>
      </c>
    </row>
    <row r="1120" spans="1:15" x14ac:dyDescent="0.25">
      <c r="A1120">
        <v>8799928507</v>
      </c>
      <c r="B1120" t="str">
        <f t="shared" si="170"/>
        <v>zagraniczny</v>
      </c>
      <c r="C1120" s="1">
        <v>42934</v>
      </c>
      <c r="D1120" s="2">
        <v>0.34134259259259259</v>
      </c>
      <c r="E1120" s="2">
        <v>0.34931712962962963</v>
      </c>
      <c r="F1120" s="2">
        <f t="shared" si="171"/>
        <v>7.9745370370370439E-3</v>
      </c>
      <c r="G1120">
        <f t="shared" si="172"/>
        <v>0</v>
      </c>
      <c r="H1120">
        <f t="shared" si="173"/>
        <v>11</v>
      </c>
      <c r="I1120">
        <f t="shared" si="174"/>
        <v>29</v>
      </c>
      <c r="J1120">
        <f t="shared" si="175"/>
        <v>689</v>
      </c>
      <c r="K1120">
        <f t="shared" si="176"/>
        <v>12</v>
      </c>
      <c r="L1120">
        <f t="shared" si="177"/>
        <v>359928</v>
      </c>
      <c r="M1120">
        <f t="shared" si="178"/>
        <v>113797</v>
      </c>
      <c r="N1120">
        <f t="shared" si="179"/>
        <v>521725</v>
      </c>
      <c r="O1120">
        <f>IF(B1120="zagraniczny",K1120+O1119,O1119)</f>
        <v>506</v>
      </c>
    </row>
    <row r="1121" spans="1:15" x14ac:dyDescent="0.25">
      <c r="A1121">
        <v>5372891</v>
      </c>
      <c r="B1121" t="str">
        <f t="shared" si="170"/>
        <v>stacjonarny</v>
      </c>
      <c r="C1121" s="1">
        <v>42934</v>
      </c>
      <c r="D1121" s="2">
        <v>0.34586805555555555</v>
      </c>
      <c r="E1121" s="2">
        <v>0.34684027777777776</v>
      </c>
      <c r="F1121" s="2">
        <f t="shared" si="171"/>
        <v>9.7222222222220767E-4</v>
      </c>
      <c r="G1121">
        <f t="shared" si="172"/>
        <v>0</v>
      </c>
      <c r="H1121">
        <f t="shared" si="173"/>
        <v>1</v>
      </c>
      <c r="I1121">
        <f t="shared" si="174"/>
        <v>24</v>
      </c>
      <c r="J1121">
        <f t="shared" si="175"/>
        <v>84</v>
      </c>
      <c r="K1121">
        <f t="shared" si="176"/>
        <v>2</v>
      </c>
      <c r="L1121">
        <f t="shared" si="177"/>
        <v>360012</v>
      </c>
      <c r="M1121">
        <f t="shared" si="178"/>
        <v>113797</v>
      </c>
      <c r="N1121">
        <f t="shared" si="179"/>
        <v>521809</v>
      </c>
      <c r="O1121">
        <f>IF(B1121="zagraniczny",K1121+O1120,O1120)</f>
        <v>506</v>
      </c>
    </row>
    <row r="1122" spans="1:15" x14ac:dyDescent="0.25">
      <c r="A1122">
        <v>2663800</v>
      </c>
      <c r="B1122" t="str">
        <f t="shared" si="170"/>
        <v>stacjonarny</v>
      </c>
      <c r="C1122" s="1">
        <v>42934</v>
      </c>
      <c r="D1122" s="2">
        <v>0.35076388888888888</v>
      </c>
      <c r="E1122" s="2">
        <v>0.35863425925925924</v>
      </c>
      <c r="F1122" s="2">
        <f t="shared" si="171"/>
        <v>7.8703703703703609E-3</v>
      </c>
      <c r="G1122">
        <f t="shared" si="172"/>
        <v>0</v>
      </c>
      <c r="H1122">
        <f t="shared" si="173"/>
        <v>11</v>
      </c>
      <c r="I1122">
        <f t="shared" si="174"/>
        <v>20</v>
      </c>
      <c r="J1122">
        <f t="shared" si="175"/>
        <v>680</v>
      </c>
      <c r="K1122">
        <f t="shared" si="176"/>
        <v>12</v>
      </c>
      <c r="L1122">
        <f t="shared" si="177"/>
        <v>360692</v>
      </c>
      <c r="M1122">
        <f t="shared" si="178"/>
        <v>113797</v>
      </c>
      <c r="N1122">
        <f t="shared" si="179"/>
        <v>522489</v>
      </c>
      <c r="O1122">
        <f>IF(B1122="zagraniczny",K1122+O1121,O1121)</f>
        <v>506</v>
      </c>
    </row>
    <row r="1123" spans="1:15" x14ac:dyDescent="0.25">
      <c r="A1123">
        <v>32779069</v>
      </c>
      <c r="B1123" t="str">
        <f t="shared" si="170"/>
        <v>komorkowy</v>
      </c>
      <c r="C1123" s="1">
        <v>42934</v>
      </c>
      <c r="D1123" s="2">
        <v>0.35430555555555554</v>
      </c>
      <c r="E1123" s="2">
        <v>0.36318287037037039</v>
      </c>
      <c r="F1123" s="2">
        <f t="shared" si="171"/>
        <v>8.8773148148148517E-3</v>
      </c>
      <c r="G1123">
        <f t="shared" si="172"/>
        <v>0</v>
      </c>
      <c r="H1123">
        <f t="shared" si="173"/>
        <v>12</v>
      </c>
      <c r="I1123">
        <f t="shared" si="174"/>
        <v>47</v>
      </c>
      <c r="J1123">
        <f t="shared" si="175"/>
        <v>767</v>
      </c>
      <c r="K1123">
        <f t="shared" si="176"/>
        <v>13</v>
      </c>
      <c r="L1123">
        <f t="shared" si="177"/>
        <v>360692</v>
      </c>
      <c r="M1123">
        <f t="shared" si="178"/>
        <v>114564</v>
      </c>
      <c r="N1123">
        <f t="shared" si="179"/>
        <v>523256</v>
      </c>
      <c r="O1123">
        <f>IF(B1123="zagraniczny",K1123+O1122,O1122)</f>
        <v>506</v>
      </c>
    </row>
    <row r="1124" spans="1:15" x14ac:dyDescent="0.25">
      <c r="A1124">
        <v>8261808</v>
      </c>
      <c r="B1124" t="str">
        <f t="shared" si="170"/>
        <v>stacjonarny</v>
      </c>
      <c r="C1124" s="1">
        <v>42934</v>
      </c>
      <c r="D1124" s="2">
        <v>0.35718749999999999</v>
      </c>
      <c r="E1124" s="2">
        <v>0.36684027777777778</v>
      </c>
      <c r="F1124" s="2">
        <f t="shared" si="171"/>
        <v>9.6527777777777879E-3</v>
      </c>
      <c r="G1124">
        <f t="shared" si="172"/>
        <v>0</v>
      </c>
      <c r="H1124">
        <f t="shared" si="173"/>
        <v>13</v>
      </c>
      <c r="I1124">
        <f t="shared" si="174"/>
        <v>54</v>
      </c>
      <c r="J1124">
        <f t="shared" si="175"/>
        <v>834</v>
      </c>
      <c r="K1124">
        <f t="shared" si="176"/>
        <v>14</v>
      </c>
      <c r="L1124">
        <f t="shared" si="177"/>
        <v>361526</v>
      </c>
      <c r="M1124">
        <f t="shared" si="178"/>
        <v>114564</v>
      </c>
      <c r="N1124">
        <f t="shared" si="179"/>
        <v>524090</v>
      </c>
      <c r="O1124">
        <f>IF(B1124="zagraniczny",K1124+O1123,O1123)</f>
        <v>506</v>
      </c>
    </row>
    <row r="1125" spans="1:15" x14ac:dyDescent="0.25">
      <c r="A1125">
        <v>7321543</v>
      </c>
      <c r="B1125" t="str">
        <f t="shared" si="170"/>
        <v>stacjonarny</v>
      </c>
      <c r="C1125" s="1">
        <v>42934</v>
      </c>
      <c r="D1125" s="2">
        <v>0.36151620370370369</v>
      </c>
      <c r="E1125" s="2">
        <v>0.3712037037037037</v>
      </c>
      <c r="F1125" s="2">
        <f t="shared" si="171"/>
        <v>9.6875000000000155E-3</v>
      </c>
      <c r="G1125">
        <f t="shared" si="172"/>
        <v>0</v>
      </c>
      <c r="H1125">
        <f t="shared" si="173"/>
        <v>13</v>
      </c>
      <c r="I1125">
        <f t="shared" si="174"/>
        <v>57</v>
      </c>
      <c r="J1125">
        <f t="shared" si="175"/>
        <v>837</v>
      </c>
      <c r="K1125">
        <f t="shared" si="176"/>
        <v>14</v>
      </c>
      <c r="L1125">
        <f t="shared" si="177"/>
        <v>362363</v>
      </c>
      <c r="M1125">
        <f t="shared" si="178"/>
        <v>114564</v>
      </c>
      <c r="N1125">
        <f t="shared" si="179"/>
        <v>524927</v>
      </c>
      <c r="O1125">
        <f>IF(B1125="zagraniczny",K1125+O1124,O1124)</f>
        <v>506</v>
      </c>
    </row>
    <row r="1126" spans="1:15" x14ac:dyDescent="0.25">
      <c r="A1126">
        <v>7513392</v>
      </c>
      <c r="B1126" t="str">
        <f t="shared" si="170"/>
        <v>stacjonarny</v>
      </c>
      <c r="C1126" s="1">
        <v>42934</v>
      </c>
      <c r="D1126" s="2">
        <v>0.36421296296296296</v>
      </c>
      <c r="E1126" s="2">
        <v>0.36640046296296297</v>
      </c>
      <c r="F1126" s="2">
        <f t="shared" si="171"/>
        <v>2.1875000000000089E-3</v>
      </c>
      <c r="G1126">
        <f t="shared" si="172"/>
        <v>0</v>
      </c>
      <c r="H1126">
        <f t="shared" si="173"/>
        <v>3</v>
      </c>
      <c r="I1126">
        <f t="shared" si="174"/>
        <v>9</v>
      </c>
      <c r="J1126">
        <f t="shared" si="175"/>
        <v>189</v>
      </c>
      <c r="K1126">
        <f t="shared" si="176"/>
        <v>4</v>
      </c>
      <c r="L1126">
        <f t="shared" si="177"/>
        <v>362552</v>
      </c>
      <c r="M1126">
        <f t="shared" si="178"/>
        <v>114564</v>
      </c>
      <c r="N1126">
        <f t="shared" si="179"/>
        <v>525116</v>
      </c>
      <c r="O1126">
        <f>IF(B1126="zagraniczny",K1126+O1125,O1125)</f>
        <v>506</v>
      </c>
    </row>
    <row r="1127" spans="1:15" x14ac:dyDescent="0.25">
      <c r="A1127">
        <v>77036136</v>
      </c>
      <c r="B1127" t="str">
        <f t="shared" si="170"/>
        <v>komorkowy</v>
      </c>
      <c r="C1127" s="1">
        <v>42934</v>
      </c>
      <c r="D1127" s="2">
        <v>0.36937500000000001</v>
      </c>
      <c r="E1127" s="2">
        <v>0.37585648148148149</v>
      </c>
      <c r="F1127" s="2">
        <f t="shared" si="171"/>
        <v>6.481481481481477E-3</v>
      </c>
      <c r="G1127">
        <f t="shared" si="172"/>
        <v>0</v>
      </c>
      <c r="H1127">
        <f t="shared" si="173"/>
        <v>9</v>
      </c>
      <c r="I1127">
        <f t="shared" si="174"/>
        <v>20</v>
      </c>
      <c r="J1127">
        <f t="shared" si="175"/>
        <v>560</v>
      </c>
      <c r="K1127">
        <f t="shared" si="176"/>
        <v>10</v>
      </c>
      <c r="L1127">
        <f t="shared" si="177"/>
        <v>362552</v>
      </c>
      <c r="M1127">
        <f t="shared" si="178"/>
        <v>115124</v>
      </c>
      <c r="N1127">
        <f t="shared" si="179"/>
        <v>525676</v>
      </c>
      <c r="O1127">
        <f>IF(B1127="zagraniczny",K1127+O1126,O1126)</f>
        <v>506</v>
      </c>
    </row>
    <row r="1128" spans="1:15" x14ac:dyDescent="0.25">
      <c r="A1128">
        <v>1700508</v>
      </c>
      <c r="B1128" t="str">
        <f t="shared" si="170"/>
        <v>stacjonarny</v>
      </c>
      <c r="C1128" s="1">
        <v>42934</v>
      </c>
      <c r="D1128" s="2">
        <v>0.37179398148148146</v>
      </c>
      <c r="E1128" s="2">
        <v>0.3828125</v>
      </c>
      <c r="F1128" s="2">
        <f t="shared" si="171"/>
        <v>1.1018518518518539E-2</v>
      </c>
      <c r="G1128">
        <f t="shared" si="172"/>
        <v>0</v>
      </c>
      <c r="H1128">
        <f t="shared" si="173"/>
        <v>15</v>
      </c>
      <c r="I1128">
        <f t="shared" si="174"/>
        <v>52</v>
      </c>
      <c r="J1128">
        <f t="shared" si="175"/>
        <v>952</v>
      </c>
      <c r="K1128">
        <f t="shared" si="176"/>
        <v>16</v>
      </c>
      <c r="L1128">
        <f t="shared" si="177"/>
        <v>363504</v>
      </c>
      <c r="M1128">
        <f t="shared" si="178"/>
        <v>115124</v>
      </c>
      <c r="N1128">
        <f t="shared" si="179"/>
        <v>526628</v>
      </c>
      <c r="O1128">
        <f>IF(B1128="zagraniczny",K1128+O1127,O1127)</f>
        <v>506</v>
      </c>
    </row>
    <row r="1129" spans="1:15" x14ac:dyDescent="0.25">
      <c r="A1129">
        <v>7872182</v>
      </c>
      <c r="B1129" t="str">
        <f t="shared" si="170"/>
        <v>stacjonarny</v>
      </c>
      <c r="C1129" s="1">
        <v>42934</v>
      </c>
      <c r="D1129" s="2">
        <v>0.3772800925925926</v>
      </c>
      <c r="E1129" s="2">
        <v>0.3837962962962963</v>
      </c>
      <c r="F1129" s="2">
        <f t="shared" si="171"/>
        <v>6.5162037037037046E-3</v>
      </c>
      <c r="G1129">
        <f t="shared" si="172"/>
        <v>0</v>
      </c>
      <c r="H1129">
        <f t="shared" si="173"/>
        <v>9</v>
      </c>
      <c r="I1129">
        <f t="shared" si="174"/>
        <v>23</v>
      </c>
      <c r="J1129">
        <f t="shared" si="175"/>
        <v>563</v>
      </c>
      <c r="K1129">
        <f t="shared" si="176"/>
        <v>10</v>
      </c>
      <c r="L1129">
        <f t="shared" si="177"/>
        <v>364067</v>
      </c>
      <c r="M1129">
        <f t="shared" si="178"/>
        <v>115124</v>
      </c>
      <c r="N1129">
        <f t="shared" si="179"/>
        <v>527191</v>
      </c>
      <c r="O1129">
        <f>IF(B1129="zagraniczny",K1129+O1128,O1128)</f>
        <v>506</v>
      </c>
    </row>
    <row r="1130" spans="1:15" x14ac:dyDescent="0.25">
      <c r="A1130">
        <v>84513035</v>
      </c>
      <c r="B1130" t="str">
        <f t="shared" si="170"/>
        <v>komorkowy</v>
      </c>
      <c r="C1130" s="1">
        <v>42934</v>
      </c>
      <c r="D1130" s="2">
        <v>0.38017361111111109</v>
      </c>
      <c r="E1130" s="2">
        <v>0.38291666666666668</v>
      </c>
      <c r="F1130" s="2">
        <f t="shared" si="171"/>
        <v>2.7430555555555958E-3</v>
      </c>
      <c r="G1130">
        <f t="shared" si="172"/>
        <v>0</v>
      </c>
      <c r="H1130">
        <f t="shared" si="173"/>
        <v>3</v>
      </c>
      <c r="I1130">
        <f t="shared" si="174"/>
        <v>57</v>
      </c>
      <c r="J1130">
        <f t="shared" si="175"/>
        <v>237</v>
      </c>
      <c r="K1130">
        <f t="shared" si="176"/>
        <v>4</v>
      </c>
      <c r="L1130">
        <f t="shared" si="177"/>
        <v>364067</v>
      </c>
      <c r="M1130">
        <f t="shared" si="178"/>
        <v>115361</v>
      </c>
      <c r="N1130">
        <f t="shared" si="179"/>
        <v>527428</v>
      </c>
      <c r="O1130">
        <f>IF(B1130="zagraniczny",K1130+O1129,O1129)</f>
        <v>506</v>
      </c>
    </row>
    <row r="1131" spans="1:15" x14ac:dyDescent="0.25">
      <c r="A1131">
        <v>1775586</v>
      </c>
      <c r="B1131" t="str">
        <f t="shared" si="170"/>
        <v>stacjonarny</v>
      </c>
      <c r="C1131" s="1">
        <v>42934</v>
      </c>
      <c r="D1131" s="2">
        <v>0.38452546296296297</v>
      </c>
      <c r="E1131" s="2">
        <v>0.38978009259259261</v>
      </c>
      <c r="F1131" s="2">
        <f t="shared" si="171"/>
        <v>5.2546296296296369E-3</v>
      </c>
      <c r="G1131">
        <f t="shared" si="172"/>
        <v>0</v>
      </c>
      <c r="H1131">
        <f t="shared" si="173"/>
        <v>7</v>
      </c>
      <c r="I1131">
        <f t="shared" si="174"/>
        <v>34</v>
      </c>
      <c r="J1131">
        <f t="shared" si="175"/>
        <v>454</v>
      </c>
      <c r="K1131">
        <f t="shared" si="176"/>
        <v>8</v>
      </c>
      <c r="L1131">
        <f t="shared" si="177"/>
        <v>364521</v>
      </c>
      <c r="M1131">
        <f t="shared" si="178"/>
        <v>115361</v>
      </c>
      <c r="N1131">
        <f t="shared" si="179"/>
        <v>527882</v>
      </c>
      <c r="O1131">
        <f>IF(B1131="zagraniczny",K1131+O1130,O1130)</f>
        <v>506</v>
      </c>
    </row>
    <row r="1132" spans="1:15" x14ac:dyDescent="0.25">
      <c r="A1132">
        <v>1225082</v>
      </c>
      <c r="B1132" t="str">
        <f t="shared" si="170"/>
        <v>stacjonarny</v>
      </c>
      <c r="C1132" s="1">
        <v>42934</v>
      </c>
      <c r="D1132" s="2">
        <v>0.38516203703703705</v>
      </c>
      <c r="E1132" s="2">
        <v>0.38653935185185184</v>
      </c>
      <c r="F1132" s="2">
        <f t="shared" si="171"/>
        <v>1.3773148148147896E-3</v>
      </c>
      <c r="G1132">
        <f t="shared" si="172"/>
        <v>0</v>
      </c>
      <c r="H1132">
        <f t="shared" si="173"/>
        <v>1</v>
      </c>
      <c r="I1132">
        <f t="shared" si="174"/>
        <v>59</v>
      </c>
      <c r="J1132">
        <f t="shared" si="175"/>
        <v>119</v>
      </c>
      <c r="K1132">
        <f t="shared" si="176"/>
        <v>2</v>
      </c>
      <c r="L1132">
        <f t="shared" si="177"/>
        <v>364640</v>
      </c>
      <c r="M1132">
        <f t="shared" si="178"/>
        <v>115361</v>
      </c>
      <c r="N1132">
        <f t="shared" si="179"/>
        <v>528001</v>
      </c>
      <c r="O1132">
        <f>IF(B1132="zagraniczny",K1132+O1131,O1131)</f>
        <v>506</v>
      </c>
    </row>
    <row r="1133" spans="1:15" x14ac:dyDescent="0.25">
      <c r="A1133">
        <v>1586675</v>
      </c>
      <c r="B1133" t="str">
        <f t="shared" si="170"/>
        <v>stacjonarny</v>
      </c>
      <c r="C1133" s="1">
        <v>42934</v>
      </c>
      <c r="D1133" s="2">
        <v>0.39093749999999999</v>
      </c>
      <c r="E1133" s="2">
        <v>0.39787037037037037</v>
      </c>
      <c r="F1133" s="2">
        <f t="shared" si="171"/>
        <v>6.9328703703703809E-3</v>
      </c>
      <c r="G1133">
        <f t="shared" si="172"/>
        <v>0</v>
      </c>
      <c r="H1133">
        <f t="shared" si="173"/>
        <v>9</v>
      </c>
      <c r="I1133">
        <f t="shared" si="174"/>
        <v>59</v>
      </c>
      <c r="J1133">
        <f t="shared" si="175"/>
        <v>599</v>
      </c>
      <c r="K1133">
        <f t="shared" si="176"/>
        <v>10</v>
      </c>
      <c r="L1133">
        <f t="shared" si="177"/>
        <v>365239</v>
      </c>
      <c r="M1133">
        <f t="shared" si="178"/>
        <v>115361</v>
      </c>
      <c r="N1133">
        <f t="shared" si="179"/>
        <v>528600</v>
      </c>
      <c r="O1133">
        <f>IF(B1133="zagraniczny",K1133+O1132,O1132)</f>
        <v>506</v>
      </c>
    </row>
    <row r="1134" spans="1:15" x14ac:dyDescent="0.25">
      <c r="A1134">
        <v>2672229</v>
      </c>
      <c r="B1134" t="str">
        <f t="shared" si="170"/>
        <v>stacjonarny</v>
      </c>
      <c r="C1134" s="1">
        <v>42934</v>
      </c>
      <c r="D1134" s="2">
        <v>0.39552083333333332</v>
      </c>
      <c r="E1134" s="2">
        <v>0.4007175925925926</v>
      </c>
      <c r="F1134" s="2">
        <f t="shared" si="171"/>
        <v>5.196759259259276E-3</v>
      </c>
      <c r="G1134">
        <f t="shared" si="172"/>
        <v>0</v>
      </c>
      <c r="H1134">
        <f t="shared" si="173"/>
        <v>7</v>
      </c>
      <c r="I1134">
        <f t="shared" si="174"/>
        <v>29</v>
      </c>
      <c r="J1134">
        <f t="shared" si="175"/>
        <v>449</v>
      </c>
      <c r="K1134">
        <f t="shared" si="176"/>
        <v>8</v>
      </c>
      <c r="L1134">
        <f t="shared" si="177"/>
        <v>365688</v>
      </c>
      <c r="M1134">
        <f t="shared" si="178"/>
        <v>115361</v>
      </c>
      <c r="N1134">
        <f t="shared" si="179"/>
        <v>529049</v>
      </c>
      <c r="O1134">
        <f>IF(B1134="zagraniczny",K1134+O1133,O1133)</f>
        <v>506</v>
      </c>
    </row>
    <row r="1135" spans="1:15" x14ac:dyDescent="0.25">
      <c r="A1135">
        <v>2443869</v>
      </c>
      <c r="B1135" t="str">
        <f t="shared" si="170"/>
        <v>stacjonarny</v>
      </c>
      <c r="C1135" s="1">
        <v>42934</v>
      </c>
      <c r="D1135" s="2">
        <v>0.39964120370370371</v>
      </c>
      <c r="E1135" s="2">
        <v>0.4074652777777778</v>
      </c>
      <c r="F1135" s="2">
        <f t="shared" si="171"/>
        <v>7.8240740740740944E-3</v>
      </c>
      <c r="G1135">
        <f t="shared" si="172"/>
        <v>0</v>
      </c>
      <c r="H1135">
        <f t="shared" si="173"/>
        <v>11</v>
      </c>
      <c r="I1135">
        <f t="shared" si="174"/>
        <v>16</v>
      </c>
      <c r="J1135">
        <f t="shared" si="175"/>
        <v>676</v>
      </c>
      <c r="K1135">
        <f t="shared" si="176"/>
        <v>12</v>
      </c>
      <c r="L1135">
        <f t="shared" si="177"/>
        <v>366364</v>
      </c>
      <c r="M1135">
        <f t="shared" si="178"/>
        <v>115361</v>
      </c>
      <c r="N1135">
        <f t="shared" si="179"/>
        <v>529725</v>
      </c>
      <c r="O1135">
        <f>IF(B1135="zagraniczny",K1135+O1134,O1134)</f>
        <v>506</v>
      </c>
    </row>
    <row r="1136" spans="1:15" x14ac:dyDescent="0.25">
      <c r="A1136">
        <v>7166411</v>
      </c>
      <c r="B1136" t="str">
        <f t="shared" si="170"/>
        <v>stacjonarny</v>
      </c>
      <c r="C1136" s="1">
        <v>42934</v>
      </c>
      <c r="D1136" s="2">
        <v>0.40263888888888888</v>
      </c>
      <c r="E1136" s="2">
        <v>0.40846064814814814</v>
      </c>
      <c r="F1136" s="2">
        <f t="shared" si="171"/>
        <v>5.8217592592592626E-3</v>
      </c>
      <c r="G1136">
        <f t="shared" si="172"/>
        <v>0</v>
      </c>
      <c r="H1136">
        <f t="shared" si="173"/>
        <v>8</v>
      </c>
      <c r="I1136">
        <f t="shared" si="174"/>
        <v>23</v>
      </c>
      <c r="J1136">
        <f t="shared" si="175"/>
        <v>503</v>
      </c>
      <c r="K1136">
        <f t="shared" si="176"/>
        <v>9</v>
      </c>
      <c r="L1136">
        <f t="shared" si="177"/>
        <v>366867</v>
      </c>
      <c r="M1136">
        <f t="shared" si="178"/>
        <v>115361</v>
      </c>
      <c r="N1136">
        <f t="shared" si="179"/>
        <v>530228</v>
      </c>
      <c r="O1136">
        <f>IF(B1136="zagraniczny",K1136+O1135,O1135)</f>
        <v>506</v>
      </c>
    </row>
    <row r="1137" spans="1:15" x14ac:dyDescent="0.25">
      <c r="A1137">
        <v>4657345</v>
      </c>
      <c r="B1137" t="str">
        <f t="shared" si="170"/>
        <v>stacjonarny</v>
      </c>
      <c r="C1137" s="1">
        <v>42934</v>
      </c>
      <c r="D1137" s="2">
        <v>0.40328703703703705</v>
      </c>
      <c r="E1137" s="2">
        <v>0.4140625</v>
      </c>
      <c r="F1137" s="2">
        <f t="shared" si="171"/>
        <v>1.0775462962962945E-2</v>
      </c>
      <c r="G1137">
        <f t="shared" si="172"/>
        <v>0</v>
      </c>
      <c r="H1137">
        <f t="shared" si="173"/>
        <v>15</v>
      </c>
      <c r="I1137">
        <f t="shared" si="174"/>
        <v>31</v>
      </c>
      <c r="J1137">
        <f t="shared" si="175"/>
        <v>931</v>
      </c>
      <c r="K1137">
        <f t="shared" si="176"/>
        <v>16</v>
      </c>
      <c r="L1137">
        <f t="shared" si="177"/>
        <v>367798</v>
      </c>
      <c r="M1137">
        <f t="shared" si="178"/>
        <v>115361</v>
      </c>
      <c r="N1137">
        <f t="shared" si="179"/>
        <v>531159</v>
      </c>
      <c r="O1137">
        <f>IF(B1137="zagraniczny",K1137+O1136,O1136)</f>
        <v>506</v>
      </c>
    </row>
    <row r="1138" spans="1:15" x14ac:dyDescent="0.25">
      <c r="A1138">
        <v>6070329</v>
      </c>
      <c r="B1138" t="str">
        <f t="shared" si="170"/>
        <v>stacjonarny</v>
      </c>
      <c r="C1138" s="1">
        <v>42934</v>
      </c>
      <c r="D1138" s="2">
        <v>0.40337962962962964</v>
      </c>
      <c r="E1138" s="2">
        <v>0.41432870370370373</v>
      </c>
      <c r="F1138" s="2">
        <f t="shared" si="171"/>
        <v>1.0949074074074083E-2</v>
      </c>
      <c r="G1138">
        <f t="shared" si="172"/>
        <v>0</v>
      </c>
      <c r="H1138">
        <f t="shared" si="173"/>
        <v>15</v>
      </c>
      <c r="I1138">
        <f t="shared" si="174"/>
        <v>46</v>
      </c>
      <c r="J1138">
        <f t="shared" si="175"/>
        <v>946</v>
      </c>
      <c r="K1138">
        <f t="shared" si="176"/>
        <v>16</v>
      </c>
      <c r="L1138">
        <f t="shared" si="177"/>
        <v>368744</v>
      </c>
      <c r="M1138">
        <f t="shared" si="178"/>
        <v>115361</v>
      </c>
      <c r="N1138">
        <f t="shared" si="179"/>
        <v>532105</v>
      </c>
      <c r="O1138">
        <f>IF(B1138="zagraniczny",K1138+O1137,O1137)</f>
        <v>506</v>
      </c>
    </row>
    <row r="1139" spans="1:15" x14ac:dyDescent="0.25">
      <c r="A1139">
        <v>4845362</v>
      </c>
      <c r="B1139" t="str">
        <f t="shared" si="170"/>
        <v>stacjonarny</v>
      </c>
      <c r="C1139" s="1">
        <v>42934</v>
      </c>
      <c r="D1139" s="2">
        <v>0.4034490740740741</v>
      </c>
      <c r="E1139" s="2">
        <v>0.40371527777777777</v>
      </c>
      <c r="F1139" s="2">
        <f t="shared" si="171"/>
        <v>2.662037037036713E-4</v>
      </c>
      <c r="G1139">
        <f t="shared" si="172"/>
        <v>0</v>
      </c>
      <c r="H1139">
        <f t="shared" si="173"/>
        <v>0</v>
      </c>
      <c r="I1139">
        <f t="shared" si="174"/>
        <v>23</v>
      </c>
      <c r="J1139">
        <f t="shared" si="175"/>
        <v>23</v>
      </c>
      <c r="K1139">
        <f t="shared" si="176"/>
        <v>1</v>
      </c>
      <c r="L1139">
        <f t="shared" si="177"/>
        <v>368767</v>
      </c>
      <c r="M1139">
        <f t="shared" si="178"/>
        <v>115361</v>
      </c>
      <c r="N1139">
        <f t="shared" si="179"/>
        <v>532128</v>
      </c>
      <c r="O1139">
        <f>IF(B1139="zagraniczny",K1139+O1138,O1138)</f>
        <v>506</v>
      </c>
    </row>
    <row r="1140" spans="1:15" x14ac:dyDescent="0.25">
      <c r="A1140">
        <v>6333341</v>
      </c>
      <c r="B1140" t="str">
        <f t="shared" si="170"/>
        <v>stacjonarny</v>
      </c>
      <c r="C1140" s="1">
        <v>42934</v>
      </c>
      <c r="D1140" s="2">
        <v>0.40690972222222221</v>
      </c>
      <c r="E1140" s="2">
        <v>0.4103472222222222</v>
      </c>
      <c r="F1140" s="2">
        <f t="shared" si="171"/>
        <v>3.4374999999999822E-3</v>
      </c>
      <c r="G1140">
        <f t="shared" si="172"/>
        <v>0</v>
      </c>
      <c r="H1140">
        <f t="shared" si="173"/>
        <v>4</v>
      </c>
      <c r="I1140">
        <f t="shared" si="174"/>
        <v>57</v>
      </c>
      <c r="J1140">
        <f t="shared" si="175"/>
        <v>297</v>
      </c>
      <c r="K1140">
        <f t="shared" si="176"/>
        <v>5</v>
      </c>
      <c r="L1140">
        <f t="shared" si="177"/>
        <v>369064</v>
      </c>
      <c r="M1140">
        <f t="shared" si="178"/>
        <v>115361</v>
      </c>
      <c r="N1140">
        <f t="shared" si="179"/>
        <v>532425</v>
      </c>
      <c r="O1140">
        <f>IF(B1140="zagraniczny",K1140+O1139,O1139)</f>
        <v>506</v>
      </c>
    </row>
    <row r="1141" spans="1:15" x14ac:dyDescent="0.25">
      <c r="A1141">
        <v>5060909</v>
      </c>
      <c r="B1141" t="str">
        <f t="shared" si="170"/>
        <v>stacjonarny</v>
      </c>
      <c r="C1141" s="1">
        <v>42934</v>
      </c>
      <c r="D1141" s="2">
        <v>0.40699074074074076</v>
      </c>
      <c r="E1141" s="2">
        <v>0.41368055555555555</v>
      </c>
      <c r="F1141" s="2">
        <f t="shared" si="171"/>
        <v>6.6898148148147873E-3</v>
      </c>
      <c r="G1141">
        <f t="shared" si="172"/>
        <v>0</v>
      </c>
      <c r="H1141">
        <f t="shared" si="173"/>
        <v>9</v>
      </c>
      <c r="I1141">
        <f t="shared" si="174"/>
        <v>38</v>
      </c>
      <c r="J1141">
        <f t="shared" si="175"/>
        <v>578</v>
      </c>
      <c r="K1141">
        <f t="shared" si="176"/>
        <v>10</v>
      </c>
      <c r="L1141">
        <f t="shared" si="177"/>
        <v>369642</v>
      </c>
      <c r="M1141">
        <f t="shared" si="178"/>
        <v>115361</v>
      </c>
      <c r="N1141">
        <f t="shared" si="179"/>
        <v>533003</v>
      </c>
      <c r="O1141">
        <f>IF(B1141="zagraniczny",K1141+O1140,O1140)</f>
        <v>506</v>
      </c>
    </row>
    <row r="1142" spans="1:15" x14ac:dyDescent="0.25">
      <c r="A1142">
        <v>4673703944</v>
      </c>
      <c r="B1142" t="str">
        <f t="shared" si="170"/>
        <v>zagraniczny</v>
      </c>
      <c r="C1142" s="1">
        <v>42934</v>
      </c>
      <c r="D1142" s="2">
        <v>0.40822916666666664</v>
      </c>
      <c r="E1142" s="2">
        <v>0.41090277777777778</v>
      </c>
      <c r="F1142" s="2">
        <f t="shared" si="171"/>
        <v>2.6736111111111405E-3</v>
      </c>
      <c r="G1142">
        <f t="shared" si="172"/>
        <v>0</v>
      </c>
      <c r="H1142">
        <f t="shared" si="173"/>
        <v>3</v>
      </c>
      <c r="I1142">
        <f t="shared" si="174"/>
        <v>51</v>
      </c>
      <c r="J1142">
        <f t="shared" si="175"/>
        <v>231</v>
      </c>
      <c r="K1142">
        <f t="shared" si="176"/>
        <v>4</v>
      </c>
      <c r="L1142">
        <f t="shared" si="177"/>
        <v>369642</v>
      </c>
      <c r="M1142">
        <f t="shared" si="178"/>
        <v>115361</v>
      </c>
      <c r="N1142">
        <f t="shared" si="179"/>
        <v>533003</v>
      </c>
      <c r="O1142">
        <f>IF(B1142="zagraniczny",K1142+O1141,O1141)</f>
        <v>510</v>
      </c>
    </row>
    <row r="1143" spans="1:15" x14ac:dyDescent="0.25">
      <c r="A1143">
        <v>3178616</v>
      </c>
      <c r="B1143" t="str">
        <f t="shared" si="170"/>
        <v>stacjonarny</v>
      </c>
      <c r="C1143" s="1">
        <v>42934</v>
      </c>
      <c r="D1143" s="2">
        <v>0.40974537037037034</v>
      </c>
      <c r="E1143" s="2">
        <v>0.41177083333333331</v>
      </c>
      <c r="F1143" s="2">
        <f t="shared" si="171"/>
        <v>2.025462962962965E-3</v>
      </c>
      <c r="G1143">
        <f t="shared" si="172"/>
        <v>0</v>
      </c>
      <c r="H1143">
        <f t="shared" si="173"/>
        <v>2</v>
      </c>
      <c r="I1143">
        <f t="shared" si="174"/>
        <v>55</v>
      </c>
      <c r="J1143">
        <f t="shared" si="175"/>
        <v>175</v>
      </c>
      <c r="K1143">
        <f t="shared" si="176"/>
        <v>3</v>
      </c>
      <c r="L1143">
        <f t="shared" si="177"/>
        <v>369817</v>
      </c>
      <c r="M1143">
        <f t="shared" si="178"/>
        <v>115361</v>
      </c>
      <c r="N1143">
        <f t="shared" si="179"/>
        <v>533178</v>
      </c>
      <c r="O1143">
        <f>IF(B1143="zagraniczny",K1143+O1142,O1142)</f>
        <v>510</v>
      </c>
    </row>
    <row r="1144" spans="1:15" x14ac:dyDescent="0.25">
      <c r="A1144">
        <v>2079170589</v>
      </c>
      <c r="B1144" t="str">
        <f t="shared" si="170"/>
        <v>zagraniczny</v>
      </c>
      <c r="C1144" s="1">
        <v>42934</v>
      </c>
      <c r="D1144" s="2">
        <v>0.41120370370370368</v>
      </c>
      <c r="E1144" s="2">
        <v>0.41769675925925925</v>
      </c>
      <c r="F1144" s="2">
        <f t="shared" si="171"/>
        <v>6.4930555555555713E-3</v>
      </c>
      <c r="G1144">
        <f t="shared" si="172"/>
        <v>0</v>
      </c>
      <c r="H1144">
        <f t="shared" si="173"/>
        <v>9</v>
      </c>
      <c r="I1144">
        <f t="shared" si="174"/>
        <v>21</v>
      </c>
      <c r="J1144">
        <f t="shared" si="175"/>
        <v>561</v>
      </c>
      <c r="K1144">
        <f t="shared" si="176"/>
        <v>10</v>
      </c>
      <c r="L1144">
        <f t="shared" si="177"/>
        <v>369817</v>
      </c>
      <c r="M1144">
        <f t="shared" si="178"/>
        <v>115361</v>
      </c>
      <c r="N1144">
        <f t="shared" si="179"/>
        <v>533178</v>
      </c>
      <c r="O1144">
        <f>IF(B1144="zagraniczny",K1144+O1143,O1143)</f>
        <v>520</v>
      </c>
    </row>
    <row r="1145" spans="1:15" x14ac:dyDescent="0.25">
      <c r="A1145">
        <v>9815754</v>
      </c>
      <c r="B1145" t="str">
        <f t="shared" si="170"/>
        <v>stacjonarny</v>
      </c>
      <c r="C1145" s="1">
        <v>42934</v>
      </c>
      <c r="D1145" s="2">
        <v>0.41260416666666666</v>
      </c>
      <c r="E1145" s="2">
        <v>0.41688657407407409</v>
      </c>
      <c r="F1145" s="2">
        <f t="shared" si="171"/>
        <v>4.2824074074074292E-3</v>
      </c>
      <c r="G1145">
        <f t="shared" si="172"/>
        <v>0</v>
      </c>
      <c r="H1145">
        <f t="shared" si="173"/>
        <v>6</v>
      </c>
      <c r="I1145">
        <f t="shared" si="174"/>
        <v>10</v>
      </c>
      <c r="J1145">
        <f t="shared" si="175"/>
        <v>370</v>
      </c>
      <c r="K1145">
        <f t="shared" si="176"/>
        <v>7</v>
      </c>
      <c r="L1145">
        <f t="shared" si="177"/>
        <v>370187</v>
      </c>
      <c r="M1145">
        <f t="shared" si="178"/>
        <v>115361</v>
      </c>
      <c r="N1145">
        <f t="shared" si="179"/>
        <v>533548</v>
      </c>
      <c r="O1145">
        <f>IF(B1145="zagraniczny",K1145+O1144,O1144)</f>
        <v>520</v>
      </c>
    </row>
    <row r="1146" spans="1:15" x14ac:dyDescent="0.25">
      <c r="A1146">
        <v>4111617</v>
      </c>
      <c r="B1146" t="str">
        <f t="shared" si="170"/>
        <v>stacjonarny</v>
      </c>
      <c r="C1146" s="1">
        <v>42934</v>
      </c>
      <c r="D1146" s="2">
        <v>0.41450231481481481</v>
      </c>
      <c r="E1146" s="2">
        <v>0.41574074074074074</v>
      </c>
      <c r="F1146" s="2">
        <f t="shared" si="171"/>
        <v>1.2384259259259345E-3</v>
      </c>
      <c r="G1146">
        <f t="shared" si="172"/>
        <v>0</v>
      </c>
      <c r="H1146">
        <f t="shared" si="173"/>
        <v>1</v>
      </c>
      <c r="I1146">
        <f t="shared" si="174"/>
        <v>47</v>
      </c>
      <c r="J1146">
        <f t="shared" si="175"/>
        <v>107</v>
      </c>
      <c r="K1146">
        <f t="shared" si="176"/>
        <v>2</v>
      </c>
      <c r="L1146">
        <f t="shared" si="177"/>
        <v>370294</v>
      </c>
      <c r="M1146">
        <f t="shared" si="178"/>
        <v>115361</v>
      </c>
      <c r="N1146">
        <f t="shared" si="179"/>
        <v>533655</v>
      </c>
      <c r="O1146">
        <f>IF(B1146="zagraniczny",K1146+O1145,O1145)</f>
        <v>520</v>
      </c>
    </row>
    <row r="1147" spans="1:15" x14ac:dyDescent="0.25">
      <c r="A1147">
        <v>1117628</v>
      </c>
      <c r="B1147" t="str">
        <f t="shared" si="170"/>
        <v>stacjonarny</v>
      </c>
      <c r="C1147" s="1">
        <v>42934</v>
      </c>
      <c r="D1147" s="2">
        <v>0.41652777777777777</v>
      </c>
      <c r="E1147" s="2">
        <v>0.42443287037037036</v>
      </c>
      <c r="F1147" s="2">
        <f t="shared" si="171"/>
        <v>7.9050925925925886E-3</v>
      </c>
      <c r="G1147">
        <f t="shared" si="172"/>
        <v>0</v>
      </c>
      <c r="H1147">
        <f t="shared" si="173"/>
        <v>11</v>
      </c>
      <c r="I1147">
        <f t="shared" si="174"/>
        <v>23</v>
      </c>
      <c r="J1147">
        <f t="shared" si="175"/>
        <v>683</v>
      </c>
      <c r="K1147">
        <f t="shared" si="176"/>
        <v>12</v>
      </c>
      <c r="L1147">
        <f t="shared" si="177"/>
        <v>370977</v>
      </c>
      <c r="M1147">
        <f t="shared" si="178"/>
        <v>115361</v>
      </c>
      <c r="N1147">
        <f t="shared" si="179"/>
        <v>534338</v>
      </c>
      <c r="O1147">
        <f>IF(B1147="zagraniczny",K1147+O1146,O1146)</f>
        <v>520</v>
      </c>
    </row>
    <row r="1148" spans="1:15" x14ac:dyDescent="0.25">
      <c r="A1148">
        <v>5487496</v>
      </c>
      <c r="B1148" t="str">
        <f t="shared" si="170"/>
        <v>stacjonarny</v>
      </c>
      <c r="C1148" s="1">
        <v>42934</v>
      </c>
      <c r="D1148" s="2">
        <v>0.42114583333333333</v>
      </c>
      <c r="E1148" s="2">
        <v>0.4230902777777778</v>
      </c>
      <c r="F1148" s="2">
        <f t="shared" si="171"/>
        <v>1.9444444444444708E-3</v>
      </c>
      <c r="G1148">
        <f t="shared" si="172"/>
        <v>0</v>
      </c>
      <c r="H1148">
        <f t="shared" si="173"/>
        <v>2</v>
      </c>
      <c r="I1148">
        <f t="shared" si="174"/>
        <v>48</v>
      </c>
      <c r="J1148">
        <f t="shared" si="175"/>
        <v>168</v>
      </c>
      <c r="K1148">
        <f t="shared" si="176"/>
        <v>3</v>
      </c>
      <c r="L1148">
        <f t="shared" si="177"/>
        <v>371145</v>
      </c>
      <c r="M1148">
        <f t="shared" si="178"/>
        <v>115361</v>
      </c>
      <c r="N1148">
        <f t="shared" si="179"/>
        <v>534506</v>
      </c>
      <c r="O1148">
        <f>IF(B1148="zagraniczny",K1148+O1147,O1147)</f>
        <v>520</v>
      </c>
    </row>
    <row r="1149" spans="1:15" x14ac:dyDescent="0.25">
      <c r="A1149">
        <v>1472682</v>
      </c>
      <c r="B1149" t="str">
        <f t="shared" si="170"/>
        <v>stacjonarny</v>
      </c>
      <c r="C1149" s="1">
        <v>42934</v>
      </c>
      <c r="D1149" s="2">
        <v>0.42533564814814817</v>
      </c>
      <c r="E1149" s="2">
        <v>0.43167824074074074</v>
      </c>
      <c r="F1149" s="2">
        <f t="shared" si="171"/>
        <v>6.3425925925925664E-3</v>
      </c>
      <c r="G1149">
        <f t="shared" si="172"/>
        <v>0</v>
      </c>
      <c r="H1149">
        <f t="shared" si="173"/>
        <v>9</v>
      </c>
      <c r="I1149">
        <f t="shared" si="174"/>
        <v>8</v>
      </c>
      <c r="J1149">
        <f t="shared" si="175"/>
        <v>548</v>
      </c>
      <c r="K1149">
        <f t="shared" si="176"/>
        <v>10</v>
      </c>
      <c r="L1149">
        <f t="shared" si="177"/>
        <v>371693</v>
      </c>
      <c r="M1149">
        <f t="shared" si="178"/>
        <v>115361</v>
      </c>
      <c r="N1149">
        <f t="shared" si="179"/>
        <v>535054</v>
      </c>
      <c r="O1149">
        <f>IF(B1149="zagraniczny",K1149+O1148,O1148)</f>
        <v>520</v>
      </c>
    </row>
    <row r="1150" spans="1:15" x14ac:dyDescent="0.25">
      <c r="A1150">
        <v>43885630</v>
      </c>
      <c r="B1150" t="str">
        <f t="shared" si="170"/>
        <v>komorkowy</v>
      </c>
      <c r="C1150" s="1">
        <v>42934</v>
      </c>
      <c r="D1150" s="2">
        <v>0.42988425925925927</v>
      </c>
      <c r="E1150" s="2">
        <v>0.43424768518518519</v>
      </c>
      <c r="F1150" s="2">
        <f t="shared" si="171"/>
        <v>4.3634259259259234E-3</v>
      </c>
      <c r="G1150">
        <f t="shared" si="172"/>
        <v>0</v>
      </c>
      <c r="H1150">
        <f t="shared" si="173"/>
        <v>6</v>
      </c>
      <c r="I1150">
        <f t="shared" si="174"/>
        <v>17</v>
      </c>
      <c r="J1150">
        <f t="shared" si="175"/>
        <v>377</v>
      </c>
      <c r="K1150">
        <f t="shared" si="176"/>
        <v>7</v>
      </c>
      <c r="L1150">
        <f t="shared" si="177"/>
        <v>371693</v>
      </c>
      <c r="M1150">
        <f t="shared" si="178"/>
        <v>115738</v>
      </c>
      <c r="N1150">
        <f t="shared" si="179"/>
        <v>535431</v>
      </c>
      <c r="O1150">
        <f>IF(B1150="zagraniczny",K1150+O1149,O1149)</f>
        <v>520</v>
      </c>
    </row>
    <row r="1151" spans="1:15" x14ac:dyDescent="0.25">
      <c r="A1151">
        <v>5543741</v>
      </c>
      <c r="B1151" t="str">
        <f t="shared" si="170"/>
        <v>stacjonarny</v>
      </c>
      <c r="C1151" s="1">
        <v>42934</v>
      </c>
      <c r="D1151" s="2">
        <v>0.42997685185185186</v>
      </c>
      <c r="E1151" s="2">
        <v>0.43590277777777775</v>
      </c>
      <c r="F1151" s="2">
        <f t="shared" si="171"/>
        <v>5.9259259259258901E-3</v>
      </c>
      <c r="G1151">
        <f t="shared" si="172"/>
        <v>0</v>
      </c>
      <c r="H1151">
        <f t="shared" si="173"/>
        <v>8</v>
      </c>
      <c r="I1151">
        <f t="shared" si="174"/>
        <v>32</v>
      </c>
      <c r="J1151">
        <f t="shared" si="175"/>
        <v>512</v>
      </c>
      <c r="K1151">
        <f t="shared" si="176"/>
        <v>9</v>
      </c>
      <c r="L1151">
        <f t="shared" si="177"/>
        <v>372205</v>
      </c>
      <c r="M1151">
        <f t="shared" si="178"/>
        <v>115738</v>
      </c>
      <c r="N1151">
        <f t="shared" si="179"/>
        <v>535943</v>
      </c>
      <c r="O1151">
        <f>IF(B1151="zagraniczny",K1151+O1150,O1150)</f>
        <v>520</v>
      </c>
    </row>
    <row r="1152" spans="1:15" x14ac:dyDescent="0.25">
      <c r="A1152">
        <v>2590674</v>
      </c>
      <c r="B1152" t="str">
        <f t="shared" si="170"/>
        <v>stacjonarny</v>
      </c>
      <c r="C1152" s="1">
        <v>42934</v>
      </c>
      <c r="D1152" s="2">
        <v>0.43025462962962963</v>
      </c>
      <c r="E1152" s="2">
        <v>0.43677083333333333</v>
      </c>
      <c r="F1152" s="2">
        <f t="shared" si="171"/>
        <v>6.5162037037037046E-3</v>
      </c>
      <c r="G1152">
        <f t="shared" si="172"/>
        <v>0</v>
      </c>
      <c r="H1152">
        <f t="shared" si="173"/>
        <v>9</v>
      </c>
      <c r="I1152">
        <f t="shared" si="174"/>
        <v>23</v>
      </c>
      <c r="J1152">
        <f t="shared" si="175"/>
        <v>563</v>
      </c>
      <c r="K1152">
        <f t="shared" si="176"/>
        <v>10</v>
      </c>
      <c r="L1152">
        <f t="shared" si="177"/>
        <v>372768</v>
      </c>
      <c r="M1152">
        <f t="shared" si="178"/>
        <v>115738</v>
      </c>
      <c r="N1152">
        <f t="shared" si="179"/>
        <v>536506</v>
      </c>
      <c r="O1152">
        <f>IF(B1152="zagraniczny",K1152+O1151,O1151)</f>
        <v>520</v>
      </c>
    </row>
    <row r="1153" spans="1:15" x14ac:dyDescent="0.25">
      <c r="A1153">
        <v>4212838</v>
      </c>
      <c r="B1153" t="str">
        <f t="shared" si="170"/>
        <v>stacjonarny</v>
      </c>
      <c r="C1153" s="1">
        <v>42934</v>
      </c>
      <c r="D1153" s="2">
        <v>0.43420138888888887</v>
      </c>
      <c r="E1153" s="2">
        <v>0.43973379629629628</v>
      </c>
      <c r="F1153" s="2">
        <f t="shared" si="171"/>
        <v>5.5324074074074026E-3</v>
      </c>
      <c r="G1153">
        <f t="shared" si="172"/>
        <v>0</v>
      </c>
      <c r="H1153">
        <f t="shared" si="173"/>
        <v>7</v>
      </c>
      <c r="I1153">
        <f t="shared" si="174"/>
        <v>58</v>
      </c>
      <c r="J1153">
        <f t="shared" si="175"/>
        <v>478</v>
      </c>
      <c r="K1153">
        <f t="shared" si="176"/>
        <v>8</v>
      </c>
      <c r="L1153">
        <f t="shared" si="177"/>
        <v>373246</v>
      </c>
      <c r="M1153">
        <f t="shared" si="178"/>
        <v>115738</v>
      </c>
      <c r="N1153">
        <f t="shared" si="179"/>
        <v>536984</v>
      </c>
      <c r="O1153">
        <f>IF(B1153="zagraniczny",K1153+O1152,O1152)</f>
        <v>520</v>
      </c>
    </row>
    <row r="1154" spans="1:15" x14ac:dyDescent="0.25">
      <c r="A1154">
        <v>7836418</v>
      </c>
      <c r="B1154" t="str">
        <f t="shared" si="170"/>
        <v>stacjonarny</v>
      </c>
      <c r="C1154" s="1">
        <v>42934</v>
      </c>
      <c r="D1154" s="2">
        <v>0.4354513888888889</v>
      </c>
      <c r="E1154" s="2">
        <v>0.43745370370370368</v>
      </c>
      <c r="F1154" s="2">
        <f t="shared" si="171"/>
        <v>2.0023148148147762E-3</v>
      </c>
      <c r="G1154">
        <f t="shared" si="172"/>
        <v>0</v>
      </c>
      <c r="H1154">
        <f t="shared" si="173"/>
        <v>2</v>
      </c>
      <c r="I1154">
        <f t="shared" si="174"/>
        <v>53</v>
      </c>
      <c r="J1154">
        <f t="shared" si="175"/>
        <v>173</v>
      </c>
      <c r="K1154">
        <f t="shared" si="176"/>
        <v>3</v>
      </c>
      <c r="L1154">
        <f t="shared" si="177"/>
        <v>373419</v>
      </c>
      <c r="M1154">
        <f t="shared" si="178"/>
        <v>115738</v>
      </c>
      <c r="N1154">
        <f t="shared" si="179"/>
        <v>537157</v>
      </c>
      <c r="O1154">
        <f>IF(B1154="zagraniczny",K1154+O1153,O1153)</f>
        <v>520</v>
      </c>
    </row>
    <row r="1155" spans="1:15" x14ac:dyDescent="0.25">
      <c r="A1155">
        <v>2844911</v>
      </c>
      <c r="B1155" t="str">
        <f t="shared" ref="B1155:B1218" si="180">IF(LEN(A1155)=7,"stacjonarny",IF(LEN(A1155)=8,"komorkowy","zagraniczny"))</f>
        <v>stacjonarny</v>
      </c>
      <c r="C1155" s="1">
        <v>42934</v>
      </c>
      <c r="D1155" s="2">
        <v>0.43821759259259258</v>
      </c>
      <c r="E1155" s="2">
        <v>0.44969907407407406</v>
      </c>
      <c r="F1155" s="2">
        <f t="shared" ref="F1155:F1218" si="181">E1155-D1155</f>
        <v>1.1481481481481481E-2</v>
      </c>
      <c r="G1155">
        <f t="shared" ref="G1155:G1218" si="182">HOUR(F1155)</f>
        <v>0</v>
      </c>
      <c r="H1155">
        <f t="shared" ref="H1155:H1218" si="183">MINUTE(F1155)</f>
        <v>16</v>
      </c>
      <c r="I1155">
        <f t="shared" ref="I1155:I1218" si="184">SECOND(F1155)</f>
        <v>32</v>
      </c>
      <c r="J1155">
        <f t="shared" ref="J1155:J1218" si="185">H1155*60+I1155</f>
        <v>992</v>
      </c>
      <c r="K1155">
        <f t="shared" ref="K1155:K1218" si="186">IF(I1155&gt;0,G1155*60+H1155+1,H1155+G1155*60)</f>
        <v>17</v>
      </c>
      <c r="L1155">
        <f t="shared" si="177"/>
        <v>374411</v>
      </c>
      <c r="M1155">
        <f t="shared" si="178"/>
        <v>115738</v>
      </c>
      <c r="N1155">
        <f t="shared" si="179"/>
        <v>538149</v>
      </c>
      <c r="O1155">
        <f>IF(B1155="zagraniczny",K1155+O1154,O1154)</f>
        <v>520</v>
      </c>
    </row>
    <row r="1156" spans="1:15" x14ac:dyDescent="0.25">
      <c r="A1156">
        <v>2861766</v>
      </c>
      <c r="B1156" t="str">
        <f t="shared" si="180"/>
        <v>stacjonarny</v>
      </c>
      <c r="C1156" s="1">
        <v>42934</v>
      </c>
      <c r="D1156" s="2">
        <v>0.4403125</v>
      </c>
      <c r="E1156" s="2">
        <v>0.4490972222222222</v>
      </c>
      <c r="F1156" s="2">
        <f t="shared" si="181"/>
        <v>8.7847222222222077E-3</v>
      </c>
      <c r="G1156">
        <f t="shared" si="182"/>
        <v>0</v>
      </c>
      <c r="H1156">
        <f t="shared" si="183"/>
        <v>12</v>
      </c>
      <c r="I1156">
        <f t="shared" si="184"/>
        <v>39</v>
      </c>
      <c r="J1156">
        <f t="shared" si="185"/>
        <v>759</v>
      </c>
      <c r="K1156">
        <f t="shared" si="186"/>
        <v>13</v>
      </c>
      <c r="L1156">
        <f t="shared" ref="L1156:L1219" si="187">IF(B1156="stacjonarny",$J1156+L1155,L1155)</f>
        <v>375170</v>
      </c>
      <c r="M1156">
        <f t="shared" ref="M1156:M1219" si="188">IF(B1156="komorkowy",$J1156+M1155,M1155)</f>
        <v>115738</v>
      </c>
      <c r="N1156">
        <f t="shared" ref="N1156:N1219" si="189">IF(OR(B1156="stacjonarny",B1156="komorkowy"),J1156+N1155,N1155)</f>
        <v>538908</v>
      </c>
      <c r="O1156">
        <f>IF(B1156="zagraniczny",K1156+O1155,O1155)</f>
        <v>520</v>
      </c>
    </row>
    <row r="1157" spans="1:15" x14ac:dyDescent="0.25">
      <c r="A1157">
        <v>9655946</v>
      </c>
      <c r="B1157" t="str">
        <f t="shared" si="180"/>
        <v>stacjonarny</v>
      </c>
      <c r="C1157" s="1">
        <v>42934</v>
      </c>
      <c r="D1157" s="2">
        <v>0.44385416666666666</v>
      </c>
      <c r="E1157" s="2">
        <v>0.45193287037037039</v>
      </c>
      <c r="F1157" s="2">
        <f t="shared" si="181"/>
        <v>8.0787037037037268E-3</v>
      </c>
      <c r="G1157">
        <f t="shared" si="182"/>
        <v>0</v>
      </c>
      <c r="H1157">
        <f t="shared" si="183"/>
        <v>11</v>
      </c>
      <c r="I1157">
        <f t="shared" si="184"/>
        <v>38</v>
      </c>
      <c r="J1157">
        <f t="shared" si="185"/>
        <v>698</v>
      </c>
      <c r="K1157">
        <f t="shared" si="186"/>
        <v>12</v>
      </c>
      <c r="L1157">
        <f t="shared" si="187"/>
        <v>375868</v>
      </c>
      <c r="M1157">
        <f t="shared" si="188"/>
        <v>115738</v>
      </c>
      <c r="N1157">
        <f t="shared" si="189"/>
        <v>539606</v>
      </c>
      <c r="O1157">
        <f>IF(B1157="zagraniczny",K1157+O1156,O1156)</f>
        <v>520</v>
      </c>
    </row>
    <row r="1158" spans="1:15" x14ac:dyDescent="0.25">
      <c r="A1158">
        <v>6050570</v>
      </c>
      <c r="B1158" t="str">
        <f t="shared" si="180"/>
        <v>stacjonarny</v>
      </c>
      <c r="C1158" s="1">
        <v>42934</v>
      </c>
      <c r="D1158" s="2">
        <v>0.44744212962962965</v>
      </c>
      <c r="E1158" s="2">
        <v>0.45751157407407406</v>
      </c>
      <c r="F1158" s="2">
        <f t="shared" si="181"/>
        <v>1.0069444444444409E-2</v>
      </c>
      <c r="G1158">
        <f t="shared" si="182"/>
        <v>0</v>
      </c>
      <c r="H1158">
        <f t="shared" si="183"/>
        <v>14</v>
      </c>
      <c r="I1158">
        <f t="shared" si="184"/>
        <v>30</v>
      </c>
      <c r="J1158">
        <f t="shared" si="185"/>
        <v>870</v>
      </c>
      <c r="K1158">
        <f t="shared" si="186"/>
        <v>15</v>
      </c>
      <c r="L1158">
        <f t="shared" si="187"/>
        <v>376738</v>
      </c>
      <c r="M1158">
        <f t="shared" si="188"/>
        <v>115738</v>
      </c>
      <c r="N1158">
        <f t="shared" si="189"/>
        <v>540476</v>
      </c>
      <c r="O1158">
        <f>IF(B1158="zagraniczny",K1158+O1157,O1157)</f>
        <v>520</v>
      </c>
    </row>
    <row r="1159" spans="1:15" x14ac:dyDescent="0.25">
      <c r="A1159">
        <v>1607422</v>
      </c>
      <c r="B1159" t="str">
        <f t="shared" si="180"/>
        <v>stacjonarny</v>
      </c>
      <c r="C1159" s="1">
        <v>42934</v>
      </c>
      <c r="D1159" s="2">
        <v>0.45238425925925924</v>
      </c>
      <c r="E1159" s="2">
        <v>0.45937499999999998</v>
      </c>
      <c r="F1159" s="2">
        <f t="shared" si="181"/>
        <v>6.9907407407407418E-3</v>
      </c>
      <c r="G1159">
        <f t="shared" si="182"/>
        <v>0</v>
      </c>
      <c r="H1159">
        <f t="shared" si="183"/>
        <v>10</v>
      </c>
      <c r="I1159">
        <f t="shared" si="184"/>
        <v>4</v>
      </c>
      <c r="J1159">
        <f t="shared" si="185"/>
        <v>604</v>
      </c>
      <c r="K1159">
        <f t="shared" si="186"/>
        <v>11</v>
      </c>
      <c r="L1159">
        <f t="shared" si="187"/>
        <v>377342</v>
      </c>
      <c r="M1159">
        <f t="shared" si="188"/>
        <v>115738</v>
      </c>
      <c r="N1159">
        <f t="shared" si="189"/>
        <v>541080</v>
      </c>
      <c r="O1159">
        <f>IF(B1159="zagraniczny",K1159+O1158,O1158)</f>
        <v>520</v>
      </c>
    </row>
    <row r="1160" spans="1:15" x14ac:dyDescent="0.25">
      <c r="A1160">
        <v>1192412</v>
      </c>
      <c r="B1160" t="str">
        <f t="shared" si="180"/>
        <v>stacjonarny</v>
      </c>
      <c r="C1160" s="1">
        <v>42934</v>
      </c>
      <c r="D1160" s="2">
        <v>0.45417824074074076</v>
      </c>
      <c r="E1160" s="2">
        <v>0.46438657407407408</v>
      </c>
      <c r="F1160" s="2">
        <f t="shared" si="181"/>
        <v>1.0208333333333319E-2</v>
      </c>
      <c r="G1160">
        <f t="shared" si="182"/>
        <v>0</v>
      </c>
      <c r="H1160">
        <f t="shared" si="183"/>
        <v>14</v>
      </c>
      <c r="I1160">
        <f t="shared" si="184"/>
        <v>42</v>
      </c>
      <c r="J1160">
        <f t="shared" si="185"/>
        <v>882</v>
      </c>
      <c r="K1160">
        <f t="shared" si="186"/>
        <v>15</v>
      </c>
      <c r="L1160">
        <f t="shared" si="187"/>
        <v>378224</v>
      </c>
      <c r="M1160">
        <f t="shared" si="188"/>
        <v>115738</v>
      </c>
      <c r="N1160">
        <f t="shared" si="189"/>
        <v>541962</v>
      </c>
      <c r="O1160">
        <f>IF(B1160="zagraniczny",K1160+O1159,O1159)</f>
        <v>520</v>
      </c>
    </row>
    <row r="1161" spans="1:15" x14ac:dyDescent="0.25">
      <c r="A1161">
        <v>4959551431</v>
      </c>
      <c r="B1161" t="str">
        <f t="shared" si="180"/>
        <v>zagraniczny</v>
      </c>
      <c r="C1161" s="1">
        <v>42934</v>
      </c>
      <c r="D1161" s="2">
        <v>0.45437499999999997</v>
      </c>
      <c r="E1161" s="2">
        <v>0.45770833333333333</v>
      </c>
      <c r="F1161" s="2">
        <f t="shared" si="181"/>
        <v>3.3333333333333548E-3</v>
      </c>
      <c r="G1161">
        <f t="shared" si="182"/>
        <v>0</v>
      </c>
      <c r="H1161">
        <f t="shared" si="183"/>
        <v>4</v>
      </c>
      <c r="I1161">
        <f t="shared" si="184"/>
        <v>48</v>
      </c>
      <c r="J1161">
        <f t="shared" si="185"/>
        <v>288</v>
      </c>
      <c r="K1161">
        <f t="shared" si="186"/>
        <v>5</v>
      </c>
      <c r="L1161">
        <f t="shared" si="187"/>
        <v>378224</v>
      </c>
      <c r="M1161">
        <f t="shared" si="188"/>
        <v>115738</v>
      </c>
      <c r="N1161">
        <f t="shared" si="189"/>
        <v>541962</v>
      </c>
      <c r="O1161">
        <f>IF(B1161="zagraniczny",K1161+O1160,O1160)</f>
        <v>525</v>
      </c>
    </row>
    <row r="1162" spans="1:15" x14ac:dyDescent="0.25">
      <c r="A1162">
        <v>9808221</v>
      </c>
      <c r="B1162" t="str">
        <f t="shared" si="180"/>
        <v>stacjonarny</v>
      </c>
      <c r="C1162" s="1">
        <v>42934</v>
      </c>
      <c r="D1162" s="2">
        <v>0.45680555555555558</v>
      </c>
      <c r="E1162" s="2">
        <v>0.4636689814814815</v>
      </c>
      <c r="F1162" s="2">
        <f t="shared" si="181"/>
        <v>6.8634259259259256E-3</v>
      </c>
      <c r="G1162">
        <f t="shared" si="182"/>
        <v>0</v>
      </c>
      <c r="H1162">
        <f t="shared" si="183"/>
        <v>9</v>
      </c>
      <c r="I1162">
        <f t="shared" si="184"/>
        <v>53</v>
      </c>
      <c r="J1162">
        <f t="shared" si="185"/>
        <v>593</v>
      </c>
      <c r="K1162">
        <f t="shared" si="186"/>
        <v>10</v>
      </c>
      <c r="L1162">
        <f t="shared" si="187"/>
        <v>378817</v>
      </c>
      <c r="M1162">
        <f t="shared" si="188"/>
        <v>115738</v>
      </c>
      <c r="N1162">
        <f t="shared" si="189"/>
        <v>542555</v>
      </c>
      <c r="O1162">
        <f>IF(B1162="zagraniczny",K1162+O1161,O1161)</f>
        <v>525</v>
      </c>
    </row>
    <row r="1163" spans="1:15" x14ac:dyDescent="0.25">
      <c r="A1163">
        <v>8672623</v>
      </c>
      <c r="B1163" t="str">
        <f t="shared" si="180"/>
        <v>stacjonarny</v>
      </c>
      <c r="C1163" s="1">
        <v>42934</v>
      </c>
      <c r="D1163" s="2">
        <v>0.45947916666666666</v>
      </c>
      <c r="E1163" s="2">
        <v>0.46460648148148148</v>
      </c>
      <c r="F1163" s="2">
        <f t="shared" si="181"/>
        <v>5.1273148148148207E-3</v>
      </c>
      <c r="G1163">
        <f t="shared" si="182"/>
        <v>0</v>
      </c>
      <c r="H1163">
        <f t="shared" si="183"/>
        <v>7</v>
      </c>
      <c r="I1163">
        <f t="shared" si="184"/>
        <v>23</v>
      </c>
      <c r="J1163">
        <f t="shared" si="185"/>
        <v>443</v>
      </c>
      <c r="K1163">
        <f t="shared" si="186"/>
        <v>8</v>
      </c>
      <c r="L1163">
        <f t="shared" si="187"/>
        <v>379260</v>
      </c>
      <c r="M1163">
        <f t="shared" si="188"/>
        <v>115738</v>
      </c>
      <c r="N1163">
        <f t="shared" si="189"/>
        <v>542998</v>
      </c>
      <c r="O1163">
        <f>IF(B1163="zagraniczny",K1163+O1162,O1162)</f>
        <v>525</v>
      </c>
    </row>
    <row r="1164" spans="1:15" x14ac:dyDescent="0.25">
      <c r="A1164">
        <v>3862016</v>
      </c>
      <c r="B1164" t="str">
        <f t="shared" si="180"/>
        <v>stacjonarny</v>
      </c>
      <c r="C1164" s="1">
        <v>42934</v>
      </c>
      <c r="D1164" s="2">
        <v>0.46127314814814813</v>
      </c>
      <c r="E1164" s="2">
        <v>0.46726851851851853</v>
      </c>
      <c r="F1164" s="2">
        <f t="shared" si="181"/>
        <v>5.9953703703704009E-3</v>
      </c>
      <c r="G1164">
        <f t="shared" si="182"/>
        <v>0</v>
      </c>
      <c r="H1164">
        <f t="shared" si="183"/>
        <v>8</v>
      </c>
      <c r="I1164">
        <f t="shared" si="184"/>
        <v>38</v>
      </c>
      <c r="J1164">
        <f t="shared" si="185"/>
        <v>518</v>
      </c>
      <c r="K1164">
        <f t="shared" si="186"/>
        <v>9</v>
      </c>
      <c r="L1164">
        <f t="shared" si="187"/>
        <v>379778</v>
      </c>
      <c r="M1164">
        <f t="shared" si="188"/>
        <v>115738</v>
      </c>
      <c r="N1164">
        <f t="shared" si="189"/>
        <v>543516</v>
      </c>
      <c r="O1164">
        <f>IF(B1164="zagraniczny",K1164+O1163,O1163)</f>
        <v>525</v>
      </c>
    </row>
    <row r="1165" spans="1:15" x14ac:dyDescent="0.25">
      <c r="A1165">
        <v>16580449</v>
      </c>
      <c r="B1165" t="str">
        <f t="shared" si="180"/>
        <v>komorkowy</v>
      </c>
      <c r="C1165" s="1">
        <v>42934</v>
      </c>
      <c r="D1165" s="2">
        <v>0.46130787037037035</v>
      </c>
      <c r="E1165" s="2">
        <v>0.47226851851851853</v>
      </c>
      <c r="F1165" s="2">
        <f t="shared" si="181"/>
        <v>1.0960648148148178E-2</v>
      </c>
      <c r="G1165">
        <f t="shared" si="182"/>
        <v>0</v>
      </c>
      <c r="H1165">
        <f t="shared" si="183"/>
        <v>15</v>
      </c>
      <c r="I1165">
        <f t="shared" si="184"/>
        <v>47</v>
      </c>
      <c r="J1165">
        <f t="shared" si="185"/>
        <v>947</v>
      </c>
      <c r="K1165">
        <f t="shared" si="186"/>
        <v>16</v>
      </c>
      <c r="L1165">
        <f t="shared" si="187"/>
        <v>379778</v>
      </c>
      <c r="M1165">
        <f t="shared" si="188"/>
        <v>116685</v>
      </c>
      <c r="N1165">
        <f t="shared" si="189"/>
        <v>544463</v>
      </c>
      <c r="O1165">
        <f>IF(B1165="zagraniczny",K1165+O1164,O1164)</f>
        <v>525</v>
      </c>
    </row>
    <row r="1166" spans="1:15" x14ac:dyDescent="0.25">
      <c r="A1166">
        <v>67064385</v>
      </c>
      <c r="B1166" t="str">
        <f t="shared" si="180"/>
        <v>komorkowy</v>
      </c>
      <c r="C1166" s="1">
        <v>42934</v>
      </c>
      <c r="D1166" s="2">
        <v>0.46574074074074073</v>
      </c>
      <c r="E1166" s="2">
        <v>0.47495370370370371</v>
      </c>
      <c r="F1166" s="2">
        <f t="shared" si="181"/>
        <v>9.2129629629629783E-3</v>
      </c>
      <c r="G1166">
        <f t="shared" si="182"/>
        <v>0</v>
      </c>
      <c r="H1166">
        <f t="shared" si="183"/>
        <v>13</v>
      </c>
      <c r="I1166">
        <f t="shared" si="184"/>
        <v>16</v>
      </c>
      <c r="J1166">
        <f t="shared" si="185"/>
        <v>796</v>
      </c>
      <c r="K1166">
        <f t="shared" si="186"/>
        <v>14</v>
      </c>
      <c r="L1166">
        <f t="shared" si="187"/>
        <v>379778</v>
      </c>
      <c r="M1166">
        <f t="shared" si="188"/>
        <v>117481</v>
      </c>
      <c r="N1166">
        <f t="shared" si="189"/>
        <v>545259</v>
      </c>
      <c r="O1166">
        <f>IF(B1166="zagraniczny",K1166+O1165,O1165)</f>
        <v>525</v>
      </c>
    </row>
    <row r="1167" spans="1:15" x14ac:dyDescent="0.25">
      <c r="A1167">
        <v>2078150</v>
      </c>
      <c r="B1167" t="str">
        <f t="shared" si="180"/>
        <v>stacjonarny</v>
      </c>
      <c r="C1167" s="1">
        <v>42934</v>
      </c>
      <c r="D1167" s="2">
        <v>0.46872685185185187</v>
      </c>
      <c r="E1167" s="2">
        <v>0.47244212962962961</v>
      </c>
      <c r="F1167" s="2">
        <f t="shared" si="181"/>
        <v>3.7152777777777479E-3</v>
      </c>
      <c r="G1167">
        <f t="shared" si="182"/>
        <v>0</v>
      </c>
      <c r="H1167">
        <f t="shared" si="183"/>
        <v>5</v>
      </c>
      <c r="I1167">
        <f t="shared" si="184"/>
        <v>21</v>
      </c>
      <c r="J1167">
        <f t="shared" si="185"/>
        <v>321</v>
      </c>
      <c r="K1167">
        <f t="shared" si="186"/>
        <v>6</v>
      </c>
      <c r="L1167">
        <f t="shared" si="187"/>
        <v>380099</v>
      </c>
      <c r="M1167">
        <f t="shared" si="188"/>
        <v>117481</v>
      </c>
      <c r="N1167">
        <f t="shared" si="189"/>
        <v>545580</v>
      </c>
      <c r="O1167">
        <f>IF(B1167="zagraniczny",K1167+O1166,O1166)</f>
        <v>525</v>
      </c>
    </row>
    <row r="1168" spans="1:15" x14ac:dyDescent="0.25">
      <c r="A1168">
        <v>5094248</v>
      </c>
      <c r="B1168" t="str">
        <f t="shared" si="180"/>
        <v>stacjonarny</v>
      </c>
      <c r="C1168" s="1">
        <v>42934</v>
      </c>
      <c r="D1168" s="2">
        <v>0.47074074074074074</v>
      </c>
      <c r="E1168" s="2">
        <v>0.47409722222222223</v>
      </c>
      <c r="F1168" s="2">
        <f t="shared" si="181"/>
        <v>3.3564814814814881E-3</v>
      </c>
      <c r="G1168">
        <f t="shared" si="182"/>
        <v>0</v>
      </c>
      <c r="H1168">
        <f t="shared" si="183"/>
        <v>4</v>
      </c>
      <c r="I1168">
        <f t="shared" si="184"/>
        <v>50</v>
      </c>
      <c r="J1168">
        <f t="shared" si="185"/>
        <v>290</v>
      </c>
      <c r="K1168">
        <f t="shared" si="186"/>
        <v>5</v>
      </c>
      <c r="L1168">
        <f t="shared" si="187"/>
        <v>380389</v>
      </c>
      <c r="M1168">
        <f t="shared" si="188"/>
        <v>117481</v>
      </c>
      <c r="N1168">
        <f t="shared" si="189"/>
        <v>545870</v>
      </c>
      <c r="O1168">
        <f>IF(B1168="zagraniczny",K1168+O1167,O1167)</f>
        <v>525</v>
      </c>
    </row>
    <row r="1169" spans="1:15" x14ac:dyDescent="0.25">
      <c r="A1169">
        <v>2584185</v>
      </c>
      <c r="B1169" t="str">
        <f t="shared" si="180"/>
        <v>stacjonarny</v>
      </c>
      <c r="C1169" s="1">
        <v>42934</v>
      </c>
      <c r="D1169" s="2">
        <v>0.47208333333333335</v>
      </c>
      <c r="E1169" s="2">
        <v>0.48284722222222221</v>
      </c>
      <c r="F1169" s="2">
        <f t="shared" si="181"/>
        <v>1.0763888888888851E-2</v>
      </c>
      <c r="G1169">
        <f t="shared" si="182"/>
        <v>0</v>
      </c>
      <c r="H1169">
        <f t="shared" si="183"/>
        <v>15</v>
      </c>
      <c r="I1169">
        <f t="shared" si="184"/>
        <v>30</v>
      </c>
      <c r="J1169">
        <f t="shared" si="185"/>
        <v>930</v>
      </c>
      <c r="K1169">
        <f t="shared" si="186"/>
        <v>16</v>
      </c>
      <c r="L1169">
        <f t="shared" si="187"/>
        <v>381319</v>
      </c>
      <c r="M1169">
        <f t="shared" si="188"/>
        <v>117481</v>
      </c>
      <c r="N1169">
        <f t="shared" si="189"/>
        <v>546800</v>
      </c>
      <c r="O1169">
        <f>IF(B1169="zagraniczny",K1169+O1168,O1168)</f>
        <v>525</v>
      </c>
    </row>
    <row r="1170" spans="1:15" x14ac:dyDescent="0.25">
      <c r="A1170">
        <v>3346801494</v>
      </c>
      <c r="B1170" t="str">
        <f t="shared" si="180"/>
        <v>zagraniczny</v>
      </c>
      <c r="C1170" s="1">
        <v>42934</v>
      </c>
      <c r="D1170" s="2">
        <v>0.47394675925925928</v>
      </c>
      <c r="E1170" s="2">
        <v>0.48170138888888892</v>
      </c>
      <c r="F1170" s="2">
        <f t="shared" si="181"/>
        <v>7.7546296296296391E-3</v>
      </c>
      <c r="G1170">
        <f t="shared" si="182"/>
        <v>0</v>
      </c>
      <c r="H1170">
        <f t="shared" si="183"/>
        <v>11</v>
      </c>
      <c r="I1170">
        <f t="shared" si="184"/>
        <v>10</v>
      </c>
      <c r="J1170">
        <f t="shared" si="185"/>
        <v>670</v>
      </c>
      <c r="K1170">
        <f t="shared" si="186"/>
        <v>12</v>
      </c>
      <c r="L1170">
        <f t="shared" si="187"/>
        <v>381319</v>
      </c>
      <c r="M1170">
        <f t="shared" si="188"/>
        <v>117481</v>
      </c>
      <c r="N1170">
        <f t="shared" si="189"/>
        <v>546800</v>
      </c>
      <c r="O1170">
        <f>IF(B1170="zagraniczny",K1170+O1169,O1169)</f>
        <v>537</v>
      </c>
    </row>
    <row r="1171" spans="1:15" x14ac:dyDescent="0.25">
      <c r="A1171">
        <v>4535172</v>
      </c>
      <c r="B1171" t="str">
        <f t="shared" si="180"/>
        <v>stacjonarny</v>
      </c>
      <c r="C1171" s="1">
        <v>42934</v>
      </c>
      <c r="D1171" s="2">
        <v>0.4750462962962963</v>
      </c>
      <c r="E1171" s="2">
        <v>0.47592592592592592</v>
      </c>
      <c r="F1171" s="2">
        <f t="shared" si="181"/>
        <v>8.796296296296191E-4</v>
      </c>
      <c r="G1171">
        <f t="shared" si="182"/>
        <v>0</v>
      </c>
      <c r="H1171">
        <f t="shared" si="183"/>
        <v>1</v>
      </c>
      <c r="I1171">
        <f t="shared" si="184"/>
        <v>16</v>
      </c>
      <c r="J1171">
        <f t="shared" si="185"/>
        <v>76</v>
      </c>
      <c r="K1171">
        <f t="shared" si="186"/>
        <v>2</v>
      </c>
      <c r="L1171">
        <f t="shared" si="187"/>
        <v>381395</v>
      </c>
      <c r="M1171">
        <f t="shared" si="188"/>
        <v>117481</v>
      </c>
      <c r="N1171">
        <f t="shared" si="189"/>
        <v>546876</v>
      </c>
      <c r="O1171">
        <f>IF(B1171="zagraniczny",K1171+O1170,O1170)</f>
        <v>537</v>
      </c>
    </row>
    <row r="1172" spans="1:15" x14ac:dyDescent="0.25">
      <c r="A1172">
        <v>8723323</v>
      </c>
      <c r="B1172" t="str">
        <f t="shared" si="180"/>
        <v>stacjonarny</v>
      </c>
      <c r="C1172" s="1">
        <v>42934</v>
      </c>
      <c r="D1172" s="2">
        <v>0.47505787037037039</v>
      </c>
      <c r="E1172" s="2">
        <v>0.48318287037037039</v>
      </c>
      <c r="F1172" s="2">
        <f t="shared" si="181"/>
        <v>8.1249999999999933E-3</v>
      </c>
      <c r="G1172">
        <f t="shared" si="182"/>
        <v>0</v>
      </c>
      <c r="H1172">
        <f t="shared" si="183"/>
        <v>11</v>
      </c>
      <c r="I1172">
        <f t="shared" si="184"/>
        <v>42</v>
      </c>
      <c r="J1172">
        <f t="shared" si="185"/>
        <v>702</v>
      </c>
      <c r="K1172">
        <f t="shared" si="186"/>
        <v>12</v>
      </c>
      <c r="L1172">
        <f t="shared" si="187"/>
        <v>382097</v>
      </c>
      <c r="M1172">
        <f t="shared" si="188"/>
        <v>117481</v>
      </c>
      <c r="N1172">
        <f t="shared" si="189"/>
        <v>547578</v>
      </c>
      <c r="O1172">
        <f>IF(B1172="zagraniczny",K1172+O1171,O1171)</f>
        <v>537</v>
      </c>
    </row>
    <row r="1173" spans="1:15" x14ac:dyDescent="0.25">
      <c r="A1173">
        <v>76845076</v>
      </c>
      <c r="B1173" t="str">
        <f t="shared" si="180"/>
        <v>komorkowy</v>
      </c>
      <c r="C1173" s="1">
        <v>42934</v>
      </c>
      <c r="D1173" s="2">
        <v>0.47949074074074072</v>
      </c>
      <c r="E1173" s="2">
        <v>0.48335648148148147</v>
      </c>
      <c r="F1173" s="2">
        <f t="shared" si="181"/>
        <v>3.8657407407407529E-3</v>
      </c>
      <c r="G1173">
        <f t="shared" si="182"/>
        <v>0</v>
      </c>
      <c r="H1173">
        <f t="shared" si="183"/>
        <v>5</v>
      </c>
      <c r="I1173">
        <f t="shared" si="184"/>
        <v>34</v>
      </c>
      <c r="J1173">
        <f t="shared" si="185"/>
        <v>334</v>
      </c>
      <c r="K1173">
        <f t="shared" si="186"/>
        <v>6</v>
      </c>
      <c r="L1173">
        <f t="shared" si="187"/>
        <v>382097</v>
      </c>
      <c r="M1173">
        <f t="shared" si="188"/>
        <v>117815</v>
      </c>
      <c r="N1173">
        <f t="shared" si="189"/>
        <v>547912</v>
      </c>
      <c r="O1173">
        <f>IF(B1173="zagraniczny",K1173+O1172,O1172)</f>
        <v>537</v>
      </c>
    </row>
    <row r="1174" spans="1:15" x14ac:dyDescent="0.25">
      <c r="A1174">
        <v>12063341</v>
      </c>
      <c r="B1174" t="str">
        <f t="shared" si="180"/>
        <v>komorkowy</v>
      </c>
      <c r="C1174" s="1">
        <v>42934</v>
      </c>
      <c r="D1174" s="2">
        <v>0.48378472222222224</v>
      </c>
      <c r="E1174" s="2">
        <v>0.48681712962962964</v>
      </c>
      <c r="F1174" s="2">
        <f t="shared" si="181"/>
        <v>3.0324074074074003E-3</v>
      </c>
      <c r="G1174">
        <f t="shared" si="182"/>
        <v>0</v>
      </c>
      <c r="H1174">
        <f t="shared" si="183"/>
        <v>4</v>
      </c>
      <c r="I1174">
        <f t="shared" si="184"/>
        <v>22</v>
      </c>
      <c r="J1174">
        <f t="shared" si="185"/>
        <v>262</v>
      </c>
      <c r="K1174">
        <f t="shared" si="186"/>
        <v>5</v>
      </c>
      <c r="L1174">
        <f t="shared" si="187"/>
        <v>382097</v>
      </c>
      <c r="M1174">
        <f t="shared" si="188"/>
        <v>118077</v>
      </c>
      <c r="N1174">
        <f t="shared" si="189"/>
        <v>548174</v>
      </c>
      <c r="O1174">
        <f>IF(B1174="zagraniczny",K1174+O1173,O1173)</f>
        <v>537</v>
      </c>
    </row>
    <row r="1175" spans="1:15" x14ac:dyDescent="0.25">
      <c r="A1175">
        <v>9866204</v>
      </c>
      <c r="B1175" t="str">
        <f t="shared" si="180"/>
        <v>stacjonarny</v>
      </c>
      <c r="C1175" s="1">
        <v>42934</v>
      </c>
      <c r="D1175" s="2">
        <v>0.48379629629629628</v>
      </c>
      <c r="E1175" s="2">
        <v>0.49018518518518517</v>
      </c>
      <c r="F1175" s="2">
        <f t="shared" si="181"/>
        <v>6.3888888888888884E-3</v>
      </c>
      <c r="G1175">
        <f t="shared" si="182"/>
        <v>0</v>
      </c>
      <c r="H1175">
        <f t="shared" si="183"/>
        <v>9</v>
      </c>
      <c r="I1175">
        <f t="shared" si="184"/>
        <v>12</v>
      </c>
      <c r="J1175">
        <f t="shared" si="185"/>
        <v>552</v>
      </c>
      <c r="K1175">
        <f t="shared" si="186"/>
        <v>10</v>
      </c>
      <c r="L1175">
        <f t="shared" si="187"/>
        <v>382649</v>
      </c>
      <c r="M1175">
        <f t="shared" si="188"/>
        <v>118077</v>
      </c>
      <c r="N1175">
        <f t="shared" si="189"/>
        <v>548726</v>
      </c>
      <c r="O1175">
        <f>IF(B1175="zagraniczny",K1175+O1174,O1174)</f>
        <v>537</v>
      </c>
    </row>
    <row r="1176" spans="1:15" x14ac:dyDescent="0.25">
      <c r="A1176">
        <v>9364912</v>
      </c>
      <c r="B1176" t="str">
        <f t="shared" si="180"/>
        <v>stacjonarny</v>
      </c>
      <c r="C1176" s="1">
        <v>42934</v>
      </c>
      <c r="D1176" s="2">
        <v>0.48715277777777777</v>
      </c>
      <c r="E1176" s="2">
        <v>0.49586805555555558</v>
      </c>
      <c r="F1176" s="2">
        <f t="shared" si="181"/>
        <v>8.7152777777778079E-3</v>
      </c>
      <c r="G1176">
        <f t="shared" si="182"/>
        <v>0</v>
      </c>
      <c r="H1176">
        <f t="shared" si="183"/>
        <v>12</v>
      </c>
      <c r="I1176">
        <f t="shared" si="184"/>
        <v>33</v>
      </c>
      <c r="J1176">
        <f t="shared" si="185"/>
        <v>753</v>
      </c>
      <c r="K1176">
        <f t="shared" si="186"/>
        <v>13</v>
      </c>
      <c r="L1176">
        <f t="shared" si="187"/>
        <v>383402</v>
      </c>
      <c r="M1176">
        <f t="shared" si="188"/>
        <v>118077</v>
      </c>
      <c r="N1176">
        <f t="shared" si="189"/>
        <v>549479</v>
      </c>
      <c r="O1176">
        <f>IF(B1176="zagraniczny",K1176+O1175,O1175)</f>
        <v>537</v>
      </c>
    </row>
    <row r="1177" spans="1:15" x14ac:dyDescent="0.25">
      <c r="A1177">
        <v>9975977</v>
      </c>
      <c r="B1177" t="str">
        <f t="shared" si="180"/>
        <v>stacjonarny</v>
      </c>
      <c r="C1177" s="1">
        <v>42934</v>
      </c>
      <c r="D1177" s="2">
        <v>0.48723379629629632</v>
      </c>
      <c r="E1177" s="2">
        <v>0.4914351851851852</v>
      </c>
      <c r="F1177" s="2">
        <f t="shared" si="181"/>
        <v>4.2013888888888795E-3</v>
      </c>
      <c r="G1177">
        <f t="shared" si="182"/>
        <v>0</v>
      </c>
      <c r="H1177">
        <f t="shared" si="183"/>
        <v>6</v>
      </c>
      <c r="I1177">
        <f t="shared" si="184"/>
        <v>3</v>
      </c>
      <c r="J1177">
        <f t="shared" si="185"/>
        <v>363</v>
      </c>
      <c r="K1177">
        <f t="shared" si="186"/>
        <v>7</v>
      </c>
      <c r="L1177">
        <f t="shared" si="187"/>
        <v>383765</v>
      </c>
      <c r="M1177">
        <f t="shared" si="188"/>
        <v>118077</v>
      </c>
      <c r="N1177">
        <f t="shared" si="189"/>
        <v>549842</v>
      </c>
      <c r="O1177">
        <f>IF(B1177="zagraniczny",K1177+O1176,O1176)</f>
        <v>537</v>
      </c>
    </row>
    <row r="1178" spans="1:15" x14ac:dyDescent="0.25">
      <c r="A1178">
        <v>8802222</v>
      </c>
      <c r="B1178" t="str">
        <f t="shared" si="180"/>
        <v>stacjonarny</v>
      </c>
      <c r="C1178" s="1">
        <v>42934</v>
      </c>
      <c r="D1178" s="2">
        <v>0.48899305555555556</v>
      </c>
      <c r="E1178" s="2">
        <v>0.49456018518518519</v>
      </c>
      <c r="F1178" s="2">
        <f t="shared" si="181"/>
        <v>5.5671296296296302E-3</v>
      </c>
      <c r="G1178">
        <f t="shared" si="182"/>
        <v>0</v>
      </c>
      <c r="H1178">
        <f t="shared" si="183"/>
        <v>8</v>
      </c>
      <c r="I1178">
        <f t="shared" si="184"/>
        <v>1</v>
      </c>
      <c r="J1178">
        <f t="shared" si="185"/>
        <v>481</v>
      </c>
      <c r="K1178">
        <f t="shared" si="186"/>
        <v>9</v>
      </c>
      <c r="L1178">
        <f t="shared" si="187"/>
        <v>384246</v>
      </c>
      <c r="M1178">
        <f t="shared" si="188"/>
        <v>118077</v>
      </c>
      <c r="N1178">
        <f t="shared" si="189"/>
        <v>550323</v>
      </c>
      <c r="O1178">
        <f>IF(B1178="zagraniczny",K1178+O1177,O1177)</f>
        <v>537</v>
      </c>
    </row>
    <row r="1179" spans="1:15" x14ac:dyDescent="0.25">
      <c r="A1179">
        <v>1552877</v>
      </c>
      <c r="B1179" t="str">
        <f t="shared" si="180"/>
        <v>stacjonarny</v>
      </c>
      <c r="C1179" s="1">
        <v>42934</v>
      </c>
      <c r="D1179" s="2">
        <v>0.49277777777777776</v>
      </c>
      <c r="E1179" s="2">
        <v>0.49600694444444443</v>
      </c>
      <c r="F1179" s="2">
        <f t="shared" si="181"/>
        <v>3.2291666666666718E-3</v>
      </c>
      <c r="G1179">
        <f t="shared" si="182"/>
        <v>0</v>
      </c>
      <c r="H1179">
        <f t="shared" si="183"/>
        <v>4</v>
      </c>
      <c r="I1179">
        <f t="shared" si="184"/>
        <v>39</v>
      </c>
      <c r="J1179">
        <f t="shared" si="185"/>
        <v>279</v>
      </c>
      <c r="K1179">
        <f t="shared" si="186"/>
        <v>5</v>
      </c>
      <c r="L1179">
        <f t="shared" si="187"/>
        <v>384525</v>
      </c>
      <c r="M1179">
        <f t="shared" si="188"/>
        <v>118077</v>
      </c>
      <c r="N1179">
        <f t="shared" si="189"/>
        <v>550602</v>
      </c>
      <c r="O1179">
        <f>IF(B1179="zagraniczny",K1179+O1178,O1178)</f>
        <v>537</v>
      </c>
    </row>
    <row r="1180" spans="1:15" x14ac:dyDescent="0.25">
      <c r="A1180">
        <v>6516534288</v>
      </c>
      <c r="B1180" t="str">
        <f t="shared" si="180"/>
        <v>zagraniczny</v>
      </c>
      <c r="C1180" s="1">
        <v>42934</v>
      </c>
      <c r="D1180" s="2">
        <v>0.49465277777777777</v>
      </c>
      <c r="E1180" s="2">
        <v>0.49899305555555556</v>
      </c>
      <c r="F1180" s="2">
        <f t="shared" si="181"/>
        <v>4.3402777777777901E-3</v>
      </c>
      <c r="G1180">
        <f t="shared" si="182"/>
        <v>0</v>
      </c>
      <c r="H1180">
        <f t="shared" si="183"/>
        <v>6</v>
      </c>
      <c r="I1180">
        <f t="shared" si="184"/>
        <v>15</v>
      </c>
      <c r="J1180">
        <f t="shared" si="185"/>
        <v>375</v>
      </c>
      <c r="K1180">
        <f t="shared" si="186"/>
        <v>7</v>
      </c>
      <c r="L1180">
        <f t="shared" si="187"/>
        <v>384525</v>
      </c>
      <c r="M1180">
        <f t="shared" si="188"/>
        <v>118077</v>
      </c>
      <c r="N1180">
        <f t="shared" si="189"/>
        <v>550602</v>
      </c>
      <c r="O1180">
        <f>IF(B1180="zagraniczny",K1180+O1179,O1179)</f>
        <v>544</v>
      </c>
    </row>
    <row r="1181" spans="1:15" x14ac:dyDescent="0.25">
      <c r="A1181">
        <v>68647777</v>
      </c>
      <c r="B1181" t="str">
        <f t="shared" si="180"/>
        <v>komorkowy</v>
      </c>
      <c r="C1181" s="1">
        <v>42934</v>
      </c>
      <c r="D1181" s="2">
        <v>0.49968750000000001</v>
      </c>
      <c r="E1181" s="2">
        <v>0.50692129629629634</v>
      </c>
      <c r="F1181" s="2">
        <f t="shared" si="181"/>
        <v>7.2337962962963354E-3</v>
      </c>
      <c r="G1181">
        <f t="shared" si="182"/>
        <v>0</v>
      </c>
      <c r="H1181">
        <f t="shared" si="183"/>
        <v>10</v>
      </c>
      <c r="I1181">
        <f t="shared" si="184"/>
        <v>25</v>
      </c>
      <c r="J1181">
        <f t="shared" si="185"/>
        <v>625</v>
      </c>
      <c r="K1181">
        <f t="shared" si="186"/>
        <v>11</v>
      </c>
      <c r="L1181">
        <f t="shared" si="187"/>
        <v>384525</v>
      </c>
      <c r="M1181">
        <f t="shared" si="188"/>
        <v>118702</v>
      </c>
      <c r="N1181">
        <f t="shared" si="189"/>
        <v>551227</v>
      </c>
      <c r="O1181">
        <f>IF(B1181="zagraniczny",K1181+O1180,O1180)</f>
        <v>544</v>
      </c>
    </row>
    <row r="1182" spans="1:15" x14ac:dyDescent="0.25">
      <c r="A1182">
        <v>3360951</v>
      </c>
      <c r="B1182" t="str">
        <f t="shared" si="180"/>
        <v>stacjonarny</v>
      </c>
      <c r="C1182" s="1">
        <v>42934</v>
      </c>
      <c r="D1182" s="2">
        <v>0.50384259259259256</v>
      </c>
      <c r="E1182" s="2">
        <v>0.50868055555555558</v>
      </c>
      <c r="F1182" s="2">
        <f t="shared" si="181"/>
        <v>4.8379629629630161E-3</v>
      </c>
      <c r="G1182">
        <f t="shared" si="182"/>
        <v>0</v>
      </c>
      <c r="H1182">
        <f t="shared" si="183"/>
        <v>6</v>
      </c>
      <c r="I1182">
        <f t="shared" si="184"/>
        <v>58</v>
      </c>
      <c r="J1182">
        <f t="shared" si="185"/>
        <v>418</v>
      </c>
      <c r="K1182">
        <f t="shared" si="186"/>
        <v>7</v>
      </c>
      <c r="L1182">
        <f t="shared" si="187"/>
        <v>384943</v>
      </c>
      <c r="M1182">
        <f t="shared" si="188"/>
        <v>118702</v>
      </c>
      <c r="N1182">
        <f t="shared" si="189"/>
        <v>551645</v>
      </c>
      <c r="O1182">
        <f>IF(B1182="zagraniczny",K1182+O1181,O1181)</f>
        <v>544</v>
      </c>
    </row>
    <row r="1183" spans="1:15" x14ac:dyDescent="0.25">
      <c r="A1183">
        <v>9127211929</v>
      </c>
      <c r="B1183" t="str">
        <f t="shared" si="180"/>
        <v>zagraniczny</v>
      </c>
      <c r="C1183" s="1">
        <v>42934</v>
      </c>
      <c r="D1183" s="2">
        <v>0.50648148148148153</v>
      </c>
      <c r="E1183" s="2">
        <v>0.51042824074074078</v>
      </c>
      <c r="F1183" s="2">
        <f t="shared" si="181"/>
        <v>3.9467592592592471E-3</v>
      </c>
      <c r="G1183">
        <f t="shared" si="182"/>
        <v>0</v>
      </c>
      <c r="H1183">
        <f t="shared" si="183"/>
        <v>5</v>
      </c>
      <c r="I1183">
        <f t="shared" si="184"/>
        <v>41</v>
      </c>
      <c r="J1183">
        <f t="shared" si="185"/>
        <v>341</v>
      </c>
      <c r="K1183">
        <f t="shared" si="186"/>
        <v>6</v>
      </c>
      <c r="L1183">
        <f t="shared" si="187"/>
        <v>384943</v>
      </c>
      <c r="M1183">
        <f t="shared" si="188"/>
        <v>118702</v>
      </c>
      <c r="N1183">
        <f t="shared" si="189"/>
        <v>551645</v>
      </c>
      <c r="O1183">
        <f>IF(B1183="zagraniczny",K1183+O1182,O1182)</f>
        <v>550</v>
      </c>
    </row>
    <row r="1184" spans="1:15" x14ac:dyDescent="0.25">
      <c r="A1184">
        <v>9647309</v>
      </c>
      <c r="B1184" t="str">
        <f t="shared" si="180"/>
        <v>stacjonarny</v>
      </c>
      <c r="C1184" s="1">
        <v>42934</v>
      </c>
      <c r="D1184" s="2">
        <v>0.50979166666666664</v>
      </c>
      <c r="E1184" s="2">
        <v>0.51483796296296291</v>
      </c>
      <c r="F1184" s="2">
        <f t="shared" si="181"/>
        <v>5.046296296296271E-3</v>
      </c>
      <c r="G1184">
        <f t="shared" si="182"/>
        <v>0</v>
      </c>
      <c r="H1184">
        <f t="shared" si="183"/>
        <v>7</v>
      </c>
      <c r="I1184">
        <f t="shared" si="184"/>
        <v>16</v>
      </c>
      <c r="J1184">
        <f t="shared" si="185"/>
        <v>436</v>
      </c>
      <c r="K1184">
        <f t="shared" si="186"/>
        <v>8</v>
      </c>
      <c r="L1184">
        <f t="shared" si="187"/>
        <v>385379</v>
      </c>
      <c r="M1184">
        <f t="shared" si="188"/>
        <v>118702</v>
      </c>
      <c r="N1184">
        <f t="shared" si="189"/>
        <v>552081</v>
      </c>
      <c r="O1184">
        <f>IF(B1184="zagraniczny",K1184+O1183,O1183)</f>
        <v>550</v>
      </c>
    </row>
    <row r="1185" spans="1:15" x14ac:dyDescent="0.25">
      <c r="A1185">
        <v>6024447</v>
      </c>
      <c r="B1185" t="str">
        <f t="shared" si="180"/>
        <v>stacjonarny</v>
      </c>
      <c r="C1185" s="1">
        <v>42934</v>
      </c>
      <c r="D1185" s="2">
        <v>0.51164351851851853</v>
      </c>
      <c r="E1185" s="2">
        <v>0.51975694444444442</v>
      </c>
      <c r="F1185" s="2">
        <f t="shared" si="181"/>
        <v>8.113425925925899E-3</v>
      </c>
      <c r="G1185">
        <f t="shared" si="182"/>
        <v>0</v>
      </c>
      <c r="H1185">
        <f t="shared" si="183"/>
        <v>11</v>
      </c>
      <c r="I1185">
        <f t="shared" si="184"/>
        <v>41</v>
      </c>
      <c r="J1185">
        <f t="shared" si="185"/>
        <v>701</v>
      </c>
      <c r="K1185">
        <f t="shared" si="186"/>
        <v>12</v>
      </c>
      <c r="L1185">
        <f t="shared" si="187"/>
        <v>386080</v>
      </c>
      <c r="M1185">
        <f t="shared" si="188"/>
        <v>118702</v>
      </c>
      <c r="N1185">
        <f t="shared" si="189"/>
        <v>552782</v>
      </c>
      <c r="O1185">
        <f>IF(B1185="zagraniczny",K1185+O1184,O1184)</f>
        <v>550</v>
      </c>
    </row>
    <row r="1186" spans="1:15" x14ac:dyDescent="0.25">
      <c r="A1186">
        <v>12919749</v>
      </c>
      <c r="B1186" t="str">
        <f t="shared" si="180"/>
        <v>komorkowy</v>
      </c>
      <c r="C1186" s="1">
        <v>42934</v>
      </c>
      <c r="D1186" s="2">
        <v>0.5161458333333333</v>
      </c>
      <c r="E1186" s="2">
        <v>0.5222106481481481</v>
      </c>
      <c r="F1186" s="2">
        <f t="shared" si="181"/>
        <v>6.0648148148148007E-3</v>
      </c>
      <c r="G1186">
        <f t="shared" si="182"/>
        <v>0</v>
      </c>
      <c r="H1186">
        <f t="shared" si="183"/>
        <v>8</v>
      </c>
      <c r="I1186">
        <f t="shared" si="184"/>
        <v>44</v>
      </c>
      <c r="J1186">
        <f t="shared" si="185"/>
        <v>524</v>
      </c>
      <c r="K1186">
        <f t="shared" si="186"/>
        <v>9</v>
      </c>
      <c r="L1186">
        <f t="shared" si="187"/>
        <v>386080</v>
      </c>
      <c r="M1186">
        <f t="shared" si="188"/>
        <v>119226</v>
      </c>
      <c r="N1186">
        <f t="shared" si="189"/>
        <v>553306</v>
      </c>
      <c r="O1186">
        <f>IF(B1186="zagraniczny",K1186+O1185,O1185)</f>
        <v>550</v>
      </c>
    </row>
    <row r="1187" spans="1:15" x14ac:dyDescent="0.25">
      <c r="A1187">
        <v>3287315</v>
      </c>
      <c r="B1187" t="str">
        <f t="shared" si="180"/>
        <v>stacjonarny</v>
      </c>
      <c r="C1187" s="1">
        <v>42934</v>
      </c>
      <c r="D1187" s="2">
        <v>0.51627314814814818</v>
      </c>
      <c r="E1187" s="2">
        <v>0.51844907407407403</v>
      </c>
      <c r="F1187" s="2">
        <f t="shared" si="181"/>
        <v>2.175925925925859E-3</v>
      </c>
      <c r="G1187">
        <f t="shared" si="182"/>
        <v>0</v>
      </c>
      <c r="H1187">
        <f t="shared" si="183"/>
        <v>3</v>
      </c>
      <c r="I1187">
        <f t="shared" si="184"/>
        <v>8</v>
      </c>
      <c r="J1187">
        <f t="shared" si="185"/>
        <v>188</v>
      </c>
      <c r="K1187">
        <f t="shared" si="186"/>
        <v>4</v>
      </c>
      <c r="L1187">
        <f t="shared" si="187"/>
        <v>386268</v>
      </c>
      <c r="M1187">
        <f t="shared" si="188"/>
        <v>119226</v>
      </c>
      <c r="N1187">
        <f t="shared" si="189"/>
        <v>553494</v>
      </c>
      <c r="O1187">
        <f>IF(B1187="zagraniczny",K1187+O1186,O1186)</f>
        <v>550</v>
      </c>
    </row>
    <row r="1188" spans="1:15" x14ac:dyDescent="0.25">
      <c r="A1188">
        <v>9953379</v>
      </c>
      <c r="B1188" t="str">
        <f t="shared" si="180"/>
        <v>stacjonarny</v>
      </c>
      <c r="C1188" s="1">
        <v>42934</v>
      </c>
      <c r="D1188" s="2">
        <v>0.52061342592592597</v>
      </c>
      <c r="E1188" s="2">
        <v>0.52561342592592597</v>
      </c>
      <c r="F1188" s="2">
        <f t="shared" si="181"/>
        <v>5.0000000000000044E-3</v>
      </c>
      <c r="G1188">
        <f t="shared" si="182"/>
        <v>0</v>
      </c>
      <c r="H1188">
        <f t="shared" si="183"/>
        <v>7</v>
      </c>
      <c r="I1188">
        <f t="shared" si="184"/>
        <v>12</v>
      </c>
      <c r="J1188">
        <f t="shared" si="185"/>
        <v>432</v>
      </c>
      <c r="K1188">
        <f t="shared" si="186"/>
        <v>8</v>
      </c>
      <c r="L1188">
        <f t="shared" si="187"/>
        <v>386700</v>
      </c>
      <c r="M1188">
        <f t="shared" si="188"/>
        <v>119226</v>
      </c>
      <c r="N1188">
        <f t="shared" si="189"/>
        <v>553926</v>
      </c>
      <c r="O1188">
        <f>IF(B1188="zagraniczny",K1188+O1187,O1187)</f>
        <v>550</v>
      </c>
    </row>
    <row r="1189" spans="1:15" x14ac:dyDescent="0.25">
      <c r="A1189">
        <v>97558765</v>
      </c>
      <c r="B1189" t="str">
        <f t="shared" si="180"/>
        <v>komorkowy</v>
      </c>
      <c r="C1189" s="1">
        <v>42934</v>
      </c>
      <c r="D1189" s="2">
        <v>0.5259490740740741</v>
      </c>
      <c r="E1189" s="2">
        <v>0.53439814814814812</v>
      </c>
      <c r="F1189" s="2">
        <f t="shared" si="181"/>
        <v>8.4490740740740256E-3</v>
      </c>
      <c r="G1189">
        <f t="shared" si="182"/>
        <v>0</v>
      </c>
      <c r="H1189">
        <f t="shared" si="183"/>
        <v>12</v>
      </c>
      <c r="I1189">
        <f t="shared" si="184"/>
        <v>10</v>
      </c>
      <c r="J1189">
        <f t="shared" si="185"/>
        <v>730</v>
      </c>
      <c r="K1189">
        <f t="shared" si="186"/>
        <v>13</v>
      </c>
      <c r="L1189">
        <f t="shared" si="187"/>
        <v>386700</v>
      </c>
      <c r="M1189">
        <f t="shared" si="188"/>
        <v>119956</v>
      </c>
      <c r="N1189">
        <f t="shared" si="189"/>
        <v>554656</v>
      </c>
      <c r="O1189">
        <f>IF(B1189="zagraniczny",K1189+O1188,O1188)</f>
        <v>550</v>
      </c>
    </row>
    <row r="1190" spans="1:15" x14ac:dyDescent="0.25">
      <c r="A1190">
        <v>2722706</v>
      </c>
      <c r="B1190" t="str">
        <f t="shared" si="180"/>
        <v>stacjonarny</v>
      </c>
      <c r="C1190" s="1">
        <v>42934</v>
      </c>
      <c r="D1190" s="2">
        <v>0.53025462962962966</v>
      </c>
      <c r="E1190" s="2">
        <v>0.53217592592592589</v>
      </c>
      <c r="F1190" s="2">
        <f t="shared" si="181"/>
        <v>1.9212962962962266E-3</v>
      </c>
      <c r="G1190">
        <f t="shared" si="182"/>
        <v>0</v>
      </c>
      <c r="H1190">
        <f t="shared" si="183"/>
        <v>2</v>
      </c>
      <c r="I1190">
        <f t="shared" si="184"/>
        <v>46</v>
      </c>
      <c r="J1190">
        <f t="shared" si="185"/>
        <v>166</v>
      </c>
      <c r="K1190">
        <f t="shared" si="186"/>
        <v>3</v>
      </c>
      <c r="L1190">
        <f t="shared" si="187"/>
        <v>386866</v>
      </c>
      <c r="M1190">
        <f t="shared" si="188"/>
        <v>119956</v>
      </c>
      <c r="N1190">
        <f t="shared" si="189"/>
        <v>554822</v>
      </c>
      <c r="O1190">
        <f>IF(B1190="zagraniczny",K1190+O1189,O1189)</f>
        <v>550</v>
      </c>
    </row>
    <row r="1191" spans="1:15" x14ac:dyDescent="0.25">
      <c r="A1191">
        <v>97876188</v>
      </c>
      <c r="B1191" t="str">
        <f t="shared" si="180"/>
        <v>komorkowy</v>
      </c>
      <c r="C1191" s="1">
        <v>42934</v>
      </c>
      <c r="D1191" s="2">
        <v>0.53412037037037041</v>
      </c>
      <c r="E1191" s="2">
        <v>0.53467592592592594</v>
      </c>
      <c r="F1191" s="2">
        <f t="shared" si="181"/>
        <v>5.5555555555553138E-4</v>
      </c>
      <c r="G1191">
        <f t="shared" si="182"/>
        <v>0</v>
      </c>
      <c r="H1191">
        <f t="shared" si="183"/>
        <v>0</v>
      </c>
      <c r="I1191">
        <f t="shared" si="184"/>
        <v>48</v>
      </c>
      <c r="J1191">
        <f t="shared" si="185"/>
        <v>48</v>
      </c>
      <c r="K1191">
        <f t="shared" si="186"/>
        <v>1</v>
      </c>
      <c r="L1191">
        <f t="shared" si="187"/>
        <v>386866</v>
      </c>
      <c r="M1191">
        <f t="shared" si="188"/>
        <v>120004</v>
      </c>
      <c r="N1191">
        <f t="shared" si="189"/>
        <v>554870</v>
      </c>
      <c r="O1191">
        <f>IF(B1191="zagraniczny",K1191+O1190,O1190)</f>
        <v>550</v>
      </c>
    </row>
    <row r="1192" spans="1:15" x14ac:dyDescent="0.25">
      <c r="A1192">
        <v>4068728</v>
      </c>
      <c r="B1192" t="str">
        <f t="shared" si="180"/>
        <v>stacjonarny</v>
      </c>
      <c r="C1192" s="1">
        <v>42934</v>
      </c>
      <c r="D1192" s="2">
        <v>0.53760416666666666</v>
      </c>
      <c r="E1192" s="2">
        <v>0.546412037037037</v>
      </c>
      <c r="F1192" s="2">
        <f t="shared" si="181"/>
        <v>8.8078703703703409E-3</v>
      </c>
      <c r="G1192">
        <f t="shared" si="182"/>
        <v>0</v>
      </c>
      <c r="H1192">
        <f t="shared" si="183"/>
        <v>12</v>
      </c>
      <c r="I1192">
        <f t="shared" si="184"/>
        <v>41</v>
      </c>
      <c r="J1192">
        <f t="shared" si="185"/>
        <v>761</v>
      </c>
      <c r="K1192">
        <f t="shared" si="186"/>
        <v>13</v>
      </c>
      <c r="L1192">
        <f t="shared" si="187"/>
        <v>387627</v>
      </c>
      <c r="M1192">
        <f t="shared" si="188"/>
        <v>120004</v>
      </c>
      <c r="N1192">
        <f t="shared" si="189"/>
        <v>555631</v>
      </c>
      <c r="O1192">
        <f>IF(B1192="zagraniczny",K1192+O1191,O1191)</f>
        <v>550</v>
      </c>
    </row>
    <row r="1193" spans="1:15" x14ac:dyDescent="0.25">
      <c r="A1193">
        <v>7624070</v>
      </c>
      <c r="B1193" t="str">
        <f t="shared" si="180"/>
        <v>stacjonarny</v>
      </c>
      <c r="C1193" s="1">
        <v>42934</v>
      </c>
      <c r="D1193" s="2">
        <v>0.54335648148148152</v>
      </c>
      <c r="E1193" s="2">
        <v>0.55396990740740737</v>
      </c>
      <c r="F1193" s="2">
        <f t="shared" si="181"/>
        <v>1.0613425925925846E-2</v>
      </c>
      <c r="G1193">
        <f t="shared" si="182"/>
        <v>0</v>
      </c>
      <c r="H1193">
        <f t="shared" si="183"/>
        <v>15</v>
      </c>
      <c r="I1193">
        <f t="shared" si="184"/>
        <v>17</v>
      </c>
      <c r="J1193">
        <f t="shared" si="185"/>
        <v>917</v>
      </c>
      <c r="K1193">
        <f t="shared" si="186"/>
        <v>16</v>
      </c>
      <c r="L1193">
        <f t="shared" si="187"/>
        <v>388544</v>
      </c>
      <c r="M1193">
        <f t="shared" si="188"/>
        <v>120004</v>
      </c>
      <c r="N1193">
        <f t="shared" si="189"/>
        <v>556548</v>
      </c>
      <c r="O1193">
        <f>IF(B1193="zagraniczny",K1193+O1192,O1192)</f>
        <v>550</v>
      </c>
    </row>
    <row r="1194" spans="1:15" x14ac:dyDescent="0.25">
      <c r="A1194">
        <v>2419247</v>
      </c>
      <c r="B1194" t="str">
        <f t="shared" si="180"/>
        <v>stacjonarny</v>
      </c>
      <c r="C1194" s="1">
        <v>42934</v>
      </c>
      <c r="D1194" s="2">
        <v>0.54686342592592596</v>
      </c>
      <c r="E1194" s="2">
        <v>0.54782407407407407</v>
      </c>
      <c r="F1194" s="2">
        <f t="shared" si="181"/>
        <v>9.6064814814811328E-4</v>
      </c>
      <c r="G1194">
        <f t="shared" si="182"/>
        <v>0</v>
      </c>
      <c r="H1194">
        <f t="shared" si="183"/>
        <v>1</v>
      </c>
      <c r="I1194">
        <f t="shared" si="184"/>
        <v>23</v>
      </c>
      <c r="J1194">
        <f t="shared" si="185"/>
        <v>83</v>
      </c>
      <c r="K1194">
        <f t="shared" si="186"/>
        <v>2</v>
      </c>
      <c r="L1194">
        <f t="shared" si="187"/>
        <v>388627</v>
      </c>
      <c r="M1194">
        <f t="shared" si="188"/>
        <v>120004</v>
      </c>
      <c r="N1194">
        <f t="shared" si="189"/>
        <v>556631</v>
      </c>
      <c r="O1194">
        <f>IF(B1194="zagraniczny",K1194+O1193,O1193)</f>
        <v>550</v>
      </c>
    </row>
    <row r="1195" spans="1:15" x14ac:dyDescent="0.25">
      <c r="A1195">
        <v>5244597</v>
      </c>
      <c r="B1195" t="str">
        <f t="shared" si="180"/>
        <v>stacjonarny</v>
      </c>
      <c r="C1195" s="1">
        <v>42934</v>
      </c>
      <c r="D1195" s="2">
        <v>0.55008101851851854</v>
      </c>
      <c r="E1195" s="2">
        <v>0.55730324074074078</v>
      </c>
      <c r="F1195" s="2">
        <f t="shared" si="181"/>
        <v>7.222222222222241E-3</v>
      </c>
      <c r="G1195">
        <f t="shared" si="182"/>
        <v>0</v>
      </c>
      <c r="H1195">
        <f t="shared" si="183"/>
        <v>10</v>
      </c>
      <c r="I1195">
        <f t="shared" si="184"/>
        <v>24</v>
      </c>
      <c r="J1195">
        <f t="shared" si="185"/>
        <v>624</v>
      </c>
      <c r="K1195">
        <f t="shared" si="186"/>
        <v>11</v>
      </c>
      <c r="L1195">
        <f t="shared" si="187"/>
        <v>389251</v>
      </c>
      <c r="M1195">
        <f t="shared" si="188"/>
        <v>120004</v>
      </c>
      <c r="N1195">
        <f t="shared" si="189"/>
        <v>557255</v>
      </c>
      <c r="O1195">
        <f>IF(B1195="zagraniczny",K1195+O1194,O1194)</f>
        <v>550</v>
      </c>
    </row>
    <row r="1196" spans="1:15" x14ac:dyDescent="0.25">
      <c r="A1196">
        <v>2005653</v>
      </c>
      <c r="B1196" t="str">
        <f t="shared" si="180"/>
        <v>stacjonarny</v>
      </c>
      <c r="C1196" s="1">
        <v>42934</v>
      </c>
      <c r="D1196" s="2">
        <v>0.55039351851851848</v>
      </c>
      <c r="E1196" s="2">
        <v>0.5572569444444444</v>
      </c>
      <c r="F1196" s="2">
        <f t="shared" si="181"/>
        <v>6.8634259259259256E-3</v>
      </c>
      <c r="G1196">
        <f t="shared" si="182"/>
        <v>0</v>
      </c>
      <c r="H1196">
        <f t="shared" si="183"/>
        <v>9</v>
      </c>
      <c r="I1196">
        <f t="shared" si="184"/>
        <v>53</v>
      </c>
      <c r="J1196">
        <f t="shared" si="185"/>
        <v>593</v>
      </c>
      <c r="K1196">
        <f t="shared" si="186"/>
        <v>10</v>
      </c>
      <c r="L1196">
        <f t="shared" si="187"/>
        <v>389844</v>
      </c>
      <c r="M1196">
        <f t="shared" si="188"/>
        <v>120004</v>
      </c>
      <c r="N1196">
        <f t="shared" si="189"/>
        <v>557848</v>
      </c>
      <c r="O1196">
        <f>IF(B1196="zagraniczny",K1196+O1195,O1195)</f>
        <v>550</v>
      </c>
    </row>
    <row r="1197" spans="1:15" x14ac:dyDescent="0.25">
      <c r="A1197">
        <v>7203715</v>
      </c>
      <c r="B1197" t="str">
        <f t="shared" si="180"/>
        <v>stacjonarny</v>
      </c>
      <c r="C1197" s="1">
        <v>42934</v>
      </c>
      <c r="D1197" s="2">
        <v>0.55447916666666663</v>
      </c>
      <c r="E1197" s="2">
        <v>0.56332175925925931</v>
      </c>
      <c r="F1197" s="2">
        <f t="shared" si="181"/>
        <v>8.8425925925926796E-3</v>
      </c>
      <c r="G1197">
        <f t="shared" si="182"/>
        <v>0</v>
      </c>
      <c r="H1197">
        <f t="shared" si="183"/>
        <v>12</v>
      </c>
      <c r="I1197">
        <f t="shared" si="184"/>
        <v>44</v>
      </c>
      <c r="J1197">
        <f t="shared" si="185"/>
        <v>764</v>
      </c>
      <c r="K1197">
        <f t="shared" si="186"/>
        <v>13</v>
      </c>
      <c r="L1197">
        <f t="shared" si="187"/>
        <v>390608</v>
      </c>
      <c r="M1197">
        <f t="shared" si="188"/>
        <v>120004</v>
      </c>
      <c r="N1197">
        <f t="shared" si="189"/>
        <v>558612</v>
      </c>
      <c r="O1197">
        <f>IF(B1197="zagraniczny",K1197+O1196,O1196)</f>
        <v>550</v>
      </c>
    </row>
    <row r="1198" spans="1:15" x14ac:dyDescent="0.25">
      <c r="A1198">
        <v>4520463</v>
      </c>
      <c r="B1198" t="str">
        <f t="shared" si="180"/>
        <v>stacjonarny</v>
      </c>
      <c r="C1198" s="1">
        <v>42934</v>
      </c>
      <c r="D1198" s="2">
        <v>0.55645833333333339</v>
      </c>
      <c r="E1198" s="2">
        <v>0.55648148148148147</v>
      </c>
      <c r="F1198" s="2">
        <f t="shared" si="181"/>
        <v>2.3148148148077752E-5</v>
      </c>
      <c r="G1198">
        <f t="shared" si="182"/>
        <v>0</v>
      </c>
      <c r="H1198">
        <f t="shared" si="183"/>
        <v>0</v>
      </c>
      <c r="I1198">
        <f t="shared" si="184"/>
        <v>2</v>
      </c>
      <c r="J1198">
        <f t="shared" si="185"/>
        <v>2</v>
      </c>
      <c r="K1198">
        <f t="shared" si="186"/>
        <v>1</v>
      </c>
      <c r="L1198">
        <f t="shared" si="187"/>
        <v>390610</v>
      </c>
      <c r="M1198">
        <f t="shared" si="188"/>
        <v>120004</v>
      </c>
      <c r="N1198">
        <f t="shared" si="189"/>
        <v>558614</v>
      </c>
      <c r="O1198">
        <f>IF(B1198="zagraniczny",K1198+O1197,O1197)</f>
        <v>550</v>
      </c>
    </row>
    <row r="1199" spans="1:15" x14ac:dyDescent="0.25">
      <c r="A1199">
        <v>4454837</v>
      </c>
      <c r="B1199" t="str">
        <f t="shared" si="180"/>
        <v>stacjonarny</v>
      </c>
      <c r="C1199" s="1">
        <v>42934</v>
      </c>
      <c r="D1199" s="2">
        <v>0.5621990740740741</v>
      </c>
      <c r="E1199" s="2">
        <v>0.56353009259259257</v>
      </c>
      <c r="F1199" s="2">
        <f t="shared" si="181"/>
        <v>1.3310185185184675E-3</v>
      </c>
      <c r="G1199">
        <f t="shared" si="182"/>
        <v>0</v>
      </c>
      <c r="H1199">
        <f t="shared" si="183"/>
        <v>1</v>
      </c>
      <c r="I1199">
        <f t="shared" si="184"/>
        <v>55</v>
      </c>
      <c r="J1199">
        <f t="shared" si="185"/>
        <v>115</v>
      </c>
      <c r="K1199">
        <f t="shared" si="186"/>
        <v>2</v>
      </c>
      <c r="L1199">
        <f t="shared" si="187"/>
        <v>390725</v>
      </c>
      <c r="M1199">
        <f t="shared" si="188"/>
        <v>120004</v>
      </c>
      <c r="N1199">
        <f t="shared" si="189"/>
        <v>558729</v>
      </c>
      <c r="O1199">
        <f>IF(B1199="zagraniczny",K1199+O1198,O1198)</f>
        <v>550</v>
      </c>
    </row>
    <row r="1200" spans="1:15" x14ac:dyDescent="0.25">
      <c r="A1200">
        <v>6999348</v>
      </c>
      <c r="B1200" t="str">
        <f t="shared" si="180"/>
        <v>stacjonarny</v>
      </c>
      <c r="C1200" s="1">
        <v>42934</v>
      </c>
      <c r="D1200" s="2">
        <v>0.56714120370370369</v>
      </c>
      <c r="E1200" s="2">
        <v>0.56869212962962967</v>
      </c>
      <c r="F1200" s="2">
        <f t="shared" si="181"/>
        <v>1.5509259259259833E-3</v>
      </c>
      <c r="G1200">
        <f t="shared" si="182"/>
        <v>0</v>
      </c>
      <c r="H1200">
        <f t="shared" si="183"/>
        <v>2</v>
      </c>
      <c r="I1200">
        <f t="shared" si="184"/>
        <v>14</v>
      </c>
      <c r="J1200">
        <f t="shared" si="185"/>
        <v>134</v>
      </c>
      <c r="K1200">
        <f t="shared" si="186"/>
        <v>3</v>
      </c>
      <c r="L1200">
        <f t="shared" si="187"/>
        <v>390859</v>
      </c>
      <c r="M1200">
        <f t="shared" si="188"/>
        <v>120004</v>
      </c>
      <c r="N1200">
        <f t="shared" si="189"/>
        <v>558863</v>
      </c>
      <c r="O1200">
        <f>IF(B1200="zagraniczny",K1200+O1199,O1199)</f>
        <v>550</v>
      </c>
    </row>
    <row r="1201" spans="1:15" x14ac:dyDescent="0.25">
      <c r="A1201">
        <v>90884366</v>
      </c>
      <c r="B1201" t="str">
        <f t="shared" si="180"/>
        <v>komorkowy</v>
      </c>
      <c r="C1201" s="1">
        <v>42934</v>
      </c>
      <c r="D1201" s="2">
        <v>0.57276620370370368</v>
      </c>
      <c r="E1201" s="2">
        <v>0.57995370370370369</v>
      </c>
      <c r="F1201" s="2">
        <f t="shared" si="181"/>
        <v>7.1875000000000133E-3</v>
      </c>
      <c r="G1201">
        <f t="shared" si="182"/>
        <v>0</v>
      </c>
      <c r="H1201">
        <f t="shared" si="183"/>
        <v>10</v>
      </c>
      <c r="I1201">
        <f t="shared" si="184"/>
        <v>21</v>
      </c>
      <c r="J1201">
        <f t="shared" si="185"/>
        <v>621</v>
      </c>
      <c r="K1201">
        <f t="shared" si="186"/>
        <v>11</v>
      </c>
      <c r="L1201">
        <f t="shared" si="187"/>
        <v>390859</v>
      </c>
      <c r="M1201">
        <f t="shared" si="188"/>
        <v>120625</v>
      </c>
      <c r="N1201">
        <f t="shared" si="189"/>
        <v>559484</v>
      </c>
      <c r="O1201">
        <f>IF(B1201="zagraniczny",K1201+O1200,O1200)</f>
        <v>550</v>
      </c>
    </row>
    <row r="1202" spans="1:15" x14ac:dyDescent="0.25">
      <c r="A1202">
        <v>3121640</v>
      </c>
      <c r="B1202" t="str">
        <f t="shared" si="180"/>
        <v>stacjonarny</v>
      </c>
      <c r="C1202" s="1">
        <v>42934</v>
      </c>
      <c r="D1202" s="2">
        <v>0.57841435185185186</v>
      </c>
      <c r="E1202" s="2">
        <v>0.58364583333333331</v>
      </c>
      <c r="F1202" s="2">
        <f t="shared" si="181"/>
        <v>5.2314814814814481E-3</v>
      </c>
      <c r="G1202">
        <f t="shared" si="182"/>
        <v>0</v>
      </c>
      <c r="H1202">
        <f t="shared" si="183"/>
        <v>7</v>
      </c>
      <c r="I1202">
        <f t="shared" si="184"/>
        <v>32</v>
      </c>
      <c r="J1202">
        <f t="shared" si="185"/>
        <v>452</v>
      </c>
      <c r="K1202">
        <f t="shared" si="186"/>
        <v>8</v>
      </c>
      <c r="L1202">
        <f t="shared" si="187"/>
        <v>391311</v>
      </c>
      <c r="M1202">
        <f t="shared" si="188"/>
        <v>120625</v>
      </c>
      <c r="N1202">
        <f t="shared" si="189"/>
        <v>559936</v>
      </c>
      <c r="O1202">
        <f>IF(B1202="zagraniczny",K1202+O1201,O1201)</f>
        <v>550</v>
      </c>
    </row>
    <row r="1203" spans="1:15" x14ac:dyDescent="0.25">
      <c r="A1203">
        <v>5912710</v>
      </c>
      <c r="B1203" t="str">
        <f t="shared" si="180"/>
        <v>stacjonarny</v>
      </c>
      <c r="C1203" s="1">
        <v>42934</v>
      </c>
      <c r="D1203" s="2">
        <v>0.57988425925925924</v>
      </c>
      <c r="E1203" s="2">
        <v>0.58928240740740745</v>
      </c>
      <c r="F1203" s="2">
        <f t="shared" si="181"/>
        <v>9.398148148148211E-3</v>
      </c>
      <c r="G1203">
        <f t="shared" si="182"/>
        <v>0</v>
      </c>
      <c r="H1203">
        <f t="shared" si="183"/>
        <v>13</v>
      </c>
      <c r="I1203">
        <f t="shared" si="184"/>
        <v>32</v>
      </c>
      <c r="J1203">
        <f t="shared" si="185"/>
        <v>812</v>
      </c>
      <c r="K1203">
        <f t="shared" si="186"/>
        <v>14</v>
      </c>
      <c r="L1203">
        <f t="shared" si="187"/>
        <v>392123</v>
      </c>
      <c r="M1203">
        <f t="shared" si="188"/>
        <v>120625</v>
      </c>
      <c r="N1203">
        <f t="shared" si="189"/>
        <v>560748</v>
      </c>
      <c r="O1203">
        <f>IF(B1203="zagraniczny",K1203+O1202,O1202)</f>
        <v>550</v>
      </c>
    </row>
    <row r="1204" spans="1:15" x14ac:dyDescent="0.25">
      <c r="A1204">
        <v>7118082</v>
      </c>
      <c r="B1204" t="str">
        <f t="shared" si="180"/>
        <v>stacjonarny</v>
      </c>
      <c r="C1204" s="1">
        <v>42934</v>
      </c>
      <c r="D1204" s="2">
        <v>0.58524305555555556</v>
      </c>
      <c r="E1204" s="2">
        <v>0.591400462962963</v>
      </c>
      <c r="F1204" s="2">
        <f t="shared" si="181"/>
        <v>6.1574074074074447E-3</v>
      </c>
      <c r="G1204">
        <f t="shared" si="182"/>
        <v>0</v>
      </c>
      <c r="H1204">
        <f t="shared" si="183"/>
        <v>8</v>
      </c>
      <c r="I1204">
        <f t="shared" si="184"/>
        <v>52</v>
      </c>
      <c r="J1204">
        <f t="shared" si="185"/>
        <v>532</v>
      </c>
      <c r="K1204">
        <f t="shared" si="186"/>
        <v>9</v>
      </c>
      <c r="L1204">
        <f t="shared" si="187"/>
        <v>392655</v>
      </c>
      <c r="M1204">
        <f t="shared" si="188"/>
        <v>120625</v>
      </c>
      <c r="N1204">
        <f t="shared" si="189"/>
        <v>561280</v>
      </c>
      <c r="O1204">
        <f>IF(B1204="zagraniczny",K1204+O1203,O1203)</f>
        <v>550</v>
      </c>
    </row>
    <row r="1205" spans="1:15" x14ac:dyDescent="0.25">
      <c r="A1205">
        <v>9100303</v>
      </c>
      <c r="B1205" t="str">
        <f t="shared" si="180"/>
        <v>stacjonarny</v>
      </c>
      <c r="C1205" s="1">
        <v>42934</v>
      </c>
      <c r="D1205" s="2">
        <v>0.58543981481481477</v>
      </c>
      <c r="E1205" s="2">
        <v>0.58929398148148149</v>
      </c>
      <c r="F1205" s="2">
        <f t="shared" si="181"/>
        <v>3.854166666666714E-3</v>
      </c>
      <c r="G1205">
        <f t="shared" si="182"/>
        <v>0</v>
      </c>
      <c r="H1205">
        <f t="shared" si="183"/>
        <v>5</v>
      </c>
      <c r="I1205">
        <f t="shared" si="184"/>
        <v>33</v>
      </c>
      <c r="J1205">
        <f t="shared" si="185"/>
        <v>333</v>
      </c>
      <c r="K1205">
        <f t="shared" si="186"/>
        <v>6</v>
      </c>
      <c r="L1205">
        <f t="shared" si="187"/>
        <v>392988</v>
      </c>
      <c r="M1205">
        <f t="shared" si="188"/>
        <v>120625</v>
      </c>
      <c r="N1205">
        <f t="shared" si="189"/>
        <v>561613</v>
      </c>
      <c r="O1205">
        <f>IF(B1205="zagraniczny",K1205+O1204,O1204)</f>
        <v>550</v>
      </c>
    </row>
    <row r="1206" spans="1:15" x14ac:dyDescent="0.25">
      <c r="A1206">
        <v>25581178</v>
      </c>
      <c r="B1206" t="str">
        <f t="shared" si="180"/>
        <v>komorkowy</v>
      </c>
      <c r="C1206" s="1">
        <v>42934</v>
      </c>
      <c r="D1206" s="2">
        <v>0.58942129629629625</v>
      </c>
      <c r="E1206" s="2">
        <v>0.59734953703703708</v>
      </c>
      <c r="F1206" s="2">
        <f t="shared" si="181"/>
        <v>7.9282407407408328E-3</v>
      </c>
      <c r="G1206">
        <f t="shared" si="182"/>
        <v>0</v>
      </c>
      <c r="H1206">
        <f t="shared" si="183"/>
        <v>11</v>
      </c>
      <c r="I1206">
        <f t="shared" si="184"/>
        <v>25</v>
      </c>
      <c r="J1206">
        <f t="shared" si="185"/>
        <v>685</v>
      </c>
      <c r="K1206">
        <f t="shared" si="186"/>
        <v>12</v>
      </c>
      <c r="L1206">
        <f t="shared" si="187"/>
        <v>392988</v>
      </c>
      <c r="M1206">
        <f t="shared" si="188"/>
        <v>121310</v>
      </c>
      <c r="N1206">
        <f t="shared" si="189"/>
        <v>562298</v>
      </c>
      <c r="O1206">
        <f>IF(B1206="zagraniczny",K1206+O1205,O1205)</f>
        <v>550</v>
      </c>
    </row>
    <row r="1207" spans="1:15" x14ac:dyDescent="0.25">
      <c r="A1207">
        <v>78976022</v>
      </c>
      <c r="B1207" t="str">
        <f t="shared" si="180"/>
        <v>komorkowy</v>
      </c>
      <c r="C1207" s="1">
        <v>42934</v>
      </c>
      <c r="D1207" s="2">
        <v>0.59495370370370371</v>
      </c>
      <c r="E1207" s="2">
        <v>0.5965625</v>
      </c>
      <c r="F1207" s="2">
        <f t="shared" si="181"/>
        <v>1.6087962962962887E-3</v>
      </c>
      <c r="G1207">
        <f t="shared" si="182"/>
        <v>0</v>
      </c>
      <c r="H1207">
        <f t="shared" si="183"/>
        <v>2</v>
      </c>
      <c r="I1207">
        <f t="shared" si="184"/>
        <v>19</v>
      </c>
      <c r="J1207">
        <f t="shared" si="185"/>
        <v>139</v>
      </c>
      <c r="K1207">
        <f t="shared" si="186"/>
        <v>3</v>
      </c>
      <c r="L1207">
        <f t="shared" si="187"/>
        <v>392988</v>
      </c>
      <c r="M1207">
        <f t="shared" si="188"/>
        <v>121449</v>
      </c>
      <c r="N1207">
        <f t="shared" si="189"/>
        <v>562437</v>
      </c>
      <c r="O1207">
        <f>IF(B1207="zagraniczny",K1207+O1206,O1206)</f>
        <v>550</v>
      </c>
    </row>
    <row r="1208" spans="1:15" x14ac:dyDescent="0.25">
      <c r="A1208">
        <v>7781904</v>
      </c>
      <c r="B1208" t="str">
        <f t="shared" si="180"/>
        <v>stacjonarny</v>
      </c>
      <c r="C1208" s="1">
        <v>42934</v>
      </c>
      <c r="D1208" s="2">
        <v>0.59964120370370366</v>
      </c>
      <c r="E1208" s="2">
        <v>0.60444444444444445</v>
      </c>
      <c r="F1208" s="2">
        <f t="shared" si="181"/>
        <v>4.8032407407407884E-3</v>
      </c>
      <c r="G1208">
        <f t="shared" si="182"/>
        <v>0</v>
      </c>
      <c r="H1208">
        <f t="shared" si="183"/>
        <v>6</v>
      </c>
      <c r="I1208">
        <f t="shared" si="184"/>
        <v>55</v>
      </c>
      <c r="J1208">
        <f t="shared" si="185"/>
        <v>415</v>
      </c>
      <c r="K1208">
        <f t="shared" si="186"/>
        <v>7</v>
      </c>
      <c r="L1208">
        <f t="shared" si="187"/>
        <v>393403</v>
      </c>
      <c r="M1208">
        <f t="shared" si="188"/>
        <v>121449</v>
      </c>
      <c r="N1208">
        <f t="shared" si="189"/>
        <v>562852</v>
      </c>
      <c r="O1208">
        <f>IF(B1208="zagraniczny",K1208+O1207,O1207)</f>
        <v>550</v>
      </c>
    </row>
    <row r="1209" spans="1:15" x14ac:dyDescent="0.25">
      <c r="A1209">
        <v>7473804</v>
      </c>
      <c r="B1209" t="str">
        <f t="shared" si="180"/>
        <v>stacjonarny</v>
      </c>
      <c r="C1209" s="1">
        <v>42934</v>
      </c>
      <c r="D1209" s="2">
        <v>0.60268518518518521</v>
      </c>
      <c r="E1209" s="2">
        <v>0.60929398148148151</v>
      </c>
      <c r="F1209" s="2">
        <f t="shared" si="181"/>
        <v>6.6087962962962932E-3</v>
      </c>
      <c r="G1209">
        <f t="shared" si="182"/>
        <v>0</v>
      </c>
      <c r="H1209">
        <f t="shared" si="183"/>
        <v>9</v>
      </c>
      <c r="I1209">
        <f t="shared" si="184"/>
        <v>31</v>
      </c>
      <c r="J1209">
        <f t="shared" si="185"/>
        <v>571</v>
      </c>
      <c r="K1209">
        <f t="shared" si="186"/>
        <v>10</v>
      </c>
      <c r="L1209">
        <f t="shared" si="187"/>
        <v>393974</v>
      </c>
      <c r="M1209">
        <f t="shared" si="188"/>
        <v>121449</v>
      </c>
      <c r="N1209">
        <f t="shared" si="189"/>
        <v>563423</v>
      </c>
      <c r="O1209">
        <f>IF(B1209="zagraniczny",K1209+O1208,O1208)</f>
        <v>550</v>
      </c>
    </row>
    <row r="1210" spans="1:15" x14ac:dyDescent="0.25">
      <c r="A1210">
        <v>8474693946</v>
      </c>
      <c r="B1210" t="str">
        <f t="shared" si="180"/>
        <v>zagraniczny</v>
      </c>
      <c r="C1210" s="1">
        <v>42934</v>
      </c>
      <c r="D1210" s="2">
        <v>0.60423611111111108</v>
      </c>
      <c r="E1210" s="2">
        <v>0.61535879629629631</v>
      </c>
      <c r="F1210" s="2">
        <f t="shared" si="181"/>
        <v>1.1122685185185222E-2</v>
      </c>
      <c r="G1210">
        <f t="shared" si="182"/>
        <v>0</v>
      </c>
      <c r="H1210">
        <f t="shared" si="183"/>
        <v>16</v>
      </c>
      <c r="I1210">
        <f t="shared" si="184"/>
        <v>1</v>
      </c>
      <c r="J1210">
        <f t="shared" si="185"/>
        <v>961</v>
      </c>
      <c r="K1210">
        <f t="shared" si="186"/>
        <v>17</v>
      </c>
      <c r="L1210">
        <f t="shared" si="187"/>
        <v>393974</v>
      </c>
      <c r="M1210">
        <f t="shared" si="188"/>
        <v>121449</v>
      </c>
      <c r="N1210">
        <f t="shared" si="189"/>
        <v>563423</v>
      </c>
      <c r="O1210">
        <f>IF(B1210="zagraniczny",K1210+O1209,O1209)</f>
        <v>567</v>
      </c>
    </row>
    <row r="1211" spans="1:15" x14ac:dyDescent="0.25">
      <c r="A1211">
        <v>8984769</v>
      </c>
      <c r="B1211" t="str">
        <f t="shared" si="180"/>
        <v>stacjonarny</v>
      </c>
      <c r="C1211" s="1">
        <v>42934</v>
      </c>
      <c r="D1211" s="2">
        <v>0.60932870370370373</v>
      </c>
      <c r="E1211" s="2">
        <v>0.61124999999999996</v>
      </c>
      <c r="F1211" s="2">
        <f t="shared" si="181"/>
        <v>1.9212962962962266E-3</v>
      </c>
      <c r="G1211">
        <f t="shared" si="182"/>
        <v>0</v>
      </c>
      <c r="H1211">
        <f t="shared" si="183"/>
        <v>2</v>
      </c>
      <c r="I1211">
        <f t="shared" si="184"/>
        <v>46</v>
      </c>
      <c r="J1211">
        <f t="shared" si="185"/>
        <v>166</v>
      </c>
      <c r="K1211">
        <f t="shared" si="186"/>
        <v>3</v>
      </c>
      <c r="L1211">
        <f t="shared" si="187"/>
        <v>394140</v>
      </c>
      <c r="M1211">
        <f t="shared" si="188"/>
        <v>121449</v>
      </c>
      <c r="N1211">
        <f t="shared" si="189"/>
        <v>563589</v>
      </c>
      <c r="O1211">
        <f>IF(B1211="zagraniczny",K1211+O1210,O1210)</f>
        <v>567</v>
      </c>
    </row>
    <row r="1212" spans="1:15" x14ac:dyDescent="0.25">
      <c r="A1212">
        <v>40395856</v>
      </c>
      <c r="B1212" t="str">
        <f t="shared" si="180"/>
        <v>komorkowy</v>
      </c>
      <c r="C1212" s="1">
        <v>42934</v>
      </c>
      <c r="D1212" s="2">
        <v>0.61365740740740737</v>
      </c>
      <c r="E1212" s="2">
        <v>0.61829861111111106</v>
      </c>
      <c r="F1212" s="2">
        <f t="shared" si="181"/>
        <v>4.6412037037036891E-3</v>
      </c>
      <c r="G1212">
        <f t="shared" si="182"/>
        <v>0</v>
      </c>
      <c r="H1212">
        <f t="shared" si="183"/>
        <v>6</v>
      </c>
      <c r="I1212">
        <f t="shared" si="184"/>
        <v>41</v>
      </c>
      <c r="J1212">
        <f t="shared" si="185"/>
        <v>401</v>
      </c>
      <c r="K1212">
        <f t="shared" si="186"/>
        <v>7</v>
      </c>
      <c r="L1212">
        <f t="shared" si="187"/>
        <v>394140</v>
      </c>
      <c r="M1212">
        <f t="shared" si="188"/>
        <v>121850</v>
      </c>
      <c r="N1212">
        <f t="shared" si="189"/>
        <v>563990</v>
      </c>
      <c r="O1212">
        <f>IF(B1212="zagraniczny",K1212+O1211,O1211)</f>
        <v>567</v>
      </c>
    </row>
    <row r="1213" spans="1:15" x14ac:dyDescent="0.25">
      <c r="A1213">
        <v>9728932</v>
      </c>
      <c r="B1213" t="str">
        <f t="shared" si="180"/>
        <v>stacjonarny</v>
      </c>
      <c r="C1213" s="1">
        <v>42934</v>
      </c>
      <c r="D1213" s="2">
        <v>0.61675925925925923</v>
      </c>
      <c r="E1213" s="2">
        <v>0.61790509259259263</v>
      </c>
      <c r="F1213" s="2">
        <f t="shared" si="181"/>
        <v>1.1458333333334014E-3</v>
      </c>
      <c r="G1213">
        <f t="shared" si="182"/>
        <v>0</v>
      </c>
      <c r="H1213">
        <f t="shared" si="183"/>
        <v>1</v>
      </c>
      <c r="I1213">
        <f t="shared" si="184"/>
        <v>39</v>
      </c>
      <c r="J1213">
        <f t="shared" si="185"/>
        <v>99</v>
      </c>
      <c r="K1213">
        <f t="shared" si="186"/>
        <v>2</v>
      </c>
      <c r="L1213">
        <f t="shared" si="187"/>
        <v>394239</v>
      </c>
      <c r="M1213">
        <f t="shared" si="188"/>
        <v>121850</v>
      </c>
      <c r="N1213">
        <f t="shared" si="189"/>
        <v>564089</v>
      </c>
      <c r="O1213">
        <f>IF(B1213="zagraniczny",K1213+O1212,O1212)</f>
        <v>567</v>
      </c>
    </row>
    <row r="1214" spans="1:15" x14ac:dyDescent="0.25">
      <c r="A1214">
        <v>8135542</v>
      </c>
      <c r="B1214" t="str">
        <f t="shared" si="180"/>
        <v>stacjonarny</v>
      </c>
      <c r="C1214" s="1">
        <v>42934</v>
      </c>
      <c r="D1214" s="2">
        <v>0.62184027777777773</v>
      </c>
      <c r="E1214" s="2">
        <v>0.63255787037037037</v>
      </c>
      <c r="F1214" s="2">
        <f t="shared" si="181"/>
        <v>1.071759259259264E-2</v>
      </c>
      <c r="G1214">
        <f t="shared" si="182"/>
        <v>0</v>
      </c>
      <c r="H1214">
        <f t="shared" si="183"/>
        <v>15</v>
      </c>
      <c r="I1214">
        <f t="shared" si="184"/>
        <v>26</v>
      </c>
      <c r="J1214">
        <f t="shared" si="185"/>
        <v>926</v>
      </c>
      <c r="K1214">
        <f t="shared" si="186"/>
        <v>16</v>
      </c>
      <c r="L1214">
        <f t="shared" si="187"/>
        <v>395165</v>
      </c>
      <c r="M1214">
        <f t="shared" si="188"/>
        <v>121850</v>
      </c>
      <c r="N1214">
        <f t="shared" si="189"/>
        <v>565015</v>
      </c>
      <c r="O1214">
        <f>IF(B1214="zagraniczny",K1214+O1213,O1213)</f>
        <v>567</v>
      </c>
    </row>
    <row r="1215" spans="1:15" x14ac:dyDescent="0.25">
      <c r="A1215">
        <v>10093488</v>
      </c>
      <c r="B1215" t="str">
        <f t="shared" si="180"/>
        <v>komorkowy</v>
      </c>
      <c r="C1215" s="1">
        <v>42934</v>
      </c>
      <c r="D1215" s="2">
        <v>0.62197916666666664</v>
      </c>
      <c r="E1215" s="2">
        <v>0.62238425925925922</v>
      </c>
      <c r="F1215" s="2">
        <f t="shared" si="181"/>
        <v>4.050925925925819E-4</v>
      </c>
      <c r="G1215">
        <f t="shared" si="182"/>
        <v>0</v>
      </c>
      <c r="H1215">
        <f t="shared" si="183"/>
        <v>0</v>
      </c>
      <c r="I1215">
        <f t="shared" si="184"/>
        <v>35</v>
      </c>
      <c r="J1215">
        <f t="shared" si="185"/>
        <v>35</v>
      </c>
      <c r="K1215">
        <f t="shared" si="186"/>
        <v>1</v>
      </c>
      <c r="L1215">
        <f t="shared" si="187"/>
        <v>395165</v>
      </c>
      <c r="M1215">
        <f t="shared" si="188"/>
        <v>121885</v>
      </c>
      <c r="N1215">
        <f t="shared" si="189"/>
        <v>565050</v>
      </c>
      <c r="O1215">
        <f>IF(B1215="zagraniczny",K1215+O1214,O1214)</f>
        <v>567</v>
      </c>
    </row>
    <row r="1216" spans="1:15" x14ac:dyDescent="0.25">
      <c r="A1216">
        <v>4203418</v>
      </c>
      <c r="B1216" t="str">
        <f t="shared" si="180"/>
        <v>stacjonarny</v>
      </c>
      <c r="C1216" s="1">
        <v>42934</v>
      </c>
      <c r="D1216" s="2">
        <v>0.62556712962962968</v>
      </c>
      <c r="E1216" s="2">
        <v>0.63491898148148151</v>
      </c>
      <c r="F1216" s="2">
        <f t="shared" si="181"/>
        <v>9.3518518518518334E-3</v>
      </c>
      <c r="G1216">
        <f t="shared" si="182"/>
        <v>0</v>
      </c>
      <c r="H1216">
        <f t="shared" si="183"/>
        <v>13</v>
      </c>
      <c r="I1216">
        <f t="shared" si="184"/>
        <v>28</v>
      </c>
      <c r="J1216">
        <f t="shared" si="185"/>
        <v>808</v>
      </c>
      <c r="K1216">
        <f t="shared" si="186"/>
        <v>14</v>
      </c>
      <c r="L1216">
        <f t="shared" si="187"/>
        <v>395973</v>
      </c>
      <c r="M1216">
        <f t="shared" si="188"/>
        <v>121885</v>
      </c>
      <c r="N1216">
        <f t="shared" si="189"/>
        <v>565858</v>
      </c>
      <c r="O1216">
        <f>IF(B1216="zagraniczny",K1216+O1215,O1215)</f>
        <v>567</v>
      </c>
    </row>
    <row r="1217" spans="1:15" x14ac:dyDescent="0.25">
      <c r="A1217">
        <v>2456290</v>
      </c>
      <c r="B1217" t="str">
        <f t="shared" si="180"/>
        <v>stacjonarny</v>
      </c>
      <c r="C1217" s="1">
        <v>42935</v>
      </c>
      <c r="D1217" s="2">
        <v>0.33592592592592591</v>
      </c>
      <c r="E1217" s="2">
        <v>0.34680555555555553</v>
      </c>
      <c r="F1217" s="2">
        <f t="shared" si="181"/>
        <v>1.0879629629629628E-2</v>
      </c>
      <c r="G1217">
        <f t="shared" si="182"/>
        <v>0</v>
      </c>
      <c r="H1217">
        <f t="shared" si="183"/>
        <v>15</v>
      </c>
      <c r="I1217">
        <f t="shared" si="184"/>
        <v>40</v>
      </c>
      <c r="J1217">
        <f t="shared" si="185"/>
        <v>940</v>
      </c>
      <c r="K1217">
        <f t="shared" si="186"/>
        <v>16</v>
      </c>
      <c r="L1217">
        <f t="shared" si="187"/>
        <v>396913</v>
      </c>
      <c r="M1217">
        <f t="shared" si="188"/>
        <v>121885</v>
      </c>
      <c r="N1217">
        <f t="shared" si="189"/>
        <v>566798</v>
      </c>
      <c r="O1217">
        <f>IF(B1217="zagraniczny",K1217+O1216,O1216)</f>
        <v>567</v>
      </c>
    </row>
    <row r="1218" spans="1:15" x14ac:dyDescent="0.25">
      <c r="A1218">
        <v>27610972</v>
      </c>
      <c r="B1218" t="str">
        <f t="shared" si="180"/>
        <v>komorkowy</v>
      </c>
      <c r="C1218" s="1">
        <v>42935</v>
      </c>
      <c r="D1218" s="2">
        <v>0.33888888888888891</v>
      </c>
      <c r="E1218" s="2">
        <v>0.3502777777777778</v>
      </c>
      <c r="F1218" s="2">
        <f t="shared" si="181"/>
        <v>1.1388888888888893E-2</v>
      </c>
      <c r="G1218">
        <f t="shared" si="182"/>
        <v>0</v>
      </c>
      <c r="H1218">
        <f t="shared" si="183"/>
        <v>16</v>
      </c>
      <c r="I1218">
        <f t="shared" si="184"/>
        <v>24</v>
      </c>
      <c r="J1218">
        <f t="shared" si="185"/>
        <v>984</v>
      </c>
      <c r="K1218">
        <f t="shared" si="186"/>
        <v>17</v>
      </c>
      <c r="L1218">
        <f t="shared" si="187"/>
        <v>396913</v>
      </c>
      <c r="M1218">
        <f t="shared" si="188"/>
        <v>122869</v>
      </c>
      <c r="N1218">
        <f t="shared" si="189"/>
        <v>567782</v>
      </c>
      <c r="O1218">
        <f>IF(B1218="zagraniczny",K1218+O1217,O1217)</f>
        <v>567</v>
      </c>
    </row>
    <row r="1219" spans="1:15" x14ac:dyDescent="0.25">
      <c r="A1219">
        <v>3073815</v>
      </c>
      <c r="B1219" t="str">
        <f t="shared" ref="B1219:B1282" si="190">IF(LEN(A1219)=7,"stacjonarny",IF(LEN(A1219)=8,"komorkowy","zagraniczny"))</f>
        <v>stacjonarny</v>
      </c>
      <c r="C1219" s="1">
        <v>42935</v>
      </c>
      <c r="D1219" s="2">
        <v>0.34309027777777779</v>
      </c>
      <c r="E1219" s="2">
        <v>0.34798611111111111</v>
      </c>
      <c r="F1219" s="2">
        <f t="shared" ref="F1219:F1282" si="191">E1219-D1219</f>
        <v>4.8958333333333215E-3</v>
      </c>
      <c r="G1219">
        <f t="shared" ref="G1219:G1282" si="192">HOUR(F1219)</f>
        <v>0</v>
      </c>
      <c r="H1219">
        <f t="shared" ref="H1219:H1282" si="193">MINUTE(F1219)</f>
        <v>7</v>
      </c>
      <c r="I1219">
        <f t="shared" ref="I1219:I1282" si="194">SECOND(F1219)</f>
        <v>3</v>
      </c>
      <c r="J1219">
        <f t="shared" ref="J1219:J1282" si="195">H1219*60+I1219</f>
        <v>423</v>
      </c>
      <c r="K1219">
        <f t="shared" ref="K1219:K1282" si="196">IF(I1219&gt;0,G1219*60+H1219+1,H1219+G1219*60)</f>
        <v>8</v>
      </c>
      <c r="L1219">
        <f t="shared" si="187"/>
        <v>397336</v>
      </c>
      <c r="M1219">
        <f t="shared" si="188"/>
        <v>122869</v>
      </c>
      <c r="N1219">
        <f t="shared" si="189"/>
        <v>568205</v>
      </c>
      <c r="O1219">
        <f>IF(B1219="zagraniczny",K1219+O1218,O1218)</f>
        <v>567</v>
      </c>
    </row>
    <row r="1220" spans="1:15" x14ac:dyDescent="0.25">
      <c r="A1220">
        <v>9776810</v>
      </c>
      <c r="B1220" t="str">
        <f t="shared" si="190"/>
        <v>stacjonarny</v>
      </c>
      <c r="C1220" s="1">
        <v>42935</v>
      </c>
      <c r="D1220" s="2">
        <v>0.34704861111111113</v>
      </c>
      <c r="E1220" s="2">
        <v>0.35386574074074073</v>
      </c>
      <c r="F1220" s="2">
        <f t="shared" si="191"/>
        <v>6.8171296296296036E-3</v>
      </c>
      <c r="G1220">
        <f t="shared" si="192"/>
        <v>0</v>
      </c>
      <c r="H1220">
        <f t="shared" si="193"/>
        <v>9</v>
      </c>
      <c r="I1220">
        <f t="shared" si="194"/>
        <v>49</v>
      </c>
      <c r="J1220">
        <f t="shared" si="195"/>
        <v>589</v>
      </c>
      <c r="K1220">
        <f t="shared" si="196"/>
        <v>10</v>
      </c>
      <c r="L1220">
        <f t="shared" ref="L1220:L1283" si="197">IF(B1220="stacjonarny",$J1220+L1219,L1219)</f>
        <v>397925</v>
      </c>
      <c r="M1220">
        <f t="shared" ref="M1220:M1283" si="198">IF(B1220="komorkowy",$J1220+M1219,M1219)</f>
        <v>122869</v>
      </c>
      <c r="N1220">
        <f t="shared" ref="N1220:N1283" si="199">IF(OR(B1220="stacjonarny",B1220="komorkowy"),J1220+N1219,N1219)</f>
        <v>568794</v>
      </c>
      <c r="O1220">
        <f>IF(B1220="zagraniczny",K1220+O1219,O1219)</f>
        <v>567</v>
      </c>
    </row>
    <row r="1221" spans="1:15" x14ac:dyDescent="0.25">
      <c r="A1221">
        <v>6763741</v>
      </c>
      <c r="B1221" t="str">
        <f t="shared" si="190"/>
        <v>stacjonarny</v>
      </c>
      <c r="C1221" s="1">
        <v>42935</v>
      </c>
      <c r="D1221" s="2">
        <v>0.35040509259259262</v>
      </c>
      <c r="E1221" s="2">
        <v>0.35600694444444442</v>
      </c>
      <c r="F1221" s="2">
        <f t="shared" si="191"/>
        <v>5.6018518518518023E-3</v>
      </c>
      <c r="G1221">
        <f t="shared" si="192"/>
        <v>0</v>
      </c>
      <c r="H1221">
        <f t="shared" si="193"/>
        <v>8</v>
      </c>
      <c r="I1221">
        <f t="shared" si="194"/>
        <v>4</v>
      </c>
      <c r="J1221">
        <f t="shared" si="195"/>
        <v>484</v>
      </c>
      <c r="K1221">
        <f t="shared" si="196"/>
        <v>9</v>
      </c>
      <c r="L1221">
        <f t="shared" si="197"/>
        <v>398409</v>
      </c>
      <c r="M1221">
        <f t="shared" si="198"/>
        <v>122869</v>
      </c>
      <c r="N1221">
        <f t="shared" si="199"/>
        <v>569278</v>
      </c>
      <c r="O1221">
        <f>IF(B1221="zagraniczny",K1221+O1220,O1220)</f>
        <v>567</v>
      </c>
    </row>
    <row r="1222" spans="1:15" x14ac:dyDescent="0.25">
      <c r="A1222">
        <v>2309436</v>
      </c>
      <c r="B1222" t="str">
        <f t="shared" si="190"/>
        <v>stacjonarny</v>
      </c>
      <c r="C1222" s="1">
        <v>42935</v>
      </c>
      <c r="D1222" s="2">
        <v>0.35304398148148147</v>
      </c>
      <c r="E1222" s="2">
        <v>0.35793981481481479</v>
      </c>
      <c r="F1222" s="2">
        <f t="shared" si="191"/>
        <v>4.8958333333333215E-3</v>
      </c>
      <c r="G1222">
        <f t="shared" si="192"/>
        <v>0</v>
      </c>
      <c r="H1222">
        <f t="shared" si="193"/>
        <v>7</v>
      </c>
      <c r="I1222">
        <f t="shared" si="194"/>
        <v>3</v>
      </c>
      <c r="J1222">
        <f t="shared" si="195"/>
        <v>423</v>
      </c>
      <c r="K1222">
        <f t="shared" si="196"/>
        <v>8</v>
      </c>
      <c r="L1222">
        <f t="shared" si="197"/>
        <v>398832</v>
      </c>
      <c r="M1222">
        <f t="shared" si="198"/>
        <v>122869</v>
      </c>
      <c r="N1222">
        <f t="shared" si="199"/>
        <v>569701</v>
      </c>
      <c r="O1222">
        <f>IF(B1222="zagraniczny",K1222+O1221,O1221)</f>
        <v>567</v>
      </c>
    </row>
    <row r="1223" spans="1:15" x14ac:dyDescent="0.25">
      <c r="A1223">
        <v>3131883</v>
      </c>
      <c r="B1223" t="str">
        <f t="shared" si="190"/>
        <v>stacjonarny</v>
      </c>
      <c r="C1223" s="1">
        <v>42935</v>
      </c>
      <c r="D1223" s="2">
        <v>0.35712962962962963</v>
      </c>
      <c r="E1223" s="2">
        <v>0.36243055555555553</v>
      </c>
      <c r="F1223" s="2">
        <f t="shared" si="191"/>
        <v>5.3009259259259034E-3</v>
      </c>
      <c r="G1223">
        <f t="shared" si="192"/>
        <v>0</v>
      </c>
      <c r="H1223">
        <f t="shared" si="193"/>
        <v>7</v>
      </c>
      <c r="I1223">
        <f t="shared" si="194"/>
        <v>38</v>
      </c>
      <c r="J1223">
        <f t="shared" si="195"/>
        <v>458</v>
      </c>
      <c r="K1223">
        <f t="shared" si="196"/>
        <v>8</v>
      </c>
      <c r="L1223">
        <f t="shared" si="197"/>
        <v>399290</v>
      </c>
      <c r="M1223">
        <f t="shared" si="198"/>
        <v>122869</v>
      </c>
      <c r="N1223">
        <f t="shared" si="199"/>
        <v>570159</v>
      </c>
      <c r="O1223">
        <f>IF(B1223="zagraniczny",K1223+O1222,O1222)</f>
        <v>567</v>
      </c>
    </row>
    <row r="1224" spans="1:15" x14ac:dyDescent="0.25">
      <c r="A1224">
        <v>69001821</v>
      </c>
      <c r="B1224" t="str">
        <f t="shared" si="190"/>
        <v>komorkowy</v>
      </c>
      <c r="C1224" s="1">
        <v>42935</v>
      </c>
      <c r="D1224" s="2">
        <v>0.35835648148148147</v>
      </c>
      <c r="E1224" s="2">
        <v>0.36712962962962964</v>
      </c>
      <c r="F1224" s="2">
        <f t="shared" si="191"/>
        <v>8.7731481481481688E-3</v>
      </c>
      <c r="G1224">
        <f t="shared" si="192"/>
        <v>0</v>
      </c>
      <c r="H1224">
        <f t="shared" si="193"/>
        <v>12</v>
      </c>
      <c r="I1224">
        <f t="shared" si="194"/>
        <v>38</v>
      </c>
      <c r="J1224">
        <f t="shared" si="195"/>
        <v>758</v>
      </c>
      <c r="K1224">
        <f t="shared" si="196"/>
        <v>13</v>
      </c>
      <c r="L1224">
        <f t="shared" si="197"/>
        <v>399290</v>
      </c>
      <c r="M1224">
        <f t="shared" si="198"/>
        <v>123627</v>
      </c>
      <c r="N1224">
        <f t="shared" si="199"/>
        <v>570917</v>
      </c>
      <c r="O1224">
        <f>IF(B1224="zagraniczny",K1224+O1223,O1223)</f>
        <v>567</v>
      </c>
    </row>
    <row r="1225" spans="1:15" x14ac:dyDescent="0.25">
      <c r="A1225">
        <v>2150051</v>
      </c>
      <c r="B1225" t="str">
        <f t="shared" si="190"/>
        <v>stacjonarny</v>
      </c>
      <c r="C1225" s="1">
        <v>42935</v>
      </c>
      <c r="D1225" s="2">
        <v>0.36310185185185184</v>
      </c>
      <c r="E1225" s="2">
        <v>0.36723379629629632</v>
      </c>
      <c r="F1225" s="2">
        <f t="shared" si="191"/>
        <v>4.1319444444444797E-3</v>
      </c>
      <c r="G1225">
        <f t="shared" si="192"/>
        <v>0</v>
      </c>
      <c r="H1225">
        <f t="shared" si="193"/>
        <v>5</v>
      </c>
      <c r="I1225">
        <f t="shared" si="194"/>
        <v>57</v>
      </c>
      <c r="J1225">
        <f t="shared" si="195"/>
        <v>357</v>
      </c>
      <c r="K1225">
        <f t="shared" si="196"/>
        <v>6</v>
      </c>
      <c r="L1225">
        <f t="shared" si="197"/>
        <v>399647</v>
      </c>
      <c r="M1225">
        <f t="shared" si="198"/>
        <v>123627</v>
      </c>
      <c r="N1225">
        <f t="shared" si="199"/>
        <v>571274</v>
      </c>
      <c r="O1225">
        <f>IF(B1225="zagraniczny",K1225+O1224,O1224)</f>
        <v>567</v>
      </c>
    </row>
    <row r="1226" spans="1:15" x14ac:dyDescent="0.25">
      <c r="A1226">
        <v>9967523741</v>
      </c>
      <c r="B1226" t="str">
        <f t="shared" si="190"/>
        <v>zagraniczny</v>
      </c>
      <c r="C1226" s="1">
        <v>42935</v>
      </c>
      <c r="D1226" s="2">
        <v>0.36886574074074074</v>
      </c>
      <c r="E1226" s="2">
        <v>0.37324074074074076</v>
      </c>
      <c r="F1226" s="2">
        <f t="shared" si="191"/>
        <v>4.3750000000000178E-3</v>
      </c>
      <c r="G1226">
        <f t="shared" si="192"/>
        <v>0</v>
      </c>
      <c r="H1226">
        <f t="shared" si="193"/>
        <v>6</v>
      </c>
      <c r="I1226">
        <f t="shared" si="194"/>
        <v>18</v>
      </c>
      <c r="J1226">
        <f t="shared" si="195"/>
        <v>378</v>
      </c>
      <c r="K1226">
        <f t="shared" si="196"/>
        <v>7</v>
      </c>
      <c r="L1226">
        <f t="shared" si="197"/>
        <v>399647</v>
      </c>
      <c r="M1226">
        <f t="shared" si="198"/>
        <v>123627</v>
      </c>
      <c r="N1226">
        <f t="shared" si="199"/>
        <v>571274</v>
      </c>
      <c r="O1226">
        <f>IF(B1226="zagraniczny",K1226+O1225,O1225)</f>
        <v>574</v>
      </c>
    </row>
    <row r="1227" spans="1:15" x14ac:dyDescent="0.25">
      <c r="A1227">
        <v>23300236</v>
      </c>
      <c r="B1227" t="str">
        <f t="shared" si="190"/>
        <v>komorkowy</v>
      </c>
      <c r="C1227" s="1">
        <v>42935</v>
      </c>
      <c r="D1227" s="2">
        <v>0.37094907407407407</v>
      </c>
      <c r="E1227" s="2">
        <v>0.37517361111111114</v>
      </c>
      <c r="F1227" s="2">
        <f t="shared" si="191"/>
        <v>4.2245370370370683E-3</v>
      </c>
      <c r="G1227">
        <f t="shared" si="192"/>
        <v>0</v>
      </c>
      <c r="H1227">
        <f t="shared" si="193"/>
        <v>6</v>
      </c>
      <c r="I1227">
        <f t="shared" si="194"/>
        <v>5</v>
      </c>
      <c r="J1227">
        <f t="shared" si="195"/>
        <v>365</v>
      </c>
      <c r="K1227">
        <f t="shared" si="196"/>
        <v>7</v>
      </c>
      <c r="L1227">
        <f t="shared" si="197"/>
        <v>399647</v>
      </c>
      <c r="M1227">
        <f t="shared" si="198"/>
        <v>123992</v>
      </c>
      <c r="N1227">
        <f t="shared" si="199"/>
        <v>571639</v>
      </c>
      <c r="O1227">
        <f>IF(B1227="zagraniczny",K1227+O1226,O1226)</f>
        <v>574</v>
      </c>
    </row>
    <row r="1228" spans="1:15" x14ac:dyDescent="0.25">
      <c r="A1228">
        <v>4714815</v>
      </c>
      <c r="B1228" t="str">
        <f t="shared" si="190"/>
        <v>stacjonarny</v>
      </c>
      <c r="C1228" s="1">
        <v>42935</v>
      </c>
      <c r="D1228" s="2">
        <v>0.37484953703703705</v>
      </c>
      <c r="E1228" s="2">
        <v>0.38143518518518521</v>
      </c>
      <c r="F1228" s="2">
        <f t="shared" si="191"/>
        <v>6.5856481481481599E-3</v>
      </c>
      <c r="G1228">
        <f t="shared" si="192"/>
        <v>0</v>
      </c>
      <c r="H1228">
        <f t="shared" si="193"/>
        <v>9</v>
      </c>
      <c r="I1228">
        <f t="shared" si="194"/>
        <v>29</v>
      </c>
      <c r="J1228">
        <f t="shared" si="195"/>
        <v>569</v>
      </c>
      <c r="K1228">
        <f t="shared" si="196"/>
        <v>10</v>
      </c>
      <c r="L1228">
        <f t="shared" si="197"/>
        <v>400216</v>
      </c>
      <c r="M1228">
        <f t="shared" si="198"/>
        <v>123992</v>
      </c>
      <c r="N1228">
        <f t="shared" si="199"/>
        <v>572208</v>
      </c>
      <c r="O1228">
        <f>IF(B1228="zagraniczny",K1228+O1227,O1227)</f>
        <v>574</v>
      </c>
    </row>
    <row r="1229" spans="1:15" x14ac:dyDescent="0.25">
      <c r="A1229">
        <v>80038636</v>
      </c>
      <c r="B1229" t="str">
        <f t="shared" si="190"/>
        <v>komorkowy</v>
      </c>
      <c r="C1229" s="1">
        <v>42935</v>
      </c>
      <c r="D1229" s="2">
        <v>0.38028935185185186</v>
      </c>
      <c r="E1229" s="2">
        <v>0.38239583333333332</v>
      </c>
      <c r="F1229" s="2">
        <f t="shared" si="191"/>
        <v>2.1064814814814592E-3</v>
      </c>
      <c r="G1229">
        <f t="shared" si="192"/>
        <v>0</v>
      </c>
      <c r="H1229">
        <f t="shared" si="193"/>
        <v>3</v>
      </c>
      <c r="I1229">
        <f t="shared" si="194"/>
        <v>2</v>
      </c>
      <c r="J1229">
        <f t="shared" si="195"/>
        <v>182</v>
      </c>
      <c r="K1229">
        <f t="shared" si="196"/>
        <v>4</v>
      </c>
      <c r="L1229">
        <f t="shared" si="197"/>
        <v>400216</v>
      </c>
      <c r="M1229">
        <f t="shared" si="198"/>
        <v>124174</v>
      </c>
      <c r="N1229">
        <f t="shared" si="199"/>
        <v>572390</v>
      </c>
      <c r="O1229">
        <f>IF(B1229="zagraniczny",K1229+O1228,O1228)</f>
        <v>574</v>
      </c>
    </row>
    <row r="1230" spans="1:15" x14ac:dyDescent="0.25">
      <c r="A1230">
        <v>47596793</v>
      </c>
      <c r="B1230" t="str">
        <f t="shared" si="190"/>
        <v>komorkowy</v>
      </c>
      <c r="C1230" s="1">
        <v>42935</v>
      </c>
      <c r="D1230" s="2">
        <v>0.38059027777777776</v>
      </c>
      <c r="E1230" s="2">
        <v>0.38280092592592591</v>
      </c>
      <c r="F1230" s="2">
        <f t="shared" si="191"/>
        <v>2.2106481481481421E-3</v>
      </c>
      <c r="G1230">
        <f t="shared" si="192"/>
        <v>0</v>
      </c>
      <c r="H1230">
        <f t="shared" si="193"/>
        <v>3</v>
      </c>
      <c r="I1230">
        <f t="shared" si="194"/>
        <v>11</v>
      </c>
      <c r="J1230">
        <f t="shared" si="195"/>
        <v>191</v>
      </c>
      <c r="K1230">
        <f t="shared" si="196"/>
        <v>4</v>
      </c>
      <c r="L1230">
        <f t="shared" si="197"/>
        <v>400216</v>
      </c>
      <c r="M1230">
        <f t="shared" si="198"/>
        <v>124365</v>
      </c>
      <c r="N1230">
        <f t="shared" si="199"/>
        <v>572581</v>
      </c>
      <c r="O1230">
        <f>IF(B1230="zagraniczny",K1230+O1229,O1229)</f>
        <v>574</v>
      </c>
    </row>
    <row r="1231" spans="1:15" x14ac:dyDescent="0.25">
      <c r="A1231">
        <v>6574044</v>
      </c>
      <c r="B1231" t="str">
        <f t="shared" si="190"/>
        <v>stacjonarny</v>
      </c>
      <c r="C1231" s="1">
        <v>42935</v>
      </c>
      <c r="D1231" s="2">
        <v>0.38173611111111111</v>
      </c>
      <c r="E1231" s="2">
        <v>0.38915509259259257</v>
      </c>
      <c r="F1231" s="2">
        <f t="shared" si="191"/>
        <v>7.418981481481457E-3</v>
      </c>
      <c r="G1231">
        <f t="shared" si="192"/>
        <v>0</v>
      </c>
      <c r="H1231">
        <f t="shared" si="193"/>
        <v>10</v>
      </c>
      <c r="I1231">
        <f t="shared" si="194"/>
        <v>41</v>
      </c>
      <c r="J1231">
        <f t="shared" si="195"/>
        <v>641</v>
      </c>
      <c r="K1231">
        <f t="shared" si="196"/>
        <v>11</v>
      </c>
      <c r="L1231">
        <f t="shared" si="197"/>
        <v>400857</v>
      </c>
      <c r="M1231">
        <f t="shared" si="198"/>
        <v>124365</v>
      </c>
      <c r="N1231">
        <f t="shared" si="199"/>
        <v>573222</v>
      </c>
      <c r="O1231">
        <f>IF(B1231="zagraniczny",K1231+O1230,O1230)</f>
        <v>574</v>
      </c>
    </row>
    <row r="1232" spans="1:15" x14ac:dyDescent="0.25">
      <c r="A1232">
        <v>9475290</v>
      </c>
      <c r="B1232" t="str">
        <f t="shared" si="190"/>
        <v>stacjonarny</v>
      </c>
      <c r="C1232" s="1">
        <v>42935</v>
      </c>
      <c r="D1232" s="2">
        <v>0.38512731481481483</v>
      </c>
      <c r="E1232" s="2">
        <v>0.3947222222222222</v>
      </c>
      <c r="F1232" s="2">
        <f t="shared" si="191"/>
        <v>9.5949074074073715E-3</v>
      </c>
      <c r="G1232">
        <f t="shared" si="192"/>
        <v>0</v>
      </c>
      <c r="H1232">
        <f t="shared" si="193"/>
        <v>13</v>
      </c>
      <c r="I1232">
        <f t="shared" si="194"/>
        <v>49</v>
      </c>
      <c r="J1232">
        <f t="shared" si="195"/>
        <v>829</v>
      </c>
      <c r="K1232">
        <f t="shared" si="196"/>
        <v>14</v>
      </c>
      <c r="L1232">
        <f t="shared" si="197"/>
        <v>401686</v>
      </c>
      <c r="M1232">
        <f t="shared" si="198"/>
        <v>124365</v>
      </c>
      <c r="N1232">
        <f t="shared" si="199"/>
        <v>574051</v>
      </c>
      <c r="O1232">
        <f>IF(B1232="zagraniczny",K1232+O1231,O1231)</f>
        <v>574</v>
      </c>
    </row>
    <row r="1233" spans="1:15" x14ac:dyDescent="0.25">
      <c r="A1233">
        <v>4458725</v>
      </c>
      <c r="B1233" t="str">
        <f t="shared" si="190"/>
        <v>stacjonarny</v>
      </c>
      <c r="C1233" s="1">
        <v>42935</v>
      </c>
      <c r="D1233" s="2">
        <v>0.38533564814814814</v>
      </c>
      <c r="E1233" s="2">
        <v>0.39521990740740742</v>
      </c>
      <c r="F1233" s="2">
        <f t="shared" si="191"/>
        <v>9.8842592592592871E-3</v>
      </c>
      <c r="G1233">
        <f t="shared" si="192"/>
        <v>0</v>
      </c>
      <c r="H1233">
        <f t="shared" si="193"/>
        <v>14</v>
      </c>
      <c r="I1233">
        <f t="shared" si="194"/>
        <v>14</v>
      </c>
      <c r="J1233">
        <f t="shared" si="195"/>
        <v>854</v>
      </c>
      <c r="K1233">
        <f t="shared" si="196"/>
        <v>15</v>
      </c>
      <c r="L1233">
        <f t="shared" si="197"/>
        <v>402540</v>
      </c>
      <c r="M1233">
        <f t="shared" si="198"/>
        <v>124365</v>
      </c>
      <c r="N1233">
        <f t="shared" si="199"/>
        <v>574905</v>
      </c>
      <c r="O1233">
        <f>IF(B1233="zagraniczny",K1233+O1232,O1232)</f>
        <v>574</v>
      </c>
    </row>
    <row r="1234" spans="1:15" x14ac:dyDescent="0.25">
      <c r="A1234">
        <v>4785864</v>
      </c>
      <c r="B1234" t="str">
        <f t="shared" si="190"/>
        <v>stacjonarny</v>
      </c>
      <c r="C1234" s="1">
        <v>42935</v>
      </c>
      <c r="D1234" s="2">
        <v>0.38833333333333331</v>
      </c>
      <c r="E1234" s="2">
        <v>0.39069444444444446</v>
      </c>
      <c r="F1234" s="2">
        <f t="shared" si="191"/>
        <v>2.3611111111111471E-3</v>
      </c>
      <c r="G1234">
        <f t="shared" si="192"/>
        <v>0</v>
      </c>
      <c r="H1234">
        <f t="shared" si="193"/>
        <v>3</v>
      </c>
      <c r="I1234">
        <f t="shared" si="194"/>
        <v>24</v>
      </c>
      <c r="J1234">
        <f t="shared" si="195"/>
        <v>204</v>
      </c>
      <c r="K1234">
        <f t="shared" si="196"/>
        <v>4</v>
      </c>
      <c r="L1234">
        <f t="shared" si="197"/>
        <v>402744</v>
      </c>
      <c r="M1234">
        <f t="shared" si="198"/>
        <v>124365</v>
      </c>
      <c r="N1234">
        <f t="shared" si="199"/>
        <v>575109</v>
      </c>
      <c r="O1234">
        <f>IF(B1234="zagraniczny",K1234+O1233,O1233)</f>
        <v>574</v>
      </c>
    </row>
    <row r="1235" spans="1:15" x14ac:dyDescent="0.25">
      <c r="A1235">
        <v>3109039</v>
      </c>
      <c r="B1235" t="str">
        <f t="shared" si="190"/>
        <v>stacjonarny</v>
      </c>
      <c r="C1235" s="1">
        <v>42935</v>
      </c>
      <c r="D1235" s="2">
        <v>0.38979166666666665</v>
      </c>
      <c r="E1235" s="2">
        <v>0.39171296296296299</v>
      </c>
      <c r="F1235" s="2">
        <f t="shared" si="191"/>
        <v>1.9212962962963376E-3</v>
      </c>
      <c r="G1235">
        <f t="shared" si="192"/>
        <v>0</v>
      </c>
      <c r="H1235">
        <f t="shared" si="193"/>
        <v>2</v>
      </c>
      <c r="I1235">
        <f t="shared" si="194"/>
        <v>46</v>
      </c>
      <c r="J1235">
        <f t="shared" si="195"/>
        <v>166</v>
      </c>
      <c r="K1235">
        <f t="shared" si="196"/>
        <v>3</v>
      </c>
      <c r="L1235">
        <f t="shared" si="197"/>
        <v>402910</v>
      </c>
      <c r="M1235">
        <f t="shared" si="198"/>
        <v>124365</v>
      </c>
      <c r="N1235">
        <f t="shared" si="199"/>
        <v>575275</v>
      </c>
      <c r="O1235">
        <f>IF(B1235="zagraniczny",K1235+O1234,O1234)</f>
        <v>574</v>
      </c>
    </row>
    <row r="1236" spans="1:15" x14ac:dyDescent="0.25">
      <c r="A1236">
        <v>7340326</v>
      </c>
      <c r="B1236" t="str">
        <f t="shared" si="190"/>
        <v>stacjonarny</v>
      </c>
      <c r="C1236" s="1">
        <v>42935</v>
      </c>
      <c r="D1236" s="2">
        <v>0.3898611111111111</v>
      </c>
      <c r="E1236" s="2">
        <v>0.39067129629629632</v>
      </c>
      <c r="F1236" s="2">
        <f t="shared" si="191"/>
        <v>8.1018518518521931E-4</v>
      </c>
      <c r="G1236">
        <f t="shared" si="192"/>
        <v>0</v>
      </c>
      <c r="H1236">
        <f t="shared" si="193"/>
        <v>1</v>
      </c>
      <c r="I1236">
        <f t="shared" si="194"/>
        <v>10</v>
      </c>
      <c r="J1236">
        <f t="shared" si="195"/>
        <v>70</v>
      </c>
      <c r="K1236">
        <f t="shared" si="196"/>
        <v>2</v>
      </c>
      <c r="L1236">
        <f t="shared" si="197"/>
        <v>402980</v>
      </c>
      <c r="M1236">
        <f t="shared" si="198"/>
        <v>124365</v>
      </c>
      <c r="N1236">
        <f t="shared" si="199"/>
        <v>575345</v>
      </c>
      <c r="O1236">
        <f>IF(B1236="zagraniczny",K1236+O1235,O1235)</f>
        <v>574</v>
      </c>
    </row>
    <row r="1237" spans="1:15" x14ac:dyDescent="0.25">
      <c r="A1237">
        <v>7865428</v>
      </c>
      <c r="B1237" t="str">
        <f t="shared" si="190"/>
        <v>stacjonarny</v>
      </c>
      <c r="C1237" s="1">
        <v>42935</v>
      </c>
      <c r="D1237" s="2">
        <v>0.3941898148148148</v>
      </c>
      <c r="E1237" s="2">
        <v>0.40530092592592593</v>
      </c>
      <c r="F1237" s="2">
        <f t="shared" si="191"/>
        <v>1.1111111111111127E-2</v>
      </c>
      <c r="G1237">
        <f t="shared" si="192"/>
        <v>0</v>
      </c>
      <c r="H1237">
        <f t="shared" si="193"/>
        <v>16</v>
      </c>
      <c r="I1237">
        <f t="shared" si="194"/>
        <v>0</v>
      </c>
      <c r="J1237">
        <f t="shared" si="195"/>
        <v>960</v>
      </c>
      <c r="K1237">
        <f t="shared" si="196"/>
        <v>16</v>
      </c>
      <c r="L1237">
        <f t="shared" si="197"/>
        <v>403940</v>
      </c>
      <c r="M1237">
        <f t="shared" si="198"/>
        <v>124365</v>
      </c>
      <c r="N1237">
        <f t="shared" si="199"/>
        <v>576305</v>
      </c>
      <c r="O1237">
        <f>IF(B1237="zagraniczny",K1237+O1236,O1236)</f>
        <v>574</v>
      </c>
    </row>
    <row r="1238" spans="1:15" x14ac:dyDescent="0.25">
      <c r="A1238">
        <v>1467591</v>
      </c>
      <c r="B1238" t="str">
        <f t="shared" si="190"/>
        <v>stacjonarny</v>
      </c>
      <c r="C1238" s="1">
        <v>42935</v>
      </c>
      <c r="D1238" s="2">
        <v>0.39607638888888891</v>
      </c>
      <c r="E1238" s="2">
        <v>0.40442129629629631</v>
      </c>
      <c r="F1238" s="2">
        <f t="shared" si="191"/>
        <v>8.3449074074073981E-3</v>
      </c>
      <c r="G1238">
        <f t="shared" si="192"/>
        <v>0</v>
      </c>
      <c r="H1238">
        <f t="shared" si="193"/>
        <v>12</v>
      </c>
      <c r="I1238">
        <f t="shared" si="194"/>
        <v>1</v>
      </c>
      <c r="J1238">
        <f t="shared" si="195"/>
        <v>721</v>
      </c>
      <c r="K1238">
        <f t="shared" si="196"/>
        <v>13</v>
      </c>
      <c r="L1238">
        <f t="shared" si="197"/>
        <v>404661</v>
      </c>
      <c r="M1238">
        <f t="shared" si="198"/>
        <v>124365</v>
      </c>
      <c r="N1238">
        <f t="shared" si="199"/>
        <v>577026</v>
      </c>
      <c r="O1238">
        <f>IF(B1238="zagraniczny",K1238+O1237,O1237)</f>
        <v>574</v>
      </c>
    </row>
    <row r="1239" spans="1:15" x14ac:dyDescent="0.25">
      <c r="A1239">
        <v>2475157</v>
      </c>
      <c r="B1239" t="str">
        <f t="shared" si="190"/>
        <v>stacjonarny</v>
      </c>
      <c r="C1239" s="1">
        <v>42935</v>
      </c>
      <c r="D1239" s="2">
        <v>0.39937499999999998</v>
      </c>
      <c r="E1239" s="2">
        <v>0.40332175925925928</v>
      </c>
      <c r="F1239" s="2">
        <f t="shared" si="191"/>
        <v>3.9467592592593026E-3</v>
      </c>
      <c r="G1239">
        <f t="shared" si="192"/>
        <v>0</v>
      </c>
      <c r="H1239">
        <f t="shared" si="193"/>
        <v>5</v>
      </c>
      <c r="I1239">
        <f t="shared" si="194"/>
        <v>41</v>
      </c>
      <c r="J1239">
        <f t="shared" si="195"/>
        <v>341</v>
      </c>
      <c r="K1239">
        <f t="shared" si="196"/>
        <v>6</v>
      </c>
      <c r="L1239">
        <f t="shared" si="197"/>
        <v>405002</v>
      </c>
      <c r="M1239">
        <f t="shared" si="198"/>
        <v>124365</v>
      </c>
      <c r="N1239">
        <f t="shared" si="199"/>
        <v>577367</v>
      </c>
      <c r="O1239">
        <f>IF(B1239="zagraniczny",K1239+O1238,O1238)</f>
        <v>574</v>
      </c>
    </row>
    <row r="1240" spans="1:15" x14ac:dyDescent="0.25">
      <c r="A1240">
        <v>6023049</v>
      </c>
      <c r="B1240" t="str">
        <f t="shared" si="190"/>
        <v>stacjonarny</v>
      </c>
      <c r="C1240" s="1">
        <v>42935</v>
      </c>
      <c r="D1240" s="2">
        <v>0.39959490740740738</v>
      </c>
      <c r="E1240" s="2">
        <v>0.41099537037037037</v>
      </c>
      <c r="F1240" s="2">
        <f t="shared" si="191"/>
        <v>1.1400462962962987E-2</v>
      </c>
      <c r="G1240">
        <f t="shared" si="192"/>
        <v>0</v>
      </c>
      <c r="H1240">
        <f t="shared" si="193"/>
        <v>16</v>
      </c>
      <c r="I1240">
        <f t="shared" si="194"/>
        <v>25</v>
      </c>
      <c r="J1240">
        <f t="shared" si="195"/>
        <v>985</v>
      </c>
      <c r="K1240">
        <f t="shared" si="196"/>
        <v>17</v>
      </c>
      <c r="L1240">
        <f t="shared" si="197"/>
        <v>405987</v>
      </c>
      <c r="M1240">
        <f t="shared" si="198"/>
        <v>124365</v>
      </c>
      <c r="N1240">
        <f t="shared" si="199"/>
        <v>578352</v>
      </c>
      <c r="O1240">
        <f>IF(B1240="zagraniczny",K1240+O1239,O1239)</f>
        <v>574</v>
      </c>
    </row>
    <row r="1241" spans="1:15" x14ac:dyDescent="0.25">
      <c r="A1241">
        <v>39210366</v>
      </c>
      <c r="B1241" t="str">
        <f t="shared" si="190"/>
        <v>komorkowy</v>
      </c>
      <c r="C1241" s="1">
        <v>42935</v>
      </c>
      <c r="D1241" s="2">
        <v>0.40234953703703702</v>
      </c>
      <c r="E1241" s="2">
        <v>0.40469907407407407</v>
      </c>
      <c r="F1241" s="2">
        <f t="shared" si="191"/>
        <v>2.3495370370370527E-3</v>
      </c>
      <c r="G1241">
        <f t="shared" si="192"/>
        <v>0</v>
      </c>
      <c r="H1241">
        <f t="shared" si="193"/>
        <v>3</v>
      </c>
      <c r="I1241">
        <f t="shared" si="194"/>
        <v>23</v>
      </c>
      <c r="J1241">
        <f t="shared" si="195"/>
        <v>203</v>
      </c>
      <c r="K1241">
        <f t="shared" si="196"/>
        <v>4</v>
      </c>
      <c r="L1241">
        <f t="shared" si="197"/>
        <v>405987</v>
      </c>
      <c r="M1241">
        <f t="shared" si="198"/>
        <v>124568</v>
      </c>
      <c r="N1241">
        <f t="shared" si="199"/>
        <v>578555</v>
      </c>
      <c r="O1241">
        <f>IF(B1241="zagraniczny",K1241+O1240,O1240)</f>
        <v>574</v>
      </c>
    </row>
    <row r="1242" spans="1:15" x14ac:dyDescent="0.25">
      <c r="A1242">
        <v>90880011</v>
      </c>
      <c r="B1242" t="str">
        <f t="shared" si="190"/>
        <v>komorkowy</v>
      </c>
      <c r="C1242" s="1">
        <v>42935</v>
      </c>
      <c r="D1242" s="2">
        <v>0.40743055555555557</v>
      </c>
      <c r="E1242" s="2">
        <v>0.41255787037037039</v>
      </c>
      <c r="F1242" s="2">
        <f t="shared" si="191"/>
        <v>5.1273148148148207E-3</v>
      </c>
      <c r="G1242">
        <f t="shared" si="192"/>
        <v>0</v>
      </c>
      <c r="H1242">
        <f t="shared" si="193"/>
        <v>7</v>
      </c>
      <c r="I1242">
        <f t="shared" si="194"/>
        <v>23</v>
      </c>
      <c r="J1242">
        <f t="shared" si="195"/>
        <v>443</v>
      </c>
      <c r="K1242">
        <f t="shared" si="196"/>
        <v>8</v>
      </c>
      <c r="L1242">
        <f t="shared" si="197"/>
        <v>405987</v>
      </c>
      <c r="M1242">
        <f t="shared" si="198"/>
        <v>125011</v>
      </c>
      <c r="N1242">
        <f t="shared" si="199"/>
        <v>578998</v>
      </c>
      <c r="O1242">
        <f>IF(B1242="zagraniczny",K1242+O1241,O1241)</f>
        <v>574</v>
      </c>
    </row>
    <row r="1243" spans="1:15" x14ac:dyDescent="0.25">
      <c r="A1243">
        <v>4469748</v>
      </c>
      <c r="B1243" t="str">
        <f t="shared" si="190"/>
        <v>stacjonarny</v>
      </c>
      <c r="C1243" s="1">
        <v>42935</v>
      </c>
      <c r="D1243" s="2">
        <v>0.41121527777777778</v>
      </c>
      <c r="E1243" s="2">
        <v>0.41483796296296294</v>
      </c>
      <c r="F1243" s="2">
        <f t="shared" si="191"/>
        <v>3.6226851851851594E-3</v>
      </c>
      <c r="G1243">
        <f t="shared" si="192"/>
        <v>0</v>
      </c>
      <c r="H1243">
        <f t="shared" si="193"/>
        <v>5</v>
      </c>
      <c r="I1243">
        <f t="shared" si="194"/>
        <v>13</v>
      </c>
      <c r="J1243">
        <f t="shared" si="195"/>
        <v>313</v>
      </c>
      <c r="K1243">
        <f t="shared" si="196"/>
        <v>6</v>
      </c>
      <c r="L1243">
        <f t="shared" si="197"/>
        <v>406300</v>
      </c>
      <c r="M1243">
        <f t="shared" si="198"/>
        <v>125011</v>
      </c>
      <c r="N1243">
        <f t="shared" si="199"/>
        <v>579311</v>
      </c>
      <c r="O1243">
        <f>IF(B1243="zagraniczny",K1243+O1242,O1242)</f>
        <v>574</v>
      </c>
    </row>
    <row r="1244" spans="1:15" x14ac:dyDescent="0.25">
      <c r="A1244">
        <v>3931739393</v>
      </c>
      <c r="B1244" t="str">
        <f t="shared" si="190"/>
        <v>zagraniczny</v>
      </c>
      <c r="C1244" s="1">
        <v>42935</v>
      </c>
      <c r="D1244" s="2">
        <v>0.4127662037037037</v>
      </c>
      <c r="E1244" s="2">
        <v>0.42182870370370368</v>
      </c>
      <c r="F1244" s="2">
        <f t="shared" si="191"/>
        <v>9.0624999999999734E-3</v>
      </c>
      <c r="G1244">
        <f t="shared" si="192"/>
        <v>0</v>
      </c>
      <c r="H1244">
        <f t="shared" si="193"/>
        <v>13</v>
      </c>
      <c r="I1244">
        <f t="shared" si="194"/>
        <v>3</v>
      </c>
      <c r="J1244">
        <f t="shared" si="195"/>
        <v>783</v>
      </c>
      <c r="K1244">
        <f t="shared" si="196"/>
        <v>14</v>
      </c>
      <c r="L1244">
        <f t="shared" si="197"/>
        <v>406300</v>
      </c>
      <c r="M1244">
        <f t="shared" si="198"/>
        <v>125011</v>
      </c>
      <c r="N1244">
        <f t="shared" si="199"/>
        <v>579311</v>
      </c>
      <c r="O1244">
        <f>IF(B1244="zagraniczny",K1244+O1243,O1243)</f>
        <v>588</v>
      </c>
    </row>
    <row r="1245" spans="1:15" x14ac:dyDescent="0.25">
      <c r="A1245">
        <v>4079013</v>
      </c>
      <c r="B1245" t="str">
        <f t="shared" si="190"/>
        <v>stacjonarny</v>
      </c>
      <c r="C1245" s="1">
        <v>42935</v>
      </c>
      <c r="D1245" s="2">
        <v>0.41616898148148146</v>
      </c>
      <c r="E1245" s="2">
        <v>0.41717592592592595</v>
      </c>
      <c r="F1245" s="2">
        <f t="shared" si="191"/>
        <v>1.0069444444444908E-3</v>
      </c>
      <c r="G1245">
        <f t="shared" si="192"/>
        <v>0</v>
      </c>
      <c r="H1245">
        <f t="shared" si="193"/>
        <v>1</v>
      </c>
      <c r="I1245">
        <f t="shared" si="194"/>
        <v>27</v>
      </c>
      <c r="J1245">
        <f t="shared" si="195"/>
        <v>87</v>
      </c>
      <c r="K1245">
        <f t="shared" si="196"/>
        <v>2</v>
      </c>
      <c r="L1245">
        <f t="shared" si="197"/>
        <v>406387</v>
      </c>
      <c r="M1245">
        <f t="shared" si="198"/>
        <v>125011</v>
      </c>
      <c r="N1245">
        <f t="shared" si="199"/>
        <v>579398</v>
      </c>
      <c r="O1245">
        <f>IF(B1245="zagraniczny",K1245+O1244,O1244)</f>
        <v>588</v>
      </c>
    </row>
    <row r="1246" spans="1:15" x14ac:dyDescent="0.25">
      <c r="A1246">
        <v>7751076</v>
      </c>
      <c r="B1246" t="str">
        <f t="shared" si="190"/>
        <v>stacjonarny</v>
      </c>
      <c r="C1246" s="1">
        <v>42935</v>
      </c>
      <c r="D1246" s="2">
        <v>0.41996527777777776</v>
      </c>
      <c r="E1246" s="2">
        <v>0.42766203703703703</v>
      </c>
      <c r="F1246" s="2">
        <f t="shared" si="191"/>
        <v>7.6967592592592782E-3</v>
      </c>
      <c r="G1246">
        <f t="shared" si="192"/>
        <v>0</v>
      </c>
      <c r="H1246">
        <f t="shared" si="193"/>
        <v>11</v>
      </c>
      <c r="I1246">
        <f t="shared" si="194"/>
        <v>5</v>
      </c>
      <c r="J1246">
        <f t="shared" si="195"/>
        <v>665</v>
      </c>
      <c r="K1246">
        <f t="shared" si="196"/>
        <v>12</v>
      </c>
      <c r="L1246">
        <f t="shared" si="197"/>
        <v>407052</v>
      </c>
      <c r="M1246">
        <f t="shared" si="198"/>
        <v>125011</v>
      </c>
      <c r="N1246">
        <f t="shared" si="199"/>
        <v>580063</v>
      </c>
      <c r="O1246">
        <f>IF(B1246="zagraniczny",K1246+O1245,O1245)</f>
        <v>588</v>
      </c>
    </row>
    <row r="1247" spans="1:15" x14ac:dyDescent="0.25">
      <c r="A1247">
        <v>27684909</v>
      </c>
      <c r="B1247" t="str">
        <f t="shared" si="190"/>
        <v>komorkowy</v>
      </c>
      <c r="C1247" s="1">
        <v>42935</v>
      </c>
      <c r="D1247" s="2">
        <v>0.42166666666666669</v>
      </c>
      <c r="E1247" s="2">
        <v>0.43111111111111111</v>
      </c>
      <c r="F1247" s="2">
        <f t="shared" si="191"/>
        <v>9.444444444444422E-3</v>
      </c>
      <c r="G1247">
        <f t="shared" si="192"/>
        <v>0</v>
      </c>
      <c r="H1247">
        <f t="shared" si="193"/>
        <v>13</v>
      </c>
      <c r="I1247">
        <f t="shared" si="194"/>
        <v>36</v>
      </c>
      <c r="J1247">
        <f t="shared" si="195"/>
        <v>816</v>
      </c>
      <c r="K1247">
        <f t="shared" si="196"/>
        <v>14</v>
      </c>
      <c r="L1247">
        <f t="shared" si="197"/>
        <v>407052</v>
      </c>
      <c r="M1247">
        <f t="shared" si="198"/>
        <v>125827</v>
      </c>
      <c r="N1247">
        <f t="shared" si="199"/>
        <v>580879</v>
      </c>
      <c r="O1247">
        <f>IF(B1247="zagraniczny",K1247+O1246,O1246)</f>
        <v>588</v>
      </c>
    </row>
    <row r="1248" spans="1:15" x14ac:dyDescent="0.25">
      <c r="A1248">
        <v>1588418</v>
      </c>
      <c r="B1248" t="str">
        <f t="shared" si="190"/>
        <v>stacjonarny</v>
      </c>
      <c r="C1248" s="1">
        <v>42935</v>
      </c>
      <c r="D1248" s="2">
        <v>0.42422453703703705</v>
      </c>
      <c r="E1248" s="2">
        <v>0.43512731481481481</v>
      </c>
      <c r="F1248" s="2">
        <f t="shared" si="191"/>
        <v>1.0902777777777761E-2</v>
      </c>
      <c r="G1248">
        <f t="shared" si="192"/>
        <v>0</v>
      </c>
      <c r="H1248">
        <f t="shared" si="193"/>
        <v>15</v>
      </c>
      <c r="I1248">
        <f t="shared" si="194"/>
        <v>42</v>
      </c>
      <c r="J1248">
        <f t="shared" si="195"/>
        <v>942</v>
      </c>
      <c r="K1248">
        <f t="shared" si="196"/>
        <v>16</v>
      </c>
      <c r="L1248">
        <f t="shared" si="197"/>
        <v>407994</v>
      </c>
      <c r="M1248">
        <f t="shared" si="198"/>
        <v>125827</v>
      </c>
      <c r="N1248">
        <f t="shared" si="199"/>
        <v>581821</v>
      </c>
      <c r="O1248">
        <f>IF(B1248="zagraniczny",K1248+O1247,O1247)</f>
        <v>588</v>
      </c>
    </row>
    <row r="1249" spans="1:15" x14ac:dyDescent="0.25">
      <c r="A1249">
        <v>5333653356</v>
      </c>
      <c r="B1249" t="str">
        <f t="shared" si="190"/>
        <v>zagraniczny</v>
      </c>
      <c r="C1249" s="1">
        <v>42935</v>
      </c>
      <c r="D1249" s="2">
        <v>0.42684027777777778</v>
      </c>
      <c r="E1249" s="2">
        <v>0.43207175925925928</v>
      </c>
      <c r="F1249" s="2">
        <f t="shared" si="191"/>
        <v>5.2314814814815036E-3</v>
      </c>
      <c r="G1249">
        <f t="shared" si="192"/>
        <v>0</v>
      </c>
      <c r="H1249">
        <f t="shared" si="193"/>
        <v>7</v>
      </c>
      <c r="I1249">
        <f t="shared" si="194"/>
        <v>32</v>
      </c>
      <c r="J1249">
        <f t="shared" si="195"/>
        <v>452</v>
      </c>
      <c r="K1249">
        <f t="shared" si="196"/>
        <v>8</v>
      </c>
      <c r="L1249">
        <f t="shared" si="197"/>
        <v>407994</v>
      </c>
      <c r="M1249">
        <f t="shared" si="198"/>
        <v>125827</v>
      </c>
      <c r="N1249">
        <f t="shared" si="199"/>
        <v>581821</v>
      </c>
      <c r="O1249">
        <f>IF(B1249="zagraniczny",K1249+O1248,O1248)</f>
        <v>596</v>
      </c>
    </row>
    <row r="1250" spans="1:15" x14ac:dyDescent="0.25">
      <c r="A1250">
        <v>6305758</v>
      </c>
      <c r="B1250" t="str">
        <f t="shared" si="190"/>
        <v>stacjonarny</v>
      </c>
      <c r="C1250" s="1">
        <v>42935</v>
      </c>
      <c r="D1250" s="2">
        <v>0.42912037037037037</v>
      </c>
      <c r="E1250" s="2">
        <v>0.43425925925925923</v>
      </c>
      <c r="F1250" s="2">
        <f t="shared" si="191"/>
        <v>5.1388888888888595E-3</v>
      </c>
      <c r="G1250">
        <f t="shared" si="192"/>
        <v>0</v>
      </c>
      <c r="H1250">
        <f t="shared" si="193"/>
        <v>7</v>
      </c>
      <c r="I1250">
        <f t="shared" si="194"/>
        <v>24</v>
      </c>
      <c r="J1250">
        <f t="shared" si="195"/>
        <v>444</v>
      </c>
      <c r="K1250">
        <f t="shared" si="196"/>
        <v>8</v>
      </c>
      <c r="L1250">
        <f t="shared" si="197"/>
        <v>408438</v>
      </c>
      <c r="M1250">
        <f t="shared" si="198"/>
        <v>125827</v>
      </c>
      <c r="N1250">
        <f t="shared" si="199"/>
        <v>582265</v>
      </c>
      <c r="O1250">
        <f>IF(B1250="zagraniczny",K1250+O1249,O1249)</f>
        <v>596</v>
      </c>
    </row>
    <row r="1251" spans="1:15" x14ac:dyDescent="0.25">
      <c r="A1251">
        <v>45373038</v>
      </c>
      <c r="B1251" t="str">
        <f t="shared" si="190"/>
        <v>komorkowy</v>
      </c>
      <c r="C1251" s="1">
        <v>42935</v>
      </c>
      <c r="D1251" s="2">
        <v>0.43180555555555555</v>
      </c>
      <c r="E1251" s="2">
        <v>0.44175925925925924</v>
      </c>
      <c r="F1251" s="2">
        <f t="shared" si="191"/>
        <v>9.9537037037036868E-3</v>
      </c>
      <c r="G1251">
        <f t="shared" si="192"/>
        <v>0</v>
      </c>
      <c r="H1251">
        <f t="shared" si="193"/>
        <v>14</v>
      </c>
      <c r="I1251">
        <f t="shared" si="194"/>
        <v>20</v>
      </c>
      <c r="J1251">
        <f t="shared" si="195"/>
        <v>860</v>
      </c>
      <c r="K1251">
        <f t="shared" si="196"/>
        <v>15</v>
      </c>
      <c r="L1251">
        <f t="shared" si="197"/>
        <v>408438</v>
      </c>
      <c r="M1251">
        <f t="shared" si="198"/>
        <v>126687</v>
      </c>
      <c r="N1251">
        <f t="shared" si="199"/>
        <v>583125</v>
      </c>
      <c r="O1251">
        <f>IF(B1251="zagraniczny",K1251+O1250,O1250)</f>
        <v>596</v>
      </c>
    </row>
    <row r="1252" spans="1:15" x14ac:dyDescent="0.25">
      <c r="A1252">
        <v>7589993</v>
      </c>
      <c r="B1252" t="str">
        <f t="shared" si="190"/>
        <v>stacjonarny</v>
      </c>
      <c r="C1252" s="1">
        <v>42935</v>
      </c>
      <c r="D1252" s="2">
        <v>0.43185185185185188</v>
      </c>
      <c r="E1252" s="2">
        <v>0.4382638888888889</v>
      </c>
      <c r="F1252" s="2">
        <f t="shared" si="191"/>
        <v>6.4120370370370217E-3</v>
      </c>
      <c r="G1252">
        <f t="shared" si="192"/>
        <v>0</v>
      </c>
      <c r="H1252">
        <f t="shared" si="193"/>
        <v>9</v>
      </c>
      <c r="I1252">
        <f t="shared" si="194"/>
        <v>14</v>
      </c>
      <c r="J1252">
        <f t="shared" si="195"/>
        <v>554</v>
      </c>
      <c r="K1252">
        <f t="shared" si="196"/>
        <v>10</v>
      </c>
      <c r="L1252">
        <f t="shared" si="197"/>
        <v>408992</v>
      </c>
      <c r="M1252">
        <f t="shared" si="198"/>
        <v>126687</v>
      </c>
      <c r="N1252">
        <f t="shared" si="199"/>
        <v>583679</v>
      </c>
      <c r="O1252">
        <f>IF(B1252="zagraniczny",K1252+O1251,O1251)</f>
        <v>596</v>
      </c>
    </row>
    <row r="1253" spans="1:15" x14ac:dyDescent="0.25">
      <c r="A1253">
        <v>5588421</v>
      </c>
      <c r="B1253" t="str">
        <f t="shared" si="190"/>
        <v>stacjonarny</v>
      </c>
      <c r="C1253" s="1">
        <v>42935</v>
      </c>
      <c r="D1253" s="2">
        <v>0.43365740740740738</v>
      </c>
      <c r="E1253" s="2">
        <v>0.43964120370370369</v>
      </c>
      <c r="F1253" s="2">
        <f t="shared" si="191"/>
        <v>5.9837962962963065E-3</v>
      </c>
      <c r="G1253">
        <f t="shared" si="192"/>
        <v>0</v>
      </c>
      <c r="H1253">
        <f t="shared" si="193"/>
        <v>8</v>
      </c>
      <c r="I1253">
        <f t="shared" si="194"/>
        <v>37</v>
      </c>
      <c r="J1253">
        <f t="shared" si="195"/>
        <v>517</v>
      </c>
      <c r="K1253">
        <f t="shared" si="196"/>
        <v>9</v>
      </c>
      <c r="L1253">
        <f t="shared" si="197"/>
        <v>409509</v>
      </c>
      <c r="M1253">
        <f t="shared" si="198"/>
        <v>126687</v>
      </c>
      <c r="N1253">
        <f t="shared" si="199"/>
        <v>584196</v>
      </c>
      <c r="O1253">
        <f>IF(B1253="zagraniczny",K1253+O1252,O1252)</f>
        <v>596</v>
      </c>
    </row>
    <row r="1254" spans="1:15" x14ac:dyDescent="0.25">
      <c r="A1254">
        <v>9662407</v>
      </c>
      <c r="B1254" t="str">
        <f t="shared" si="190"/>
        <v>stacjonarny</v>
      </c>
      <c r="C1254" s="1">
        <v>42935</v>
      </c>
      <c r="D1254" s="2">
        <v>0.43509259259259259</v>
      </c>
      <c r="E1254" s="2">
        <v>0.44364583333333335</v>
      </c>
      <c r="F1254" s="2">
        <f t="shared" si="191"/>
        <v>8.553240740740764E-3</v>
      </c>
      <c r="G1254">
        <f t="shared" si="192"/>
        <v>0</v>
      </c>
      <c r="H1254">
        <f t="shared" si="193"/>
        <v>12</v>
      </c>
      <c r="I1254">
        <f t="shared" si="194"/>
        <v>19</v>
      </c>
      <c r="J1254">
        <f t="shared" si="195"/>
        <v>739</v>
      </c>
      <c r="K1254">
        <f t="shared" si="196"/>
        <v>13</v>
      </c>
      <c r="L1254">
        <f t="shared" si="197"/>
        <v>410248</v>
      </c>
      <c r="M1254">
        <f t="shared" si="198"/>
        <v>126687</v>
      </c>
      <c r="N1254">
        <f t="shared" si="199"/>
        <v>584935</v>
      </c>
      <c r="O1254">
        <f>IF(B1254="zagraniczny",K1254+O1253,O1253)</f>
        <v>596</v>
      </c>
    </row>
    <row r="1255" spans="1:15" x14ac:dyDescent="0.25">
      <c r="A1255">
        <v>3422062</v>
      </c>
      <c r="B1255" t="str">
        <f t="shared" si="190"/>
        <v>stacjonarny</v>
      </c>
      <c r="C1255" s="1">
        <v>42935</v>
      </c>
      <c r="D1255" s="2">
        <v>0.43734953703703705</v>
      </c>
      <c r="E1255" s="2">
        <v>0.44071759259259258</v>
      </c>
      <c r="F1255" s="2">
        <f t="shared" si="191"/>
        <v>3.3680555555555269E-3</v>
      </c>
      <c r="G1255">
        <f t="shared" si="192"/>
        <v>0</v>
      </c>
      <c r="H1255">
        <f t="shared" si="193"/>
        <v>4</v>
      </c>
      <c r="I1255">
        <f t="shared" si="194"/>
        <v>51</v>
      </c>
      <c r="J1255">
        <f t="shared" si="195"/>
        <v>291</v>
      </c>
      <c r="K1255">
        <f t="shared" si="196"/>
        <v>5</v>
      </c>
      <c r="L1255">
        <f t="shared" si="197"/>
        <v>410539</v>
      </c>
      <c r="M1255">
        <f t="shared" si="198"/>
        <v>126687</v>
      </c>
      <c r="N1255">
        <f t="shared" si="199"/>
        <v>585226</v>
      </c>
      <c r="O1255">
        <f>IF(B1255="zagraniczny",K1255+O1254,O1254)</f>
        <v>596</v>
      </c>
    </row>
    <row r="1256" spans="1:15" x14ac:dyDescent="0.25">
      <c r="A1256">
        <v>9305031</v>
      </c>
      <c r="B1256" t="str">
        <f t="shared" si="190"/>
        <v>stacjonarny</v>
      </c>
      <c r="C1256" s="1">
        <v>42935</v>
      </c>
      <c r="D1256" s="2">
        <v>0.43827546296296294</v>
      </c>
      <c r="E1256" s="2">
        <v>0.44968750000000002</v>
      </c>
      <c r="F1256" s="2">
        <f t="shared" si="191"/>
        <v>1.1412037037037082E-2</v>
      </c>
      <c r="G1256">
        <f t="shared" si="192"/>
        <v>0</v>
      </c>
      <c r="H1256">
        <f t="shared" si="193"/>
        <v>16</v>
      </c>
      <c r="I1256">
        <f t="shared" si="194"/>
        <v>26</v>
      </c>
      <c r="J1256">
        <f t="shared" si="195"/>
        <v>986</v>
      </c>
      <c r="K1256">
        <f t="shared" si="196"/>
        <v>17</v>
      </c>
      <c r="L1256">
        <f t="shared" si="197"/>
        <v>411525</v>
      </c>
      <c r="M1256">
        <f t="shared" si="198"/>
        <v>126687</v>
      </c>
      <c r="N1256">
        <f t="shared" si="199"/>
        <v>586212</v>
      </c>
      <c r="O1256">
        <f>IF(B1256="zagraniczny",K1256+O1255,O1255)</f>
        <v>596</v>
      </c>
    </row>
    <row r="1257" spans="1:15" x14ac:dyDescent="0.25">
      <c r="A1257">
        <v>4911005</v>
      </c>
      <c r="B1257" t="str">
        <f t="shared" si="190"/>
        <v>stacjonarny</v>
      </c>
      <c r="C1257" s="1">
        <v>42935</v>
      </c>
      <c r="D1257" s="2">
        <v>0.44305555555555554</v>
      </c>
      <c r="E1257" s="2">
        <v>0.45006944444444447</v>
      </c>
      <c r="F1257" s="2">
        <f t="shared" si="191"/>
        <v>7.0138888888889306E-3</v>
      </c>
      <c r="G1257">
        <f t="shared" si="192"/>
        <v>0</v>
      </c>
      <c r="H1257">
        <f t="shared" si="193"/>
        <v>10</v>
      </c>
      <c r="I1257">
        <f t="shared" si="194"/>
        <v>6</v>
      </c>
      <c r="J1257">
        <f t="shared" si="195"/>
        <v>606</v>
      </c>
      <c r="K1257">
        <f t="shared" si="196"/>
        <v>11</v>
      </c>
      <c r="L1257">
        <f t="shared" si="197"/>
        <v>412131</v>
      </c>
      <c r="M1257">
        <f t="shared" si="198"/>
        <v>126687</v>
      </c>
      <c r="N1257">
        <f t="shared" si="199"/>
        <v>586818</v>
      </c>
      <c r="O1257">
        <f>IF(B1257="zagraniczny",K1257+O1256,O1256)</f>
        <v>596</v>
      </c>
    </row>
    <row r="1258" spans="1:15" x14ac:dyDescent="0.25">
      <c r="A1258">
        <v>1391272</v>
      </c>
      <c r="B1258" t="str">
        <f t="shared" si="190"/>
        <v>stacjonarny</v>
      </c>
      <c r="C1258" s="1">
        <v>42935</v>
      </c>
      <c r="D1258" s="2">
        <v>0.44664351851851852</v>
      </c>
      <c r="E1258" s="2">
        <v>0.45725694444444442</v>
      </c>
      <c r="F1258" s="2">
        <f t="shared" si="191"/>
        <v>1.0613425925925901E-2</v>
      </c>
      <c r="G1258">
        <f t="shared" si="192"/>
        <v>0</v>
      </c>
      <c r="H1258">
        <f t="shared" si="193"/>
        <v>15</v>
      </c>
      <c r="I1258">
        <f t="shared" si="194"/>
        <v>17</v>
      </c>
      <c r="J1258">
        <f t="shared" si="195"/>
        <v>917</v>
      </c>
      <c r="K1258">
        <f t="shared" si="196"/>
        <v>16</v>
      </c>
      <c r="L1258">
        <f t="shared" si="197"/>
        <v>413048</v>
      </c>
      <c r="M1258">
        <f t="shared" si="198"/>
        <v>126687</v>
      </c>
      <c r="N1258">
        <f t="shared" si="199"/>
        <v>587735</v>
      </c>
      <c r="O1258">
        <f>IF(B1258="zagraniczny",K1258+O1257,O1257)</f>
        <v>596</v>
      </c>
    </row>
    <row r="1259" spans="1:15" x14ac:dyDescent="0.25">
      <c r="A1259">
        <v>5027404</v>
      </c>
      <c r="B1259" t="str">
        <f t="shared" si="190"/>
        <v>stacjonarny</v>
      </c>
      <c r="C1259" s="1">
        <v>42935</v>
      </c>
      <c r="D1259" s="2">
        <v>0.45211805555555556</v>
      </c>
      <c r="E1259" s="2">
        <v>0.4598726851851852</v>
      </c>
      <c r="F1259" s="2">
        <f t="shared" si="191"/>
        <v>7.7546296296296391E-3</v>
      </c>
      <c r="G1259">
        <f t="shared" si="192"/>
        <v>0</v>
      </c>
      <c r="H1259">
        <f t="shared" si="193"/>
        <v>11</v>
      </c>
      <c r="I1259">
        <f t="shared" si="194"/>
        <v>10</v>
      </c>
      <c r="J1259">
        <f t="shared" si="195"/>
        <v>670</v>
      </c>
      <c r="K1259">
        <f t="shared" si="196"/>
        <v>12</v>
      </c>
      <c r="L1259">
        <f t="shared" si="197"/>
        <v>413718</v>
      </c>
      <c r="M1259">
        <f t="shared" si="198"/>
        <v>126687</v>
      </c>
      <c r="N1259">
        <f t="shared" si="199"/>
        <v>588405</v>
      </c>
      <c r="O1259">
        <f>IF(B1259="zagraniczny",K1259+O1258,O1258)</f>
        <v>596</v>
      </c>
    </row>
    <row r="1260" spans="1:15" x14ac:dyDescent="0.25">
      <c r="A1260">
        <v>38244568</v>
      </c>
      <c r="B1260" t="str">
        <f t="shared" si="190"/>
        <v>komorkowy</v>
      </c>
      <c r="C1260" s="1">
        <v>42935</v>
      </c>
      <c r="D1260" s="2">
        <v>0.45768518518518519</v>
      </c>
      <c r="E1260" s="2">
        <v>0.45837962962962964</v>
      </c>
      <c r="F1260" s="2">
        <f t="shared" si="191"/>
        <v>6.9444444444444198E-4</v>
      </c>
      <c r="G1260">
        <f t="shared" si="192"/>
        <v>0</v>
      </c>
      <c r="H1260">
        <f t="shared" si="193"/>
        <v>1</v>
      </c>
      <c r="I1260">
        <f t="shared" si="194"/>
        <v>0</v>
      </c>
      <c r="J1260">
        <f t="shared" si="195"/>
        <v>60</v>
      </c>
      <c r="K1260">
        <f t="shared" si="196"/>
        <v>1</v>
      </c>
      <c r="L1260">
        <f t="shared" si="197"/>
        <v>413718</v>
      </c>
      <c r="M1260">
        <f t="shared" si="198"/>
        <v>126747</v>
      </c>
      <c r="N1260">
        <f t="shared" si="199"/>
        <v>588465</v>
      </c>
      <c r="O1260">
        <f>IF(B1260="zagraniczny",K1260+O1259,O1259)</f>
        <v>596</v>
      </c>
    </row>
    <row r="1261" spans="1:15" x14ac:dyDescent="0.25">
      <c r="A1261">
        <v>64900068</v>
      </c>
      <c r="B1261" t="str">
        <f t="shared" si="190"/>
        <v>komorkowy</v>
      </c>
      <c r="C1261" s="1">
        <v>42935</v>
      </c>
      <c r="D1261" s="2">
        <v>0.46217592592592593</v>
      </c>
      <c r="E1261" s="2">
        <v>0.46263888888888888</v>
      </c>
      <c r="F1261" s="2">
        <f t="shared" si="191"/>
        <v>4.6296296296294281E-4</v>
      </c>
      <c r="G1261">
        <f t="shared" si="192"/>
        <v>0</v>
      </c>
      <c r="H1261">
        <f t="shared" si="193"/>
        <v>0</v>
      </c>
      <c r="I1261">
        <f t="shared" si="194"/>
        <v>40</v>
      </c>
      <c r="J1261">
        <f t="shared" si="195"/>
        <v>40</v>
      </c>
      <c r="K1261">
        <f t="shared" si="196"/>
        <v>1</v>
      </c>
      <c r="L1261">
        <f t="shared" si="197"/>
        <v>413718</v>
      </c>
      <c r="M1261">
        <f t="shared" si="198"/>
        <v>126787</v>
      </c>
      <c r="N1261">
        <f t="shared" si="199"/>
        <v>588505</v>
      </c>
      <c r="O1261">
        <f>IF(B1261="zagraniczny",K1261+O1260,O1260)</f>
        <v>596</v>
      </c>
    </row>
    <row r="1262" spans="1:15" x14ac:dyDescent="0.25">
      <c r="A1262">
        <v>45015009</v>
      </c>
      <c r="B1262" t="str">
        <f t="shared" si="190"/>
        <v>komorkowy</v>
      </c>
      <c r="C1262" s="1">
        <v>42935</v>
      </c>
      <c r="D1262" s="2">
        <v>0.46546296296296297</v>
      </c>
      <c r="E1262" s="2">
        <v>0.4740509259259259</v>
      </c>
      <c r="F1262" s="2">
        <f t="shared" si="191"/>
        <v>8.5879629629629362E-3</v>
      </c>
      <c r="G1262">
        <f t="shared" si="192"/>
        <v>0</v>
      </c>
      <c r="H1262">
        <f t="shared" si="193"/>
        <v>12</v>
      </c>
      <c r="I1262">
        <f t="shared" si="194"/>
        <v>22</v>
      </c>
      <c r="J1262">
        <f t="shared" si="195"/>
        <v>742</v>
      </c>
      <c r="K1262">
        <f t="shared" si="196"/>
        <v>13</v>
      </c>
      <c r="L1262">
        <f t="shared" si="197"/>
        <v>413718</v>
      </c>
      <c r="M1262">
        <f t="shared" si="198"/>
        <v>127529</v>
      </c>
      <c r="N1262">
        <f t="shared" si="199"/>
        <v>589247</v>
      </c>
      <c r="O1262">
        <f>IF(B1262="zagraniczny",K1262+O1261,O1261)</f>
        <v>596</v>
      </c>
    </row>
    <row r="1263" spans="1:15" x14ac:dyDescent="0.25">
      <c r="A1263">
        <v>20424852</v>
      </c>
      <c r="B1263" t="str">
        <f t="shared" si="190"/>
        <v>komorkowy</v>
      </c>
      <c r="C1263" s="1">
        <v>42935</v>
      </c>
      <c r="D1263" s="2">
        <v>0.46773148148148147</v>
      </c>
      <c r="E1263" s="2">
        <v>0.47054398148148147</v>
      </c>
      <c r="F1263" s="2">
        <f t="shared" si="191"/>
        <v>2.8124999999999956E-3</v>
      </c>
      <c r="G1263">
        <f t="shared" si="192"/>
        <v>0</v>
      </c>
      <c r="H1263">
        <f t="shared" si="193"/>
        <v>4</v>
      </c>
      <c r="I1263">
        <f t="shared" si="194"/>
        <v>3</v>
      </c>
      <c r="J1263">
        <f t="shared" si="195"/>
        <v>243</v>
      </c>
      <c r="K1263">
        <f t="shared" si="196"/>
        <v>5</v>
      </c>
      <c r="L1263">
        <f t="shared" si="197"/>
        <v>413718</v>
      </c>
      <c r="M1263">
        <f t="shared" si="198"/>
        <v>127772</v>
      </c>
      <c r="N1263">
        <f t="shared" si="199"/>
        <v>589490</v>
      </c>
      <c r="O1263">
        <f>IF(B1263="zagraniczny",K1263+O1262,O1262)</f>
        <v>596</v>
      </c>
    </row>
    <row r="1264" spans="1:15" x14ac:dyDescent="0.25">
      <c r="A1264">
        <v>4471203</v>
      </c>
      <c r="B1264" t="str">
        <f t="shared" si="190"/>
        <v>stacjonarny</v>
      </c>
      <c r="C1264" s="1">
        <v>42935</v>
      </c>
      <c r="D1264" s="2">
        <v>0.47298611111111111</v>
      </c>
      <c r="E1264" s="2">
        <v>0.48247685185185185</v>
      </c>
      <c r="F1264" s="2">
        <f t="shared" si="191"/>
        <v>9.490740740740744E-3</v>
      </c>
      <c r="G1264">
        <f t="shared" si="192"/>
        <v>0</v>
      </c>
      <c r="H1264">
        <f t="shared" si="193"/>
        <v>13</v>
      </c>
      <c r="I1264">
        <f t="shared" si="194"/>
        <v>40</v>
      </c>
      <c r="J1264">
        <f t="shared" si="195"/>
        <v>820</v>
      </c>
      <c r="K1264">
        <f t="shared" si="196"/>
        <v>14</v>
      </c>
      <c r="L1264">
        <f t="shared" si="197"/>
        <v>414538</v>
      </c>
      <c r="M1264">
        <f t="shared" si="198"/>
        <v>127772</v>
      </c>
      <c r="N1264">
        <f t="shared" si="199"/>
        <v>590310</v>
      </c>
      <c r="O1264">
        <f>IF(B1264="zagraniczny",K1264+O1263,O1263)</f>
        <v>596</v>
      </c>
    </row>
    <row r="1265" spans="1:15" x14ac:dyDescent="0.25">
      <c r="A1265">
        <v>8250018</v>
      </c>
      <c r="B1265" t="str">
        <f t="shared" si="190"/>
        <v>stacjonarny</v>
      </c>
      <c r="C1265" s="1">
        <v>42935</v>
      </c>
      <c r="D1265" s="2">
        <v>0.47843750000000002</v>
      </c>
      <c r="E1265" s="2">
        <v>0.48951388888888892</v>
      </c>
      <c r="F1265" s="2">
        <f t="shared" si="191"/>
        <v>1.1076388888888899E-2</v>
      </c>
      <c r="G1265">
        <f t="shared" si="192"/>
        <v>0</v>
      </c>
      <c r="H1265">
        <f t="shared" si="193"/>
        <v>15</v>
      </c>
      <c r="I1265">
        <f t="shared" si="194"/>
        <v>57</v>
      </c>
      <c r="J1265">
        <f t="shared" si="195"/>
        <v>957</v>
      </c>
      <c r="K1265">
        <f t="shared" si="196"/>
        <v>16</v>
      </c>
      <c r="L1265">
        <f t="shared" si="197"/>
        <v>415495</v>
      </c>
      <c r="M1265">
        <f t="shared" si="198"/>
        <v>127772</v>
      </c>
      <c r="N1265">
        <f t="shared" si="199"/>
        <v>591267</v>
      </c>
      <c r="O1265">
        <f>IF(B1265="zagraniczny",K1265+O1264,O1264)</f>
        <v>596</v>
      </c>
    </row>
    <row r="1266" spans="1:15" x14ac:dyDescent="0.25">
      <c r="A1266">
        <v>1161028310</v>
      </c>
      <c r="B1266" t="str">
        <f t="shared" si="190"/>
        <v>zagraniczny</v>
      </c>
      <c r="C1266" s="1">
        <v>42935</v>
      </c>
      <c r="D1266" s="2">
        <v>0.47843750000000002</v>
      </c>
      <c r="E1266" s="2">
        <v>0.48879629629629628</v>
      </c>
      <c r="F1266" s="2">
        <f t="shared" si="191"/>
        <v>1.0358796296296269E-2</v>
      </c>
      <c r="G1266">
        <f t="shared" si="192"/>
        <v>0</v>
      </c>
      <c r="H1266">
        <f t="shared" si="193"/>
        <v>14</v>
      </c>
      <c r="I1266">
        <f t="shared" si="194"/>
        <v>55</v>
      </c>
      <c r="J1266">
        <f t="shared" si="195"/>
        <v>895</v>
      </c>
      <c r="K1266">
        <f t="shared" si="196"/>
        <v>15</v>
      </c>
      <c r="L1266">
        <f t="shared" si="197"/>
        <v>415495</v>
      </c>
      <c r="M1266">
        <f t="shared" si="198"/>
        <v>127772</v>
      </c>
      <c r="N1266">
        <f t="shared" si="199"/>
        <v>591267</v>
      </c>
      <c r="O1266">
        <f>IF(B1266="zagraniczny",K1266+O1265,O1265)</f>
        <v>611</v>
      </c>
    </row>
    <row r="1267" spans="1:15" x14ac:dyDescent="0.25">
      <c r="A1267">
        <v>66465215</v>
      </c>
      <c r="B1267" t="str">
        <f t="shared" si="190"/>
        <v>komorkowy</v>
      </c>
      <c r="C1267" s="1">
        <v>42935</v>
      </c>
      <c r="D1267" s="2">
        <v>0.48381944444444447</v>
      </c>
      <c r="E1267" s="2">
        <v>0.49505787037037036</v>
      </c>
      <c r="F1267" s="2">
        <f t="shared" si="191"/>
        <v>1.1238425925925888E-2</v>
      </c>
      <c r="G1267">
        <f t="shared" si="192"/>
        <v>0</v>
      </c>
      <c r="H1267">
        <f t="shared" si="193"/>
        <v>16</v>
      </c>
      <c r="I1267">
        <f t="shared" si="194"/>
        <v>11</v>
      </c>
      <c r="J1267">
        <f t="shared" si="195"/>
        <v>971</v>
      </c>
      <c r="K1267">
        <f t="shared" si="196"/>
        <v>17</v>
      </c>
      <c r="L1267">
        <f t="shared" si="197"/>
        <v>415495</v>
      </c>
      <c r="M1267">
        <f t="shared" si="198"/>
        <v>128743</v>
      </c>
      <c r="N1267">
        <f t="shared" si="199"/>
        <v>592238</v>
      </c>
      <c r="O1267">
        <f>IF(B1267="zagraniczny",K1267+O1266,O1266)</f>
        <v>611</v>
      </c>
    </row>
    <row r="1268" spans="1:15" x14ac:dyDescent="0.25">
      <c r="A1268">
        <v>6386788</v>
      </c>
      <c r="B1268" t="str">
        <f t="shared" si="190"/>
        <v>stacjonarny</v>
      </c>
      <c r="C1268" s="1">
        <v>42935</v>
      </c>
      <c r="D1268" s="2">
        <v>0.48822916666666666</v>
      </c>
      <c r="E1268" s="2">
        <v>0.49540509259259258</v>
      </c>
      <c r="F1268" s="2">
        <f t="shared" si="191"/>
        <v>7.1759259259259189E-3</v>
      </c>
      <c r="G1268">
        <f t="shared" si="192"/>
        <v>0</v>
      </c>
      <c r="H1268">
        <f t="shared" si="193"/>
        <v>10</v>
      </c>
      <c r="I1268">
        <f t="shared" si="194"/>
        <v>20</v>
      </c>
      <c r="J1268">
        <f t="shared" si="195"/>
        <v>620</v>
      </c>
      <c r="K1268">
        <f t="shared" si="196"/>
        <v>11</v>
      </c>
      <c r="L1268">
        <f t="shared" si="197"/>
        <v>416115</v>
      </c>
      <c r="M1268">
        <f t="shared" si="198"/>
        <v>128743</v>
      </c>
      <c r="N1268">
        <f t="shared" si="199"/>
        <v>592858</v>
      </c>
      <c r="O1268">
        <f>IF(B1268="zagraniczny",K1268+O1267,O1267)</f>
        <v>611</v>
      </c>
    </row>
    <row r="1269" spans="1:15" x14ac:dyDescent="0.25">
      <c r="A1269">
        <v>3589291</v>
      </c>
      <c r="B1269" t="str">
        <f t="shared" si="190"/>
        <v>stacjonarny</v>
      </c>
      <c r="C1269" s="1">
        <v>42935</v>
      </c>
      <c r="D1269" s="2">
        <v>0.4896064814814815</v>
      </c>
      <c r="E1269" s="2">
        <v>0.49828703703703703</v>
      </c>
      <c r="F1269" s="2">
        <f t="shared" si="191"/>
        <v>8.6805555555555247E-3</v>
      </c>
      <c r="G1269">
        <f t="shared" si="192"/>
        <v>0</v>
      </c>
      <c r="H1269">
        <f t="shared" si="193"/>
        <v>12</v>
      </c>
      <c r="I1269">
        <f t="shared" si="194"/>
        <v>30</v>
      </c>
      <c r="J1269">
        <f t="shared" si="195"/>
        <v>750</v>
      </c>
      <c r="K1269">
        <f t="shared" si="196"/>
        <v>13</v>
      </c>
      <c r="L1269">
        <f t="shared" si="197"/>
        <v>416865</v>
      </c>
      <c r="M1269">
        <f t="shared" si="198"/>
        <v>128743</v>
      </c>
      <c r="N1269">
        <f t="shared" si="199"/>
        <v>593608</v>
      </c>
      <c r="O1269">
        <f>IF(B1269="zagraniczny",K1269+O1268,O1268)</f>
        <v>611</v>
      </c>
    </row>
    <row r="1270" spans="1:15" x14ac:dyDescent="0.25">
      <c r="A1270">
        <v>9254070</v>
      </c>
      <c r="B1270" t="str">
        <f t="shared" si="190"/>
        <v>stacjonarny</v>
      </c>
      <c r="C1270" s="1">
        <v>42935</v>
      </c>
      <c r="D1270" s="2">
        <v>0.49270833333333336</v>
      </c>
      <c r="E1270" s="2">
        <v>0.49774305555555554</v>
      </c>
      <c r="F1270" s="2">
        <f t="shared" si="191"/>
        <v>5.0347222222221766E-3</v>
      </c>
      <c r="G1270">
        <f t="shared" si="192"/>
        <v>0</v>
      </c>
      <c r="H1270">
        <f t="shared" si="193"/>
        <v>7</v>
      </c>
      <c r="I1270">
        <f t="shared" si="194"/>
        <v>15</v>
      </c>
      <c r="J1270">
        <f t="shared" si="195"/>
        <v>435</v>
      </c>
      <c r="K1270">
        <f t="shared" si="196"/>
        <v>8</v>
      </c>
      <c r="L1270">
        <f t="shared" si="197"/>
        <v>417300</v>
      </c>
      <c r="M1270">
        <f t="shared" si="198"/>
        <v>128743</v>
      </c>
      <c r="N1270">
        <f t="shared" si="199"/>
        <v>594043</v>
      </c>
      <c r="O1270">
        <f>IF(B1270="zagraniczny",K1270+O1269,O1269)</f>
        <v>611</v>
      </c>
    </row>
    <row r="1271" spans="1:15" x14ac:dyDescent="0.25">
      <c r="A1271">
        <v>6337931</v>
      </c>
      <c r="B1271" t="str">
        <f t="shared" si="190"/>
        <v>stacjonarny</v>
      </c>
      <c r="C1271" s="1">
        <v>42935</v>
      </c>
      <c r="D1271" s="2">
        <v>0.49625000000000002</v>
      </c>
      <c r="E1271" s="2">
        <v>0.5058449074074074</v>
      </c>
      <c r="F1271" s="2">
        <f t="shared" si="191"/>
        <v>9.5949074074073715E-3</v>
      </c>
      <c r="G1271">
        <f t="shared" si="192"/>
        <v>0</v>
      </c>
      <c r="H1271">
        <f t="shared" si="193"/>
        <v>13</v>
      </c>
      <c r="I1271">
        <f t="shared" si="194"/>
        <v>49</v>
      </c>
      <c r="J1271">
        <f t="shared" si="195"/>
        <v>829</v>
      </c>
      <c r="K1271">
        <f t="shared" si="196"/>
        <v>14</v>
      </c>
      <c r="L1271">
        <f t="shared" si="197"/>
        <v>418129</v>
      </c>
      <c r="M1271">
        <f t="shared" si="198"/>
        <v>128743</v>
      </c>
      <c r="N1271">
        <f t="shared" si="199"/>
        <v>594872</v>
      </c>
      <c r="O1271">
        <f>IF(B1271="zagraniczny",K1271+O1270,O1270)</f>
        <v>611</v>
      </c>
    </row>
    <row r="1272" spans="1:15" x14ac:dyDescent="0.25">
      <c r="A1272">
        <v>3563037</v>
      </c>
      <c r="B1272" t="str">
        <f t="shared" si="190"/>
        <v>stacjonarny</v>
      </c>
      <c r="C1272" s="1">
        <v>42935</v>
      </c>
      <c r="D1272" s="2">
        <v>0.50173611111111116</v>
      </c>
      <c r="E1272" s="2">
        <v>0.5130555555555556</v>
      </c>
      <c r="F1272" s="2">
        <f t="shared" si="191"/>
        <v>1.1319444444444438E-2</v>
      </c>
      <c r="G1272">
        <f t="shared" si="192"/>
        <v>0</v>
      </c>
      <c r="H1272">
        <f t="shared" si="193"/>
        <v>16</v>
      </c>
      <c r="I1272">
        <f t="shared" si="194"/>
        <v>18</v>
      </c>
      <c r="J1272">
        <f t="shared" si="195"/>
        <v>978</v>
      </c>
      <c r="K1272">
        <f t="shared" si="196"/>
        <v>17</v>
      </c>
      <c r="L1272">
        <f t="shared" si="197"/>
        <v>419107</v>
      </c>
      <c r="M1272">
        <f t="shared" si="198"/>
        <v>128743</v>
      </c>
      <c r="N1272">
        <f t="shared" si="199"/>
        <v>595850</v>
      </c>
      <c r="O1272">
        <f>IF(B1272="zagraniczny",K1272+O1271,O1271)</f>
        <v>611</v>
      </c>
    </row>
    <row r="1273" spans="1:15" x14ac:dyDescent="0.25">
      <c r="A1273">
        <v>2302227</v>
      </c>
      <c r="B1273" t="str">
        <f t="shared" si="190"/>
        <v>stacjonarny</v>
      </c>
      <c r="C1273" s="1">
        <v>42935</v>
      </c>
      <c r="D1273" s="2">
        <v>0.50219907407407405</v>
      </c>
      <c r="E1273" s="2">
        <v>0.50804398148148144</v>
      </c>
      <c r="F1273" s="2">
        <f t="shared" si="191"/>
        <v>5.8449074074073959E-3</v>
      </c>
      <c r="G1273">
        <f t="shared" si="192"/>
        <v>0</v>
      </c>
      <c r="H1273">
        <f t="shared" si="193"/>
        <v>8</v>
      </c>
      <c r="I1273">
        <f t="shared" si="194"/>
        <v>25</v>
      </c>
      <c r="J1273">
        <f t="shared" si="195"/>
        <v>505</v>
      </c>
      <c r="K1273">
        <f t="shared" si="196"/>
        <v>9</v>
      </c>
      <c r="L1273">
        <f t="shared" si="197"/>
        <v>419612</v>
      </c>
      <c r="M1273">
        <f t="shared" si="198"/>
        <v>128743</v>
      </c>
      <c r="N1273">
        <f t="shared" si="199"/>
        <v>596355</v>
      </c>
      <c r="O1273">
        <f>IF(B1273="zagraniczny",K1273+O1272,O1272)</f>
        <v>611</v>
      </c>
    </row>
    <row r="1274" spans="1:15" x14ac:dyDescent="0.25">
      <c r="A1274">
        <v>24454566</v>
      </c>
      <c r="B1274" t="str">
        <f t="shared" si="190"/>
        <v>komorkowy</v>
      </c>
      <c r="C1274" s="1">
        <v>42935</v>
      </c>
      <c r="D1274" s="2">
        <v>0.50749999999999995</v>
      </c>
      <c r="E1274" s="2">
        <v>0.51290509259259254</v>
      </c>
      <c r="F1274" s="2">
        <f t="shared" si="191"/>
        <v>5.4050925925925863E-3</v>
      </c>
      <c r="G1274">
        <f t="shared" si="192"/>
        <v>0</v>
      </c>
      <c r="H1274">
        <f t="shared" si="193"/>
        <v>7</v>
      </c>
      <c r="I1274">
        <f t="shared" si="194"/>
        <v>47</v>
      </c>
      <c r="J1274">
        <f t="shared" si="195"/>
        <v>467</v>
      </c>
      <c r="K1274">
        <f t="shared" si="196"/>
        <v>8</v>
      </c>
      <c r="L1274">
        <f t="shared" si="197"/>
        <v>419612</v>
      </c>
      <c r="M1274">
        <f t="shared" si="198"/>
        <v>129210</v>
      </c>
      <c r="N1274">
        <f t="shared" si="199"/>
        <v>596822</v>
      </c>
      <c r="O1274">
        <f>IF(B1274="zagraniczny",K1274+O1273,O1273)</f>
        <v>611</v>
      </c>
    </row>
    <row r="1275" spans="1:15" x14ac:dyDescent="0.25">
      <c r="A1275">
        <v>6551880</v>
      </c>
      <c r="B1275" t="str">
        <f t="shared" si="190"/>
        <v>stacjonarny</v>
      </c>
      <c r="C1275" s="1">
        <v>42935</v>
      </c>
      <c r="D1275" s="2">
        <v>0.50756944444444441</v>
      </c>
      <c r="E1275" s="2">
        <v>0.51126157407407402</v>
      </c>
      <c r="F1275" s="2">
        <f t="shared" si="191"/>
        <v>3.6921296296296147E-3</v>
      </c>
      <c r="G1275">
        <f t="shared" si="192"/>
        <v>0</v>
      </c>
      <c r="H1275">
        <f t="shared" si="193"/>
        <v>5</v>
      </c>
      <c r="I1275">
        <f t="shared" si="194"/>
        <v>19</v>
      </c>
      <c r="J1275">
        <f t="shared" si="195"/>
        <v>319</v>
      </c>
      <c r="K1275">
        <f t="shared" si="196"/>
        <v>6</v>
      </c>
      <c r="L1275">
        <f t="shared" si="197"/>
        <v>419931</v>
      </c>
      <c r="M1275">
        <f t="shared" si="198"/>
        <v>129210</v>
      </c>
      <c r="N1275">
        <f t="shared" si="199"/>
        <v>597141</v>
      </c>
      <c r="O1275">
        <f>IF(B1275="zagraniczny",K1275+O1274,O1274)</f>
        <v>611</v>
      </c>
    </row>
    <row r="1276" spans="1:15" x14ac:dyDescent="0.25">
      <c r="A1276">
        <v>6616163</v>
      </c>
      <c r="B1276" t="str">
        <f t="shared" si="190"/>
        <v>stacjonarny</v>
      </c>
      <c r="C1276" s="1">
        <v>42935</v>
      </c>
      <c r="D1276" s="2">
        <v>0.51325231481481481</v>
      </c>
      <c r="E1276" s="2">
        <v>0.51627314814814818</v>
      </c>
      <c r="F1276" s="2">
        <f t="shared" si="191"/>
        <v>3.0208333333333615E-3</v>
      </c>
      <c r="G1276">
        <f t="shared" si="192"/>
        <v>0</v>
      </c>
      <c r="H1276">
        <f t="shared" si="193"/>
        <v>4</v>
      </c>
      <c r="I1276">
        <f t="shared" si="194"/>
        <v>21</v>
      </c>
      <c r="J1276">
        <f t="shared" si="195"/>
        <v>261</v>
      </c>
      <c r="K1276">
        <f t="shared" si="196"/>
        <v>5</v>
      </c>
      <c r="L1276">
        <f t="shared" si="197"/>
        <v>420192</v>
      </c>
      <c r="M1276">
        <f t="shared" si="198"/>
        <v>129210</v>
      </c>
      <c r="N1276">
        <f t="shared" si="199"/>
        <v>597402</v>
      </c>
      <c r="O1276">
        <f>IF(B1276="zagraniczny",K1276+O1275,O1275)</f>
        <v>611</v>
      </c>
    </row>
    <row r="1277" spans="1:15" x14ac:dyDescent="0.25">
      <c r="A1277">
        <v>96381896</v>
      </c>
      <c r="B1277" t="str">
        <f t="shared" si="190"/>
        <v>komorkowy</v>
      </c>
      <c r="C1277" s="1">
        <v>42935</v>
      </c>
      <c r="D1277" s="2">
        <v>0.5173726851851852</v>
      </c>
      <c r="E1277" s="2">
        <v>0.52055555555555555</v>
      </c>
      <c r="F1277" s="2">
        <f t="shared" si="191"/>
        <v>3.1828703703703498E-3</v>
      </c>
      <c r="G1277">
        <f t="shared" si="192"/>
        <v>0</v>
      </c>
      <c r="H1277">
        <f t="shared" si="193"/>
        <v>4</v>
      </c>
      <c r="I1277">
        <f t="shared" si="194"/>
        <v>35</v>
      </c>
      <c r="J1277">
        <f t="shared" si="195"/>
        <v>275</v>
      </c>
      <c r="K1277">
        <f t="shared" si="196"/>
        <v>5</v>
      </c>
      <c r="L1277">
        <f t="shared" si="197"/>
        <v>420192</v>
      </c>
      <c r="M1277">
        <f t="shared" si="198"/>
        <v>129485</v>
      </c>
      <c r="N1277">
        <f t="shared" si="199"/>
        <v>597677</v>
      </c>
      <c r="O1277">
        <f>IF(B1277="zagraniczny",K1277+O1276,O1276)</f>
        <v>611</v>
      </c>
    </row>
    <row r="1278" spans="1:15" x14ac:dyDescent="0.25">
      <c r="A1278">
        <v>6892980</v>
      </c>
      <c r="B1278" t="str">
        <f t="shared" si="190"/>
        <v>stacjonarny</v>
      </c>
      <c r="C1278" s="1">
        <v>42935</v>
      </c>
      <c r="D1278" s="2">
        <v>0.52288194444444447</v>
      </c>
      <c r="E1278" s="2">
        <v>0.52722222222222226</v>
      </c>
      <c r="F1278" s="2">
        <f t="shared" si="191"/>
        <v>4.3402777777777901E-3</v>
      </c>
      <c r="G1278">
        <f t="shared" si="192"/>
        <v>0</v>
      </c>
      <c r="H1278">
        <f t="shared" si="193"/>
        <v>6</v>
      </c>
      <c r="I1278">
        <f t="shared" si="194"/>
        <v>15</v>
      </c>
      <c r="J1278">
        <f t="shared" si="195"/>
        <v>375</v>
      </c>
      <c r="K1278">
        <f t="shared" si="196"/>
        <v>7</v>
      </c>
      <c r="L1278">
        <f t="shared" si="197"/>
        <v>420567</v>
      </c>
      <c r="M1278">
        <f t="shared" si="198"/>
        <v>129485</v>
      </c>
      <c r="N1278">
        <f t="shared" si="199"/>
        <v>598052</v>
      </c>
      <c r="O1278">
        <f>IF(B1278="zagraniczny",K1278+O1277,O1277)</f>
        <v>611</v>
      </c>
    </row>
    <row r="1279" spans="1:15" x14ac:dyDescent="0.25">
      <c r="A1279">
        <v>5341697748</v>
      </c>
      <c r="B1279" t="str">
        <f t="shared" si="190"/>
        <v>zagraniczny</v>
      </c>
      <c r="C1279" s="1">
        <v>42935</v>
      </c>
      <c r="D1279" s="2">
        <v>0.52349537037037042</v>
      </c>
      <c r="E1279" s="2">
        <v>0.53362268518518519</v>
      </c>
      <c r="F1279" s="2">
        <f t="shared" si="191"/>
        <v>1.012731481481477E-2</v>
      </c>
      <c r="G1279">
        <f t="shared" si="192"/>
        <v>0</v>
      </c>
      <c r="H1279">
        <f t="shared" si="193"/>
        <v>14</v>
      </c>
      <c r="I1279">
        <f t="shared" si="194"/>
        <v>35</v>
      </c>
      <c r="J1279">
        <f t="shared" si="195"/>
        <v>875</v>
      </c>
      <c r="K1279">
        <f t="shared" si="196"/>
        <v>15</v>
      </c>
      <c r="L1279">
        <f t="shared" si="197"/>
        <v>420567</v>
      </c>
      <c r="M1279">
        <f t="shared" si="198"/>
        <v>129485</v>
      </c>
      <c r="N1279">
        <f t="shared" si="199"/>
        <v>598052</v>
      </c>
      <c r="O1279">
        <f>IF(B1279="zagraniczny",K1279+O1278,O1278)</f>
        <v>626</v>
      </c>
    </row>
    <row r="1280" spans="1:15" x14ac:dyDescent="0.25">
      <c r="A1280">
        <v>52064221</v>
      </c>
      <c r="B1280" t="str">
        <f t="shared" si="190"/>
        <v>komorkowy</v>
      </c>
      <c r="C1280" s="1">
        <v>42935</v>
      </c>
      <c r="D1280" s="2">
        <v>0.52766203703703707</v>
      </c>
      <c r="E1280" s="2">
        <v>0.53917824074074072</v>
      </c>
      <c r="F1280" s="2">
        <f t="shared" si="191"/>
        <v>1.1516203703703654E-2</v>
      </c>
      <c r="G1280">
        <f t="shared" si="192"/>
        <v>0</v>
      </c>
      <c r="H1280">
        <f t="shared" si="193"/>
        <v>16</v>
      </c>
      <c r="I1280">
        <f t="shared" si="194"/>
        <v>35</v>
      </c>
      <c r="J1280">
        <f t="shared" si="195"/>
        <v>995</v>
      </c>
      <c r="K1280">
        <f t="shared" si="196"/>
        <v>17</v>
      </c>
      <c r="L1280">
        <f t="shared" si="197"/>
        <v>420567</v>
      </c>
      <c r="M1280">
        <f t="shared" si="198"/>
        <v>130480</v>
      </c>
      <c r="N1280">
        <f t="shared" si="199"/>
        <v>599047</v>
      </c>
      <c r="O1280">
        <f>IF(B1280="zagraniczny",K1280+O1279,O1279)</f>
        <v>626</v>
      </c>
    </row>
    <row r="1281" spans="1:15" x14ac:dyDescent="0.25">
      <c r="A1281">
        <v>5111892302</v>
      </c>
      <c r="B1281" t="str">
        <f t="shared" si="190"/>
        <v>zagraniczny</v>
      </c>
      <c r="C1281" s="1">
        <v>42935</v>
      </c>
      <c r="D1281" s="2">
        <v>0.53209490740740739</v>
      </c>
      <c r="E1281" s="2">
        <v>0.53931712962962963</v>
      </c>
      <c r="F1281" s="2">
        <f t="shared" si="191"/>
        <v>7.222222222222241E-3</v>
      </c>
      <c r="G1281">
        <f t="shared" si="192"/>
        <v>0</v>
      </c>
      <c r="H1281">
        <f t="shared" si="193"/>
        <v>10</v>
      </c>
      <c r="I1281">
        <f t="shared" si="194"/>
        <v>24</v>
      </c>
      <c r="J1281">
        <f t="shared" si="195"/>
        <v>624</v>
      </c>
      <c r="K1281">
        <f t="shared" si="196"/>
        <v>11</v>
      </c>
      <c r="L1281">
        <f t="shared" si="197"/>
        <v>420567</v>
      </c>
      <c r="M1281">
        <f t="shared" si="198"/>
        <v>130480</v>
      </c>
      <c r="N1281">
        <f t="shared" si="199"/>
        <v>599047</v>
      </c>
      <c r="O1281">
        <f>IF(B1281="zagraniczny",K1281+O1280,O1280)</f>
        <v>637</v>
      </c>
    </row>
    <row r="1282" spans="1:15" x14ac:dyDescent="0.25">
      <c r="A1282">
        <v>7571642</v>
      </c>
      <c r="B1282" t="str">
        <f t="shared" si="190"/>
        <v>stacjonarny</v>
      </c>
      <c r="C1282" s="1">
        <v>42935</v>
      </c>
      <c r="D1282" s="2">
        <v>0.53540509259259261</v>
      </c>
      <c r="E1282" s="2">
        <v>0.53540509259259261</v>
      </c>
      <c r="F1282" s="2">
        <f t="shared" si="191"/>
        <v>0</v>
      </c>
      <c r="G1282">
        <f t="shared" si="192"/>
        <v>0</v>
      </c>
      <c r="H1282">
        <f t="shared" si="193"/>
        <v>0</v>
      </c>
      <c r="I1282">
        <f t="shared" si="194"/>
        <v>0</v>
      </c>
      <c r="J1282">
        <f t="shared" si="195"/>
        <v>0</v>
      </c>
      <c r="K1282">
        <f t="shared" si="196"/>
        <v>0</v>
      </c>
      <c r="L1282">
        <f t="shared" si="197"/>
        <v>420567</v>
      </c>
      <c r="M1282">
        <f t="shared" si="198"/>
        <v>130480</v>
      </c>
      <c r="N1282">
        <f t="shared" si="199"/>
        <v>599047</v>
      </c>
      <c r="O1282">
        <f>IF(B1282="zagraniczny",K1282+O1281,O1281)</f>
        <v>637</v>
      </c>
    </row>
    <row r="1283" spans="1:15" x14ac:dyDescent="0.25">
      <c r="A1283">
        <v>9570286</v>
      </c>
      <c r="B1283" t="str">
        <f t="shared" ref="B1283:B1346" si="200">IF(LEN(A1283)=7,"stacjonarny",IF(LEN(A1283)=8,"komorkowy","zagraniczny"))</f>
        <v>stacjonarny</v>
      </c>
      <c r="C1283" s="1">
        <v>42935</v>
      </c>
      <c r="D1283" s="2">
        <v>0.53594907407407411</v>
      </c>
      <c r="E1283" s="2">
        <v>0.54584490740740743</v>
      </c>
      <c r="F1283" s="2">
        <f t="shared" ref="F1283:F1346" si="201">E1283-D1283</f>
        <v>9.8958333333333259E-3</v>
      </c>
      <c r="G1283">
        <f t="shared" ref="G1283:G1346" si="202">HOUR(F1283)</f>
        <v>0</v>
      </c>
      <c r="H1283">
        <f t="shared" ref="H1283:H1346" si="203">MINUTE(F1283)</f>
        <v>14</v>
      </c>
      <c r="I1283">
        <f t="shared" ref="I1283:I1346" si="204">SECOND(F1283)</f>
        <v>15</v>
      </c>
      <c r="J1283">
        <f t="shared" ref="J1283:J1346" si="205">H1283*60+I1283</f>
        <v>855</v>
      </c>
      <c r="K1283">
        <f t="shared" ref="K1283:K1346" si="206">IF(I1283&gt;0,G1283*60+H1283+1,H1283+G1283*60)</f>
        <v>15</v>
      </c>
      <c r="L1283">
        <f t="shared" si="197"/>
        <v>421422</v>
      </c>
      <c r="M1283">
        <f t="shared" si="198"/>
        <v>130480</v>
      </c>
      <c r="N1283">
        <f t="shared" si="199"/>
        <v>599902</v>
      </c>
      <c r="O1283">
        <f>IF(B1283="zagraniczny",K1283+O1282,O1282)</f>
        <v>637</v>
      </c>
    </row>
    <row r="1284" spans="1:15" x14ac:dyDescent="0.25">
      <c r="A1284">
        <v>7632647</v>
      </c>
      <c r="B1284" t="str">
        <f t="shared" si="200"/>
        <v>stacjonarny</v>
      </c>
      <c r="C1284" s="1">
        <v>42935</v>
      </c>
      <c r="D1284" s="2">
        <v>0.54052083333333334</v>
      </c>
      <c r="E1284" s="2">
        <v>0.54195601851851849</v>
      </c>
      <c r="F1284" s="2">
        <f t="shared" si="201"/>
        <v>1.4351851851851505E-3</v>
      </c>
      <c r="G1284">
        <f t="shared" si="202"/>
        <v>0</v>
      </c>
      <c r="H1284">
        <f t="shared" si="203"/>
        <v>2</v>
      </c>
      <c r="I1284">
        <f t="shared" si="204"/>
        <v>4</v>
      </c>
      <c r="J1284">
        <f t="shared" si="205"/>
        <v>124</v>
      </c>
      <c r="K1284">
        <f t="shared" si="206"/>
        <v>3</v>
      </c>
      <c r="L1284">
        <f t="shared" ref="L1284:L1347" si="207">IF(B1284="stacjonarny",$J1284+L1283,L1283)</f>
        <v>421546</v>
      </c>
      <c r="M1284">
        <f t="shared" ref="M1284:M1347" si="208">IF(B1284="komorkowy",$J1284+M1283,M1283)</f>
        <v>130480</v>
      </c>
      <c r="N1284">
        <f t="shared" ref="N1284:N1347" si="209">IF(OR(B1284="stacjonarny",B1284="komorkowy"),J1284+N1283,N1283)</f>
        <v>600026</v>
      </c>
      <c r="O1284">
        <f>IF(B1284="zagraniczny",K1284+O1283,O1283)</f>
        <v>637</v>
      </c>
    </row>
    <row r="1285" spans="1:15" x14ac:dyDescent="0.25">
      <c r="A1285">
        <v>3437033</v>
      </c>
      <c r="B1285" t="str">
        <f t="shared" si="200"/>
        <v>stacjonarny</v>
      </c>
      <c r="C1285" s="1">
        <v>42935</v>
      </c>
      <c r="D1285" s="2">
        <v>0.54439814814814813</v>
      </c>
      <c r="E1285" s="2">
        <v>0.54800925925925925</v>
      </c>
      <c r="F1285" s="2">
        <f t="shared" si="201"/>
        <v>3.6111111111111205E-3</v>
      </c>
      <c r="G1285">
        <f t="shared" si="202"/>
        <v>0</v>
      </c>
      <c r="H1285">
        <f t="shared" si="203"/>
        <v>5</v>
      </c>
      <c r="I1285">
        <f t="shared" si="204"/>
        <v>12</v>
      </c>
      <c r="J1285">
        <f t="shared" si="205"/>
        <v>312</v>
      </c>
      <c r="K1285">
        <f t="shared" si="206"/>
        <v>6</v>
      </c>
      <c r="L1285">
        <f t="shared" si="207"/>
        <v>421858</v>
      </c>
      <c r="M1285">
        <f t="shared" si="208"/>
        <v>130480</v>
      </c>
      <c r="N1285">
        <f t="shared" si="209"/>
        <v>600338</v>
      </c>
      <c r="O1285">
        <f>IF(B1285="zagraniczny",K1285+O1284,O1284)</f>
        <v>637</v>
      </c>
    </row>
    <row r="1286" spans="1:15" x14ac:dyDescent="0.25">
      <c r="A1286">
        <v>81575080</v>
      </c>
      <c r="B1286" t="str">
        <f t="shared" si="200"/>
        <v>komorkowy</v>
      </c>
      <c r="C1286" s="1">
        <v>42935</v>
      </c>
      <c r="D1286" s="2">
        <v>0.54996527777777782</v>
      </c>
      <c r="E1286" s="2">
        <v>0.55228009259259259</v>
      </c>
      <c r="F1286" s="2">
        <f t="shared" si="201"/>
        <v>2.3148148148147696E-3</v>
      </c>
      <c r="G1286">
        <f t="shared" si="202"/>
        <v>0</v>
      </c>
      <c r="H1286">
        <f t="shared" si="203"/>
        <v>3</v>
      </c>
      <c r="I1286">
        <f t="shared" si="204"/>
        <v>20</v>
      </c>
      <c r="J1286">
        <f t="shared" si="205"/>
        <v>200</v>
      </c>
      <c r="K1286">
        <f t="shared" si="206"/>
        <v>4</v>
      </c>
      <c r="L1286">
        <f t="shared" si="207"/>
        <v>421858</v>
      </c>
      <c r="M1286">
        <f t="shared" si="208"/>
        <v>130680</v>
      </c>
      <c r="N1286">
        <f t="shared" si="209"/>
        <v>600538</v>
      </c>
      <c r="O1286">
        <f>IF(B1286="zagraniczny",K1286+O1285,O1285)</f>
        <v>637</v>
      </c>
    </row>
    <row r="1287" spans="1:15" x14ac:dyDescent="0.25">
      <c r="A1287">
        <v>7677384</v>
      </c>
      <c r="B1287" t="str">
        <f t="shared" si="200"/>
        <v>stacjonarny</v>
      </c>
      <c r="C1287" s="1">
        <v>42935</v>
      </c>
      <c r="D1287" s="2">
        <v>0.55121527777777779</v>
      </c>
      <c r="E1287" s="2">
        <v>0.55539351851851848</v>
      </c>
      <c r="F1287" s="2">
        <f t="shared" si="201"/>
        <v>4.1782407407406907E-3</v>
      </c>
      <c r="G1287">
        <f t="shared" si="202"/>
        <v>0</v>
      </c>
      <c r="H1287">
        <f t="shared" si="203"/>
        <v>6</v>
      </c>
      <c r="I1287">
        <f t="shared" si="204"/>
        <v>1</v>
      </c>
      <c r="J1287">
        <f t="shared" si="205"/>
        <v>361</v>
      </c>
      <c r="K1287">
        <f t="shared" si="206"/>
        <v>7</v>
      </c>
      <c r="L1287">
        <f t="shared" si="207"/>
        <v>422219</v>
      </c>
      <c r="M1287">
        <f t="shared" si="208"/>
        <v>130680</v>
      </c>
      <c r="N1287">
        <f t="shared" si="209"/>
        <v>600899</v>
      </c>
      <c r="O1287">
        <f>IF(B1287="zagraniczny",K1287+O1286,O1286)</f>
        <v>637</v>
      </c>
    </row>
    <row r="1288" spans="1:15" x14ac:dyDescent="0.25">
      <c r="A1288">
        <v>6194112</v>
      </c>
      <c r="B1288" t="str">
        <f t="shared" si="200"/>
        <v>stacjonarny</v>
      </c>
      <c r="C1288" s="1">
        <v>42935</v>
      </c>
      <c r="D1288" s="2">
        <v>0.55174768518518513</v>
      </c>
      <c r="E1288" s="2">
        <v>0.5575</v>
      </c>
      <c r="F1288" s="2">
        <f t="shared" si="201"/>
        <v>5.7523148148148628E-3</v>
      </c>
      <c r="G1288">
        <f t="shared" si="202"/>
        <v>0</v>
      </c>
      <c r="H1288">
        <f t="shared" si="203"/>
        <v>8</v>
      </c>
      <c r="I1288">
        <f t="shared" si="204"/>
        <v>17</v>
      </c>
      <c r="J1288">
        <f t="shared" si="205"/>
        <v>497</v>
      </c>
      <c r="K1288">
        <f t="shared" si="206"/>
        <v>9</v>
      </c>
      <c r="L1288">
        <f t="shared" si="207"/>
        <v>422716</v>
      </c>
      <c r="M1288">
        <f t="shared" si="208"/>
        <v>130680</v>
      </c>
      <c r="N1288">
        <f t="shared" si="209"/>
        <v>601396</v>
      </c>
      <c r="O1288">
        <f>IF(B1288="zagraniczny",K1288+O1287,O1287)</f>
        <v>637</v>
      </c>
    </row>
    <row r="1289" spans="1:15" x14ac:dyDescent="0.25">
      <c r="A1289">
        <v>67913744</v>
      </c>
      <c r="B1289" t="str">
        <f t="shared" si="200"/>
        <v>komorkowy</v>
      </c>
      <c r="C1289" s="1">
        <v>42935</v>
      </c>
      <c r="D1289" s="2">
        <v>0.55387731481481484</v>
      </c>
      <c r="E1289" s="2">
        <v>0.5645486111111111</v>
      </c>
      <c r="F1289" s="2">
        <f t="shared" si="201"/>
        <v>1.0671296296296262E-2</v>
      </c>
      <c r="G1289">
        <f t="shared" si="202"/>
        <v>0</v>
      </c>
      <c r="H1289">
        <f t="shared" si="203"/>
        <v>15</v>
      </c>
      <c r="I1289">
        <f t="shared" si="204"/>
        <v>22</v>
      </c>
      <c r="J1289">
        <f t="shared" si="205"/>
        <v>922</v>
      </c>
      <c r="K1289">
        <f t="shared" si="206"/>
        <v>16</v>
      </c>
      <c r="L1289">
        <f t="shared" si="207"/>
        <v>422716</v>
      </c>
      <c r="M1289">
        <f t="shared" si="208"/>
        <v>131602</v>
      </c>
      <c r="N1289">
        <f t="shared" si="209"/>
        <v>602318</v>
      </c>
      <c r="O1289">
        <f>IF(B1289="zagraniczny",K1289+O1288,O1288)</f>
        <v>637</v>
      </c>
    </row>
    <row r="1290" spans="1:15" x14ac:dyDescent="0.25">
      <c r="A1290">
        <v>9418587</v>
      </c>
      <c r="B1290" t="str">
        <f t="shared" si="200"/>
        <v>stacjonarny</v>
      </c>
      <c r="C1290" s="1">
        <v>42935</v>
      </c>
      <c r="D1290" s="2">
        <v>0.5591666666666667</v>
      </c>
      <c r="E1290" s="2">
        <v>0.56074074074074076</v>
      </c>
      <c r="F1290" s="2">
        <f t="shared" si="201"/>
        <v>1.5740740740740611E-3</v>
      </c>
      <c r="G1290">
        <f t="shared" si="202"/>
        <v>0</v>
      </c>
      <c r="H1290">
        <f t="shared" si="203"/>
        <v>2</v>
      </c>
      <c r="I1290">
        <f t="shared" si="204"/>
        <v>16</v>
      </c>
      <c r="J1290">
        <f t="shared" si="205"/>
        <v>136</v>
      </c>
      <c r="K1290">
        <f t="shared" si="206"/>
        <v>3</v>
      </c>
      <c r="L1290">
        <f t="shared" si="207"/>
        <v>422852</v>
      </c>
      <c r="M1290">
        <f t="shared" si="208"/>
        <v>131602</v>
      </c>
      <c r="N1290">
        <f t="shared" si="209"/>
        <v>602454</v>
      </c>
      <c r="O1290">
        <f>IF(B1290="zagraniczny",K1290+O1289,O1289)</f>
        <v>637</v>
      </c>
    </row>
    <row r="1291" spans="1:15" x14ac:dyDescent="0.25">
      <c r="A1291">
        <v>3273221616</v>
      </c>
      <c r="B1291" t="str">
        <f t="shared" si="200"/>
        <v>zagraniczny</v>
      </c>
      <c r="C1291" s="1">
        <v>42935</v>
      </c>
      <c r="D1291" s="2">
        <v>0.56276620370370367</v>
      </c>
      <c r="E1291" s="2">
        <v>0.56792824074074078</v>
      </c>
      <c r="F1291" s="2">
        <f t="shared" si="201"/>
        <v>5.1620370370371038E-3</v>
      </c>
      <c r="G1291">
        <f t="shared" si="202"/>
        <v>0</v>
      </c>
      <c r="H1291">
        <f t="shared" si="203"/>
        <v>7</v>
      </c>
      <c r="I1291">
        <f t="shared" si="204"/>
        <v>26</v>
      </c>
      <c r="J1291">
        <f t="shared" si="205"/>
        <v>446</v>
      </c>
      <c r="K1291">
        <f t="shared" si="206"/>
        <v>8</v>
      </c>
      <c r="L1291">
        <f t="shared" si="207"/>
        <v>422852</v>
      </c>
      <c r="M1291">
        <f t="shared" si="208"/>
        <v>131602</v>
      </c>
      <c r="N1291">
        <f t="shared" si="209"/>
        <v>602454</v>
      </c>
      <c r="O1291">
        <f>IF(B1291="zagraniczny",K1291+O1290,O1290)</f>
        <v>645</v>
      </c>
    </row>
    <row r="1292" spans="1:15" x14ac:dyDescent="0.25">
      <c r="A1292">
        <v>7364500</v>
      </c>
      <c r="B1292" t="str">
        <f t="shared" si="200"/>
        <v>stacjonarny</v>
      </c>
      <c r="C1292" s="1">
        <v>42935</v>
      </c>
      <c r="D1292" s="2">
        <v>0.5682638888888889</v>
      </c>
      <c r="E1292" s="2">
        <v>0.57974537037037033</v>
      </c>
      <c r="F1292" s="2">
        <f t="shared" si="201"/>
        <v>1.1481481481481426E-2</v>
      </c>
      <c r="G1292">
        <f t="shared" si="202"/>
        <v>0</v>
      </c>
      <c r="H1292">
        <f t="shared" si="203"/>
        <v>16</v>
      </c>
      <c r="I1292">
        <f t="shared" si="204"/>
        <v>32</v>
      </c>
      <c r="J1292">
        <f t="shared" si="205"/>
        <v>992</v>
      </c>
      <c r="K1292">
        <f t="shared" si="206"/>
        <v>17</v>
      </c>
      <c r="L1292">
        <f t="shared" si="207"/>
        <v>423844</v>
      </c>
      <c r="M1292">
        <f t="shared" si="208"/>
        <v>131602</v>
      </c>
      <c r="N1292">
        <f t="shared" si="209"/>
        <v>603446</v>
      </c>
      <c r="O1292">
        <f>IF(B1292="zagraniczny",K1292+O1291,O1291)</f>
        <v>645</v>
      </c>
    </row>
    <row r="1293" spans="1:15" x14ac:dyDescent="0.25">
      <c r="A1293">
        <v>69273048</v>
      </c>
      <c r="B1293" t="str">
        <f t="shared" si="200"/>
        <v>komorkowy</v>
      </c>
      <c r="C1293" s="1">
        <v>42935</v>
      </c>
      <c r="D1293" s="2">
        <v>0.56847222222222227</v>
      </c>
      <c r="E1293" s="2">
        <v>0.57787037037037037</v>
      </c>
      <c r="F1293" s="2">
        <f t="shared" si="201"/>
        <v>9.3981481481481E-3</v>
      </c>
      <c r="G1293">
        <f t="shared" si="202"/>
        <v>0</v>
      </c>
      <c r="H1293">
        <f t="shared" si="203"/>
        <v>13</v>
      </c>
      <c r="I1293">
        <f t="shared" si="204"/>
        <v>32</v>
      </c>
      <c r="J1293">
        <f t="shared" si="205"/>
        <v>812</v>
      </c>
      <c r="K1293">
        <f t="shared" si="206"/>
        <v>14</v>
      </c>
      <c r="L1293">
        <f t="shared" si="207"/>
        <v>423844</v>
      </c>
      <c r="M1293">
        <f t="shared" si="208"/>
        <v>132414</v>
      </c>
      <c r="N1293">
        <f t="shared" si="209"/>
        <v>604258</v>
      </c>
      <c r="O1293">
        <f>IF(B1293="zagraniczny",K1293+O1292,O1292)</f>
        <v>645</v>
      </c>
    </row>
    <row r="1294" spans="1:15" x14ac:dyDescent="0.25">
      <c r="A1294">
        <v>1345591</v>
      </c>
      <c r="B1294" t="str">
        <f t="shared" si="200"/>
        <v>stacjonarny</v>
      </c>
      <c r="C1294" s="1">
        <v>42935</v>
      </c>
      <c r="D1294" s="2">
        <v>0.5703125</v>
      </c>
      <c r="E1294" s="2">
        <v>0.57703703703703701</v>
      </c>
      <c r="F1294" s="2">
        <f t="shared" si="201"/>
        <v>6.724537037037015E-3</v>
      </c>
      <c r="G1294">
        <f t="shared" si="202"/>
        <v>0</v>
      </c>
      <c r="H1294">
        <f t="shared" si="203"/>
        <v>9</v>
      </c>
      <c r="I1294">
        <f t="shared" si="204"/>
        <v>41</v>
      </c>
      <c r="J1294">
        <f t="shared" si="205"/>
        <v>581</v>
      </c>
      <c r="K1294">
        <f t="shared" si="206"/>
        <v>10</v>
      </c>
      <c r="L1294">
        <f t="shared" si="207"/>
        <v>424425</v>
      </c>
      <c r="M1294">
        <f t="shared" si="208"/>
        <v>132414</v>
      </c>
      <c r="N1294">
        <f t="shared" si="209"/>
        <v>604839</v>
      </c>
      <c r="O1294">
        <f>IF(B1294="zagraniczny",K1294+O1293,O1293)</f>
        <v>645</v>
      </c>
    </row>
    <row r="1295" spans="1:15" x14ac:dyDescent="0.25">
      <c r="A1295">
        <v>13674393</v>
      </c>
      <c r="B1295" t="str">
        <f t="shared" si="200"/>
        <v>komorkowy</v>
      </c>
      <c r="C1295" s="1">
        <v>42935</v>
      </c>
      <c r="D1295" s="2">
        <v>0.57313657407407403</v>
      </c>
      <c r="E1295" s="2">
        <v>0.57559027777777783</v>
      </c>
      <c r="F1295" s="2">
        <f t="shared" si="201"/>
        <v>2.4537037037037912E-3</v>
      </c>
      <c r="G1295">
        <f t="shared" si="202"/>
        <v>0</v>
      </c>
      <c r="H1295">
        <f t="shared" si="203"/>
        <v>3</v>
      </c>
      <c r="I1295">
        <f t="shared" si="204"/>
        <v>32</v>
      </c>
      <c r="J1295">
        <f t="shared" si="205"/>
        <v>212</v>
      </c>
      <c r="K1295">
        <f t="shared" si="206"/>
        <v>4</v>
      </c>
      <c r="L1295">
        <f t="shared" si="207"/>
        <v>424425</v>
      </c>
      <c r="M1295">
        <f t="shared" si="208"/>
        <v>132626</v>
      </c>
      <c r="N1295">
        <f t="shared" si="209"/>
        <v>605051</v>
      </c>
      <c r="O1295">
        <f>IF(B1295="zagraniczny",K1295+O1294,O1294)</f>
        <v>645</v>
      </c>
    </row>
    <row r="1296" spans="1:15" x14ac:dyDescent="0.25">
      <c r="A1296">
        <v>5273579381</v>
      </c>
      <c r="B1296" t="str">
        <f t="shared" si="200"/>
        <v>zagraniczny</v>
      </c>
      <c r="C1296" s="1">
        <v>42935</v>
      </c>
      <c r="D1296" s="2">
        <v>0.57525462962962959</v>
      </c>
      <c r="E1296" s="2">
        <v>0.58087962962962958</v>
      </c>
      <c r="F1296" s="2">
        <f t="shared" si="201"/>
        <v>5.6249999999999911E-3</v>
      </c>
      <c r="G1296">
        <f t="shared" si="202"/>
        <v>0</v>
      </c>
      <c r="H1296">
        <f t="shared" si="203"/>
        <v>8</v>
      </c>
      <c r="I1296">
        <f t="shared" si="204"/>
        <v>6</v>
      </c>
      <c r="J1296">
        <f t="shared" si="205"/>
        <v>486</v>
      </c>
      <c r="K1296">
        <f t="shared" si="206"/>
        <v>9</v>
      </c>
      <c r="L1296">
        <f t="shared" si="207"/>
        <v>424425</v>
      </c>
      <c r="M1296">
        <f t="shared" si="208"/>
        <v>132626</v>
      </c>
      <c r="N1296">
        <f t="shared" si="209"/>
        <v>605051</v>
      </c>
      <c r="O1296">
        <f>IF(B1296="zagraniczny",K1296+O1295,O1295)</f>
        <v>654</v>
      </c>
    </row>
    <row r="1297" spans="1:15" x14ac:dyDescent="0.25">
      <c r="A1297">
        <v>5790304</v>
      </c>
      <c r="B1297" t="str">
        <f t="shared" si="200"/>
        <v>stacjonarny</v>
      </c>
      <c r="C1297" s="1">
        <v>42935</v>
      </c>
      <c r="D1297" s="2">
        <v>0.57974537037037033</v>
      </c>
      <c r="E1297" s="2">
        <v>0.58975694444444449</v>
      </c>
      <c r="F1297" s="2">
        <f t="shared" si="201"/>
        <v>1.0011574074074159E-2</v>
      </c>
      <c r="G1297">
        <f t="shared" si="202"/>
        <v>0</v>
      </c>
      <c r="H1297">
        <f t="shared" si="203"/>
        <v>14</v>
      </c>
      <c r="I1297">
        <f t="shared" si="204"/>
        <v>25</v>
      </c>
      <c r="J1297">
        <f t="shared" si="205"/>
        <v>865</v>
      </c>
      <c r="K1297">
        <f t="shared" si="206"/>
        <v>15</v>
      </c>
      <c r="L1297">
        <f t="shared" si="207"/>
        <v>425290</v>
      </c>
      <c r="M1297">
        <f t="shared" si="208"/>
        <v>132626</v>
      </c>
      <c r="N1297">
        <f t="shared" si="209"/>
        <v>605916</v>
      </c>
      <c r="O1297">
        <f>IF(B1297="zagraniczny",K1297+O1296,O1296)</f>
        <v>654</v>
      </c>
    </row>
    <row r="1298" spans="1:15" x14ac:dyDescent="0.25">
      <c r="A1298">
        <v>6551880</v>
      </c>
      <c r="B1298" t="str">
        <f t="shared" si="200"/>
        <v>stacjonarny</v>
      </c>
      <c r="C1298" s="1">
        <v>42935</v>
      </c>
      <c r="D1298" s="2">
        <v>0.58071759259259259</v>
      </c>
      <c r="E1298" s="2">
        <v>0.59002314814814816</v>
      </c>
      <c r="F1298" s="2">
        <f t="shared" si="201"/>
        <v>9.3055555555555669E-3</v>
      </c>
      <c r="G1298">
        <f t="shared" si="202"/>
        <v>0</v>
      </c>
      <c r="H1298">
        <f t="shared" si="203"/>
        <v>13</v>
      </c>
      <c r="I1298">
        <f t="shared" si="204"/>
        <v>24</v>
      </c>
      <c r="J1298">
        <f t="shared" si="205"/>
        <v>804</v>
      </c>
      <c r="K1298">
        <f t="shared" si="206"/>
        <v>14</v>
      </c>
      <c r="L1298">
        <f t="shared" si="207"/>
        <v>426094</v>
      </c>
      <c r="M1298">
        <f t="shared" si="208"/>
        <v>132626</v>
      </c>
      <c r="N1298">
        <f t="shared" si="209"/>
        <v>606720</v>
      </c>
      <c r="O1298">
        <f>IF(B1298="zagraniczny",K1298+O1297,O1297)</f>
        <v>654</v>
      </c>
    </row>
    <row r="1299" spans="1:15" x14ac:dyDescent="0.25">
      <c r="A1299">
        <v>2873323</v>
      </c>
      <c r="B1299" t="str">
        <f t="shared" si="200"/>
        <v>stacjonarny</v>
      </c>
      <c r="C1299" s="1">
        <v>42935</v>
      </c>
      <c r="D1299" s="2">
        <v>0.58622685185185186</v>
      </c>
      <c r="E1299" s="2">
        <v>0.5921643518518519</v>
      </c>
      <c r="F1299" s="2">
        <f t="shared" si="201"/>
        <v>5.93750000000004E-3</v>
      </c>
      <c r="G1299">
        <f t="shared" si="202"/>
        <v>0</v>
      </c>
      <c r="H1299">
        <f t="shared" si="203"/>
        <v>8</v>
      </c>
      <c r="I1299">
        <f t="shared" si="204"/>
        <v>33</v>
      </c>
      <c r="J1299">
        <f t="shared" si="205"/>
        <v>513</v>
      </c>
      <c r="K1299">
        <f t="shared" si="206"/>
        <v>9</v>
      </c>
      <c r="L1299">
        <f t="shared" si="207"/>
        <v>426607</v>
      </c>
      <c r="M1299">
        <f t="shared" si="208"/>
        <v>132626</v>
      </c>
      <c r="N1299">
        <f t="shared" si="209"/>
        <v>607233</v>
      </c>
      <c r="O1299">
        <f>IF(B1299="zagraniczny",K1299+O1298,O1298)</f>
        <v>654</v>
      </c>
    </row>
    <row r="1300" spans="1:15" x14ac:dyDescent="0.25">
      <c r="A1300">
        <v>2733008</v>
      </c>
      <c r="B1300" t="str">
        <f t="shared" si="200"/>
        <v>stacjonarny</v>
      </c>
      <c r="C1300" s="1">
        <v>42935</v>
      </c>
      <c r="D1300" s="2">
        <v>0.5879861111111111</v>
      </c>
      <c r="E1300" s="2">
        <v>0.59103009259259254</v>
      </c>
      <c r="F1300" s="2">
        <f t="shared" si="201"/>
        <v>3.0439814814814392E-3</v>
      </c>
      <c r="G1300">
        <f t="shared" si="202"/>
        <v>0</v>
      </c>
      <c r="H1300">
        <f t="shared" si="203"/>
        <v>4</v>
      </c>
      <c r="I1300">
        <f t="shared" si="204"/>
        <v>23</v>
      </c>
      <c r="J1300">
        <f t="shared" si="205"/>
        <v>263</v>
      </c>
      <c r="K1300">
        <f t="shared" si="206"/>
        <v>5</v>
      </c>
      <c r="L1300">
        <f t="shared" si="207"/>
        <v>426870</v>
      </c>
      <c r="M1300">
        <f t="shared" si="208"/>
        <v>132626</v>
      </c>
      <c r="N1300">
        <f t="shared" si="209"/>
        <v>607496</v>
      </c>
      <c r="O1300">
        <f>IF(B1300="zagraniczny",K1300+O1299,O1299)</f>
        <v>654</v>
      </c>
    </row>
    <row r="1301" spans="1:15" x14ac:dyDescent="0.25">
      <c r="A1301">
        <v>7292887</v>
      </c>
      <c r="B1301" t="str">
        <f t="shared" si="200"/>
        <v>stacjonarny</v>
      </c>
      <c r="C1301" s="1">
        <v>42935</v>
      </c>
      <c r="D1301" s="2">
        <v>0.58810185185185182</v>
      </c>
      <c r="E1301" s="2">
        <v>0.59202546296296299</v>
      </c>
      <c r="F1301" s="2">
        <f t="shared" si="201"/>
        <v>3.9236111111111693E-3</v>
      </c>
      <c r="G1301">
        <f t="shared" si="202"/>
        <v>0</v>
      </c>
      <c r="H1301">
        <f t="shared" si="203"/>
        <v>5</v>
      </c>
      <c r="I1301">
        <f t="shared" si="204"/>
        <v>39</v>
      </c>
      <c r="J1301">
        <f t="shared" si="205"/>
        <v>339</v>
      </c>
      <c r="K1301">
        <f t="shared" si="206"/>
        <v>6</v>
      </c>
      <c r="L1301">
        <f t="shared" si="207"/>
        <v>427209</v>
      </c>
      <c r="M1301">
        <f t="shared" si="208"/>
        <v>132626</v>
      </c>
      <c r="N1301">
        <f t="shared" si="209"/>
        <v>607835</v>
      </c>
      <c r="O1301">
        <f>IF(B1301="zagraniczny",K1301+O1300,O1300)</f>
        <v>654</v>
      </c>
    </row>
    <row r="1302" spans="1:15" x14ac:dyDescent="0.25">
      <c r="A1302">
        <v>6855900</v>
      </c>
      <c r="B1302" t="str">
        <f t="shared" si="200"/>
        <v>stacjonarny</v>
      </c>
      <c r="C1302" s="1">
        <v>42935</v>
      </c>
      <c r="D1302" s="2">
        <v>0.59090277777777778</v>
      </c>
      <c r="E1302" s="2">
        <v>0.5923842592592593</v>
      </c>
      <c r="F1302" s="2">
        <f t="shared" si="201"/>
        <v>1.481481481481528E-3</v>
      </c>
      <c r="G1302">
        <f t="shared" si="202"/>
        <v>0</v>
      </c>
      <c r="H1302">
        <f t="shared" si="203"/>
        <v>2</v>
      </c>
      <c r="I1302">
        <f t="shared" si="204"/>
        <v>8</v>
      </c>
      <c r="J1302">
        <f t="shared" si="205"/>
        <v>128</v>
      </c>
      <c r="K1302">
        <f t="shared" si="206"/>
        <v>3</v>
      </c>
      <c r="L1302">
        <f t="shared" si="207"/>
        <v>427337</v>
      </c>
      <c r="M1302">
        <f t="shared" si="208"/>
        <v>132626</v>
      </c>
      <c r="N1302">
        <f t="shared" si="209"/>
        <v>607963</v>
      </c>
      <c r="O1302">
        <f>IF(B1302="zagraniczny",K1302+O1301,O1301)</f>
        <v>654</v>
      </c>
    </row>
    <row r="1303" spans="1:15" x14ac:dyDescent="0.25">
      <c r="A1303">
        <v>2402827</v>
      </c>
      <c r="B1303" t="str">
        <f t="shared" si="200"/>
        <v>stacjonarny</v>
      </c>
      <c r="C1303" s="1">
        <v>42935</v>
      </c>
      <c r="D1303" s="2">
        <v>0.59659722222222222</v>
      </c>
      <c r="E1303" s="2">
        <v>0.60329861111111116</v>
      </c>
      <c r="F1303" s="2">
        <f t="shared" si="201"/>
        <v>6.7013888888889372E-3</v>
      </c>
      <c r="G1303">
        <f t="shared" si="202"/>
        <v>0</v>
      </c>
      <c r="H1303">
        <f t="shared" si="203"/>
        <v>9</v>
      </c>
      <c r="I1303">
        <f t="shared" si="204"/>
        <v>39</v>
      </c>
      <c r="J1303">
        <f t="shared" si="205"/>
        <v>579</v>
      </c>
      <c r="K1303">
        <f t="shared" si="206"/>
        <v>10</v>
      </c>
      <c r="L1303">
        <f t="shared" si="207"/>
        <v>427916</v>
      </c>
      <c r="M1303">
        <f t="shared" si="208"/>
        <v>132626</v>
      </c>
      <c r="N1303">
        <f t="shared" si="209"/>
        <v>608542</v>
      </c>
      <c r="O1303">
        <f>IF(B1303="zagraniczny",K1303+O1302,O1302)</f>
        <v>654</v>
      </c>
    </row>
    <row r="1304" spans="1:15" x14ac:dyDescent="0.25">
      <c r="A1304">
        <v>6510330</v>
      </c>
      <c r="B1304" t="str">
        <f t="shared" si="200"/>
        <v>stacjonarny</v>
      </c>
      <c r="C1304" s="1">
        <v>42935</v>
      </c>
      <c r="D1304" s="2">
        <v>0.5971643518518519</v>
      </c>
      <c r="E1304" s="2">
        <v>0.60538194444444449</v>
      </c>
      <c r="F1304" s="2">
        <f t="shared" si="201"/>
        <v>8.2175925925925819E-3</v>
      </c>
      <c r="G1304">
        <f t="shared" si="202"/>
        <v>0</v>
      </c>
      <c r="H1304">
        <f t="shared" si="203"/>
        <v>11</v>
      </c>
      <c r="I1304">
        <f t="shared" si="204"/>
        <v>50</v>
      </c>
      <c r="J1304">
        <f t="shared" si="205"/>
        <v>710</v>
      </c>
      <c r="K1304">
        <f t="shared" si="206"/>
        <v>12</v>
      </c>
      <c r="L1304">
        <f t="shared" si="207"/>
        <v>428626</v>
      </c>
      <c r="M1304">
        <f t="shared" si="208"/>
        <v>132626</v>
      </c>
      <c r="N1304">
        <f t="shared" si="209"/>
        <v>609252</v>
      </c>
      <c r="O1304">
        <f>IF(B1304="zagraniczny",K1304+O1303,O1303)</f>
        <v>654</v>
      </c>
    </row>
    <row r="1305" spans="1:15" x14ac:dyDescent="0.25">
      <c r="A1305">
        <v>9773176</v>
      </c>
      <c r="B1305" t="str">
        <f t="shared" si="200"/>
        <v>stacjonarny</v>
      </c>
      <c r="C1305" s="1">
        <v>42935</v>
      </c>
      <c r="D1305" s="2">
        <v>0.59719907407407402</v>
      </c>
      <c r="E1305" s="2">
        <v>0.60488425925925926</v>
      </c>
      <c r="F1305" s="2">
        <f t="shared" si="201"/>
        <v>7.6851851851852393E-3</v>
      </c>
      <c r="G1305">
        <f t="shared" si="202"/>
        <v>0</v>
      </c>
      <c r="H1305">
        <f t="shared" si="203"/>
        <v>11</v>
      </c>
      <c r="I1305">
        <f t="shared" si="204"/>
        <v>4</v>
      </c>
      <c r="J1305">
        <f t="shared" si="205"/>
        <v>664</v>
      </c>
      <c r="K1305">
        <f t="shared" si="206"/>
        <v>12</v>
      </c>
      <c r="L1305">
        <f t="shared" si="207"/>
        <v>429290</v>
      </c>
      <c r="M1305">
        <f t="shared" si="208"/>
        <v>132626</v>
      </c>
      <c r="N1305">
        <f t="shared" si="209"/>
        <v>609916</v>
      </c>
      <c r="O1305">
        <f>IF(B1305="zagraniczny",K1305+O1304,O1304)</f>
        <v>654</v>
      </c>
    </row>
    <row r="1306" spans="1:15" x14ac:dyDescent="0.25">
      <c r="A1306">
        <v>4065787</v>
      </c>
      <c r="B1306" t="str">
        <f t="shared" si="200"/>
        <v>stacjonarny</v>
      </c>
      <c r="C1306" s="1">
        <v>42935</v>
      </c>
      <c r="D1306" s="2">
        <v>0.6021643518518518</v>
      </c>
      <c r="E1306" s="2">
        <v>0.61331018518518521</v>
      </c>
      <c r="F1306" s="2">
        <f t="shared" si="201"/>
        <v>1.114583333333341E-2</v>
      </c>
      <c r="G1306">
        <f t="shared" si="202"/>
        <v>0</v>
      </c>
      <c r="H1306">
        <f t="shared" si="203"/>
        <v>16</v>
      </c>
      <c r="I1306">
        <f t="shared" si="204"/>
        <v>3</v>
      </c>
      <c r="J1306">
        <f t="shared" si="205"/>
        <v>963</v>
      </c>
      <c r="K1306">
        <f t="shared" si="206"/>
        <v>17</v>
      </c>
      <c r="L1306">
        <f t="shared" si="207"/>
        <v>430253</v>
      </c>
      <c r="M1306">
        <f t="shared" si="208"/>
        <v>132626</v>
      </c>
      <c r="N1306">
        <f t="shared" si="209"/>
        <v>610879</v>
      </c>
      <c r="O1306">
        <f>IF(B1306="zagraniczny",K1306+O1305,O1305)</f>
        <v>654</v>
      </c>
    </row>
    <row r="1307" spans="1:15" x14ac:dyDescent="0.25">
      <c r="A1307">
        <v>4303543625</v>
      </c>
      <c r="B1307" t="str">
        <f t="shared" si="200"/>
        <v>zagraniczny</v>
      </c>
      <c r="C1307" s="1">
        <v>42935</v>
      </c>
      <c r="D1307" s="2">
        <v>0.60291666666666666</v>
      </c>
      <c r="E1307" s="2">
        <v>0.61086805555555557</v>
      </c>
      <c r="F1307" s="2">
        <f t="shared" si="201"/>
        <v>7.9513888888889106E-3</v>
      </c>
      <c r="G1307">
        <f t="shared" si="202"/>
        <v>0</v>
      </c>
      <c r="H1307">
        <f t="shared" si="203"/>
        <v>11</v>
      </c>
      <c r="I1307">
        <f t="shared" si="204"/>
        <v>27</v>
      </c>
      <c r="J1307">
        <f t="shared" si="205"/>
        <v>687</v>
      </c>
      <c r="K1307">
        <f t="shared" si="206"/>
        <v>12</v>
      </c>
      <c r="L1307">
        <f t="shared" si="207"/>
        <v>430253</v>
      </c>
      <c r="M1307">
        <f t="shared" si="208"/>
        <v>132626</v>
      </c>
      <c r="N1307">
        <f t="shared" si="209"/>
        <v>610879</v>
      </c>
      <c r="O1307">
        <f>IF(B1307="zagraniczny",K1307+O1306,O1306)</f>
        <v>666</v>
      </c>
    </row>
    <row r="1308" spans="1:15" x14ac:dyDescent="0.25">
      <c r="A1308">
        <v>3858766</v>
      </c>
      <c r="B1308" t="str">
        <f t="shared" si="200"/>
        <v>stacjonarny</v>
      </c>
      <c r="C1308" s="1">
        <v>42935</v>
      </c>
      <c r="D1308" s="2">
        <v>0.60624999999999996</v>
      </c>
      <c r="E1308" s="2">
        <v>0.6083912037037037</v>
      </c>
      <c r="F1308" s="2">
        <f t="shared" si="201"/>
        <v>2.1412037037037424E-3</v>
      </c>
      <c r="G1308">
        <f t="shared" si="202"/>
        <v>0</v>
      </c>
      <c r="H1308">
        <f t="shared" si="203"/>
        <v>3</v>
      </c>
      <c r="I1308">
        <f t="shared" si="204"/>
        <v>5</v>
      </c>
      <c r="J1308">
        <f t="shared" si="205"/>
        <v>185</v>
      </c>
      <c r="K1308">
        <f t="shared" si="206"/>
        <v>4</v>
      </c>
      <c r="L1308">
        <f t="shared" si="207"/>
        <v>430438</v>
      </c>
      <c r="M1308">
        <f t="shared" si="208"/>
        <v>132626</v>
      </c>
      <c r="N1308">
        <f t="shared" si="209"/>
        <v>611064</v>
      </c>
      <c r="O1308">
        <f>IF(B1308="zagraniczny",K1308+O1307,O1307)</f>
        <v>666</v>
      </c>
    </row>
    <row r="1309" spans="1:15" x14ac:dyDescent="0.25">
      <c r="A1309">
        <v>41852472</v>
      </c>
      <c r="B1309" t="str">
        <f t="shared" si="200"/>
        <v>komorkowy</v>
      </c>
      <c r="C1309" s="1">
        <v>42935</v>
      </c>
      <c r="D1309" s="2">
        <v>0.60868055555555556</v>
      </c>
      <c r="E1309" s="2">
        <v>0.61019675925925931</v>
      </c>
      <c r="F1309" s="2">
        <f t="shared" si="201"/>
        <v>1.5162037037037557E-3</v>
      </c>
      <c r="G1309">
        <f t="shared" si="202"/>
        <v>0</v>
      </c>
      <c r="H1309">
        <f t="shared" si="203"/>
        <v>2</v>
      </c>
      <c r="I1309">
        <f t="shared" si="204"/>
        <v>11</v>
      </c>
      <c r="J1309">
        <f t="shared" si="205"/>
        <v>131</v>
      </c>
      <c r="K1309">
        <f t="shared" si="206"/>
        <v>3</v>
      </c>
      <c r="L1309">
        <f t="shared" si="207"/>
        <v>430438</v>
      </c>
      <c r="M1309">
        <f t="shared" si="208"/>
        <v>132757</v>
      </c>
      <c r="N1309">
        <f t="shared" si="209"/>
        <v>611195</v>
      </c>
      <c r="O1309">
        <f>IF(B1309="zagraniczny",K1309+O1308,O1308)</f>
        <v>666</v>
      </c>
    </row>
    <row r="1310" spans="1:15" x14ac:dyDescent="0.25">
      <c r="A1310">
        <v>25574074</v>
      </c>
      <c r="B1310" t="str">
        <f t="shared" si="200"/>
        <v>komorkowy</v>
      </c>
      <c r="C1310" s="1">
        <v>42935</v>
      </c>
      <c r="D1310" s="2">
        <v>0.61081018518518515</v>
      </c>
      <c r="E1310" s="2">
        <v>0.62118055555555551</v>
      </c>
      <c r="F1310" s="2">
        <f t="shared" si="201"/>
        <v>1.0370370370370363E-2</v>
      </c>
      <c r="G1310">
        <f t="shared" si="202"/>
        <v>0</v>
      </c>
      <c r="H1310">
        <f t="shared" si="203"/>
        <v>14</v>
      </c>
      <c r="I1310">
        <f t="shared" si="204"/>
        <v>56</v>
      </c>
      <c r="J1310">
        <f t="shared" si="205"/>
        <v>896</v>
      </c>
      <c r="K1310">
        <f t="shared" si="206"/>
        <v>15</v>
      </c>
      <c r="L1310">
        <f t="shared" si="207"/>
        <v>430438</v>
      </c>
      <c r="M1310">
        <f t="shared" si="208"/>
        <v>133653</v>
      </c>
      <c r="N1310">
        <f t="shared" si="209"/>
        <v>612091</v>
      </c>
      <c r="O1310">
        <f>IF(B1310="zagraniczny",K1310+O1309,O1309)</f>
        <v>666</v>
      </c>
    </row>
    <row r="1311" spans="1:15" x14ac:dyDescent="0.25">
      <c r="A1311">
        <v>8690793</v>
      </c>
      <c r="B1311" t="str">
        <f t="shared" si="200"/>
        <v>stacjonarny</v>
      </c>
      <c r="C1311" s="1">
        <v>42935</v>
      </c>
      <c r="D1311" s="2">
        <v>0.61207175925925927</v>
      </c>
      <c r="E1311" s="2">
        <v>0.61613425925925924</v>
      </c>
      <c r="F1311" s="2">
        <f t="shared" si="201"/>
        <v>4.0624999999999689E-3</v>
      </c>
      <c r="G1311">
        <f t="shared" si="202"/>
        <v>0</v>
      </c>
      <c r="H1311">
        <f t="shared" si="203"/>
        <v>5</v>
      </c>
      <c r="I1311">
        <f t="shared" si="204"/>
        <v>51</v>
      </c>
      <c r="J1311">
        <f t="shared" si="205"/>
        <v>351</v>
      </c>
      <c r="K1311">
        <f t="shared" si="206"/>
        <v>6</v>
      </c>
      <c r="L1311">
        <f t="shared" si="207"/>
        <v>430789</v>
      </c>
      <c r="M1311">
        <f t="shared" si="208"/>
        <v>133653</v>
      </c>
      <c r="N1311">
        <f t="shared" si="209"/>
        <v>612442</v>
      </c>
      <c r="O1311">
        <f>IF(B1311="zagraniczny",K1311+O1310,O1310)</f>
        <v>666</v>
      </c>
    </row>
    <row r="1312" spans="1:15" x14ac:dyDescent="0.25">
      <c r="A1312">
        <v>8487003</v>
      </c>
      <c r="B1312" t="str">
        <f t="shared" si="200"/>
        <v>stacjonarny</v>
      </c>
      <c r="C1312" s="1">
        <v>42935</v>
      </c>
      <c r="D1312" s="2">
        <v>0.61648148148148152</v>
      </c>
      <c r="E1312" s="2">
        <v>0.62589120370370366</v>
      </c>
      <c r="F1312" s="2">
        <f t="shared" si="201"/>
        <v>9.4097222222221388E-3</v>
      </c>
      <c r="G1312">
        <f t="shared" si="202"/>
        <v>0</v>
      </c>
      <c r="H1312">
        <f t="shared" si="203"/>
        <v>13</v>
      </c>
      <c r="I1312">
        <f t="shared" si="204"/>
        <v>33</v>
      </c>
      <c r="J1312">
        <f t="shared" si="205"/>
        <v>813</v>
      </c>
      <c r="K1312">
        <f t="shared" si="206"/>
        <v>14</v>
      </c>
      <c r="L1312">
        <f t="shared" si="207"/>
        <v>431602</v>
      </c>
      <c r="M1312">
        <f t="shared" si="208"/>
        <v>133653</v>
      </c>
      <c r="N1312">
        <f t="shared" si="209"/>
        <v>613255</v>
      </c>
      <c r="O1312">
        <f>IF(B1312="zagraniczny",K1312+O1311,O1311)</f>
        <v>666</v>
      </c>
    </row>
    <row r="1313" spans="1:15" x14ac:dyDescent="0.25">
      <c r="A1313">
        <v>50583407</v>
      </c>
      <c r="B1313" t="str">
        <f t="shared" si="200"/>
        <v>komorkowy</v>
      </c>
      <c r="C1313" s="1">
        <v>42935</v>
      </c>
      <c r="D1313" s="2">
        <v>0.62137731481481484</v>
      </c>
      <c r="E1313" s="2">
        <v>0.63218750000000001</v>
      </c>
      <c r="F1313" s="2">
        <f t="shared" si="201"/>
        <v>1.0810185185185173E-2</v>
      </c>
      <c r="G1313">
        <f t="shared" si="202"/>
        <v>0</v>
      </c>
      <c r="H1313">
        <f t="shared" si="203"/>
        <v>15</v>
      </c>
      <c r="I1313">
        <f t="shared" si="204"/>
        <v>34</v>
      </c>
      <c r="J1313">
        <f t="shared" si="205"/>
        <v>934</v>
      </c>
      <c r="K1313">
        <f t="shared" si="206"/>
        <v>16</v>
      </c>
      <c r="L1313">
        <f t="shared" si="207"/>
        <v>431602</v>
      </c>
      <c r="M1313">
        <f t="shared" si="208"/>
        <v>134587</v>
      </c>
      <c r="N1313">
        <f t="shared" si="209"/>
        <v>614189</v>
      </c>
      <c r="O1313">
        <f>IF(B1313="zagraniczny",K1313+O1312,O1312)</f>
        <v>666</v>
      </c>
    </row>
    <row r="1314" spans="1:15" x14ac:dyDescent="0.25">
      <c r="A1314">
        <v>4983193</v>
      </c>
      <c r="B1314" t="str">
        <f t="shared" si="200"/>
        <v>stacjonarny</v>
      </c>
      <c r="C1314" s="1">
        <v>42935</v>
      </c>
      <c r="D1314" s="2">
        <v>0.62288194444444445</v>
      </c>
      <c r="E1314" s="2">
        <v>0.63325231481481481</v>
      </c>
      <c r="F1314" s="2">
        <f t="shared" si="201"/>
        <v>1.0370370370370363E-2</v>
      </c>
      <c r="G1314">
        <f t="shared" si="202"/>
        <v>0</v>
      </c>
      <c r="H1314">
        <f t="shared" si="203"/>
        <v>14</v>
      </c>
      <c r="I1314">
        <f t="shared" si="204"/>
        <v>56</v>
      </c>
      <c r="J1314">
        <f t="shared" si="205"/>
        <v>896</v>
      </c>
      <c r="K1314">
        <f t="shared" si="206"/>
        <v>15</v>
      </c>
      <c r="L1314">
        <f t="shared" si="207"/>
        <v>432498</v>
      </c>
      <c r="M1314">
        <f t="shared" si="208"/>
        <v>134587</v>
      </c>
      <c r="N1314">
        <f t="shared" si="209"/>
        <v>615085</v>
      </c>
      <c r="O1314">
        <f>IF(B1314="zagraniczny",K1314+O1313,O1313)</f>
        <v>666</v>
      </c>
    </row>
    <row r="1315" spans="1:15" x14ac:dyDescent="0.25">
      <c r="A1315">
        <v>1316116</v>
      </c>
      <c r="B1315" t="str">
        <f t="shared" si="200"/>
        <v>stacjonarny</v>
      </c>
      <c r="C1315" s="1">
        <v>42935</v>
      </c>
      <c r="D1315" s="2">
        <v>0.62394675925925924</v>
      </c>
      <c r="E1315" s="2">
        <v>0.62461805555555561</v>
      </c>
      <c r="F1315" s="2">
        <f t="shared" si="201"/>
        <v>6.7129629629636423E-4</v>
      </c>
      <c r="G1315">
        <f t="shared" si="202"/>
        <v>0</v>
      </c>
      <c r="H1315">
        <f t="shared" si="203"/>
        <v>0</v>
      </c>
      <c r="I1315">
        <f t="shared" si="204"/>
        <v>58</v>
      </c>
      <c r="J1315">
        <f t="shared" si="205"/>
        <v>58</v>
      </c>
      <c r="K1315">
        <f t="shared" si="206"/>
        <v>1</v>
      </c>
      <c r="L1315">
        <f t="shared" si="207"/>
        <v>432556</v>
      </c>
      <c r="M1315">
        <f t="shared" si="208"/>
        <v>134587</v>
      </c>
      <c r="N1315">
        <f t="shared" si="209"/>
        <v>615143</v>
      </c>
      <c r="O1315">
        <f>IF(B1315="zagraniczny",K1315+O1314,O1314)</f>
        <v>666</v>
      </c>
    </row>
    <row r="1316" spans="1:15" x14ac:dyDescent="0.25">
      <c r="A1316">
        <v>5696056</v>
      </c>
      <c r="B1316" t="str">
        <f t="shared" si="200"/>
        <v>stacjonarny</v>
      </c>
      <c r="C1316" s="1">
        <v>42935</v>
      </c>
      <c r="D1316" s="2">
        <v>0.62967592592592592</v>
      </c>
      <c r="E1316" s="2">
        <v>0.63277777777777777</v>
      </c>
      <c r="F1316" s="2">
        <f t="shared" si="201"/>
        <v>3.1018518518518556E-3</v>
      </c>
      <c r="G1316">
        <f t="shared" si="202"/>
        <v>0</v>
      </c>
      <c r="H1316">
        <f t="shared" si="203"/>
        <v>4</v>
      </c>
      <c r="I1316">
        <f t="shared" si="204"/>
        <v>28</v>
      </c>
      <c r="J1316">
        <f t="shared" si="205"/>
        <v>268</v>
      </c>
      <c r="K1316">
        <f t="shared" si="206"/>
        <v>5</v>
      </c>
      <c r="L1316">
        <f t="shared" si="207"/>
        <v>432824</v>
      </c>
      <c r="M1316">
        <f t="shared" si="208"/>
        <v>134587</v>
      </c>
      <c r="N1316">
        <f t="shared" si="209"/>
        <v>615411</v>
      </c>
      <c r="O1316">
        <f>IF(B1316="zagraniczny",K1316+O1315,O1315)</f>
        <v>666</v>
      </c>
    </row>
    <row r="1317" spans="1:15" x14ac:dyDescent="0.25">
      <c r="A1317">
        <v>3574623</v>
      </c>
      <c r="B1317" t="str">
        <f t="shared" si="200"/>
        <v>stacjonarny</v>
      </c>
      <c r="C1317" s="1">
        <v>42936</v>
      </c>
      <c r="D1317" s="2">
        <v>0.33447916666666666</v>
      </c>
      <c r="E1317" s="2">
        <v>0.33721064814814816</v>
      </c>
      <c r="F1317" s="2">
        <f t="shared" si="201"/>
        <v>2.7314814814815014E-3</v>
      </c>
      <c r="G1317">
        <f t="shared" si="202"/>
        <v>0</v>
      </c>
      <c r="H1317">
        <f t="shared" si="203"/>
        <v>3</v>
      </c>
      <c r="I1317">
        <f t="shared" si="204"/>
        <v>56</v>
      </c>
      <c r="J1317">
        <f t="shared" si="205"/>
        <v>236</v>
      </c>
      <c r="K1317">
        <f t="shared" si="206"/>
        <v>4</v>
      </c>
      <c r="L1317">
        <f t="shared" si="207"/>
        <v>433060</v>
      </c>
      <c r="M1317">
        <f t="shared" si="208"/>
        <v>134587</v>
      </c>
      <c r="N1317">
        <f t="shared" si="209"/>
        <v>615647</v>
      </c>
      <c r="O1317">
        <f>IF(B1317="zagraniczny",K1317+O1316,O1316)</f>
        <v>666</v>
      </c>
    </row>
    <row r="1318" spans="1:15" x14ac:dyDescent="0.25">
      <c r="A1318">
        <v>71218936</v>
      </c>
      <c r="B1318" t="str">
        <f t="shared" si="200"/>
        <v>komorkowy</v>
      </c>
      <c r="C1318" s="1">
        <v>42936</v>
      </c>
      <c r="D1318" s="2">
        <v>0.34012731481481484</v>
      </c>
      <c r="E1318" s="2">
        <v>0.34192129629629631</v>
      </c>
      <c r="F1318" s="2">
        <f t="shared" si="201"/>
        <v>1.7939814814814659E-3</v>
      </c>
      <c r="G1318">
        <f t="shared" si="202"/>
        <v>0</v>
      </c>
      <c r="H1318">
        <f t="shared" si="203"/>
        <v>2</v>
      </c>
      <c r="I1318">
        <f t="shared" si="204"/>
        <v>35</v>
      </c>
      <c r="J1318">
        <f t="shared" si="205"/>
        <v>155</v>
      </c>
      <c r="K1318">
        <f t="shared" si="206"/>
        <v>3</v>
      </c>
      <c r="L1318">
        <f t="shared" si="207"/>
        <v>433060</v>
      </c>
      <c r="M1318">
        <f t="shared" si="208"/>
        <v>134742</v>
      </c>
      <c r="N1318">
        <f t="shared" si="209"/>
        <v>615802</v>
      </c>
      <c r="O1318">
        <f>IF(B1318="zagraniczny",K1318+O1317,O1317)</f>
        <v>666</v>
      </c>
    </row>
    <row r="1319" spans="1:15" x14ac:dyDescent="0.25">
      <c r="A1319">
        <v>55621633</v>
      </c>
      <c r="B1319" t="str">
        <f t="shared" si="200"/>
        <v>komorkowy</v>
      </c>
      <c r="C1319" s="1">
        <v>42936</v>
      </c>
      <c r="D1319" s="2">
        <v>0.34114583333333331</v>
      </c>
      <c r="E1319" s="2">
        <v>0.3525578703703704</v>
      </c>
      <c r="F1319" s="2">
        <f t="shared" si="201"/>
        <v>1.1412037037037082E-2</v>
      </c>
      <c r="G1319">
        <f t="shared" si="202"/>
        <v>0</v>
      </c>
      <c r="H1319">
        <f t="shared" si="203"/>
        <v>16</v>
      </c>
      <c r="I1319">
        <f t="shared" si="204"/>
        <v>26</v>
      </c>
      <c r="J1319">
        <f t="shared" si="205"/>
        <v>986</v>
      </c>
      <c r="K1319">
        <f t="shared" si="206"/>
        <v>17</v>
      </c>
      <c r="L1319">
        <f t="shared" si="207"/>
        <v>433060</v>
      </c>
      <c r="M1319">
        <f t="shared" si="208"/>
        <v>135728</v>
      </c>
      <c r="N1319">
        <f t="shared" si="209"/>
        <v>616788</v>
      </c>
      <c r="O1319">
        <f>IF(B1319="zagraniczny",K1319+O1318,O1318)</f>
        <v>666</v>
      </c>
    </row>
    <row r="1320" spans="1:15" x14ac:dyDescent="0.25">
      <c r="A1320">
        <v>1898174</v>
      </c>
      <c r="B1320" t="str">
        <f t="shared" si="200"/>
        <v>stacjonarny</v>
      </c>
      <c r="C1320" s="1">
        <v>42936</v>
      </c>
      <c r="D1320" s="2">
        <v>0.34371527777777777</v>
      </c>
      <c r="E1320" s="2">
        <v>0.34609953703703705</v>
      </c>
      <c r="F1320" s="2">
        <f t="shared" si="201"/>
        <v>2.3842592592592804E-3</v>
      </c>
      <c r="G1320">
        <f t="shared" si="202"/>
        <v>0</v>
      </c>
      <c r="H1320">
        <f t="shared" si="203"/>
        <v>3</v>
      </c>
      <c r="I1320">
        <f t="shared" si="204"/>
        <v>26</v>
      </c>
      <c r="J1320">
        <f t="shared" si="205"/>
        <v>206</v>
      </c>
      <c r="K1320">
        <f t="shared" si="206"/>
        <v>4</v>
      </c>
      <c r="L1320">
        <f t="shared" si="207"/>
        <v>433266</v>
      </c>
      <c r="M1320">
        <f t="shared" si="208"/>
        <v>135728</v>
      </c>
      <c r="N1320">
        <f t="shared" si="209"/>
        <v>616994</v>
      </c>
      <c r="O1320">
        <f>IF(B1320="zagraniczny",K1320+O1319,O1319)</f>
        <v>666</v>
      </c>
    </row>
    <row r="1321" spans="1:15" x14ac:dyDescent="0.25">
      <c r="A1321">
        <v>4844054</v>
      </c>
      <c r="B1321" t="str">
        <f t="shared" si="200"/>
        <v>stacjonarny</v>
      </c>
      <c r="C1321" s="1">
        <v>42936</v>
      </c>
      <c r="D1321" s="2">
        <v>0.34857638888888887</v>
      </c>
      <c r="E1321" s="2">
        <v>0.34998842592592594</v>
      </c>
      <c r="F1321" s="2">
        <f t="shared" si="201"/>
        <v>1.4120370370370727E-3</v>
      </c>
      <c r="G1321">
        <f t="shared" si="202"/>
        <v>0</v>
      </c>
      <c r="H1321">
        <f t="shared" si="203"/>
        <v>2</v>
      </c>
      <c r="I1321">
        <f t="shared" si="204"/>
        <v>2</v>
      </c>
      <c r="J1321">
        <f t="shared" si="205"/>
        <v>122</v>
      </c>
      <c r="K1321">
        <f t="shared" si="206"/>
        <v>3</v>
      </c>
      <c r="L1321">
        <f t="shared" si="207"/>
        <v>433388</v>
      </c>
      <c r="M1321">
        <f t="shared" si="208"/>
        <v>135728</v>
      </c>
      <c r="N1321">
        <f t="shared" si="209"/>
        <v>617116</v>
      </c>
      <c r="O1321">
        <f>IF(B1321="zagraniczny",K1321+O1320,O1320)</f>
        <v>666</v>
      </c>
    </row>
    <row r="1322" spans="1:15" x14ac:dyDescent="0.25">
      <c r="A1322">
        <v>7701901</v>
      </c>
      <c r="B1322" t="str">
        <f t="shared" si="200"/>
        <v>stacjonarny</v>
      </c>
      <c r="C1322" s="1">
        <v>42936</v>
      </c>
      <c r="D1322" s="2">
        <v>0.3533101851851852</v>
      </c>
      <c r="E1322" s="2">
        <v>0.3555787037037037</v>
      </c>
      <c r="F1322" s="2">
        <f t="shared" si="201"/>
        <v>2.2685185185185031E-3</v>
      </c>
      <c r="G1322">
        <f t="shared" si="202"/>
        <v>0</v>
      </c>
      <c r="H1322">
        <f t="shared" si="203"/>
        <v>3</v>
      </c>
      <c r="I1322">
        <f t="shared" si="204"/>
        <v>16</v>
      </c>
      <c r="J1322">
        <f t="shared" si="205"/>
        <v>196</v>
      </c>
      <c r="K1322">
        <f t="shared" si="206"/>
        <v>4</v>
      </c>
      <c r="L1322">
        <f t="shared" si="207"/>
        <v>433584</v>
      </c>
      <c r="M1322">
        <f t="shared" si="208"/>
        <v>135728</v>
      </c>
      <c r="N1322">
        <f t="shared" si="209"/>
        <v>617312</v>
      </c>
      <c r="O1322">
        <f>IF(B1322="zagraniczny",K1322+O1321,O1321)</f>
        <v>666</v>
      </c>
    </row>
    <row r="1323" spans="1:15" x14ac:dyDescent="0.25">
      <c r="A1323">
        <v>5900664</v>
      </c>
      <c r="B1323" t="str">
        <f t="shared" si="200"/>
        <v>stacjonarny</v>
      </c>
      <c r="C1323" s="1">
        <v>42936</v>
      </c>
      <c r="D1323" s="2">
        <v>0.3558912037037037</v>
      </c>
      <c r="E1323" s="2">
        <v>0.36550925925925926</v>
      </c>
      <c r="F1323" s="2">
        <f t="shared" si="201"/>
        <v>9.6180555555555602E-3</v>
      </c>
      <c r="G1323">
        <f t="shared" si="202"/>
        <v>0</v>
      </c>
      <c r="H1323">
        <f t="shared" si="203"/>
        <v>13</v>
      </c>
      <c r="I1323">
        <f t="shared" si="204"/>
        <v>51</v>
      </c>
      <c r="J1323">
        <f t="shared" si="205"/>
        <v>831</v>
      </c>
      <c r="K1323">
        <f t="shared" si="206"/>
        <v>14</v>
      </c>
      <c r="L1323">
        <f t="shared" si="207"/>
        <v>434415</v>
      </c>
      <c r="M1323">
        <f t="shared" si="208"/>
        <v>135728</v>
      </c>
      <c r="N1323">
        <f t="shared" si="209"/>
        <v>618143</v>
      </c>
      <c r="O1323">
        <f>IF(B1323="zagraniczny",K1323+O1322,O1322)</f>
        <v>666</v>
      </c>
    </row>
    <row r="1324" spans="1:15" x14ac:dyDescent="0.25">
      <c r="A1324">
        <v>4698731</v>
      </c>
      <c r="B1324" t="str">
        <f t="shared" si="200"/>
        <v>stacjonarny</v>
      </c>
      <c r="C1324" s="1">
        <v>42936</v>
      </c>
      <c r="D1324" s="2">
        <v>0.35894675925925928</v>
      </c>
      <c r="E1324" s="2">
        <v>0.3689351851851852</v>
      </c>
      <c r="F1324" s="2">
        <f t="shared" si="201"/>
        <v>9.9884259259259145E-3</v>
      </c>
      <c r="G1324">
        <f t="shared" si="202"/>
        <v>0</v>
      </c>
      <c r="H1324">
        <f t="shared" si="203"/>
        <v>14</v>
      </c>
      <c r="I1324">
        <f t="shared" si="204"/>
        <v>23</v>
      </c>
      <c r="J1324">
        <f t="shared" si="205"/>
        <v>863</v>
      </c>
      <c r="K1324">
        <f t="shared" si="206"/>
        <v>15</v>
      </c>
      <c r="L1324">
        <f t="shared" si="207"/>
        <v>435278</v>
      </c>
      <c r="M1324">
        <f t="shared" si="208"/>
        <v>135728</v>
      </c>
      <c r="N1324">
        <f t="shared" si="209"/>
        <v>619006</v>
      </c>
      <c r="O1324">
        <f>IF(B1324="zagraniczny",K1324+O1323,O1323)</f>
        <v>666</v>
      </c>
    </row>
    <row r="1325" spans="1:15" x14ac:dyDescent="0.25">
      <c r="A1325">
        <v>4606501</v>
      </c>
      <c r="B1325" t="str">
        <f t="shared" si="200"/>
        <v>stacjonarny</v>
      </c>
      <c r="C1325" s="1">
        <v>42936</v>
      </c>
      <c r="D1325" s="2">
        <v>0.36222222222222222</v>
      </c>
      <c r="E1325" s="2">
        <v>0.36548611111111112</v>
      </c>
      <c r="F1325" s="2">
        <f t="shared" si="201"/>
        <v>3.2638888888888995E-3</v>
      </c>
      <c r="G1325">
        <f t="shared" si="202"/>
        <v>0</v>
      </c>
      <c r="H1325">
        <f t="shared" si="203"/>
        <v>4</v>
      </c>
      <c r="I1325">
        <f t="shared" si="204"/>
        <v>42</v>
      </c>
      <c r="J1325">
        <f t="shared" si="205"/>
        <v>282</v>
      </c>
      <c r="K1325">
        <f t="shared" si="206"/>
        <v>5</v>
      </c>
      <c r="L1325">
        <f t="shared" si="207"/>
        <v>435560</v>
      </c>
      <c r="M1325">
        <f t="shared" si="208"/>
        <v>135728</v>
      </c>
      <c r="N1325">
        <f t="shared" si="209"/>
        <v>619288</v>
      </c>
      <c r="O1325">
        <f>IF(B1325="zagraniczny",K1325+O1324,O1324)</f>
        <v>666</v>
      </c>
    </row>
    <row r="1326" spans="1:15" x14ac:dyDescent="0.25">
      <c r="A1326">
        <v>3851940</v>
      </c>
      <c r="B1326" t="str">
        <f t="shared" si="200"/>
        <v>stacjonarny</v>
      </c>
      <c r="C1326" s="1">
        <v>42936</v>
      </c>
      <c r="D1326" s="2">
        <v>0.36473379629629632</v>
      </c>
      <c r="E1326" s="2">
        <v>0.36630787037037038</v>
      </c>
      <c r="F1326" s="2">
        <f t="shared" si="201"/>
        <v>1.5740740740740611E-3</v>
      </c>
      <c r="G1326">
        <f t="shared" si="202"/>
        <v>0</v>
      </c>
      <c r="H1326">
        <f t="shared" si="203"/>
        <v>2</v>
      </c>
      <c r="I1326">
        <f t="shared" si="204"/>
        <v>16</v>
      </c>
      <c r="J1326">
        <f t="shared" si="205"/>
        <v>136</v>
      </c>
      <c r="K1326">
        <f t="shared" si="206"/>
        <v>3</v>
      </c>
      <c r="L1326">
        <f t="shared" si="207"/>
        <v>435696</v>
      </c>
      <c r="M1326">
        <f t="shared" si="208"/>
        <v>135728</v>
      </c>
      <c r="N1326">
        <f t="shared" si="209"/>
        <v>619424</v>
      </c>
      <c r="O1326">
        <f>IF(B1326="zagraniczny",K1326+O1325,O1325)</f>
        <v>666</v>
      </c>
    </row>
    <row r="1327" spans="1:15" x14ac:dyDescent="0.25">
      <c r="A1327">
        <v>7972076</v>
      </c>
      <c r="B1327" t="str">
        <f t="shared" si="200"/>
        <v>stacjonarny</v>
      </c>
      <c r="C1327" s="1">
        <v>42936</v>
      </c>
      <c r="D1327" s="2">
        <v>0.37011574074074072</v>
      </c>
      <c r="E1327" s="2">
        <v>0.37928240740740743</v>
      </c>
      <c r="F1327" s="2">
        <f t="shared" si="201"/>
        <v>9.1666666666667118E-3</v>
      </c>
      <c r="G1327">
        <f t="shared" si="202"/>
        <v>0</v>
      </c>
      <c r="H1327">
        <f t="shared" si="203"/>
        <v>13</v>
      </c>
      <c r="I1327">
        <f t="shared" si="204"/>
        <v>12</v>
      </c>
      <c r="J1327">
        <f t="shared" si="205"/>
        <v>792</v>
      </c>
      <c r="K1327">
        <f t="shared" si="206"/>
        <v>14</v>
      </c>
      <c r="L1327">
        <f t="shared" si="207"/>
        <v>436488</v>
      </c>
      <c r="M1327">
        <f t="shared" si="208"/>
        <v>135728</v>
      </c>
      <c r="N1327">
        <f t="shared" si="209"/>
        <v>620216</v>
      </c>
      <c r="O1327">
        <f>IF(B1327="zagraniczny",K1327+O1326,O1326)</f>
        <v>666</v>
      </c>
    </row>
    <row r="1328" spans="1:15" x14ac:dyDescent="0.25">
      <c r="A1328">
        <v>1911796</v>
      </c>
      <c r="B1328" t="str">
        <f t="shared" si="200"/>
        <v>stacjonarny</v>
      </c>
      <c r="C1328" s="1">
        <v>42936</v>
      </c>
      <c r="D1328" s="2">
        <v>0.37506944444444446</v>
      </c>
      <c r="E1328" s="2">
        <v>0.38142361111111112</v>
      </c>
      <c r="F1328" s="2">
        <f t="shared" si="201"/>
        <v>6.3541666666666607E-3</v>
      </c>
      <c r="G1328">
        <f t="shared" si="202"/>
        <v>0</v>
      </c>
      <c r="H1328">
        <f t="shared" si="203"/>
        <v>9</v>
      </c>
      <c r="I1328">
        <f t="shared" si="204"/>
        <v>9</v>
      </c>
      <c r="J1328">
        <f t="shared" si="205"/>
        <v>549</v>
      </c>
      <c r="K1328">
        <f t="shared" si="206"/>
        <v>10</v>
      </c>
      <c r="L1328">
        <f t="shared" si="207"/>
        <v>437037</v>
      </c>
      <c r="M1328">
        <f t="shared" si="208"/>
        <v>135728</v>
      </c>
      <c r="N1328">
        <f t="shared" si="209"/>
        <v>620765</v>
      </c>
      <c r="O1328">
        <f>IF(B1328="zagraniczny",K1328+O1327,O1327)</f>
        <v>666</v>
      </c>
    </row>
    <row r="1329" spans="1:15" x14ac:dyDescent="0.25">
      <c r="A1329">
        <v>7362963</v>
      </c>
      <c r="B1329" t="str">
        <f t="shared" si="200"/>
        <v>stacjonarny</v>
      </c>
      <c r="C1329" s="1">
        <v>42936</v>
      </c>
      <c r="D1329" s="2">
        <v>0.37658564814814816</v>
      </c>
      <c r="E1329" s="2">
        <v>0.37936342592592592</v>
      </c>
      <c r="F1329" s="2">
        <f t="shared" si="201"/>
        <v>2.7777777777777679E-3</v>
      </c>
      <c r="G1329">
        <f t="shared" si="202"/>
        <v>0</v>
      </c>
      <c r="H1329">
        <f t="shared" si="203"/>
        <v>4</v>
      </c>
      <c r="I1329">
        <f t="shared" si="204"/>
        <v>0</v>
      </c>
      <c r="J1329">
        <f t="shared" si="205"/>
        <v>240</v>
      </c>
      <c r="K1329">
        <f t="shared" si="206"/>
        <v>4</v>
      </c>
      <c r="L1329">
        <f t="shared" si="207"/>
        <v>437277</v>
      </c>
      <c r="M1329">
        <f t="shared" si="208"/>
        <v>135728</v>
      </c>
      <c r="N1329">
        <f t="shared" si="209"/>
        <v>621005</v>
      </c>
      <c r="O1329">
        <f>IF(B1329="zagraniczny",K1329+O1328,O1328)</f>
        <v>666</v>
      </c>
    </row>
    <row r="1330" spans="1:15" x14ac:dyDescent="0.25">
      <c r="A1330">
        <v>24290062</v>
      </c>
      <c r="B1330" t="str">
        <f t="shared" si="200"/>
        <v>komorkowy</v>
      </c>
      <c r="C1330" s="1">
        <v>42936</v>
      </c>
      <c r="D1330" s="2">
        <v>0.38047453703703704</v>
      </c>
      <c r="E1330" s="2">
        <v>0.39142361111111112</v>
      </c>
      <c r="F1330" s="2">
        <f t="shared" si="201"/>
        <v>1.0949074074074083E-2</v>
      </c>
      <c r="G1330">
        <f t="shared" si="202"/>
        <v>0</v>
      </c>
      <c r="H1330">
        <f t="shared" si="203"/>
        <v>15</v>
      </c>
      <c r="I1330">
        <f t="shared" si="204"/>
        <v>46</v>
      </c>
      <c r="J1330">
        <f t="shared" si="205"/>
        <v>946</v>
      </c>
      <c r="K1330">
        <f t="shared" si="206"/>
        <v>16</v>
      </c>
      <c r="L1330">
        <f t="shared" si="207"/>
        <v>437277</v>
      </c>
      <c r="M1330">
        <f t="shared" si="208"/>
        <v>136674</v>
      </c>
      <c r="N1330">
        <f t="shared" si="209"/>
        <v>621951</v>
      </c>
      <c r="O1330">
        <f>IF(B1330="zagraniczny",K1330+O1329,O1329)</f>
        <v>666</v>
      </c>
    </row>
    <row r="1331" spans="1:15" x14ac:dyDescent="0.25">
      <c r="A1331">
        <v>3086185</v>
      </c>
      <c r="B1331" t="str">
        <f t="shared" si="200"/>
        <v>stacjonarny</v>
      </c>
      <c r="C1331" s="1">
        <v>42936</v>
      </c>
      <c r="D1331" s="2">
        <v>0.38394675925925925</v>
      </c>
      <c r="E1331" s="2">
        <v>0.39547453703703705</v>
      </c>
      <c r="F1331" s="2">
        <f t="shared" si="201"/>
        <v>1.1527777777777803E-2</v>
      </c>
      <c r="G1331">
        <f t="shared" si="202"/>
        <v>0</v>
      </c>
      <c r="H1331">
        <f t="shared" si="203"/>
        <v>16</v>
      </c>
      <c r="I1331">
        <f t="shared" si="204"/>
        <v>36</v>
      </c>
      <c r="J1331">
        <f t="shared" si="205"/>
        <v>996</v>
      </c>
      <c r="K1331">
        <f t="shared" si="206"/>
        <v>17</v>
      </c>
      <c r="L1331">
        <f t="shared" si="207"/>
        <v>438273</v>
      </c>
      <c r="M1331">
        <f t="shared" si="208"/>
        <v>136674</v>
      </c>
      <c r="N1331">
        <f t="shared" si="209"/>
        <v>622947</v>
      </c>
      <c r="O1331">
        <f>IF(B1331="zagraniczny",K1331+O1330,O1330)</f>
        <v>666</v>
      </c>
    </row>
    <row r="1332" spans="1:15" x14ac:dyDescent="0.25">
      <c r="A1332">
        <v>7622819</v>
      </c>
      <c r="B1332" t="str">
        <f t="shared" si="200"/>
        <v>stacjonarny</v>
      </c>
      <c r="C1332" s="1">
        <v>42936</v>
      </c>
      <c r="D1332" s="2">
        <v>0.38599537037037035</v>
      </c>
      <c r="E1332" s="2">
        <v>0.39438657407407407</v>
      </c>
      <c r="F1332" s="2">
        <f t="shared" si="201"/>
        <v>8.3912037037037202E-3</v>
      </c>
      <c r="G1332">
        <f t="shared" si="202"/>
        <v>0</v>
      </c>
      <c r="H1332">
        <f t="shared" si="203"/>
        <v>12</v>
      </c>
      <c r="I1332">
        <f t="shared" si="204"/>
        <v>5</v>
      </c>
      <c r="J1332">
        <f t="shared" si="205"/>
        <v>725</v>
      </c>
      <c r="K1332">
        <f t="shared" si="206"/>
        <v>13</v>
      </c>
      <c r="L1332">
        <f t="shared" si="207"/>
        <v>438998</v>
      </c>
      <c r="M1332">
        <f t="shared" si="208"/>
        <v>136674</v>
      </c>
      <c r="N1332">
        <f t="shared" si="209"/>
        <v>623672</v>
      </c>
      <c r="O1332">
        <f>IF(B1332="zagraniczny",K1332+O1331,O1331)</f>
        <v>666</v>
      </c>
    </row>
    <row r="1333" spans="1:15" x14ac:dyDescent="0.25">
      <c r="A1333">
        <v>5610335</v>
      </c>
      <c r="B1333" t="str">
        <f t="shared" si="200"/>
        <v>stacjonarny</v>
      </c>
      <c r="C1333" s="1">
        <v>42936</v>
      </c>
      <c r="D1333" s="2">
        <v>0.39055555555555554</v>
      </c>
      <c r="E1333" s="2">
        <v>0.39101851851851854</v>
      </c>
      <c r="F1333" s="2">
        <f t="shared" si="201"/>
        <v>4.6296296296299833E-4</v>
      </c>
      <c r="G1333">
        <f t="shared" si="202"/>
        <v>0</v>
      </c>
      <c r="H1333">
        <f t="shared" si="203"/>
        <v>0</v>
      </c>
      <c r="I1333">
        <f t="shared" si="204"/>
        <v>40</v>
      </c>
      <c r="J1333">
        <f t="shared" si="205"/>
        <v>40</v>
      </c>
      <c r="K1333">
        <f t="shared" si="206"/>
        <v>1</v>
      </c>
      <c r="L1333">
        <f t="shared" si="207"/>
        <v>439038</v>
      </c>
      <c r="M1333">
        <f t="shared" si="208"/>
        <v>136674</v>
      </c>
      <c r="N1333">
        <f t="shared" si="209"/>
        <v>623712</v>
      </c>
      <c r="O1333">
        <f>IF(B1333="zagraniczny",K1333+O1332,O1332)</f>
        <v>666</v>
      </c>
    </row>
    <row r="1334" spans="1:15" x14ac:dyDescent="0.25">
      <c r="A1334">
        <v>97953696</v>
      </c>
      <c r="B1334" t="str">
        <f t="shared" si="200"/>
        <v>komorkowy</v>
      </c>
      <c r="C1334" s="1">
        <v>42936</v>
      </c>
      <c r="D1334" s="2">
        <v>0.39373842592592595</v>
      </c>
      <c r="E1334" s="2">
        <v>0.40292824074074074</v>
      </c>
      <c r="F1334" s="2">
        <f t="shared" si="201"/>
        <v>9.1898148148147896E-3</v>
      </c>
      <c r="G1334">
        <f t="shared" si="202"/>
        <v>0</v>
      </c>
      <c r="H1334">
        <f t="shared" si="203"/>
        <v>13</v>
      </c>
      <c r="I1334">
        <f t="shared" si="204"/>
        <v>14</v>
      </c>
      <c r="J1334">
        <f t="shared" si="205"/>
        <v>794</v>
      </c>
      <c r="K1334">
        <f t="shared" si="206"/>
        <v>14</v>
      </c>
      <c r="L1334">
        <f t="shared" si="207"/>
        <v>439038</v>
      </c>
      <c r="M1334">
        <f t="shared" si="208"/>
        <v>137468</v>
      </c>
      <c r="N1334">
        <f t="shared" si="209"/>
        <v>624506</v>
      </c>
      <c r="O1334">
        <f>IF(B1334="zagraniczny",K1334+O1333,O1333)</f>
        <v>666</v>
      </c>
    </row>
    <row r="1335" spans="1:15" x14ac:dyDescent="0.25">
      <c r="A1335">
        <v>7432767</v>
      </c>
      <c r="B1335" t="str">
        <f t="shared" si="200"/>
        <v>stacjonarny</v>
      </c>
      <c r="C1335" s="1">
        <v>42936</v>
      </c>
      <c r="D1335" s="2">
        <v>0.39446759259259262</v>
      </c>
      <c r="E1335" s="2">
        <v>0.39841435185185187</v>
      </c>
      <c r="F1335" s="2">
        <f t="shared" si="201"/>
        <v>3.9467592592592471E-3</v>
      </c>
      <c r="G1335">
        <f t="shared" si="202"/>
        <v>0</v>
      </c>
      <c r="H1335">
        <f t="shared" si="203"/>
        <v>5</v>
      </c>
      <c r="I1335">
        <f t="shared" si="204"/>
        <v>41</v>
      </c>
      <c r="J1335">
        <f t="shared" si="205"/>
        <v>341</v>
      </c>
      <c r="K1335">
        <f t="shared" si="206"/>
        <v>6</v>
      </c>
      <c r="L1335">
        <f t="shared" si="207"/>
        <v>439379</v>
      </c>
      <c r="M1335">
        <f t="shared" si="208"/>
        <v>137468</v>
      </c>
      <c r="N1335">
        <f t="shared" si="209"/>
        <v>624847</v>
      </c>
      <c r="O1335">
        <f>IF(B1335="zagraniczny",K1335+O1334,O1334)</f>
        <v>666</v>
      </c>
    </row>
    <row r="1336" spans="1:15" x14ac:dyDescent="0.25">
      <c r="A1336">
        <v>2089993</v>
      </c>
      <c r="B1336" t="str">
        <f t="shared" si="200"/>
        <v>stacjonarny</v>
      </c>
      <c r="C1336" s="1">
        <v>42936</v>
      </c>
      <c r="D1336" s="2">
        <v>0.39810185185185187</v>
      </c>
      <c r="E1336" s="2">
        <v>0.39876157407407409</v>
      </c>
      <c r="F1336" s="2">
        <f t="shared" si="201"/>
        <v>6.5972222222221433E-4</v>
      </c>
      <c r="G1336">
        <f t="shared" si="202"/>
        <v>0</v>
      </c>
      <c r="H1336">
        <f t="shared" si="203"/>
        <v>0</v>
      </c>
      <c r="I1336">
        <f t="shared" si="204"/>
        <v>57</v>
      </c>
      <c r="J1336">
        <f t="shared" si="205"/>
        <v>57</v>
      </c>
      <c r="K1336">
        <f t="shared" si="206"/>
        <v>1</v>
      </c>
      <c r="L1336">
        <f t="shared" si="207"/>
        <v>439436</v>
      </c>
      <c r="M1336">
        <f t="shared" si="208"/>
        <v>137468</v>
      </c>
      <c r="N1336">
        <f t="shared" si="209"/>
        <v>624904</v>
      </c>
      <c r="O1336">
        <f>IF(B1336="zagraniczny",K1336+O1335,O1335)</f>
        <v>666</v>
      </c>
    </row>
    <row r="1337" spans="1:15" x14ac:dyDescent="0.25">
      <c r="A1337">
        <v>2635121</v>
      </c>
      <c r="B1337" t="str">
        <f t="shared" si="200"/>
        <v>stacjonarny</v>
      </c>
      <c r="C1337" s="1">
        <v>42936</v>
      </c>
      <c r="D1337" s="2">
        <v>0.39906249999999999</v>
      </c>
      <c r="E1337" s="2">
        <v>0.40487268518518521</v>
      </c>
      <c r="F1337" s="2">
        <f t="shared" si="201"/>
        <v>5.8101851851852238E-3</v>
      </c>
      <c r="G1337">
        <f t="shared" si="202"/>
        <v>0</v>
      </c>
      <c r="H1337">
        <f t="shared" si="203"/>
        <v>8</v>
      </c>
      <c r="I1337">
        <f t="shared" si="204"/>
        <v>22</v>
      </c>
      <c r="J1337">
        <f t="shared" si="205"/>
        <v>502</v>
      </c>
      <c r="K1337">
        <f t="shared" si="206"/>
        <v>9</v>
      </c>
      <c r="L1337">
        <f t="shared" si="207"/>
        <v>439938</v>
      </c>
      <c r="M1337">
        <f t="shared" si="208"/>
        <v>137468</v>
      </c>
      <c r="N1337">
        <f t="shared" si="209"/>
        <v>625406</v>
      </c>
      <c r="O1337">
        <f>IF(B1337="zagraniczny",K1337+O1336,O1336)</f>
        <v>666</v>
      </c>
    </row>
    <row r="1338" spans="1:15" x14ac:dyDescent="0.25">
      <c r="A1338">
        <v>6725216</v>
      </c>
      <c r="B1338" t="str">
        <f t="shared" si="200"/>
        <v>stacjonarny</v>
      </c>
      <c r="C1338" s="1">
        <v>42936</v>
      </c>
      <c r="D1338" s="2">
        <v>0.40190972222222221</v>
      </c>
      <c r="E1338" s="2">
        <v>0.40715277777777775</v>
      </c>
      <c r="F1338" s="2">
        <f t="shared" si="201"/>
        <v>5.2430555555555425E-3</v>
      </c>
      <c r="G1338">
        <f t="shared" si="202"/>
        <v>0</v>
      </c>
      <c r="H1338">
        <f t="shared" si="203"/>
        <v>7</v>
      </c>
      <c r="I1338">
        <f t="shared" si="204"/>
        <v>33</v>
      </c>
      <c r="J1338">
        <f t="shared" si="205"/>
        <v>453</v>
      </c>
      <c r="K1338">
        <f t="shared" si="206"/>
        <v>8</v>
      </c>
      <c r="L1338">
        <f t="shared" si="207"/>
        <v>440391</v>
      </c>
      <c r="M1338">
        <f t="shared" si="208"/>
        <v>137468</v>
      </c>
      <c r="N1338">
        <f t="shared" si="209"/>
        <v>625859</v>
      </c>
      <c r="O1338">
        <f>IF(B1338="zagraniczny",K1338+O1337,O1337)</f>
        <v>666</v>
      </c>
    </row>
    <row r="1339" spans="1:15" x14ac:dyDescent="0.25">
      <c r="A1339">
        <v>6530661</v>
      </c>
      <c r="B1339" t="str">
        <f t="shared" si="200"/>
        <v>stacjonarny</v>
      </c>
      <c r="C1339" s="1">
        <v>42936</v>
      </c>
      <c r="D1339" s="2">
        <v>0.40709490740740739</v>
      </c>
      <c r="E1339" s="2">
        <v>0.40795138888888888</v>
      </c>
      <c r="F1339" s="2">
        <f t="shared" si="201"/>
        <v>8.5648148148148584E-4</v>
      </c>
      <c r="G1339">
        <f t="shared" si="202"/>
        <v>0</v>
      </c>
      <c r="H1339">
        <f t="shared" si="203"/>
        <v>1</v>
      </c>
      <c r="I1339">
        <f t="shared" si="204"/>
        <v>14</v>
      </c>
      <c r="J1339">
        <f t="shared" si="205"/>
        <v>74</v>
      </c>
      <c r="K1339">
        <f t="shared" si="206"/>
        <v>2</v>
      </c>
      <c r="L1339">
        <f t="shared" si="207"/>
        <v>440465</v>
      </c>
      <c r="M1339">
        <f t="shared" si="208"/>
        <v>137468</v>
      </c>
      <c r="N1339">
        <f t="shared" si="209"/>
        <v>625933</v>
      </c>
      <c r="O1339">
        <f>IF(B1339="zagraniczny",K1339+O1338,O1338)</f>
        <v>666</v>
      </c>
    </row>
    <row r="1340" spans="1:15" x14ac:dyDescent="0.25">
      <c r="A1340">
        <v>8691743</v>
      </c>
      <c r="B1340" t="str">
        <f t="shared" si="200"/>
        <v>stacjonarny</v>
      </c>
      <c r="C1340" s="1">
        <v>42936</v>
      </c>
      <c r="D1340" s="2">
        <v>0.41228009259259257</v>
      </c>
      <c r="E1340" s="2">
        <v>0.42214120370370373</v>
      </c>
      <c r="F1340" s="2">
        <f t="shared" si="201"/>
        <v>9.8611111111111538E-3</v>
      </c>
      <c r="G1340">
        <f t="shared" si="202"/>
        <v>0</v>
      </c>
      <c r="H1340">
        <f t="shared" si="203"/>
        <v>14</v>
      </c>
      <c r="I1340">
        <f t="shared" si="204"/>
        <v>12</v>
      </c>
      <c r="J1340">
        <f t="shared" si="205"/>
        <v>852</v>
      </c>
      <c r="K1340">
        <f t="shared" si="206"/>
        <v>15</v>
      </c>
      <c r="L1340">
        <f t="shared" si="207"/>
        <v>441317</v>
      </c>
      <c r="M1340">
        <f t="shared" si="208"/>
        <v>137468</v>
      </c>
      <c r="N1340">
        <f t="shared" si="209"/>
        <v>626785</v>
      </c>
      <c r="O1340">
        <f>IF(B1340="zagraniczny",K1340+O1339,O1339)</f>
        <v>666</v>
      </c>
    </row>
    <row r="1341" spans="1:15" x14ac:dyDescent="0.25">
      <c r="A1341">
        <v>2771511</v>
      </c>
      <c r="B1341" t="str">
        <f t="shared" si="200"/>
        <v>stacjonarny</v>
      </c>
      <c r="C1341" s="1">
        <v>42936</v>
      </c>
      <c r="D1341" s="2">
        <v>0.41271990740740738</v>
      </c>
      <c r="E1341" s="2">
        <v>0.41487268518518516</v>
      </c>
      <c r="F1341" s="2">
        <f t="shared" si="201"/>
        <v>2.1527777777777812E-3</v>
      </c>
      <c r="G1341">
        <f t="shared" si="202"/>
        <v>0</v>
      </c>
      <c r="H1341">
        <f t="shared" si="203"/>
        <v>3</v>
      </c>
      <c r="I1341">
        <f t="shared" si="204"/>
        <v>6</v>
      </c>
      <c r="J1341">
        <f t="shared" si="205"/>
        <v>186</v>
      </c>
      <c r="K1341">
        <f t="shared" si="206"/>
        <v>4</v>
      </c>
      <c r="L1341">
        <f t="shared" si="207"/>
        <v>441503</v>
      </c>
      <c r="M1341">
        <f t="shared" si="208"/>
        <v>137468</v>
      </c>
      <c r="N1341">
        <f t="shared" si="209"/>
        <v>626971</v>
      </c>
      <c r="O1341">
        <f>IF(B1341="zagraniczny",K1341+O1340,O1340)</f>
        <v>666</v>
      </c>
    </row>
    <row r="1342" spans="1:15" x14ac:dyDescent="0.25">
      <c r="A1342">
        <v>7471152</v>
      </c>
      <c r="B1342" t="str">
        <f t="shared" si="200"/>
        <v>stacjonarny</v>
      </c>
      <c r="C1342" s="1">
        <v>42936</v>
      </c>
      <c r="D1342" s="2">
        <v>0.41456018518518517</v>
      </c>
      <c r="E1342" s="2">
        <v>0.41495370370370371</v>
      </c>
      <c r="F1342" s="2">
        <f t="shared" si="201"/>
        <v>3.9351851851854303E-4</v>
      </c>
      <c r="G1342">
        <f t="shared" si="202"/>
        <v>0</v>
      </c>
      <c r="H1342">
        <f t="shared" si="203"/>
        <v>0</v>
      </c>
      <c r="I1342">
        <f t="shared" si="204"/>
        <v>34</v>
      </c>
      <c r="J1342">
        <f t="shared" si="205"/>
        <v>34</v>
      </c>
      <c r="K1342">
        <f t="shared" si="206"/>
        <v>1</v>
      </c>
      <c r="L1342">
        <f t="shared" si="207"/>
        <v>441537</v>
      </c>
      <c r="M1342">
        <f t="shared" si="208"/>
        <v>137468</v>
      </c>
      <c r="N1342">
        <f t="shared" si="209"/>
        <v>627005</v>
      </c>
      <c r="O1342">
        <f>IF(B1342="zagraniczny",K1342+O1341,O1341)</f>
        <v>666</v>
      </c>
    </row>
    <row r="1343" spans="1:15" x14ac:dyDescent="0.25">
      <c r="A1343">
        <v>89691426</v>
      </c>
      <c r="B1343" t="str">
        <f t="shared" si="200"/>
        <v>komorkowy</v>
      </c>
      <c r="C1343" s="1">
        <v>42936</v>
      </c>
      <c r="D1343" s="2">
        <v>0.41677083333333331</v>
      </c>
      <c r="E1343" s="2">
        <v>0.42192129629629632</v>
      </c>
      <c r="F1343" s="2">
        <f t="shared" si="201"/>
        <v>5.1504629629630094E-3</v>
      </c>
      <c r="G1343">
        <f t="shared" si="202"/>
        <v>0</v>
      </c>
      <c r="H1343">
        <f t="shared" si="203"/>
        <v>7</v>
      </c>
      <c r="I1343">
        <f t="shared" si="204"/>
        <v>25</v>
      </c>
      <c r="J1343">
        <f t="shared" si="205"/>
        <v>445</v>
      </c>
      <c r="K1343">
        <f t="shared" si="206"/>
        <v>8</v>
      </c>
      <c r="L1343">
        <f t="shared" si="207"/>
        <v>441537</v>
      </c>
      <c r="M1343">
        <f t="shared" si="208"/>
        <v>137913</v>
      </c>
      <c r="N1343">
        <f t="shared" si="209"/>
        <v>627450</v>
      </c>
      <c r="O1343">
        <f>IF(B1343="zagraniczny",K1343+O1342,O1342)</f>
        <v>666</v>
      </c>
    </row>
    <row r="1344" spans="1:15" x14ac:dyDescent="0.25">
      <c r="A1344">
        <v>5305478</v>
      </c>
      <c r="B1344" t="str">
        <f t="shared" si="200"/>
        <v>stacjonarny</v>
      </c>
      <c r="C1344" s="1">
        <v>42936</v>
      </c>
      <c r="D1344" s="2">
        <v>0.41980324074074077</v>
      </c>
      <c r="E1344" s="2">
        <v>0.42957175925925928</v>
      </c>
      <c r="F1344" s="2">
        <f t="shared" si="201"/>
        <v>9.7685185185185097E-3</v>
      </c>
      <c r="G1344">
        <f t="shared" si="202"/>
        <v>0</v>
      </c>
      <c r="H1344">
        <f t="shared" si="203"/>
        <v>14</v>
      </c>
      <c r="I1344">
        <f t="shared" si="204"/>
        <v>4</v>
      </c>
      <c r="J1344">
        <f t="shared" si="205"/>
        <v>844</v>
      </c>
      <c r="K1344">
        <f t="shared" si="206"/>
        <v>15</v>
      </c>
      <c r="L1344">
        <f t="shared" si="207"/>
        <v>442381</v>
      </c>
      <c r="M1344">
        <f t="shared" si="208"/>
        <v>137913</v>
      </c>
      <c r="N1344">
        <f t="shared" si="209"/>
        <v>628294</v>
      </c>
      <c r="O1344">
        <f>IF(B1344="zagraniczny",K1344+O1343,O1343)</f>
        <v>666</v>
      </c>
    </row>
    <row r="1345" spans="1:15" x14ac:dyDescent="0.25">
      <c r="A1345">
        <v>4305632</v>
      </c>
      <c r="B1345" t="str">
        <f t="shared" si="200"/>
        <v>stacjonarny</v>
      </c>
      <c r="C1345" s="1">
        <v>42936</v>
      </c>
      <c r="D1345" s="2">
        <v>0.42534722222222221</v>
      </c>
      <c r="E1345" s="2">
        <v>0.43634259259259262</v>
      </c>
      <c r="F1345" s="2">
        <f t="shared" si="201"/>
        <v>1.0995370370370405E-2</v>
      </c>
      <c r="G1345">
        <f t="shared" si="202"/>
        <v>0</v>
      </c>
      <c r="H1345">
        <f t="shared" si="203"/>
        <v>15</v>
      </c>
      <c r="I1345">
        <f t="shared" si="204"/>
        <v>50</v>
      </c>
      <c r="J1345">
        <f t="shared" si="205"/>
        <v>950</v>
      </c>
      <c r="K1345">
        <f t="shared" si="206"/>
        <v>16</v>
      </c>
      <c r="L1345">
        <f t="shared" si="207"/>
        <v>443331</v>
      </c>
      <c r="M1345">
        <f t="shared" si="208"/>
        <v>137913</v>
      </c>
      <c r="N1345">
        <f t="shared" si="209"/>
        <v>629244</v>
      </c>
      <c r="O1345">
        <f>IF(B1345="zagraniczny",K1345+O1344,O1344)</f>
        <v>666</v>
      </c>
    </row>
    <row r="1346" spans="1:15" x14ac:dyDescent="0.25">
      <c r="A1346">
        <v>9526179</v>
      </c>
      <c r="B1346" t="str">
        <f t="shared" si="200"/>
        <v>stacjonarny</v>
      </c>
      <c r="C1346" s="1">
        <v>42936</v>
      </c>
      <c r="D1346" s="2">
        <v>0.42761574074074077</v>
      </c>
      <c r="E1346" s="2">
        <v>0.4314236111111111</v>
      </c>
      <c r="F1346" s="2">
        <f t="shared" si="201"/>
        <v>3.8078703703703365E-3</v>
      </c>
      <c r="G1346">
        <f t="shared" si="202"/>
        <v>0</v>
      </c>
      <c r="H1346">
        <f t="shared" si="203"/>
        <v>5</v>
      </c>
      <c r="I1346">
        <f t="shared" si="204"/>
        <v>29</v>
      </c>
      <c r="J1346">
        <f t="shared" si="205"/>
        <v>329</v>
      </c>
      <c r="K1346">
        <f t="shared" si="206"/>
        <v>6</v>
      </c>
      <c r="L1346">
        <f t="shared" si="207"/>
        <v>443660</v>
      </c>
      <c r="M1346">
        <f t="shared" si="208"/>
        <v>137913</v>
      </c>
      <c r="N1346">
        <f t="shared" si="209"/>
        <v>629573</v>
      </c>
      <c r="O1346">
        <f>IF(B1346="zagraniczny",K1346+O1345,O1345)</f>
        <v>666</v>
      </c>
    </row>
    <row r="1347" spans="1:15" x14ac:dyDescent="0.25">
      <c r="A1347">
        <v>1268336</v>
      </c>
      <c r="B1347" t="str">
        <f t="shared" ref="B1347:B1410" si="210">IF(LEN(A1347)=7,"stacjonarny",IF(LEN(A1347)=8,"komorkowy","zagraniczny"))</f>
        <v>stacjonarny</v>
      </c>
      <c r="C1347" s="1">
        <v>42936</v>
      </c>
      <c r="D1347" s="2">
        <v>0.43172453703703706</v>
      </c>
      <c r="E1347" s="2">
        <v>0.44153935185185184</v>
      </c>
      <c r="F1347" s="2">
        <f t="shared" ref="F1347:F1410" si="211">E1347-D1347</f>
        <v>9.8148148148147762E-3</v>
      </c>
      <c r="G1347">
        <f t="shared" ref="G1347:G1410" si="212">HOUR(F1347)</f>
        <v>0</v>
      </c>
      <c r="H1347">
        <f t="shared" ref="H1347:H1410" si="213">MINUTE(F1347)</f>
        <v>14</v>
      </c>
      <c r="I1347">
        <f t="shared" ref="I1347:I1410" si="214">SECOND(F1347)</f>
        <v>8</v>
      </c>
      <c r="J1347">
        <f t="shared" ref="J1347:J1410" si="215">H1347*60+I1347</f>
        <v>848</v>
      </c>
      <c r="K1347">
        <f t="shared" ref="K1347:K1410" si="216">IF(I1347&gt;0,G1347*60+H1347+1,H1347+G1347*60)</f>
        <v>15</v>
      </c>
      <c r="L1347">
        <f t="shared" si="207"/>
        <v>444508</v>
      </c>
      <c r="M1347">
        <f t="shared" si="208"/>
        <v>137913</v>
      </c>
      <c r="N1347">
        <f t="shared" si="209"/>
        <v>630421</v>
      </c>
      <c r="O1347">
        <f>IF(B1347="zagraniczny",K1347+O1346,O1346)</f>
        <v>666</v>
      </c>
    </row>
    <row r="1348" spans="1:15" x14ac:dyDescent="0.25">
      <c r="A1348">
        <v>7288626</v>
      </c>
      <c r="B1348" t="str">
        <f t="shared" si="210"/>
        <v>stacjonarny</v>
      </c>
      <c r="C1348" s="1">
        <v>42936</v>
      </c>
      <c r="D1348" s="2">
        <v>0.43606481481481479</v>
      </c>
      <c r="E1348" s="2">
        <v>0.44609953703703703</v>
      </c>
      <c r="F1348" s="2">
        <f t="shared" si="211"/>
        <v>1.0034722222222237E-2</v>
      </c>
      <c r="G1348">
        <f t="shared" si="212"/>
        <v>0</v>
      </c>
      <c r="H1348">
        <f t="shared" si="213"/>
        <v>14</v>
      </c>
      <c r="I1348">
        <f t="shared" si="214"/>
        <v>27</v>
      </c>
      <c r="J1348">
        <f t="shared" si="215"/>
        <v>867</v>
      </c>
      <c r="K1348">
        <f t="shared" si="216"/>
        <v>15</v>
      </c>
      <c r="L1348">
        <f t="shared" ref="L1348:L1411" si="217">IF(B1348="stacjonarny",$J1348+L1347,L1347)</f>
        <v>445375</v>
      </c>
      <c r="M1348">
        <f t="shared" ref="M1348:M1411" si="218">IF(B1348="komorkowy",$J1348+M1347,M1347)</f>
        <v>137913</v>
      </c>
      <c r="N1348">
        <f t="shared" ref="N1348:N1411" si="219">IF(OR(B1348="stacjonarny",B1348="komorkowy"),J1348+N1347,N1347)</f>
        <v>631288</v>
      </c>
      <c r="O1348">
        <f>IF(B1348="zagraniczny",K1348+O1347,O1347)</f>
        <v>666</v>
      </c>
    </row>
    <row r="1349" spans="1:15" x14ac:dyDescent="0.25">
      <c r="A1349">
        <v>53117702</v>
      </c>
      <c r="B1349" t="str">
        <f t="shared" si="210"/>
        <v>komorkowy</v>
      </c>
      <c r="C1349" s="1">
        <v>42936</v>
      </c>
      <c r="D1349" s="2">
        <v>0.44170138888888888</v>
      </c>
      <c r="E1349" s="2">
        <v>0.44903935185185184</v>
      </c>
      <c r="F1349" s="2">
        <f t="shared" si="211"/>
        <v>7.3379629629629628E-3</v>
      </c>
      <c r="G1349">
        <f t="shared" si="212"/>
        <v>0</v>
      </c>
      <c r="H1349">
        <f t="shared" si="213"/>
        <v>10</v>
      </c>
      <c r="I1349">
        <f t="shared" si="214"/>
        <v>34</v>
      </c>
      <c r="J1349">
        <f t="shared" si="215"/>
        <v>634</v>
      </c>
      <c r="K1349">
        <f t="shared" si="216"/>
        <v>11</v>
      </c>
      <c r="L1349">
        <f t="shared" si="217"/>
        <v>445375</v>
      </c>
      <c r="M1349">
        <f t="shared" si="218"/>
        <v>138547</v>
      </c>
      <c r="N1349">
        <f t="shared" si="219"/>
        <v>631922</v>
      </c>
      <c r="O1349">
        <f>IF(B1349="zagraniczny",K1349+O1348,O1348)</f>
        <v>666</v>
      </c>
    </row>
    <row r="1350" spans="1:15" x14ac:dyDescent="0.25">
      <c r="A1350">
        <v>10201038</v>
      </c>
      <c r="B1350" t="str">
        <f t="shared" si="210"/>
        <v>komorkowy</v>
      </c>
      <c r="C1350" s="1">
        <v>42936</v>
      </c>
      <c r="D1350" s="2">
        <v>0.44615740740740739</v>
      </c>
      <c r="E1350" s="2">
        <v>0.45019675925925928</v>
      </c>
      <c r="F1350" s="2">
        <f t="shared" si="211"/>
        <v>4.0393518518518912E-3</v>
      </c>
      <c r="G1350">
        <f t="shared" si="212"/>
        <v>0</v>
      </c>
      <c r="H1350">
        <f t="shared" si="213"/>
        <v>5</v>
      </c>
      <c r="I1350">
        <f t="shared" si="214"/>
        <v>49</v>
      </c>
      <c r="J1350">
        <f t="shared" si="215"/>
        <v>349</v>
      </c>
      <c r="K1350">
        <f t="shared" si="216"/>
        <v>6</v>
      </c>
      <c r="L1350">
        <f t="shared" si="217"/>
        <v>445375</v>
      </c>
      <c r="M1350">
        <f t="shared" si="218"/>
        <v>138896</v>
      </c>
      <c r="N1350">
        <f t="shared" si="219"/>
        <v>632271</v>
      </c>
      <c r="O1350">
        <f>IF(B1350="zagraniczny",K1350+O1349,O1349)</f>
        <v>666</v>
      </c>
    </row>
    <row r="1351" spans="1:15" x14ac:dyDescent="0.25">
      <c r="A1351">
        <v>4738129</v>
      </c>
      <c r="B1351" t="str">
        <f t="shared" si="210"/>
        <v>stacjonarny</v>
      </c>
      <c r="C1351" s="1">
        <v>42936</v>
      </c>
      <c r="D1351" s="2">
        <v>0.4503935185185185</v>
      </c>
      <c r="E1351" s="2">
        <v>0.46037037037037037</v>
      </c>
      <c r="F1351" s="2">
        <f t="shared" si="211"/>
        <v>9.9768518518518756E-3</v>
      </c>
      <c r="G1351">
        <f t="shared" si="212"/>
        <v>0</v>
      </c>
      <c r="H1351">
        <f t="shared" si="213"/>
        <v>14</v>
      </c>
      <c r="I1351">
        <f t="shared" si="214"/>
        <v>22</v>
      </c>
      <c r="J1351">
        <f t="shared" si="215"/>
        <v>862</v>
      </c>
      <c r="K1351">
        <f t="shared" si="216"/>
        <v>15</v>
      </c>
      <c r="L1351">
        <f t="shared" si="217"/>
        <v>446237</v>
      </c>
      <c r="M1351">
        <f t="shared" si="218"/>
        <v>138896</v>
      </c>
      <c r="N1351">
        <f t="shared" si="219"/>
        <v>633133</v>
      </c>
      <c r="O1351">
        <f>IF(B1351="zagraniczny",K1351+O1350,O1350)</f>
        <v>666</v>
      </c>
    </row>
    <row r="1352" spans="1:15" x14ac:dyDescent="0.25">
      <c r="A1352">
        <v>3153023</v>
      </c>
      <c r="B1352" t="str">
        <f t="shared" si="210"/>
        <v>stacjonarny</v>
      </c>
      <c r="C1352" s="1">
        <v>42936</v>
      </c>
      <c r="D1352" s="2">
        <v>0.45503472222222224</v>
      </c>
      <c r="E1352" s="2">
        <v>0.45876157407407409</v>
      </c>
      <c r="F1352" s="2">
        <f t="shared" si="211"/>
        <v>3.7268518518518423E-3</v>
      </c>
      <c r="G1352">
        <f t="shared" si="212"/>
        <v>0</v>
      </c>
      <c r="H1352">
        <f t="shared" si="213"/>
        <v>5</v>
      </c>
      <c r="I1352">
        <f t="shared" si="214"/>
        <v>22</v>
      </c>
      <c r="J1352">
        <f t="shared" si="215"/>
        <v>322</v>
      </c>
      <c r="K1352">
        <f t="shared" si="216"/>
        <v>6</v>
      </c>
      <c r="L1352">
        <f t="shared" si="217"/>
        <v>446559</v>
      </c>
      <c r="M1352">
        <f t="shared" si="218"/>
        <v>138896</v>
      </c>
      <c r="N1352">
        <f t="shared" si="219"/>
        <v>633455</v>
      </c>
      <c r="O1352">
        <f>IF(B1352="zagraniczny",K1352+O1351,O1351)</f>
        <v>666</v>
      </c>
    </row>
    <row r="1353" spans="1:15" x14ac:dyDescent="0.25">
      <c r="A1353">
        <v>1747389</v>
      </c>
      <c r="B1353" t="str">
        <f t="shared" si="210"/>
        <v>stacjonarny</v>
      </c>
      <c r="C1353" s="1">
        <v>42936</v>
      </c>
      <c r="D1353" s="2">
        <v>0.45795138888888887</v>
      </c>
      <c r="E1353" s="2">
        <v>0.46004629629629629</v>
      </c>
      <c r="F1353" s="2">
        <f t="shared" si="211"/>
        <v>2.0949074074074203E-3</v>
      </c>
      <c r="G1353">
        <f t="shared" si="212"/>
        <v>0</v>
      </c>
      <c r="H1353">
        <f t="shared" si="213"/>
        <v>3</v>
      </c>
      <c r="I1353">
        <f t="shared" si="214"/>
        <v>1</v>
      </c>
      <c r="J1353">
        <f t="shared" si="215"/>
        <v>181</v>
      </c>
      <c r="K1353">
        <f t="shared" si="216"/>
        <v>4</v>
      </c>
      <c r="L1353">
        <f t="shared" si="217"/>
        <v>446740</v>
      </c>
      <c r="M1353">
        <f t="shared" si="218"/>
        <v>138896</v>
      </c>
      <c r="N1353">
        <f t="shared" si="219"/>
        <v>633636</v>
      </c>
      <c r="O1353">
        <f>IF(B1353="zagraniczny",K1353+O1352,O1352)</f>
        <v>666</v>
      </c>
    </row>
    <row r="1354" spans="1:15" x14ac:dyDescent="0.25">
      <c r="A1354">
        <v>5526425146</v>
      </c>
      <c r="B1354" t="str">
        <f t="shared" si="210"/>
        <v>zagraniczny</v>
      </c>
      <c r="C1354" s="1">
        <v>42936</v>
      </c>
      <c r="D1354" s="2">
        <v>0.46164351851851854</v>
      </c>
      <c r="E1354" s="2">
        <v>0.46197916666666666</v>
      </c>
      <c r="F1354" s="2">
        <f t="shared" si="211"/>
        <v>3.356481481481266E-4</v>
      </c>
      <c r="G1354">
        <f t="shared" si="212"/>
        <v>0</v>
      </c>
      <c r="H1354">
        <f t="shared" si="213"/>
        <v>0</v>
      </c>
      <c r="I1354">
        <f t="shared" si="214"/>
        <v>29</v>
      </c>
      <c r="J1354">
        <f t="shared" si="215"/>
        <v>29</v>
      </c>
      <c r="K1354">
        <f t="shared" si="216"/>
        <v>1</v>
      </c>
      <c r="L1354">
        <f t="shared" si="217"/>
        <v>446740</v>
      </c>
      <c r="M1354">
        <f t="shared" si="218"/>
        <v>138896</v>
      </c>
      <c r="N1354">
        <f t="shared" si="219"/>
        <v>633636</v>
      </c>
      <c r="O1354">
        <f>IF(B1354="zagraniczny",K1354+O1353,O1353)</f>
        <v>667</v>
      </c>
    </row>
    <row r="1355" spans="1:15" x14ac:dyDescent="0.25">
      <c r="A1355">
        <v>93050839</v>
      </c>
      <c r="B1355" t="str">
        <f t="shared" si="210"/>
        <v>komorkowy</v>
      </c>
      <c r="C1355" s="1">
        <v>42936</v>
      </c>
      <c r="D1355" s="2">
        <v>0.46225694444444443</v>
      </c>
      <c r="E1355" s="2">
        <v>0.46591435185185187</v>
      </c>
      <c r="F1355" s="2">
        <f t="shared" si="211"/>
        <v>3.6574074074074425E-3</v>
      </c>
      <c r="G1355">
        <f t="shared" si="212"/>
        <v>0</v>
      </c>
      <c r="H1355">
        <f t="shared" si="213"/>
        <v>5</v>
      </c>
      <c r="I1355">
        <f t="shared" si="214"/>
        <v>16</v>
      </c>
      <c r="J1355">
        <f t="shared" si="215"/>
        <v>316</v>
      </c>
      <c r="K1355">
        <f t="shared" si="216"/>
        <v>6</v>
      </c>
      <c r="L1355">
        <f t="shared" si="217"/>
        <v>446740</v>
      </c>
      <c r="M1355">
        <f t="shared" si="218"/>
        <v>139212</v>
      </c>
      <c r="N1355">
        <f t="shared" si="219"/>
        <v>633952</v>
      </c>
      <c r="O1355">
        <f>IF(B1355="zagraniczny",K1355+O1354,O1354)</f>
        <v>667</v>
      </c>
    </row>
    <row r="1356" spans="1:15" x14ac:dyDescent="0.25">
      <c r="A1356">
        <v>1288318920</v>
      </c>
      <c r="B1356" t="str">
        <f t="shared" si="210"/>
        <v>zagraniczny</v>
      </c>
      <c r="C1356" s="1">
        <v>42936</v>
      </c>
      <c r="D1356" s="2">
        <v>0.46606481481481482</v>
      </c>
      <c r="E1356" s="2">
        <v>0.47375</v>
      </c>
      <c r="F1356" s="2">
        <f t="shared" si="211"/>
        <v>7.6851851851851838E-3</v>
      </c>
      <c r="G1356">
        <f t="shared" si="212"/>
        <v>0</v>
      </c>
      <c r="H1356">
        <f t="shared" si="213"/>
        <v>11</v>
      </c>
      <c r="I1356">
        <f t="shared" si="214"/>
        <v>4</v>
      </c>
      <c r="J1356">
        <f t="shared" si="215"/>
        <v>664</v>
      </c>
      <c r="K1356">
        <f t="shared" si="216"/>
        <v>12</v>
      </c>
      <c r="L1356">
        <f t="shared" si="217"/>
        <v>446740</v>
      </c>
      <c r="M1356">
        <f t="shared" si="218"/>
        <v>139212</v>
      </c>
      <c r="N1356">
        <f t="shared" si="219"/>
        <v>633952</v>
      </c>
      <c r="O1356">
        <f>IF(B1356="zagraniczny",K1356+O1355,O1355)</f>
        <v>679</v>
      </c>
    </row>
    <row r="1357" spans="1:15" x14ac:dyDescent="0.25">
      <c r="A1357">
        <v>5613566</v>
      </c>
      <c r="B1357" t="str">
        <f t="shared" si="210"/>
        <v>stacjonarny</v>
      </c>
      <c r="C1357" s="1">
        <v>42936</v>
      </c>
      <c r="D1357" s="2">
        <v>0.47105324074074073</v>
      </c>
      <c r="E1357" s="2">
        <v>0.47146990740740741</v>
      </c>
      <c r="F1357" s="2">
        <f t="shared" si="211"/>
        <v>4.1666666666667629E-4</v>
      </c>
      <c r="G1357">
        <f t="shared" si="212"/>
        <v>0</v>
      </c>
      <c r="H1357">
        <f t="shared" si="213"/>
        <v>0</v>
      </c>
      <c r="I1357">
        <f t="shared" si="214"/>
        <v>36</v>
      </c>
      <c r="J1357">
        <f t="shared" si="215"/>
        <v>36</v>
      </c>
      <c r="K1357">
        <f t="shared" si="216"/>
        <v>1</v>
      </c>
      <c r="L1357">
        <f t="shared" si="217"/>
        <v>446776</v>
      </c>
      <c r="M1357">
        <f t="shared" si="218"/>
        <v>139212</v>
      </c>
      <c r="N1357">
        <f t="shared" si="219"/>
        <v>633988</v>
      </c>
      <c r="O1357">
        <f>IF(B1357="zagraniczny",K1357+O1356,O1356)</f>
        <v>679</v>
      </c>
    </row>
    <row r="1358" spans="1:15" x14ac:dyDescent="0.25">
      <c r="A1358">
        <v>2406196</v>
      </c>
      <c r="B1358" t="str">
        <f t="shared" si="210"/>
        <v>stacjonarny</v>
      </c>
      <c r="C1358" s="1">
        <v>42936</v>
      </c>
      <c r="D1358" s="2">
        <v>0.47244212962962961</v>
      </c>
      <c r="E1358" s="2">
        <v>0.48127314814814814</v>
      </c>
      <c r="F1358" s="2">
        <f t="shared" si="211"/>
        <v>8.8310185185185297E-3</v>
      </c>
      <c r="G1358">
        <f t="shared" si="212"/>
        <v>0</v>
      </c>
      <c r="H1358">
        <f t="shared" si="213"/>
        <v>12</v>
      </c>
      <c r="I1358">
        <f t="shared" si="214"/>
        <v>43</v>
      </c>
      <c r="J1358">
        <f t="shared" si="215"/>
        <v>763</v>
      </c>
      <c r="K1358">
        <f t="shared" si="216"/>
        <v>13</v>
      </c>
      <c r="L1358">
        <f t="shared" si="217"/>
        <v>447539</v>
      </c>
      <c r="M1358">
        <f t="shared" si="218"/>
        <v>139212</v>
      </c>
      <c r="N1358">
        <f t="shared" si="219"/>
        <v>634751</v>
      </c>
      <c r="O1358">
        <f>IF(B1358="zagraniczny",K1358+O1357,O1357)</f>
        <v>679</v>
      </c>
    </row>
    <row r="1359" spans="1:15" x14ac:dyDescent="0.25">
      <c r="A1359">
        <v>9046365</v>
      </c>
      <c r="B1359" t="str">
        <f t="shared" si="210"/>
        <v>stacjonarny</v>
      </c>
      <c r="C1359" s="1">
        <v>42936</v>
      </c>
      <c r="D1359" s="2">
        <v>0.47531250000000003</v>
      </c>
      <c r="E1359" s="2">
        <v>0.47684027777777777</v>
      </c>
      <c r="F1359" s="2">
        <f t="shared" si="211"/>
        <v>1.527777777777739E-3</v>
      </c>
      <c r="G1359">
        <f t="shared" si="212"/>
        <v>0</v>
      </c>
      <c r="H1359">
        <f t="shared" si="213"/>
        <v>2</v>
      </c>
      <c r="I1359">
        <f t="shared" si="214"/>
        <v>12</v>
      </c>
      <c r="J1359">
        <f t="shared" si="215"/>
        <v>132</v>
      </c>
      <c r="K1359">
        <f t="shared" si="216"/>
        <v>3</v>
      </c>
      <c r="L1359">
        <f t="shared" si="217"/>
        <v>447671</v>
      </c>
      <c r="M1359">
        <f t="shared" si="218"/>
        <v>139212</v>
      </c>
      <c r="N1359">
        <f t="shared" si="219"/>
        <v>634883</v>
      </c>
      <c r="O1359">
        <f>IF(B1359="zagraniczny",K1359+O1358,O1358)</f>
        <v>679</v>
      </c>
    </row>
    <row r="1360" spans="1:15" x14ac:dyDescent="0.25">
      <c r="A1360">
        <v>5019634</v>
      </c>
      <c r="B1360" t="str">
        <f t="shared" si="210"/>
        <v>stacjonarny</v>
      </c>
      <c r="C1360" s="1">
        <v>42936</v>
      </c>
      <c r="D1360" s="2">
        <v>0.48032407407407407</v>
      </c>
      <c r="E1360" s="2">
        <v>0.4916550925925926</v>
      </c>
      <c r="F1360" s="2">
        <f t="shared" si="211"/>
        <v>1.1331018518518532E-2</v>
      </c>
      <c r="G1360">
        <f t="shared" si="212"/>
        <v>0</v>
      </c>
      <c r="H1360">
        <f t="shared" si="213"/>
        <v>16</v>
      </c>
      <c r="I1360">
        <f t="shared" si="214"/>
        <v>19</v>
      </c>
      <c r="J1360">
        <f t="shared" si="215"/>
        <v>979</v>
      </c>
      <c r="K1360">
        <f t="shared" si="216"/>
        <v>17</v>
      </c>
      <c r="L1360">
        <f t="shared" si="217"/>
        <v>448650</v>
      </c>
      <c r="M1360">
        <f t="shared" si="218"/>
        <v>139212</v>
      </c>
      <c r="N1360">
        <f t="shared" si="219"/>
        <v>635862</v>
      </c>
      <c r="O1360">
        <f>IF(B1360="zagraniczny",K1360+O1359,O1359)</f>
        <v>679</v>
      </c>
    </row>
    <row r="1361" spans="1:15" x14ac:dyDescent="0.25">
      <c r="A1361">
        <v>90993861</v>
      </c>
      <c r="B1361" t="str">
        <f t="shared" si="210"/>
        <v>komorkowy</v>
      </c>
      <c r="C1361" s="1">
        <v>42936</v>
      </c>
      <c r="D1361" s="2">
        <v>0.48280092592592594</v>
      </c>
      <c r="E1361" s="2">
        <v>0.48798611111111112</v>
      </c>
      <c r="F1361" s="2">
        <f t="shared" si="211"/>
        <v>5.1851851851851816E-3</v>
      </c>
      <c r="G1361">
        <f t="shared" si="212"/>
        <v>0</v>
      </c>
      <c r="H1361">
        <f t="shared" si="213"/>
        <v>7</v>
      </c>
      <c r="I1361">
        <f t="shared" si="214"/>
        <v>28</v>
      </c>
      <c r="J1361">
        <f t="shared" si="215"/>
        <v>448</v>
      </c>
      <c r="K1361">
        <f t="shared" si="216"/>
        <v>8</v>
      </c>
      <c r="L1361">
        <f t="shared" si="217"/>
        <v>448650</v>
      </c>
      <c r="M1361">
        <f t="shared" si="218"/>
        <v>139660</v>
      </c>
      <c r="N1361">
        <f t="shared" si="219"/>
        <v>636310</v>
      </c>
      <c r="O1361">
        <f>IF(B1361="zagraniczny",K1361+O1360,O1360)</f>
        <v>679</v>
      </c>
    </row>
    <row r="1362" spans="1:15" x14ac:dyDescent="0.25">
      <c r="A1362">
        <v>4034491</v>
      </c>
      <c r="B1362" t="str">
        <f t="shared" si="210"/>
        <v>stacjonarny</v>
      </c>
      <c r="C1362" s="1">
        <v>42936</v>
      </c>
      <c r="D1362" s="2">
        <v>0.48813657407407407</v>
      </c>
      <c r="E1362" s="2">
        <v>0.49116898148148147</v>
      </c>
      <c r="F1362" s="2">
        <f t="shared" si="211"/>
        <v>3.0324074074074003E-3</v>
      </c>
      <c r="G1362">
        <f t="shared" si="212"/>
        <v>0</v>
      </c>
      <c r="H1362">
        <f t="shared" si="213"/>
        <v>4</v>
      </c>
      <c r="I1362">
        <f t="shared" si="214"/>
        <v>22</v>
      </c>
      <c r="J1362">
        <f t="shared" si="215"/>
        <v>262</v>
      </c>
      <c r="K1362">
        <f t="shared" si="216"/>
        <v>5</v>
      </c>
      <c r="L1362">
        <f t="shared" si="217"/>
        <v>448912</v>
      </c>
      <c r="M1362">
        <f t="shared" si="218"/>
        <v>139660</v>
      </c>
      <c r="N1362">
        <f t="shared" si="219"/>
        <v>636572</v>
      </c>
      <c r="O1362">
        <f>IF(B1362="zagraniczny",K1362+O1361,O1361)</f>
        <v>679</v>
      </c>
    </row>
    <row r="1363" spans="1:15" x14ac:dyDescent="0.25">
      <c r="A1363">
        <v>57395204</v>
      </c>
      <c r="B1363" t="str">
        <f t="shared" si="210"/>
        <v>komorkowy</v>
      </c>
      <c r="C1363" s="1">
        <v>42936</v>
      </c>
      <c r="D1363" s="2">
        <v>0.49015046296296294</v>
      </c>
      <c r="E1363" s="2">
        <v>0.49456018518518519</v>
      </c>
      <c r="F1363" s="2">
        <f t="shared" si="211"/>
        <v>4.4097222222222454E-3</v>
      </c>
      <c r="G1363">
        <f t="shared" si="212"/>
        <v>0</v>
      </c>
      <c r="H1363">
        <f t="shared" si="213"/>
        <v>6</v>
      </c>
      <c r="I1363">
        <f t="shared" si="214"/>
        <v>21</v>
      </c>
      <c r="J1363">
        <f t="shared" si="215"/>
        <v>381</v>
      </c>
      <c r="K1363">
        <f t="shared" si="216"/>
        <v>7</v>
      </c>
      <c r="L1363">
        <f t="shared" si="217"/>
        <v>448912</v>
      </c>
      <c r="M1363">
        <f t="shared" si="218"/>
        <v>140041</v>
      </c>
      <c r="N1363">
        <f t="shared" si="219"/>
        <v>636953</v>
      </c>
      <c r="O1363">
        <f>IF(B1363="zagraniczny",K1363+O1362,O1362)</f>
        <v>679</v>
      </c>
    </row>
    <row r="1364" spans="1:15" x14ac:dyDescent="0.25">
      <c r="A1364">
        <v>9156106</v>
      </c>
      <c r="B1364" t="str">
        <f t="shared" si="210"/>
        <v>stacjonarny</v>
      </c>
      <c r="C1364" s="1">
        <v>42936</v>
      </c>
      <c r="D1364" s="2">
        <v>0.49103009259259262</v>
      </c>
      <c r="E1364" s="2">
        <v>0.4937037037037037</v>
      </c>
      <c r="F1364" s="2">
        <f t="shared" si="211"/>
        <v>2.673611111111085E-3</v>
      </c>
      <c r="G1364">
        <f t="shared" si="212"/>
        <v>0</v>
      </c>
      <c r="H1364">
        <f t="shared" si="213"/>
        <v>3</v>
      </c>
      <c r="I1364">
        <f t="shared" si="214"/>
        <v>51</v>
      </c>
      <c r="J1364">
        <f t="shared" si="215"/>
        <v>231</v>
      </c>
      <c r="K1364">
        <f t="shared" si="216"/>
        <v>4</v>
      </c>
      <c r="L1364">
        <f t="shared" si="217"/>
        <v>449143</v>
      </c>
      <c r="M1364">
        <f t="shared" si="218"/>
        <v>140041</v>
      </c>
      <c r="N1364">
        <f t="shared" si="219"/>
        <v>637184</v>
      </c>
      <c r="O1364">
        <f>IF(B1364="zagraniczny",K1364+O1363,O1363)</f>
        <v>679</v>
      </c>
    </row>
    <row r="1365" spans="1:15" x14ac:dyDescent="0.25">
      <c r="A1365">
        <v>7076463</v>
      </c>
      <c r="B1365" t="str">
        <f t="shared" si="210"/>
        <v>stacjonarny</v>
      </c>
      <c r="C1365" s="1">
        <v>42936</v>
      </c>
      <c r="D1365" s="2">
        <v>0.49519675925925927</v>
      </c>
      <c r="E1365" s="2">
        <v>0.49532407407407408</v>
      </c>
      <c r="F1365" s="2">
        <f t="shared" si="211"/>
        <v>1.2731481481481621E-4</v>
      </c>
      <c r="G1365">
        <f t="shared" si="212"/>
        <v>0</v>
      </c>
      <c r="H1365">
        <f t="shared" si="213"/>
        <v>0</v>
      </c>
      <c r="I1365">
        <f t="shared" si="214"/>
        <v>11</v>
      </c>
      <c r="J1365">
        <f t="shared" si="215"/>
        <v>11</v>
      </c>
      <c r="K1365">
        <f t="shared" si="216"/>
        <v>1</v>
      </c>
      <c r="L1365">
        <f t="shared" si="217"/>
        <v>449154</v>
      </c>
      <c r="M1365">
        <f t="shared" si="218"/>
        <v>140041</v>
      </c>
      <c r="N1365">
        <f t="shared" si="219"/>
        <v>637195</v>
      </c>
      <c r="O1365">
        <f>IF(B1365="zagraniczny",K1365+O1364,O1364)</f>
        <v>679</v>
      </c>
    </row>
    <row r="1366" spans="1:15" x14ac:dyDescent="0.25">
      <c r="A1366">
        <v>3136675</v>
      </c>
      <c r="B1366" t="str">
        <f t="shared" si="210"/>
        <v>stacjonarny</v>
      </c>
      <c r="C1366" s="1">
        <v>42936</v>
      </c>
      <c r="D1366" s="2">
        <v>0.49833333333333335</v>
      </c>
      <c r="E1366" s="2">
        <v>0.50942129629629629</v>
      </c>
      <c r="F1366" s="2">
        <f t="shared" si="211"/>
        <v>1.1087962962962938E-2</v>
      </c>
      <c r="G1366">
        <f t="shared" si="212"/>
        <v>0</v>
      </c>
      <c r="H1366">
        <f t="shared" si="213"/>
        <v>15</v>
      </c>
      <c r="I1366">
        <f t="shared" si="214"/>
        <v>58</v>
      </c>
      <c r="J1366">
        <f t="shared" si="215"/>
        <v>958</v>
      </c>
      <c r="K1366">
        <f t="shared" si="216"/>
        <v>16</v>
      </c>
      <c r="L1366">
        <f t="shared" si="217"/>
        <v>450112</v>
      </c>
      <c r="M1366">
        <f t="shared" si="218"/>
        <v>140041</v>
      </c>
      <c r="N1366">
        <f t="shared" si="219"/>
        <v>638153</v>
      </c>
      <c r="O1366">
        <f>IF(B1366="zagraniczny",K1366+O1365,O1365)</f>
        <v>679</v>
      </c>
    </row>
    <row r="1367" spans="1:15" x14ac:dyDescent="0.25">
      <c r="A1367">
        <v>7826456</v>
      </c>
      <c r="B1367" t="str">
        <f t="shared" si="210"/>
        <v>stacjonarny</v>
      </c>
      <c r="C1367" s="1">
        <v>42936</v>
      </c>
      <c r="D1367" s="2">
        <v>0.50298611111111113</v>
      </c>
      <c r="E1367" s="2">
        <v>0.50312500000000004</v>
      </c>
      <c r="F1367" s="2">
        <f t="shared" si="211"/>
        <v>1.388888888889106E-4</v>
      </c>
      <c r="G1367">
        <f t="shared" si="212"/>
        <v>0</v>
      </c>
      <c r="H1367">
        <f t="shared" si="213"/>
        <v>0</v>
      </c>
      <c r="I1367">
        <f t="shared" si="214"/>
        <v>12</v>
      </c>
      <c r="J1367">
        <f t="shared" si="215"/>
        <v>12</v>
      </c>
      <c r="K1367">
        <f t="shared" si="216"/>
        <v>1</v>
      </c>
      <c r="L1367">
        <f t="shared" si="217"/>
        <v>450124</v>
      </c>
      <c r="M1367">
        <f t="shared" si="218"/>
        <v>140041</v>
      </c>
      <c r="N1367">
        <f t="shared" si="219"/>
        <v>638165</v>
      </c>
      <c r="O1367">
        <f>IF(B1367="zagraniczny",K1367+O1366,O1366)</f>
        <v>679</v>
      </c>
    </row>
    <row r="1368" spans="1:15" x14ac:dyDescent="0.25">
      <c r="A1368">
        <v>4094662</v>
      </c>
      <c r="B1368" t="str">
        <f t="shared" si="210"/>
        <v>stacjonarny</v>
      </c>
      <c r="C1368" s="1">
        <v>42936</v>
      </c>
      <c r="D1368" s="2">
        <v>0.50581018518518517</v>
      </c>
      <c r="E1368" s="2">
        <v>0.51442129629629629</v>
      </c>
      <c r="F1368" s="2">
        <f t="shared" si="211"/>
        <v>8.6111111111111249E-3</v>
      </c>
      <c r="G1368">
        <f t="shared" si="212"/>
        <v>0</v>
      </c>
      <c r="H1368">
        <f t="shared" si="213"/>
        <v>12</v>
      </c>
      <c r="I1368">
        <f t="shared" si="214"/>
        <v>24</v>
      </c>
      <c r="J1368">
        <f t="shared" si="215"/>
        <v>744</v>
      </c>
      <c r="K1368">
        <f t="shared" si="216"/>
        <v>13</v>
      </c>
      <c r="L1368">
        <f t="shared" si="217"/>
        <v>450868</v>
      </c>
      <c r="M1368">
        <f t="shared" si="218"/>
        <v>140041</v>
      </c>
      <c r="N1368">
        <f t="shared" si="219"/>
        <v>638909</v>
      </c>
      <c r="O1368">
        <f>IF(B1368="zagraniczny",K1368+O1367,O1367)</f>
        <v>679</v>
      </c>
    </row>
    <row r="1369" spans="1:15" x14ac:dyDescent="0.25">
      <c r="A1369">
        <v>3134379</v>
      </c>
      <c r="B1369" t="str">
        <f t="shared" si="210"/>
        <v>stacjonarny</v>
      </c>
      <c r="C1369" s="1">
        <v>42936</v>
      </c>
      <c r="D1369" s="2">
        <v>0.508275462962963</v>
      </c>
      <c r="E1369" s="2">
        <v>0.51652777777777781</v>
      </c>
      <c r="F1369" s="2">
        <f t="shared" si="211"/>
        <v>8.2523148148148096E-3</v>
      </c>
      <c r="G1369">
        <f t="shared" si="212"/>
        <v>0</v>
      </c>
      <c r="H1369">
        <f t="shared" si="213"/>
        <v>11</v>
      </c>
      <c r="I1369">
        <f t="shared" si="214"/>
        <v>53</v>
      </c>
      <c r="J1369">
        <f t="shared" si="215"/>
        <v>713</v>
      </c>
      <c r="K1369">
        <f t="shared" si="216"/>
        <v>12</v>
      </c>
      <c r="L1369">
        <f t="shared" si="217"/>
        <v>451581</v>
      </c>
      <c r="M1369">
        <f t="shared" si="218"/>
        <v>140041</v>
      </c>
      <c r="N1369">
        <f t="shared" si="219"/>
        <v>639622</v>
      </c>
      <c r="O1369">
        <f>IF(B1369="zagraniczny",K1369+O1368,O1368)</f>
        <v>679</v>
      </c>
    </row>
    <row r="1370" spans="1:15" x14ac:dyDescent="0.25">
      <c r="A1370">
        <v>1119016</v>
      </c>
      <c r="B1370" t="str">
        <f t="shared" si="210"/>
        <v>stacjonarny</v>
      </c>
      <c r="C1370" s="1">
        <v>42936</v>
      </c>
      <c r="D1370" s="2">
        <v>0.50880787037037034</v>
      </c>
      <c r="E1370" s="2">
        <v>0.51409722222222221</v>
      </c>
      <c r="F1370" s="2">
        <f t="shared" si="211"/>
        <v>5.2893518518518645E-3</v>
      </c>
      <c r="G1370">
        <f t="shared" si="212"/>
        <v>0</v>
      </c>
      <c r="H1370">
        <f t="shared" si="213"/>
        <v>7</v>
      </c>
      <c r="I1370">
        <f t="shared" si="214"/>
        <v>37</v>
      </c>
      <c r="J1370">
        <f t="shared" si="215"/>
        <v>457</v>
      </c>
      <c r="K1370">
        <f t="shared" si="216"/>
        <v>8</v>
      </c>
      <c r="L1370">
        <f t="shared" si="217"/>
        <v>452038</v>
      </c>
      <c r="M1370">
        <f t="shared" si="218"/>
        <v>140041</v>
      </c>
      <c r="N1370">
        <f t="shared" si="219"/>
        <v>640079</v>
      </c>
      <c r="O1370">
        <f>IF(B1370="zagraniczny",K1370+O1369,O1369)</f>
        <v>679</v>
      </c>
    </row>
    <row r="1371" spans="1:15" x14ac:dyDescent="0.25">
      <c r="A1371">
        <v>3539762</v>
      </c>
      <c r="B1371" t="str">
        <f t="shared" si="210"/>
        <v>stacjonarny</v>
      </c>
      <c r="C1371" s="1">
        <v>42936</v>
      </c>
      <c r="D1371" s="2">
        <v>0.51028935185185187</v>
      </c>
      <c r="E1371" s="2">
        <v>0.52089120370370368</v>
      </c>
      <c r="F1371" s="2">
        <f t="shared" si="211"/>
        <v>1.0601851851851807E-2</v>
      </c>
      <c r="G1371">
        <f t="shared" si="212"/>
        <v>0</v>
      </c>
      <c r="H1371">
        <f t="shared" si="213"/>
        <v>15</v>
      </c>
      <c r="I1371">
        <f t="shared" si="214"/>
        <v>16</v>
      </c>
      <c r="J1371">
        <f t="shared" si="215"/>
        <v>916</v>
      </c>
      <c r="K1371">
        <f t="shared" si="216"/>
        <v>16</v>
      </c>
      <c r="L1371">
        <f t="shared" si="217"/>
        <v>452954</v>
      </c>
      <c r="M1371">
        <f t="shared" si="218"/>
        <v>140041</v>
      </c>
      <c r="N1371">
        <f t="shared" si="219"/>
        <v>640995</v>
      </c>
      <c r="O1371">
        <f>IF(B1371="zagraniczny",K1371+O1370,O1370)</f>
        <v>679</v>
      </c>
    </row>
    <row r="1372" spans="1:15" x14ac:dyDescent="0.25">
      <c r="A1372">
        <v>28601187</v>
      </c>
      <c r="B1372" t="str">
        <f t="shared" si="210"/>
        <v>komorkowy</v>
      </c>
      <c r="C1372" s="1">
        <v>42936</v>
      </c>
      <c r="D1372" s="2">
        <v>0.51511574074074074</v>
      </c>
      <c r="E1372" s="2">
        <v>0.51787037037037043</v>
      </c>
      <c r="F1372" s="2">
        <f t="shared" si="211"/>
        <v>2.7546296296296902E-3</v>
      </c>
      <c r="G1372">
        <f t="shared" si="212"/>
        <v>0</v>
      </c>
      <c r="H1372">
        <f t="shared" si="213"/>
        <v>3</v>
      </c>
      <c r="I1372">
        <f t="shared" si="214"/>
        <v>58</v>
      </c>
      <c r="J1372">
        <f t="shared" si="215"/>
        <v>238</v>
      </c>
      <c r="K1372">
        <f t="shared" si="216"/>
        <v>4</v>
      </c>
      <c r="L1372">
        <f t="shared" si="217"/>
        <v>452954</v>
      </c>
      <c r="M1372">
        <f t="shared" si="218"/>
        <v>140279</v>
      </c>
      <c r="N1372">
        <f t="shared" si="219"/>
        <v>641233</v>
      </c>
      <c r="O1372">
        <f>IF(B1372="zagraniczny",K1372+O1371,O1371)</f>
        <v>679</v>
      </c>
    </row>
    <row r="1373" spans="1:15" x14ac:dyDescent="0.25">
      <c r="A1373">
        <v>2841969</v>
      </c>
      <c r="B1373" t="str">
        <f t="shared" si="210"/>
        <v>stacjonarny</v>
      </c>
      <c r="C1373" s="1">
        <v>42936</v>
      </c>
      <c r="D1373" s="2">
        <v>0.51512731481481477</v>
      </c>
      <c r="E1373" s="2">
        <v>0.51556712962962958</v>
      </c>
      <c r="F1373" s="2">
        <f t="shared" si="211"/>
        <v>4.3981481481480955E-4</v>
      </c>
      <c r="G1373">
        <f t="shared" si="212"/>
        <v>0</v>
      </c>
      <c r="H1373">
        <f t="shared" si="213"/>
        <v>0</v>
      </c>
      <c r="I1373">
        <f t="shared" si="214"/>
        <v>38</v>
      </c>
      <c r="J1373">
        <f t="shared" si="215"/>
        <v>38</v>
      </c>
      <c r="K1373">
        <f t="shared" si="216"/>
        <v>1</v>
      </c>
      <c r="L1373">
        <f t="shared" si="217"/>
        <v>452992</v>
      </c>
      <c r="M1373">
        <f t="shared" si="218"/>
        <v>140279</v>
      </c>
      <c r="N1373">
        <f t="shared" si="219"/>
        <v>641271</v>
      </c>
      <c r="O1373">
        <f>IF(B1373="zagraniczny",K1373+O1372,O1372)</f>
        <v>679</v>
      </c>
    </row>
    <row r="1374" spans="1:15" x14ac:dyDescent="0.25">
      <c r="A1374">
        <v>57957786</v>
      </c>
      <c r="B1374" t="str">
        <f t="shared" si="210"/>
        <v>komorkowy</v>
      </c>
      <c r="C1374" s="1">
        <v>42936</v>
      </c>
      <c r="D1374" s="2">
        <v>0.51928240740740739</v>
      </c>
      <c r="E1374" s="2">
        <v>0.53030092592592593</v>
      </c>
      <c r="F1374" s="2">
        <f t="shared" si="211"/>
        <v>1.1018518518518539E-2</v>
      </c>
      <c r="G1374">
        <f t="shared" si="212"/>
        <v>0</v>
      </c>
      <c r="H1374">
        <f t="shared" si="213"/>
        <v>15</v>
      </c>
      <c r="I1374">
        <f t="shared" si="214"/>
        <v>52</v>
      </c>
      <c r="J1374">
        <f t="shared" si="215"/>
        <v>952</v>
      </c>
      <c r="K1374">
        <f t="shared" si="216"/>
        <v>16</v>
      </c>
      <c r="L1374">
        <f t="shared" si="217"/>
        <v>452992</v>
      </c>
      <c r="M1374">
        <f t="shared" si="218"/>
        <v>141231</v>
      </c>
      <c r="N1374">
        <f t="shared" si="219"/>
        <v>642223</v>
      </c>
      <c r="O1374">
        <f>IF(B1374="zagraniczny",K1374+O1373,O1373)</f>
        <v>679</v>
      </c>
    </row>
    <row r="1375" spans="1:15" x14ac:dyDescent="0.25">
      <c r="A1375">
        <v>6068132</v>
      </c>
      <c r="B1375" t="str">
        <f t="shared" si="210"/>
        <v>stacjonarny</v>
      </c>
      <c r="C1375" s="1">
        <v>42936</v>
      </c>
      <c r="D1375" s="2">
        <v>0.52225694444444448</v>
      </c>
      <c r="E1375" s="2">
        <v>0.5236574074074074</v>
      </c>
      <c r="F1375" s="2">
        <f t="shared" si="211"/>
        <v>1.4004629629629228E-3</v>
      </c>
      <c r="G1375">
        <f t="shared" si="212"/>
        <v>0</v>
      </c>
      <c r="H1375">
        <f t="shared" si="213"/>
        <v>2</v>
      </c>
      <c r="I1375">
        <f t="shared" si="214"/>
        <v>1</v>
      </c>
      <c r="J1375">
        <f t="shared" si="215"/>
        <v>121</v>
      </c>
      <c r="K1375">
        <f t="shared" si="216"/>
        <v>3</v>
      </c>
      <c r="L1375">
        <f t="shared" si="217"/>
        <v>453113</v>
      </c>
      <c r="M1375">
        <f t="shared" si="218"/>
        <v>141231</v>
      </c>
      <c r="N1375">
        <f t="shared" si="219"/>
        <v>642344</v>
      </c>
      <c r="O1375">
        <f>IF(B1375="zagraniczny",K1375+O1374,O1374)</f>
        <v>679</v>
      </c>
    </row>
    <row r="1376" spans="1:15" x14ac:dyDescent="0.25">
      <c r="A1376">
        <v>8195842</v>
      </c>
      <c r="B1376" t="str">
        <f t="shared" si="210"/>
        <v>stacjonarny</v>
      </c>
      <c r="C1376" s="1">
        <v>42936</v>
      </c>
      <c r="D1376" s="2">
        <v>0.52240740740740743</v>
      </c>
      <c r="E1376" s="2">
        <v>0.53074074074074074</v>
      </c>
      <c r="F1376" s="2">
        <f t="shared" si="211"/>
        <v>8.3333333333333037E-3</v>
      </c>
      <c r="G1376">
        <f t="shared" si="212"/>
        <v>0</v>
      </c>
      <c r="H1376">
        <f t="shared" si="213"/>
        <v>12</v>
      </c>
      <c r="I1376">
        <f t="shared" si="214"/>
        <v>0</v>
      </c>
      <c r="J1376">
        <f t="shared" si="215"/>
        <v>720</v>
      </c>
      <c r="K1376">
        <f t="shared" si="216"/>
        <v>12</v>
      </c>
      <c r="L1376">
        <f t="shared" si="217"/>
        <v>453833</v>
      </c>
      <c r="M1376">
        <f t="shared" si="218"/>
        <v>141231</v>
      </c>
      <c r="N1376">
        <f t="shared" si="219"/>
        <v>643064</v>
      </c>
      <c r="O1376">
        <f>IF(B1376="zagraniczny",K1376+O1375,O1375)</f>
        <v>679</v>
      </c>
    </row>
    <row r="1377" spans="1:15" x14ac:dyDescent="0.25">
      <c r="A1377">
        <v>98737794</v>
      </c>
      <c r="B1377" t="str">
        <f t="shared" si="210"/>
        <v>komorkowy</v>
      </c>
      <c r="C1377" s="1">
        <v>42936</v>
      </c>
      <c r="D1377" s="2">
        <v>0.52379629629629632</v>
      </c>
      <c r="E1377" s="2">
        <v>0.52883101851851855</v>
      </c>
      <c r="F1377" s="2">
        <f t="shared" si="211"/>
        <v>5.0347222222222321E-3</v>
      </c>
      <c r="G1377">
        <f t="shared" si="212"/>
        <v>0</v>
      </c>
      <c r="H1377">
        <f t="shared" si="213"/>
        <v>7</v>
      </c>
      <c r="I1377">
        <f t="shared" si="214"/>
        <v>15</v>
      </c>
      <c r="J1377">
        <f t="shared" si="215"/>
        <v>435</v>
      </c>
      <c r="K1377">
        <f t="shared" si="216"/>
        <v>8</v>
      </c>
      <c r="L1377">
        <f t="shared" si="217"/>
        <v>453833</v>
      </c>
      <c r="M1377">
        <f t="shared" si="218"/>
        <v>141666</v>
      </c>
      <c r="N1377">
        <f t="shared" si="219"/>
        <v>643499</v>
      </c>
      <c r="O1377">
        <f>IF(B1377="zagraniczny",K1377+O1376,O1376)</f>
        <v>679</v>
      </c>
    </row>
    <row r="1378" spans="1:15" x14ac:dyDescent="0.25">
      <c r="A1378">
        <v>6523054</v>
      </c>
      <c r="B1378" t="str">
        <f t="shared" si="210"/>
        <v>stacjonarny</v>
      </c>
      <c r="C1378" s="1">
        <v>42936</v>
      </c>
      <c r="D1378" s="2">
        <v>0.52813657407407411</v>
      </c>
      <c r="E1378" s="2">
        <v>0.53877314814814814</v>
      </c>
      <c r="F1378" s="2">
        <f t="shared" si="211"/>
        <v>1.0636574074074034E-2</v>
      </c>
      <c r="G1378">
        <f t="shared" si="212"/>
        <v>0</v>
      </c>
      <c r="H1378">
        <f t="shared" si="213"/>
        <v>15</v>
      </c>
      <c r="I1378">
        <f t="shared" si="214"/>
        <v>19</v>
      </c>
      <c r="J1378">
        <f t="shared" si="215"/>
        <v>919</v>
      </c>
      <c r="K1378">
        <f t="shared" si="216"/>
        <v>16</v>
      </c>
      <c r="L1378">
        <f t="shared" si="217"/>
        <v>454752</v>
      </c>
      <c r="M1378">
        <f t="shared" si="218"/>
        <v>141666</v>
      </c>
      <c r="N1378">
        <f t="shared" si="219"/>
        <v>644418</v>
      </c>
      <c r="O1378">
        <f>IF(B1378="zagraniczny",K1378+O1377,O1377)</f>
        <v>679</v>
      </c>
    </row>
    <row r="1379" spans="1:15" x14ac:dyDescent="0.25">
      <c r="A1379">
        <v>26895957</v>
      </c>
      <c r="B1379" t="str">
        <f t="shared" si="210"/>
        <v>komorkowy</v>
      </c>
      <c r="C1379" s="1">
        <v>42936</v>
      </c>
      <c r="D1379" s="2">
        <v>0.53083333333333338</v>
      </c>
      <c r="E1379" s="2">
        <v>0.53511574074074075</v>
      </c>
      <c r="F1379" s="2">
        <f t="shared" si="211"/>
        <v>4.2824074074073737E-3</v>
      </c>
      <c r="G1379">
        <f t="shared" si="212"/>
        <v>0</v>
      </c>
      <c r="H1379">
        <f t="shared" si="213"/>
        <v>6</v>
      </c>
      <c r="I1379">
        <f t="shared" si="214"/>
        <v>10</v>
      </c>
      <c r="J1379">
        <f t="shared" si="215"/>
        <v>370</v>
      </c>
      <c r="K1379">
        <f t="shared" si="216"/>
        <v>7</v>
      </c>
      <c r="L1379">
        <f t="shared" si="217"/>
        <v>454752</v>
      </c>
      <c r="M1379">
        <f t="shared" si="218"/>
        <v>142036</v>
      </c>
      <c r="N1379">
        <f t="shared" si="219"/>
        <v>644788</v>
      </c>
      <c r="O1379">
        <f>IF(B1379="zagraniczny",K1379+O1378,O1378)</f>
        <v>679</v>
      </c>
    </row>
    <row r="1380" spans="1:15" x14ac:dyDescent="0.25">
      <c r="A1380">
        <v>5254694</v>
      </c>
      <c r="B1380" t="str">
        <f t="shared" si="210"/>
        <v>stacjonarny</v>
      </c>
      <c r="C1380" s="1">
        <v>42936</v>
      </c>
      <c r="D1380" s="2">
        <v>0.5330555555555555</v>
      </c>
      <c r="E1380" s="2">
        <v>0.54049768518518515</v>
      </c>
      <c r="F1380" s="2">
        <f t="shared" si="211"/>
        <v>7.4421296296296457E-3</v>
      </c>
      <c r="G1380">
        <f t="shared" si="212"/>
        <v>0</v>
      </c>
      <c r="H1380">
        <f t="shared" si="213"/>
        <v>10</v>
      </c>
      <c r="I1380">
        <f t="shared" si="214"/>
        <v>43</v>
      </c>
      <c r="J1380">
        <f t="shared" si="215"/>
        <v>643</v>
      </c>
      <c r="K1380">
        <f t="shared" si="216"/>
        <v>11</v>
      </c>
      <c r="L1380">
        <f t="shared" si="217"/>
        <v>455395</v>
      </c>
      <c r="M1380">
        <f t="shared" si="218"/>
        <v>142036</v>
      </c>
      <c r="N1380">
        <f t="shared" si="219"/>
        <v>645431</v>
      </c>
      <c r="O1380">
        <f>IF(B1380="zagraniczny",K1380+O1379,O1379)</f>
        <v>679</v>
      </c>
    </row>
    <row r="1381" spans="1:15" x14ac:dyDescent="0.25">
      <c r="A1381">
        <v>3979680</v>
      </c>
      <c r="B1381" t="str">
        <f t="shared" si="210"/>
        <v>stacjonarny</v>
      </c>
      <c r="C1381" s="1">
        <v>42936</v>
      </c>
      <c r="D1381" s="2">
        <v>0.53820601851851857</v>
      </c>
      <c r="E1381" s="2">
        <v>0.54369212962962965</v>
      </c>
      <c r="F1381" s="2">
        <f t="shared" si="211"/>
        <v>5.4861111111110805E-3</v>
      </c>
      <c r="G1381">
        <f t="shared" si="212"/>
        <v>0</v>
      </c>
      <c r="H1381">
        <f t="shared" si="213"/>
        <v>7</v>
      </c>
      <c r="I1381">
        <f t="shared" si="214"/>
        <v>54</v>
      </c>
      <c r="J1381">
        <f t="shared" si="215"/>
        <v>474</v>
      </c>
      <c r="K1381">
        <f t="shared" si="216"/>
        <v>8</v>
      </c>
      <c r="L1381">
        <f t="shared" si="217"/>
        <v>455869</v>
      </c>
      <c r="M1381">
        <f t="shared" si="218"/>
        <v>142036</v>
      </c>
      <c r="N1381">
        <f t="shared" si="219"/>
        <v>645905</v>
      </c>
      <c r="O1381">
        <f>IF(B1381="zagraniczny",K1381+O1380,O1380)</f>
        <v>679</v>
      </c>
    </row>
    <row r="1382" spans="1:15" x14ac:dyDescent="0.25">
      <c r="A1382">
        <v>96424596</v>
      </c>
      <c r="B1382" t="str">
        <f t="shared" si="210"/>
        <v>komorkowy</v>
      </c>
      <c r="C1382" s="1">
        <v>42936</v>
      </c>
      <c r="D1382" s="2">
        <v>0.53964120370370372</v>
      </c>
      <c r="E1382" s="2">
        <v>0.54423611111111114</v>
      </c>
      <c r="F1382" s="2">
        <f t="shared" si="211"/>
        <v>4.5949074074074225E-3</v>
      </c>
      <c r="G1382">
        <f t="shared" si="212"/>
        <v>0</v>
      </c>
      <c r="H1382">
        <f t="shared" si="213"/>
        <v>6</v>
      </c>
      <c r="I1382">
        <f t="shared" si="214"/>
        <v>37</v>
      </c>
      <c r="J1382">
        <f t="shared" si="215"/>
        <v>397</v>
      </c>
      <c r="K1382">
        <f t="shared" si="216"/>
        <v>7</v>
      </c>
      <c r="L1382">
        <f t="shared" si="217"/>
        <v>455869</v>
      </c>
      <c r="M1382">
        <f t="shared" si="218"/>
        <v>142433</v>
      </c>
      <c r="N1382">
        <f t="shared" si="219"/>
        <v>646302</v>
      </c>
      <c r="O1382">
        <f>IF(B1382="zagraniczny",K1382+O1381,O1381)</f>
        <v>679</v>
      </c>
    </row>
    <row r="1383" spans="1:15" x14ac:dyDescent="0.25">
      <c r="A1383">
        <v>4923459</v>
      </c>
      <c r="B1383" t="str">
        <f t="shared" si="210"/>
        <v>stacjonarny</v>
      </c>
      <c r="C1383" s="1">
        <v>42936</v>
      </c>
      <c r="D1383" s="2">
        <v>0.54450231481481481</v>
      </c>
      <c r="E1383" s="2">
        <v>0.55406250000000001</v>
      </c>
      <c r="F1383" s="2">
        <f t="shared" si="211"/>
        <v>9.5601851851851993E-3</v>
      </c>
      <c r="G1383">
        <f t="shared" si="212"/>
        <v>0</v>
      </c>
      <c r="H1383">
        <f t="shared" si="213"/>
        <v>13</v>
      </c>
      <c r="I1383">
        <f t="shared" si="214"/>
        <v>46</v>
      </c>
      <c r="J1383">
        <f t="shared" si="215"/>
        <v>826</v>
      </c>
      <c r="K1383">
        <f t="shared" si="216"/>
        <v>14</v>
      </c>
      <c r="L1383">
        <f t="shared" si="217"/>
        <v>456695</v>
      </c>
      <c r="M1383">
        <f t="shared" si="218"/>
        <v>142433</v>
      </c>
      <c r="N1383">
        <f t="shared" si="219"/>
        <v>647128</v>
      </c>
      <c r="O1383">
        <f>IF(B1383="zagraniczny",K1383+O1382,O1382)</f>
        <v>679</v>
      </c>
    </row>
    <row r="1384" spans="1:15" x14ac:dyDescent="0.25">
      <c r="A1384">
        <v>6719542</v>
      </c>
      <c r="B1384" t="str">
        <f t="shared" si="210"/>
        <v>stacjonarny</v>
      </c>
      <c r="C1384" s="1">
        <v>42936</v>
      </c>
      <c r="D1384" s="2">
        <v>0.54556712962962961</v>
      </c>
      <c r="E1384" s="2">
        <v>0.54894675925925929</v>
      </c>
      <c r="F1384" s="2">
        <f t="shared" si="211"/>
        <v>3.3796296296296768E-3</v>
      </c>
      <c r="G1384">
        <f t="shared" si="212"/>
        <v>0</v>
      </c>
      <c r="H1384">
        <f t="shared" si="213"/>
        <v>4</v>
      </c>
      <c r="I1384">
        <f t="shared" si="214"/>
        <v>52</v>
      </c>
      <c r="J1384">
        <f t="shared" si="215"/>
        <v>292</v>
      </c>
      <c r="K1384">
        <f t="shared" si="216"/>
        <v>5</v>
      </c>
      <c r="L1384">
        <f t="shared" si="217"/>
        <v>456987</v>
      </c>
      <c r="M1384">
        <f t="shared" si="218"/>
        <v>142433</v>
      </c>
      <c r="N1384">
        <f t="shared" si="219"/>
        <v>647420</v>
      </c>
      <c r="O1384">
        <f>IF(B1384="zagraniczny",K1384+O1383,O1383)</f>
        <v>679</v>
      </c>
    </row>
    <row r="1385" spans="1:15" x14ac:dyDescent="0.25">
      <c r="A1385">
        <v>81218024</v>
      </c>
      <c r="B1385" t="str">
        <f t="shared" si="210"/>
        <v>komorkowy</v>
      </c>
      <c r="C1385" s="1">
        <v>42936</v>
      </c>
      <c r="D1385" s="2">
        <v>0.54946759259259259</v>
      </c>
      <c r="E1385" s="2">
        <v>0.55583333333333329</v>
      </c>
      <c r="F1385" s="2">
        <f t="shared" si="211"/>
        <v>6.3657407407406996E-3</v>
      </c>
      <c r="G1385">
        <f t="shared" si="212"/>
        <v>0</v>
      </c>
      <c r="H1385">
        <f t="shared" si="213"/>
        <v>9</v>
      </c>
      <c r="I1385">
        <f t="shared" si="214"/>
        <v>10</v>
      </c>
      <c r="J1385">
        <f t="shared" si="215"/>
        <v>550</v>
      </c>
      <c r="K1385">
        <f t="shared" si="216"/>
        <v>10</v>
      </c>
      <c r="L1385">
        <f t="shared" si="217"/>
        <v>456987</v>
      </c>
      <c r="M1385">
        <f t="shared" si="218"/>
        <v>142983</v>
      </c>
      <c r="N1385">
        <f t="shared" si="219"/>
        <v>647970</v>
      </c>
      <c r="O1385">
        <f>IF(B1385="zagraniczny",K1385+O1384,O1384)</f>
        <v>679</v>
      </c>
    </row>
    <row r="1386" spans="1:15" x14ac:dyDescent="0.25">
      <c r="A1386">
        <v>6552755</v>
      </c>
      <c r="B1386" t="str">
        <f t="shared" si="210"/>
        <v>stacjonarny</v>
      </c>
      <c r="C1386" s="1">
        <v>42936</v>
      </c>
      <c r="D1386" s="2">
        <v>0.55306712962962967</v>
      </c>
      <c r="E1386" s="2">
        <v>0.56304398148148149</v>
      </c>
      <c r="F1386" s="2">
        <f t="shared" si="211"/>
        <v>9.9768518518518201E-3</v>
      </c>
      <c r="G1386">
        <f t="shared" si="212"/>
        <v>0</v>
      </c>
      <c r="H1386">
        <f t="shared" si="213"/>
        <v>14</v>
      </c>
      <c r="I1386">
        <f t="shared" si="214"/>
        <v>22</v>
      </c>
      <c r="J1386">
        <f t="shared" si="215"/>
        <v>862</v>
      </c>
      <c r="K1386">
        <f t="shared" si="216"/>
        <v>15</v>
      </c>
      <c r="L1386">
        <f t="shared" si="217"/>
        <v>457849</v>
      </c>
      <c r="M1386">
        <f t="shared" si="218"/>
        <v>142983</v>
      </c>
      <c r="N1386">
        <f t="shared" si="219"/>
        <v>648832</v>
      </c>
      <c r="O1386">
        <f>IF(B1386="zagraniczny",K1386+O1385,O1385)</f>
        <v>679</v>
      </c>
    </row>
    <row r="1387" spans="1:15" x14ac:dyDescent="0.25">
      <c r="A1387">
        <v>44017210</v>
      </c>
      <c r="B1387" t="str">
        <f t="shared" si="210"/>
        <v>komorkowy</v>
      </c>
      <c r="C1387" s="1">
        <v>42936</v>
      </c>
      <c r="D1387" s="2">
        <v>0.55476851851851849</v>
      </c>
      <c r="E1387" s="2">
        <v>0.56596064814814817</v>
      </c>
      <c r="F1387" s="2">
        <f t="shared" si="211"/>
        <v>1.1192129629629677E-2</v>
      </c>
      <c r="G1387">
        <f t="shared" si="212"/>
        <v>0</v>
      </c>
      <c r="H1387">
        <f t="shared" si="213"/>
        <v>16</v>
      </c>
      <c r="I1387">
        <f t="shared" si="214"/>
        <v>7</v>
      </c>
      <c r="J1387">
        <f t="shared" si="215"/>
        <v>967</v>
      </c>
      <c r="K1387">
        <f t="shared" si="216"/>
        <v>17</v>
      </c>
      <c r="L1387">
        <f t="shared" si="217"/>
        <v>457849</v>
      </c>
      <c r="M1387">
        <f t="shared" si="218"/>
        <v>143950</v>
      </c>
      <c r="N1387">
        <f t="shared" si="219"/>
        <v>649799</v>
      </c>
      <c r="O1387">
        <f>IF(B1387="zagraniczny",K1387+O1386,O1386)</f>
        <v>679</v>
      </c>
    </row>
    <row r="1388" spans="1:15" x14ac:dyDescent="0.25">
      <c r="A1388">
        <v>8679036</v>
      </c>
      <c r="B1388" t="str">
        <f t="shared" si="210"/>
        <v>stacjonarny</v>
      </c>
      <c r="C1388" s="1">
        <v>42936</v>
      </c>
      <c r="D1388" s="2">
        <v>0.55827546296296293</v>
      </c>
      <c r="E1388" s="2">
        <v>0.55864583333333329</v>
      </c>
      <c r="F1388" s="2">
        <f t="shared" si="211"/>
        <v>3.7037037037035425E-4</v>
      </c>
      <c r="G1388">
        <f t="shared" si="212"/>
        <v>0</v>
      </c>
      <c r="H1388">
        <f t="shared" si="213"/>
        <v>0</v>
      </c>
      <c r="I1388">
        <f t="shared" si="214"/>
        <v>32</v>
      </c>
      <c r="J1388">
        <f t="shared" si="215"/>
        <v>32</v>
      </c>
      <c r="K1388">
        <f t="shared" si="216"/>
        <v>1</v>
      </c>
      <c r="L1388">
        <f t="shared" si="217"/>
        <v>457881</v>
      </c>
      <c r="M1388">
        <f t="shared" si="218"/>
        <v>143950</v>
      </c>
      <c r="N1388">
        <f t="shared" si="219"/>
        <v>649831</v>
      </c>
      <c r="O1388">
        <f>IF(B1388="zagraniczny",K1388+O1387,O1387)</f>
        <v>679</v>
      </c>
    </row>
    <row r="1389" spans="1:15" x14ac:dyDescent="0.25">
      <c r="A1389">
        <v>64733982</v>
      </c>
      <c r="B1389" t="str">
        <f t="shared" si="210"/>
        <v>komorkowy</v>
      </c>
      <c r="C1389" s="1">
        <v>42936</v>
      </c>
      <c r="D1389" s="2">
        <v>0.56180555555555556</v>
      </c>
      <c r="E1389" s="2">
        <v>0.56400462962962961</v>
      </c>
      <c r="F1389" s="2">
        <f t="shared" si="211"/>
        <v>2.1990740740740478E-3</v>
      </c>
      <c r="G1389">
        <f t="shared" si="212"/>
        <v>0</v>
      </c>
      <c r="H1389">
        <f t="shared" si="213"/>
        <v>3</v>
      </c>
      <c r="I1389">
        <f t="shared" si="214"/>
        <v>10</v>
      </c>
      <c r="J1389">
        <f t="shared" si="215"/>
        <v>190</v>
      </c>
      <c r="K1389">
        <f t="shared" si="216"/>
        <v>4</v>
      </c>
      <c r="L1389">
        <f t="shared" si="217"/>
        <v>457881</v>
      </c>
      <c r="M1389">
        <f t="shared" si="218"/>
        <v>144140</v>
      </c>
      <c r="N1389">
        <f t="shared" si="219"/>
        <v>650021</v>
      </c>
      <c r="O1389">
        <f>IF(B1389="zagraniczny",K1389+O1388,O1388)</f>
        <v>679</v>
      </c>
    </row>
    <row r="1390" spans="1:15" x14ac:dyDescent="0.25">
      <c r="A1390">
        <v>2289072</v>
      </c>
      <c r="B1390" t="str">
        <f t="shared" si="210"/>
        <v>stacjonarny</v>
      </c>
      <c r="C1390" s="1">
        <v>42936</v>
      </c>
      <c r="D1390" s="2">
        <v>0.56320601851851848</v>
      </c>
      <c r="E1390" s="2">
        <v>0.57020833333333332</v>
      </c>
      <c r="F1390" s="2">
        <f t="shared" si="211"/>
        <v>7.0023148148148362E-3</v>
      </c>
      <c r="G1390">
        <f t="shared" si="212"/>
        <v>0</v>
      </c>
      <c r="H1390">
        <f t="shared" si="213"/>
        <v>10</v>
      </c>
      <c r="I1390">
        <f t="shared" si="214"/>
        <v>5</v>
      </c>
      <c r="J1390">
        <f t="shared" si="215"/>
        <v>605</v>
      </c>
      <c r="K1390">
        <f t="shared" si="216"/>
        <v>11</v>
      </c>
      <c r="L1390">
        <f t="shared" si="217"/>
        <v>458486</v>
      </c>
      <c r="M1390">
        <f t="shared" si="218"/>
        <v>144140</v>
      </c>
      <c r="N1390">
        <f t="shared" si="219"/>
        <v>650626</v>
      </c>
      <c r="O1390">
        <f>IF(B1390="zagraniczny",K1390+O1389,O1389)</f>
        <v>679</v>
      </c>
    </row>
    <row r="1391" spans="1:15" x14ac:dyDescent="0.25">
      <c r="A1391">
        <v>71730854</v>
      </c>
      <c r="B1391" t="str">
        <f t="shared" si="210"/>
        <v>komorkowy</v>
      </c>
      <c r="C1391" s="1">
        <v>42936</v>
      </c>
      <c r="D1391" s="2">
        <v>0.56537037037037041</v>
      </c>
      <c r="E1391" s="2">
        <v>0.57611111111111113</v>
      </c>
      <c r="F1391" s="2">
        <f t="shared" si="211"/>
        <v>1.0740740740740717E-2</v>
      </c>
      <c r="G1391">
        <f t="shared" si="212"/>
        <v>0</v>
      </c>
      <c r="H1391">
        <f t="shared" si="213"/>
        <v>15</v>
      </c>
      <c r="I1391">
        <f t="shared" si="214"/>
        <v>28</v>
      </c>
      <c r="J1391">
        <f t="shared" si="215"/>
        <v>928</v>
      </c>
      <c r="K1391">
        <f t="shared" si="216"/>
        <v>16</v>
      </c>
      <c r="L1391">
        <f t="shared" si="217"/>
        <v>458486</v>
      </c>
      <c r="M1391">
        <f t="shared" si="218"/>
        <v>145068</v>
      </c>
      <c r="N1391">
        <f t="shared" si="219"/>
        <v>651554</v>
      </c>
      <c r="O1391">
        <f>IF(B1391="zagraniczny",K1391+O1390,O1390)</f>
        <v>679</v>
      </c>
    </row>
    <row r="1392" spans="1:15" x14ac:dyDescent="0.25">
      <c r="A1392">
        <v>3757504</v>
      </c>
      <c r="B1392" t="str">
        <f t="shared" si="210"/>
        <v>stacjonarny</v>
      </c>
      <c r="C1392" s="1">
        <v>42936</v>
      </c>
      <c r="D1392" s="2">
        <v>0.57105324074074071</v>
      </c>
      <c r="E1392" s="2">
        <v>0.57465277777777779</v>
      </c>
      <c r="F1392" s="2">
        <f t="shared" si="211"/>
        <v>3.5995370370370816E-3</v>
      </c>
      <c r="G1392">
        <f t="shared" si="212"/>
        <v>0</v>
      </c>
      <c r="H1392">
        <f t="shared" si="213"/>
        <v>5</v>
      </c>
      <c r="I1392">
        <f t="shared" si="214"/>
        <v>11</v>
      </c>
      <c r="J1392">
        <f t="shared" si="215"/>
        <v>311</v>
      </c>
      <c r="K1392">
        <f t="shared" si="216"/>
        <v>6</v>
      </c>
      <c r="L1392">
        <f t="shared" si="217"/>
        <v>458797</v>
      </c>
      <c r="M1392">
        <f t="shared" si="218"/>
        <v>145068</v>
      </c>
      <c r="N1392">
        <f t="shared" si="219"/>
        <v>651865</v>
      </c>
      <c r="O1392">
        <f>IF(B1392="zagraniczny",K1392+O1391,O1391)</f>
        <v>679</v>
      </c>
    </row>
    <row r="1393" spans="1:15" x14ac:dyDescent="0.25">
      <c r="A1393">
        <v>8501225</v>
      </c>
      <c r="B1393" t="str">
        <f t="shared" si="210"/>
        <v>stacjonarny</v>
      </c>
      <c r="C1393" s="1">
        <v>42936</v>
      </c>
      <c r="D1393" s="2">
        <v>0.57517361111111109</v>
      </c>
      <c r="E1393" s="2">
        <v>0.57784722222222218</v>
      </c>
      <c r="F1393" s="2">
        <f t="shared" si="211"/>
        <v>2.673611111111085E-3</v>
      </c>
      <c r="G1393">
        <f t="shared" si="212"/>
        <v>0</v>
      </c>
      <c r="H1393">
        <f t="shared" si="213"/>
        <v>3</v>
      </c>
      <c r="I1393">
        <f t="shared" si="214"/>
        <v>51</v>
      </c>
      <c r="J1393">
        <f t="shared" si="215"/>
        <v>231</v>
      </c>
      <c r="K1393">
        <f t="shared" si="216"/>
        <v>4</v>
      </c>
      <c r="L1393">
        <f t="shared" si="217"/>
        <v>459028</v>
      </c>
      <c r="M1393">
        <f t="shared" si="218"/>
        <v>145068</v>
      </c>
      <c r="N1393">
        <f t="shared" si="219"/>
        <v>652096</v>
      </c>
      <c r="O1393">
        <f>IF(B1393="zagraniczny",K1393+O1392,O1392)</f>
        <v>679</v>
      </c>
    </row>
    <row r="1394" spans="1:15" x14ac:dyDescent="0.25">
      <c r="A1394">
        <v>3704193</v>
      </c>
      <c r="B1394" t="str">
        <f t="shared" si="210"/>
        <v>stacjonarny</v>
      </c>
      <c r="C1394" s="1">
        <v>42936</v>
      </c>
      <c r="D1394" s="2">
        <v>0.57671296296296293</v>
      </c>
      <c r="E1394" s="2">
        <v>0.58539351851851851</v>
      </c>
      <c r="F1394" s="2">
        <f t="shared" si="211"/>
        <v>8.6805555555555802E-3</v>
      </c>
      <c r="G1394">
        <f t="shared" si="212"/>
        <v>0</v>
      </c>
      <c r="H1394">
        <f t="shared" si="213"/>
        <v>12</v>
      </c>
      <c r="I1394">
        <f t="shared" si="214"/>
        <v>30</v>
      </c>
      <c r="J1394">
        <f t="shared" si="215"/>
        <v>750</v>
      </c>
      <c r="K1394">
        <f t="shared" si="216"/>
        <v>13</v>
      </c>
      <c r="L1394">
        <f t="shared" si="217"/>
        <v>459778</v>
      </c>
      <c r="M1394">
        <f t="shared" si="218"/>
        <v>145068</v>
      </c>
      <c r="N1394">
        <f t="shared" si="219"/>
        <v>652846</v>
      </c>
      <c r="O1394">
        <f>IF(B1394="zagraniczny",K1394+O1393,O1393)</f>
        <v>679</v>
      </c>
    </row>
    <row r="1395" spans="1:15" x14ac:dyDescent="0.25">
      <c r="A1395">
        <v>4577789</v>
      </c>
      <c r="B1395" t="str">
        <f t="shared" si="210"/>
        <v>stacjonarny</v>
      </c>
      <c r="C1395" s="1">
        <v>42936</v>
      </c>
      <c r="D1395" s="2">
        <v>0.57781249999999995</v>
      </c>
      <c r="E1395" s="2">
        <v>0.57953703703703707</v>
      </c>
      <c r="F1395" s="2">
        <f t="shared" si="211"/>
        <v>1.7245370370371216E-3</v>
      </c>
      <c r="G1395">
        <f t="shared" si="212"/>
        <v>0</v>
      </c>
      <c r="H1395">
        <f t="shared" si="213"/>
        <v>2</v>
      </c>
      <c r="I1395">
        <f t="shared" si="214"/>
        <v>29</v>
      </c>
      <c r="J1395">
        <f t="shared" si="215"/>
        <v>149</v>
      </c>
      <c r="K1395">
        <f t="shared" si="216"/>
        <v>3</v>
      </c>
      <c r="L1395">
        <f t="shared" si="217"/>
        <v>459927</v>
      </c>
      <c r="M1395">
        <f t="shared" si="218"/>
        <v>145068</v>
      </c>
      <c r="N1395">
        <f t="shared" si="219"/>
        <v>652995</v>
      </c>
      <c r="O1395">
        <f>IF(B1395="zagraniczny",K1395+O1394,O1394)</f>
        <v>679</v>
      </c>
    </row>
    <row r="1396" spans="1:15" x14ac:dyDescent="0.25">
      <c r="A1396">
        <v>5730350</v>
      </c>
      <c r="B1396" t="str">
        <f t="shared" si="210"/>
        <v>stacjonarny</v>
      </c>
      <c r="C1396" s="1">
        <v>42936</v>
      </c>
      <c r="D1396" s="2">
        <v>0.58206018518518521</v>
      </c>
      <c r="E1396" s="2">
        <v>0.59037037037037032</v>
      </c>
      <c r="F1396" s="2">
        <f t="shared" si="211"/>
        <v>8.310185185185115E-3</v>
      </c>
      <c r="G1396">
        <f t="shared" si="212"/>
        <v>0</v>
      </c>
      <c r="H1396">
        <f t="shared" si="213"/>
        <v>11</v>
      </c>
      <c r="I1396">
        <f t="shared" si="214"/>
        <v>58</v>
      </c>
      <c r="J1396">
        <f t="shared" si="215"/>
        <v>718</v>
      </c>
      <c r="K1396">
        <f t="shared" si="216"/>
        <v>12</v>
      </c>
      <c r="L1396">
        <f t="shared" si="217"/>
        <v>460645</v>
      </c>
      <c r="M1396">
        <f t="shared" si="218"/>
        <v>145068</v>
      </c>
      <c r="N1396">
        <f t="shared" si="219"/>
        <v>653713</v>
      </c>
      <c r="O1396">
        <f>IF(B1396="zagraniczny",K1396+O1395,O1395)</f>
        <v>679</v>
      </c>
    </row>
    <row r="1397" spans="1:15" x14ac:dyDescent="0.25">
      <c r="A1397">
        <v>8953850</v>
      </c>
      <c r="B1397" t="str">
        <f t="shared" si="210"/>
        <v>stacjonarny</v>
      </c>
      <c r="C1397" s="1">
        <v>42936</v>
      </c>
      <c r="D1397" s="2">
        <v>0.58328703703703699</v>
      </c>
      <c r="E1397" s="2">
        <v>0.5920023148148148</v>
      </c>
      <c r="F1397" s="2">
        <f t="shared" si="211"/>
        <v>8.7152777777778079E-3</v>
      </c>
      <c r="G1397">
        <f t="shared" si="212"/>
        <v>0</v>
      </c>
      <c r="H1397">
        <f t="shared" si="213"/>
        <v>12</v>
      </c>
      <c r="I1397">
        <f t="shared" si="214"/>
        <v>33</v>
      </c>
      <c r="J1397">
        <f t="shared" si="215"/>
        <v>753</v>
      </c>
      <c r="K1397">
        <f t="shared" si="216"/>
        <v>13</v>
      </c>
      <c r="L1397">
        <f t="shared" si="217"/>
        <v>461398</v>
      </c>
      <c r="M1397">
        <f t="shared" si="218"/>
        <v>145068</v>
      </c>
      <c r="N1397">
        <f t="shared" si="219"/>
        <v>654466</v>
      </c>
      <c r="O1397">
        <f>IF(B1397="zagraniczny",K1397+O1396,O1396)</f>
        <v>679</v>
      </c>
    </row>
    <row r="1398" spans="1:15" x14ac:dyDescent="0.25">
      <c r="A1398">
        <v>3109133</v>
      </c>
      <c r="B1398" t="str">
        <f t="shared" si="210"/>
        <v>stacjonarny</v>
      </c>
      <c r="C1398" s="1">
        <v>42936</v>
      </c>
      <c r="D1398" s="2">
        <v>0.58564814814814814</v>
      </c>
      <c r="E1398" s="2">
        <v>0.58964120370370365</v>
      </c>
      <c r="F1398" s="2">
        <f t="shared" si="211"/>
        <v>3.9930555555555136E-3</v>
      </c>
      <c r="G1398">
        <f t="shared" si="212"/>
        <v>0</v>
      </c>
      <c r="H1398">
        <f t="shared" si="213"/>
        <v>5</v>
      </c>
      <c r="I1398">
        <f t="shared" si="214"/>
        <v>45</v>
      </c>
      <c r="J1398">
        <f t="shared" si="215"/>
        <v>345</v>
      </c>
      <c r="K1398">
        <f t="shared" si="216"/>
        <v>6</v>
      </c>
      <c r="L1398">
        <f t="shared" si="217"/>
        <v>461743</v>
      </c>
      <c r="M1398">
        <f t="shared" si="218"/>
        <v>145068</v>
      </c>
      <c r="N1398">
        <f t="shared" si="219"/>
        <v>654811</v>
      </c>
      <c r="O1398">
        <f>IF(B1398="zagraniczny",K1398+O1397,O1397)</f>
        <v>679</v>
      </c>
    </row>
    <row r="1399" spans="1:15" x14ac:dyDescent="0.25">
      <c r="A1399">
        <v>3382699</v>
      </c>
      <c r="B1399" t="str">
        <f t="shared" si="210"/>
        <v>stacjonarny</v>
      </c>
      <c r="C1399" s="1">
        <v>42936</v>
      </c>
      <c r="D1399" s="2">
        <v>0.59053240740740742</v>
      </c>
      <c r="E1399" s="2">
        <v>0.59318287037037032</v>
      </c>
      <c r="F1399" s="2">
        <f t="shared" si="211"/>
        <v>2.6504629629628962E-3</v>
      </c>
      <c r="G1399">
        <f t="shared" si="212"/>
        <v>0</v>
      </c>
      <c r="H1399">
        <f t="shared" si="213"/>
        <v>3</v>
      </c>
      <c r="I1399">
        <f t="shared" si="214"/>
        <v>49</v>
      </c>
      <c r="J1399">
        <f t="shared" si="215"/>
        <v>229</v>
      </c>
      <c r="K1399">
        <f t="shared" si="216"/>
        <v>4</v>
      </c>
      <c r="L1399">
        <f t="shared" si="217"/>
        <v>461972</v>
      </c>
      <c r="M1399">
        <f t="shared" si="218"/>
        <v>145068</v>
      </c>
      <c r="N1399">
        <f t="shared" si="219"/>
        <v>655040</v>
      </c>
      <c r="O1399">
        <f>IF(B1399="zagraniczny",K1399+O1398,O1398)</f>
        <v>679</v>
      </c>
    </row>
    <row r="1400" spans="1:15" x14ac:dyDescent="0.25">
      <c r="A1400">
        <v>9132555</v>
      </c>
      <c r="B1400" t="str">
        <f t="shared" si="210"/>
        <v>stacjonarny</v>
      </c>
      <c r="C1400" s="1">
        <v>42936</v>
      </c>
      <c r="D1400" s="2">
        <v>0.59621527777777783</v>
      </c>
      <c r="E1400" s="2">
        <v>0.59906250000000005</v>
      </c>
      <c r="F1400" s="2">
        <f t="shared" si="211"/>
        <v>2.8472222222222232E-3</v>
      </c>
      <c r="G1400">
        <f t="shared" si="212"/>
        <v>0</v>
      </c>
      <c r="H1400">
        <f t="shared" si="213"/>
        <v>4</v>
      </c>
      <c r="I1400">
        <f t="shared" si="214"/>
        <v>6</v>
      </c>
      <c r="J1400">
        <f t="shared" si="215"/>
        <v>246</v>
      </c>
      <c r="K1400">
        <f t="shared" si="216"/>
        <v>5</v>
      </c>
      <c r="L1400">
        <f t="shared" si="217"/>
        <v>462218</v>
      </c>
      <c r="M1400">
        <f t="shared" si="218"/>
        <v>145068</v>
      </c>
      <c r="N1400">
        <f t="shared" si="219"/>
        <v>655286</v>
      </c>
      <c r="O1400">
        <f>IF(B1400="zagraniczny",K1400+O1399,O1399)</f>
        <v>679</v>
      </c>
    </row>
    <row r="1401" spans="1:15" x14ac:dyDescent="0.25">
      <c r="A1401">
        <v>5016981</v>
      </c>
      <c r="B1401" t="str">
        <f t="shared" si="210"/>
        <v>stacjonarny</v>
      </c>
      <c r="C1401" s="1">
        <v>42936</v>
      </c>
      <c r="D1401" s="2">
        <v>0.59693287037037035</v>
      </c>
      <c r="E1401" s="2">
        <v>0.59743055555555558</v>
      </c>
      <c r="F1401" s="2">
        <f t="shared" si="211"/>
        <v>4.9768518518522598E-4</v>
      </c>
      <c r="G1401">
        <f t="shared" si="212"/>
        <v>0</v>
      </c>
      <c r="H1401">
        <f t="shared" si="213"/>
        <v>0</v>
      </c>
      <c r="I1401">
        <f t="shared" si="214"/>
        <v>43</v>
      </c>
      <c r="J1401">
        <f t="shared" si="215"/>
        <v>43</v>
      </c>
      <c r="K1401">
        <f t="shared" si="216"/>
        <v>1</v>
      </c>
      <c r="L1401">
        <f t="shared" si="217"/>
        <v>462261</v>
      </c>
      <c r="M1401">
        <f t="shared" si="218"/>
        <v>145068</v>
      </c>
      <c r="N1401">
        <f t="shared" si="219"/>
        <v>655329</v>
      </c>
      <c r="O1401">
        <f>IF(B1401="zagraniczny",K1401+O1400,O1400)</f>
        <v>679</v>
      </c>
    </row>
    <row r="1402" spans="1:15" x14ac:dyDescent="0.25">
      <c r="A1402">
        <v>1294973</v>
      </c>
      <c r="B1402" t="str">
        <f t="shared" si="210"/>
        <v>stacjonarny</v>
      </c>
      <c r="C1402" s="1">
        <v>42936</v>
      </c>
      <c r="D1402" s="2">
        <v>0.59783564814814816</v>
      </c>
      <c r="E1402" s="2">
        <v>0.60715277777777776</v>
      </c>
      <c r="F1402" s="2">
        <f t="shared" si="211"/>
        <v>9.3171296296296058E-3</v>
      </c>
      <c r="G1402">
        <f t="shared" si="212"/>
        <v>0</v>
      </c>
      <c r="H1402">
        <f t="shared" si="213"/>
        <v>13</v>
      </c>
      <c r="I1402">
        <f t="shared" si="214"/>
        <v>25</v>
      </c>
      <c r="J1402">
        <f t="shared" si="215"/>
        <v>805</v>
      </c>
      <c r="K1402">
        <f t="shared" si="216"/>
        <v>14</v>
      </c>
      <c r="L1402">
        <f t="shared" si="217"/>
        <v>463066</v>
      </c>
      <c r="M1402">
        <f t="shared" si="218"/>
        <v>145068</v>
      </c>
      <c r="N1402">
        <f t="shared" si="219"/>
        <v>656134</v>
      </c>
      <c r="O1402">
        <f>IF(B1402="zagraniczny",K1402+O1401,O1401)</f>
        <v>679</v>
      </c>
    </row>
    <row r="1403" spans="1:15" x14ac:dyDescent="0.25">
      <c r="A1403">
        <v>7769531</v>
      </c>
      <c r="B1403" t="str">
        <f t="shared" si="210"/>
        <v>stacjonarny</v>
      </c>
      <c r="C1403" s="1">
        <v>42936</v>
      </c>
      <c r="D1403" s="2">
        <v>0.60048611111111116</v>
      </c>
      <c r="E1403" s="2">
        <v>0.60371527777777778</v>
      </c>
      <c r="F1403" s="2">
        <f t="shared" si="211"/>
        <v>3.2291666666666163E-3</v>
      </c>
      <c r="G1403">
        <f t="shared" si="212"/>
        <v>0</v>
      </c>
      <c r="H1403">
        <f t="shared" si="213"/>
        <v>4</v>
      </c>
      <c r="I1403">
        <f t="shared" si="214"/>
        <v>39</v>
      </c>
      <c r="J1403">
        <f t="shared" si="215"/>
        <v>279</v>
      </c>
      <c r="K1403">
        <f t="shared" si="216"/>
        <v>5</v>
      </c>
      <c r="L1403">
        <f t="shared" si="217"/>
        <v>463345</v>
      </c>
      <c r="M1403">
        <f t="shared" si="218"/>
        <v>145068</v>
      </c>
      <c r="N1403">
        <f t="shared" si="219"/>
        <v>656413</v>
      </c>
      <c r="O1403">
        <f>IF(B1403="zagraniczny",K1403+O1402,O1402)</f>
        <v>679</v>
      </c>
    </row>
    <row r="1404" spans="1:15" x14ac:dyDescent="0.25">
      <c r="A1404">
        <v>1068000</v>
      </c>
      <c r="B1404" t="str">
        <f t="shared" si="210"/>
        <v>stacjonarny</v>
      </c>
      <c r="C1404" s="1">
        <v>42936</v>
      </c>
      <c r="D1404" s="2">
        <v>0.60251157407407407</v>
      </c>
      <c r="E1404" s="2">
        <v>0.60608796296296297</v>
      </c>
      <c r="F1404" s="2">
        <f t="shared" si="211"/>
        <v>3.5763888888888928E-3</v>
      </c>
      <c r="G1404">
        <f t="shared" si="212"/>
        <v>0</v>
      </c>
      <c r="H1404">
        <f t="shared" si="213"/>
        <v>5</v>
      </c>
      <c r="I1404">
        <f t="shared" si="214"/>
        <v>9</v>
      </c>
      <c r="J1404">
        <f t="shared" si="215"/>
        <v>309</v>
      </c>
      <c r="K1404">
        <f t="shared" si="216"/>
        <v>6</v>
      </c>
      <c r="L1404">
        <f t="shared" si="217"/>
        <v>463654</v>
      </c>
      <c r="M1404">
        <f t="shared" si="218"/>
        <v>145068</v>
      </c>
      <c r="N1404">
        <f t="shared" si="219"/>
        <v>656722</v>
      </c>
      <c r="O1404">
        <f>IF(B1404="zagraniczny",K1404+O1403,O1403)</f>
        <v>679</v>
      </c>
    </row>
    <row r="1405" spans="1:15" x14ac:dyDescent="0.25">
      <c r="A1405">
        <v>1467591</v>
      </c>
      <c r="B1405" t="str">
        <f t="shared" si="210"/>
        <v>stacjonarny</v>
      </c>
      <c r="C1405" s="1">
        <v>42936</v>
      </c>
      <c r="D1405" s="2">
        <v>0.60277777777777775</v>
      </c>
      <c r="E1405" s="2">
        <v>0.61222222222222222</v>
      </c>
      <c r="F1405" s="2">
        <f t="shared" si="211"/>
        <v>9.4444444444444775E-3</v>
      </c>
      <c r="G1405">
        <f t="shared" si="212"/>
        <v>0</v>
      </c>
      <c r="H1405">
        <f t="shared" si="213"/>
        <v>13</v>
      </c>
      <c r="I1405">
        <f t="shared" si="214"/>
        <v>36</v>
      </c>
      <c r="J1405">
        <f t="shared" si="215"/>
        <v>816</v>
      </c>
      <c r="K1405">
        <f t="shared" si="216"/>
        <v>14</v>
      </c>
      <c r="L1405">
        <f t="shared" si="217"/>
        <v>464470</v>
      </c>
      <c r="M1405">
        <f t="shared" si="218"/>
        <v>145068</v>
      </c>
      <c r="N1405">
        <f t="shared" si="219"/>
        <v>657538</v>
      </c>
      <c r="O1405">
        <f>IF(B1405="zagraniczny",K1405+O1404,O1404)</f>
        <v>679</v>
      </c>
    </row>
    <row r="1406" spans="1:15" x14ac:dyDescent="0.25">
      <c r="A1406">
        <v>5980925</v>
      </c>
      <c r="B1406" t="str">
        <f t="shared" si="210"/>
        <v>stacjonarny</v>
      </c>
      <c r="C1406" s="1">
        <v>42936</v>
      </c>
      <c r="D1406" s="2">
        <v>0.60282407407407412</v>
      </c>
      <c r="E1406" s="2">
        <v>0.61041666666666672</v>
      </c>
      <c r="F1406" s="2">
        <f t="shared" si="211"/>
        <v>7.5925925925925952E-3</v>
      </c>
      <c r="G1406">
        <f t="shared" si="212"/>
        <v>0</v>
      </c>
      <c r="H1406">
        <f t="shared" si="213"/>
        <v>10</v>
      </c>
      <c r="I1406">
        <f t="shared" si="214"/>
        <v>56</v>
      </c>
      <c r="J1406">
        <f t="shared" si="215"/>
        <v>656</v>
      </c>
      <c r="K1406">
        <f t="shared" si="216"/>
        <v>11</v>
      </c>
      <c r="L1406">
        <f t="shared" si="217"/>
        <v>465126</v>
      </c>
      <c r="M1406">
        <f t="shared" si="218"/>
        <v>145068</v>
      </c>
      <c r="N1406">
        <f t="shared" si="219"/>
        <v>658194</v>
      </c>
      <c r="O1406">
        <f>IF(B1406="zagraniczny",K1406+O1405,O1405)</f>
        <v>679</v>
      </c>
    </row>
    <row r="1407" spans="1:15" x14ac:dyDescent="0.25">
      <c r="A1407">
        <v>9905075</v>
      </c>
      <c r="B1407" t="str">
        <f t="shared" si="210"/>
        <v>stacjonarny</v>
      </c>
      <c r="C1407" s="1">
        <v>42936</v>
      </c>
      <c r="D1407" s="2">
        <v>0.60693287037037036</v>
      </c>
      <c r="E1407" s="2">
        <v>0.61001157407407403</v>
      </c>
      <c r="F1407" s="2">
        <f t="shared" si="211"/>
        <v>3.0787037037036669E-3</v>
      </c>
      <c r="G1407">
        <f t="shared" si="212"/>
        <v>0</v>
      </c>
      <c r="H1407">
        <f t="shared" si="213"/>
        <v>4</v>
      </c>
      <c r="I1407">
        <f t="shared" si="214"/>
        <v>26</v>
      </c>
      <c r="J1407">
        <f t="shared" si="215"/>
        <v>266</v>
      </c>
      <c r="K1407">
        <f t="shared" si="216"/>
        <v>5</v>
      </c>
      <c r="L1407">
        <f t="shared" si="217"/>
        <v>465392</v>
      </c>
      <c r="M1407">
        <f t="shared" si="218"/>
        <v>145068</v>
      </c>
      <c r="N1407">
        <f t="shared" si="219"/>
        <v>658460</v>
      </c>
      <c r="O1407">
        <f>IF(B1407="zagraniczny",K1407+O1406,O1406)</f>
        <v>679</v>
      </c>
    </row>
    <row r="1408" spans="1:15" x14ac:dyDescent="0.25">
      <c r="A1408">
        <v>1043289</v>
      </c>
      <c r="B1408" t="str">
        <f t="shared" si="210"/>
        <v>stacjonarny</v>
      </c>
      <c r="C1408" s="1">
        <v>42936</v>
      </c>
      <c r="D1408" s="2">
        <v>0.60990740740740745</v>
      </c>
      <c r="E1408" s="2">
        <v>0.61383101851851851</v>
      </c>
      <c r="F1408" s="2">
        <f t="shared" si="211"/>
        <v>3.9236111111110583E-3</v>
      </c>
      <c r="G1408">
        <f t="shared" si="212"/>
        <v>0</v>
      </c>
      <c r="H1408">
        <f t="shared" si="213"/>
        <v>5</v>
      </c>
      <c r="I1408">
        <f t="shared" si="214"/>
        <v>39</v>
      </c>
      <c r="J1408">
        <f t="shared" si="215"/>
        <v>339</v>
      </c>
      <c r="K1408">
        <f t="shared" si="216"/>
        <v>6</v>
      </c>
      <c r="L1408">
        <f t="shared" si="217"/>
        <v>465731</v>
      </c>
      <c r="M1408">
        <f t="shared" si="218"/>
        <v>145068</v>
      </c>
      <c r="N1408">
        <f t="shared" si="219"/>
        <v>658799</v>
      </c>
      <c r="O1408">
        <f>IF(B1408="zagraniczny",K1408+O1407,O1407)</f>
        <v>679</v>
      </c>
    </row>
    <row r="1409" spans="1:15" x14ac:dyDescent="0.25">
      <c r="A1409">
        <v>8252939</v>
      </c>
      <c r="B1409" t="str">
        <f t="shared" si="210"/>
        <v>stacjonarny</v>
      </c>
      <c r="C1409" s="1">
        <v>42936</v>
      </c>
      <c r="D1409" s="2">
        <v>0.61320601851851853</v>
      </c>
      <c r="E1409" s="2">
        <v>0.62115740740740744</v>
      </c>
      <c r="F1409" s="2">
        <f t="shared" si="211"/>
        <v>7.9513888888889106E-3</v>
      </c>
      <c r="G1409">
        <f t="shared" si="212"/>
        <v>0</v>
      </c>
      <c r="H1409">
        <f t="shared" si="213"/>
        <v>11</v>
      </c>
      <c r="I1409">
        <f t="shared" si="214"/>
        <v>27</v>
      </c>
      <c r="J1409">
        <f t="shared" si="215"/>
        <v>687</v>
      </c>
      <c r="K1409">
        <f t="shared" si="216"/>
        <v>12</v>
      </c>
      <c r="L1409">
        <f t="shared" si="217"/>
        <v>466418</v>
      </c>
      <c r="M1409">
        <f t="shared" si="218"/>
        <v>145068</v>
      </c>
      <c r="N1409">
        <f t="shared" si="219"/>
        <v>659486</v>
      </c>
      <c r="O1409">
        <f>IF(B1409="zagraniczny",K1409+O1408,O1408)</f>
        <v>679</v>
      </c>
    </row>
    <row r="1410" spans="1:15" x14ac:dyDescent="0.25">
      <c r="A1410">
        <v>67748426</v>
      </c>
      <c r="B1410" t="str">
        <f t="shared" si="210"/>
        <v>komorkowy</v>
      </c>
      <c r="C1410" s="1">
        <v>42936</v>
      </c>
      <c r="D1410" s="2">
        <v>0.61535879629629631</v>
      </c>
      <c r="E1410" s="2">
        <v>0.62503472222222223</v>
      </c>
      <c r="F1410" s="2">
        <f t="shared" si="211"/>
        <v>9.6759259259259212E-3</v>
      </c>
      <c r="G1410">
        <f t="shared" si="212"/>
        <v>0</v>
      </c>
      <c r="H1410">
        <f t="shared" si="213"/>
        <v>13</v>
      </c>
      <c r="I1410">
        <f t="shared" si="214"/>
        <v>56</v>
      </c>
      <c r="J1410">
        <f t="shared" si="215"/>
        <v>836</v>
      </c>
      <c r="K1410">
        <f t="shared" si="216"/>
        <v>14</v>
      </c>
      <c r="L1410">
        <f t="shared" si="217"/>
        <v>466418</v>
      </c>
      <c r="M1410">
        <f t="shared" si="218"/>
        <v>145904</v>
      </c>
      <c r="N1410">
        <f t="shared" si="219"/>
        <v>660322</v>
      </c>
      <c r="O1410">
        <f>IF(B1410="zagraniczny",K1410+O1409,O1409)</f>
        <v>679</v>
      </c>
    </row>
    <row r="1411" spans="1:15" x14ac:dyDescent="0.25">
      <c r="A1411">
        <v>4376637</v>
      </c>
      <c r="B1411" t="str">
        <f t="shared" ref="B1411:B1474" si="220">IF(LEN(A1411)=7,"stacjonarny",IF(LEN(A1411)=8,"komorkowy","zagraniczny"))</f>
        <v>stacjonarny</v>
      </c>
      <c r="C1411" s="1">
        <v>42936</v>
      </c>
      <c r="D1411" s="2">
        <v>0.61559027777777775</v>
      </c>
      <c r="E1411" s="2">
        <v>0.62532407407407409</v>
      </c>
      <c r="F1411" s="2">
        <f t="shared" ref="F1411:F1474" si="221">E1411-D1411</f>
        <v>9.7337962962963376E-3</v>
      </c>
      <c r="G1411">
        <f t="shared" ref="G1411:G1474" si="222">HOUR(F1411)</f>
        <v>0</v>
      </c>
      <c r="H1411">
        <f t="shared" ref="H1411:H1474" si="223">MINUTE(F1411)</f>
        <v>14</v>
      </c>
      <c r="I1411">
        <f t="shared" ref="I1411:I1474" si="224">SECOND(F1411)</f>
        <v>1</v>
      </c>
      <c r="J1411">
        <f t="shared" ref="J1411:J1474" si="225">H1411*60+I1411</f>
        <v>841</v>
      </c>
      <c r="K1411">
        <f t="shared" ref="K1411:K1474" si="226">IF(I1411&gt;0,G1411*60+H1411+1,H1411+G1411*60)</f>
        <v>15</v>
      </c>
      <c r="L1411">
        <f t="shared" si="217"/>
        <v>467259</v>
      </c>
      <c r="M1411">
        <f t="shared" si="218"/>
        <v>145904</v>
      </c>
      <c r="N1411">
        <f t="shared" si="219"/>
        <v>661163</v>
      </c>
      <c r="O1411">
        <f>IF(B1411="zagraniczny",K1411+O1410,O1410)</f>
        <v>679</v>
      </c>
    </row>
    <row r="1412" spans="1:15" x14ac:dyDescent="0.25">
      <c r="A1412">
        <v>6426011</v>
      </c>
      <c r="B1412" t="str">
        <f t="shared" si="220"/>
        <v>stacjonarny</v>
      </c>
      <c r="C1412" s="1">
        <v>42936</v>
      </c>
      <c r="D1412" s="2">
        <v>0.62078703703703708</v>
      </c>
      <c r="E1412" s="2">
        <v>0.62863425925925931</v>
      </c>
      <c r="F1412" s="2">
        <f t="shared" si="221"/>
        <v>7.8472222222222276E-3</v>
      </c>
      <c r="G1412">
        <f t="shared" si="222"/>
        <v>0</v>
      </c>
      <c r="H1412">
        <f t="shared" si="223"/>
        <v>11</v>
      </c>
      <c r="I1412">
        <f t="shared" si="224"/>
        <v>18</v>
      </c>
      <c r="J1412">
        <f t="shared" si="225"/>
        <v>678</v>
      </c>
      <c r="K1412">
        <f t="shared" si="226"/>
        <v>12</v>
      </c>
      <c r="L1412">
        <f t="shared" ref="L1412:L1475" si="227">IF(B1412="stacjonarny",$J1412+L1411,L1411)</f>
        <v>467937</v>
      </c>
      <c r="M1412">
        <f t="shared" ref="M1412:M1475" si="228">IF(B1412="komorkowy",$J1412+M1411,M1411)</f>
        <v>145904</v>
      </c>
      <c r="N1412">
        <f t="shared" ref="N1412:N1475" si="229">IF(OR(B1412="stacjonarny",B1412="komorkowy"),J1412+N1411,N1411)</f>
        <v>661841</v>
      </c>
      <c r="O1412">
        <f>IF(B1412="zagraniczny",K1412+O1411,O1411)</f>
        <v>679</v>
      </c>
    </row>
    <row r="1413" spans="1:15" x14ac:dyDescent="0.25">
      <c r="A1413">
        <v>9137235</v>
      </c>
      <c r="B1413" t="str">
        <f t="shared" si="220"/>
        <v>stacjonarny</v>
      </c>
      <c r="C1413" s="1">
        <v>42936</v>
      </c>
      <c r="D1413" s="2">
        <v>0.62524305555555559</v>
      </c>
      <c r="E1413" s="2">
        <v>0.62846064814814817</v>
      </c>
      <c r="F1413" s="2">
        <f t="shared" si="221"/>
        <v>3.2175925925925775E-3</v>
      </c>
      <c r="G1413">
        <f t="shared" si="222"/>
        <v>0</v>
      </c>
      <c r="H1413">
        <f t="shared" si="223"/>
        <v>4</v>
      </c>
      <c r="I1413">
        <f t="shared" si="224"/>
        <v>38</v>
      </c>
      <c r="J1413">
        <f t="shared" si="225"/>
        <v>278</v>
      </c>
      <c r="K1413">
        <f t="shared" si="226"/>
        <v>5</v>
      </c>
      <c r="L1413">
        <f t="shared" si="227"/>
        <v>468215</v>
      </c>
      <c r="M1413">
        <f t="shared" si="228"/>
        <v>145904</v>
      </c>
      <c r="N1413">
        <f t="shared" si="229"/>
        <v>662119</v>
      </c>
      <c r="O1413">
        <f>IF(B1413="zagraniczny",K1413+O1412,O1412)</f>
        <v>679</v>
      </c>
    </row>
    <row r="1414" spans="1:15" x14ac:dyDescent="0.25">
      <c r="A1414">
        <v>6735390</v>
      </c>
      <c r="B1414" t="str">
        <f t="shared" si="220"/>
        <v>stacjonarny</v>
      </c>
      <c r="C1414" s="1">
        <v>42937</v>
      </c>
      <c r="D1414" s="2">
        <v>0.33421296296296299</v>
      </c>
      <c r="E1414" s="2">
        <v>0.33674768518518516</v>
      </c>
      <c r="F1414" s="2">
        <f t="shared" si="221"/>
        <v>2.5347222222221744E-3</v>
      </c>
      <c r="G1414">
        <f t="shared" si="222"/>
        <v>0</v>
      </c>
      <c r="H1414">
        <f t="shared" si="223"/>
        <v>3</v>
      </c>
      <c r="I1414">
        <f t="shared" si="224"/>
        <v>39</v>
      </c>
      <c r="J1414">
        <f t="shared" si="225"/>
        <v>219</v>
      </c>
      <c r="K1414">
        <f t="shared" si="226"/>
        <v>4</v>
      </c>
      <c r="L1414">
        <f t="shared" si="227"/>
        <v>468434</v>
      </c>
      <c r="M1414">
        <f t="shared" si="228"/>
        <v>145904</v>
      </c>
      <c r="N1414">
        <f t="shared" si="229"/>
        <v>662338</v>
      </c>
      <c r="O1414">
        <f>IF(B1414="zagraniczny",K1414+O1413,O1413)</f>
        <v>679</v>
      </c>
    </row>
    <row r="1415" spans="1:15" x14ac:dyDescent="0.25">
      <c r="A1415">
        <v>7151490</v>
      </c>
      <c r="B1415" t="str">
        <f t="shared" si="220"/>
        <v>stacjonarny</v>
      </c>
      <c r="C1415" s="1">
        <v>42937</v>
      </c>
      <c r="D1415" s="2">
        <v>0.33513888888888888</v>
      </c>
      <c r="E1415" s="2">
        <v>0.33787037037037038</v>
      </c>
      <c r="F1415" s="2">
        <f t="shared" si="221"/>
        <v>2.7314814814815014E-3</v>
      </c>
      <c r="G1415">
        <f t="shared" si="222"/>
        <v>0</v>
      </c>
      <c r="H1415">
        <f t="shared" si="223"/>
        <v>3</v>
      </c>
      <c r="I1415">
        <f t="shared" si="224"/>
        <v>56</v>
      </c>
      <c r="J1415">
        <f t="shared" si="225"/>
        <v>236</v>
      </c>
      <c r="K1415">
        <f t="shared" si="226"/>
        <v>4</v>
      </c>
      <c r="L1415">
        <f t="shared" si="227"/>
        <v>468670</v>
      </c>
      <c r="M1415">
        <f t="shared" si="228"/>
        <v>145904</v>
      </c>
      <c r="N1415">
        <f t="shared" si="229"/>
        <v>662574</v>
      </c>
      <c r="O1415">
        <f>IF(B1415="zagraniczny",K1415+O1414,O1414)</f>
        <v>679</v>
      </c>
    </row>
    <row r="1416" spans="1:15" x14ac:dyDescent="0.25">
      <c r="A1416">
        <v>5138547</v>
      </c>
      <c r="B1416" t="str">
        <f t="shared" si="220"/>
        <v>stacjonarny</v>
      </c>
      <c r="C1416" s="1">
        <v>42937</v>
      </c>
      <c r="D1416" s="2">
        <v>0.33642361111111113</v>
      </c>
      <c r="E1416" s="2">
        <v>0.33778935185185183</v>
      </c>
      <c r="F1416" s="2">
        <f t="shared" si="221"/>
        <v>1.3657407407406952E-3</v>
      </c>
      <c r="G1416">
        <f t="shared" si="222"/>
        <v>0</v>
      </c>
      <c r="H1416">
        <f t="shared" si="223"/>
        <v>1</v>
      </c>
      <c r="I1416">
        <f t="shared" si="224"/>
        <v>58</v>
      </c>
      <c r="J1416">
        <f t="shared" si="225"/>
        <v>118</v>
      </c>
      <c r="K1416">
        <f t="shared" si="226"/>
        <v>2</v>
      </c>
      <c r="L1416">
        <f t="shared" si="227"/>
        <v>468788</v>
      </c>
      <c r="M1416">
        <f t="shared" si="228"/>
        <v>145904</v>
      </c>
      <c r="N1416">
        <f t="shared" si="229"/>
        <v>662692</v>
      </c>
      <c r="O1416">
        <f>IF(B1416="zagraniczny",K1416+O1415,O1415)</f>
        <v>679</v>
      </c>
    </row>
    <row r="1417" spans="1:15" x14ac:dyDescent="0.25">
      <c r="A1417">
        <v>79212542</v>
      </c>
      <c r="B1417" t="str">
        <f t="shared" si="220"/>
        <v>komorkowy</v>
      </c>
      <c r="C1417" s="1">
        <v>42937</v>
      </c>
      <c r="D1417" s="2">
        <v>0.34157407407407409</v>
      </c>
      <c r="E1417" s="2">
        <v>0.34684027777777776</v>
      </c>
      <c r="F1417" s="2">
        <f t="shared" si="221"/>
        <v>5.2662037037036757E-3</v>
      </c>
      <c r="G1417">
        <f t="shared" si="222"/>
        <v>0</v>
      </c>
      <c r="H1417">
        <f t="shared" si="223"/>
        <v>7</v>
      </c>
      <c r="I1417">
        <f t="shared" si="224"/>
        <v>35</v>
      </c>
      <c r="J1417">
        <f t="shared" si="225"/>
        <v>455</v>
      </c>
      <c r="K1417">
        <f t="shared" si="226"/>
        <v>8</v>
      </c>
      <c r="L1417">
        <f t="shared" si="227"/>
        <v>468788</v>
      </c>
      <c r="M1417">
        <f t="shared" si="228"/>
        <v>146359</v>
      </c>
      <c r="N1417">
        <f t="shared" si="229"/>
        <v>663147</v>
      </c>
      <c r="O1417">
        <f>IF(B1417="zagraniczny",K1417+O1416,O1416)</f>
        <v>679</v>
      </c>
    </row>
    <row r="1418" spans="1:15" x14ac:dyDescent="0.25">
      <c r="A1418">
        <v>1507196</v>
      </c>
      <c r="B1418" t="str">
        <f t="shared" si="220"/>
        <v>stacjonarny</v>
      </c>
      <c r="C1418" s="1">
        <v>42937</v>
      </c>
      <c r="D1418" s="2">
        <v>0.34197916666666667</v>
      </c>
      <c r="E1418" s="2">
        <v>0.3460300925925926</v>
      </c>
      <c r="F1418" s="2">
        <f t="shared" si="221"/>
        <v>4.05092592592593E-3</v>
      </c>
      <c r="G1418">
        <f t="shared" si="222"/>
        <v>0</v>
      </c>
      <c r="H1418">
        <f t="shared" si="223"/>
        <v>5</v>
      </c>
      <c r="I1418">
        <f t="shared" si="224"/>
        <v>50</v>
      </c>
      <c r="J1418">
        <f t="shared" si="225"/>
        <v>350</v>
      </c>
      <c r="K1418">
        <f t="shared" si="226"/>
        <v>6</v>
      </c>
      <c r="L1418">
        <f t="shared" si="227"/>
        <v>469138</v>
      </c>
      <c r="M1418">
        <f t="shared" si="228"/>
        <v>146359</v>
      </c>
      <c r="N1418">
        <f t="shared" si="229"/>
        <v>663497</v>
      </c>
      <c r="O1418">
        <f>IF(B1418="zagraniczny",K1418+O1417,O1417)</f>
        <v>679</v>
      </c>
    </row>
    <row r="1419" spans="1:15" x14ac:dyDescent="0.25">
      <c r="A1419">
        <v>8362094</v>
      </c>
      <c r="B1419" t="str">
        <f t="shared" si="220"/>
        <v>stacjonarny</v>
      </c>
      <c r="C1419" s="1">
        <v>42937</v>
      </c>
      <c r="D1419" s="2">
        <v>0.34567129629629628</v>
      </c>
      <c r="E1419" s="2">
        <v>0.34745370370370371</v>
      </c>
      <c r="F1419" s="2">
        <f t="shared" si="221"/>
        <v>1.782407407407427E-3</v>
      </c>
      <c r="G1419">
        <f t="shared" si="222"/>
        <v>0</v>
      </c>
      <c r="H1419">
        <f t="shared" si="223"/>
        <v>2</v>
      </c>
      <c r="I1419">
        <f t="shared" si="224"/>
        <v>34</v>
      </c>
      <c r="J1419">
        <f t="shared" si="225"/>
        <v>154</v>
      </c>
      <c r="K1419">
        <f t="shared" si="226"/>
        <v>3</v>
      </c>
      <c r="L1419">
        <f t="shared" si="227"/>
        <v>469292</v>
      </c>
      <c r="M1419">
        <f t="shared" si="228"/>
        <v>146359</v>
      </c>
      <c r="N1419">
        <f t="shared" si="229"/>
        <v>663651</v>
      </c>
      <c r="O1419">
        <f>IF(B1419="zagraniczny",K1419+O1418,O1418)</f>
        <v>679</v>
      </c>
    </row>
    <row r="1420" spans="1:15" x14ac:dyDescent="0.25">
      <c r="A1420">
        <v>5379981</v>
      </c>
      <c r="B1420" t="str">
        <f t="shared" si="220"/>
        <v>stacjonarny</v>
      </c>
      <c r="C1420" s="1">
        <v>42937</v>
      </c>
      <c r="D1420" s="2">
        <v>0.34690972222222222</v>
      </c>
      <c r="E1420" s="2">
        <v>0.35206018518518517</v>
      </c>
      <c r="F1420" s="2">
        <f t="shared" si="221"/>
        <v>5.1504629629629539E-3</v>
      </c>
      <c r="G1420">
        <f t="shared" si="222"/>
        <v>0</v>
      </c>
      <c r="H1420">
        <f t="shared" si="223"/>
        <v>7</v>
      </c>
      <c r="I1420">
        <f t="shared" si="224"/>
        <v>25</v>
      </c>
      <c r="J1420">
        <f t="shared" si="225"/>
        <v>445</v>
      </c>
      <c r="K1420">
        <f t="shared" si="226"/>
        <v>8</v>
      </c>
      <c r="L1420">
        <f t="shared" si="227"/>
        <v>469737</v>
      </c>
      <c r="M1420">
        <f t="shared" si="228"/>
        <v>146359</v>
      </c>
      <c r="N1420">
        <f t="shared" si="229"/>
        <v>664096</v>
      </c>
      <c r="O1420">
        <f>IF(B1420="zagraniczny",K1420+O1419,O1419)</f>
        <v>679</v>
      </c>
    </row>
    <row r="1421" spans="1:15" x14ac:dyDescent="0.25">
      <c r="A1421">
        <v>4960672</v>
      </c>
      <c r="B1421" t="str">
        <f t="shared" si="220"/>
        <v>stacjonarny</v>
      </c>
      <c r="C1421" s="1">
        <v>42937</v>
      </c>
      <c r="D1421" s="2">
        <v>0.34745370370370371</v>
      </c>
      <c r="E1421" s="2">
        <v>0.3526273148148148</v>
      </c>
      <c r="F1421" s="2">
        <f t="shared" si="221"/>
        <v>5.1736111111110872E-3</v>
      </c>
      <c r="G1421">
        <f t="shared" si="222"/>
        <v>0</v>
      </c>
      <c r="H1421">
        <f t="shared" si="223"/>
        <v>7</v>
      </c>
      <c r="I1421">
        <f t="shared" si="224"/>
        <v>27</v>
      </c>
      <c r="J1421">
        <f t="shared" si="225"/>
        <v>447</v>
      </c>
      <c r="K1421">
        <f t="shared" si="226"/>
        <v>8</v>
      </c>
      <c r="L1421">
        <f t="shared" si="227"/>
        <v>470184</v>
      </c>
      <c r="M1421">
        <f t="shared" si="228"/>
        <v>146359</v>
      </c>
      <c r="N1421">
        <f t="shared" si="229"/>
        <v>664543</v>
      </c>
      <c r="O1421">
        <f>IF(B1421="zagraniczny",K1421+O1420,O1420)</f>
        <v>679</v>
      </c>
    </row>
    <row r="1422" spans="1:15" x14ac:dyDescent="0.25">
      <c r="A1422">
        <v>9052582</v>
      </c>
      <c r="B1422" t="str">
        <f t="shared" si="220"/>
        <v>stacjonarny</v>
      </c>
      <c r="C1422" s="1">
        <v>42937</v>
      </c>
      <c r="D1422" s="2">
        <v>0.34961805555555553</v>
      </c>
      <c r="E1422" s="2">
        <v>0.3535300925925926</v>
      </c>
      <c r="F1422" s="2">
        <f t="shared" si="221"/>
        <v>3.9120370370370749E-3</v>
      </c>
      <c r="G1422">
        <f t="shared" si="222"/>
        <v>0</v>
      </c>
      <c r="H1422">
        <f t="shared" si="223"/>
        <v>5</v>
      </c>
      <c r="I1422">
        <f t="shared" si="224"/>
        <v>38</v>
      </c>
      <c r="J1422">
        <f t="shared" si="225"/>
        <v>338</v>
      </c>
      <c r="K1422">
        <f t="shared" si="226"/>
        <v>6</v>
      </c>
      <c r="L1422">
        <f t="shared" si="227"/>
        <v>470522</v>
      </c>
      <c r="M1422">
        <f t="shared" si="228"/>
        <v>146359</v>
      </c>
      <c r="N1422">
        <f t="shared" si="229"/>
        <v>664881</v>
      </c>
      <c r="O1422">
        <f>IF(B1422="zagraniczny",K1422+O1421,O1421)</f>
        <v>679</v>
      </c>
    </row>
    <row r="1423" spans="1:15" x14ac:dyDescent="0.25">
      <c r="A1423">
        <v>2054346</v>
      </c>
      <c r="B1423" t="str">
        <f t="shared" si="220"/>
        <v>stacjonarny</v>
      </c>
      <c r="C1423" s="1">
        <v>42937</v>
      </c>
      <c r="D1423" s="2">
        <v>0.35003472222222221</v>
      </c>
      <c r="E1423" s="2">
        <v>0.35540509259259262</v>
      </c>
      <c r="F1423" s="2">
        <f t="shared" si="221"/>
        <v>5.3703703703704142E-3</v>
      </c>
      <c r="G1423">
        <f t="shared" si="222"/>
        <v>0</v>
      </c>
      <c r="H1423">
        <f t="shared" si="223"/>
        <v>7</v>
      </c>
      <c r="I1423">
        <f t="shared" si="224"/>
        <v>44</v>
      </c>
      <c r="J1423">
        <f t="shared" si="225"/>
        <v>464</v>
      </c>
      <c r="K1423">
        <f t="shared" si="226"/>
        <v>8</v>
      </c>
      <c r="L1423">
        <f t="shared" si="227"/>
        <v>470986</v>
      </c>
      <c r="M1423">
        <f t="shared" si="228"/>
        <v>146359</v>
      </c>
      <c r="N1423">
        <f t="shared" si="229"/>
        <v>665345</v>
      </c>
      <c r="O1423">
        <f>IF(B1423="zagraniczny",K1423+O1422,O1422)</f>
        <v>679</v>
      </c>
    </row>
    <row r="1424" spans="1:15" x14ac:dyDescent="0.25">
      <c r="A1424">
        <v>6070136</v>
      </c>
      <c r="B1424" t="str">
        <f t="shared" si="220"/>
        <v>stacjonarny</v>
      </c>
      <c r="C1424" s="1">
        <v>42937</v>
      </c>
      <c r="D1424" s="2">
        <v>0.3515625</v>
      </c>
      <c r="E1424" s="2">
        <v>0.35299768518518521</v>
      </c>
      <c r="F1424" s="2">
        <f t="shared" si="221"/>
        <v>1.435185185185206E-3</v>
      </c>
      <c r="G1424">
        <f t="shared" si="222"/>
        <v>0</v>
      </c>
      <c r="H1424">
        <f t="shared" si="223"/>
        <v>2</v>
      </c>
      <c r="I1424">
        <f t="shared" si="224"/>
        <v>4</v>
      </c>
      <c r="J1424">
        <f t="shared" si="225"/>
        <v>124</v>
      </c>
      <c r="K1424">
        <f t="shared" si="226"/>
        <v>3</v>
      </c>
      <c r="L1424">
        <f t="shared" si="227"/>
        <v>471110</v>
      </c>
      <c r="M1424">
        <f t="shared" si="228"/>
        <v>146359</v>
      </c>
      <c r="N1424">
        <f t="shared" si="229"/>
        <v>665469</v>
      </c>
      <c r="O1424">
        <f>IF(B1424="zagraniczny",K1424+O1423,O1423)</f>
        <v>679</v>
      </c>
    </row>
    <row r="1425" spans="1:15" x14ac:dyDescent="0.25">
      <c r="A1425">
        <v>3086185</v>
      </c>
      <c r="B1425" t="str">
        <f t="shared" si="220"/>
        <v>stacjonarny</v>
      </c>
      <c r="C1425" s="1">
        <v>42937</v>
      </c>
      <c r="D1425" s="2">
        <v>0.35401620370370368</v>
      </c>
      <c r="E1425" s="2">
        <v>0.35944444444444446</v>
      </c>
      <c r="F1425" s="2">
        <f t="shared" si="221"/>
        <v>5.4282407407407751E-3</v>
      </c>
      <c r="G1425">
        <f t="shared" si="222"/>
        <v>0</v>
      </c>
      <c r="H1425">
        <f t="shared" si="223"/>
        <v>7</v>
      </c>
      <c r="I1425">
        <f t="shared" si="224"/>
        <v>49</v>
      </c>
      <c r="J1425">
        <f t="shared" si="225"/>
        <v>469</v>
      </c>
      <c r="K1425">
        <f t="shared" si="226"/>
        <v>8</v>
      </c>
      <c r="L1425">
        <f t="shared" si="227"/>
        <v>471579</v>
      </c>
      <c r="M1425">
        <f t="shared" si="228"/>
        <v>146359</v>
      </c>
      <c r="N1425">
        <f t="shared" si="229"/>
        <v>665938</v>
      </c>
      <c r="O1425">
        <f>IF(B1425="zagraniczny",K1425+O1424,O1424)</f>
        <v>679</v>
      </c>
    </row>
    <row r="1426" spans="1:15" x14ac:dyDescent="0.25">
      <c r="A1426">
        <v>6949463</v>
      </c>
      <c r="B1426" t="str">
        <f t="shared" si="220"/>
        <v>stacjonarny</v>
      </c>
      <c r="C1426" s="1">
        <v>42937</v>
      </c>
      <c r="D1426" s="2">
        <v>0.35912037037037037</v>
      </c>
      <c r="E1426" s="2">
        <v>0.36318287037037039</v>
      </c>
      <c r="F1426" s="2">
        <f t="shared" si="221"/>
        <v>4.0625000000000244E-3</v>
      </c>
      <c r="G1426">
        <f t="shared" si="222"/>
        <v>0</v>
      </c>
      <c r="H1426">
        <f t="shared" si="223"/>
        <v>5</v>
      </c>
      <c r="I1426">
        <f t="shared" si="224"/>
        <v>51</v>
      </c>
      <c r="J1426">
        <f t="shared" si="225"/>
        <v>351</v>
      </c>
      <c r="K1426">
        <f t="shared" si="226"/>
        <v>6</v>
      </c>
      <c r="L1426">
        <f t="shared" si="227"/>
        <v>471930</v>
      </c>
      <c r="M1426">
        <f t="shared" si="228"/>
        <v>146359</v>
      </c>
      <c r="N1426">
        <f t="shared" si="229"/>
        <v>666289</v>
      </c>
      <c r="O1426">
        <f>IF(B1426="zagraniczny",K1426+O1425,O1425)</f>
        <v>679</v>
      </c>
    </row>
    <row r="1427" spans="1:15" x14ac:dyDescent="0.25">
      <c r="A1427">
        <v>1626862</v>
      </c>
      <c r="B1427" t="str">
        <f t="shared" si="220"/>
        <v>stacjonarny</v>
      </c>
      <c r="C1427" s="1">
        <v>42937</v>
      </c>
      <c r="D1427" s="2">
        <v>0.36155092592592591</v>
      </c>
      <c r="E1427" s="2">
        <v>0.36355324074074075</v>
      </c>
      <c r="F1427" s="2">
        <f t="shared" si="221"/>
        <v>2.0023148148148318E-3</v>
      </c>
      <c r="G1427">
        <f t="shared" si="222"/>
        <v>0</v>
      </c>
      <c r="H1427">
        <f t="shared" si="223"/>
        <v>2</v>
      </c>
      <c r="I1427">
        <f t="shared" si="224"/>
        <v>53</v>
      </c>
      <c r="J1427">
        <f t="shared" si="225"/>
        <v>173</v>
      </c>
      <c r="K1427">
        <f t="shared" si="226"/>
        <v>3</v>
      </c>
      <c r="L1427">
        <f t="shared" si="227"/>
        <v>472103</v>
      </c>
      <c r="M1427">
        <f t="shared" si="228"/>
        <v>146359</v>
      </c>
      <c r="N1427">
        <f t="shared" si="229"/>
        <v>666462</v>
      </c>
      <c r="O1427">
        <f>IF(B1427="zagraniczny",K1427+O1426,O1426)</f>
        <v>679</v>
      </c>
    </row>
    <row r="1428" spans="1:15" x14ac:dyDescent="0.25">
      <c r="A1428">
        <v>99905503</v>
      </c>
      <c r="B1428" t="str">
        <f t="shared" si="220"/>
        <v>komorkowy</v>
      </c>
      <c r="C1428" s="1">
        <v>42937</v>
      </c>
      <c r="D1428" s="2">
        <v>0.36631944444444442</v>
      </c>
      <c r="E1428" s="2">
        <v>0.37376157407407407</v>
      </c>
      <c r="F1428" s="2">
        <f t="shared" si="221"/>
        <v>7.4421296296296457E-3</v>
      </c>
      <c r="G1428">
        <f t="shared" si="222"/>
        <v>0</v>
      </c>
      <c r="H1428">
        <f t="shared" si="223"/>
        <v>10</v>
      </c>
      <c r="I1428">
        <f t="shared" si="224"/>
        <v>43</v>
      </c>
      <c r="J1428">
        <f t="shared" si="225"/>
        <v>643</v>
      </c>
      <c r="K1428">
        <f t="shared" si="226"/>
        <v>11</v>
      </c>
      <c r="L1428">
        <f t="shared" si="227"/>
        <v>472103</v>
      </c>
      <c r="M1428">
        <f t="shared" si="228"/>
        <v>147002</v>
      </c>
      <c r="N1428">
        <f t="shared" si="229"/>
        <v>667105</v>
      </c>
      <c r="O1428">
        <f>IF(B1428="zagraniczny",K1428+O1427,O1427)</f>
        <v>679</v>
      </c>
    </row>
    <row r="1429" spans="1:15" x14ac:dyDescent="0.25">
      <c r="A1429">
        <v>2753778</v>
      </c>
      <c r="B1429" t="str">
        <f t="shared" si="220"/>
        <v>stacjonarny</v>
      </c>
      <c r="C1429" s="1">
        <v>42937</v>
      </c>
      <c r="D1429" s="2">
        <v>0.37133101851851852</v>
      </c>
      <c r="E1429" s="2">
        <v>0.38075231481481481</v>
      </c>
      <c r="F1429" s="2">
        <f t="shared" si="221"/>
        <v>9.4212962962962887E-3</v>
      </c>
      <c r="G1429">
        <f t="shared" si="222"/>
        <v>0</v>
      </c>
      <c r="H1429">
        <f t="shared" si="223"/>
        <v>13</v>
      </c>
      <c r="I1429">
        <f t="shared" si="224"/>
        <v>34</v>
      </c>
      <c r="J1429">
        <f t="shared" si="225"/>
        <v>814</v>
      </c>
      <c r="K1429">
        <f t="shared" si="226"/>
        <v>14</v>
      </c>
      <c r="L1429">
        <f t="shared" si="227"/>
        <v>472917</v>
      </c>
      <c r="M1429">
        <f t="shared" si="228"/>
        <v>147002</v>
      </c>
      <c r="N1429">
        <f t="shared" si="229"/>
        <v>667919</v>
      </c>
      <c r="O1429">
        <f>IF(B1429="zagraniczny",K1429+O1428,O1428)</f>
        <v>679</v>
      </c>
    </row>
    <row r="1430" spans="1:15" x14ac:dyDescent="0.25">
      <c r="A1430">
        <v>3508755</v>
      </c>
      <c r="B1430" t="str">
        <f t="shared" si="220"/>
        <v>stacjonarny</v>
      </c>
      <c r="C1430" s="1">
        <v>42937</v>
      </c>
      <c r="D1430" s="2">
        <v>0.37569444444444444</v>
      </c>
      <c r="E1430" s="2">
        <v>0.38611111111111113</v>
      </c>
      <c r="F1430" s="2">
        <f t="shared" si="221"/>
        <v>1.0416666666666685E-2</v>
      </c>
      <c r="G1430">
        <f t="shared" si="222"/>
        <v>0</v>
      </c>
      <c r="H1430">
        <f t="shared" si="223"/>
        <v>15</v>
      </c>
      <c r="I1430">
        <f t="shared" si="224"/>
        <v>0</v>
      </c>
      <c r="J1430">
        <f t="shared" si="225"/>
        <v>900</v>
      </c>
      <c r="K1430">
        <f t="shared" si="226"/>
        <v>15</v>
      </c>
      <c r="L1430">
        <f t="shared" si="227"/>
        <v>473817</v>
      </c>
      <c r="M1430">
        <f t="shared" si="228"/>
        <v>147002</v>
      </c>
      <c r="N1430">
        <f t="shared" si="229"/>
        <v>668819</v>
      </c>
      <c r="O1430">
        <f>IF(B1430="zagraniczny",K1430+O1429,O1429)</f>
        <v>679</v>
      </c>
    </row>
    <row r="1431" spans="1:15" x14ac:dyDescent="0.25">
      <c r="A1431">
        <v>14783929</v>
      </c>
      <c r="B1431" t="str">
        <f t="shared" si="220"/>
        <v>komorkowy</v>
      </c>
      <c r="C1431" s="1">
        <v>42937</v>
      </c>
      <c r="D1431" s="2">
        <v>0.37891203703703702</v>
      </c>
      <c r="E1431" s="2">
        <v>0.38443287037037038</v>
      </c>
      <c r="F1431" s="2">
        <f t="shared" si="221"/>
        <v>5.5208333333333637E-3</v>
      </c>
      <c r="G1431">
        <f t="shared" si="222"/>
        <v>0</v>
      </c>
      <c r="H1431">
        <f t="shared" si="223"/>
        <v>7</v>
      </c>
      <c r="I1431">
        <f t="shared" si="224"/>
        <v>57</v>
      </c>
      <c r="J1431">
        <f t="shared" si="225"/>
        <v>477</v>
      </c>
      <c r="K1431">
        <f t="shared" si="226"/>
        <v>8</v>
      </c>
      <c r="L1431">
        <f t="shared" si="227"/>
        <v>473817</v>
      </c>
      <c r="M1431">
        <f t="shared" si="228"/>
        <v>147479</v>
      </c>
      <c r="N1431">
        <f t="shared" si="229"/>
        <v>669296</v>
      </c>
      <c r="O1431">
        <f>IF(B1431="zagraniczny",K1431+O1430,O1430)</f>
        <v>679</v>
      </c>
    </row>
    <row r="1432" spans="1:15" x14ac:dyDescent="0.25">
      <c r="A1432">
        <v>1409543</v>
      </c>
      <c r="B1432" t="str">
        <f t="shared" si="220"/>
        <v>stacjonarny</v>
      </c>
      <c r="C1432" s="1">
        <v>42937</v>
      </c>
      <c r="D1432" s="2">
        <v>0.38086805555555553</v>
      </c>
      <c r="E1432" s="2">
        <v>0.38918981481481479</v>
      </c>
      <c r="F1432" s="2">
        <f t="shared" si="221"/>
        <v>8.3217592592592649E-3</v>
      </c>
      <c r="G1432">
        <f t="shared" si="222"/>
        <v>0</v>
      </c>
      <c r="H1432">
        <f t="shared" si="223"/>
        <v>11</v>
      </c>
      <c r="I1432">
        <f t="shared" si="224"/>
        <v>59</v>
      </c>
      <c r="J1432">
        <f t="shared" si="225"/>
        <v>719</v>
      </c>
      <c r="K1432">
        <f t="shared" si="226"/>
        <v>12</v>
      </c>
      <c r="L1432">
        <f t="shared" si="227"/>
        <v>474536</v>
      </c>
      <c r="M1432">
        <f t="shared" si="228"/>
        <v>147479</v>
      </c>
      <c r="N1432">
        <f t="shared" si="229"/>
        <v>670015</v>
      </c>
      <c r="O1432">
        <f>IF(B1432="zagraniczny",K1432+O1431,O1431)</f>
        <v>679</v>
      </c>
    </row>
    <row r="1433" spans="1:15" x14ac:dyDescent="0.25">
      <c r="A1433">
        <v>6891636</v>
      </c>
      <c r="B1433" t="str">
        <f t="shared" si="220"/>
        <v>stacjonarny</v>
      </c>
      <c r="C1433" s="1">
        <v>42937</v>
      </c>
      <c r="D1433" s="2">
        <v>0.38633101851851853</v>
      </c>
      <c r="E1433" s="2">
        <v>0.38923611111111112</v>
      </c>
      <c r="F1433" s="2">
        <f t="shared" si="221"/>
        <v>2.9050925925925841E-3</v>
      </c>
      <c r="G1433">
        <f t="shared" si="222"/>
        <v>0</v>
      </c>
      <c r="H1433">
        <f t="shared" si="223"/>
        <v>4</v>
      </c>
      <c r="I1433">
        <f t="shared" si="224"/>
        <v>11</v>
      </c>
      <c r="J1433">
        <f t="shared" si="225"/>
        <v>251</v>
      </c>
      <c r="K1433">
        <f t="shared" si="226"/>
        <v>5</v>
      </c>
      <c r="L1433">
        <f t="shared" si="227"/>
        <v>474787</v>
      </c>
      <c r="M1433">
        <f t="shared" si="228"/>
        <v>147479</v>
      </c>
      <c r="N1433">
        <f t="shared" si="229"/>
        <v>670266</v>
      </c>
      <c r="O1433">
        <f>IF(B1433="zagraniczny",K1433+O1432,O1432)</f>
        <v>679</v>
      </c>
    </row>
    <row r="1434" spans="1:15" x14ac:dyDescent="0.25">
      <c r="A1434">
        <v>8541151</v>
      </c>
      <c r="B1434" t="str">
        <f t="shared" si="220"/>
        <v>stacjonarny</v>
      </c>
      <c r="C1434" s="1">
        <v>42937</v>
      </c>
      <c r="D1434" s="2">
        <v>0.38848379629629631</v>
      </c>
      <c r="E1434" s="2">
        <v>0.39874999999999999</v>
      </c>
      <c r="F1434" s="2">
        <f t="shared" si="221"/>
        <v>1.026620370370368E-2</v>
      </c>
      <c r="G1434">
        <f t="shared" si="222"/>
        <v>0</v>
      </c>
      <c r="H1434">
        <f t="shared" si="223"/>
        <v>14</v>
      </c>
      <c r="I1434">
        <f t="shared" si="224"/>
        <v>47</v>
      </c>
      <c r="J1434">
        <f t="shared" si="225"/>
        <v>887</v>
      </c>
      <c r="K1434">
        <f t="shared" si="226"/>
        <v>15</v>
      </c>
      <c r="L1434">
        <f t="shared" si="227"/>
        <v>475674</v>
      </c>
      <c r="M1434">
        <f t="shared" si="228"/>
        <v>147479</v>
      </c>
      <c r="N1434">
        <f t="shared" si="229"/>
        <v>671153</v>
      </c>
      <c r="O1434">
        <f>IF(B1434="zagraniczny",K1434+O1433,O1433)</f>
        <v>679</v>
      </c>
    </row>
    <row r="1435" spans="1:15" x14ac:dyDescent="0.25">
      <c r="A1435">
        <v>8322802</v>
      </c>
      <c r="B1435" t="str">
        <f t="shared" si="220"/>
        <v>stacjonarny</v>
      </c>
      <c r="C1435" s="1">
        <v>42937</v>
      </c>
      <c r="D1435" s="2">
        <v>0.39089120370370373</v>
      </c>
      <c r="E1435" s="2">
        <v>0.39620370370370372</v>
      </c>
      <c r="F1435" s="2">
        <f t="shared" si="221"/>
        <v>5.3124999999999978E-3</v>
      </c>
      <c r="G1435">
        <f t="shared" si="222"/>
        <v>0</v>
      </c>
      <c r="H1435">
        <f t="shared" si="223"/>
        <v>7</v>
      </c>
      <c r="I1435">
        <f t="shared" si="224"/>
        <v>39</v>
      </c>
      <c r="J1435">
        <f t="shared" si="225"/>
        <v>459</v>
      </c>
      <c r="K1435">
        <f t="shared" si="226"/>
        <v>8</v>
      </c>
      <c r="L1435">
        <f t="shared" si="227"/>
        <v>476133</v>
      </c>
      <c r="M1435">
        <f t="shared" si="228"/>
        <v>147479</v>
      </c>
      <c r="N1435">
        <f t="shared" si="229"/>
        <v>671612</v>
      </c>
      <c r="O1435">
        <f>IF(B1435="zagraniczny",K1435+O1434,O1434)</f>
        <v>679</v>
      </c>
    </row>
    <row r="1436" spans="1:15" x14ac:dyDescent="0.25">
      <c r="A1436">
        <v>30678431</v>
      </c>
      <c r="B1436" t="str">
        <f t="shared" si="220"/>
        <v>komorkowy</v>
      </c>
      <c r="C1436" s="1">
        <v>42937</v>
      </c>
      <c r="D1436" s="2">
        <v>0.39469907407407406</v>
      </c>
      <c r="E1436" s="2">
        <v>0.40141203703703704</v>
      </c>
      <c r="F1436" s="2">
        <f t="shared" si="221"/>
        <v>6.7129629629629761E-3</v>
      </c>
      <c r="G1436">
        <f t="shared" si="222"/>
        <v>0</v>
      </c>
      <c r="H1436">
        <f t="shared" si="223"/>
        <v>9</v>
      </c>
      <c r="I1436">
        <f t="shared" si="224"/>
        <v>40</v>
      </c>
      <c r="J1436">
        <f t="shared" si="225"/>
        <v>580</v>
      </c>
      <c r="K1436">
        <f t="shared" si="226"/>
        <v>10</v>
      </c>
      <c r="L1436">
        <f t="shared" si="227"/>
        <v>476133</v>
      </c>
      <c r="M1436">
        <f t="shared" si="228"/>
        <v>148059</v>
      </c>
      <c r="N1436">
        <f t="shared" si="229"/>
        <v>672192</v>
      </c>
      <c r="O1436">
        <f>IF(B1436="zagraniczny",K1436+O1435,O1435)</f>
        <v>679</v>
      </c>
    </row>
    <row r="1437" spans="1:15" x14ac:dyDescent="0.25">
      <c r="A1437">
        <v>41837828</v>
      </c>
      <c r="B1437" t="str">
        <f t="shared" si="220"/>
        <v>komorkowy</v>
      </c>
      <c r="C1437" s="1">
        <v>42937</v>
      </c>
      <c r="D1437" s="2">
        <v>0.39953703703703702</v>
      </c>
      <c r="E1437" s="2">
        <v>0.40038194444444447</v>
      </c>
      <c r="F1437" s="2">
        <f t="shared" si="221"/>
        <v>8.4490740740744696E-4</v>
      </c>
      <c r="G1437">
        <f t="shared" si="222"/>
        <v>0</v>
      </c>
      <c r="H1437">
        <f t="shared" si="223"/>
        <v>1</v>
      </c>
      <c r="I1437">
        <f t="shared" si="224"/>
        <v>13</v>
      </c>
      <c r="J1437">
        <f t="shared" si="225"/>
        <v>73</v>
      </c>
      <c r="K1437">
        <f t="shared" si="226"/>
        <v>2</v>
      </c>
      <c r="L1437">
        <f t="shared" si="227"/>
        <v>476133</v>
      </c>
      <c r="M1437">
        <f t="shared" si="228"/>
        <v>148132</v>
      </c>
      <c r="N1437">
        <f t="shared" si="229"/>
        <v>672265</v>
      </c>
      <c r="O1437">
        <f>IF(B1437="zagraniczny",K1437+O1436,O1436)</f>
        <v>679</v>
      </c>
    </row>
    <row r="1438" spans="1:15" x14ac:dyDescent="0.25">
      <c r="A1438">
        <v>13639748</v>
      </c>
      <c r="B1438" t="str">
        <f t="shared" si="220"/>
        <v>komorkowy</v>
      </c>
      <c r="C1438" s="1">
        <v>42937</v>
      </c>
      <c r="D1438" s="2">
        <v>0.40379629629629632</v>
      </c>
      <c r="E1438" s="2">
        <v>0.40822916666666664</v>
      </c>
      <c r="F1438" s="2">
        <f t="shared" si="221"/>
        <v>4.4328703703703232E-3</v>
      </c>
      <c r="G1438">
        <f t="shared" si="222"/>
        <v>0</v>
      </c>
      <c r="H1438">
        <f t="shared" si="223"/>
        <v>6</v>
      </c>
      <c r="I1438">
        <f t="shared" si="224"/>
        <v>23</v>
      </c>
      <c r="J1438">
        <f t="shared" si="225"/>
        <v>383</v>
      </c>
      <c r="K1438">
        <f t="shared" si="226"/>
        <v>7</v>
      </c>
      <c r="L1438">
        <f t="shared" si="227"/>
        <v>476133</v>
      </c>
      <c r="M1438">
        <f t="shared" si="228"/>
        <v>148515</v>
      </c>
      <c r="N1438">
        <f t="shared" si="229"/>
        <v>672648</v>
      </c>
      <c r="O1438">
        <f>IF(B1438="zagraniczny",K1438+O1437,O1437)</f>
        <v>679</v>
      </c>
    </row>
    <row r="1439" spans="1:15" x14ac:dyDescent="0.25">
      <c r="A1439">
        <v>8972366</v>
      </c>
      <c r="B1439" t="str">
        <f t="shared" si="220"/>
        <v>stacjonarny</v>
      </c>
      <c r="C1439" s="1">
        <v>42937</v>
      </c>
      <c r="D1439" s="2">
        <v>0.40462962962962962</v>
      </c>
      <c r="E1439" s="2">
        <v>0.40875</v>
      </c>
      <c r="F1439" s="2">
        <f t="shared" si="221"/>
        <v>4.1203703703703853E-3</v>
      </c>
      <c r="G1439">
        <f t="shared" si="222"/>
        <v>0</v>
      </c>
      <c r="H1439">
        <f t="shared" si="223"/>
        <v>5</v>
      </c>
      <c r="I1439">
        <f t="shared" si="224"/>
        <v>56</v>
      </c>
      <c r="J1439">
        <f t="shared" si="225"/>
        <v>356</v>
      </c>
      <c r="K1439">
        <f t="shared" si="226"/>
        <v>6</v>
      </c>
      <c r="L1439">
        <f t="shared" si="227"/>
        <v>476489</v>
      </c>
      <c r="M1439">
        <f t="shared" si="228"/>
        <v>148515</v>
      </c>
      <c r="N1439">
        <f t="shared" si="229"/>
        <v>673004</v>
      </c>
      <c r="O1439">
        <f>IF(B1439="zagraniczny",K1439+O1438,O1438)</f>
        <v>679</v>
      </c>
    </row>
    <row r="1440" spans="1:15" x14ac:dyDescent="0.25">
      <c r="A1440">
        <v>5233531</v>
      </c>
      <c r="B1440" t="str">
        <f t="shared" si="220"/>
        <v>stacjonarny</v>
      </c>
      <c r="C1440" s="1">
        <v>42937</v>
      </c>
      <c r="D1440" s="2">
        <v>0.40465277777777775</v>
      </c>
      <c r="E1440" s="2">
        <v>0.40887731481481482</v>
      </c>
      <c r="F1440" s="2">
        <f t="shared" si="221"/>
        <v>4.2245370370370683E-3</v>
      </c>
      <c r="G1440">
        <f t="shared" si="222"/>
        <v>0</v>
      </c>
      <c r="H1440">
        <f t="shared" si="223"/>
        <v>6</v>
      </c>
      <c r="I1440">
        <f t="shared" si="224"/>
        <v>5</v>
      </c>
      <c r="J1440">
        <f t="shared" si="225"/>
        <v>365</v>
      </c>
      <c r="K1440">
        <f t="shared" si="226"/>
        <v>7</v>
      </c>
      <c r="L1440">
        <f t="shared" si="227"/>
        <v>476854</v>
      </c>
      <c r="M1440">
        <f t="shared" si="228"/>
        <v>148515</v>
      </c>
      <c r="N1440">
        <f t="shared" si="229"/>
        <v>673369</v>
      </c>
      <c r="O1440">
        <f>IF(B1440="zagraniczny",K1440+O1439,O1439)</f>
        <v>679</v>
      </c>
    </row>
    <row r="1441" spans="1:15" x14ac:dyDescent="0.25">
      <c r="A1441">
        <v>3691176</v>
      </c>
      <c r="B1441" t="str">
        <f t="shared" si="220"/>
        <v>stacjonarny</v>
      </c>
      <c r="C1441" s="1">
        <v>42937</v>
      </c>
      <c r="D1441" s="2">
        <v>0.40505787037037039</v>
      </c>
      <c r="E1441" s="2">
        <v>0.40561342592592592</v>
      </c>
      <c r="F1441" s="2">
        <f t="shared" si="221"/>
        <v>5.5555555555553138E-4</v>
      </c>
      <c r="G1441">
        <f t="shared" si="222"/>
        <v>0</v>
      </c>
      <c r="H1441">
        <f t="shared" si="223"/>
        <v>0</v>
      </c>
      <c r="I1441">
        <f t="shared" si="224"/>
        <v>48</v>
      </c>
      <c r="J1441">
        <f t="shared" si="225"/>
        <v>48</v>
      </c>
      <c r="K1441">
        <f t="shared" si="226"/>
        <v>1</v>
      </c>
      <c r="L1441">
        <f t="shared" si="227"/>
        <v>476902</v>
      </c>
      <c r="M1441">
        <f t="shared" si="228"/>
        <v>148515</v>
      </c>
      <c r="N1441">
        <f t="shared" si="229"/>
        <v>673417</v>
      </c>
      <c r="O1441">
        <f>IF(B1441="zagraniczny",K1441+O1440,O1440)</f>
        <v>679</v>
      </c>
    </row>
    <row r="1442" spans="1:15" x14ac:dyDescent="0.25">
      <c r="A1442">
        <v>66377806</v>
      </c>
      <c r="B1442" t="str">
        <f t="shared" si="220"/>
        <v>komorkowy</v>
      </c>
      <c r="C1442" s="1">
        <v>42937</v>
      </c>
      <c r="D1442" s="2">
        <v>0.40694444444444444</v>
      </c>
      <c r="E1442" s="2">
        <v>0.40991898148148148</v>
      </c>
      <c r="F1442" s="2">
        <f t="shared" si="221"/>
        <v>2.9745370370370394E-3</v>
      </c>
      <c r="G1442">
        <f t="shared" si="222"/>
        <v>0</v>
      </c>
      <c r="H1442">
        <f t="shared" si="223"/>
        <v>4</v>
      </c>
      <c r="I1442">
        <f t="shared" si="224"/>
        <v>17</v>
      </c>
      <c r="J1442">
        <f t="shared" si="225"/>
        <v>257</v>
      </c>
      <c r="K1442">
        <f t="shared" si="226"/>
        <v>5</v>
      </c>
      <c r="L1442">
        <f t="shared" si="227"/>
        <v>476902</v>
      </c>
      <c r="M1442">
        <f t="shared" si="228"/>
        <v>148772</v>
      </c>
      <c r="N1442">
        <f t="shared" si="229"/>
        <v>673674</v>
      </c>
      <c r="O1442">
        <f>IF(B1442="zagraniczny",K1442+O1441,O1441)</f>
        <v>679</v>
      </c>
    </row>
    <row r="1443" spans="1:15" x14ac:dyDescent="0.25">
      <c r="A1443">
        <v>6357818</v>
      </c>
      <c r="B1443" t="str">
        <f t="shared" si="220"/>
        <v>stacjonarny</v>
      </c>
      <c r="C1443" s="1">
        <v>42937</v>
      </c>
      <c r="D1443" s="2">
        <v>0.41228009259259257</v>
      </c>
      <c r="E1443" s="2">
        <v>0.41648148148148151</v>
      </c>
      <c r="F1443" s="2">
        <f t="shared" si="221"/>
        <v>4.201388888888935E-3</v>
      </c>
      <c r="G1443">
        <f t="shared" si="222"/>
        <v>0</v>
      </c>
      <c r="H1443">
        <f t="shared" si="223"/>
        <v>6</v>
      </c>
      <c r="I1443">
        <f t="shared" si="224"/>
        <v>3</v>
      </c>
      <c r="J1443">
        <f t="shared" si="225"/>
        <v>363</v>
      </c>
      <c r="K1443">
        <f t="shared" si="226"/>
        <v>7</v>
      </c>
      <c r="L1443">
        <f t="shared" si="227"/>
        <v>477265</v>
      </c>
      <c r="M1443">
        <f t="shared" si="228"/>
        <v>148772</v>
      </c>
      <c r="N1443">
        <f t="shared" si="229"/>
        <v>674037</v>
      </c>
      <c r="O1443">
        <f>IF(B1443="zagraniczny",K1443+O1442,O1442)</f>
        <v>679</v>
      </c>
    </row>
    <row r="1444" spans="1:15" x14ac:dyDescent="0.25">
      <c r="A1444">
        <v>7123731</v>
      </c>
      <c r="B1444" t="str">
        <f t="shared" si="220"/>
        <v>stacjonarny</v>
      </c>
      <c r="C1444" s="1">
        <v>42937</v>
      </c>
      <c r="D1444" s="2">
        <v>0.41494212962962962</v>
      </c>
      <c r="E1444" s="2">
        <v>0.41641203703703705</v>
      </c>
      <c r="F1444" s="2">
        <f t="shared" si="221"/>
        <v>1.4699074074074336E-3</v>
      </c>
      <c r="G1444">
        <f t="shared" si="222"/>
        <v>0</v>
      </c>
      <c r="H1444">
        <f t="shared" si="223"/>
        <v>2</v>
      </c>
      <c r="I1444">
        <f t="shared" si="224"/>
        <v>7</v>
      </c>
      <c r="J1444">
        <f t="shared" si="225"/>
        <v>127</v>
      </c>
      <c r="K1444">
        <f t="shared" si="226"/>
        <v>3</v>
      </c>
      <c r="L1444">
        <f t="shared" si="227"/>
        <v>477392</v>
      </c>
      <c r="M1444">
        <f t="shared" si="228"/>
        <v>148772</v>
      </c>
      <c r="N1444">
        <f t="shared" si="229"/>
        <v>674164</v>
      </c>
      <c r="O1444">
        <f>IF(B1444="zagraniczny",K1444+O1443,O1443)</f>
        <v>679</v>
      </c>
    </row>
    <row r="1445" spans="1:15" x14ac:dyDescent="0.25">
      <c r="A1445">
        <v>91907883</v>
      </c>
      <c r="B1445" t="str">
        <f t="shared" si="220"/>
        <v>komorkowy</v>
      </c>
      <c r="C1445" s="1">
        <v>42937</v>
      </c>
      <c r="D1445" s="2">
        <v>0.42054398148148148</v>
      </c>
      <c r="E1445" s="2">
        <v>0.42721064814814813</v>
      </c>
      <c r="F1445" s="2">
        <f t="shared" si="221"/>
        <v>6.6666666666666541E-3</v>
      </c>
      <c r="G1445">
        <f t="shared" si="222"/>
        <v>0</v>
      </c>
      <c r="H1445">
        <f t="shared" si="223"/>
        <v>9</v>
      </c>
      <c r="I1445">
        <f t="shared" si="224"/>
        <v>36</v>
      </c>
      <c r="J1445">
        <f t="shared" si="225"/>
        <v>576</v>
      </c>
      <c r="K1445">
        <f t="shared" si="226"/>
        <v>10</v>
      </c>
      <c r="L1445">
        <f t="shared" si="227"/>
        <v>477392</v>
      </c>
      <c r="M1445">
        <f t="shared" si="228"/>
        <v>149348</v>
      </c>
      <c r="N1445">
        <f t="shared" si="229"/>
        <v>674740</v>
      </c>
      <c r="O1445">
        <f>IF(B1445="zagraniczny",K1445+O1444,O1444)</f>
        <v>679</v>
      </c>
    </row>
    <row r="1446" spans="1:15" x14ac:dyDescent="0.25">
      <c r="A1446">
        <v>69734527</v>
      </c>
      <c r="B1446" t="str">
        <f t="shared" si="220"/>
        <v>komorkowy</v>
      </c>
      <c r="C1446" s="1">
        <v>42937</v>
      </c>
      <c r="D1446" s="2">
        <v>0.42084490740740743</v>
      </c>
      <c r="E1446" s="2">
        <v>0.43167824074074074</v>
      </c>
      <c r="F1446" s="2">
        <f t="shared" si="221"/>
        <v>1.0833333333333306E-2</v>
      </c>
      <c r="G1446">
        <f t="shared" si="222"/>
        <v>0</v>
      </c>
      <c r="H1446">
        <f t="shared" si="223"/>
        <v>15</v>
      </c>
      <c r="I1446">
        <f t="shared" si="224"/>
        <v>36</v>
      </c>
      <c r="J1446">
        <f t="shared" si="225"/>
        <v>936</v>
      </c>
      <c r="K1446">
        <f t="shared" si="226"/>
        <v>16</v>
      </c>
      <c r="L1446">
        <f t="shared" si="227"/>
        <v>477392</v>
      </c>
      <c r="M1446">
        <f t="shared" si="228"/>
        <v>150284</v>
      </c>
      <c r="N1446">
        <f t="shared" si="229"/>
        <v>675676</v>
      </c>
      <c r="O1446">
        <f>IF(B1446="zagraniczny",K1446+O1445,O1445)</f>
        <v>679</v>
      </c>
    </row>
    <row r="1447" spans="1:15" x14ac:dyDescent="0.25">
      <c r="A1447">
        <v>7536096</v>
      </c>
      <c r="B1447" t="str">
        <f t="shared" si="220"/>
        <v>stacjonarny</v>
      </c>
      <c r="C1447" s="1">
        <v>42937</v>
      </c>
      <c r="D1447" s="2">
        <v>0.42357638888888888</v>
      </c>
      <c r="E1447" s="2">
        <v>0.4322685185185185</v>
      </c>
      <c r="F1447" s="2">
        <f t="shared" si="221"/>
        <v>8.6921296296296191E-3</v>
      </c>
      <c r="G1447">
        <f t="shared" si="222"/>
        <v>0</v>
      </c>
      <c r="H1447">
        <f t="shared" si="223"/>
        <v>12</v>
      </c>
      <c r="I1447">
        <f t="shared" si="224"/>
        <v>31</v>
      </c>
      <c r="J1447">
        <f t="shared" si="225"/>
        <v>751</v>
      </c>
      <c r="K1447">
        <f t="shared" si="226"/>
        <v>13</v>
      </c>
      <c r="L1447">
        <f t="shared" si="227"/>
        <v>478143</v>
      </c>
      <c r="M1447">
        <f t="shared" si="228"/>
        <v>150284</v>
      </c>
      <c r="N1447">
        <f t="shared" si="229"/>
        <v>676427</v>
      </c>
      <c r="O1447">
        <f>IF(B1447="zagraniczny",K1447+O1446,O1446)</f>
        <v>679</v>
      </c>
    </row>
    <row r="1448" spans="1:15" x14ac:dyDescent="0.25">
      <c r="A1448">
        <v>60158843</v>
      </c>
      <c r="B1448" t="str">
        <f t="shared" si="220"/>
        <v>komorkowy</v>
      </c>
      <c r="C1448" s="1">
        <v>42937</v>
      </c>
      <c r="D1448" s="2">
        <v>0.42814814814814817</v>
      </c>
      <c r="E1448" s="2">
        <v>0.43784722222222222</v>
      </c>
      <c r="F1448" s="2">
        <f t="shared" si="221"/>
        <v>9.6990740740740544E-3</v>
      </c>
      <c r="G1448">
        <f t="shared" si="222"/>
        <v>0</v>
      </c>
      <c r="H1448">
        <f t="shared" si="223"/>
        <v>13</v>
      </c>
      <c r="I1448">
        <f t="shared" si="224"/>
        <v>58</v>
      </c>
      <c r="J1448">
        <f t="shared" si="225"/>
        <v>838</v>
      </c>
      <c r="K1448">
        <f t="shared" si="226"/>
        <v>14</v>
      </c>
      <c r="L1448">
        <f t="shared" si="227"/>
        <v>478143</v>
      </c>
      <c r="M1448">
        <f t="shared" si="228"/>
        <v>151122</v>
      </c>
      <c r="N1448">
        <f t="shared" si="229"/>
        <v>677265</v>
      </c>
      <c r="O1448">
        <f>IF(B1448="zagraniczny",K1448+O1447,O1447)</f>
        <v>679</v>
      </c>
    </row>
    <row r="1449" spans="1:15" x14ac:dyDescent="0.25">
      <c r="A1449">
        <v>6942059</v>
      </c>
      <c r="B1449" t="str">
        <f t="shared" si="220"/>
        <v>stacjonarny</v>
      </c>
      <c r="C1449" s="1">
        <v>42937</v>
      </c>
      <c r="D1449" s="2">
        <v>0.43002314814814813</v>
      </c>
      <c r="E1449" s="2">
        <v>0.43030092592592595</v>
      </c>
      <c r="F1449" s="2">
        <f t="shared" si="221"/>
        <v>2.777777777778212E-4</v>
      </c>
      <c r="G1449">
        <f t="shared" si="222"/>
        <v>0</v>
      </c>
      <c r="H1449">
        <f t="shared" si="223"/>
        <v>0</v>
      </c>
      <c r="I1449">
        <f t="shared" si="224"/>
        <v>24</v>
      </c>
      <c r="J1449">
        <f t="shared" si="225"/>
        <v>24</v>
      </c>
      <c r="K1449">
        <f t="shared" si="226"/>
        <v>1</v>
      </c>
      <c r="L1449">
        <f t="shared" si="227"/>
        <v>478167</v>
      </c>
      <c r="M1449">
        <f t="shared" si="228"/>
        <v>151122</v>
      </c>
      <c r="N1449">
        <f t="shared" si="229"/>
        <v>677289</v>
      </c>
      <c r="O1449">
        <f>IF(B1449="zagraniczny",K1449+O1448,O1448)</f>
        <v>679</v>
      </c>
    </row>
    <row r="1450" spans="1:15" x14ac:dyDescent="0.25">
      <c r="A1450">
        <v>28282891</v>
      </c>
      <c r="B1450" t="str">
        <f t="shared" si="220"/>
        <v>komorkowy</v>
      </c>
      <c r="C1450" s="1">
        <v>42937</v>
      </c>
      <c r="D1450" s="2">
        <v>0.4307523148148148</v>
      </c>
      <c r="E1450" s="2">
        <v>0.4412847222222222</v>
      </c>
      <c r="F1450" s="2">
        <f t="shared" si="221"/>
        <v>1.0532407407407407E-2</v>
      </c>
      <c r="G1450">
        <f t="shared" si="222"/>
        <v>0</v>
      </c>
      <c r="H1450">
        <f t="shared" si="223"/>
        <v>15</v>
      </c>
      <c r="I1450">
        <f t="shared" si="224"/>
        <v>10</v>
      </c>
      <c r="J1450">
        <f t="shared" si="225"/>
        <v>910</v>
      </c>
      <c r="K1450">
        <f t="shared" si="226"/>
        <v>16</v>
      </c>
      <c r="L1450">
        <f t="shared" si="227"/>
        <v>478167</v>
      </c>
      <c r="M1450">
        <f t="shared" si="228"/>
        <v>152032</v>
      </c>
      <c r="N1450">
        <f t="shared" si="229"/>
        <v>678199</v>
      </c>
      <c r="O1450">
        <f>IF(B1450="zagraniczny",K1450+O1449,O1449)</f>
        <v>679</v>
      </c>
    </row>
    <row r="1451" spans="1:15" x14ac:dyDescent="0.25">
      <c r="A1451">
        <v>1617146</v>
      </c>
      <c r="B1451" t="str">
        <f t="shared" si="220"/>
        <v>stacjonarny</v>
      </c>
      <c r="C1451" s="1">
        <v>42937</v>
      </c>
      <c r="D1451" s="2">
        <v>0.43400462962962966</v>
      </c>
      <c r="E1451" s="2">
        <v>0.44041666666666668</v>
      </c>
      <c r="F1451" s="2">
        <f t="shared" si="221"/>
        <v>6.4120370370370217E-3</v>
      </c>
      <c r="G1451">
        <f t="shared" si="222"/>
        <v>0</v>
      </c>
      <c r="H1451">
        <f t="shared" si="223"/>
        <v>9</v>
      </c>
      <c r="I1451">
        <f t="shared" si="224"/>
        <v>14</v>
      </c>
      <c r="J1451">
        <f t="shared" si="225"/>
        <v>554</v>
      </c>
      <c r="K1451">
        <f t="shared" si="226"/>
        <v>10</v>
      </c>
      <c r="L1451">
        <f t="shared" si="227"/>
        <v>478721</v>
      </c>
      <c r="M1451">
        <f t="shared" si="228"/>
        <v>152032</v>
      </c>
      <c r="N1451">
        <f t="shared" si="229"/>
        <v>678753</v>
      </c>
      <c r="O1451">
        <f>IF(B1451="zagraniczny",K1451+O1450,O1450)</f>
        <v>679</v>
      </c>
    </row>
    <row r="1452" spans="1:15" x14ac:dyDescent="0.25">
      <c r="A1452">
        <v>2186880</v>
      </c>
      <c r="B1452" t="str">
        <f t="shared" si="220"/>
        <v>stacjonarny</v>
      </c>
      <c r="C1452" s="1">
        <v>42937</v>
      </c>
      <c r="D1452" s="2">
        <v>0.43582175925925926</v>
      </c>
      <c r="E1452" s="2">
        <v>0.44550925925925927</v>
      </c>
      <c r="F1452" s="2">
        <f t="shared" si="221"/>
        <v>9.6875000000000155E-3</v>
      </c>
      <c r="G1452">
        <f t="shared" si="222"/>
        <v>0</v>
      </c>
      <c r="H1452">
        <f t="shared" si="223"/>
        <v>13</v>
      </c>
      <c r="I1452">
        <f t="shared" si="224"/>
        <v>57</v>
      </c>
      <c r="J1452">
        <f t="shared" si="225"/>
        <v>837</v>
      </c>
      <c r="K1452">
        <f t="shared" si="226"/>
        <v>14</v>
      </c>
      <c r="L1452">
        <f t="shared" si="227"/>
        <v>479558</v>
      </c>
      <c r="M1452">
        <f t="shared" si="228"/>
        <v>152032</v>
      </c>
      <c r="N1452">
        <f t="shared" si="229"/>
        <v>679590</v>
      </c>
      <c r="O1452">
        <f>IF(B1452="zagraniczny",K1452+O1451,O1451)</f>
        <v>679</v>
      </c>
    </row>
    <row r="1453" spans="1:15" x14ac:dyDescent="0.25">
      <c r="A1453">
        <v>92461001</v>
      </c>
      <c r="B1453" t="str">
        <f t="shared" si="220"/>
        <v>komorkowy</v>
      </c>
      <c r="C1453" s="1">
        <v>42937</v>
      </c>
      <c r="D1453" s="2">
        <v>0.43730324074074073</v>
      </c>
      <c r="E1453" s="2">
        <v>0.44869212962962962</v>
      </c>
      <c r="F1453" s="2">
        <f t="shared" si="221"/>
        <v>1.1388888888888893E-2</v>
      </c>
      <c r="G1453">
        <f t="shared" si="222"/>
        <v>0</v>
      </c>
      <c r="H1453">
        <f t="shared" si="223"/>
        <v>16</v>
      </c>
      <c r="I1453">
        <f t="shared" si="224"/>
        <v>24</v>
      </c>
      <c r="J1453">
        <f t="shared" si="225"/>
        <v>984</v>
      </c>
      <c r="K1453">
        <f t="shared" si="226"/>
        <v>17</v>
      </c>
      <c r="L1453">
        <f t="shared" si="227"/>
        <v>479558</v>
      </c>
      <c r="M1453">
        <f t="shared" si="228"/>
        <v>153016</v>
      </c>
      <c r="N1453">
        <f t="shared" si="229"/>
        <v>680574</v>
      </c>
      <c r="O1453">
        <f>IF(B1453="zagraniczny",K1453+O1452,O1452)</f>
        <v>679</v>
      </c>
    </row>
    <row r="1454" spans="1:15" x14ac:dyDescent="0.25">
      <c r="A1454">
        <v>4657345</v>
      </c>
      <c r="B1454" t="str">
        <f t="shared" si="220"/>
        <v>stacjonarny</v>
      </c>
      <c r="C1454" s="1">
        <v>42937</v>
      </c>
      <c r="D1454" s="2">
        <v>0.44291666666666668</v>
      </c>
      <c r="E1454" s="2">
        <v>0.45256944444444447</v>
      </c>
      <c r="F1454" s="2">
        <f t="shared" si="221"/>
        <v>9.6527777777777879E-3</v>
      </c>
      <c r="G1454">
        <f t="shared" si="222"/>
        <v>0</v>
      </c>
      <c r="H1454">
        <f t="shared" si="223"/>
        <v>13</v>
      </c>
      <c r="I1454">
        <f t="shared" si="224"/>
        <v>54</v>
      </c>
      <c r="J1454">
        <f t="shared" si="225"/>
        <v>834</v>
      </c>
      <c r="K1454">
        <f t="shared" si="226"/>
        <v>14</v>
      </c>
      <c r="L1454">
        <f t="shared" si="227"/>
        <v>480392</v>
      </c>
      <c r="M1454">
        <f t="shared" si="228"/>
        <v>153016</v>
      </c>
      <c r="N1454">
        <f t="shared" si="229"/>
        <v>681408</v>
      </c>
      <c r="O1454">
        <f>IF(B1454="zagraniczny",K1454+O1453,O1453)</f>
        <v>679</v>
      </c>
    </row>
    <row r="1455" spans="1:15" x14ac:dyDescent="0.25">
      <c r="A1455">
        <v>16775888</v>
      </c>
      <c r="B1455" t="str">
        <f t="shared" si="220"/>
        <v>komorkowy</v>
      </c>
      <c r="C1455" s="1">
        <v>42937</v>
      </c>
      <c r="D1455" s="2">
        <v>0.4478240740740741</v>
      </c>
      <c r="E1455" s="2">
        <v>0.45548611111111109</v>
      </c>
      <c r="F1455" s="2">
        <f t="shared" si="221"/>
        <v>7.662037037036995E-3</v>
      </c>
      <c r="G1455">
        <f t="shared" si="222"/>
        <v>0</v>
      </c>
      <c r="H1455">
        <f t="shared" si="223"/>
        <v>11</v>
      </c>
      <c r="I1455">
        <f t="shared" si="224"/>
        <v>2</v>
      </c>
      <c r="J1455">
        <f t="shared" si="225"/>
        <v>662</v>
      </c>
      <c r="K1455">
        <f t="shared" si="226"/>
        <v>12</v>
      </c>
      <c r="L1455">
        <f t="shared" si="227"/>
        <v>480392</v>
      </c>
      <c r="M1455">
        <f t="shared" si="228"/>
        <v>153678</v>
      </c>
      <c r="N1455">
        <f t="shared" si="229"/>
        <v>682070</v>
      </c>
      <c r="O1455">
        <f>IF(B1455="zagraniczny",K1455+O1454,O1454)</f>
        <v>679</v>
      </c>
    </row>
    <row r="1456" spans="1:15" x14ac:dyDescent="0.25">
      <c r="A1456">
        <v>97953696</v>
      </c>
      <c r="B1456" t="str">
        <f t="shared" si="220"/>
        <v>komorkowy</v>
      </c>
      <c r="C1456" s="1">
        <v>42937</v>
      </c>
      <c r="D1456" s="2">
        <v>0.45187500000000003</v>
      </c>
      <c r="E1456" s="2">
        <v>0.45925925925925926</v>
      </c>
      <c r="F1456" s="2">
        <f t="shared" si="221"/>
        <v>7.3842592592592293E-3</v>
      </c>
      <c r="G1456">
        <f t="shared" si="222"/>
        <v>0</v>
      </c>
      <c r="H1456">
        <f t="shared" si="223"/>
        <v>10</v>
      </c>
      <c r="I1456">
        <f t="shared" si="224"/>
        <v>38</v>
      </c>
      <c r="J1456">
        <f t="shared" si="225"/>
        <v>638</v>
      </c>
      <c r="K1456">
        <f t="shared" si="226"/>
        <v>11</v>
      </c>
      <c r="L1456">
        <f t="shared" si="227"/>
        <v>480392</v>
      </c>
      <c r="M1456">
        <f t="shared" si="228"/>
        <v>154316</v>
      </c>
      <c r="N1456">
        <f t="shared" si="229"/>
        <v>682708</v>
      </c>
      <c r="O1456">
        <f>IF(B1456="zagraniczny",K1456+O1455,O1455)</f>
        <v>679</v>
      </c>
    </row>
    <row r="1457" spans="1:15" x14ac:dyDescent="0.25">
      <c r="A1457">
        <v>1166111</v>
      </c>
      <c r="B1457" t="str">
        <f t="shared" si="220"/>
        <v>stacjonarny</v>
      </c>
      <c r="C1457" s="1">
        <v>42937</v>
      </c>
      <c r="D1457" s="2">
        <v>0.45458333333333334</v>
      </c>
      <c r="E1457" s="2">
        <v>0.46295138888888887</v>
      </c>
      <c r="F1457" s="2">
        <f t="shared" si="221"/>
        <v>8.3680555555555314E-3</v>
      </c>
      <c r="G1457">
        <f t="shared" si="222"/>
        <v>0</v>
      </c>
      <c r="H1457">
        <f t="shared" si="223"/>
        <v>12</v>
      </c>
      <c r="I1457">
        <f t="shared" si="224"/>
        <v>3</v>
      </c>
      <c r="J1457">
        <f t="shared" si="225"/>
        <v>723</v>
      </c>
      <c r="K1457">
        <f t="shared" si="226"/>
        <v>13</v>
      </c>
      <c r="L1457">
        <f t="shared" si="227"/>
        <v>481115</v>
      </c>
      <c r="M1457">
        <f t="shared" si="228"/>
        <v>154316</v>
      </c>
      <c r="N1457">
        <f t="shared" si="229"/>
        <v>683431</v>
      </c>
      <c r="O1457">
        <f>IF(B1457="zagraniczny",K1457+O1456,O1456)</f>
        <v>679</v>
      </c>
    </row>
    <row r="1458" spans="1:15" x14ac:dyDescent="0.25">
      <c r="A1458">
        <v>91907883</v>
      </c>
      <c r="B1458" t="str">
        <f t="shared" si="220"/>
        <v>komorkowy</v>
      </c>
      <c r="C1458" s="1">
        <v>42937</v>
      </c>
      <c r="D1458" s="2">
        <v>0.45689814814814816</v>
      </c>
      <c r="E1458" s="2">
        <v>0.4574537037037037</v>
      </c>
      <c r="F1458" s="2">
        <f t="shared" si="221"/>
        <v>5.5555555555553138E-4</v>
      </c>
      <c r="G1458">
        <f t="shared" si="222"/>
        <v>0</v>
      </c>
      <c r="H1458">
        <f t="shared" si="223"/>
        <v>0</v>
      </c>
      <c r="I1458">
        <f t="shared" si="224"/>
        <v>48</v>
      </c>
      <c r="J1458">
        <f t="shared" si="225"/>
        <v>48</v>
      </c>
      <c r="K1458">
        <f t="shared" si="226"/>
        <v>1</v>
      </c>
      <c r="L1458">
        <f t="shared" si="227"/>
        <v>481115</v>
      </c>
      <c r="M1458">
        <f t="shared" si="228"/>
        <v>154364</v>
      </c>
      <c r="N1458">
        <f t="shared" si="229"/>
        <v>683479</v>
      </c>
      <c r="O1458">
        <f>IF(B1458="zagraniczny",K1458+O1457,O1457)</f>
        <v>679</v>
      </c>
    </row>
    <row r="1459" spans="1:15" x14ac:dyDescent="0.25">
      <c r="A1459">
        <v>9225043</v>
      </c>
      <c r="B1459" t="str">
        <f t="shared" si="220"/>
        <v>stacjonarny</v>
      </c>
      <c r="C1459" s="1">
        <v>42937</v>
      </c>
      <c r="D1459" s="2">
        <v>0.4612384259259259</v>
      </c>
      <c r="E1459" s="2">
        <v>0.46285879629629628</v>
      </c>
      <c r="F1459" s="2">
        <f t="shared" si="221"/>
        <v>1.6203703703703831E-3</v>
      </c>
      <c r="G1459">
        <f t="shared" si="222"/>
        <v>0</v>
      </c>
      <c r="H1459">
        <f t="shared" si="223"/>
        <v>2</v>
      </c>
      <c r="I1459">
        <f t="shared" si="224"/>
        <v>20</v>
      </c>
      <c r="J1459">
        <f t="shared" si="225"/>
        <v>140</v>
      </c>
      <c r="K1459">
        <f t="shared" si="226"/>
        <v>3</v>
      </c>
      <c r="L1459">
        <f t="shared" si="227"/>
        <v>481255</v>
      </c>
      <c r="M1459">
        <f t="shared" si="228"/>
        <v>154364</v>
      </c>
      <c r="N1459">
        <f t="shared" si="229"/>
        <v>683619</v>
      </c>
      <c r="O1459">
        <f>IF(B1459="zagraniczny",K1459+O1458,O1458)</f>
        <v>679</v>
      </c>
    </row>
    <row r="1460" spans="1:15" x14ac:dyDescent="0.25">
      <c r="A1460">
        <v>6408952</v>
      </c>
      <c r="B1460" t="str">
        <f t="shared" si="220"/>
        <v>stacjonarny</v>
      </c>
      <c r="C1460" s="1">
        <v>42937</v>
      </c>
      <c r="D1460" s="2">
        <v>0.46553240740740742</v>
      </c>
      <c r="E1460" s="2">
        <v>0.47234953703703703</v>
      </c>
      <c r="F1460" s="2">
        <f t="shared" si="221"/>
        <v>6.8171296296296036E-3</v>
      </c>
      <c r="G1460">
        <f t="shared" si="222"/>
        <v>0</v>
      </c>
      <c r="H1460">
        <f t="shared" si="223"/>
        <v>9</v>
      </c>
      <c r="I1460">
        <f t="shared" si="224"/>
        <v>49</v>
      </c>
      <c r="J1460">
        <f t="shared" si="225"/>
        <v>589</v>
      </c>
      <c r="K1460">
        <f t="shared" si="226"/>
        <v>10</v>
      </c>
      <c r="L1460">
        <f t="shared" si="227"/>
        <v>481844</v>
      </c>
      <c r="M1460">
        <f t="shared" si="228"/>
        <v>154364</v>
      </c>
      <c r="N1460">
        <f t="shared" si="229"/>
        <v>684208</v>
      </c>
      <c r="O1460">
        <f>IF(B1460="zagraniczny",K1460+O1459,O1459)</f>
        <v>679</v>
      </c>
    </row>
    <row r="1461" spans="1:15" x14ac:dyDescent="0.25">
      <c r="A1461">
        <v>81010250</v>
      </c>
      <c r="B1461" t="str">
        <f t="shared" si="220"/>
        <v>komorkowy</v>
      </c>
      <c r="C1461" s="1">
        <v>42937</v>
      </c>
      <c r="D1461" s="2">
        <v>0.47075231481481483</v>
      </c>
      <c r="E1461" s="2">
        <v>0.47239583333333335</v>
      </c>
      <c r="F1461" s="2">
        <f t="shared" si="221"/>
        <v>1.6435185185185164E-3</v>
      </c>
      <c r="G1461">
        <f t="shared" si="222"/>
        <v>0</v>
      </c>
      <c r="H1461">
        <f t="shared" si="223"/>
        <v>2</v>
      </c>
      <c r="I1461">
        <f t="shared" si="224"/>
        <v>22</v>
      </c>
      <c r="J1461">
        <f t="shared" si="225"/>
        <v>142</v>
      </c>
      <c r="K1461">
        <f t="shared" si="226"/>
        <v>3</v>
      </c>
      <c r="L1461">
        <f t="shared" si="227"/>
        <v>481844</v>
      </c>
      <c r="M1461">
        <f t="shared" si="228"/>
        <v>154506</v>
      </c>
      <c r="N1461">
        <f t="shared" si="229"/>
        <v>684350</v>
      </c>
      <c r="O1461">
        <f>IF(B1461="zagraniczny",K1461+O1460,O1460)</f>
        <v>679</v>
      </c>
    </row>
    <row r="1462" spans="1:15" x14ac:dyDescent="0.25">
      <c r="A1462">
        <v>8596442</v>
      </c>
      <c r="B1462" t="str">
        <f t="shared" si="220"/>
        <v>stacjonarny</v>
      </c>
      <c r="C1462" s="1">
        <v>42937</v>
      </c>
      <c r="D1462" s="2">
        <v>0.47105324074074073</v>
      </c>
      <c r="E1462" s="2">
        <v>0.48011574074074076</v>
      </c>
      <c r="F1462" s="2">
        <f t="shared" si="221"/>
        <v>9.0625000000000289E-3</v>
      </c>
      <c r="G1462">
        <f t="shared" si="222"/>
        <v>0</v>
      </c>
      <c r="H1462">
        <f t="shared" si="223"/>
        <v>13</v>
      </c>
      <c r="I1462">
        <f t="shared" si="224"/>
        <v>3</v>
      </c>
      <c r="J1462">
        <f t="shared" si="225"/>
        <v>783</v>
      </c>
      <c r="K1462">
        <f t="shared" si="226"/>
        <v>14</v>
      </c>
      <c r="L1462">
        <f t="shared" si="227"/>
        <v>482627</v>
      </c>
      <c r="M1462">
        <f t="shared" si="228"/>
        <v>154506</v>
      </c>
      <c r="N1462">
        <f t="shared" si="229"/>
        <v>685133</v>
      </c>
      <c r="O1462">
        <f>IF(B1462="zagraniczny",K1462+O1461,O1461)</f>
        <v>679</v>
      </c>
    </row>
    <row r="1463" spans="1:15" x14ac:dyDescent="0.25">
      <c r="A1463">
        <v>79890857</v>
      </c>
      <c r="B1463" t="str">
        <f t="shared" si="220"/>
        <v>komorkowy</v>
      </c>
      <c r="C1463" s="1">
        <v>42937</v>
      </c>
      <c r="D1463" s="2">
        <v>0.47285879629629629</v>
      </c>
      <c r="E1463" s="2">
        <v>0.47846064814814815</v>
      </c>
      <c r="F1463" s="2">
        <f t="shared" si="221"/>
        <v>5.6018518518518579E-3</v>
      </c>
      <c r="G1463">
        <f t="shared" si="222"/>
        <v>0</v>
      </c>
      <c r="H1463">
        <f t="shared" si="223"/>
        <v>8</v>
      </c>
      <c r="I1463">
        <f t="shared" si="224"/>
        <v>4</v>
      </c>
      <c r="J1463">
        <f t="shared" si="225"/>
        <v>484</v>
      </c>
      <c r="K1463">
        <f t="shared" si="226"/>
        <v>9</v>
      </c>
      <c r="L1463">
        <f t="shared" si="227"/>
        <v>482627</v>
      </c>
      <c r="M1463">
        <f t="shared" si="228"/>
        <v>154990</v>
      </c>
      <c r="N1463">
        <f t="shared" si="229"/>
        <v>685617</v>
      </c>
      <c r="O1463">
        <f>IF(B1463="zagraniczny",K1463+O1462,O1462)</f>
        <v>679</v>
      </c>
    </row>
    <row r="1464" spans="1:15" x14ac:dyDescent="0.25">
      <c r="A1464">
        <v>3804078</v>
      </c>
      <c r="B1464" t="str">
        <f t="shared" si="220"/>
        <v>stacjonarny</v>
      </c>
      <c r="C1464" s="1">
        <v>42937</v>
      </c>
      <c r="D1464" s="2">
        <v>0.4729976851851852</v>
      </c>
      <c r="E1464" s="2">
        <v>0.48243055555555553</v>
      </c>
      <c r="F1464" s="2">
        <f t="shared" si="221"/>
        <v>9.4328703703703276E-3</v>
      </c>
      <c r="G1464">
        <f t="shared" si="222"/>
        <v>0</v>
      </c>
      <c r="H1464">
        <f t="shared" si="223"/>
        <v>13</v>
      </c>
      <c r="I1464">
        <f t="shared" si="224"/>
        <v>35</v>
      </c>
      <c r="J1464">
        <f t="shared" si="225"/>
        <v>815</v>
      </c>
      <c r="K1464">
        <f t="shared" si="226"/>
        <v>14</v>
      </c>
      <c r="L1464">
        <f t="shared" si="227"/>
        <v>483442</v>
      </c>
      <c r="M1464">
        <f t="shared" si="228"/>
        <v>154990</v>
      </c>
      <c r="N1464">
        <f t="shared" si="229"/>
        <v>686432</v>
      </c>
      <c r="O1464">
        <f>IF(B1464="zagraniczny",K1464+O1463,O1463)</f>
        <v>679</v>
      </c>
    </row>
    <row r="1465" spans="1:15" x14ac:dyDescent="0.25">
      <c r="A1465">
        <v>6312012</v>
      </c>
      <c r="B1465" t="str">
        <f t="shared" si="220"/>
        <v>stacjonarny</v>
      </c>
      <c r="C1465" s="1">
        <v>42937</v>
      </c>
      <c r="D1465" s="2">
        <v>0.47697916666666668</v>
      </c>
      <c r="E1465" s="2">
        <v>0.48678240740740741</v>
      </c>
      <c r="F1465" s="2">
        <f t="shared" si="221"/>
        <v>9.8032407407407374E-3</v>
      </c>
      <c r="G1465">
        <f t="shared" si="222"/>
        <v>0</v>
      </c>
      <c r="H1465">
        <f t="shared" si="223"/>
        <v>14</v>
      </c>
      <c r="I1465">
        <f t="shared" si="224"/>
        <v>7</v>
      </c>
      <c r="J1465">
        <f t="shared" si="225"/>
        <v>847</v>
      </c>
      <c r="K1465">
        <f t="shared" si="226"/>
        <v>15</v>
      </c>
      <c r="L1465">
        <f t="shared" si="227"/>
        <v>484289</v>
      </c>
      <c r="M1465">
        <f t="shared" si="228"/>
        <v>154990</v>
      </c>
      <c r="N1465">
        <f t="shared" si="229"/>
        <v>687279</v>
      </c>
      <c r="O1465">
        <f>IF(B1465="zagraniczny",K1465+O1464,O1464)</f>
        <v>679</v>
      </c>
    </row>
    <row r="1466" spans="1:15" x14ac:dyDescent="0.25">
      <c r="A1466">
        <v>7322741</v>
      </c>
      <c r="B1466" t="str">
        <f t="shared" si="220"/>
        <v>stacjonarny</v>
      </c>
      <c r="C1466" s="1">
        <v>42937</v>
      </c>
      <c r="D1466" s="2">
        <v>0.47833333333333333</v>
      </c>
      <c r="E1466" s="2">
        <v>0.48989583333333331</v>
      </c>
      <c r="F1466" s="2">
        <f t="shared" si="221"/>
        <v>1.1562499999999976E-2</v>
      </c>
      <c r="G1466">
        <f t="shared" si="222"/>
        <v>0</v>
      </c>
      <c r="H1466">
        <f t="shared" si="223"/>
        <v>16</v>
      </c>
      <c r="I1466">
        <f t="shared" si="224"/>
        <v>39</v>
      </c>
      <c r="J1466">
        <f t="shared" si="225"/>
        <v>999</v>
      </c>
      <c r="K1466">
        <f t="shared" si="226"/>
        <v>17</v>
      </c>
      <c r="L1466">
        <f t="shared" si="227"/>
        <v>485288</v>
      </c>
      <c r="M1466">
        <f t="shared" si="228"/>
        <v>154990</v>
      </c>
      <c r="N1466">
        <f t="shared" si="229"/>
        <v>688278</v>
      </c>
      <c r="O1466">
        <f>IF(B1466="zagraniczny",K1466+O1465,O1465)</f>
        <v>679</v>
      </c>
    </row>
    <row r="1467" spans="1:15" x14ac:dyDescent="0.25">
      <c r="A1467">
        <v>2354992</v>
      </c>
      <c r="B1467" t="str">
        <f t="shared" si="220"/>
        <v>stacjonarny</v>
      </c>
      <c r="C1467" s="1">
        <v>42937</v>
      </c>
      <c r="D1467" s="2">
        <v>0.4828587962962963</v>
      </c>
      <c r="E1467" s="2">
        <v>0.48295138888888889</v>
      </c>
      <c r="F1467" s="2">
        <f t="shared" si="221"/>
        <v>9.2592592592588563E-5</v>
      </c>
      <c r="G1467">
        <f t="shared" si="222"/>
        <v>0</v>
      </c>
      <c r="H1467">
        <f t="shared" si="223"/>
        <v>0</v>
      </c>
      <c r="I1467">
        <f t="shared" si="224"/>
        <v>8</v>
      </c>
      <c r="J1467">
        <f t="shared" si="225"/>
        <v>8</v>
      </c>
      <c r="K1467">
        <f t="shared" si="226"/>
        <v>1</v>
      </c>
      <c r="L1467">
        <f t="shared" si="227"/>
        <v>485296</v>
      </c>
      <c r="M1467">
        <f t="shared" si="228"/>
        <v>154990</v>
      </c>
      <c r="N1467">
        <f t="shared" si="229"/>
        <v>688286</v>
      </c>
      <c r="O1467">
        <f>IF(B1467="zagraniczny",K1467+O1466,O1466)</f>
        <v>679</v>
      </c>
    </row>
    <row r="1468" spans="1:15" x14ac:dyDescent="0.25">
      <c r="A1468">
        <v>1766133</v>
      </c>
      <c r="B1468" t="str">
        <f t="shared" si="220"/>
        <v>stacjonarny</v>
      </c>
      <c r="C1468" s="1">
        <v>42937</v>
      </c>
      <c r="D1468" s="2">
        <v>0.48439814814814813</v>
      </c>
      <c r="E1468" s="2">
        <v>0.4878587962962963</v>
      </c>
      <c r="F1468" s="2">
        <f t="shared" si="221"/>
        <v>3.460648148148171E-3</v>
      </c>
      <c r="G1468">
        <f t="shared" si="222"/>
        <v>0</v>
      </c>
      <c r="H1468">
        <f t="shared" si="223"/>
        <v>4</v>
      </c>
      <c r="I1468">
        <f t="shared" si="224"/>
        <v>59</v>
      </c>
      <c r="J1468">
        <f t="shared" si="225"/>
        <v>299</v>
      </c>
      <c r="K1468">
        <f t="shared" si="226"/>
        <v>5</v>
      </c>
      <c r="L1468">
        <f t="shared" si="227"/>
        <v>485595</v>
      </c>
      <c r="M1468">
        <f t="shared" si="228"/>
        <v>154990</v>
      </c>
      <c r="N1468">
        <f t="shared" si="229"/>
        <v>688585</v>
      </c>
      <c r="O1468">
        <f>IF(B1468="zagraniczny",K1468+O1467,O1467)</f>
        <v>679</v>
      </c>
    </row>
    <row r="1469" spans="1:15" x14ac:dyDescent="0.25">
      <c r="A1469">
        <v>2922327</v>
      </c>
      <c r="B1469" t="str">
        <f t="shared" si="220"/>
        <v>stacjonarny</v>
      </c>
      <c r="C1469" s="1">
        <v>42937</v>
      </c>
      <c r="D1469" s="2">
        <v>0.48690972222222223</v>
      </c>
      <c r="E1469" s="2">
        <v>0.49665509259259261</v>
      </c>
      <c r="F1469" s="2">
        <f t="shared" si="221"/>
        <v>9.7453703703703765E-3</v>
      </c>
      <c r="G1469">
        <f t="shared" si="222"/>
        <v>0</v>
      </c>
      <c r="H1469">
        <f t="shared" si="223"/>
        <v>14</v>
      </c>
      <c r="I1469">
        <f t="shared" si="224"/>
        <v>2</v>
      </c>
      <c r="J1469">
        <f t="shared" si="225"/>
        <v>842</v>
      </c>
      <c r="K1469">
        <f t="shared" si="226"/>
        <v>15</v>
      </c>
      <c r="L1469">
        <f t="shared" si="227"/>
        <v>486437</v>
      </c>
      <c r="M1469">
        <f t="shared" si="228"/>
        <v>154990</v>
      </c>
      <c r="N1469">
        <f t="shared" si="229"/>
        <v>689427</v>
      </c>
      <c r="O1469">
        <f>IF(B1469="zagraniczny",K1469+O1468,O1468)</f>
        <v>679</v>
      </c>
    </row>
    <row r="1470" spans="1:15" x14ac:dyDescent="0.25">
      <c r="A1470">
        <v>8679036</v>
      </c>
      <c r="B1470" t="str">
        <f t="shared" si="220"/>
        <v>stacjonarny</v>
      </c>
      <c r="C1470" s="1">
        <v>42937</v>
      </c>
      <c r="D1470" s="2">
        <v>0.4924189814814815</v>
      </c>
      <c r="E1470" s="2">
        <v>0.49381944444444442</v>
      </c>
      <c r="F1470" s="2">
        <f t="shared" si="221"/>
        <v>1.4004629629629228E-3</v>
      </c>
      <c r="G1470">
        <f t="shared" si="222"/>
        <v>0</v>
      </c>
      <c r="H1470">
        <f t="shared" si="223"/>
        <v>2</v>
      </c>
      <c r="I1470">
        <f t="shared" si="224"/>
        <v>1</v>
      </c>
      <c r="J1470">
        <f t="shared" si="225"/>
        <v>121</v>
      </c>
      <c r="K1470">
        <f t="shared" si="226"/>
        <v>3</v>
      </c>
      <c r="L1470">
        <f t="shared" si="227"/>
        <v>486558</v>
      </c>
      <c r="M1470">
        <f t="shared" si="228"/>
        <v>154990</v>
      </c>
      <c r="N1470">
        <f t="shared" si="229"/>
        <v>689548</v>
      </c>
      <c r="O1470">
        <f>IF(B1470="zagraniczny",K1470+O1469,O1469)</f>
        <v>679</v>
      </c>
    </row>
    <row r="1471" spans="1:15" x14ac:dyDescent="0.25">
      <c r="A1471">
        <v>1469705</v>
      </c>
      <c r="B1471" t="str">
        <f t="shared" si="220"/>
        <v>stacjonarny</v>
      </c>
      <c r="C1471" s="1">
        <v>42937</v>
      </c>
      <c r="D1471" s="2">
        <v>0.49327546296296299</v>
      </c>
      <c r="E1471" s="2">
        <v>0.50351851851851848</v>
      </c>
      <c r="F1471" s="2">
        <f t="shared" si="221"/>
        <v>1.0243055555555491E-2</v>
      </c>
      <c r="G1471">
        <f t="shared" si="222"/>
        <v>0</v>
      </c>
      <c r="H1471">
        <f t="shared" si="223"/>
        <v>14</v>
      </c>
      <c r="I1471">
        <f t="shared" si="224"/>
        <v>45</v>
      </c>
      <c r="J1471">
        <f t="shared" si="225"/>
        <v>885</v>
      </c>
      <c r="K1471">
        <f t="shared" si="226"/>
        <v>15</v>
      </c>
      <c r="L1471">
        <f t="shared" si="227"/>
        <v>487443</v>
      </c>
      <c r="M1471">
        <f t="shared" si="228"/>
        <v>154990</v>
      </c>
      <c r="N1471">
        <f t="shared" si="229"/>
        <v>690433</v>
      </c>
      <c r="O1471">
        <f>IF(B1471="zagraniczny",K1471+O1470,O1470)</f>
        <v>679</v>
      </c>
    </row>
    <row r="1472" spans="1:15" x14ac:dyDescent="0.25">
      <c r="A1472">
        <v>8079505</v>
      </c>
      <c r="B1472" t="str">
        <f t="shared" si="220"/>
        <v>stacjonarny</v>
      </c>
      <c r="C1472" s="1">
        <v>42937</v>
      </c>
      <c r="D1472" s="2">
        <v>0.49811342592592595</v>
      </c>
      <c r="E1472" s="2">
        <v>0.5065277777777778</v>
      </c>
      <c r="F1472" s="2">
        <f t="shared" si="221"/>
        <v>8.4143518518518534E-3</v>
      </c>
      <c r="G1472">
        <f t="shared" si="222"/>
        <v>0</v>
      </c>
      <c r="H1472">
        <f t="shared" si="223"/>
        <v>12</v>
      </c>
      <c r="I1472">
        <f t="shared" si="224"/>
        <v>7</v>
      </c>
      <c r="J1472">
        <f t="shared" si="225"/>
        <v>727</v>
      </c>
      <c r="K1472">
        <f t="shared" si="226"/>
        <v>13</v>
      </c>
      <c r="L1472">
        <f t="shared" si="227"/>
        <v>488170</v>
      </c>
      <c r="M1472">
        <f t="shared" si="228"/>
        <v>154990</v>
      </c>
      <c r="N1472">
        <f t="shared" si="229"/>
        <v>691160</v>
      </c>
      <c r="O1472">
        <f>IF(B1472="zagraniczny",K1472+O1471,O1471)</f>
        <v>679</v>
      </c>
    </row>
    <row r="1473" spans="1:15" x14ac:dyDescent="0.25">
      <c r="A1473">
        <v>4661635</v>
      </c>
      <c r="B1473" t="str">
        <f t="shared" si="220"/>
        <v>stacjonarny</v>
      </c>
      <c r="C1473" s="1">
        <v>42937</v>
      </c>
      <c r="D1473" s="2">
        <v>0.50016203703703699</v>
      </c>
      <c r="E1473" s="2">
        <v>0.50506944444444446</v>
      </c>
      <c r="F1473" s="2">
        <f t="shared" si="221"/>
        <v>4.9074074074074714E-3</v>
      </c>
      <c r="G1473">
        <f t="shared" si="222"/>
        <v>0</v>
      </c>
      <c r="H1473">
        <f t="shared" si="223"/>
        <v>7</v>
      </c>
      <c r="I1473">
        <f t="shared" si="224"/>
        <v>4</v>
      </c>
      <c r="J1473">
        <f t="shared" si="225"/>
        <v>424</v>
      </c>
      <c r="K1473">
        <f t="shared" si="226"/>
        <v>8</v>
      </c>
      <c r="L1473">
        <f t="shared" si="227"/>
        <v>488594</v>
      </c>
      <c r="M1473">
        <f t="shared" si="228"/>
        <v>154990</v>
      </c>
      <c r="N1473">
        <f t="shared" si="229"/>
        <v>691584</v>
      </c>
      <c r="O1473">
        <f>IF(B1473="zagraniczny",K1473+O1472,O1472)</f>
        <v>679</v>
      </c>
    </row>
    <row r="1474" spans="1:15" x14ac:dyDescent="0.25">
      <c r="A1474">
        <v>4497624</v>
      </c>
      <c r="B1474" t="str">
        <f t="shared" si="220"/>
        <v>stacjonarny</v>
      </c>
      <c r="C1474" s="1">
        <v>42937</v>
      </c>
      <c r="D1474" s="2">
        <v>0.50284722222222222</v>
      </c>
      <c r="E1474" s="2">
        <v>0.51432870370370365</v>
      </c>
      <c r="F1474" s="2">
        <f t="shared" si="221"/>
        <v>1.1481481481481426E-2</v>
      </c>
      <c r="G1474">
        <f t="shared" si="222"/>
        <v>0</v>
      </c>
      <c r="H1474">
        <f t="shared" si="223"/>
        <v>16</v>
      </c>
      <c r="I1474">
        <f t="shared" si="224"/>
        <v>32</v>
      </c>
      <c r="J1474">
        <f t="shared" si="225"/>
        <v>992</v>
      </c>
      <c r="K1474">
        <f t="shared" si="226"/>
        <v>17</v>
      </c>
      <c r="L1474">
        <f t="shared" si="227"/>
        <v>489586</v>
      </c>
      <c r="M1474">
        <f t="shared" si="228"/>
        <v>154990</v>
      </c>
      <c r="N1474">
        <f t="shared" si="229"/>
        <v>692576</v>
      </c>
      <c r="O1474">
        <f>IF(B1474="zagraniczny",K1474+O1473,O1473)</f>
        <v>679</v>
      </c>
    </row>
    <row r="1475" spans="1:15" x14ac:dyDescent="0.25">
      <c r="A1475">
        <v>52468382</v>
      </c>
      <c r="B1475" t="str">
        <f t="shared" ref="B1475:B1538" si="230">IF(LEN(A1475)=7,"stacjonarny",IF(LEN(A1475)=8,"komorkowy","zagraniczny"))</f>
        <v>komorkowy</v>
      </c>
      <c r="C1475" s="1">
        <v>42937</v>
      </c>
      <c r="D1475" s="2">
        <v>0.50840277777777776</v>
      </c>
      <c r="E1475" s="2">
        <v>0.50968749999999996</v>
      </c>
      <c r="F1475" s="2">
        <f t="shared" ref="F1475:F1538" si="231">E1475-D1475</f>
        <v>1.284722222222201E-3</v>
      </c>
      <c r="G1475">
        <f t="shared" ref="G1475:G1538" si="232">HOUR(F1475)</f>
        <v>0</v>
      </c>
      <c r="H1475">
        <f t="shared" ref="H1475:H1538" si="233">MINUTE(F1475)</f>
        <v>1</v>
      </c>
      <c r="I1475">
        <f t="shared" ref="I1475:I1538" si="234">SECOND(F1475)</f>
        <v>51</v>
      </c>
      <c r="J1475">
        <f t="shared" ref="J1475:J1538" si="235">H1475*60+I1475</f>
        <v>111</v>
      </c>
      <c r="K1475">
        <f t="shared" ref="K1475:K1538" si="236">IF(I1475&gt;0,G1475*60+H1475+1,H1475+G1475*60)</f>
        <v>2</v>
      </c>
      <c r="L1475">
        <f t="shared" si="227"/>
        <v>489586</v>
      </c>
      <c r="M1475">
        <f t="shared" si="228"/>
        <v>155101</v>
      </c>
      <c r="N1475">
        <f t="shared" si="229"/>
        <v>692687</v>
      </c>
      <c r="O1475">
        <f>IF(B1475="zagraniczny",K1475+O1474,O1474)</f>
        <v>679</v>
      </c>
    </row>
    <row r="1476" spans="1:15" x14ac:dyDescent="0.25">
      <c r="A1476">
        <v>5687077</v>
      </c>
      <c r="B1476" t="str">
        <f t="shared" si="230"/>
        <v>stacjonarny</v>
      </c>
      <c r="C1476" s="1">
        <v>42937</v>
      </c>
      <c r="D1476" s="2">
        <v>0.51200231481481484</v>
      </c>
      <c r="E1476" s="2">
        <v>0.52253472222222219</v>
      </c>
      <c r="F1476" s="2">
        <f t="shared" si="231"/>
        <v>1.0532407407407351E-2</v>
      </c>
      <c r="G1476">
        <f t="shared" si="232"/>
        <v>0</v>
      </c>
      <c r="H1476">
        <f t="shared" si="233"/>
        <v>15</v>
      </c>
      <c r="I1476">
        <f t="shared" si="234"/>
        <v>10</v>
      </c>
      <c r="J1476">
        <f t="shared" si="235"/>
        <v>910</v>
      </c>
      <c r="K1476">
        <f t="shared" si="236"/>
        <v>16</v>
      </c>
      <c r="L1476">
        <f t="shared" ref="L1476:L1539" si="237">IF(B1476="stacjonarny",$J1476+L1475,L1475)</f>
        <v>490496</v>
      </c>
      <c r="M1476">
        <f t="shared" ref="M1476:M1539" si="238">IF(B1476="komorkowy",$J1476+M1475,M1475)</f>
        <v>155101</v>
      </c>
      <c r="N1476">
        <f t="shared" ref="N1476:N1539" si="239">IF(OR(B1476="stacjonarny",B1476="komorkowy"),J1476+N1475,N1475)</f>
        <v>693597</v>
      </c>
      <c r="O1476">
        <f>IF(B1476="zagraniczny",K1476+O1475,O1475)</f>
        <v>679</v>
      </c>
    </row>
    <row r="1477" spans="1:15" x14ac:dyDescent="0.25">
      <c r="A1477">
        <v>3914070</v>
      </c>
      <c r="B1477" t="str">
        <f t="shared" si="230"/>
        <v>stacjonarny</v>
      </c>
      <c r="C1477" s="1">
        <v>42937</v>
      </c>
      <c r="D1477" s="2">
        <v>0.51249999999999996</v>
      </c>
      <c r="E1477" s="2">
        <v>0.51405092592592594</v>
      </c>
      <c r="F1477" s="2">
        <f t="shared" si="231"/>
        <v>1.5509259259259833E-3</v>
      </c>
      <c r="G1477">
        <f t="shared" si="232"/>
        <v>0</v>
      </c>
      <c r="H1477">
        <f t="shared" si="233"/>
        <v>2</v>
      </c>
      <c r="I1477">
        <f t="shared" si="234"/>
        <v>14</v>
      </c>
      <c r="J1477">
        <f t="shared" si="235"/>
        <v>134</v>
      </c>
      <c r="K1477">
        <f t="shared" si="236"/>
        <v>3</v>
      </c>
      <c r="L1477">
        <f t="shared" si="237"/>
        <v>490630</v>
      </c>
      <c r="M1477">
        <f t="shared" si="238"/>
        <v>155101</v>
      </c>
      <c r="N1477">
        <f t="shared" si="239"/>
        <v>693731</v>
      </c>
      <c r="O1477">
        <f>IF(B1477="zagraniczny",K1477+O1476,O1476)</f>
        <v>679</v>
      </c>
    </row>
    <row r="1478" spans="1:15" x14ac:dyDescent="0.25">
      <c r="A1478">
        <v>84684423</v>
      </c>
      <c r="B1478" t="str">
        <f t="shared" si="230"/>
        <v>komorkowy</v>
      </c>
      <c r="C1478" s="1">
        <v>42937</v>
      </c>
      <c r="D1478" s="2">
        <v>0.51520833333333338</v>
      </c>
      <c r="E1478" s="2">
        <v>0.51918981481481485</v>
      </c>
      <c r="F1478" s="2">
        <f t="shared" si="231"/>
        <v>3.9814814814814747E-3</v>
      </c>
      <c r="G1478">
        <f t="shared" si="232"/>
        <v>0</v>
      </c>
      <c r="H1478">
        <f t="shared" si="233"/>
        <v>5</v>
      </c>
      <c r="I1478">
        <f t="shared" si="234"/>
        <v>44</v>
      </c>
      <c r="J1478">
        <f t="shared" si="235"/>
        <v>344</v>
      </c>
      <c r="K1478">
        <f t="shared" si="236"/>
        <v>6</v>
      </c>
      <c r="L1478">
        <f t="shared" si="237"/>
        <v>490630</v>
      </c>
      <c r="M1478">
        <f t="shared" si="238"/>
        <v>155445</v>
      </c>
      <c r="N1478">
        <f t="shared" si="239"/>
        <v>694075</v>
      </c>
      <c r="O1478">
        <f>IF(B1478="zagraniczny",K1478+O1477,O1477)</f>
        <v>679</v>
      </c>
    </row>
    <row r="1479" spans="1:15" x14ac:dyDescent="0.25">
      <c r="A1479">
        <v>6493406</v>
      </c>
      <c r="B1479" t="str">
        <f t="shared" si="230"/>
        <v>stacjonarny</v>
      </c>
      <c r="C1479" s="1">
        <v>42937</v>
      </c>
      <c r="D1479" s="2">
        <v>0.51936342592592588</v>
      </c>
      <c r="E1479" s="2">
        <v>0.52559027777777778</v>
      </c>
      <c r="F1479" s="2">
        <f t="shared" si="231"/>
        <v>6.2268518518519E-3</v>
      </c>
      <c r="G1479">
        <f t="shared" si="232"/>
        <v>0</v>
      </c>
      <c r="H1479">
        <f t="shared" si="233"/>
        <v>8</v>
      </c>
      <c r="I1479">
        <f t="shared" si="234"/>
        <v>58</v>
      </c>
      <c r="J1479">
        <f t="shared" si="235"/>
        <v>538</v>
      </c>
      <c r="K1479">
        <f t="shared" si="236"/>
        <v>9</v>
      </c>
      <c r="L1479">
        <f t="shared" si="237"/>
        <v>491168</v>
      </c>
      <c r="M1479">
        <f t="shared" si="238"/>
        <v>155445</v>
      </c>
      <c r="N1479">
        <f t="shared" si="239"/>
        <v>694613</v>
      </c>
      <c r="O1479">
        <f>IF(B1479="zagraniczny",K1479+O1478,O1478)</f>
        <v>679</v>
      </c>
    </row>
    <row r="1480" spans="1:15" x14ac:dyDescent="0.25">
      <c r="A1480">
        <v>1563816</v>
      </c>
      <c r="B1480" t="str">
        <f t="shared" si="230"/>
        <v>stacjonarny</v>
      </c>
      <c r="C1480" s="1">
        <v>42937</v>
      </c>
      <c r="D1480" s="2">
        <v>0.52243055555555551</v>
      </c>
      <c r="E1480" s="2">
        <v>0.52681712962962968</v>
      </c>
      <c r="F1480" s="2">
        <f t="shared" si="231"/>
        <v>4.3865740740741677E-3</v>
      </c>
      <c r="G1480">
        <f t="shared" si="232"/>
        <v>0</v>
      </c>
      <c r="H1480">
        <f t="shared" si="233"/>
        <v>6</v>
      </c>
      <c r="I1480">
        <f t="shared" si="234"/>
        <v>19</v>
      </c>
      <c r="J1480">
        <f t="shared" si="235"/>
        <v>379</v>
      </c>
      <c r="K1480">
        <f t="shared" si="236"/>
        <v>7</v>
      </c>
      <c r="L1480">
        <f t="shared" si="237"/>
        <v>491547</v>
      </c>
      <c r="M1480">
        <f t="shared" si="238"/>
        <v>155445</v>
      </c>
      <c r="N1480">
        <f t="shared" si="239"/>
        <v>694992</v>
      </c>
      <c r="O1480">
        <f>IF(B1480="zagraniczny",K1480+O1479,O1479)</f>
        <v>679</v>
      </c>
    </row>
    <row r="1481" spans="1:15" x14ac:dyDescent="0.25">
      <c r="A1481">
        <v>7779935</v>
      </c>
      <c r="B1481" t="str">
        <f t="shared" si="230"/>
        <v>stacjonarny</v>
      </c>
      <c r="C1481" s="1">
        <v>42937</v>
      </c>
      <c r="D1481" s="2">
        <v>0.52469907407407412</v>
      </c>
      <c r="E1481" s="2">
        <v>0.53218750000000004</v>
      </c>
      <c r="F1481" s="2">
        <f t="shared" si="231"/>
        <v>7.4884259259259123E-3</v>
      </c>
      <c r="G1481">
        <f t="shared" si="232"/>
        <v>0</v>
      </c>
      <c r="H1481">
        <f t="shared" si="233"/>
        <v>10</v>
      </c>
      <c r="I1481">
        <f t="shared" si="234"/>
        <v>47</v>
      </c>
      <c r="J1481">
        <f t="shared" si="235"/>
        <v>647</v>
      </c>
      <c r="K1481">
        <f t="shared" si="236"/>
        <v>11</v>
      </c>
      <c r="L1481">
        <f t="shared" si="237"/>
        <v>492194</v>
      </c>
      <c r="M1481">
        <f t="shared" si="238"/>
        <v>155445</v>
      </c>
      <c r="N1481">
        <f t="shared" si="239"/>
        <v>695639</v>
      </c>
      <c r="O1481">
        <f>IF(B1481="zagraniczny",K1481+O1480,O1480)</f>
        <v>679</v>
      </c>
    </row>
    <row r="1482" spans="1:15" x14ac:dyDescent="0.25">
      <c r="A1482">
        <v>4429479</v>
      </c>
      <c r="B1482" t="str">
        <f t="shared" si="230"/>
        <v>stacjonarny</v>
      </c>
      <c r="C1482" s="1">
        <v>42937</v>
      </c>
      <c r="D1482" s="2">
        <v>0.52749999999999997</v>
      </c>
      <c r="E1482" s="2">
        <v>0.53034722222222219</v>
      </c>
      <c r="F1482" s="2">
        <f t="shared" si="231"/>
        <v>2.8472222222222232E-3</v>
      </c>
      <c r="G1482">
        <f t="shared" si="232"/>
        <v>0</v>
      </c>
      <c r="H1482">
        <f t="shared" si="233"/>
        <v>4</v>
      </c>
      <c r="I1482">
        <f t="shared" si="234"/>
        <v>6</v>
      </c>
      <c r="J1482">
        <f t="shared" si="235"/>
        <v>246</v>
      </c>
      <c r="K1482">
        <f t="shared" si="236"/>
        <v>5</v>
      </c>
      <c r="L1482">
        <f t="shared" si="237"/>
        <v>492440</v>
      </c>
      <c r="M1482">
        <f t="shared" si="238"/>
        <v>155445</v>
      </c>
      <c r="N1482">
        <f t="shared" si="239"/>
        <v>695885</v>
      </c>
      <c r="O1482">
        <f>IF(B1482="zagraniczny",K1482+O1481,O1481)</f>
        <v>679</v>
      </c>
    </row>
    <row r="1483" spans="1:15" x14ac:dyDescent="0.25">
      <c r="A1483">
        <v>2963652</v>
      </c>
      <c r="B1483" t="str">
        <f t="shared" si="230"/>
        <v>stacjonarny</v>
      </c>
      <c r="C1483" s="1">
        <v>42937</v>
      </c>
      <c r="D1483" s="2">
        <v>0.53240740740740744</v>
      </c>
      <c r="E1483" s="2">
        <v>0.53785879629629629</v>
      </c>
      <c r="F1483" s="2">
        <f t="shared" si="231"/>
        <v>5.4513888888888529E-3</v>
      </c>
      <c r="G1483">
        <f t="shared" si="232"/>
        <v>0</v>
      </c>
      <c r="H1483">
        <f t="shared" si="233"/>
        <v>7</v>
      </c>
      <c r="I1483">
        <f t="shared" si="234"/>
        <v>51</v>
      </c>
      <c r="J1483">
        <f t="shared" si="235"/>
        <v>471</v>
      </c>
      <c r="K1483">
        <f t="shared" si="236"/>
        <v>8</v>
      </c>
      <c r="L1483">
        <f t="shared" si="237"/>
        <v>492911</v>
      </c>
      <c r="M1483">
        <f t="shared" si="238"/>
        <v>155445</v>
      </c>
      <c r="N1483">
        <f t="shared" si="239"/>
        <v>696356</v>
      </c>
      <c r="O1483">
        <f>IF(B1483="zagraniczny",K1483+O1482,O1482)</f>
        <v>679</v>
      </c>
    </row>
    <row r="1484" spans="1:15" x14ac:dyDescent="0.25">
      <c r="A1484">
        <v>91032395</v>
      </c>
      <c r="B1484" t="str">
        <f t="shared" si="230"/>
        <v>komorkowy</v>
      </c>
      <c r="C1484" s="1">
        <v>42937</v>
      </c>
      <c r="D1484" s="2">
        <v>0.53811342592592593</v>
      </c>
      <c r="E1484" s="2">
        <v>0.54365740740740742</v>
      </c>
      <c r="F1484" s="2">
        <f t="shared" si="231"/>
        <v>5.5439814814814969E-3</v>
      </c>
      <c r="G1484">
        <f t="shared" si="232"/>
        <v>0</v>
      </c>
      <c r="H1484">
        <f t="shared" si="233"/>
        <v>7</v>
      </c>
      <c r="I1484">
        <f t="shared" si="234"/>
        <v>59</v>
      </c>
      <c r="J1484">
        <f t="shared" si="235"/>
        <v>479</v>
      </c>
      <c r="K1484">
        <f t="shared" si="236"/>
        <v>8</v>
      </c>
      <c r="L1484">
        <f t="shared" si="237"/>
        <v>492911</v>
      </c>
      <c r="M1484">
        <f t="shared" si="238"/>
        <v>155924</v>
      </c>
      <c r="N1484">
        <f t="shared" si="239"/>
        <v>696835</v>
      </c>
      <c r="O1484">
        <f>IF(B1484="zagraniczny",K1484+O1483,O1483)</f>
        <v>679</v>
      </c>
    </row>
    <row r="1485" spans="1:15" x14ac:dyDescent="0.25">
      <c r="A1485">
        <v>6999348</v>
      </c>
      <c r="B1485" t="str">
        <f t="shared" si="230"/>
        <v>stacjonarny</v>
      </c>
      <c r="C1485" s="1">
        <v>42937</v>
      </c>
      <c r="D1485" s="2">
        <v>0.53831018518518514</v>
      </c>
      <c r="E1485" s="2">
        <v>0.53998842592592589</v>
      </c>
      <c r="F1485" s="2">
        <f t="shared" si="231"/>
        <v>1.678240740740744E-3</v>
      </c>
      <c r="G1485">
        <f t="shared" si="232"/>
        <v>0</v>
      </c>
      <c r="H1485">
        <f t="shared" si="233"/>
        <v>2</v>
      </c>
      <c r="I1485">
        <f t="shared" si="234"/>
        <v>25</v>
      </c>
      <c r="J1485">
        <f t="shared" si="235"/>
        <v>145</v>
      </c>
      <c r="K1485">
        <f t="shared" si="236"/>
        <v>3</v>
      </c>
      <c r="L1485">
        <f t="shared" si="237"/>
        <v>493056</v>
      </c>
      <c r="M1485">
        <f t="shared" si="238"/>
        <v>155924</v>
      </c>
      <c r="N1485">
        <f t="shared" si="239"/>
        <v>696980</v>
      </c>
      <c r="O1485">
        <f>IF(B1485="zagraniczny",K1485+O1484,O1484)</f>
        <v>679</v>
      </c>
    </row>
    <row r="1486" spans="1:15" x14ac:dyDescent="0.25">
      <c r="A1486">
        <v>4424322</v>
      </c>
      <c r="B1486" t="str">
        <f t="shared" si="230"/>
        <v>stacjonarny</v>
      </c>
      <c r="C1486" s="1">
        <v>42937</v>
      </c>
      <c r="D1486" s="2">
        <v>0.54233796296296299</v>
      </c>
      <c r="E1486" s="2">
        <v>0.55148148148148146</v>
      </c>
      <c r="F1486" s="2">
        <f t="shared" si="231"/>
        <v>9.1435185185184675E-3</v>
      </c>
      <c r="G1486">
        <f t="shared" si="232"/>
        <v>0</v>
      </c>
      <c r="H1486">
        <f t="shared" si="233"/>
        <v>13</v>
      </c>
      <c r="I1486">
        <f t="shared" si="234"/>
        <v>10</v>
      </c>
      <c r="J1486">
        <f t="shared" si="235"/>
        <v>790</v>
      </c>
      <c r="K1486">
        <f t="shared" si="236"/>
        <v>14</v>
      </c>
      <c r="L1486">
        <f t="shared" si="237"/>
        <v>493846</v>
      </c>
      <c r="M1486">
        <f t="shared" si="238"/>
        <v>155924</v>
      </c>
      <c r="N1486">
        <f t="shared" si="239"/>
        <v>697770</v>
      </c>
      <c r="O1486">
        <f>IF(B1486="zagraniczny",K1486+O1485,O1485)</f>
        <v>679</v>
      </c>
    </row>
    <row r="1487" spans="1:15" x14ac:dyDescent="0.25">
      <c r="A1487">
        <v>9500083</v>
      </c>
      <c r="B1487" t="str">
        <f t="shared" si="230"/>
        <v>stacjonarny</v>
      </c>
      <c r="C1487" s="1">
        <v>42937</v>
      </c>
      <c r="D1487" s="2">
        <v>0.54631944444444447</v>
      </c>
      <c r="E1487" s="2">
        <v>0.55652777777777773</v>
      </c>
      <c r="F1487" s="2">
        <f t="shared" si="231"/>
        <v>1.0208333333333264E-2</v>
      </c>
      <c r="G1487">
        <f t="shared" si="232"/>
        <v>0</v>
      </c>
      <c r="H1487">
        <f t="shared" si="233"/>
        <v>14</v>
      </c>
      <c r="I1487">
        <f t="shared" si="234"/>
        <v>42</v>
      </c>
      <c r="J1487">
        <f t="shared" si="235"/>
        <v>882</v>
      </c>
      <c r="K1487">
        <f t="shared" si="236"/>
        <v>15</v>
      </c>
      <c r="L1487">
        <f t="shared" si="237"/>
        <v>494728</v>
      </c>
      <c r="M1487">
        <f t="shared" si="238"/>
        <v>155924</v>
      </c>
      <c r="N1487">
        <f t="shared" si="239"/>
        <v>698652</v>
      </c>
      <c r="O1487">
        <f>IF(B1487="zagraniczny",K1487+O1486,O1486)</f>
        <v>679</v>
      </c>
    </row>
    <row r="1488" spans="1:15" x14ac:dyDescent="0.25">
      <c r="A1488">
        <v>2912297</v>
      </c>
      <c r="B1488" t="str">
        <f t="shared" si="230"/>
        <v>stacjonarny</v>
      </c>
      <c r="C1488" s="1">
        <v>42937</v>
      </c>
      <c r="D1488" s="2">
        <v>0.54761574074074071</v>
      </c>
      <c r="E1488" s="2">
        <v>0.55443287037037037</v>
      </c>
      <c r="F1488" s="2">
        <f t="shared" si="231"/>
        <v>6.8171296296296591E-3</v>
      </c>
      <c r="G1488">
        <f t="shared" si="232"/>
        <v>0</v>
      </c>
      <c r="H1488">
        <f t="shared" si="233"/>
        <v>9</v>
      </c>
      <c r="I1488">
        <f t="shared" si="234"/>
        <v>49</v>
      </c>
      <c r="J1488">
        <f t="shared" si="235"/>
        <v>589</v>
      </c>
      <c r="K1488">
        <f t="shared" si="236"/>
        <v>10</v>
      </c>
      <c r="L1488">
        <f t="shared" si="237"/>
        <v>495317</v>
      </c>
      <c r="M1488">
        <f t="shared" si="238"/>
        <v>155924</v>
      </c>
      <c r="N1488">
        <f t="shared" si="239"/>
        <v>699241</v>
      </c>
      <c r="O1488">
        <f>IF(B1488="zagraniczny",K1488+O1487,O1487)</f>
        <v>679</v>
      </c>
    </row>
    <row r="1489" spans="1:15" x14ac:dyDescent="0.25">
      <c r="A1489">
        <v>4303945</v>
      </c>
      <c r="B1489" t="str">
        <f t="shared" si="230"/>
        <v>stacjonarny</v>
      </c>
      <c r="C1489" s="1">
        <v>42937</v>
      </c>
      <c r="D1489" s="2">
        <v>0.54953703703703705</v>
      </c>
      <c r="E1489" s="2">
        <v>0.55783564814814812</v>
      </c>
      <c r="F1489" s="2">
        <f t="shared" si="231"/>
        <v>8.2986111111110761E-3</v>
      </c>
      <c r="G1489">
        <f t="shared" si="232"/>
        <v>0</v>
      </c>
      <c r="H1489">
        <f t="shared" si="233"/>
        <v>11</v>
      </c>
      <c r="I1489">
        <f t="shared" si="234"/>
        <v>57</v>
      </c>
      <c r="J1489">
        <f t="shared" si="235"/>
        <v>717</v>
      </c>
      <c r="K1489">
        <f t="shared" si="236"/>
        <v>12</v>
      </c>
      <c r="L1489">
        <f t="shared" si="237"/>
        <v>496034</v>
      </c>
      <c r="M1489">
        <f t="shared" si="238"/>
        <v>155924</v>
      </c>
      <c r="N1489">
        <f t="shared" si="239"/>
        <v>699958</v>
      </c>
      <c r="O1489">
        <f>IF(B1489="zagraniczny",K1489+O1488,O1488)</f>
        <v>679</v>
      </c>
    </row>
    <row r="1490" spans="1:15" x14ac:dyDescent="0.25">
      <c r="A1490">
        <v>3264546470</v>
      </c>
      <c r="B1490" t="str">
        <f t="shared" si="230"/>
        <v>zagraniczny</v>
      </c>
      <c r="C1490" s="1">
        <v>42937</v>
      </c>
      <c r="D1490" s="2">
        <v>0.55311342592592594</v>
      </c>
      <c r="E1490" s="2">
        <v>0.55469907407407404</v>
      </c>
      <c r="F1490" s="2">
        <f t="shared" si="231"/>
        <v>1.5856481481481E-3</v>
      </c>
      <c r="G1490">
        <f t="shared" si="232"/>
        <v>0</v>
      </c>
      <c r="H1490">
        <f t="shared" si="233"/>
        <v>2</v>
      </c>
      <c r="I1490">
        <f t="shared" si="234"/>
        <v>17</v>
      </c>
      <c r="J1490">
        <f t="shared" si="235"/>
        <v>137</v>
      </c>
      <c r="K1490">
        <f t="shared" si="236"/>
        <v>3</v>
      </c>
      <c r="L1490">
        <f t="shared" si="237"/>
        <v>496034</v>
      </c>
      <c r="M1490">
        <f t="shared" si="238"/>
        <v>155924</v>
      </c>
      <c r="N1490">
        <f t="shared" si="239"/>
        <v>699958</v>
      </c>
      <c r="O1490">
        <f>IF(B1490="zagraniczny",K1490+O1489,O1489)</f>
        <v>682</v>
      </c>
    </row>
    <row r="1491" spans="1:15" x14ac:dyDescent="0.25">
      <c r="A1491">
        <v>7275091</v>
      </c>
      <c r="B1491" t="str">
        <f t="shared" si="230"/>
        <v>stacjonarny</v>
      </c>
      <c r="C1491" s="1">
        <v>42937</v>
      </c>
      <c r="D1491" s="2">
        <v>0.55652777777777773</v>
      </c>
      <c r="E1491" s="2">
        <v>0.56657407407407412</v>
      </c>
      <c r="F1491" s="2">
        <f t="shared" si="231"/>
        <v>1.0046296296296386E-2</v>
      </c>
      <c r="G1491">
        <f t="shared" si="232"/>
        <v>0</v>
      </c>
      <c r="H1491">
        <f t="shared" si="233"/>
        <v>14</v>
      </c>
      <c r="I1491">
        <f t="shared" si="234"/>
        <v>28</v>
      </c>
      <c r="J1491">
        <f t="shared" si="235"/>
        <v>868</v>
      </c>
      <c r="K1491">
        <f t="shared" si="236"/>
        <v>15</v>
      </c>
      <c r="L1491">
        <f t="shared" si="237"/>
        <v>496902</v>
      </c>
      <c r="M1491">
        <f t="shared" si="238"/>
        <v>155924</v>
      </c>
      <c r="N1491">
        <f t="shared" si="239"/>
        <v>700826</v>
      </c>
      <c r="O1491">
        <f>IF(B1491="zagraniczny",K1491+O1490,O1490)</f>
        <v>682</v>
      </c>
    </row>
    <row r="1492" spans="1:15" x14ac:dyDescent="0.25">
      <c r="A1492">
        <v>9021766</v>
      </c>
      <c r="B1492" t="str">
        <f t="shared" si="230"/>
        <v>stacjonarny</v>
      </c>
      <c r="C1492" s="1">
        <v>42937</v>
      </c>
      <c r="D1492" s="2">
        <v>0.5575</v>
      </c>
      <c r="E1492" s="2">
        <v>0.56418981481481478</v>
      </c>
      <c r="F1492" s="2">
        <f t="shared" si="231"/>
        <v>6.6898148148147873E-3</v>
      </c>
      <c r="G1492">
        <f t="shared" si="232"/>
        <v>0</v>
      </c>
      <c r="H1492">
        <f t="shared" si="233"/>
        <v>9</v>
      </c>
      <c r="I1492">
        <f t="shared" si="234"/>
        <v>38</v>
      </c>
      <c r="J1492">
        <f t="shared" si="235"/>
        <v>578</v>
      </c>
      <c r="K1492">
        <f t="shared" si="236"/>
        <v>10</v>
      </c>
      <c r="L1492">
        <f t="shared" si="237"/>
        <v>497480</v>
      </c>
      <c r="M1492">
        <f t="shared" si="238"/>
        <v>155924</v>
      </c>
      <c r="N1492">
        <f t="shared" si="239"/>
        <v>701404</v>
      </c>
      <c r="O1492">
        <f>IF(B1492="zagraniczny",K1492+O1491,O1491)</f>
        <v>682</v>
      </c>
    </row>
    <row r="1493" spans="1:15" x14ac:dyDescent="0.25">
      <c r="A1493">
        <v>1500342</v>
      </c>
      <c r="B1493" t="str">
        <f t="shared" si="230"/>
        <v>stacjonarny</v>
      </c>
      <c r="C1493" s="1">
        <v>42937</v>
      </c>
      <c r="D1493" s="2">
        <v>0.56297453703703704</v>
      </c>
      <c r="E1493" s="2">
        <v>0.56752314814814819</v>
      </c>
      <c r="F1493" s="2">
        <f t="shared" si="231"/>
        <v>4.548611111111156E-3</v>
      </c>
      <c r="G1493">
        <f t="shared" si="232"/>
        <v>0</v>
      </c>
      <c r="H1493">
        <f t="shared" si="233"/>
        <v>6</v>
      </c>
      <c r="I1493">
        <f t="shared" si="234"/>
        <v>33</v>
      </c>
      <c r="J1493">
        <f t="shared" si="235"/>
        <v>393</v>
      </c>
      <c r="K1493">
        <f t="shared" si="236"/>
        <v>7</v>
      </c>
      <c r="L1493">
        <f t="shared" si="237"/>
        <v>497873</v>
      </c>
      <c r="M1493">
        <f t="shared" si="238"/>
        <v>155924</v>
      </c>
      <c r="N1493">
        <f t="shared" si="239"/>
        <v>701797</v>
      </c>
      <c r="O1493">
        <f>IF(B1493="zagraniczny",K1493+O1492,O1492)</f>
        <v>682</v>
      </c>
    </row>
    <row r="1494" spans="1:15" x14ac:dyDescent="0.25">
      <c r="A1494">
        <v>7295667</v>
      </c>
      <c r="B1494" t="str">
        <f t="shared" si="230"/>
        <v>stacjonarny</v>
      </c>
      <c r="C1494" s="1">
        <v>42937</v>
      </c>
      <c r="D1494" s="2">
        <v>0.56578703703703703</v>
      </c>
      <c r="E1494" s="2">
        <v>0.57518518518518513</v>
      </c>
      <c r="F1494" s="2">
        <f t="shared" si="231"/>
        <v>9.3981481481481E-3</v>
      </c>
      <c r="G1494">
        <f t="shared" si="232"/>
        <v>0</v>
      </c>
      <c r="H1494">
        <f t="shared" si="233"/>
        <v>13</v>
      </c>
      <c r="I1494">
        <f t="shared" si="234"/>
        <v>32</v>
      </c>
      <c r="J1494">
        <f t="shared" si="235"/>
        <v>812</v>
      </c>
      <c r="K1494">
        <f t="shared" si="236"/>
        <v>14</v>
      </c>
      <c r="L1494">
        <f t="shared" si="237"/>
        <v>498685</v>
      </c>
      <c r="M1494">
        <f t="shared" si="238"/>
        <v>155924</v>
      </c>
      <c r="N1494">
        <f t="shared" si="239"/>
        <v>702609</v>
      </c>
      <c r="O1494">
        <f>IF(B1494="zagraniczny",K1494+O1493,O1493)</f>
        <v>682</v>
      </c>
    </row>
    <row r="1495" spans="1:15" x14ac:dyDescent="0.25">
      <c r="A1495">
        <v>5512237</v>
      </c>
      <c r="B1495" t="str">
        <f t="shared" si="230"/>
        <v>stacjonarny</v>
      </c>
      <c r="C1495" s="1">
        <v>42937</v>
      </c>
      <c r="D1495" s="2">
        <v>0.5713773148148148</v>
      </c>
      <c r="E1495" s="2">
        <v>0.58107638888888891</v>
      </c>
      <c r="F1495" s="2">
        <f t="shared" si="231"/>
        <v>9.6990740740741099E-3</v>
      </c>
      <c r="G1495">
        <f t="shared" si="232"/>
        <v>0</v>
      </c>
      <c r="H1495">
        <f t="shared" si="233"/>
        <v>13</v>
      </c>
      <c r="I1495">
        <f t="shared" si="234"/>
        <v>58</v>
      </c>
      <c r="J1495">
        <f t="shared" si="235"/>
        <v>838</v>
      </c>
      <c r="K1495">
        <f t="shared" si="236"/>
        <v>14</v>
      </c>
      <c r="L1495">
        <f t="shared" si="237"/>
        <v>499523</v>
      </c>
      <c r="M1495">
        <f t="shared" si="238"/>
        <v>155924</v>
      </c>
      <c r="N1495">
        <f t="shared" si="239"/>
        <v>703447</v>
      </c>
      <c r="O1495">
        <f>IF(B1495="zagraniczny",K1495+O1494,O1494)</f>
        <v>682</v>
      </c>
    </row>
    <row r="1496" spans="1:15" x14ac:dyDescent="0.25">
      <c r="A1496">
        <v>22266436</v>
      </c>
      <c r="B1496" t="str">
        <f t="shared" si="230"/>
        <v>komorkowy</v>
      </c>
      <c r="C1496" s="1">
        <v>42937</v>
      </c>
      <c r="D1496" s="2">
        <v>0.57549768518518518</v>
      </c>
      <c r="E1496" s="2">
        <v>0.57925925925925925</v>
      </c>
      <c r="F1496" s="2">
        <f t="shared" si="231"/>
        <v>3.76157407407407E-3</v>
      </c>
      <c r="G1496">
        <f t="shared" si="232"/>
        <v>0</v>
      </c>
      <c r="H1496">
        <f t="shared" si="233"/>
        <v>5</v>
      </c>
      <c r="I1496">
        <f t="shared" si="234"/>
        <v>25</v>
      </c>
      <c r="J1496">
        <f t="shared" si="235"/>
        <v>325</v>
      </c>
      <c r="K1496">
        <f t="shared" si="236"/>
        <v>6</v>
      </c>
      <c r="L1496">
        <f t="shared" si="237"/>
        <v>499523</v>
      </c>
      <c r="M1496">
        <f t="shared" si="238"/>
        <v>156249</v>
      </c>
      <c r="N1496">
        <f t="shared" si="239"/>
        <v>703772</v>
      </c>
      <c r="O1496">
        <f>IF(B1496="zagraniczny",K1496+O1495,O1495)</f>
        <v>682</v>
      </c>
    </row>
    <row r="1497" spans="1:15" x14ac:dyDescent="0.25">
      <c r="A1497">
        <v>60885211</v>
      </c>
      <c r="B1497" t="str">
        <f t="shared" si="230"/>
        <v>komorkowy</v>
      </c>
      <c r="C1497" s="1">
        <v>42937</v>
      </c>
      <c r="D1497" s="2">
        <v>0.57828703703703699</v>
      </c>
      <c r="E1497" s="2">
        <v>0.58940972222222221</v>
      </c>
      <c r="F1497" s="2">
        <f t="shared" si="231"/>
        <v>1.1122685185185222E-2</v>
      </c>
      <c r="G1497">
        <f t="shared" si="232"/>
        <v>0</v>
      </c>
      <c r="H1497">
        <f t="shared" si="233"/>
        <v>16</v>
      </c>
      <c r="I1497">
        <f t="shared" si="234"/>
        <v>1</v>
      </c>
      <c r="J1497">
        <f t="shared" si="235"/>
        <v>961</v>
      </c>
      <c r="K1497">
        <f t="shared" si="236"/>
        <v>17</v>
      </c>
      <c r="L1497">
        <f t="shared" si="237"/>
        <v>499523</v>
      </c>
      <c r="M1497">
        <f t="shared" si="238"/>
        <v>157210</v>
      </c>
      <c r="N1497">
        <f t="shared" si="239"/>
        <v>704733</v>
      </c>
      <c r="O1497">
        <f>IF(B1497="zagraniczny",K1497+O1496,O1496)</f>
        <v>682</v>
      </c>
    </row>
    <row r="1498" spans="1:15" x14ac:dyDescent="0.25">
      <c r="A1498">
        <v>4379415</v>
      </c>
      <c r="B1498" t="str">
        <f t="shared" si="230"/>
        <v>stacjonarny</v>
      </c>
      <c r="C1498" s="1">
        <v>42937</v>
      </c>
      <c r="D1498" s="2">
        <v>0.57983796296296297</v>
      </c>
      <c r="E1498" s="2">
        <v>0.58756944444444448</v>
      </c>
      <c r="F1498" s="2">
        <f t="shared" si="231"/>
        <v>7.7314814814815058E-3</v>
      </c>
      <c r="G1498">
        <f t="shared" si="232"/>
        <v>0</v>
      </c>
      <c r="H1498">
        <f t="shared" si="233"/>
        <v>11</v>
      </c>
      <c r="I1498">
        <f t="shared" si="234"/>
        <v>8</v>
      </c>
      <c r="J1498">
        <f t="shared" si="235"/>
        <v>668</v>
      </c>
      <c r="K1498">
        <f t="shared" si="236"/>
        <v>12</v>
      </c>
      <c r="L1498">
        <f t="shared" si="237"/>
        <v>500191</v>
      </c>
      <c r="M1498">
        <f t="shared" si="238"/>
        <v>157210</v>
      </c>
      <c r="N1498">
        <f t="shared" si="239"/>
        <v>705401</v>
      </c>
      <c r="O1498">
        <f>IF(B1498="zagraniczny",K1498+O1497,O1497)</f>
        <v>682</v>
      </c>
    </row>
    <row r="1499" spans="1:15" x14ac:dyDescent="0.25">
      <c r="A1499">
        <v>22747425</v>
      </c>
      <c r="B1499" t="str">
        <f t="shared" si="230"/>
        <v>komorkowy</v>
      </c>
      <c r="C1499" s="1">
        <v>42937</v>
      </c>
      <c r="D1499" s="2">
        <v>0.58520833333333333</v>
      </c>
      <c r="E1499" s="2">
        <v>0.59646990740740746</v>
      </c>
      <c r="F1499" s="2">
        <f t="shared" si="231"/>
        <v>1.1261574074074132E-2</v>
      </c>
      <c r="G1499">
        <f t="shared" si="232"/>
        <v>0</v>
      </c>
      <c r="H1499">
        <f t="shared" si="233"/>
        <v>16</v>
      </c>
      <c r="I1499">
        <f t="shared" si="234"/>
        <v>13</v>
      </c>
      <c r="J1499">
        <f t="shared" si="235"/>
        <v>973</v>
      </c>
      <c r="K1499">
        <f t="shared" si="236"/>
        <v>17</v>
      </c>
      <c r="L1499">
        <f t="shared" si="237"/>
        <v>500191</v>
      </c>
      <c r="M1499">
        <f t="shared" si="238"/>
        <v>158183</v>
      </c>
      <c r="N1499">
        <f t="shared" si="239"/>
        <v>706374</v>
      </c>
      <c r="O1499">
        <f>IF(B1499="zagraniczny",K1499+O1498,O1498)</f>
        <v>682</v>
      </c>
    </row>
    <row r="1500" spans="1:15" x14ac:dyDescent="0.25">
      <c r="A1500">
        <v>3858766</v>
      </c>
      <c r="B1500" t="str">
        <f t="shared" si="230"/>
        <v>stacjonarny</v>
      </c>
      <c r="C1500" s="1">
        <v>42937</v>
      </c>
      <c r="D1500" s="2">
        <v>0.59026620370370375</v>
      </c>
      <c r="E1500" s="2">
        <v>0.59652777777777777</v>
      </c>
      <c r="F1500" s="2">
        <f t="shared" si="231"/>
        <v>6.2615740740740167E-3</v>
      </c>
      <c r="G1500">
        <f t="shared" si="232"/>
        <v>0</v>
      </c>
      <c r="H1500">
        <f t="shared" si="233"/>
        <v>9</v>
      </c>
      <c r="I1500">
        <f t="shared" si="234"/>
        <v>1</v>
      </c>
      <c r="J1500">
        <f t="shared" si="235"/>
        <v>541</v>
      </c>
      <c r="K1500">
        <f t="shared" si="236"/>
        <v>10</v>
      </c>
      <c r="L1500">
        <f t="shared" si="237"/>
        <v>500732</v>
      </c>
      <c r="M1500">
        <f t="shared" si="238"/>
        <v>158183</v>
      </c>
      <c r="N1500">
        <f t="shared" si="239"/>
        <v>706915</v>
      </c>
      <c r="O1500">
        <f>IF(B1500="zagraniczny",K1500+O1499,O1499)</f>
        <v>682</v>
      </c>
    </row>
    <row r="1501" spans="1:15" x14ac:dyDescent="0.25">
      <c r="A1501">
        <v>6231537</v>
      </c>
      <c r="B1501" t="str">
        <f t="shared" si="230"/>
        <v>stacjonarny</v>
      </c>
      <c r="C1501" s="1">
        <v>42937</v>
      </c>
      <c r="D1501" s="2">
        <v>0.59401620370370367</v>
      </c>
      <c r="E1501" s="2">
        <v>0.60012731481481485</v>
      </c>
      <c r="F1501" s="2">
        <f t="shared" si="231"/>
        <v>6.1111111111111782E-3</v>
      </c>
      <c r="G1501">
        <f t="shared" si="232"/>
        <v>0</v>
      </c>
      <c r="H1501">
        <f t="shared" si="233"/>
        <v>8</v>
      </c>
      <c r="I1501">
        <f t="shared" si="234"/>
        <v>48</v>
      </c>
      <c r="J1501">
        <f t="shared" si="235"/>
        <v>528</v>
      </c>
      <c r="K1501">
        <f t="shared" si="236"/>
        <v>9</v>
      </c>
      <c r="L1501">
        <f t="shared" si="237"/>
        <v>501260</v>
      </c>
      <c r="M1501">
        <f t="shared" si="238"/>
        <v>158183</v>
      </c>
      <c r="N1501">
        <f t="shared" si="239"/>
        <v>707443</v>
      </c>
      <c r="O1501">
        <f>IF(B1501="zagraniczny",K1501+O1500,O1500)</f>
        <v>682</v>
      </c>
    </row>
    <row r="1502" spans="1:15" x14ac:dyDescent="0.25">
      <c r="A1502">
        <v>1296262</v>
      </c>
      <c r="B1502" t="str">
        <f t="shared" si="230"/>
        <v>stacjonarny</v>
      </c>
      <c r="C1502" s="1">
        <v>42937</v>
      </c>
      <c r="D1502" s="2">
        <v>0.59712962962962968</v>
      </c>
      <c r="E1502" s="2">
        <v>0.6026273148148148</v>
      </c>
      <c r="F1502" s="2">
        <f t="shared" si="231"/>
        <v>5.4976851851851194E-3</v>
      </c>
      <c r="G1502">
        <f t="shared" si="232"/>
        <v>0</v>
      </c>
      <c r="H1502">
        <f t="shared" si="233"/>
        <v>7</v>
      </c>
      <c r="I1502">
        <f t="shared" si="234"/>
        <v>55</v>
      </c>
      <c r="J1502">
        <f t="shared" si="235"/>
        <v>475</v>
      </c>
      <c r="K1502">
        <f t="shared" si="236"/>
        <v>8</v>
      </c>
      <c r="L1502">
        <f t="shared" si="237"/>
        <v>501735</v>
      </c>
      <c r="M1502">
        <f t="shared" si="238"/>
        <v>158183</v>
      </c>
      <c r="N1502">
        <f t="shared" si="239"/>
        <v>707918</v>
      </c>
      <c r="O1502">
        <f>IF(B1502="zagraniczny",K1502+O1501,O1501)</f>
        <v>682</v>
      </c>
    </row>
    <row r="1503" spans="1:15" x14ac:dyDescent="0.25">
      <c r="A1503">
        <v>6175467</v>
      </c>
      <c r="B1503" t="str">
        <f t="shared" si="230"/>
        <v>stacjonarny</v>
      </c>
      <c r="C1503" s="1">
        <v>42937</v>
      </c>
      <c r="D1503" s="2">
        <v>0.60185185185185186</v>
      </c>
      <c r="E1503" s="2">
        <v>0.61021990740740739</v>
      </c>
      <c r="F1503" s="2">
        <f t="shared" si="231"/>
        <v>8.3680555555555314E-3</v>
      </c>
      <c r="G1503">
        <f t="shared" si="232"/>
        <v>0</v>
      </c>
      <c r="H1503">
        <f t="shared" si="233"/>
        <v>12</v>
      </c>
      <c r="I1503">
        <f t="shared" si="234"/>
        <v>3</v>
      </c>
      <c r="J1503">
        <f t="shared" si="235"/>
        <v>723</v>
      </c>
      <c r="K1503">
        <f t="shared" si="236"/>
        <v>13</v>
      </c>
      <c r="L1503">
        <f t="shared" si="237"/>
        <v>502458</v>
      </c>
      <c r="M1503">
        <f t="shared" si="238"/>
        <v>158183</v>
      </c>
      <c r="N1503">
        <f t="shared" si="239"/>
        <v>708641</v>
      </c>
      <c r="O1503">
        <f>IF(B1503="zagraniczny",K1503+O1502,O1502)</f>
        <v>682</v>
      </c>
    </row>
    <row r="1504" spans="1:15" x14ac:dyDescent="0.25">
      <c r="A1504">
        <v>6434255</v>
      </c>
      <c r="B1504" t="str">
        <f t="shared" si="230"/>
        <v>stacjonarny</v>
      </c>
      <c r="C1504" s="1">
        <v>42937</v>
      </c>
      <c r="D1504" s="2">
        <v>0.60196759259259258</v>
      </c>
      <c r="E1504" s="2">
        <v>0.60356481481481483</v>
      </c>
      <c r="F1504" s="2">
        <f t="shared" si="231"/>
        <v>1.5972222222222499E-3</v>
      </c>
      <c r="G1504">
        <f t="shared" si="232"/>
        <v>0</v>
      </c>
      <c r="H1504">
        <f t="shared" si="233"/>
        <v>2</v>
      </c>
      <c r="I1504">
        <f t="shared" si="234"/>
        <v>18</v>
      </c>
      <c r="J1504">
        <f t="shared" si="235"/>
        <v>138</v>
      </c>
      <c r="K1504">
        <f t="shared" si="236"/>
        <v>3</v>
      </c>
      <c r="L1504">
        <f t="shared" si="237"/>
        <v>502596</v>
      </c>
      <c r="M1504">
        <f t="shared" si="238"/>
        <v>158183</v>
      </c>
      <c r="N1504">
        <f t="shared" si="239"/>
        <v>708779</v>
      </c>
      <c r="O1504">
        <f>IF(B1504="zagraniczny",K1504+O1503,O1503)</f>
        <v>682</v>
      </c>
    </row>
    <row r="1505" spans="1:15" x14ac:dyDescent="0.25">
      <c r="A1505">
        <v>2723614</v>
      </c>
      <c r="B1505" t="str">
        <f t="shared" si="230"/>
        <v>stacjonarny</v>
      </c>
      <c r="C1505" s="1">
        <v>42937</v>
      </c>
      <c r="D1505" s="2">
        <v>0.60465277777777782</v>
      </c>
      <c r="E1505" s="2">
        <v>0.60886574074074074</v>
      </c>
      <c r="F1505" s="2">
        <f t="shared" si="231"/>
        <v>4.2129629629629184E-3</v>
      </c>
      <c r="G1505">
        <f t="shared" si="232"/>
        <v>0</v>
      </c>
      <c r="H1505">
        <f t="shared" si="233"/>
        <v>6</v>
      </c>
      <c r="I1505">
        <f t="shared" si="234"/>
        <v>4</v>
      </c>
      <c r="J1505">
        <f t="shared" si="235"/>
        <v>364</v>
      </c>
      <c r="K1505">
        <f t="shared" si="236"/>
        <v>7</v>
      </c>
      <c r="L1505">
        <f t="shared" si="237"/>
        <v>502960</v>
      </c>
      <c r="M1505">
        <f t="shared" si="238"/>
        <v>158183</v>
      </c>
      <c r="N1505">
        <f t="shared" si="239"/>
        <v>709143</v>
      </c>
      <c r="O1505">
        <f>IF(B1505="zagraniczny",K1505+O1504,O1504)</f>
        <v>682</v>
      </c>
    </row>
    <row r="1506" spans="1:15" x14ac:dyDescent="0.25">
      <c r="A1506">
        <v>92326393</v>
      </c>
      <c r="B1506" t="str">
        <f t="shared" si="230"/>
        <v>komorkowy</v>
      </c>
      <c r="C1506" s="1">
        <v>42937</v>
      </c>
      <c r="D1506" s="2">
        <v>0.60782407407407413</v>
      </c>
      <c r="E1506" s="2">
        <v>0.61331018518518521</v>
      </c>
      <c r="F1506" s="2">
        <f t="shared" si="231"/>
        <v>5.4861111111110805E-3</v>
      </c>
      <c r="G1506">
        <f t="shared" si="232"/>
        <v>0</v>
      </c>
      <c r="H1506">
        <f t="shared" si="233"/>
        <v>7</v>
      </c>
      <c r="I1506">
        <f t="shared" si="234"/>
        <v>54</v>
      </c>
      <c r="J1506">
        <f t="shared" si="235"/>
        <v>474</v>
      </c>
      <c r="K1506">
        <f t="shared" si="236"/>
        <v>8</v>
      </c>
      <c r="L1506">
        <f t="shared" si="237"/>
        <v>502960</v>
      </c>
      <c r="M1506">
        <f t="shared" si="238"/>
        <v>158657</v>
      </c>
      <c r="N1506">
        <f t="shared" si="239"/>
        <v>709617</v>
      </c>
      <c r="O1506">
        <f>IF(B1506="zagraniczny",K1506+O1505,O1505)</f>
        <v>682</v>
      </c>
    </row>
    <row r="1507" spans="1:15" x14ac:dyDescent="0.25">
      <c r="A1507">
        <v>5039266</v>
      </c>
      <c r="B1507" t="str">
        <f t="shared" si="230"/>
        <v>stacjonarny</v>
      </c>
      <c r="C1507" s="1">
        <v>42937</v>
      </c>
      <c r="D1507" s="2">
        <v>0.6121875</v>
      </c>
      <c r="E1507" s="2">
        <v>0.6181712962962963</v>
      </c>
      <c r="F1507" s="2">
        <f t="shared" si="231"/>
        <v>5.9837962962963065E-3</v>
      </c>
      <c r="G1507">
        <f t="shared" si="232"/>
        <v>0</v>
      </c>
      <c r="H1507">
        <f t="shared" si="233"/>
        <v>8</v>
      </c>
      <c r="I1507">
        <f t="shared" si="234"/>
        <v>37</v>
      </c>
      <c r="J1507">
        <f t="shared" si="235"/>
        <v>517</v>
      </c>
      <c r="K1507">
        <f t="shared" si="236"/>
        <v>9</v>
      </c>
      <c r="L1507">
        <f t="shared" si="237"/>
        <v>503477</v>
      </c>
      <c r="M1507">
        <f t="shared" si="238"/>
        <v>158657</v>
      </c>
      <c r="N1507">
        <f t="shared" si="239"/>
        <v>710134</v>
      </c>
      <c r="O1507">
        <f>IF(B1507="zagraniczny",K1507+O1506,O1506)</f>
        <v>682</v>
      </c>
    </row>
    <row r="1508" spans="1:15" x14ac:dyDescent="0.25">
      <c r="A1508">
        <v>3861280</v>
      </c>
      <c r="B1508" t="str">
        <f t="shared" si="230"/>
        <v>stacjonarny</v>
      </c>
      <c r="C1508" s="1">
        <v>42937</v>
      </c>
      <c r="D1508" s="2">
        <v>0.6147569444444444</v>
      </c>
      <c r="E1508" s="2">
        <v>0.62420138888888888</v>
      </c>
      <c r="F1508" s="2">
        <f t="shared" si="231"/>
        <v>9.4444444444444775E-3</v>
      </c>
      <c r="G1508">
        <f t="shared" si="232"/>
        <v>0</v>
      </c>
      <c r="H1508">
        <f t="shared" si="233"/>
        <v>13</v>
      </c>
      <c r="I1508">
        <f t="shared" si="234"/>
        <v>36</v>
      </c>
      <c r="J1508">
        <f t="shared" si="235"/>
        <v>816</v>
      </c>
      <c r="K1508">
        <f t="shared" si="236"/>
        <v>14</v>
      </c>
      <c r="L1508">
        <f t="shared" si="237"/>
        <v>504293</v>
      </c>
      <c r="M1508">
        <f t="shared" si="238"/>
        <v>158657</v>
      </c>
      <c r="N1508">
        <f t="shared" si="239"/>
        <v>710950</v>
      </c>
      <c r="O1508">
        <f>IF(B1508="zagraniczny",K1508+O1507,O1507)</f>
        <v>682</v>
      </c>
    </row>
    <row r="1509" spans="1:15" x14ac:dyDescent="0.25">
      <c r="A1509">
        <v>3982833</v>
      </c>
      <c r="B1509" t="str">
        <f t="shared" si="230"/>
        <v>stacjonarny</v>
      </c>
      <c r="C1509" s="1">
        <v>42937</v>
      </c>
      <c r="D1509" s="2">
        <v>0.61690972222222218</v>
      </c>
      <c r="E1509" s="2">
        <v>0.62290509259259264</v>
      </c>
      <c r="F1509" s="2">
        <f t="shared" si="231"/>
        <v>5.9953703703704564E-3</v>
      </c>
      <c r="G1509">
        <f t="shared" si="232"/>
        <v>0</v>
      </c>
      <c r="H1509">
        <f t="shared" si="233"/>
        <v>8</v>
      </c>
      <c r="I1509">
        <f t="shared" si="234"/>
        <v>38</v>
      </c>
      <c r="J1509">
        <f t="shared" si="235"/>
        <v>518</v>
      </c>
      <c r="K1509">
        <f t="shared" si="236"/>
        <v>9</v>
      </c>
      <c r="L1509">
        <f t="shared" si="237"/>
        <v>504811</v>
      </c>
      <c r="M1509">
        <f t="shared" si="238"/>
        <v>158657</v>
      </c>
      <c r="N1509">
        <f t="shared" si="239"/>
        <v>711468</v>
      </c>
      <c r="O1509">
        <f>IF(B1509="zagraniczny",K1509+O1508,O1508)</f>
        <v>682</v>
      </c>
    </row>
    <row r="1510" spans="1:15" x14ac:dyDescent="0.25">
      <c r="A1510">
        <v>5835972</v>
      </c>
      <c r="B1510" t="str">
        <f t="shared" si="230"/>
        <v>stacjonarny</v>
      </c>
      <c r="C1510" s="1">
        <v>42937</v>
      </c>
      <c r="D1510" s="2">
        <v>0.6206828703703704</v>
      </c>
      <c r="E1510" s="2">
        <v>0.62291666666666667</v>
      </c>
      <c r="F1510" s="2">
        <f t="shared" si="231"/>
        <v>2.2337962962962754E-3</v>
      </c>
      <c r="G1510">
        <f t="shared" si="232"/>
        <v>0</v>
      </c>
      <c r="H1510">
        <f t="shared" si="233"/>
        <v>3</v>
      </c>
      <c r="I1510">
        <f t="shared" si="234"/>
        <v>13</v>
      </c>
      <c r="J1510">
        <f t="shared" si="235"/>
        <v>193</v>
      </c>
      <c r="K1510">
        <f t="shared" si="236"/>
        <v>4</v>
      </c>
      <c r="L1510">
        <f t="shared" si="237"/>
        <v>505004</v>
      </c>
      <c r="M1510">
        <f t="shared" si="238"/>
        <v>158657</v>
      </c>
      <c r="N1510">
        <f t="shared" si="239"/>
        <v>711661</v>
      </c>
      <c r="O1510">
        <f>IF(B1510="zagraniczny",K1510+O1509,O1509)</f>
        <v>682</v>
      </c>
    </row>
    <row r="1511" spans="1:15" x14ac:dyDescent="0.25">
      <c r="A1511">
        <v>98382147</v>
      </c>
      <c r="B1511" t="str">
        <f t="shared" si="230"/>
        <v>komorkowy</v>
      </c>
      <c r="C1511" s="1">
        <v>42937</v>
      </c>
      <c r="D1511" s="2">
        <v>0.62484953703703705</v>
      </c>
      <c r="E1511" s="2">
        <v>0.62848379629629625</v>
      </c>
      <c r="F1511" s="2">
        <f t="shared" si="231"/>
        <v>3.6342592592591982E-3</v>
      </c>
      <c r="G1511">
        <f t="shared" si="232"/>
        <v>0</v>
      </c>
      <c r="H1511">
        <f t="shared" si="233"/>
        <v>5</v>
      </c>
      <c r="I1511">
        <f t="shared" si="234"/>
        <v>14</v>
      </c>
      <c r="J1511">
        <f t="shared" si="235"/>
        <v>314</v>
      </c>
      <c r="K1511">
        <f t="shared" si="236"/>
        <v>6</v>
      </c>
      <c r="L1511">
        <f t="shared" si="237"/>
        <v>505004</v>
      </c>
      <c r="M1511">
        <f t="shared" si="238"/>
        <v>158971</v>
      </c>
      <c r="N1511">
        <f t="shared" si="239"/>
        <v>711975</v>
      </c>
      <c r="O1511">
        <f>IF(B1511="zagraniczny",K1511+O1510,O1510)</f>
        <v>682</v>
      </c>
    </row>
    <row r="1512" spans="1:15" x14ac:dyDescent="0.25">
      <c r="A1512">
        <v>9427353</v>
      </c>
      <c r="B1512" t="str">
        <f t="shared" si="230"/>
        <v>stacjonarny</v>
      </c>
      <c r="C1512" s="1">
        <v>42937</v>
      </c>
      <c r="D1512" s="2">
        <v>0.62612268518518521</v>
      </c>
      <c r="E1512" s="2">
        <v>0.62835648148148149</v>
      </c>
      <c r="F1512" s="2">
        <f t="shared" si="231"/>
        <v>2.2337962962962754E-3</v>
      </c>
      <c r="G1512">
        <f t="shared" si="232"/>
        <v>0</v>
      </c>
      <c r="H1512">
        <f t="shared" si="233"/>
        <v>3</v>
      </c>
      <c r="I1512">
        <f t="shared" si="234"/>
        <v>13</v>
      </c>
      <c r="J1512">
        <f t="shared" si="235"/>
        <v>193</v>
      </c>
      <c r="K1512">
        <f t="shared" si="236"/>
        <v>4</v>
      </c>
      <c r="L1512">
        <f t="shared" si="237"/>
        <v>505197</v>
      </c>
      <c r="M1512">
        <f t="shared" si="238"/>
        <v>158971</v>
      </c>
      <c r="N1512">
        <f t="shared" si="239"/>
        <v>712168</v>
      </c>
      <c r="O1512">
        <f>IF(B1512="zagraniczny",K1512+O1511,O1511)</f>
        <v>682</v>
      </c>
    </row>
    <row r="1513" spans="1:15" x14ac:dyDescent="0.25">
      <c r="A1513">
        <v>11274735</v>
      </c>
      <c r="B1513" t="str">
        <f t="shared" si="230"/>
        <v>komorkowy</v>
      </c>
      <c r="C1513" s="1">
        <v>42940</v>
      </c>
      <c r="D1513" s="2">
        <v>0.33624999999999999</v>
      </c>
      <c r="E1513" s="2">
        <v>0.34670138888888891</v>
      </c>
      <c r="F1513" s="2">
        <f t="shared" si="231"/>
        <v>1.0451388888888913E-2</v>
      </c>
      <c r="G1513">
        <f t="shared" si="232"/>
        <v>0</v>
      </c>
      <c r="H1513">
        <f t="shared" si="233"/>
        <v>15</v>
      </c>
      <c r="I1513">
        <f t="shared" si="234"/>
        <v>3</v>
      </c>
      <c r="J1513">
        <f t="shared" si="235"/>
        <v>903</v>
      </c>
      <c r="K1513">
        <f t="shared" si="236"/>
        <v>16</v>
      </c>
      <c r="L1513">
        <f t="shared" si="237"/>
        <v>505197</v>
      </c>
      <c r="M1513">
        <f t="shared" si="238"/>
        <v>159874</v>
      </c>
      <c r="N1513">
        <f t="shared" si="239"/>
        <v>713071</v>
      </c>
      <c r="O1513">
        <f>IF(B1513="zagraniczny",K1513+O1512,O1512)</f>
        <v>682</v>
      </c>
    </row>
    <row r="1514" spans="1:15" x14ac:dyDescent="0.25">
      <c r="A1514">
        <v>9727873</v>
      </c>
      <c r="B1514" t="str">
        <f t="shared" si="230"/>
        <v>stacjonarny</v>
      </c>
      <c r="C1514" s="1">
        <v>42940</v>
      </c>
      <c r="D1514" s="2">
        <v>0.33728009259259262</v>
      </c>
      <c r="E1514" s="2">
        <v>0.34291666666666665</v>
      </c>
      <c r="F1514" s="2">
        <f t="shared" si="231"/>
        <v>5.63657407407403E-3</v>
      </c>
      <c r="G1514">
        <f t="shared" si="232"/>
        <v>0</v>
      </c>
      <c r="H1514">
        <f t="shared" si="233"/>
        <v>8</v>
      </c>
      <c r="I1514">
        <f t="shared" si="234"/>
        <v>7</v>
      </c>
      <c r="J1514">
        <f t="shared" si="235"/>
        <v>487</v>
      </c>
      <c r="K1514">
        <f t="shared" si="236"/>
        <v>9</v>
      </c>
      <c r="L1514">
        <f t="shared" si="237"/>
        <v>505684</v>
      </c>
      <c r="M1514">
        <f t="shared" si="238"/>
        <v>159874</v>
      </c>
      <c r="N1514">
        <f t="shared" si="239"/>
        <v>713558</v>
      </c>
      <c r="O1514">
        <f>IF(B1514="zagraniczny",K1514+O1513,O1513)</f>
        <v>682</v>
      </c>
    </row>
    <row r="1515" spans="1:15" x14ac:dyDescent="0.25">
      <c r="A1515">
        <v>4804872</v>
      </c>
      <c r="B1515" t="str">
        <f t="shared" si="230"/>
        <v>stacjonarny</v>
      </c>
      <c r="C1515" s="1">
        <v>42940</v>
      </c>
      <c r="D1515" s="2">
        <v>0.3402662037037037</v>
      </c>
      <c r="E1515" s="2">
        <v>0.34250000000000003</v>
      </c>
      <c r="F1515" s="2">
        <f t="shared" si="231"/>
        <v>2.2337962962963309E-3</v>
      </c>
      <c r="G1515">
        <f t="shared" si="232"/>
        <v>0</v>
      </c>
      <c r="H1515">
        <f t="shared" si="233"/>
        <v>3</v>
      </c>
      <c r="I1515">
        <f t="shared" si="234"/>
        <v>13</v>
      </c>
      <c r="J1515">
        <f t="shared" si="235"/>
        <v>193</v>
      </c>
      <c r="K1515">
        <f t="shared" si="236"/>
        <v>4</v>
      </c>
      <c r="L1515">
        <f t="shared" si="237"/>
        <v>505877</v>
      </c>
      <c r="M1515">
        <f t="shared" si="238"/>
        <v>159874</v>
      </c>
      <c r="N1515">
        <f t="shared" si="239"/>
        <v>713751</v>
      </c>
      <c r="O1515">
        <f>IF(B1515="zagraniczny",K1515+O1514,O1514)</f>
        <v>682</v>
      </c>
    </row>
    <row r="1516" spans="1:15" x14ac:dyDescent="0.25">
      <c r="A1516">
        <v>22583033</v>
      </c>
      <c r="B1516" t="str">
        <f t="shared" si="230"/>
        <v>komorkowy</v>
      </c>
      <c r="C1516" s="1">
        <v>42940</v>
      </c>
      <c r="D1516" s="2">
        <v>0.34495370370370371</v>
      </c>
      <c r="E1516" s="2">
        <v>0.3467824074074074</v>
      </c>
      <c r="F1516" s="2">
        <f t="shared" si="231"/>
        <v>1.8287037037036935E-3</v>
      </c>
      <c r="G1516">
        <f t="shared" si="232"/>
        <v>0</v>
      </c>
      <c r="H1516">
        <f t="shared" si="233"/>
        <v>2</v>
      </c>
      <c r="I1516">
        <f t="shared" si="234"/>
        <v>38</v>
      </c>
      <c r="J1516">
        <f t="shared" si="235"/>
        <v>158</v>
      </c>
      <c r="K1516">
        <f t="shared" si="236"/>
        <v>3</v>
      </c>
      <c r="L1516">
        <f t="shared" si="237"/>
        <v>505877</v>
      </c>
      <c r="M1516">
        <f t="shared" si="238"/>
        <v>160032</v>
      </c>
      <c r="N1516">
        <f t="shared" si="239"/>
        <v>713909</v>
      </c>
      <c r="O1516">
        <f>IF(B1516="zagraniczny",K1516+O1515,O1515)</f>
        <v>682</v>
      </c>
    </row>
    <row r="1517" spans="1:15" x14ac:dyDescent="0.25">
      <c r="A1517">
        <v>4056070</v>
      </c>
      <c r="B1517" t="str">
        <f t="shared" si="230"/>
        <v>stacjonarny</v>
      </c>
      <c r="C1517" s="1">
        <v>42940</v>
      </c>
      <c r="D1517" s="2">
        <v>0.3480787037037037</v>
      </c>
      <c r="E1517" s="2">
        <v>0.35413194444444446</v>
      </c>
      <c r="F1517" s="2">
        <f t="shared" si="231"/>
        <v>6.0532407407407618E-3</v>
      </c>
      <c r="G1517">
        <f t="shared" si="232"/>
        <v>0</v>
      </c>
      <c r="H1517">
        <f t="shared" si="233"/>
        <v>8</v>
      </c>
      <c r="I1517">
        <f t="shared" si="234"/>
        <v>43</v>
      </c>
      <c r="J1517">
        <f t="shared" si="235"/>
        <v>523</v>
      </c>
      <c r="K1517">
        <f t="shared" si="236"/>
        <v>9</v>
      </c>
      <c r="L1517">
        <f t="shared" si="237"/>
        <v>506400</v>
      </c>
      <c r="M1517">
        <f t="shared" si="238"/>
        <v>160032</v>
      </c>
      <c r="N1517">
        <f t="shared" si="239"/>
        <v>714432</v>
      </c>
      <c r="O1517">
        <f>IF(B1517="zagraniczny",K1517+O1516,O1516)</f>
        <v>682</v>
      </c>
    </row>
    <row r="1518" spans="1:15" x14ac:dyDescent="0.25">
      <c r="A1518">
        <v>2701816</v>
      </c>
      <c r="B1518" t="str">
        <f t="shared" si="230"/>
        <v>stacjonarny</v>
      </c>
      <c r="C1518" s="1">
        <v>42940</v>
      </c>
      <c r="D1518" s="2">
        <v>0.34879629629629627</v>
      </c>
      <c r="E1518" s="2">
        <v>0.35699074074074072</v>
      </c>
      <c r="F1518" s="2">
        <f t="shared" si="231"/>
        <v>8.1944444444444486E-3</v>
      </c>
      <c r="G1518">
        <f t="shared" si="232"/>
        <v>0</v>
      </c>
      <c r="H1518">
        <f t="shared" si="233"/>
        <v>11</v>
      </c>
      <c r="I1518">
        <f t="shared" si="234"/>
        <v>48</v>
      </c>
      <c r="J1518">
        <f t="shared" si="235"/>
        <v>708</v>
      </c>
      <c r="K1518">
        <f t="shared" si="236"/>
        <v>12</v>
      </c>
      <c r="L1518">
        <f t="shared" si="237"/>
        <v>507108</v>
      </c>
      <c r="M1518">
        <f t="shared" si="238"/>
        <v>160032</v>
      </c>
      <c r="N1518">
        <f t="shared" si="239"/>
        <v>715140</v>
      </c>
      <c r="O1518">
        <f>IF(B1518="zagraniczny",K1518+O1517,O1517)</f>
        <v>682</v>
      </c>
    </row>
    <row r="1519" spans="1:15" x14ac:dyDescent="0.25">
      <c r="A1519">
        <v>20735440</v>
      </c>
      <c r="B1519" t="str">
        <f t="shared" si="230"/>
        <v>komorkowy</v>
      </c>
      <c r="C1519" s="1">
        <v>42940</v>
      </c>
      <c r="D1519" s="2">
        <v>0.35041666666666665</v>
      </c>
      <c r="E1519" s="2">
        <v>0.35834490740740743</v>
      </c>
      <c r="F1519" s="2">
        <f t="shared" si="231"/>
        <v>7.9282407407407773E-3</v>
      </c>
      <c r="G1519">
        <f t="shared" si="232"/>
        <v>0</v>
      </c>
      <c r="H1519">
        <f t="shared" si="233"/>
        <v>11</v>
      </c>
      <c r="I1519">
        <f t="shared" si="234"/>
        <v>25</v>
      </c>
      <c r="J1519">
        <f t="shared" si="235"/>
        <v>685</v>
      </c>
      <c r="K1519">
        <f t="shared" si="236"/>
        <v>12</v>
      </c>
      <c r="L1519">
        <f t="shared" si="237"/>
        <v>507108</v>
      </c>
      <c r="M1519">
        <f t="shared" si="238"/>
        <v>160717</v>
      </c>
      <c r="N1519">
        <f t="shared" si="239"/>
        <v>715825</v>
      </c>
      <c r="O1519">
        <f>IF(B1519="zagraniczny",K1519+O1518,O1518)</f>
        <v>682</v>
      </c>
    </row>
    <row r="1520" spans="1:15" x14ac:dyDescent="0.25">
      <c r="A1520">
        <v>9076015</v>
      </c>
      <c r="B1520" t="str">
        <f t="shared" si="230"/>
        <v>stacjonarny</v>
      </c>
      <c r="C1520" s="1">
        <v>42940</v>
      </c>
      <c r="D1520" s="2">
        <v>0.35129629629629627</v>
      </c>
      <c r="E1520" s="2">
        <v>0.35626157407407405</v>
      </c>
      <c r="F1520" s="2">
        <f t="shared" si="231"/>
        <v>4.9652777777777768E-3</v>
      </c>
      <c r="G1520">
        <f t="shared" si="232"/>
        <v>0</v>
      </c>
      <c r="H1520">
        <f t="shared" si="233"/>
        <v>7</v>
      </c>
      <c r="I1520">
        <f t="shared" si="234"/>
        <v>9</v>
      </c>
      <c r="J1520">
        <f t="shared" si="235"/>
        <v>429</v>
      </c>
      <c r="K1520">
        <f t="shared" si="236"/>
        <v>8</v>
      </c>
      <c r="L1520">
        <f t="shared" si="237"/>
        <v>507537</v>
      </c>
      <c r="M1520">
        <f t="shared" si="238"/>
        <v>160717</v>
      </c>
      <c r="N1520">
        <f t="shared" si="239"/>
        <v>716254</v>
      </c>
      <c r="O1520">
        <f>IF(B1520="zagraniczny",K1520+O1519,O1519)</f>
        <v>682</v>
      </c>
    </row>
    <row r="1521" spans="1:15" x14ac:dyDescent="0.25">
      <c r="A1521">
        <v>11070759</v>
      </c>
      <c r="B1521" t="str">
        <f t="shared" si="230"/>
        <v>komorkowy</v>
      </c>
      <c r="C1521" s="1">
        <v>42940</v>
      </c>
      <c r="D1521" s="2">
        <v>0.35653935185185187</v>
      </c>
      <c r="E1521" s="2">
        <v>0.35864583333333333</v>
      </c>
      <c r="F1521" s="2">
        <f t="shared" si="231"/>
        <v>2.1064814814814592E-3</v>
      </c>
      <c r="G1521">
        <f t="shared" si="232"/>
        <v>0</v>
      </c>
      <c r="H1521">
        <f t="shared" si="233"/>
        <v>3</v>
      </c>
      <c r="I1521">
        <f t="shared" si="234"/>
        <v>2</v>
      </c>
      <c r="J1521">
        <f t="shared" si="235"/>
        <v>182</v>
      </c>
      <c r="K1521">
        <f t="shared" si="236"/>
        <v>4</v>
      </c>
      <c r="L1521">
        <f t="shared" si="237"/>
        <v>507537</v>
      </c>
      <c r="M1521">
        <f t="shared" si="238"/>
        <v>160899</v>
      </c>
      <c r="N1521">
        <f t="shared" si="239"/>
        <v>716436</v>
      </c>
      <c r="O1521">
        <f>IF(B1521="zagraniczny",K1521+O1520,O1520)</f>
        <v>682</v>
      </c>
    </row>
    <row r="1522" spans="1:15" x14ac:dyDescent="0.25">
      <c r="A1522">
        <v>22176115</v>
      </c>
      <c r="B1522" t="str">
        <f t="shared" si="230"/>
        <v>komorkowy</v>
      </c>
      <c r="C1522" s="1">
        <v>42940</v>
      </c>
      <c r="D1522" s="2">
        <v>0.35991898148148149</v>
      </c>
      <c r="E1522" s="2">
        <v>0.36880787037037038</v>
      </c>
      <c r="F1522" s="2">
        <f t="shared" si="231"/>
        <v>8.8888888888888906E-3</v>
      </c>
      <c r="G1522">
        <f t="shared" si="232"/>
        <v>0</v>
      </c>
      <c r="H1522">
        <f t="shared" si="233"/>
        <v>12</v>
      </c>
      <c r="I1522">
        <f t="shared" si="234"/>
        <v>48</v>
      </c>
      <c r="J1522">
        <f t="shared" si="235"/>
        <v>768</v>
      </c>
      <c r="K1522">
        <f t="shared" si="236"/>
        <v>13</v>
      </c>
      <c r="L1522">
        <f t="shared" si="237"/>
        <v>507537</v>
      </c>
      <c r="M1522">
        <f t="shared" si="238"/>
        <v>161667</v>
      </c>
      <c r="N1522">
        <f t="shared" si="239"/>
        <v>717204</v>
      </c>
      <c r="O1522">
        <f>IF(B1522="zagraniczny",K1522+O1521,O1521)</f>
        <v>682</v>
      </c>
    </row>
    <row r="1523" spans="1:15" x14ac:dyDescent="0.25">
      <c r="A1523">
        <v>7456918</v>
      </c>
      <c r="B1523" t="str">
        <f t="shared" si="230"/>
        <v>stacjonarny</v>
      </c>
      <c r="C1523" s="1">
        <v>42940</v>
      </c>
      <c r="D1523" s="2">
        <v>0.36061342592592593</v>
      </c>
      <c r="E1523" s="2">
        <v>0.36667824074074074</v>
      </c>
      <c r="F1523" s="2">
        <f t="shared" si="231"/>
        <v>6.0648148148148007E-3</v>
      </c>
      <c r="G1523">
        <f t="shared" si="232"/>
        <v>0</v>
      </c>
      <c r="H1523">
        <f t="shared" si="233"/>
        <v>8</v>
      </c>
      <c r="I1523">
        <f t="shared" si="234"/>
        <v>44</v>
      </c>
      <c r="J1523">
        <f t="shared" si="235"/>
        <v>524</v>
      </c>
      <c r="K1523">
        <f t="shared" si="236"/>
        <v>9</v>
      </c>
      <c r="L1523">
        <f t="shared" si="237"/>
        <v>508061</v>
      </c>
      <c r="M1523">
        <f t="shared" si="238"/>
        <v>161667</v>
      </c>
      <c r="N1523">
        <f t="shared" si="239"/>
        <v>717728</v>
      </c>
      <c r="O1523">
        <f>IF(B1523="zagraniczny",K1523+O1522,O1522)</f>
        <v>682</v>
      </c>
    </row>
    <row r="1524" spans="1:15" x14ac:dyDescent="0.25">
      <c r="A1524">
        <v>6896787</v>
      </c>
      <c r="B1524" t="str">
        <f t="shared" si="230"/>
        <v>stacjonarny</v>
      </c>
      <c r="C1524" s="1">
        <v>42940</v>
      </c>
      <c r="D1524" s="2">
        <v>0.36243055555555553</v>
      </c>
      <c r="E1524" s="2">
        <v>0.36993055555555554</v>
      </c>
      <c r="F1524" s="2">
        <f t="shared" si="231"/>
        <v>7.5000000000000067E-3</v>
      </c>
      <c r="G1524">
        <f t="shared" si="232"/>
        <v>0</v>
      </c>
      <c r="H1524">
        <f t="shared" si="233"/>
        <v>10</v>
      </c>
      <c r="I1524">
        <f t="shared" si="234"/>
        <v>48</v>
      </c>
      <c r="J1524">
        <f t="shared" si="235"/>
        <v>648</v>
      </c>
      <c r="K1524">
        <f t="shared" si="236"/>
        <v>11</v>
      </c>
      <c r="L1524">
        <f t="shared" si="237"/>
        <v>508709</v>
      </c>
      <c r="M1524">
        <f t="shared" si="238"/>
        <v>161667</v>
      </c>
      <c r="N1524">
        <f t="shared" si="239"/>
        <v>718376</v>
      </c>
      <c r="O1524">
        <f>IF(B1524="zagraniczny",K1524+O1523,O1523)</f>
        <v>682</v>
      </c>
    </row>
    <row r="1525" spans="1:15" x14ac:dyDescent="0.25">
      <c r="A1525">
        <v>6561564994</v>
      </c>
      <c r="B1525" t="str">
        <f t="shared" si="230"/>
        <v>zagraniczny</v>
      </c>
      <c r="C1525" s="1">
        <v>42940</v>
      </c>
      <c r="D1525" s="2">
        <v>0.36334490740740738</v>
      </c>
      <c r="E1525" s="2">
        <v>0.3696875</v>
      </c>
      <c r="F1525" s="2">
        <f t="shared" si="231"/>
        <v>6.3425925925926219E-3</v>
      </c>
      <c r="G1525">
        <f t="shared" si="232"/>
        <v>0</v>
      </c>
      <c r="H1525">
        <f t="shared" si="233"/>
        <v>9</v>
      </c>
      <c r="I1525">
        <f t="shared" si="234"/>
        <v>8</v>
      </c>
      <c r="J1525">
        <f t="shared" si="235"/>
        <v>548</v>
      </c>
      <c r="K1525">
        <f t="shared" si="236"/>
        <v>10</v>
      </c>
      <c r="L1525">
        <f t="shared" si="237"/>
        <v>508709</v>
      </c>
      <c r="M1525">
        <f t="shared" si="238"/>
        <v>161667</v>
      </c>
      <c r="N1525">
        <f t="shared" si="239"/>
        <v>718376</v>
      </c>
      <c r="O1525">
        <f>IF(B1525="zagraniczny",K1525+O1524,O1524)</f>
        <v>692</v>
      </c>
    </row>
    <row r="1526" spans="1:15" x14ac:dyDescent="0.25">
      <c r="A1526">
        <v>8414788</v>
      </c>
      <c r="B1526" t="str">
        <f t="shared" si="230"/>
        <v>stacjonarny</v>
      </c>
      <c r="C1526" s="1">
        <v>42940</v>
      </c>
      <c r="D1526" s="2">
        <v>0.36887731481481484</v>
      </c>
      <c r="E1526" s="2">
        <v>0.37443287037037037</v>
      </c>
      <c r="F1526" s="2">
        <f t="shared" si="231"/>
        <v>5.5555555555555358E-3</v>
      </c>
      <c r="G1526">
        <f t="shared" si="232"/>
        <v>0</v>
      </c>
      <c r="H1526">
        <f t="shared" si="233"/>
        <v>8</v>
      </c>
      <c r="I1526">
        <f t="shared" si="234"/>
        <v>0</v>
      </c>
      <c r="J1526">
        <f t="shared" si="235"/>
        <v>480</v>
      </c>
      <c r="K1526">
        <f t="shared" si="236"/>
        <v>8</v>
      </c>
      <c r="L1526">
        <f t="shared" si="237"/>
        <v>509189</v>
      </c>
      <c r="M1526">
        <f t="shared" si="238"/>
        <v>161667</v>
      </c>
      <c r="N1526">
        <f t="shared" si="239"/>
        <v>718856</v>
      </c>
      <c r="O1526">
        <f>IF(B1526="zagraniczny",K1526+O1525,O1525)</f>
        <v>692</v>
      </c>
    </row>
    <row r="1527" spans="1:15" x14ac:dyDescent="0.25">
      <c r="A1527">
        <v>7896629</v>
      </c>
      <c r="B1527" t="str">
        <f t="shared" si="230"/>
        <v>stacjonarny</v>
      </c>
      <c r="C1527" s="1">
        <v>42940</v>
      </c>
      <c r="D1527" s="2">
        <v>0.37025462962962963</v>
      </c>
      <c r="E1527" s="2">
        <v>0.3785648148148148</v>
      </c>
      <c r="F1527" s="2">
        <f t="shared" si="231"/>
        <v>8.3101851851851705E-3</v>
      </c>
      <c r="G1527">
        <f t="shared" si="232"/>
        <v>0</v>
      </c>
      <c r="H1527">
        <f t="shared" si="233"/>
        <v>11</v>
      </c>
      <c r="I1527">
        <f t="shared" si="234"/>
        <v>58</v>
      </c>
      <c r="J1527">
        <f t="shared" si="235"/>
        <v>718</v>
      </c>
      <c r="K1527">
        <f t="shared" si="236"/>
        <v>12</v>
      </c>
      <c r="L1527">
        <f t="shared" si="237"/>
        <v>509907</v>
      </c>
      <c r="M1527">
        <f t="shared" si="238"/>
        <v>161667</v>
      </c>
      <c r="N1527">
        <f t="shared" si="239"/>
        <v>719574</v>
      </c>
      <c r="O1527">
        <f>IF(B1527="zagraniczny",K1527+O1526,O1526)</f>
        <v>692</v>
      </c>
    </row>
    <row r="1528" spans="1:15" x14ac:dyDescent="0.25">
      <c r="A1528">
        <v>5970183</v>
      </c>
      <c r="B1528" t="str">
        <f t="shared" si="230"/>
        <v>stacjonarny</v>
      </c>
      <c r="C1528" s="1">
        <v>42940</v>
      </c>
      <c r="D1528" s="2">
        <v>0.37150462962962966</v>
      </c>
      <c r="E1528" s="2">
        <v>0.37246527777777777</v>
      </c>
      <c r="F1528" s="2">
        <f t="shared" si="231"/>
        <v>9.6064814814811328E-4</v>
      </c>
      <c r="G1528">
        <f t="shared" si="232"/>
        <v>0</v>
      </c>
      <c r="H1528">
        <f t="shared" si="233"/>
        <v>1</v>
      </c>
      <c r="I1528">
        <f t="shared" si="234"/>
        <v>23</v>
      </c>
      <c r="J1528">
        <f t="shared" si="235"/>
        <v>83</v>
      </c>
      <c r="K1528">
        <f t="shared" si="236"/>
        <v>2</v>
      </c>
      <c r="L1528">
        <f t="shared" si="237"/>
        <v>509990</v>
      </c>
      <c r="M1528">
        <f t="shared" si="238"/>
        <v>161667</v>
      </c>
      <c r="N1528">
        <f t="shared" si="239"/>
        <v>719657</v>
      </c>
      <c r="O1528">
        <f>IF(B1528="zagraniczny",K1528+O1527,O1527)</f>
        <v>692</v>
      </c>
    </row>
    <row r="1529" spans="1:15" x14ac:dyDescent="0.25">
      <c r="A1529">
        <v>57891628</v>
      </c>
      <c r="B1529" t="str">
        <f t="shared" si="230"/>
        <v>komorkowy</v>
      </c>
      <c r="C1529" s="1">
        <v>42940</v>
      </c>
      <c r="D1529" s="2">
        <v>0.37296296296296294</v>
      </c>
      <c r="E1529" s="2">
        <v>0.38413194444444443</v>
      </c>
      <c r="F1529" s="2">
        <f t="shared" si="231"/>
        <v>1.1168981481481488E-2</v>
      </c>
      <c r="G1529">
        <f t="shared" si="232"/>
        <v>0</v>
      </c>
      <c r="H1529">
        <f t="shared" si="233"/>
        <v>16</v>
      </c>
      <c r="I1529">
        <f t="shared" si="234"/>
        <v>5</v>
      </c>
      <c r="J1529">
        <f t="shared" si="235"/>
        <v>965</v>
      </c>
      <c r="K1529">
        <f t="shared" si="236"/>
        <v>17</v>
      </c>
      <c r="L1529">
        <f t="shared" si="237"/>
        <v>509990</v>
      </c>
      <c r="M1529">
        <f t="shared" si="238"/>
        <v>162632</v>
      </c>
      <c r="N1529">
        <f t="shared" si="239"/>
        <v>720622</v>
      </c>
      <c r="O1529">
        <f>IF(B1529="zagraniczny",K1529+O1528,O1528)</f>
        <v>692</v>
      </c>
    </row>
    <row r="1530" spans="1:15" x14ac:dyDescent="0.25">
      <c r="A1530">
        <v>53378457</v>
      </c>
      <c r="B1530" t="str">
        <f t="shared" si="230"/>
        <v>komorkowy</v>
      </c>
      <c r="C1530" s="1">
        <v>42940</v>
      </c>
      <c r="D1530" s="2">
        <v>0.3777314814814815</v>
      </c>
      <c r="E1530" s="2">
        <v>0.38680555555555557</v>
      </c>
      <c r="F1530" s="2">
        <f t="shared" si="231"/>
        <v>9.0740740740740677E-3</v>
      </c>
      <c r="G1530">
        <f t="shared" si="232"/>
        <v>0</v>
      </c>
      <c r="H1530">
        <f t="shared" si="233"/>
        <v>13</v>
      </c>
      <c r="I1530">
        <f t="shared" si="234"/>
        <v>4</v>
      </c>
      <c r="J1530">
        <f t="shared" si="235"/>
        <v>784</v>
      </c>
      <c r="K1530">
        <f t="shared" si="236"/>
        <v>14</v>
      </c>
      <c r="L1530">
        <f t="shared" si="237"/>
        <v>509990</v>
      </c>
      <c r="M1530">
        <f t="shared" si="238"/>
        <v>163416</v>
      </c>
      <c r="N1530">
        <f t="shared" si="239"/>
        <v>721406</v>
      </c>
      <c r="O1530">
        <f>IF(B1530="zagraniczny",K1530+O1529,O1529)</f>
        <v>692</v>
      </c>
    </row>
    <row r="1531" spans="1:15" x14ac:dyDescent="0.25">
      <c r="A1531">
        <v>88666908</v>
      </c>
      <c r="B1531" t="str">
        <f t="shared" si="230"/>
        <v>komorkowy</v>
      </c>
      <c r="C1531" s="1">
        <v>42940</v>
      </c>
      <c r="D1531" s="2">
        <v>0.37983796296296296</v>
      </c>
      <c r="E1531" s="2">
        <v>0.38929398148148148</v>
      </c>
      <c r="F1531" s="2">
        <f t="shared" si="231"/>
        <v>9.4560185185185164E-3</v>
      </c>
      <c r="G1531">
        <f t="shared" si="232"/>
        <v>0</v>
      </c>
      <c r="H1531">
        <f t="shared" si="233"/>
        <v>13</v>
      </c>
      <c r="I1531">
        <f t="shared" si="234"/>
        <v>37</v>
      </c>
      <c r="J1531">
        <f t="shared" si="235"/>
        <v>817</v>
      </c>
      <c r="K1531">
        <f t="shared" si="236"/>
        <v>14</v>
      </c>
      <c r="L1531">
        <f t="shared" si="237"/>
        <v>509990</v>
      </c>
      <c r="M1531">
        <f t="shared" si="238"/>
        <v>164233</v>
      </c>
      <c r="N1531">
        <f t="shared" si="239"/>
        <v>722223</v>
      </c>
      <c r="O1531">
        <f>IF(B1531="zagraniczny",K1531+O1530,O1530)</f>
        <v>692</v>
      </c>
    </row>
    <row r="1532" spans="1:15" x14ac:dyDescent="0.25">
      <c r="A1532">
        <v>9279730</v>
      </c>
      <c r="B1532" t="str">
        <f t="shared" si="230"/>
        <v>stacjonarny</v>
      </c>
      <c r="C1532" s="1">
        <v>42940</v>
      </c>
      <c r="D1532" s="2">
        <v>0.38046296296296295</v>
      </c>
      <c r="E1532" s="2">
        <v>0.38836805555555554</v>
      </c>
      <c r="F1532" s="2">
        <f t="shared" si="231"/>
        <v>7.9050925925925886E-3</v>
      </c>
      <c r="G1532">
        <f t="shared" si="232"/>
        <v>0</v>
      </c>
      <c r="H1532">
        <f t="shared" si="233"/>
        <v>11</v>
      </c>
      <c r="I1532">
        <f t="shared" si="234"/>
        <v>23</v>
      </c>
      <c r="J1532">
        <f t="shared" si="235"/>
        <v>683</v>
      </c>
      <c r="K1532">
        <f t="shared" si="236"/>
        <v>12</v>
      </c>
      <c r="L1532">
        <f t="shared" si="237"/>
        <v>510673</v>
      </c>
      <c r="M1532">
        <f t="shared" si="238"/>
        <v>164233</v>
      </c>
      <c r="N1532">
        <f t="shared" si="239"/>
        <v>722906</v>
      </c>
      <c r="O1532">
        <f>IF(B1532="zagraniczny",K1532+O1531,O1531)</f>
        <v>692</v>
      </c>
    </row>
    <row r="1533" spans="1:15" x14ac:dyDescent="0.25">
      <c r="A1533">
        <v>2928766</v>
      </c>
      <c r="B1533" t="str">
        <f t="shared" si="230"/>
        <v>stacjonarny</v>
      </c>
      <c r="C1533" s="1">
        <v>42940</v>
      </c>
      <c r="D1533" s="2">
        <v>0.38156250000000003</v>
      </c>
      <c r="E1533" s="2">
        <v>0.3893402777777778</v>
      </c>
      <c r="F1533" s="2">
        <f t="shared" si="231"/>
        <v>7.7777777777777724E-3</v>
      </c>
      <c r="G1533">
        <f t="shared" si="232"/>
        <v>0</v>
      </c>
      <c r="H1533">
        <f t="shared" si="233"/>
        <v>11</v>
      </c>
      <c r="I1533">
        <f t="shared" si="234"/>
        <v>12</v>
      </c>
      <c r="J1533">
        <f t="shared" si="235"/>
        <v>672</v>
      </c>
      <c r="K1533">
        <f t="shared" si="236"/>
        <v>12</v>
      </c>
      <c r="L1533">
        <f t="shared" si="237"/>
        <v>511345</v>
      </c>
      <c r="M1533">
        <f t="shared" si="238"/>
        <v>164233</v>
      </c>
      <c r="N1533">
        <f t="shared" si="239"/>
        <v>723578</v>
      </c>
      <c r="O1533">
        <f>IF(B1533="zagraniczny",K1533+O1532,O1532)</f>
        <v>692</v>
      </c>
    </row>
    <row r="1534" spans="1:15" x14ac:dyDescent="0.25">
      <c r="A1534">
        <v>4334364</v>
      </c>
      <c r="B1534" t="str">
        <f t="shared" si="230"/>
        <v>stacjonarny</v>
      </c>
      <c r="C1534" s="1">
        <v>42940</v>
      </c>
      <c r="D1534" s="2">
        <v>0.3837962962962963</v>
      </c>
      <c r="E1534" s="2">
        <v>0.39385416666666667</v>
      </c>
      <c r="F1534" s="2">
        <f t="shared" si="231"/>
        <v>1.005787037037037E-2</v>
      </c>
      <c r="G1534">
        <f t="shared" si="232"/>
        <v>0</v>
      </c>
      <c r="H1534">
        <f t="shared" si="233"/>
        <v>14</v>
      </c>
      <c r="I1534">
        <f t="shared" si="234"/>
        <v>29</v>
      </c>
      <c r="J1534">
        <f t="shared" si="235"/>
        <v>869</v>
      </c>
      <c r="K1534">
        <f t="shared" si="236"/>
        <v>15</v>
      </c>
      <c r="L1534">
        <f t="shared" si="237"/>
        <v>512214</v>
      </c>
      <c r="M1534">
        <f t="shared" si="238"/>
        <v>164233</v>
      </c>
      <c r="N1534">
        <f t="shared" si="239"/>
        <v>724447</v>
      </c>
      <c r="O1534">
        <f>IF(B1534="zagraniczny",K1534+O1533,O1533)</f>
        <v>692</v>
      </c>
    </row>
    <row r="1535" spans="1:15" x14ac:dyDescent="0.25">
      <c r="A1535">
        <v>8405292</v>
      </c>
      <c r="B1535" t="str">
        <f t="shared" si="230"/>
        <v>stacjonarny</v>
      </c>
      <c r="C1535" s="1">
        <v>42940</v>
      </c>
      <c r="D1535" s="2">
        <v>0.38635416666666667</v>
      </c>
      <c r="E1535" s="2">
        <v>0.39378472222222222</v>
      </c>
      <c r="F1535" s="2">
        <f t="shared" si="231"/>
        <v>7.4305555555555514E-3</v>
      </c>
      <c r="G1535">
        <f t="shared" si="232"/>
        <v>0</v>
      </c>
      <c r="H1535">
        <f t="shared" si="233"/>
        <v>10</v>
      </c>
      <c r="I1535">
        <f t="shared" si="234"/>
        <v>42</v>
      </c>
      <c r="J1535">
        <f t="shared" si="235"/>
        <v>642</v>
      </c>
      <c r="K1535">
        <f t="shared" si="236"/>
        <v>11</v>
      </c>
      <c r="L1535">
        <f t="shared" si="237"/>
        <v>512856</v>
      </c>
      <c r="M1535">
        <f t="shared" si="238"/>
        <v>164233</v>
      </c>
      <c r="N1535">
        <f t="shared" si="239"/>
        <v>725089</v>
      </c>
      <c r="O1535">
        <f>IF(B1535="zagraniczny",K1535+O1534,O1534)</f>
        <v>692</v>
      </c>
    </row>
    <row r="1536" spans="1:15" x14ac:dyDescent="0.25">
      <c r="A1536">
        <v>9870841</v>
      </c>
      <c r="B1536" t="str">
        <f t="shared" si="230"/>
        <v>stacjonarny</v>
      </c>
      <c r="C1536" s="1">
        <v>42940</v>
      </c>
      <c r="D1536" s="2">
        <v>0.39209490740740743</v>
      </c>
      <c r="E1536" s="2">
        <v>0.39672453703703703</v>
      </c>
      <c r="F1536" s="2">
        <f t="shared" si="231"/>
        <v>4.6296296296295947E-3</v>
      </c>
      <c r="G1536">
        <f t="shared" si="232"/>
        <v>0</v>
      </c>
      <c r="H1536">
        <f t="shared" si="233"/>
        <v>6</v>
      </c>
      <c r="I1536">
        <f t="shared" si="234"/>
        <v>40</v>
      </c>
      <c r="J1536">
        <f t="shared" si="235"/>
        <v>400</v>
      </c>
      <c r="K1536">
        <f t="shared" si="236"/>
        <v>7</v>
      </c>
      <c r="L1536">
        <f t="shared" si="237"/>
        <v>513256</v>
      </c>
      <c r="M1536">
        <f t="shared" si="238"/>
        <v>164233</v>
      </c>
      <c r="N1536">
        <f t="shared" si="239"/>
        <v>725489</v>
      </c>
      <c r="O1536">
        <f>IF(B1536="zagraniczny",K1536+O1535,O1535)</f>
        <v>692</v>
      </c>
    </row>
    <row r="1537" spans="1:15" x14ac:dyDescent="0.25">
      <c r="A1537">
        <v>9722484</v>
      </c>
      <c r="B1537" t="str">
        <f t="shared" si="230"/>
        <v>stacjonarny</v>
      </c>
      <c r="C1537" s="1">
        <v>42940</v>
      </c>
      <c r="D1537" s="2">
        <v>0.39383101851851854</v>
      </c>
      <c r="E1537" s="2">
        <v>0.39630787037037035</v>
      </c>
      <c r="F1537" s="2">
        <f t="shared" si="231"/>
        <v>2.4768518518518134E-3</v>
      </c>
      <c r="G1537">
        <f t="shared" si="232"/>
        <v>0</v>
      </c>
      <c r="H1537">
        <f t="shared" si="233"/>
        <v>3</v>
      </c>
      <c r="I1537">
        <f t="shared" si="234"/>
        <v>34</v>
      </c>
      <c r="J1537">
        <f t="shared" si="235"/>
        <v>214</v>
      </c>
      <c r="K1537">
        <f t="shared" si="236"/>
        <v>4</v>
      </c>
      <c r="L1537">
        <f t="shared" si="237"/>
        <v>513470</v>
      </c>
      <c r="M1537">
        <f t="shared" si="238"/>
        <v>164233</v>
      </c>
      <c r="N1537">
        <f t="shared" si="239"/>
        <v>725703</v>
      </c>
      <c r="O1537">
        <f>IF(B1537="zagraniczny",K1537+O1536,O1536)</f>
        <v>692</v>
      </c>
    </row>
    <row r="1538" spans="1:15" x14ac:dyDescent="0.25">
      <c r="A1538">
        <v>1159432</v>
      </c>
      <c r="B1538" t="str">
        <f t="shared" si="230"/>
        <v>stacjonarny</v>
      </c>
      <c r="C1538" s="1">
        <v>42940</v>
      </c>
      <c r="D1538" s="2">
        <v>0.39391203703703703</v>
      </c>
      <c r="E1538" s="2">
        <v>0.39478009259259261</v>
      </c>
      <c r="F1538" s="2">
        <f t="shared" si="231"/>
        <v>8.6805555555558023E-4</v>
      </c>
      <c r="G1538">
        <f t="shared" si="232"/>
        <v>0</v>
      </c>
      <c r="H1538">
        <f t="shared" si="233"/>
        <v>1</v>
      </c>
      <c r="I1538">
        <f t="shared" si="234"/>
        <v>15</v>
      </c>
      <c r="J1538">
        <f t="shared" si="235"/>
        <v>75</v>
      </c>
      <c r="K1538">
        <f t="shared" si="236"/>
        <v>2</v>
      </c>
      <c r="L1538">
        <f t="shared" si="237"/>
        <v>513545</v>
      </c>
      <c r="M1538">
        <f t="shared" si="238"/>
        <v>164233</v>
      </c>
      <c r="N1538">
        <f t="shared" si="239"/>
        <v>725778</v>
      </c>
      <c r="O1538">
        <f>IF(B1538="zagraniczny",K1538+O1537,O1537)</f>
        <v>692</v>
      </c>
    </row>
    <row r="1539" spans="1:15" x14ac:dyDescent="0.25">
      <c r="A1539">
        <v>25194612</v>
      </c>
      <c r="B1539" t="str">
        <f t="shared" ref="B1539:B1602" si="240">IF(LEN(A1539)=7,"stacjonarny",IF(LEN(A1539)=8,"komorkowy","zagraniczny"))</f>
        <v>komorkowy</v>
      </c>
      <c r="C1539" s="1">
        <v>42940</v>
      </c>
      <c r="D1539" s="2">
        <v>0.39516203703703706</v>
      </c>
      <c r="E1539" s="2">
        <v>0.4057986111111111</v>
      </c>
      <c r="F1539" s="2">
        <f t="shared" ref="F1539:F1602" si="241">E1539-D1539</f>
        <v>1.0636574074074034E-2</v>
      </c>
      <c r="G1539">
        <f t="shared" ref="G1539:G1602" si="242">HOUR(F1539)</f>
        <v>0</v>
      </c>
      <c r="H1539">
        <f t="shared" ref="H1539:H1602" si="243">MINUTE(F1539)</f>
        <v>15</v>
      </c>
      <c r="I1539">
        <f t="shared" ref="I1539:I1602" si="244">SECOND(F1539)</f>
        <v>19</v>
      </c>
      <c r="J1539">
        <f t="shared" ref="J1539:J1602" si="245">H1539*60+I1539</f>
        <v>919</v>
      </c>
      <c r="K1539">
        <f t="shared" ref="K1539:K1602" si="246">IF(I1539&gt;0,G1539*60+H1539+1,H1539+G1539*60)</f>
        <v>16</v>
      </c>
      <c r="L1539">
        <f t="shared" si="237"/>
        <v>513545</v>
      </c>
      <c r="M1539">
        <f t="shared" si="238"/>
        <v>165152</v>
      </c>
      <c r="N1539">
        <f t="shared" si="239"/>
        <v>726697</v>
      </c>
      <c r="O1539">
        <f>IF(B1539="zagraniczny",K1539+O1538,O1538)</f>
        <v>692</v>
      </c>
    </row>
    <row r="1540" spans="1:15" x14ac:dyDescent="0.25">
      <c r="A1540">
        <v>1117628</v>
      </c>
      <c r="B1540" t="str">
        <f t="shared" si="240"/>
        <v>stacjonarny</v>
      </c>
      <c r="C1540" s="1">
        <v>42940</v>
      </c>
      <c r="D1540" s="2">
        <v>0.39614583333333331</v>
      </c>
      <c r="E1540" s="2">
        <v>0.39976851851851852</v>
      </c>
      <c r="F1540" s="2">
        <f t="shared" si="241"/>
        <v>3.6226851851852149E-3</v>
      </c>
      <c r="G1540">
        <f t="shared" si="242"/>
        <v>0</v>
      </c>
      <c r="H1540">
        <f t="shared" si="243"/>
        <v>5</v>
      </c>
      <c r="I1540">
        <f t="shared" si="244"/>
        <v>13</v>
      </c>
      <c r="J1540">
        <f t="shared" si="245"/>
        <v>313</v>
      </c>
      <c r="K1540">
        <f t="shared" si="246"/>
        <v>6</v>
      </c>
      <c r="L1540">
        <f t="shared" ref="L1540:L1603" si="247">IF(B1540="stacjonarny",$J1540+L1539,L1539)</f>
        <v>513858</v>
      </c>
      <c r="M1540">
        <f t="shared" ref="M1540:M1603" si="248">IF(B1540="komorkowy",$J1540+M1539,M1539)</f>
        <v>165152</v>
      </c>
      <c r="N1540">
        <f t="shared" ref="N1540:N1603" si="249">IF(OR(B1540="stacjonarny",B1540="komorkowy"),J1540+N1539,N1539)</f>
        <v>727010</v>
      </c>
      <c r="O1540">
        <f>IF(B1540="zagraniczny",K1540+O1539,O1539)</f>
        <v>692</v>
      </c>
    </row>
    <row r="1541" spans="1:15" x14ac:dyDescent="0.25">
      <c r="A1541">
        <v>3624713</v>
      </c>
      <c r="B1541" t="str">
        <f t="shared" si="240"/>
        <v>stacjonarny</v>
      </c>
      <c r="C1541" s="1">
        <v>42940</v>
      </c>
      <c r="D1541" s="2">
        <v>0.39864583333333331</v>
      </c>
      <c r="E1541" s="2">
        <v>0.40440972222222221</v>
      </c>
      <c r="F1541" s="2">
        <f t="shared" si="241"/>
        <v>5.7638888888889017E-3</v>
      </c>
      <c r="G1541">
        <f t="shared" si="242"/>
        <v>0</v>
      </c>
      <c r="H1541">
        <f t="shared" si="243"/>
        <v>8</v>
      </c>
      <c r="I1541">
        <f t="shared" si="244"/>
        <v>18</v>
      </c>
      <c r="J1541">
        <f t="shared" si="245"/>
        <v>498</v>
      </c>
      <c r="K1541">
        <f t="shared" si="246"/>
        <v>9</v>
      </c>
      <c r="L1541">
        <f t="shared" si="247"/>
        <v>514356</v>
      </c>
      <c r="M1541">
        <f t="shared" si="248"/>
        <v>165152</v>
      </c>
      <c r="N1541">
        <f t="shared" si="249"/>
        <v>727508</v>
      </c>
      <c r="O1541">
        <f>IF(B1541="zagraniczny",K1541+O1540,O1540)</f>
        <v>692</v>
      </c>
    </row>
    <row r="1542" spans="1:15" x14ac:dyDescent="0.25">
      <c r="A1542">
        <v>5616210</v>
      </c>
      <c r="B1542" t="str">
        <f t="shared" si="240"/>
        <v>stacjonarny</v>
      </c>
      <c r="C1542" s="1">
        <v>42940</v>
      </c>
      <c r="D1542" s="2">
        <v>0.39956018518518521</v>
      </c>
      <c r="E1542" s="2">
        <v>0.40803240740740743</v>
      </c>
      <c r="F1542" s="2">
        <f t="shared" si="241"/>
        <v>8.4722222222222143E-3</v>
      </c>
      <c r="G1542">
        <f t="shared" si="242"/>
        <v>0</v>
      </c>
      <c r="H1542">
        <f t="shared" si="243"/>
        <v>12</v>
      </c>
      <c r="I1542">
        <f t="shared" si="244"/>
        <v>12</v>
      </c>
      <c r="J1542">
        <f t="shared" si="245"/>
        <v>732</v>
      </c>
      <c r="K1542">
        <f t="shared" si="246"/>
        <v>13</v>
      </c>
      <c r="L1542">
        <f t="shared" si="247"/>
        <v>515088</v>
      </c>
      <c r="M1542">
        <f t="shared" si="248"/>
        <v>165152</v>
      </c>
      <c r="N1542">
        <f t="shared" si="249"/>
        <v>728240</v>
      </c>
      <c r="O1542">
        <f>IF(B1542="zagraniczny",K1542+O1541,O1541)</f>
        <v>692</v>
      </c>
    </row>
    <row r="1543" spans="1:15" x14ac:dyDescent="0.25">
      <c r="A1543">
        <v>6772052</v>
      </c>
      <c r="B1543" t="str">
        <f t="shared" si="240"/>
        <v>stacjonarny</v>
      </c>
      <c r="C1543" s="1">
        <v>42940</v>
      </c>
      <c r="D1543" s="2">
        <v>0.40263888888888888</v>
      </c>
      <c r="E1543" s="2">
        <v>0.40825231481481483</v>
      </c>
      <c r="F1543" s="2">
        <f t="shared" si="241"/>
        <v>5.6134259259259522E-3</v>
      </c>
      <c r="G1543">
        <f t="shared" si="242"/>
        <v>0</v>
      </c>
      <c r="H1543">
        <f t="shared" si="243"/>
        <v>8</v>
      </c>
      <c r="I1543">
        <f t="shared" si="244"/>
        <v>5</v>
      </c>
      <c r="J1543">
        <f t="shared" si="245"/>
        <v>485</v>
      </c>
      <c r="K1543">
        <f t="shared" si="246"/>
        <v>9</v>
      </c>
      <c r="L1543">
        <f t="shared" si="247"/>
        <v>515573</v>
      </c>
      <c r="M1543">
        <f t="shared" si="248"/>
        <v>165152</v>
      </c>
      <c r="N1543">
        <f t="shared" si="249"/>
        <v>728725</v>
      </c>
      <c r="O1543">
        <f>IF(B1543="zagraniczny",K1543+O1542,O1542)</f>
        <v>692</v>
      </c>
    </row>
    <row r="1544" spans="1:15" x14ac:dyDescent="0.25">
      <c r="A1544">
        <v>3305212</v>
      </c>
      <c r="B1544" t="str">
        <f t="shared" si="240"/>
        <v>stacjonarny</v>
      </c>
      <c r="C1544" s="1">
        <v>42940</v>
      </c>
      <c r="D1544" s="2">
        <v>0.40641203703703704</v>
      </c>
      <c r="E1544" s="2">
        <v>0.41187499999999999</v>
      </c>
      <c r="F1544" s="2">
        <f t="shared" si="241"/>
        <v>5.4629629629629473E-3</v>
      </c>
      <c r="G1544">
        <f t="shared" si="242"/>
        <v>0</v>
      </c>
      <c r="H1544">
        <f t="shared" si="243"/>
        <v>7</v>
      </c>
      <c r="I1544">
        <f t="shared" si="244"/>
        <v>52</v>
      </c>
      <c r="J1544">
        <f t="shared" si="245"/>
        <v>472</v>
      </c>
      <c r="K1544">
        <f t="shared" si="246"/>
        <v>8</v>
      </c>
      <c r="L1544">
        <f t="shared" si="247"/>
        <v>516045</v>
      </c>
      <c r="M1544">
        <f t="shared" si="248"/>
        <v>165152</v>
      </c>
      <c r="N1544">
        <f t="shared" si="249"/>
        <v>729197</v>
      </c>
      <c r="O1544">
        <f>IF(B1544="zagraniczny",K1544+O1543,O1543)</f>
        <v>692</v>
      </c>
    </row>
    <row r="1545" spans="1:15" x14ac:dyDescent="0.25">
      <c r="A1545">
        <v>72701808</v>
      </c>
      <c r="B1545" t="str">
        <f t="shared" si="240"/>
        <v>komorkowy</v>
      </c>
      <c r="C1545" s="1">
        <v>42940</v>
      </c>
      <c r="D1545" s="2">
        <v>0.40930555555555553</v>
      </c>
      <c r="E1545" s="2">
        <v>0.41968749999999999</v>
      </c>
      <c r="F1545" s="2">
        <f t="shared" si="241"/>
        <v>1.0381944444444458E-2</v>
      </c>
      <c r="G1545">
        <f t="shared" si="242"/>
        <v>0</v>
      </c>
      <c r="H1545">
        <f t="shared" si="243"/>
        <v>14</v>
      </c>
      <c r="I1545">
        <f t="shared" si="244"/>
        <v>57</v>
      </c>
      <c r="J1545">
        <f t="shared" si="245"/>
        <v>897</v>
      </c>
      <c r="K1545">
        <f t="shared" si="246"/>
        <v>15</v>
      </c>
      <c r="L1545">
        <f t="shared" si="247"/>
        <v>516045</v>
      </c>
      <c r="M1545">
        <f t="shared" si="248"/>
        <v>166049</v>
      </c>
      <c r="N1545">
        <f t="shared" si="249"/>
        <v>730094</v>
      </c>
      <c r="O1545">
        <f>IF(B1545="zagraniczny",K1545+O1544,O1544)</f>
        <v>692</v>
      </c>
    </row>
    <row r="1546" spans="1:15" x14ac:dyDescent="0.25">
      <c r="A1546">
        <v>4285095</v>
      </c>
      <c r="B1546" t="str">
        <f t="shared" si="240"/>
        <v>stacjonarny</v>
      </c>
      <c r="C1546" s="1">
        <v>42940</v>
      </c>
      <c r="D1546" s="2">
        <v>0.41351851851851851</v>
      </c>
      <c r="E1546" s="2">
        <v>0.41790509259259262</v>
      </c>
      <c r="F1546" s="2">
        <f t="shared" si="241"/>
        <v>4.3865740740741122E-3</v>
      </c>
      <c r="G1546">
        <f t="shared" si="242"/>
        <v>0</v>
      </c>
      <c r="H1546">
        <f t="shared" si="243"/>
        <v>6</v>
      </c>
      <c r="I1546">
        <f t="shared" si="244"/>
        <v>19</v>
      </c>
      <c r="J1546">
        <f t="shared" si="245"/>
        <v>379</v>
      </c>
      <c r="K1546">
        <f t="shared" si="246"/>
        <v>7</v>
      </c>
      <c r="L1546">
        <f t="shared" si="247"/>
        <v>516424</v>
      </c>
      <c r="M1546">
        <f t="shared" si="248"/>
        <v>166049</v>
      </c>
      <c r="N1546">
        <f t="shared" si="249"/>
        <v>730473</v>
      </c>
      <c r="O1546">
        <f>IF(B1546="zagraniczny",K1546+O1545,O1545)</f>
        <v>692</v>
      </c>
    </row>
    <row r="1547" spans="1:15" x14ac:dyDescent="0.25">
      <c r="A1547">
        <v>2585298</v>
      </c>
      <c r="B1547" t="str">
        <f t="shared" si="240"/>
        <v>stacjonarny</v>
      </c>
      <c r="C1547" s="1">
        <v>42940</v>
      </c>
      <c r="D1547" s="2">
        <v>0.41853009259259261</v>
      </c>
      <c r="E1547" s="2">
        <v>0.42252314814814818</v>
      </c>
      <c r="F1547" s="2">
        <f t="shared" si="241"/>
        <v>3.9930555555555691E-3</v>
      </c>
      <c r="G1547">
        <f t="shared" si="242"/>
        <v>0</v>
      </c>
      <c r="H1547">
        <f t="shared" si="243"/>
        <v>5</v>
      </c>
      <c r="I1547">
        <f t="shared" si="244"/>
        <v>45</v>
      </c>
      <c r="J1547">
        <f t="shared" si="245"/>
        <v>345</v>
      </c>
      <c r="K1547">
        <f t="shared" si="246"/>
        <v>6</v>
      </c>
      <c r="L1547">
        <f t="shared" si="247"/>
        <v>516769</v>
      </c>
      <c r="M1547">
        <f t="shared" si="248"/>
        <v>166049</v>
      </c>
      <c r="N1547">
        <f t="shared" si="249"/>
        <v>730818</v>
      </c>
      <c r="O1547">
        <f>IF(B1547="zagraniczny",K1547+O1546,O1546)</f>
        <v>692</v>
      </c>
    </row>
    <row r="1548" spans="1:15" x14ac:dyDescent="0.25">
      <c r="A1548">
        <v>2947035</v>
      </c>
      <c r="B1548" t="str">
        <f t="shared" si="240"/>
        <v>stacjonarny</v>
      </c>
      <c r="C1548" s="1">
        <v>42940</v>
      </c>
      <c r="D1548" s="2">
        <v>0.42241898148148149</v>
      </c>
      <c r="E1548" s="2">
        <v>0.42863425925925924</v>
      </c>
      <c r="F1548" s="2">
        <f t="shared" si="241"/>
        <v>6.2152777777777501E-3</v>
      </c>
      <c r="G1548">
        <f t="shared" si="242"/>
        <v>0</v>
      </c>
      <c r="H1548">
        <f t="shared" si="243"/>
        <v>8</v>
      </c>
      <c r="I1548">
        <f t="shared" si="244"/>
        <v>57</v>
      </c>
      <c r="J1548">
        <f t="shared" si="245"/>
        <v>537</v>
      </c>
      <c r="K1548">
        <f t="shared" si="246"/>
        <v>9</v>
      </c>
      <c r="L1548">
        <f t="shared" si="247"/>
        <v>517306</v>
      </c>
      <c r="M1548">
        <f t="shared" si="248"/>
        <v>166049</v>
      </c>
      <c r="N1548">
        <f t="shared" si="249"/>
        <v>731355</v>
      </c>
      <c r="O1548">
        <f>IF(B1548="zagraniczny",K1548+O1547,O1547)</f>
        <v>692</v>
      </c>
    </row>
    <row r="1549" spans="1:15" x14ac:dyDescent="0.25">
      <c r="A1549">
        <v>6615729</v>
      </c>
      <c r="B1549" t="str">
        <f t="shared" si="240"/>
        <v>stacjonarny</v>
      </c>
      <c r="C1549" s="1">
        <v>42940</v>
      </c>
      <c r="D1549" s="2">
        <v>0.42561342592592594</v>
      </c>
      <c r="E1549" s="2">
        <v>0.42799768518518516</v>
      </c>
      <c r="F1549" s="2">
        <f t="shared" si="241"/>
        <v>2.3842592592592249E-3</v>
      </c>
      <c r="G1549">
        <f t="shared" si="242"/>
        <v>0</v>
      </c>
      <c r="H1549">
        <f t="shared" si="243"/>
        <v>3</v>
      </c>
      <c r="I1549">
        <f t="shared" si="244"/>
        <v>26</v>
      </c>
      <c r="J1549">
        <f t="shared" si="245"/>
        <v>206</v>
      </c>
      <c r="K1549">
        <f t="shared" si="246"/>
        <v>4</v>
      </c>
      <c r="L1549">
        <f t="shared" si="247"/>
        <v>517512</v>
      </c>
      <c r="M1549">
        <f t="shared" si="248"/>
        <v>166049</v>
      </c>
      <c r="N1549">
        <f t="shared" si="249"/>
        <v>731561</v>
      </c>
      <c r="O1549">
        <f>IF(B1549="zagraniczny",K1549+O1548,O1548)</f>
        <v>692</v>
      </c>
    </row>
    <row r="1550" spans="1:15" x14ac:dyDescent="0.25">
      <c r="A1550">
        <v>2135609</v>
      </c>
      <c r="B1550" t="str">
        <f t="shared" si="240"/>
        <v>stacjonarny</v>
      </c>
      <c r="C1550" s="1">
        <v>42940</v>
      </c>
      <c r="D1550" s="2">
        <v>0.42563657407407407</v>
      </c>
      <c r="E1550" s="2">
        <v>0.42670138888888887</v>
      </c>
      <c r="F1550" s="2">
        <f t="shared" si="241"/>
        <v>1.0648148148147962E-3</v>
      </c>
      <c r="G1550">
        <f t="shared" si="242"/>
        <v>0</v>
      </c>
      <c r="H1550">
        <f t="shared" si="243"/>
        <v>1</v>
      </c>
      <c r="I1550">
        <f t="shared" si="244"/>
        <v>32</v>
      </c>
      <c r="J1550">
        <f t="shared" si="245"/>
        <v>92</v>
      </c>
      <c r="K1550">
        <f t="shared" si="246"/>
        <v>2</v>
      </c>
      <c r="L1550">
        <f t="shared" si="247"/>
        <v>517604</v>
      </c>
      <c r="M1550">
        <f t="shared" si="248"/>
        <v>166049</v>
      </c>
      <c r="N1550">
        <f t="shared" si="249"/>
        <v>731653</v>
      </c>
      <c r="O1550">
        <f>IF(B1550="zagraniczny",K1550+O1549,O1549)</f>
        <v>692</v>
      </c>
    </row>
    <row r="1551" spans="1:15" x14ac:dyDescent="0.25">
      <c r="A1551">
        <v>2697566</v>
      </c>
      <c r="B1551" t="str">
        <f t="shared" si="240"/>
        <v>stacjonarny</v>
      </c>
      <c r="C1551" s="1">
        <v>42940</v>
      </c>
      <c r="D1551" s="2">
        <v>0.42951388888888886</v>
      </c>
      <c r="E1551" s="2">
        <v>0.44059027777777776</v>
      </c>
      <c r="F1551" s="2">
        <f t="shared" si="241"/>
        <v>1.1076388888888899E-2</v>
      </c>
      <c r="G1551">
        <f t="shared" si="242"/>
        <v>0</v>
      </c>
      <c r="H1551">
        <f t="shared" si="243"/>
        <v>15</v>
      </c>
      <c r="I1551">
        <f t="shared" si="244"/>
        <v>57</v>
      </c>
      <c r="J1551">
        <f t="shared" si="245"/>
        <v>957</v>
      </c>
      <c r="K1551">
        <f t="shared" si="246"/>
        <v>16</v>
      </c>
      <c r="L1551">
        <f t="shared" si="247"/>
        <v>518561</v>
      </c>
      <c r="M1551">
        <f t="shared" si="248"/>
        <v>166049</v>
      </c>
      <c r="N1551">
        <f t="shared" si="249"/>
        <v>732610</v>
      </c>
      <c r="O1551">
        <f>IF(B1551="zagraniczny",K1551+O1550,O1550)</f>
        <v>692</v>
      </c>
    </row>
    <row r="1552" spans="1:15" x14ac:dyDescent="0.25">
      <c r="A1552">
        <v>2569721</v>
      </c>
      <c r="B1552" t="str">
        <f t="shared" si="240"/>
        <v>stacjonarny</v>
      </c>
      <c r="C1552" s="1">
        <v>42940</v>
      </c>
      <c r="D1552" s="2">
        <v>0.43133101851851852</v>
      </c>
      <c r="E1552" s="2">
        <v>0.43762731481481482</v>
      </c>
      <c r="F1552" s="2">
        <f t="shared" si="241"/>
        <v>6.2962962962962998E-3</v>
      </c>
      <c r="G1552">
        <f t="shared" si="242"/>
        <v>0</v>
      </c>
      <c r="H1552">
        <f t="shared" si="243"/>
        <v>9</v>
      </c>
      <c r="I1552">
        <f t="shared" si="244"/>
        <v>4</v>
      </c>
      <c r="J1552">
        <f t="shared" si="245"/>
        <v>544</v>
      </c>
      <c r="K1552">
        <f t="shared" si="246"/>
        <v>10</v>
      </c>
      <c r="L1552">
        <f t="shared" si="247"/>
        <v>519105</v>
      </c>
      <c r="M1552">
        <f t="shared" si="248"/>
        <v>166049</v>
      </c>
      <c r="N1552">
        <f t="shared" si="249"/>
        <v>733154</v>
      </c>
      <c r="O1552">
        <f>IF(B1552="zagraniczny",K1552+O1551,O1551)</f>
        <v>692</v>
      </c>
    </row>
    <row r="1553" spans="1:15" x14ac:dyDescent="0.25">
      <c r="A1553">
        <v>96375379</v>
      </c>
      <c r="B1553" t="str">
        <f t="shared" si="240"/>
        <v>komorkowy</v>
      </c>
      <c r="C1553" s="1">
        <v>42940</v>
      </c>
      <c r="D1553" s="2">
        <v>0.43637731481481479</v>
      </c>
      <c r="E1553" s="2">
        <v>0.44526620370370368</v>
      </c>
      <c r="F1553" s="2">
        <f t="shared" si="241"/>
        <v>8.8888888888888906E-3</v>
      </c>
      <c r="G1553">
        <f t="shared" si="242"/>
        <v>0</v>
      </c>
      <c r="H1553">
        <f t="shared" si="243"/>
        <v>12</v>
      </c>
      <c r="I1553">
        <f t="shared" si="244"/>
        <v>48</v>
      </c>
      <c r="J1553">
        <f t="shared" si="245"/>
        <v>768</v>
      </c>
      <c r="K1553">
        <f t="shared" si="246"/>
        <v>13</v>
      </c>
      <c r="L1553">
        <f t="shared" si="247"/>
        <v>519105</v>
      </c>
      <c r="M1553">
        <f t="shared" si="248"/>
        <v>166817</v>
      </c>
      <c r="N1553">
        <f t="shared" si="249"/>
        <v>733922</v>
      </c>
      <c r="O1553">
        <f>IF(B1553="zagraniczny",K1553+O1552,O1552)</f>
        <v>692</v>
      </c>
    </row>
    <row r="1554" spans="1:15" x14ac:dyDescent="0.25">
      <c r="A1554">
        <v>3968528766</v>
      </c>
      <c r="B1554" t="str">
        <f t="shared" si="240"/>
        <v>zagraniczny</v>
      </c>
      <c r="C1554" s="1">
        <v>42940</v>
      </c>
      <c r="D1554" s="2">
        <v>0.44081018518518517</v>
      </c>
      <c r="E1554" s="2">
        <v>0.44767361111111109</v>
      </c>
      <c r="F1554" s="2">
        <f t="shared" si="241"/>
        <v>6.8634259259259256E-3</v>
      </c>
      <c r="G1554">
        <f t="shared" si="242"/>
        <v>0</v>
      </c>
      <c r="H1554">
        <f t="shared" si="243"/>
        <v>9</v>
      </c>
      <c r="I1554">
        <f t="shared" si="244"/>
        <v>53</v>
      </c>
      <c r="J1554">
        <f t="shared" si="245"/>
        <v>593</v>
      </c>
      <c r="K1554">
        <f t="shared" si="246"/>
        <v>10</v>
      </c>
      <c r="L1554">
        <f t="shared" si="247"/>
        <v>519105</v>
      </c>
      <c r="M1554">
        <f t="shared" si="248"/>
        <v>166817</v>
      </c>
      <c r="N1554">
        <f t="shared" si="249"/>
        <v>733922</v>
      </c>
      <c r="O1554">
        <f>IF(B1554="zagraniczny",K1554+O1553,O1553)</f>
        <v>702</v>
      </c>
    </row>
    <row r="1555" spans="1:15" x14ac:dyDescent="0.25">
      <c r="A1555">
        <v>8133585</v>
      </c>
      <c r="B1555" t="str">
        <f t="shared" si="240"/>
        <v>stacjonarny</v>
      </c>
      <c r="C1555" s="1">
        <v>42940</v>
      </c>
      <c r="D1555" s="2">
        <v>0.44185185185185183</v>
      </c>
      <c r="E1555" s="2">
        <v>0.44634259259259257</v>
      </c>
      <c r="F1555" s="2">
        <f t="shared" si="241"/>
        <v>4.4907407407407396E-3</v>
      </c>
      <c r="G1555">
        <f t="shared" si="242"/>
        <v>0</v>
      </c>
      <c r="H1555">
        <f t="shared" si="243"/>
        <v>6</v>
      </c>
      <c r="I1555">
        <f t="shared" si="244"/>
        <v>28</v>
      </c>
      <c r="J1555">
        <f t="shared" si="245"/>
        <v>388</v>
      </c>
      <c r="K1555">
        <f t="shared" si="246"/>
        <v>7</v>
      </c>
      <c r="L1555">
        <f t="shared" si="247"/>
        <v>519493</v>
      </c>
      <c r="M1555">
        <f t="shared" si="248"/>
        <v>166817</v>
      </c>
      <c r="N1555">
        <f t="shared" si="249"/>
        <v>734310</v>
      </c>
      <c r="O1555">
        <f>IF(B1555="zagraniczny",K1555+O1554,O1554)</f>
        <v>702</v>
      </c>
    </row>
    <row r="1556" spans="1:15" x14ac:dyDescent="0.25">
      <c r="A1556">
        <v>45232967</v>
      </c>
      <c r="B1556" t="str">
        <f t="shared" si="240"/>
        <v>komorkowy</v>
      </c>
      <c r="C1556" s="1">
        <v>42940</v>
      </c>
      <c r="D1556" s="2">
        <v>0.4462962962962963</v>
      </c>
      <c r="E1556" s="2">
        <v>0.44753472222222224</v>
      </c>
      <c r="F1556" s="2">
        <f t="shared" si="241"/>
        <v>1.2384259259259345E-3</v>
      </c>
      <c r="G1556">
        <f t="shared" si="242"/>
        <v>0</v>
      </c>
      <c r="H1556">
        <f t="shared" si="243"/>
        <v>1</v>
      </c>
      <c r="I1556">
        <f t="shared" si="244"/>
        <v>47</v>
      </c>
      <c r="J1556">
        <f t="shared" si="245"/>
        <v>107</v>
      </c>
      <c r="K1556">
        <f t="shared" si="246"/>
        <v>2</v>
      </c>
      <c r="L1556">
        <f t="shared" si="247"/>
        <v>519493</v>
      </c>
      <c r="M1556">
        <f t="shared" si="248"/>
        <v>166924</v>
      </c>
      <c r="N1556">
        <f t="shared" si="249"/>
        <v>734417</v>
      </c>
      <c r="O1556">
        <f>IF(B1556="zagraniczny",K1556+O1555,O1555)</f>
        <v>702</v>
      </c>
    </row>
    <row r="1557" spans="1:15" x14ac:dyDescent="0.25">
      <c r="A1557">
        <v>8900603</v>
      </c>
      <c r="B1557" t="str">
        <f t="shared" si="240"/>
        <v>stacjonarny</v>
      </c>
      <c r="C1557" s="1">
        <v>42940</v>
      </c>
      <c r="D1557" s="2">
        <v>0.44680555555555557</v>
      </c>
      <c r="E1557" s="2">
        <v>0.45518518518518519</v>
      </c>
      <c r="F1557" s="2">
        <f t="shared" si="241"/>
        <v>8.3796296296296258E-3</v>
      </c>
      <c r="G1557">
        <f t="shared" si="242"/>
        <v>0</v>
      </c>
      <c r="H1557">
        <f t="shared" si="243"/>
        <v>12</v>
      </c>
      <c r="I1557">
        <f t="shared" si="244"/>
        <v>4</v>
      </c>
      <c r="J1557">
        <f t="shared" si="245"/>
        <v>724</v>
      </c>
      <c r="K1557">
        <f t="shared" si="246"/>
        <v>13</v>
      </c>
      <c r="L1557">
        <f t="shared" si="247"/>
        <v>520217</v>
      </c>
      <c r="M1557">
        <f t="shared" si="248"/>
        <v>166924</v>
      </c>
      <c r="N1557">
        <f t="shared" si="249"/>
        <v>735141</v>
      </c>
      <c r="O1557">
        <f>IF(B1557="zagraniczny",K1557+O1556,O1556)</f>
        <v>702</v>
      </c>
    </row>
    <row r="1558" spans="1:15" x14ac:dyDescent="0.25">
      <c r="A1558">
        <v>9413315</v>
      </c>
      <c r="B1558" t="str">
        <f t="shared" si="240"/>
        <v>stacjonarny</v>
      </c>
      <c r="C1558" s="1">
        <v>42940</v>
      </c>
      <c r="D1558" s="2">
        <v>0.4490277777777778</v>
      </c>
      <c r="E1558" s="2">
        <v>0.45984953703703701</v>
      </c>
      <c r="F1558" s="2">
        <f t="shared" si="241"/>
        <v>1.0821759259259212E-2</v>
      </c>
      <c r="G1558">
        <f t="shared" si="242"/>
        <v>0</v>
      </c>
      <c r="H1558">
        <f t="shared" si="243"/>
        <v>15</v>
      </c>
      <c r="I1558">
        <f t="shared" si="244"/>
        <v>35</v>
      </c>
      <c r="J1558">
        <f t="shared" si="245"/>
        <v>935</v>
      </c>
      <c r="K1558">
        <f t="shared" si="246"/>
        <v>16</v>
      </c>
      <c r="L1558">
        <f t="shared" si="247"/>
        <v>521152</v>
      </c>
      <c r="M1558">
        <f t="shared" si="248"/>
        <v>166924</v>
      </c>
      <c r="N1558">
        <f t="shared" si="249"/>
        <v>736076</v>
      </c>
      <c r="O1558">
        <f>IF(B1558="zagraniczny",K1558+O1557,O1557)</f>
        <v>702</v>
      </c>
    </row>
    <row r="1559" spans="1:15" x14ac:dyDescent="0.25">
      <c r="A1559">
        <v>9781981</v>
      </c>
      <c r="B1559" t="str">
        <f t="shared" si="240"/>
        <v>stacjonarny</v>
      </c>
      <c r="C1559" s="1">
        <v>42940</v>
      </c>
      <c r="D1559" s="2">
        <v>0.45392361111111112</v>
      </c>
      <c r="E1559" s="2">
        <v>0.4582060185185185</v>
      </c>
      <c r="F1559" s="2">
        <f t="shared" si="241"/>
        <v>4.2824074074073737E-3</v>
      </c>
      <c r="G1559">
        <f t="shared" si="242"/>
        <v>0</v>
      </c>
      <c r="H1559">
        <f t="shared" si="243"/>
        <v>6</v>
      </c>
      <c r="I1559">
        <f t="shared" si="244"/>
        <v>10</v>
      </c>
      <c r="J1559">
        <f t="shared" si="245"/>
        <v>370</v>
      </c>
      <c r="K1559">
        <f t="shared" si="246"/>
        <v>7</v>
      </c>
      <c r="L1559">
        <f t="shared" si="247"/>
        <v>521522</v>
      </c>
      <c r="M1559">
        <f t="shared" si="248"/>
        <v>166924</v>
      </c>
      <c r="N1559">
        <f t="shared" si="249"/>
        <v>736446</v>
      </c>
      <c r="O1559">
        <f>IF(B1559="zagraniczny",K1559+O1558,O1558)</f>
        <v>702</v>
      </c>
    </row>
    <row r="1560" spans="1:15" x14ac:dyDescent="0.25">
      <c r="A1560">
        <v>9527543</v>
      </c>
      <c r="B1560" t="str">
        <f t="shared" si="240"/>
        <v>stacjonarny</v>
      </c>
      <c r="C1560" s="1">
        <v>42940</v>
      </c>
      <c r="D1560" s="2">
        <v>0.45481481481481484</v>
      </c>
      <c r="E1560" s="2">
        <v>0.45863425925925927</v>
      </c>
      <c r="F1560" s="2">
        <f t="shared" si="241"/>
        <v>3.8194444444444309E-3</v>
      </c>
      <c r="G1560">
        <f t="shared" si="242"/>
        <v>0</v>
      </c>
      <c r="H1560">
        <f t="shared" si="243"/>
        <v>5</v>
      </c>
      <c r="I1560">
        <f t="shared" si="244"/>
        <v>30</v>
      </c>
      <c r="J1560">
        <f t="shared" si="245"/>
        <v>330</v>
      </c>
      <c r="K1560">
        <f t="shared" si="246"/>
        <v>6</v>
      </c>
      <c r="L1560">
        <f t="shared" si="247"/>
        <v>521852</v>
      </c>
      <c r="M1560">
        <f t="shared" si="248"/>
        <v>166924</v>
      </c>
      <c r="N1560">
        <f t="shared" si="249"/>
        <v>736776</v>
      </c>
      <c r="O1560">
        <f>IF(B1560="zagraniczny",K1560+O1559,O1559)</f>
        <v>702</v>
      </c>
    </row>
    <row r="1561" spans="1:15" x14ac:dyDescent="0.25">
      <c r="A1561">
        <v>91626903</v>
      </c>
      <c r="B1561" t="str">
        <f t="shared" si="240"/>
        <v>komorkowy</v>
      </c>
      <c r="C1561" s="1">
        <v>42940</v>
      </c>
      <c r="D1561" s="2">
        <v>0.45930555555555558</v>
      </c>
      <c r="E1561" s="2">
        <v>0.46885416666666668</v>
      </c>
      <c r="F1561" s="2">
        <f t="shared" si="241"/>
        <v>9.5486111111111049E-3</v>
      </c>
      <c r="G1561">
        <f t="shared" si="242"/>
        <v>0</v>
      </c>
      <c r="H1561">
        <f t="shared" si="243"/>
        <v>13</v>
      </c>
      <c r="I1561">
        <f t="shared" si="244"/>
        <v>45</v>
      </c>
      <c r="J1561">
        <f t="shared" si="245"/>
        <v>825</v>
      </c>
      <c r="K1561">
        <f t="shared" si="246"/>
        <v>14</v>
      </c>
      <c r="L1561">
        <f t="shared" si="247"/>
        <v>521852</v>
      </c>
      <c r="M1561">
        <f t="shared" si="248"/>
        <v>167749</v>
      </c>
      <c r="N1561">
        <f t="shared" si="249"/>
        <v>737601</v>
      </c>
      <c r="O1561">
        <f>IF(B1561="zagraniczny",K1561+O1560,O1560)</f>
        <v>702</v>
      </c>
    </row>
    <row r="1562" spans="1:15" x14ac:dyDescent="0.25">
      <c r="A1562">
        <v>1475008</v>
      </c>
      <c r="B1562" t="str">
        <f t="shared" si="240"/>
        <v>stacjonarny</v>
      </c>
      <c r="C1562" s="1">
        <v>42940</v>
      </c>
      <c r="D1562" s="2">
        <v>0.46489583333333334</v>
      </c>
      <c r="E1562" s="2">
        <v>0.47530092592592593</v>
      </c>
      <c r="F1562" s="2">
        <f t="shared" si="241"/>
        <v>1.0405092592592591E-2</v>
      </c>
      <c r="G1562">
        <f t="shared" si="242"/>
        <v>0</v>
      </c>
      <c r="H1562">
        <f t="shared" si="243"/>
        <v>14</v>
      </c>
      <c r="I1562">
        <f t="shared" si="244"/>
        <v>59</v>
      </c>
      <c r="J1562">
        <f t="shared" si="245"/>
        <v>899</v>
      </c>
      <c r="K1562">
        <f t="shared" si="246"/>
        <v>15</v>
      </c>
      <c r="L1562">
        <f t="shared" si="247"/>
        <v>522751</v>
      </c>
      <c r="M1562">
        <f t="shared" si="248"/>
        <v>167749</v>
      </c>
      <c r="N1562">
        <f t="shared" si="249"/>
        <v>738500</v>
      </c>
      <c r="O1562">
        <f>IF(B1562="zagraniczny",K1562+O1561,O1561)</f>
        <v>702</v>
      </c>
    </row>
    <row r="1563" spans="1:15" x14ac:dyDescent="0.25">
      <c r="A1563">
        <v>4767842</v>
      </c>
      <c r="B1563" t="str">
        <f t="shared" si="240"/>
        <v>stacjonarny</v>
      </c>
      <c r="C1563" s="1">
        <v>42940</v>
      </c>
      <c r="D1563" s="2">
        <v>0.46971064814814817</v>
      </c>
      <c r="E1563" s="2">
        <v>0.47116898148148151</v>
      </c>
      <c r="F1563" s="2">
        <f t="shared" si="241"/>
        <v>1.4583333333333393E-3</v>
      </c>
      <c r="G1563">
        <f t="shared" si="242"/>
        <v>0</v>
      </c>
      <c r="H1563">
        <f t="shared" si="243"/>
        <v>2</v>
      </c>
      <c r="I1563">
        <f t="shared" si="244"/>
        <v>6</v>
      </c>
      <c r="J1563">
        <f t="shared" si="245"/>
        <v>126</v>
      </c>
      <c r="K1563">
        <f t="shared" si="246"/>
        <v>3</v>
      </c>
      <c r="L1563">
        <f t="shared" si="247"/>
        <v>522877</v>
      </c>
      <c r="M1563">
        <f t="shared" si="248"/>
        <v>167749</v>
      </c>
      <c r="N1563">
        <f t="shared" si="249"/>
        <v>738626</v>
      </c>
      <c r="O1563">
        <f>IF(B1563="zagraniczny",K1563+O1562,O1562)</f>
        <v>702</v>
      </c>
    </row>
    <row r="1564" spans="1:15" x14ac:dyDescent="0.25">
      <c r="A1564">
        <v>64586869</v>
      </c>
      <c r="B1564" t="str">
        <f t="shared" si="240"/>
        <v>komorkowy</v>
      </c>
      <c r="C1564" s="1">
        <v>42940</v>
      </c>
      <c r="D1564" s="2">
        <v>0.47188657407407408</v>
      </c>
      <c r="E1564" s="2">
        <v>0.47260416666666666</v>
      </c>
      <c r="F1564" s="2">
        <f t="shared" si="241"/>
        <v>7.1759259259257524E-4</v>
      </c>
      <c r="G1564">
        <f t="shared" si="242"/>
        <v>0</v>
      </c>
      <c r="H1564">
        <f t="shared" si="243"/>
        <v>1</v>
      </c>
      <c r="I1564">
        <f t="shared" si="244"/>
        <v>2</v>
      </c>
      <c r="J1564">
        <f t="shared" si="245"/>
        <v>62</v>
      </c>
      <c r="K1564">
        <f t="shared" si="246"/>
        <v>2</v>
      </c>
      <c r="L1564">
        <f t="shared" si="247"/>
        <v>522877</v>
      </c>
      <c r="M1564">
        <f t="shared" si="248"/>
        <v>167811</v>
      </c>
      <c r="N1564">
        <f t="shared" si="249"/>
        <v>738688</v>
      </c>
      <c r="O1564">
        <f>IF(B1564="zagraniczny",K1564+O1563,O1563)</f>
        <v>702</v>
      </c>
    </row>
    <row r="1565" spans="1:15" x14ac:dyDescent="0.25">
      <c r="A1565">
        <v>7066389</v>
      </c>
      <c r="B1565" t="str">
        <f t="shared" si="240"/>
        <v>stacjonarny</v>
      </c>
      <c r="C1565" s="1">
        <v>42940</v>
      </c>
      <c r="D1565" s="2">
        <v>0.47590277777777779</v>
      </c>
      <c r="E1565" s="2">
        <v>0.47621527777777778</v>
      </c>
      <c r="F1565" s="2">
        <f t="shared" si="241"/>
        <v>3.1249999999999334E-4</v>
      </c>
      <c r="G1565">
        <f t="shared" si="242"/>
        <v>0</v>
      </c>
      <c r="H1565">
        <f t="shared" si="243"/>
        <v>0</v>
      </c>
      <c r="I1565">
        <f t="shared" si="244"/>
        <v>27</v>
      </c>
      <c r="J1565">
        <f t="shared" si="245"/>
        <v>27</v>
      </c>
      <c r="K1565">
        <f t="shared" si="246"/>
        <v>1</v>
      </c>
      <c r="L1565">
        <f t="shared" si="247"/>
        <v>522904</v>
      </c>
      <c r="M1565">
        <f t="shared" si="248"/>
        <v>167811</v>
      </c>
      <c r="N1565">
        <f t="shared" si="249"/>
        <v>738715</v>
      </c>
      <c r="O1565">
        <f>IF(B1565="zagraniczny",K1565+O1564,O1564)</f>
        <v>702</v>
      </c>
    </row>
    <row r="1566" spans="1:15" x14ac:dyDescent="0.25">
      <c r="A1566">
        <v>28791070</v>
      </c>
      <c r="B1566" t="str">
        <f t="shared" si="240"/>
        <v>komorkowy</v>
      </c>
      <c r="C1566" s="1">
        <v>42940</v>
      </c>
      <c r="D1566" s="2">
        <v>0.48082175925925924</v>
      </c>
      <c r="E1566" s="2">
        <v>0.49135416666666665</v>
      </c>
      <c r="F1566" s="2">
        <f t="shared" si="241"/>
        <v>1.0532407407407407E-2</v>
      </c>
      <c r="G1566">
        <f t="shared" si="242"/>
        <v>0</v>
      </c>
      <c r="H1566">
        <f t="shared" si="243"/>
        <v>15</v>
      </c>
      <c r="I1566">
        <f t="shared" si="244"/>
        <v>10</v>
      </c>
      <c r="J1566">
        <f t="shared" si="245"/>
        <v>910</v>
      </c>
      <c r="K1566">
        <f t="shared" si="246"/>
        <v>16</v>
      </c>
      <c r="L1566">
        <f t="shared" si="247"/>
        <v>522904</v>
      </c>
      <c r="M1566">
        <f t="shared" si="248"/>
        <v>168721</v>
      </c>
      <c r="N1566">
        <f t="shared" si="249"/>
        <v>739625</v>
      </c>
      <c r="O1566">
        <f>IF(B1566="zagraniczny",K1566+O1565,O1565)</f>
        <v>702</v>
      </c>
    </row>
    <row r="1567" spans="1:15" x14ac:dyDescent="0.25">
      <c r="A1567">
        <v>5094248</v>
      </c>
      <c r="B1567" t="str">
        <f t="shared" si="240"/>
        <v>stacjonarny</v>
      </c>
      <c r="C1567" s="1">
        <v>42940</v>
      </c>
      <c r="D1567" s="2">
        <v>0.48358796296296297</v>
      </c>
      <c r="E1567" s="2">
        <v>0.48965277777777777</v>
      </c>
      <c r="F1567" s="2">
        <f t="shared" si="241"/>
        <v>6.0648148148148007E-3</v>
      </c>
      <c r="G1567">
        <f t="shared" si="242"/>
        <v>0</v>
      </c>
      <c r="H1567">
        <f t="shared" si="243"/>
        <v>8</v>
      </c>
      <c r="I1567">
        <f t="shared" si="244"/>
        <v>44</v>
      </c>
      <c r="J1567">
        <f t="shared" si="245"/>
        <v>524</v>
      </c>
      <c r="K1567">
        <f t="shared" si="246"/>
        <v>9</v>
      </c>
      <c r="L1567">
        <f t="shared" si="247"/>
        <v>523428</v>
      </c>
      <c r="M1567">
        <f t="shared" si="248"/>
        <v>168721</v>
      </c>
      <c r="N1567">
        <f t="shared" si="249"/>
        <v>740149</v>
      </c>
      <c r="O1567">
        <f>IF(B1567="zagraniczny",K1567+O1566,O1566)</f>
        <v>702</v>
      </c>
    </row>
    <row r="1568" spans="1:15" x14ac:dyDescent="0.25">
      <c r="A1568">
        <v>44882393</v>
      </c>
      <c r="B1568" t="str">
        <f t="shared" si="240"/>
        <v>komorkowy</v>
      </c>
      <c r="C1568" s="1">
        <v>42940</v>
      </c>
      <c r="D1568" s="2">
        <v>0.4866550925925926</v>
      </c>
      <c r="E1568" s="2">
        <v>0.49528935185185186</v>
      </c>
      <c r="F1568" s="2">
        <f t="shared" si="241"/>
        <v>8.6342592592592582E-3</v>
      </c>
      <c r="G1568">
        <f t="shared" si="242"/>
        <v>0</v>
      </c>
      <c r="H1568">
        <f t="shared" si="243"/>
        <v>12</v>
      </c>
      <c r="I1568">
        <f t="shared" si="244"/>
        <v>26</v>
      </c>
      <c r="J1568">
        <f t="shared" si="245"/>
        <v>746</v>
      </c>
      <c r="K1568">
        <f t="shared" si="246"/>
        <v>13</v>
      </c>
      <c r="L1568">
        <f t="shared" si="247"/>
        <v>523428</v>
      </c>
      <c r="M1568">
        <f t="shared" si="248"/>
        <v>169467</v>
      </c>
      <c r="N1568">
        <f t="shared" si="249"/>
        <v>740895</v>
      </c>
      <c r="O1568">
        <f>IF(B1568="zagraniczny",K1568+O1567,O1567)</f>
        <v>702</v>
      </c>
    </row>
    <row r="1569" spans="1:15" x14ac:dyDescent="0.25">
      <c r="A1569">
        <v>29391132</v>
      </c>
      <c r="B1569" t="str">
        <f t="shared" si="240"/>
        <v>komorkowy</v>
      </c>
      <c r="C1569" s="1">
        <v>42940</v>
      </c>
      <c r="D1569" s="2">
        <v>0.48770833333333335</v>
      </c>
      <c r="E1569" s="2">
        <v>0.49613425925925925</v>
      </c>
      <c r="F1569" s="2">
        <f t="shared" si="241"/>
        <v>8.4259259259258923E-3</v>
      </c>
      <c r="G1569">
        <f t="shared" si="242"/>
        <v>0</v>
      </c>
      <c r="H1569">
        <f t="shared" si="243"/>
        <v>12</v>
      </c>
      <c r="I1569">
        <f t="shared" si="244"/>
        <v>8</v>
      </c>
      <c r="J1569">
        <f t="shared" si="245"/>
        <v>728</v>
      </c>
      <c r="K1569">
        <f t="shared" si="246"/>
        <v>13</v>
      </c>
      <c r="L1569">
        <f t="shared" si="247"/>
        <v>523428</v>
      </c>
      <c r="M1569">
        <f t="shared" si="248"/>
        <v>170195</v>
      </c>
      <c r="N1569">
        <f t="shared" si="249"/>
        <v>741623</v>
      </c>
      <c r="O1569">
        <f>IF(B1569="zagraniczny",K1569+O1568,O1568)</f>
        <v>702</v>
      </c>
    </row>
    <row r="1570" spans="1:15" x14ac:dyDescent="0.25">
      <c r="A1570">
        <v>9892639</v>
      </c>
      <c r="B1570" t="str">
        <f t="shared" si="240"/>
        <v>stacjonarny</v>
      </c>
      <c r="C1570" s="1">
        <v>42940</v>
      </c>
      <c r="D1570" s="2">
        <v>0.48836805555555557</v>
      </c>
      <c r="E1570" s="2">
        <v>0.48893518518518519</v>
      </c>
      <c r="F1570" s="2">
        <f t="shared" si="241"/>
        <v>5.6712962962962576E-4</v>
      </c>
      <c r="G1570">
        <f t="shared" si="242"/>
        <v>0</v>
      </c>
      <c r="H1570">
        <f t="shared" si="243"/>
        <v>0</v>
      </c>
      <c r="I1570">
        <f t="shared" si="244"/>
        <v>49</v>
      </c>
      <c r="J1570">
        <f t="shared" si="245"/>
        <v>49</v>
      </c>
      <c r="K1570">
        <f t="shared" si="246"/>
        <v>1</v>
      </c>
      <c r="L1570">
        <f t="shared" si="247"/>
        <v>523477</v>
      </c>
      <c r="M1570">
        <f t="shared" si="248"/>
        <v>170195</v>
      </c>
      <c r="N1570">
        <f t="shared" si="249"/>
        <v>741672</v>
      </c>
      <c r="O1570">
        <f>IF(B1570="zagraniczny",K1570+O1569,O1569)</f>
        <v>702</v>
      </c>
    </row>
    <row r="1571" spans="1:15" x14ac:dyDescent="0.25">
      <c r="A1571">
        <v>3979295</v>
      </c>
      <c r="B1571" t="str">
        <f t="shared" si="240"/>
        <v>stacjonarny</v>
      </c>
      <c r="C1571" s="1">
        <v>42940</v>
      </c>
      <c r="D1571" s="2">
        <v>0.49062499999999998</v>
      </c>
      <c r="E1571" s="2">
        <v>0.49767361111111114</v>
      </c>
      <c r="F1571" s="2">
        <f t="shared" si="241"/>
        <v>7.0486111111111582E-3</v>
      </c>
      <c r="G1571">
        <f t="shared" si="242"/>
        <v>0</v>
      </c>
      <c r="H1571">
        <f t="shared" si="243"/>
        <v>10</v>
      </c>
      <c r="I1571">
        <f t="shared" si="244"/>
        <v>9</v>
      </c>
      <c r="J1571">
        <f t="shared" si="245"/>
        <v>609</v>
      </c>
      <c r="K1571">
        <f t="shared" si="246"/>
        <v>11</v>
      </c>
      <c r="L1571">
        <f t="shared" si="247"/>
        <v>524086</v>
      </c>
      <c r="M1571">
        <f t="shared" si="248"/>
        <v>170195</v>
      </c>
      <c r="N1571">
        <f t="shared" si="249"/>
        <v>742281</v>
      </c>
      <c r="O1571">
        <f>IF(B1571="zagraniczny",K1571+O1570,O1570)</f>
        <v>702</v>
      </c>
    </row>
    <row r="1572" spans="1:15" x14ac:dyDescent="0.25">
      <c r="A1572">
        <v>8471219</v>
      </c>
      <c r="B1572" t="str">
        <f t="shared" si="240"/>
        <v>stacjonarny</v>
      </c>
      <c r="C1572" s="1">
        <v>42940</v>
      </c>
      <c r="D1572" s="2">
        <v>0.49229166666666668</v>
      </c>
      <c r="E1572" s="2">
        <v>0.49554398148148149</v>
      </c>
      <c r="F1572" s="2">
        <f t="shared" si="241"/>
        <v>3.2523148148148051E-3</v>
      </c>
      <c r="G1572">
        <f t="shared" si="242"/>
        <v>0</v>
      </c>
      <c r="H1572">
        <f t="shared" si="243"/>
        <v>4</v>
      </c>
      <c r="I1572">
        <f t="shared" si="244"/>
        <v>41</v>
      </c>
      <c r="J1572">
        <f t="shared" si="245"/>
        <v>281</v>
      </c>
      <c r="K1572">
        <f t="shared" si="246"/>
        <v>5</v>
      </c>
      <c r="L1572">
        <f t="shared" si="247"/>
        <v>524367</v>
      </c>
      <c r="M1572">
        <f t="shared" si="248"/>
        <v>170195</v>
      </c>
      <c r="N1572">
        <f t="shared" si="249"/>
        <v>742562</v>
      </c>
      <c r="O1572">
        <f>IF(B1572="zagraniczny",K1572+O1571,O1571)</f>
        <v>702</v>
      </c>
    </row>
    <row r="1573" spans="1:15" x14ac:dyDescent="0.25">
      <c r="A1573">
        <v>5631380</v>
      </c>
      <c r="B1573" t="str">
        <f t="shared" si="240"/>
        <v>stacjonarny</v>
      </c>
      <c r="C1573" s="1">
        <v>42940</v>
      </c>
      <c r="D1573" s="2">
        <v>0.49274305555555553</v>
      </c>
      <c r="E1573" s="2">
        <v>0.50315972222222227</v>
      </c>
      <c r="F1573" s="2">
        <f t="shared" si="241"/>
        <v>1.0416666666666741E-2</v>
      </c>
      <c r="G1573">
        <f t="shared" si="242"/>
        <v>0</v>
      </c>
      <c r="H1573">
        <f t="shared" si="243"/>
        <v>15</v>
      </c>
      <c r="I1573">
        <f t="shared" si="244"/>
        <v>0</v>
      </c>
      <c r="J1573">
        <f t="shared" si="245"/>
        <v>900</v>
      </c>
      <c r="K1573">
        <f t="shared" si="246"/>
        <v>15</v>
      </c>
      <c r="L1573">
        <f t="shared" si="247"/>
        <v>525267</v>
      </c>
      <c r="M1573">
        <f t="shared" si="248"/>
        <v>170195</v>
      </c>
      <c r="N1573">
        <f t="shared" si="249"/>
        <v>743462</v>
      </c>
      <c r="O1573">
        <f>IF(B1573="zagraniczny",K1573+O1572,O1572)</f>
        <v>702</v>
      </c>
    </row>
    <row r="1574" spans="1:15" x14ac:dyDescent="0.25">
      <c r="A1574">
        <v>6309138</v>
      </c>
      <c r="B1574" t="str">
        <f t="shared" si="240"/>
        <v>stacjonarny</v>
      </c>
      <c r="C1574" s="1">
        <v>42940</v>
      </c>
      <c r="D1574" s="2">
        <v>0.49416666666666664</v>
      </c>
      <c r="E1574" s="2">
        <v>0.49465277777777777</v>
      </c>
      <c r="F1574" s="2">
        <f t="shared" si="241"/>
        <v>4.8611111111113159E-4</v>
      </c>
      <c r="G1574">
        <f t="shared" si="242"/>
        <v>0</v>
      </c>
      <c r="H1574">
        <f t="shared" si="243"/>
        <v>0</v>
      </c>
      <c r="I1574">
        <f t="shared" si="244"/>
        <v>42</v>
      </c>
      <c r="J1574">
        <f t="shared" si="245"/>
        <v>42</v>
      </c>
      <c r="K1574">
        <f t="shared" si="246"/>
        <v>1</v>
      </c>
      <c r="L1574">
        <f t="shared" si="247"/>
        <v>525309</v>
      </c>
      <c r="M1574">
        <f t="shared" si="248"/>
        <v>170195</v>
      </c>
      <c r="N1574">
        <f t="shared" si="249"/>
        <v>743504</v>
      </c>
      <c r="O1574">
        <f>IF(B1574="zagraniczny",K1574+O1573,O1573)</f>
        <v>702</v>
      </c>
    </row>
    <row r="1575" spans="1:15" x14ac:dyDescent="0.25">
      <c r="A1575">
        <v>72287838</v>
      </c>
      <c r="B1575" t="str">
        <f t="shared" si="240"/>
        <v>komorkowy</v>
      </c>
      <c r="C1575" s="1">
        <v>42940</v>
      </c>
      <c r="D1575" s="2">
        <v>0.49633101851851852</v>
      </c>
      <c r="E1575" s="2">
        <v>0.50209490740740736</v>
      </c>
      <c r="F1575" s="2">
        <f t="shared" si="241"/>
        <v>5.7638888888888462E-3</v>
      </c>
      <c r="G1575">
        <f t="shared" si="242"/>
        <v>0</v>
      </c>
      <c r="H1575">
        <f t="shared" si="243"/>
        <v>8</v>
      </c>
      <c r="I1575">
        <f t="shared" si="244"/>
        <v>18</v>
      </c>
      <c r="J1575">
        <f t="shared" si="245"/>
        <v>498</v>
      </c>
      <c r="K1575">
        <f t="shared" si="246"/>
        <v>9</v>
      </c>
      <c r="L1575">
        <f t="shared" si="247"/>
        <v>525309</v>
      </c>
      <c r="M1575">
        <f t="shared" si="248"/>
        <v>170693</v>
      </c>
      <c r="N1575">
        <f t="shared" si="249"/>
        <v>744002</v>
      </c>
      <c r="O1575">
        <f>IF(B1575="zagraniczny",K1575+O1574,O1574)</f>
        <v>702</v>
      </c>
    </row>
    <row r="1576" spans="1:15" x14ac:dyDescent="0.25">
      <c r="A1576">
        <v>2515441</v>
      </c>
      <c r="B1576" t="str">
        <f t="shared" si="240"/>
        <v>stacjonarny</v>
      </c>
      <c r="C1576" s="1">
        <v>42940</v>
      </c>
      <c r="D1576" s="2">
        <v>0.49857638888888889</v>
      </c>
      <c r="E1576" s="2">
        <v>0.50195601851851857</v>
      </c>
      <c r="F1576" s="2">
        <f t="shared" si="241"/>
        <v>3.3796296296296768E-3</v>
      </c>
      <c r="G1576">
        <f t="shared" si="242"/>
        <v>0</v>
      </c>
      <c r="H1576">
        <f t="shared" si="243"/>
        <v>4</v>
      </c>
      <c r="I1576">
        <f t="shared" si="244"/>
        <v>52</v>
      </c>
      <c r="J1576">
        <f t="shared" si="245"/>
        <v>292</v>
      </c>
      <c r="K1576">
        <f t="shared" si="246"/>
        <v>5</v>
      </c>
      <c r="L1576">
        <f t="shared" si="247"/>
        <v>525601</v>
      </c>
      <c r="M1576">
        <f t="shared" si="248"/>
        <v>170693</v>
      </c>
      <c r="N1576">
        <f t="shared" si="249"/>
        <v>744294</v>
      </c>
      <c r="O1576">
        <f>IF(B1576="zagraniczny",K1576+O1575,O1575)</f>
        <v>702</v>
      </c>
    </row>
    <row r="1577" spans="1:15" x14ac:dyDescent="0.25">
      <c r="A1577">
        <v>8056387</v>
      </c>
      <c r="B1577" t="str">
        <f t="shared" si="240"/>
        <v>stacjonarny</v>
      </c>
      <c r="C1577" s="1">
        <v>42940</v>
      </c>
      <c r="D1577" s="2">
        <v>0.50306712962962963</v>
      </c>
      <c r="E1577" s="2">
        <v>0.51333333333333331</v>
      </c>
      <c r="F1577" s="2">
        <f t="shared" si="241"/>
        <v>1.026620370370368E-2</v>
      </c>
      <c r="G1577">
        <f t="shared" si="242"/>
        <v>0</v>
      </c>
      <c r="H1577">
        <f t="shared" si="243"/>
        <v>14</v>
      </c>
      <c r="I1577">
        <f t="shared" si="244"/>
        <v>47</v>
      </c>
      <c r="J1577">
        <f t="shared" si="245"/>
        <v>887</v>
      </c>
      <c r="K1577">
        <f t="shared" si="246"/>
        <v>15</v>
      </c>
      <c r="L1577">
        <f t="shared" si="247"/>
        <v>526488</v>
      </c>
      <c r="M1577">
        <f t="shared" si="248"/>
        <v>170693</v>
      </c>
      <c r="N1577">
        <f t="shared" si="249"/>
        <v>745181</v>
      </c>
      <c r="O1577">
        <f>IF(B1577="zagraniczny",K1577+O1576,O1576)</f>
        <v>702</v>
      </c>
    </row>
    <row r="1578" spans="1:15" x14ac:dyDescent="0.25">
      <c r="A1578">
        <v>5489867</v>
      </c>
      <c r="B1578" t="str">
        <f t="shared" si="240"/>
        <v>stacjonarny</v>
      </c>
      <c r="C1578" s="1">
        <v>42940</v>
      </c>
      <c r="D1578" s="2">
        <v>0.50583333333333336</v>
      </c>
      <c r="E1578" s="2">
        <v>0.51407407407407413</v>
      </c>
      <c r="F1578" s="2">
        <f t="shared" si="241"/>
        <v>8.2407407407407707E-3</v>
      </c>
      <c r="G1578">
        <f t="shared" si="242"/>
        <v>0</v>
      </c>
      <c r="H1578">
        <f t="shared" si="243"/>
        <v>11</v>
      </c>
      <c r="I1578">
        <f t="shared" si="244"/>
        <v>52</v>
      </c>
      <c r="J1578">
        <f t="shared" si="245"/>
        <v>712</v>
      </c>
      <c r="K1578">
        <f t="shared" si="246"/>
        <v>12</v>
      </c>
      <c r="L1578">
        <f t="shared" si="247"/>
        <v>527200</v>
      </c>
      <c r="M1578">
        <f t="shared" si="248"/>
        <v>170693</v>
      </c>
      <c r="N1578">
        <f t="shared" si="249"/>
        <v>745893</v>
      </c>
      <c r="O1578">
        <f>IF(B1578="zagraniczny",K1578+O1577,O1577)</f>
        <v>702</v>
      </c>
    </row>
    <row r="1579" spans="1:15" x14ac:dyDescent="0.25">
      <c r="A1579">
        <v>5528648</v>
      </c>
      <c r="B1579" t="str">
        <f t="shared" si="240"/>
        <v>stacjonarny</v>
      </c>
      <c r="C1579" s="1">
        <v>42940</v>
      </c>
      <c r="D1579" s="2">
        <v>0.50611111111111107</v>
      </c>
      <c r="E1579" s="2">
        <v>0.51354166666666667</v>
      </c>
      <c r="F1579" s="2">
        <f t="shared" si="241"/>
        <v>7.4305555555556069E-3</v>
      </c>
      <c r="G1579">
        <f t="shared" si="242"/>
        <v>0</v>
      </c>
      <c r="H1579">
        <f t="shared" si="243"/>
        <v>10</v>
      </c>
      <c r="I1579">
        <f t="shared" si="244"/>
        <v>42</v>
      </c>
      <c r="J1579">
        <f t="shared" si="245"/>
        <v>642</v>
      </c>
      <c r="K1579">
        <f t="shared" si="246"/>
        <v>11</v>
      </c>
      <c r="L1579">
        <f t="shared" si="247"/>
        <v>527842</v>
      </c>
      <c r="M1579">
        <f t="shared" si="248"/>
        <v>170693</v>
      </c>
      <c r="N1579">
        <f t="shared" si="249"/>
        <v>746535</v>
      </c>
      <c r="O1579">
        <f>IF(B1579="zagraniczny",K1579+O1578,O1578)</f>
        <v>702</v>
      </c>
    </row>
    <row r="1580" spans="1:15" x14ac:dyDescent="0.25">
      <c r="A1580">
        <v>4293872</v>
      </c>
      <c r="B1580" t="str">
        <f t="shared" si="240"/>
        <v>stacjonarny</v>
      </c>
      <c r="C1580" s="1">
        <v>42940</v>
      </c>
      <c r="D1580" s="2">
        <v>0.50714120370370375</v>
      </c>
      <c r="E1580" s="2">
        <v>0.51232638888888893</v>
      </c>
      <c r="F1580" s="2">
        <f t="shared" si="241"/>
        <v>5.1851851851851816E-3</v>
      </c>
      <c r="G1580">
        <f t="shared" si="242"/>
        <v>0</v>
      </c>
      <c r="H1580">
        <f t="shared" si="243"/>
        <v>7</v>
      </c>
      <c r="I1580">
        <f t="shared" si="244"/>
        <v>28</v>
      </c>
      <c r="J1580">
        <f t="shared" si="245"/>
        <v>448</v>
      </c>
      <c r="K1580">
        <f t="shared" si="246"/>
        <v>8</v>
      </c>
      <c r="L1580">
        <f t="shared" si="247"/>
        <v>528290</v>
      </c>
      <c r="M1580">
        <f t="shared" si="248"/>
        <v>170693</v>
      </c>
      <c r="N1580">
        <f t="shared" si="249"/>
        <v>746983</v>
      </c>
      <c r="O1580">
        <f>IF(B1580="zagraniczny",K1580+O1579,O1579)</f>
        <v>702</v>
      </c>
    </row>
    <row r="1581" spans="1:15" x14ac:dyDescent="0.25">
      <c r="A1581">
        <v>99625946</v>
      </c>
      <c r="B1581" t="str">
        <f t="shared" si="240"/>
        <v>komorkowy</v>
      </c>
      <c r="C1581" s="1">
        <v>42940</v>
      </c>
      <c r="D1581" s="2">
        <v>0.51270833333333332</v>
      </c>
      <c r="E1581" s="2">
        <v>0.52407407407407403</v>
      </c>
      <c r="F1581" s="2">
        <f t="shared" si="241"/>
        <v>1.1365740740740704E-2</v>
      </c>
      <c r="G1581">
        <f t="shared" si="242"/>
        <v>0</v>
      </c>
      <c r="H1581">
        <f t="shared" si="243"/>
        <v>16</v>
      </c>
      <c r="I1581">
        <f t="shared" si="244"/>
        <v>22</v>
      </c>
      <c r="J1581">
        <f t="shared" si="245"/>
        <v>982</v>
      </c>
      <c r="K1581">
        <f t="shared" si="246"/>
        <v>17</v>
      </c>
      <c r="L1581">
        <f t="shared" si="247"/>
        <v>528290</v>
      </c>
      <c r="M1581">
        <f t="shared" si="248"/>
        <v>171675</v>
      </c>
      <c r="N1581">
        <f t="shared" si="249"/>
        <v>747965</v>
      </c>
      <c r="O1581">
        <f>IF(B1581="zagraniczny",K1581+O1580,O1580)</f>
        <v>702</v>
      </c>
    </row>
    <row r="1582" spans="1:15" x14ac:dyDescent="0.25">
      <c r="A1582">
        <v>9827875</v>
      </c>
      <c r="B1582" t="str">
        <f t="shared" si="240"/>
        <v>stacjonarny</v>
      </c>
      <c r="C1582" s="1">
        <v>42940</v>
      </c>
      <c r="D1582" s="2">
        <v>0.51512731481481477</v>
      </c>
      <c r="E1582" s="2">
        <v>0.51954861111111106</v>
      </c>
      <c r="F1582" s="2">
        <f t="shared" si="241"/>
        <v>4.4212962962962843E-3</v>
      </c>
      <c r="G1582">
        <f t="shared" si="242"/>
        <v>0</v>
      </c>
      <c r="H1582">
        <f t="shared" si="243"/>
        <v>6</v>
      </c>
      <c r="I1582">
        <f t="shared" si="244"/>
        <v>22</v>
      </c>
      <c r="J1582">
        <f t="shared" si="245"/>
        <v>382</v>
      </c>
      <c r="K1582">
        <f t="shared" si="246"/>
        <v>7</v>
      </c>
      <c r="L1582">
        <f t="shared" si="247"/>
        <v>528672</v>
      </c>
      <c r="M1582">
        <f t="shared" si="248"/>
        <v>171675</v>
      </c>
      <c r="N1582">
        <f t="shared" si="249"/>
        <v>748347</v>
      </c>
      <c r="O1582">
        <f>IF(B1582="zagraniczny",K1582+O1581,O1581)</f>
        <v>702</v>
      </c>
    </row>
    <row r="1583" spans="1:15" x14ac:dyDescent="0.25">
      <c r="A1583">
        <v>40120881</v>
      </c>
      <c r="B1583" t="str">
        <f t="shared" si="240"/>
        <v>komorkowy</v>
      </c>
      <c r="C1583" s="1">
        <v>42940</v>
      </c>
      <c r="D1583" s="2">
        <v>0.51746527777777773</v>
      </c>
      <c r="E1583" s="2">
        <v>0.52686342592592594</v>
      </c>
      <c r="F1583" s="2">
        <f t="shared" si="241"/>
        <v>9.398148148148211E-3</v>
      </c>
      <c r="G1583">
        <f t="shared" si="242"/>
        <v>0</v>
      </c>
      <c r="H1583">
        <f t="shared" si="243"/>
        <v>13</v>
      </c>
      <c r="I1583">
        <f t="shared" si="244"/>
        <v>32</v>
      </c>
      <c r="J1583">
        <f t="shared" si="245"/>
        <v>812</v>
      </c>
      <c r="K1583">
        <f t="shared" si="246"/>
        <v>14</v>
      </c>
      <c r="L1583">
        <f t="shared" si="247"/>
        <v>528672</v>
      </c>
      <c r="M1583">
        <f t="shared" si="248"/>
        <v>172487</v>
      </c>
      <c r="N1583">
        <f t="shared" si="249"/>
        <v>749159</v>
      </c>
      <c r="O1583">
        <f>IF(B1583="zagraniczny",K1583+O1582,O1582)</f>
        <v>702</v>
      </c>
    </row>
    <row r="1584" spans="1:15" x14ac:dyDescent="0.25">
      <c r="A1584">
        <v>42373338</v>
      </c>
      <c r="B1584" t="str">
        <f t="shared" si="240"/>
        <v>komorkowy</v>
      </c>
      <c r="C1584" s="1">
        <v>42940</v>
      </c>
      <c r="D1584" s="2">
        <v>0.51962962962962966</v>
      </c>
      <c r="E1584" s="2">
        <v>0.53030092592592593</v>
      </c>
      <c r="F1584" s="2">
        <f t="shared" si="241"/>
        <v>1.0671296296296262E-2</v>
      </c>
      <c r="G1584">
        <f t="shared" si="242"/>
        <v>0</v>
      </c>
      <c r="H1584">
        <f t="shared" si="243"/>
        <v>15</v>
      </c>
      <c r="I1584">
        <f t="shared" si="244"/>
        <v>22</v>
      </c>
      <c r="J1584">
        <f t="shared" si="245"/>
        <v>922</v>
      </c>
      <c r="K1584">
        <f t="shared" si="246"/>
        <v>16</v>
      </c>
      <c r="L1584">
        <f t="shared" si="247"/>
        <v>528672</v>
      </c>
      <c r="M1584">
        <f t="shared" si="248"/>
        <v>173409</v>
      </c>
      <c r="N1584">
        <f t="shared" si="249"/>
        <v>750081</v>
      </c>
      <c r="O1584">
        <f>IF(B1584="zagraniczny",K1584+O1583,O1583)</f>
        <v>702</v>
      </c>
    </row>
    <row r="1585" spans="1:15" x14ac:dyDescent="0.25">
      <c r="A1585">
        <v>39697250</v>
      </c>
      <c r="B1585" t="str">
        <f t="shared" si="240"/>
        <v>komorkowy</v>
      </c>
      <c r="C1585" s="1">
        <v>42940</v>
      </c>
      <c r="D1585" s="2">
        <v>0.52520833333333339</v>
      </c>
      <c r="E1585" s="2">
        <v>0.52866898148148145</v>
      </c>
      <c r="F1585" s="2">
        <f t="shared" si="241"/>
        <v>3.46064814814806E-3</v>
      </c>
      <c r="G1585">
        <f t="shared" si="242"/>
        <v>0</v>
      </c>
      <c r="H1585">
        <f t="shared" si="243"/>
        <v>4</v>
      </c>
      <c r="I1585">
        <f t="shared" si="244"/>
        <v>59</v>
      </c>
      <c r="J1585">
        <f t="shared" si="245"/>
        <v>299</v>
      </c>
      <c r="K1585">
        <f t="shared" si="246"/>
        <v>5</v>
      </c>
      <c r="L1585">
        <f t="shared" si="247"/>
        <v>528672</v>
      </c>
      <c r="M1585">
        <f t="shared" si="248"/>
        <v>173708</v>
      </c>
      <c r="N1585">
        <f t="shared" si="249"/>
        <v>750380</v>
      </c>
      <c r="O1585">
        <f>IF(B1585="zagraniczny",K1585+O1584,O1584)</f>
        <v>702</v>
      </c>
    </row>
    <row r="1586" spans="1:15" x14ac:dyDescent="0.25">
      <c r="A1586">
        <v>55464931</v>
      </c>
      <c r="B1586" t="str">
        <f t="shared" si="240"/>
        <v>komorkowy</v>
      </c>
      <c r="C1586" s="1">
        <v>42940</v>
      </c>
      <c r="D1586" s="2">
        <v>0.5285185185185185</v>
      </c>
      <c r="E1586" s="2">
        <v>0.53349537037037043</v>
      </c>
      <c r="F1586" s="2">
        <f t="shared" si="241"/>
        <v>4.9768518518519267E-3</v>
      </c>
      <c r="G1586">
        <f t="shared" si="242"/>
        <v>0</v>
      </c>
      <c r="H1586">
        <f t="shared" si="243"/>
        <v>7</v>
      </c>
      <c r="I1586">
        <f t="shared" si="244"/>
        <v>10</v>
      </c>
      <c r="J1586">
        <f t="shared" si="245"/>
        <v>430</v>
      </c>
      <c r="K1586">
        <f t="shared" si="246"/>
        <v>8</v>
      </c>
      <c r="L1586">
        <f t="shared" si="247"/>
        <v>528672</v>
      </c>
      <c r="M1586">
        <f t="shared" si="248"/>
        <v>174138</v>
      </c>
      <c r="N1586">
        <f t="shared" si="249"/>
        <v>750810</v>
      </c>
      <c r="O1586">
        <f>IF(B1586="zagraniczny",K1586+O1585,O1585)</f>
        <v>702</v>
      </c>
    </row>
    <row r="1587" spans="1:15" x14ac:dyDescent="0.25">
      <c r="A1587">
        <v>3616291</v>
      </c>
      <c r="B1587" t="str">
        <f t="shared" si="240"/>
        <v>stacjonarny</v>
      </c>
      <c r="C1587" s="1">
        <v>42940</v>
      </c>
      <c r="D1587" s="2">
        <v>0.53403935185185181</v>
      </c>
      <c r="E1587" s="2">
        <v>0.54538194444444443</v>
      </c>
      <c r="F1587" s="2">
        <f t="shared" si="241"/>
        <v>1.1342592592592626E-2</v>
      </c>
      <c r="G1587">
        <f t="shared" si="242"/>
        <v>0</v>
      </c>
      <c r="H1587">
        <f t="shared" si="243"/>
        <v>16</v>
      </c>
      <c r="I1587">
        <f t="shared" si="244"/>
        <v>20</v>
      </c>
      <c r="J1587">
        <f t="shared" si="245"/>
        <v>980</v>
      </c>
      <c r="K1587">
        <f t="shared" si="246"/>
        <v>17</v>
      </c>
      <c r="L1587">
        <f t="shared" si="247"/>
        <v>529652</v>
      </c>
      <c r="M1587">
        <f t="shared" si="248"/>
        <v>174138</v>
      </c>
      <c r="N1587">
        <f t="shared" si="249"/>
        <v>751790</v>
      </c>
      <c r="O1587">
        <f>IF(B1587="zagraniczny",K1587+O1586,O1586)</f>
        <v>702</v>
      </c>
    </row>
    <row r="1588" spans="1:15" x14ac:dyDescent="0.25">
      <c r="A1588">
        <v>3473734</v>
      </c>
      <c r="B1588" t="str">
        <f t="shared" si="240"/>
        <v>stacjonarny</v>
      </c>
      <c r="C1588" s="1">
        <v>42940</v>
      </c>
      <c r="D1588" s="2">
        <v>0.53949074074074077</v>
      </c>
      <c r="E1588" s="2">
        <v>0.54844907407407406</v>
      </c>
      <c r="F1588" s="2">
        <f t="shared" si="241"/>
        <v>8.9583333333332904E-3</v>
      </c>
      <c r="G1588">
        <f t="shared" si="242"/>
        <v>0</v>
      </c>
      <c r="H1588">
        <f t="shared" si="243"/>
        <v>12</v>
      </c>
      <c r="I1588">
        <f t="shared" si="244"/>
        <v>54</v>
      </c>
      <c r="J1588">
        <f t="shared" si="245"/>
        <v>774</v>
      </c>
      <c r="K1588">
        <f t="shared" si="246"/>
        <v>13</v>
      </c>
      <c r="L1588">
        <f t="shared" si="247"/>
        <v>530426</v>
      </c>
      <c r="M1588">
        <f t="shared" si="248"/>
        <v>174138</v>
      </c>
      <c r="N1588">
        <f t="shared" si="249"/>
        <v>752564</v>
      </c>
      <c r="O1588">
        <f>IF(B1588="zagraniczny",K1588+O1587,O1587)</f>
        <v>702</v>
      </c>
    </row>
    <row r="1589" spans="1:15" x14ac:dyDescent="0.25">
      <c r="A1589">
        <v>63492662</v>
      </c>
      <c r="B1589" t="str">
        <f t="shared" si="240"/>
        <v>komorkowy</v>
      </c>
      <c r="C1589" s="1">
        <v>42940</v>
      </c>
      <c r="D1589" s="2">
        <v>0.54060185185185183</v>
      </c>
      <c r="E1589" s="2">
        <v>0.54240740740740745</v>
      </c>
      <c r="F1589" s="2">
        <f t="shared" si="241"/>
        <v>1.8055555555556158E-3</v>
      </c>
      <c r="G1589">
        <f t="shared" si="242"/>
        <v>0</v>
      </c>
      <c r="H1589">
        <f t="shared" si="243"/>
        <v>2</v>
      </c>
      <c r="I1589">
        <f t="shared" si="244"/>
        <v>36</v>
      </c>
      <c r="J1589">
        <f t="shared" si="245"/>
        <v>156</v>
      </c>
      <c r="K1589">
        <f t="shared" si="246"/>
        <v>3</v>
      </c>
      <c r="L1589">
        <f t="shared" si="247"/>
        <v>530426</v>
      </c>
      <c r="M1589">
        <f t="shared" si="248"/>
        <v>174294</v>
      </c>
      <c r="N1589">
        <f t="shared" si="249"/>
        <v>752720</v>
      </c>
      <c r="O1589">
        <f>IF(B1589="zagraniczny",K1589+O1588,O1588)</f>
        <v>702</v>
      </c>
    </row>
    <row r="1590" spans="1:15" x14ac:dyDescent="0.25">
      <c r="A1590">
        <v>2104331</v>
      </c>
      <c r="B1590" t="str">
        <f t="shared" si="240"/>
        <v>stacjonarny</v>
      </c>
      <c r="C1590" s="1">
        <v>42940</v>
      </c>
      <c r="D1590" s="2">
        <v>0.54410879629629627</v>
      </c>
      <c r="E1590" s="2">
        <v>0.55207175925925922</v>
      </c>
      <c r="F1590" s="2">
        <f t="shared" si="241"/>
        <v>7.9629629629629495E-3</v>
      </c>
      <c r="G1590">
        <f t="shared" si="242"/>
        <v>0</v>
      </c>
      <c r="H1590">
        <f t="shared" si="243"/>
        <v>11</v>
      </c>
      <c r="I1590">
        <f t="shared" si="244"/>
        <v>28</v>
      </c>
      <c r="J1590">
        <f t="shared" si="245"/>
        <v>688</v>
      </c>
      <c r="K1590">
        <f t="shared" si="246"/>
        <v>12</v>
      </c>
      <c r="L1590">
        <f t="shared" si="247"/>
        <v>531114</v>
      </c>
      <c r="M1590">
        <f t="shared" si="248"/>
        <v>174294</v>
      </c>
      <c r="N1590">
        <f t="shared" si="249"/>
        <v>753408</v>
      </c>
      <c r="O1590">
        <f>IF(B1590="zagraniczny",K1590+O1589,O1589)</f>
        <v>702</v>
      </c>
    </row>
    <row r="1591" spans="1:15" x14ac:dyDescent="0.25">
      <c r="A1591">
        <v>9555643</v>
      </c>
      <c r="B1591" t="str">
        <f t="shared" si="240"/>
        <v>stacjonarny</v>
      </c>
      <c r="C1591" s="1">
        <v>42940</v>
      </c>
      <c r="D1591" s="2">
        <v>0.54478009259259264</v>
      </c>
      <c r="E1591" s="2">
        <v>0.55106481481481484</v>
      </c>
      <c r="F1591" s="2">
        <f t="shared" si="241"/>
        <v>6.2847222222222054E-3</v>
      </c>
      <c r="G1591">
        <f t="shared" si="242"/>
        <v>0</v>
      </c>
      <c r="H1591">
        <f t="shared" si="243"/>
        <v>9</v>
      </c>
      <c r="I1591">
        <f t="shared" si="244"/>
        <v>3</v>
      </c>
      <c r="J1591">
        <f t="shared" si="245"/>
        <v>543</v>
      </c>
      <c r="K1591">
        <f t="shared" si="246"/>
        <v>10</v>
      </c>
      <c r="L1591">
        <f t="shared" si="247"/>
        <v>531657</v>
      </c>
      <c r="M1591">
        <f t="shared" si="248"/>
        <v>174294</v>
      </c>
      <c r="N1591">
        <f t="shared" si="249"/>
        <v>753951</v>
      </c>
      <c r="O1591">
        <f>IF(B1591="zagraniczny",K1591+O1590,O1590)</f>
        <v>702</v>
      </c>
    </row>
    <row r="1592" spans="1:15" x14ac:dyDescent="0.25">
      <c r="A1592">
        <v>5220235</v>
      </c>
      <c r="B1592" t="str">
        <f t="shared" si="240"/>
        <v>stacjonarny</v>
      </c>
      <c r="C1592" s="1">
        <v>42940</v>
      </c>
      <c r="D1592" s="2">
        <v>0.54741898148148149</v>
      </c>
      <c r="E1592" s="2">
        <v>0.54915509259259254</v>
      </c>
      <c r="F1592" s="2">
        <f t="shared" si="241"/>
        <v>1.7361111111110494E-3</v>
      </c>
      <c r="G1592">
        <f t="shared" si="242"/>
        <v>0</v>
      </c>
      <c r="H1592">
        <f t="shared" si="243"/>
        <v>2</v>
      </c>
      <c r="I1592">
        <f t="shared" si="244"/>
        <v>30</v>
      </c>
      <c r="J1592">
        <f t="shared" si="245"/>
        <v>150</v>
      </c>
      <c r="K1592">
        <f t="shared" si="246"/>
        <v>3</v>
      </c>
      <c r="L1592">
        <f t="shared" si="247"/>
        <v>531807</v>
      </c>
      <c r="M1592">
        <f t="shared" si="248"/>
        <v>174294</v>
      </c>
      <c r="N1592">
        <f t="shared" si="249"/>
        <v>754101</v>
      </c>
      <c r="O1592">
        <f>IF(B1592="zagraniczny",K1592+O1591,O1591)</f>
        <v>702</v>
      </c>
    </row>
    <row r="1593" spans="1:15" x14ac:dyDescent="0.25">
      <c r="A1593">
        <v>26254490</v>
      </c>
      <c r="B1593" t="str">
        <f t="shared" si="240"/>
        <v>komorkowy</v>
      </c>
      <c r="C1593" s="1">
        <v>42940</v>
      </c>
      <c r="D1593" s="2">
        <v>0.54773148148148143</v>
      </c>
      <c r="E1593" s="2">
        <v>0.55074074074074075</v>
      </c>
      <c r="F1593" s="2">
        <f t="shared" si="241"/>
        <v>3.0092592592593226E-3</v>
      </c>
      <c r="G1593">
        <f t="shared" si="242"/>
        <v>0</v>
      </c>
      <c r="H1593">
        <f t="shared" si="243"/>
        <v>4</v>
      </c>
      <c r="I1593">
        <f t="shared" si="244"/>
        <v>20</v>
      </c>
      <c r="J1593">
        <f t="shared" si="245"/>
        <v>260</v>
      </c>
      <c r="K1593">
        <f t="shared" si="246"/>
        <v>5</v>
      </c>
      <c r="L1593">
        <f t="shared" si="247"/>
        <v>531807</v>
      </c>
      <c r="M1593">
        <f t="shared" si="248"/>
        <v>174554</v>
      </c>
      <c r="N1593">
        <f t="shared" si="249"/>
        <v>754361</v>
      </c>
      <c r="O1593">
        <f>IF(B1593="zagraniczny",K1593+O1592,O1592)</f>
        <v>702</v>
      </c>
    </row>
    <row r="1594" spans="1:15" x14ac:dyDescent="0.25">
      <c r="A1594">
        <v>26463662</v>
      </c>
      <c r="B1594" t="str">
        <f t="shared" si="240"/>
        <v>komorkowy</v>
      </c>
      <c r="C1594" s="1">
        <v>42940</v>
      </c>
      <c r="D1594" s="2">
        <v>0.55153935185185188</v>
      </c>
      <c r="E1594" s="2">
        <v>0.56090277777777775</v>
      </c>
      <c r="F1594" s="2">
        <f t="shared" si="241"/>
        <v>9.3634259259258723E-3</v>
      </c>
      <c r="G1594">
        <f t="shared" si="242"/>
        <v>0</v>
      </c>
      <c r="H1594">
        <f t="shared" si="243"/>
        <v>13</v>
      </c>
      <c r="I1594">
        <f t="shared" si="244"/>
        <v>29</v>
      </c>
      <c r="J1594">
        <f t="shared" si="245"/>
        <v>809</v>
      </c>
      <c r="K1594">
        <f t="shared" si="246"/>
        <v>14</v>
      </c>
      <c r="L1594">
        <f t="shared" si="247"/>
        <v>531807</v>
      </c>
      <c r="M1594">
        <f t="shared" si="248"/>
        <v>175363</v>
      </c>
      <c r="N1594">
        <f t="shared" si="249"/>
        <v>755170</v>
      </c>
      <c r="O1594">
        <f>IF(B1594="zagraniczny",K1594+O1593,O1593)</f>
        <v>702</v>
      </c>
    </row>
    <row r="1595" spans="1:15" x14ac:dyDescent="0.25">
      <c r="A1595">
        <v>2853860</v>
      </c>
      <c r="B1595" t="str">
        <f t="shared" si="240"/>
        <v>stacjonarny</v>
      </c>
      <c r="C1595" s="1">
        <v>42940</v>
      </c>
      <c r="D1595" s="2">
        <v>0.55491898148148144</v>
      </c>
      <c r="E1595" s="2">
        <v>0.55787037037037035</v>
      </c>
      <c r="F1595" s="2">
        <f t="shared" si="241"/>
        <v>2.9513888888889062E-3</v>
      </c>
      <c r="G1595">
        <f t="shared" si="242"/>
        <v>0</v>
      </c>
      <c r="H1595">
        <f t="shared" si="243"/>
        <v>4</v>
      </c>
      <c r="I1595">
        <f t="shared" si="244"/>
        <v>15</v>
      </c>
      <c r="J1595">
        <f t="shared" si="245"/>
        <v>255</v>
      </c>
      <c r="K1595">
        <f t="shared" si="246"/>
        <v>5</v>
      </c>
      <c r="L1595">
        <f t="shared" si="247"/>
        <v>532062</v>
      </c>
      <c r="M1595">
        <f t="shared" si="248"/>
        <v>175363</v>
      </c>
      <c r="N1595">
        <f t="shared" si="249"/>
        <v>755425</v>
      </c>
      <c r="O1595">
        <f>IF(B1595="zagraniczny",K1595+O1594,O1594)</f>
        <v>702</v>
      </c>
    </row>
    <row r="1596" spans="1:15" x14ac:dyDescent="0.25">
      <c r="A1596">
        <v>1829028</v>
      </c>
      <c r="B1596" t="str">
        <f t="shared" si="240"/>
        <v>stacjonarny</v>
      </c>
      <c r="C1596" s="1">
        <v>42940</v>
      </c>
      <c r="D1596" s="2">
        <v>0.5602893518518518</v>
      </c>
      <c r="E1596" s="2">
        <v>0.57128472222222226</v>
      </c>
      <c r="F1596" s="2">
        <f t="shared" si="241"/>
        <v>1.0995370370370461E-2</v>
      </c>
      <c r="G1596">
        <f t="shared" si="242"/>
        <v>0</v>
      </c>
      <c r="H1596">
        <f t="shared" si="243"/>
        <v>15</v>
      </c>
      <c r="I1596">
        <f t="shared" si="244"/>
        <v>50</v>
      </c>
      <c r="J1596">
        <f t="shared" si="245"/>
        <v>950</v>
      </c>
      <c r="K1596">
        <f t="shared" si="246"/>
        <v>16</v>
      </c>
      <c r="L1596">
        <f t="shared" si="247"/>
        <v>533012</v>
      </c>
      <c r="M1596">
        <f t="shared" si="248"/>
        <v>175363</v>
      </c>
      <c r="N1596">
        <f t="shared" si="249"/>
        <v>756375</v>
      </c>
      <c r="O1596">
        <f>IF(B1596="zagraniczny",K1596+O1595,O1595)</f>
        <v>702</v>
      </c>
    </row>
    <row r="1597" spans="1:15" x14ac:dyDescent="0.25">
      <c r="A1597">
        <v>1365581</v>
      </c>
      <c r="B1597" t="str">
        <f t="shared" si="240"/>
        <v>stacjonarny</v>
      </c>
      <c r="C1597" s="1">
        <v>42940</v>
      </c>
      <c r="D1597" s="2">
        <v>0.56196759259259255</v>
      </c>
      <c r="E1597" s="2">
        <v>0.57019675925925928</v>
      </c>
      <c r="F1597" s="2">
        <f t="shared" si="241"/>
        <v>8.2291666666667318E-3</v>
      </c>
      <c r="G1597">
        <f t="shared" si="242"/>
        <v>0</v>
      </c>
      <c r="H1597">
        <f t="shared" si="243"/>
        <v>11</v>
      </c>
      <c r="I1597">
        <f t="shared" si="244"/>
        <v>51</v>
      </c>
      <c r="J1597">
        <f t="shared" si="245"/>
        <v>711</v>
      </c>
      <c r="K1597">
        <f t="shared" si="246"/>
        <v>12</v>
      </c>
      <c r="L1597">
        <f t="shared" si="247"/>
        <v>533723</v>
      </c>
      <c r="M1597">
        <f t="shared" si="248"/>
        <v>175363</v>
      </c>
      <c r="N1597">
        <f t="shared" si="249"/>
        <v>757086</v>
      </c>
      <c r="O1597">
        <f>IF(B1597="zagraniczny",K1597+O1596,O1596)</f>
        <v>702</v>
      </c>
    </row>
    <row r="1598" spans="1:15" x14ac:dyDescent="0.25">
      <c r="A1598">
        <v>66800387</v>
      </c>
      <c r="B1598" t="str">
        <f t="shared" si="240"/>
        <v>komorkowy</v>
      </c>
      <c r="C1598" s="1">
        <v>42940</v>
      </c>
      <c r="D1598" s="2">
        <v>0.5634837962962963</v>
      </c>
      <c r="E1598" s="2">
        <v>0.56763888888888892</v>
      </c>
      <c r="F1598" s="2">
        <f t="shared" si="241"/>
        <v>4.155092592592613E-3</v>
      </c>
      <c r="G1598">
        <f t="shared" si="242"/>
        <v>0</v>
      </c>
      <c r="H1598">
        <f t="shared" si="243"/>
        <v>5</v>
      </c>
      <c r="I1598">
        <f t="shared" si="244"/>
        <v>59</v>
      </c>
      <c r="J1598">
        <f t="shared" si="245"/>
        <v>359</v>
      </c>
      <c r="K1598">
        <f t="shared" si="246"/>
        <v>6</v>
      </c>
      <c r="L1598">
        <f t="shared" si="247"/>
        <v>533723</v>
      </c>
      <c r="M1598">
        <f t="shared" si="248"/>
        <v>175722</v>
      </c>
      <c r="N1598">
        <f t="shared" si="249"/>
        <v>757445</v>
      </c>
      <c r="O1598">
        <f>IF(B1598="zagraniczny",K1598+O1597,O1597)</f>
        <v>702</v>
      </c>
    </row>
    <row r="1599" spans="1:15" x14ac:dyDescent="0.25">
      <c r="A1599">
        <v>9282666</v>
      </c>
      <c r="B1599" t="str">
        <f t="shared" si="240"/>
        <v>stacjonarny</v>
      </c>
      <c r="C1599" s="1">
        <v>42940</v>
      </c>
      <c r="D1599" s="2">
        <v>0.56879629629629624</v>
      </c>
      <c r="E1599" s="2">
        <v>0.56934027777777774</v>
      </c>
      <c r="F1599" s="2">
        <f t="shared" si="241"/>
        <v>5.439814814814925E-4</v>
      </c>
      <c r="G1599">
        <f t="shared" si="242"/>
        <v>0</v>
      </c>
      <c r="H1599">
        <f t="shared" si="243"/>
        <v>0</v>
      </c>
      <c r="I1599">
        <f t="shared" si="244"/>
        <v>47</v>
      </c>
      <c r="J1599">
        <f t="shared" si="245"/>
        <v>47</v>
      </c>
      <c r="K1599">
        <f t="shared" si="246"/>
        <v>1</v>
      </c>
      <c r="L1599">
        <f t="shared" si="247"/>
        <v>533770</v>
      </c>
      <c r="M1599">
        <f t="shared" si="248"/>
        <v>175722</v>
      </c>
      <c r="N1599">
        <f t="shared" si="249"/>
        <v>757492</v>
      </c>
      <c r="O1599">
        <f>IF(B1599="zagraniczny",K1599+O1598,O1598)</f>
        <v>702</v>
      </c>
    </row>
    <row r="1600" spans="1:15" x14ac:dyDescent="0.25">
      <c r="A1600">
        <v>7994769</v>
      </c>
      <c r="B1600" t="str">
        <f t="shared" si="240"/>
        <v>stacjonarny</v>
      </c>
      <c r="C1600" s="1">
        <v>42940</v>
      </c>
      <c r="D1600" s="2">
        <v>0.56980324074074074</v>
      </c>
      <c r="E1600" s="2">
        <v>0.57826388888888891</v>
      </c>
      <c r="F1600" s="2">
        <f t="shared" si="241"/>
        <v>8.4606481481481755E-3</v>
      </c>
      <c r="G1600">
        <f t="shared" si="242"/>
        <v>0</v>
      </c>
      <c r="H1600">
        <f t="shared" si="243"/>
        <v>12</v>
      </c>
      <c r="I1600">
        <f t="shared" si="244"/>
        <v>11</v>
      </c>
      <c r="J1600">
        <f t="shared" si="245"/>
        <v>731</v>
      </c>
      <c r="K1600">
        <f t="shared" si="246"/>
        <v>13</v>
      </c>
      <c r="L1600">
        <f t="shared" si="247"/>
        <v>534501</v>
      </c>
      <c r="M1600">
        <f t="shared" si="248"/>
        <v>175722</v>
      </c>
      <c r="N1600">
        <f t="shared" si="249"/>
        <v>758223</v>
      </c>
      <c r="O1600">
        <f>IF(B1600="zagraniczny",K1600+O1599,O1599)</f>
        <v>702</v>
      </c>
    </row>
    <row r="1601" spans="1:15" x14ac:dyDescent="0.25">
      <c r="A1601">
        <v>3638038</v>
      </c>
      <c r="B1601" t="str">
        <f t="shared" si="240"/>
        <v>stacjonarny</v>
      </c>
      <c r="C1601" s="1">
        <v>42940</v>
      </c>
      <c r="D1601" s="2">
        <v>0.57262731481481477</v>
      </c>
      <c r="E1601" s="2">
        <v>0.57846064814814813</v>
      </c>
      <c r="F1601" s="2">
        <f t="shared" si="241"/>
        <v>5.833333333333357E-3</v>
      </c>
      <c r="G1601">
        <f t="shared" si="242"/>
        <v>0</v>
      </c>
      <c r="H1601">
        <f t="shared" si="243"/>
        <v>8</v>
      </c>
      <c r="I1601">
        <f t="shared" si="244"/>
        <v>24</v>
      </c>
      <c r="J1601">
        <f t="shared" si="245"/>
        <v>504</v>
      </c>
      <c r="K1601">
        <f t="shared" si="246"/>
        <v>9</v>
      </c>
      <c r="L1601">
        <f t="shared" si="247"/>
        <v>535005</v>
      </c>
      <c r="M1601">
        <f t="shared" si="248"/>
        <v>175722</v>
      </c>
      <c r="N1601">
        <f t="shared" si="249"/>
        <v>758727</v>
      </c>
      <c r="O1601">
        <f>IF(B1601="zagraniczny",K1601+O1600,O1600)</f>
        <v>702</v>
      </c>
    </row>
    <row r="1602" spans="1:15" x14ac:dyDescent="0.25">
      <c r="A1602">
        <v>5221005</v>
      </c>
      <c r="B1602" t="str">
        <f t="shared" si="240"/>
        <v>stacjonarny</v>
      </c>
      <c r="C1602" s="1">
        <v>42940</v>
      </c>
      <c r="D1602" s="2">
        <v>0.57321759259259264</v>
      </c>
      <c r="E1602" s="2">
        <v>0.57461805555555556</v>
      </c>
      <c r="F1602" s="2">
        <f t="shared" si="241"/>
        <v>1.4004629629629228E-3</v>
      </c>
      <c r="G1602">
        <f t="shared" si="242"/>
        <v>0</v>
      </c>
      <c r="H1602">
        <f t="shared" si="243"/>
        <v>2</v>
      </c>
      <c r="I1602">
        <f t="shared" si="244"/>
        <v>1</v>
      </c>
      <c r="J1602">
        <f t="shared" si="245"/>
        <v>121</v>
      </c>
      <c r="K1602">
        <f t="shared" si="246"/>
        <v>3</v>
      </c>
      <c r="L1602">
        <f t="shared" si="247"/>
        <v>535126</v>
      </c>
      <c r="M1602">
        <f t="shared" si="248"/>
        <v>175722</v>
      </c>
      <c r="N1602">
        <f t="shared" si="249"/>
        <v>758848</v>
      </c>
      <c r="O1602">
        <f>IF(B1602="zagraniczny",K1602+O1601,O1601)</f>
        <v>702</v>
      </c>
    </row>
    <row r="1603" spans="1:15" x14ac:dyDescent="0.25">
      <c r="A1603">
        <v>3150344</v>
      </c>
      <c r="B1603" t="str">
        <f t="shared" ref="B1603:B1666" si="250">IF(LEN(A1603)=7,"stacjonarny",IF(LEN(A1603)=8,"komorkowy","zagraniczny"))</f>
        <v>stacjonarny</v>
      </c>
      <c r="C1603" s="1">
        <v>42940</v>
      </c>
      <c r="D1603" s="2">
        <v>0.57322916666666668</v>
      </c>
      <c r="E1603" s="2">
        <v>0.58089120370370373</v>
      </c>
      <c r="F1603" s="2">
        <f t="shared" ref="F1603:F1666" si="251">E1603-D1603</f>
        <v>7.6620370370370505E-3</v>
      </c>
      <c r="G1603">
        <f t="shared" ref="G1603:G1666" si="252">HOUR(F1603)</f>
        <v>0</v>
      </c>
      <c r="H1603">
        <f t="shared" ref="H1603:H1666" si="253">MINUTE(F1603)</f>
        <v>11</v>
      </c>
      <c r="I1603">
        <f t="shared" ref="I1603:I1666" si="254">SECOND(F1603)</f>
        <v>2</v>
      </c>
      <c r="J1603">
        <f t="shared" ref="J1603:J1666" si="255">H1603*60+I1603</f>
        <v>662</v>
      </c>
      <c r="K1603">
        <f t="shared" ref="K1603:K1666" si="256">IF(I1603&gt;0,G1603*60+H1603+1,H1603+G1603*60)</f>
        <v>12</v>
      </c>
      <c r="L1603">
        <f t="shared" si="247"/>
        <v>535788</v>
      </c>
      <c r="M1603">
        <f t="shared" si="248"/>
        <v>175722</v>
      </c>
      <c r="N1603">
        <f t="shared" si="249"/>
        <v>759510</v>
      </c>
      <c r="O1603">
        <f>IF(B1603="zagraniczny",K1603+O1602,O1602)</f>
        <v>702</v>
      </c>
    </row>
    <row r="1604" spans="1:15" x14ac:dyDescent="0.25">
      <c r="A1604">
        <v>2780765</v>
      </c>
      <c r="B1604" t="str">
        <f t="shared" si="250"/>
        <v>stacjonarny</v>
      </c>
      <c r="C1604" s="1">
        <v>42940</v>
      </c>
      <c r="D1604" s="2">
        <v>0.57582175925925927</v>
      </c>
      <c r="E1604" s="2">
        <v>0.57693287037037033</v>
      </c>
      <c r="F1604" s="2">
        <f t="shared" si="251"/>
        <v>1.1111111111110628E-3</v>
      </c>
      <c r="G1604">
        <f t="shared" si="252"/>
        <v>0</v>
      </c>
      <c r="H1604">
        <f t="shared" si="253"/>
        <v>1</v>
      </c>
      <c r="I1604">
        <f t="shared" si="254"/>
        <v>36</v>
      </c>
      <c r="J1604">
        <f t="shared" si="255"/>
        <v>96</v>
      </c>
      <c r="K1604">
        <f t="shared" si="256"/>
        <v>2</v>
      </c>
      <c r="L1604">
        <f t="shared" ref="L1604:L1667" si="257">IF(B1604="stacjonarny",$J1604+L1603,L1603)</f>
        <v>535884</v>
      </c>
      <c r="M1604">
        <f t="shared" ref="M1604:M1667" si="258">IF(B1604="komorkowy",$J1604+M1603,M1603)</f>
        <v>175722</v>
      </c>
      <c r="N1604">
        <f t="shared" ref="N1604:N1667" si="259">IF(OR(B1604="stacjonarny",B1604="komorkowy"),J1604+N1603,N1603)</f>
        <v>759606</v>
      </c>
      <c r="O1604">
        <f>IF(B1604="zagraniczny",K1604+O1603,O1603)</f>
        <v>702</v>
      </c>
    </row>
    <row r="1605" spans="1:15" x14ac:dyDescent="0.25">
      <c r="A1605">
        <v>3720500</v>
      </c>
      <c r="B1605" t="str">
        <f t="shared" si="250"/>
        <v>stacjonarny</v>
      </c>
      <c r="C1605" s="1">
        <v>42940</v>
      </c>
      <c r="D1605" s="2">
        <v>0.57660879629629624</v>
      </c>
      <c r="E1605" s="2">
        <v>0.58250000000000002</v>
      </c>
      <c r="F1605" s="2">
        <f t="shared" si="251"/>
        <v>5.8912037037037734E-3</v>
      </c>
      <c r="G1605">
        <f t="shared" si="252"/>
        <v>0</v>
      </c>
      <c r="H1605">
        <f t="shared" si="253"/>
        <v>8</v>
      </c>
      <c r="I1605">
        <f t="shared" si="254"/>
        <v>29</v>
      </c>
      <c r="J1605">
        <f t="shared" si="255"/>
        <v>509</v>
      </c>
      <c r="K1605">
        <f t="shared" si="256"/>
        <v>9</v>
      </c>
      <c r="L1605">
        <f t="shared" si="257"/>
        <v>536393</v>
      </c>
      <c r="M1605">
        <f t="shared" si="258"/>
        <v>175722</v>
      </c>
      <c r="N1605">
        <f t="shared" si="259"/>
        <v>760115</v>
      </c>
      <c r="O1605">
        <f>IF(B1605="zagraniczny",K1605+O1604,O1604)</f>
        <v>702</v>
      </c>
    </row>
    <row r="1606" spans="1:15" x14ac:dyDescent="0.25">
      <c r="A1606">
        <v>89419064</v>
      </c>
      <c r="B1606" t="str">
        <f t="shared" si="250"/>
        <v>komorkowy</v>
      </c>
      <c r="C1606" s="1">
        <v>42940</v>
      </c>
      <c r="D1606" s="2">
        <v>0.57850694444444439</v>
      </c>
      <c r="E1606" s="2">
        <v>0.58456018518518515</v>
      </c>
      <c r="F1606" s="2">
        <f t="shared" si="251"/>
        <v>6.0532407407407618E-3</v>
      </c>
      <c r="G1606">
        <f t="shared" si="252"/>
        <v>0</v>
      </c>
      <c r="H1606">
        <f t="shared" si="253"/>
        <v>8</v>
      </c>
      <c r="I1606">
        <f t="shared" si="254"/>
        <v>43</v>
      </c>
      <c r="J1606">
        <f t="shared" si="255"/>
        <v>523</v>
      </c>
      <c r="K1606">
        <f t="shared" si="256"/>
        <v>9</v>
      </c>
      <c r="L1606">
        <f t="shared" si="257"/>
        <v>536393</v>
      </c>
      <c r="M1606">
        <f t="shared" si="258"/>
        <v>176245</v>
      </c>
      <c r="N1606">
        <f t="shared" si="259"/>
        <v>760638</v>
      </c>
      <c r="O1606">
        <f>IF(B1606="zagraniczny",K1606+O1605,O1605)</f>
        <v>702</v>
      </c>
    </row>
    <row r="1607" spans="1:15" x14ac:dyDescent="0.25">
      <c r="A1607">
        <v>9961121</v>
      </c>
      <c r="B1607" t="str">
        <f t="shared" si="250"/>
        <v>stacjonarny</v>
      </c>
      <c r="C1607" s="1">
        <v>42940</v>
      </c>
      <c r="D1607" s="2">
        <v>0.58304398148148151</v>
      </c>
      <c r="E1607" s="2">
        <v>0.58518518518518514</v>
      </c>
      <c r="F1607" s="2">
        <f t="shared" si="251"/>
        <v>2.1412037037036313E-3</v>
      </c>
      <c r="G1607">
        <f t="shared" si="252"/>
        <v>0</v>
      </c>
      <c r="H1607">
        <f t="shared" si="253"/>
        <v>3</v>
      </c>
      <c r="I1607">
        <f t="shared" si="254"/>
        <v>5</v>
      </c>
      <c r="J1607">
        <f t="shared" si="255"/>
        <v>185</v>
      </c>
      <c r="K1607">
        <f t="shared" si="256"/>
        <v>4</v>
      </c>
      <c r="L1607">
        <f t="shared" si="257"/>
        <v>536578</v>
      </c>
      <c r="M1607">
        <f t="shared" si="258"/>
        <v>176245</v>
      </c>
      <c r="N1607">
        <f t="shared" si="259"/>
        <v>760823</v>
      </c>
      <c r="O1607">
        <f>IF(B1607="zagraniczny",K1607+O1606,O1606)</f>
        <v>702</v>
      </c>
    </row>
    <row r="1608" spans="1:15" x14ac:dyDescent="0.25">
      <c r="A1608">
        <v>5303411</v>
      </c>
      <c r="B1608" t="str">
        <f t="shared" si="250"/>
        <v>stacjonarny</v>
      </c>
      <c r="C1608" s="1">
        <v>42940</v>
      </c>
      <c r="D1608" s="2">
        <v>0.58652777777777776</v>
      </c>
      <c r="E1608" s="2">
        <v>0.5917824074074074</v>
      </c>
      <c r="F1608" s="2">
        <f t="shared" si="251"/>
        <v>5.2546296296296369E-3</v>
      </c>
      <c r="G1608">
        <f t="shared" si="252"/>
        <v>0</v>
      </c>
      <c r="H1608">
        <f t="shared" si="253"/>
        <v>7</v>
      </c>
      <c r="I1608">
        <f t="shared" si="254"/>
        <v>34</v>
      </c>
      <c r="J1608">
        <f t="shared" si="255"/>
        <v>454</v>
      </c>
      <c r="K1608">
        <f t="shared" si="256"/>
        <v>8</v>
      </c>
      <c r="L1608">
        <f t="shared" si="257"/>
        <v>537032</v>
      </c>
      <c r="M1608">
        <f t="shared" si="258"/>
        <v>176245</v>
      </c>
      <c r="N1608">
        <f t="shared" si="259"/>
        <v>761277</v>
      </c>
      <c r="O1608">
        <f>IF(B1608="zagraniczny",K1608+O1607,O1607)</f>
        <v>702</v>
      </c>
    </row>
    <row r="1609" spans="1:15" x14ac:dyDescent="0.25">
      <c r="A1609">
        <v>4657345</v>
      </c>
      <c r="B1609" t="str">
        <f t="shared" si="250"/>
        <v>stacjonarny</v>
      </c>
      <c r="C1609" s="1">
        <v>42940</v>
      </c>
      <c r="D1609" s="2">
        <v>0.58981481481481479</v>
      </c>
      <c r="E1609" s="2">
        <v>0.59037037037037032</v>
      </c>
      <c r="F1609" s="2">
        <f t="shared" si="251"/>
        <v>5.5555555555553138E-4</v>
      </c>
      <c r="G1609">
        <f t="shared" si="252"/>
        <v>0</v>
      </c>
      <c r="H1609">
        <f t="shared" si="253"/>
        <v>0</v>
      </c>
      <c r="I1609">
        <f t="shared" si="254"/>
        <v>48</v>
      </c>
      <c r="J1609">
        <f t="shared" si="255"/>
        <v>48</v>
      </c>
      <c r="K1609">
        <f t="shared" si="256"/>
        <v>1</v>
      </c>
      <c r="L1609">
        <f t="shared" si="257"/>
        <v>537080</v>
      </c>
      <c r="M1609">
        <f t="shared" si="258"/>
        <v>176245</v>
      </c>
      <c r="N1609">
        <f t="shared" si="259"/>
        <v>761325</v>
      </c>
      <c r="O1609">
        <f>IF(B1609="zagraniczny",K1609+O1608,O1608)</f>
        <v>702</v>
      </c>
    </row>
    <row r="1610" spans="1:15" x14ac:dyDescent="0.25">
      <c r="A1610">
        <v>5850216</v>
      </c>
      <c r="B1610" t="str">
        <f t="shared" si="250"/>
        <v>stacjonarny</v>
      </c>
      <c r="C1610" s="1">
        <v>42940</v>
      </c>
      <c r="D1610" s="2">
        <v>0.59325231481481477</v>
      </c>
      <c r="E1610" s="2">
        <v>0.59866898148148151</v>
      </c>
      <c r="F1610" s="2">
        <f t="shared" si="251"/>
        <v>5.4166666666667362E-3</v>
      </c>
      <c r="G1610">
        <f t="shared" si="252"/>
        <v>0</v>
      </c>
      <c r="H1610">
        <f t="shared" si="253"/>
        <v>7</v>
      </c>
      <c r="I1610">
        <f t="shared" si="254"/>
        <v>48</v>
      </c>
      <c r="J1610">
        <f t="shared" si="255"/>
        <v>468</v>
      </c>
      <c r="K1610">
        <f t="shared" si="256"/>
        <v>8</v>
      </c>
      <c r="L1610">
        <f t="shared" si="257"/>
        <v>537548</v>
      </c>
      <c r="M1610">
        <f t="shared" si="258"/>
        <v>176245</v>
      </c>
      <c r="N1610">
        <f t="shared" si="259"/>
        <v>761793</v>
      </c>
      <c r="O1610">
        <f>IF(B1610="zagraniczny",K1610+O1609,O1609)</f>
        <v>702</v>
      </c>
    </row>
    <row r="1611" spans="1:15" x14ac:dyDescent="0.25">
      <c r="A1611">
        <v>4927402</v>
      </c>
      <c r="B1611" t="str">
        <f t="shared" si="250"/>
        <v>stacjonarny</v>
      </c>
      <c r="C1611" s="1">
        <v>42940</v>
      </c>
      <c r="D1611" s="2">
        <v>0.59351851851851856</v>
      </c>
      <c r="E1611" s="2">
        <v>0.60163194444444446</v>
      </c>
      <c r="F1611" s="2">
        <f t="shared" si="251"/>
        <v>8.113425925925899E-3</v>
      </c>
      <c r="G1611">
        <f t="shared" si="252"/>
        <v>0</v>
      </c>
      <c r="H1611">
        <f t="shared" si="253"/>
        <v>11</v>
      </c>
      <c r="I1611">
        <f t="shared" si="254"/>
        <v>41</v>
      </c>
      <c r="J1611">
        <f t="shared" si="255"/>
        <v>701</v>
      </c>
      <c r="K1611">
        <f t="shared" si="256"/>
        <v>12</v>
      </c>
      <c r="L1611">
        <f t="shared" si="257"/>
        <v>538249</v>
      </c>
      <c r="M1611">
        <f t="shared" si="258"/>
        <v>176245</v>
      </c>
      <c r="N1611">
        <f t="shared" si="259"/>
        <v>762494</v>
      </c>
      <c r="O1611">
        <f>IF(B1611="zagraniczny",K1611+O1610,O1610)</f>
        <v>702</v>
      </c>
    </row>
    <row r="1612" spans="1:15" x14ac:dyDescent="0.25">
      <c r="A1612">
        <v>60113139</v>
      </c>
      <c r="B1612" t="str">
        <f t="shared" si="250"/>
        <v>komorkowy</v>
      </c>
      <c r="C1612" s="1">
        <v>42940</v>
      </c>
      <c r="D1612" s="2">
        <v>0.59663194444444445</v>
      </c>
      <c r="E1612" s="2">
        <v>0.60359953703703706</v>
      </c>
      <c r="F1612" s="2">
        <f t="shared" si="251"/>
        <v>6.9675925925926085E-3</v>
      </c>
      <c r="G1612">
        <f t="shared" si="252"/>
        <v>0</v>
      </c>
      <c r="H1612">
        <f t="shared" si="253"/>
        <v>10</v>
      </c>
      <c r="I1612">
        <f t="shared" si="254"/>
        <v>2</v>
      </c>
      <c r="J1612">
        <f t="shared" si="255"/>
        <v>602</v>
      </c>
      <c r="K1612">
        <f t="shared" si="256"/>
        <v>11</v>
      </c>
      <c r="L1612">
        <f t="shared" si="257"/>
        <v>538249</v>
      </c>
      <c r="M1612">
        <f t="shared" si="258"/>
        <v>176847</v>
      </c>
      <c r="N1612">
        <f t="shared" si="259"/>
        <v>763096</v>
      </c>
      <c r="O1612">
        <f>IF(B1612="zagraniczny",K1612+O1611,O1611)</f>
        <v>702</v>
      </c>
    </row>
    <row r="1613" spans="1:15" x14ac:dyDescent="0.25">
      <c r="A1613">
        <v>2644526</v>
      </c>
      <c r="B1613" t="str">
        <f t="shared" si="250"/>
        <v>stacjonarny</v>
      </c>
      <c r="C1613" s="1">
        <v>42940</v>
      </c>
      <c r="D1613" s="2">
        <v>0.59864583333333332</v>
      </c>
      <c r="E1613" s="2">
        <v>0.6056597222222222</v>
      </c>
      <c r="F1613" s="2">
        <f t="shared" si="251"/>
        <v>7.0138888888888751E-3</v>
      </c>
      <c r="G1613">
        <f t="shared" si="252"/>
        <v>0</v>
      </c>
      <c r="H1613">
        <f t="shared" si="253"/>
        <v>10</v>
      </c>
      <c r="I1613">
        <f t="shared" si="254"/>
        <v>6</v>
      </c>
      <c r="J1613">
        <f t="shared" si="255"/>
        <v>606</v>
      </c>
      <c r="K1613">
        <f t="shared" si="256"/>
        <v>11</v>
      </c>
      <c r="L1613">
        <f t="shared" si="257"/>
        <v>538855</v>
      </c>
      <c r="M1613">
        <f t="shared" si="258"/>
        <v>176847</v>
      </c>
      <c r="N1613">
        <f t="shared" si="259"/>
        <v>763702</v>
      </c>
      <c r="O1613">
        <f>IF(B1613="zagraniczny",K1613+O1612,O1612)</f>
        <v>702</v>
      </c>
    </row>
    <row r="1614" spans="1:15" x14ac:dyDescent="0.25">
      <c r="A1614">
        <v>7226610</v>
      </c>
      <c r="B1614" t="str">
        <f t="shared" si="250"/>
        <v>stacjonarny</v>
      </c>
      <c r="C1614" s="1">
        <v>42940</v>
      </c>
      <c r="D1614" s="2">
        <v>0.6005787037037037</v>
      </c>
      <c r="E1614" s="2">
        <v>0.6107407407407407</v>
      </c>
      <c r="F1614" s="2">
        <f t="shared" si="251"/>
        <v>1.0162037037036997E-2</v>
      </c>
      <c r="G1614">
        <f t="shared" si="252"/>
        <v>0</v>
      </c>
      <c r="H1614">
        <f t="shared" si="253"/>
        <v>14</v>
      </c>
      <c r="I1614">
        <f t="shared" si="254"/>
        <v>38</v>
      </c>
      <c r="J1614">
        <f t="shared" si="255"/>
        <v>878</v>
      </c>
      <c r="K1614">
        <f t="shared" si="256"/>
        <v>15</v>
      </c>
      <c r="L1614">
        <f t="shared" si="257"/>
        <v>539733</v>
      </c>
      <c r="M1614">
        <f t="shared" si="258"/>
        <v>176847</v>
      </c>
      <c r="N1614">
        <f t="shared" si="259"/>
        <v>764580</v>
      </c>
      <c r="O1614">
        <f>IF(B1614="zagraniczny",K1614+O1613,O1613)</f>
        <v>702</v>
      </c>
    </row>
    <row r="1615" spans="1:15" x14ac:dyDescent="0.25">
      <c r="A1615">
        <v>9328179</v>
      </c>
      <c r="B1615" t="str">
        <f t="shared" si="250"/>
        <v>stacjonarny</v>
      </c>
      <c r="C1615" s="1">
        <v>42940</v>
      </c>
      <c r="D1615" s="2">
        <v>0.60211805555555553</v>
      </c>
      <c r="E1615" s="2">
        <v>0.60282407407407412</v>
      </c>
      <c r="F1615" s="2">
        <f t="shared" si="251"/>
        <v>7.0601851851859188E-4</v>
      </c>
      <c r="G1615">
        <f t="shared" si="252"/>
        <v>0</v>
      </c>
      <c r="H1615">
        <f t="shared" si="253"/>
        <v>1</v>
      </c>
      <c r="I1615">
        <f t="shared" si="254"/>
        <v>1</v>
      </c>
      <c r="J1615">
        <f t="shared" si="255"/>
        <v>61</v>
      </c>
      <c r="K1615">
        <f t="shared" si="256"/>
        <v>2</v>
      </c>
      <c r="L1615">
        <f t="shared" si="257"/>
        <v>539794</v>
      </c>
      <c r="M1615">
        <f t="shared" si="258"/>
        <v>176847</v>
      </c>
      <c r="N1615">
        <f t="shared" si="259"/>
        <v>764641</v>
      </c>
      <c r="O1615">
        <f>IF(B1615="zagraniczny",K1615+O1614,O1614)</f>
        <v>702</v>
      </c>
    </row>
    <row r="1616" spans="1:15" x14ac:dyDescent="0.25">
      <c r="A1616">
        <v>7457716</v>
      </c>
      <c r="B1616" t="str">
        <f t="shared" si="250"/>
        <v>stacjonarny</v>
      </c>
      <c r="C1616" s="1">
        <v>42940</v>
      </c>
      <c r="D1616" s="2">
        <v>0.6068634259259259</v>
      </c>
      <c r="E1616" s="2">
        <v>0.61152777777777778</v>
      </c>
      <c r="F1616" s="2">
        <f t="shared" si="251"/>
        <v>4.6643518518518778E-3</v>
      </c>
      <c r="G1616">
        <f t="shared" si="252"/>
        <v>0</v>
      </c>
      <c r="H1616">
        <f t="shared" si="253"/>
        <v>6</v>
      </c>
      <c r="I1616">
        <f t="shared" si="254"/>
        <v>43</v>
      </c>
      <c r="J1616">
        <f t="shared" si="255"/>
        <v>403</v>
      </c>
      <c r="K1616">
        <f t="shared" si="256"/>
        <v>7</v>
      </c>
      <c r="L1616">
        <f t="shared" si="257"/>
        <v>540197</v>
      </c>
      <c r="M1616">
        <f t="shared" si="258"/>
        <v>176847</v>
      </c>
      <c r="N1616">
        <f t="shared" si="259"/>
        <v>765044</v>
      </c>
      <c r="O1616">
        <f>IF(B1616="zagraniczny",K1616+O1615,O1615)</f>
        <v>702</v>
      </c>
    </row>
    <row r="1617" spans="1:15" x14ac:dyDescent="0.25">
      <c r="A1617">
        <v>1739364</v>
      </c>
      <c r="B1617" t="str">
        <f t="shared" si="250"/>
        <v>stacjonarny</v>
      </c>
      <c r="C1617" s="1">
        <v>42940</v>
      </c>
      <c r="D1617" s="2">
        <v>0.61100694444444448</v>
      </c>
      <c r="E1617" s="2">
        <v>0.62071759259259263</v>
      </c>
      <c r="F1617" s="2">
        <f t="shared" si="251"/>
        <v>9.7106481481481488E-3</v>
      </c>
      <c r="G1617">
        <f t="shared" si="252"/>
        <v>0</v>
      </c>
      <c r="H1617">
        <f t="shared" si="253"/>
        <v>13</v>
      </c>
      <c r="I1617">
        <f t="shared" si="254"/>
        <v>59</v>
      </c>
      <c r="J1617">
        <f t="shared" si="255"/>
        <v>839</v>
      </c>
      <c r="K1617">
        <f t="shared" si="256"/>
        <v>14</v>
      </c>
      <c r="L1617">
        <f t="shared" si="257"/>
        <v>541036</v>
      </c>
      <c r="M1617">
        <f t="shared" si="258"/>
        <v>176847</v>
      </c>
      <c r="N1617">
        <f t="shared" si="259"/>
        <v>765883</v>
      </c>
      <c r="O1617">
        <f>IF(B1617="zagraniczny",K1617+O1616,O1616)</f>
        <v>702</v>
      </c>
    </row>
    <row r="1618" spans="1:15" x14ac:dyDescent="0.25">
      <c r="A1618">
        <v>1677537</v>
      </c>
      <c r="B1618" t="str">
        <f t="shared" si="250"/>
        <v>stacjonarny</v>
      </c>
      <c r="C1618" s="1">
        <v>42940</v>
      </c>
      <c r="D1618" s="2">
        <v>0.61471064814814813</v>
      </c>
      <c r="E1618" s="2">
        <v>0.62232638888888892</v>
      </c>
      <c r="F1618" s="2">
        <f t="shared" si="251"/>
        <v>7.615740740740784E-3</v>
      </c>
      <c r="G1618">
        <f t="shared" si="252"/>
        <v>0</v>
      </c>
      <c r="H1618">
        <f t="shared" si="253"/>
        <v>10</v>
      </c>
      <c r="I1618">
        <f t="shared" si="254"/>
        <v>58</v>
      </c>
      <c r="J1618">
        <f t="shared" si="255"/>
        <v>658</v>
      </c>
      <c r="K1618">
        <f t="shared" si="256"/>
        <v>11</v>
      </c>
      <c r="L1618">
        <f t="shared" si="257"/>
        <v>541694</v>
      </c>
      <c r="M1618">
        <f t="shared" si="258"/>
        <v>176847</v>
      </c>
      <c r="N1618">
        <f t="shared" si="259"/>
        <v>766541</v>
      </c>
      <c r="O1618">
        <f>IF(B1618="zagraniczny",K1618+O1617,O1617)</f>
        <v>702</v>
      </c>
    </row>
    <row r="1619" spans="1:15" x14ac:dyDescent="0.25">
      <c r="A1619">
        <v>55614678</v>
      </c>
      <c r="B1619" t="str">
        <f t="shared" si="250"/>
        <v>komorkowy</v>
      </c>
      <c r="C1619" s="1">
        <v>42940</v>
      </c>
      <c r="D1619" s="2">
        <v>0.61826388888888884</v>
      </c>
      <c r="E1619" s="2">
        <v>0.62091435185185184</v>
      </c>
      <c r="F1619" s="2">
        <f t="shared" si="251"/>
        <v>2.6504629629630072E-3</v>
      </c>
      <c r="G1619">
        <f t="shared" si="252"/>
        <v>0</v>
      </c>
      <c r="H1619">
        <f t="shared" si="253"/>
        <v>3</v>
      </c>
      <c r="I1619">
        <f t="shared" si="254"/>
        <v>49</v>
      </c>
      <c r="J1619">
        <f t="shared" si="255"/>
        <v>229</v>
      </c>
      <c r="K1619">
        <f t="shared" si="256"/>
        <v>4</v>
      </c>
      <c r="L1619">
        <f t="shared" si="257"/>
        <v>541694</v>
      </c>
      <c r="M1619">
        <f t="shared" si="258"/>
        <v>177076</v>
      </c>
      <c r="N1619">
        <f t="shared" si="259"/>
        <v>766770</v>
      </c>
      <c r="O1619">
        <f>IF(B1619="zagraniczny",K1619+O1618,O1618)</f>
        <v>702</v>
      </c>
    </row>
    <row r="1620" spans="1:15" x14ac:dyDescent="0.25">
      <c r="A1620">
        <v>4272221</v>
      </c>
      <c r="B1620" t="str">
        <f t="shared" si="250"/>
        <v>stacjonarny</v>
      </c>
      <c r="C1620" s="1">
        <v>42940</v>
      </c>
      <c r="D1620" s="2">
        <v>0.62152777777777779</v>
      </c>
      <c r="E1620" s="2">
        <v>0.62572916666666667</v>
      </c>
      <c r="F1620" s="2">
        <f t="shared" si="251"/>
        <v>4.2013888888888795E-3</v>
      </c>
      <c r="G1620">
        <f t="shared" si="252"/>
        <v>0</v>
      </c>
      <c r="H1620">
        <f t="shared" si="253"/>
        <v>6</v>
      </c>
      <c r="I1620">
        <f t="shared" si="254"/>
        <v>3</v>
      </c>
      <c r="J1620">
        <f t="shared" si="255"/>
        <v>363</v>
      </c>
      <c r="K1620">
        <f t="shared" si="256"/>
        <v>7</v>
      </c>
      <c r="L1620">
        <f t="shared" si="257"/>
        <v>542057</v>
      </c>
      <c r="M1620">
        <f t="shared" si="258"/>
        <v>177076</v>
      </c>
      <c r="N1620">
        <f t="shared" si="259"/>
        <v>767133</v>
      </c>
      <c r="O1620">
        <f>IF(B1620="zagraniczny",K1620+O1619,O1619)</f>
        <v>702</v>
      </c>
    </row>
    <row r="1621" spans="1:15" x14ac:dyDescent="0.25">
      <c r="A1621">
        <v>1740380</v>
      </c>
      <c r="B1621" t="str">
        <f t="shared" si="250"/>
        <v>stacjonarny</v>
      </c>
      <c r="C1621" s="1">
        <v>42940</v>
      </c>
      <c r="D1621" s="2">
        <v>0.62605324074074076</v>
      </c>
      <c r="E1621" s="2">
        <v>0.63655092592592588</v>
      </c>
      <c r="F1621" s="2">
        <f t="shared" si="251"/>
        <v>1.0497685185185124E-2</v>
      </c>
      <c r="G1621">
        <f t="shared" si="252"/>
        <v>0</v>
      </c>
      <c r="H1621">
        <f t="shared" si="253"/>
        <v>15</v>
      </c>
      <c r="I1621">
        <f t="shared" si="254"/>
        <v>7</v>
      </c>
      <c r="J1621">
        <f t="shared" si="255"/>
        <v>907</v>
      </c>
      <c r="K1621">
        <f t="shared" si="256"/>
        <v>16</v>
      </c>
      <c r="L1621">
        <f t="shared" si="257"/>
        <v>542964</v>
      </c>
      <c r="M1621">
        <f t="shared" si="258"/>
        <v>177076</v>
      </c>
      <c r="N1621">
        <f t="shared" si="259"/>
        <v>768040</v>
      </c>
      <c r="O1621">
        <f>IF(B1621="zagraniczny",K1621+O1620,O1620)</f>
        <v>702</v>
      </c>
    </row>
    <row r="1622" spans="1:15" x14ac:dyDescent="0.25">
      <c r="A1622">
        <v>6005355</v>
      </c>
      <c r="B1622" t="str">
        <f t="shared" si="250"/>
        <v>stacjonarny</v>
      </c>
      <c r="C1622" s="1">
        <v>42941</v>
      </c>
      <c r="D1622" s="2">
        <v>0.33688657407407407</v>
      </c>
      <c r="E1622" s="2">
        <v>0.34452546296296294</v>
      </c>
      <c r="F1622" s="2">
        <f t="shared" si="251"/>
        <v>7.6388888888888618E-3</v>
      </c>
      <c r="G1622">
        <f t="shared" si="252"/>
        <v>0</v>
      </c>
      <c r="H1622">
        <f t="shared" si="253"/>
        <v>11</v>
      </c>
      <c r="I1622">
        <f t="shared" si="254"/>
        <v>0</v>
      </c>
      <c r="J1622">
        <f t="shared" si="255"/>
        <v>660</v>
      </c>
      <c r="K1622">
        <f t="shared" si="256"/>
        <v>11</v>
      </c>
      <c r="L1622">
        <f t="shared" si="257"/>
        <v>543624</v>
      </c>
      <c r="M1622">
        <f t="shared" si="258"/>
        <v>177076</v>
      </c>
      <c r="N1622">
        <f t="shared" si="259"/>
        <v>768700</v>
      </c>
      <c r="O1622">
        <f>IF(B1622="zagraniczny",K1622+O1621,O1621)</f>
        <v>702</v>
      </c>
    </row>
    <row r="1623" spans="1:15" x14ac:dyDescent="0.25">
      <c r="A1623">
        <v>2400590</v>
      </c>
      <c r="B1623" t="str">
        <f t="shared" si="250"/>
        <v>stacjonarny</v>
      </c>
      <c r="C1623" s="1">
        <v>42941</v>
      </c>
      <c r="D1623" s="2">
        <v>0.34145833333333331</v>
      </c>
      <c r="E1623" s="2">
        <v>0.34645833333333331</v>
      </c>
      <c r="F1623" s="2">
        <f t="shared" si="251"/>
        <v>5.0000000000000044E-3</v>
      </c>
      <c r="G1623">
        <f t="shared" si="252"/>
        <v>0</v>
      </c>
      <c r="H1623">
        <f t="shared" si="253"/>
        <v>7</v>
      </c>
      <c r="I1623">
        <f t="shared" si="254"/>
        <v>12</v>
      </c>
      <c r="J1623">
        <f t="shared" si="255"/>
        <v>432</v>
      </c>
      <c r="K1623">
        <f t="shared" si="256"/>
        <v>8</v>
      </c>
      <c r="L1623">
        <f t="shared" si="257"/>
        <v>544056</v>
      </c>
      <c r="M1623">
        <f t="shared" si="258"/>
        <v>177076</v>
      </c>
      <c r="N1623">
        <f t="shared" si="259"/>
        <v>769132</v>
      </c>
      <c r="O1623">
        <f>IF(B1623="zagraniczny",K1623+O1622,O1622)</f>
        <v>702</v>
      </c>
    </row>
    <row r="1624" spans="1:15" x14ac:dyDescent="0.25">
      <c r="A1624">
        <v>7918038</v>
      </c>
      <c r="B1624" t="str">
        <f t="shared" si="250"/>
        <v>stacjonarny</v>
      </c>
      <c r="C1624" s="1">
        <v>42941</v>
      </c>
      <c r="D1624" s="2">
        <v>0.34278935185185183</v>
      </c>
      <c r="E1624" s="2">
        <v>0.34370370370370368</v>
      </c>
      <c r="F1624" s="2">
        <f t="shared" si="251"/>
        <v>9.1435185185184675E-4</v>
      </c>
      <c r="G1624">
        <f t="shared" si="252"/>
        <v>0</v>
      </c>
      <c r="H1624">
        <f t="shared" si="253"/>
        <v>1</v>
      </c>
      <c r="I1624">
        <f t="shared" si="254"/>
        <v>19</v>
      </c>
      <c r="J1624">
        <f t="shared" si="255"/>
        <v>79</v>
      </c>
      <c r="K1624">
        <f t="shared" si="256"/>
        <v>2</v>
      </c>
      <c r="L1624">
        <f t="shared" si="257"/>
        <v>544135</v>
      </c>
      <c r="M1624">
        <f t="shared" si="258"/>
        <v>177076</v>
      </c>
      <c r="N1624">
        <f t="shared" si="259"/>
        <v>769211</v>
      </c>
      <c r="O1624">
        <f>IF(B1624="zagraniczny",K1624+O1623,O1623)</f>
        <v>702</v>
      </c>
    </row>
    <row r="1625" spans="1:15" x14ac:dyDescent="0.25">
      <c r="A1625">
        <v>7969038</v>
      </c>
      <c r="B1625" t="str">
        <f t="shared" si="250"/>
        <v>stacjonarny</v>
      </c>
      <c r="C1625" s="1">
        <v>42941</v>
      </c>
      <c r="D1625" s="2">
        <v>0.34605324074074073</v>
      </c>
      <c r="E1625" s="2">
        <v>0.35744212962962962</v>
      </c>
      <c r="F1625" s="2">
        <f t="shared" si="251"/>
        <v>1.1388888888888893E-2</v>
      </c>
      <c r="G1625">
        <f t="shared" si="252"/>
        <v>0</v>
      </c>
      <c r="H1625">
        <f t="shared" si="253"/>
        <v>16</v>
      </c>
      <c r="I1625">
        <f t="shared" si="254"/>
        <v>24</v>
      </c>
      <c r="J1625">
        <f t="shared" si="255"/>
        <v>984</v>
      </c>
      <c r="K1625">
        <f t="shared" si="256"/>
        <v>17</v>
      </c>
      <c r="L1625">
        <f t="shared" si="257"/>
        <v>545119</v>
      </c>
      <c r="M1625">
        <f t="shared" si="258"/>
        <v>177076</v>
      </c>
      <c r="N1625">
        <f t="shared" si="259"/>
        <v>770195</v>
      </c>
      <c r="O1625">
        <f>IF(B1625="zagraniczny",K1625+O1624,O1624)</f>
        <v>702</v>
      </c>
    </row>
    <row r="1626" spans="1:15" x14ac:dyDescent="0.25">
      <c r="A1626">
        <v>5833452</v>
      </c>
      <c r="B1626" t="str">
        <f t="shared" si="250"/>
        <v>stacjonarny</v>
      </c>
      <c r="C1626" s="1">
        <v>42941</v>
      </c>
      <c r="D1626" s="2">
        <v>0.34989583333333335</v>
      </c>
      <c r="E1626" s="2">
        <v>0.35214120370370372</v>
      </c>
      <c r="F1626" s="2">
        <f t="shared" si="251"/>
        <v>2.2453703703703698E-3</v>
      </c>
      <c r="G1626">
        <f t="shared" si="252"/>
        <v>0</v>
      </c>
      <c r="H1626">
        <f t="shared" si="253"/>
        <v>3</v>
      </c>
      <c r="I1626">
        <f t="shared" si="254"/>
        <v>14</v>
      </c>
      <c r="J1626">
        <f t="shared" si="255"/>
        <v>194</v>
      </c>
      <c r="K1626">
        <f t="shared" si="256"/>
        <v>4</v>
      </c>
      <c r="L1626">
        <f t="shared" si="257"/>
        <v>545313</v>
      </c>
      <c r="M1626">
        <f t="shared" si="258"/>
        <v>177076</v>
      </c>
      <c r="N1626">
        <f t="shared" si="259"/>
        <v>770389</v>
      </c>
      <c r="O1626">
        <f>IF(B1626="zagraniczny",K1626+O1625,O1625)</f>
        <v>702</v>
      </c>
    </row>
    <row r="1627" spans="1:15" x14ac:dyDescent="0.25">
      <c r="A1627">
        <v>11425383</v>
      </c>
      <c r="B1627" t="str">
        <f t="shared" si="250"/>
        <v>komorkowy</v>
      </c>
      <c r="C1627" s="1">
        <v>42941</v>
      </c>
      <c r="D1627" s="2">
        <v>0.35267361111111112</v>
      </c>
      <c r="E1627" s="2">
        <v>0.36171296296296296</v>
      </c>
      <c r="F1627" s="2">
        <f t="shared" si="251"/>
        <v>9.0393518518518401E-3</v>
      </c>
      <c r="G1627">
        <f t="shared" si="252"/>
        <v>0</v>
      </c>
      <c r="H1627">
        <f t="shared" si="253"/>
        <v>13</v>
      </c>
      <c r="I1627">
        <f t="shared" si="254"/>
        <v>1</v>
      </c>
      <c r="J1627">
        <f t="shared" si="255"/>
        <v>781</v>
      </c>
      <c r="K1627">
        <f t="shared" si="256"/>
        <v>14</v>
      </c>
      <c r="L1627">
        <f t="shared" si="257"/>
        <v>545313</v>
      </c>
      <c r="M1627">
        <f t="shared" si="258"/>
        <v>177857</v>
      </c>
      <c r="N1627">
        <f t="shared" si="259"/>
        <v>771170</v>
      </c>
      <c r="O1627">
        <f>IF(B1627="zagraniczny",K1627+O1626,O1626)</f>
        <v>702</v>
      </c>
    </row>
    <row r="1628" spans="1:15" x14ac:dyDescent="0.25">
      <c r="A1628">
        <v>2900584</v>
      </c>
      <c r="B1628" t="str">
        <f t="shared" si="250"/>
        <v>stacjonarny</v>
      </c>
      <c r="C1628" s="1">
        <v>42941</v>
      </c>
      <c r="D1628" s="2">
        <v>0.35335648148148147</v>
      </c>
      <c r="E1628" s="2">
        <v>0.36329861111111111</v>
      </c>
      <c r="F1628" s="2">
        <f t="shared" si="251"/>
        <v>9.942129629629648E-3</v>
      </c>
      <c r="G1628">
        <f t="shared" si="252"/>
        <v>0</v>
      </c>
      <c r="H1628">
        <f t="shared" si="253"/>
        <v>14</v>
      </c>
      <c r="I1628">
        <f t="shared" si="254"/>
        <v>19</v>
      </c>
      <c r="J1628">
        <f t="shared" si="255"/>
        <v>859</v>
      </c>
      <c r="K1628">
        <f t="shared" si="256"/>
        <v>15</v>
      </c>
      <c r="L1628">
        <f t="shared" si="257"/>
        <v>546172</v>
      </c>
      <c r="M1628">
        <f t="shared" si="258"/>
        <v>177857</v>
      </c>
      <c r="N1628">
        <f t="shared" si="259"/>
        <v>772029</v>
      </c>
      <c r="O1628">
        <f>IF(B1628="zagraniczny",K1628+O1627,O1627)</f>
        <v>702</v>
      </c>
    </row>
    <row r="1629" spans="1:15" x14ac:dyDescent="0.25">
      <c r="A1629">
        <v>77705897</v>
      </c>
      <c r="B1629" t="str">
        <f t="shared" si="250"/>
        <v>komorkowy</v>
      </c>
      <c r="C1629" s="1">
        <v>42941</v>
      </c>
      <c r="D1629" s="2">
        <v>0.35603009259259261</v>
      </c>
      <c r="E1629" s="2">
        <v>0.35928240740740741</v>
      </c>
      <c r="F1629" s="2">
        <f t="shared" si="251"/>
        <v>3.2523148148148051E-3</v>
      </c>
      <c r="G1629">
        <f t="shared" si="252"/>
        <v>0</v>
      </c>
      <c r="H1629">
        <f t="shared" si="253"/>
        <v>4</v>
      </c>
      <c r="I1629">
        <f t="shared" si="254"/>
        <v>41</v>
      </c>
      <c r="J1629">
        <f t="shared" si="255"/>
        <v>281</v>
      </c>
      <c r="K1629">
        <f t="shared" si="256"/>
        <v>5</v>
      </c>
      <c r="L1629">
        <f t="shared" si="257"/>
        <v>546172</v>
      </c>
      <c r="M1629">
        <f t="shared" si="258"/>
        <v>178138</v>
      </c>
      <c r="N1629">
        <f t="shared" si="259"/>
        <v>772310</v>
      </c>
      <c r="O1629">
        <f>IF(B1629="zagraniczny",K1629+O1628,O1628)</f>
        <v>702</v>
      </c>
    </row>
    <row r="1630" spans="1:15" x14ac:dyDescent="0.25">
      <c r="A1630">
        <v>48497496</v>
      </c>
      <c r="B1630" t="str">
        <f t="shared" si="250"/>
        <v>komorkowy</v>
      </c>
      <c r="C1630" s="1">
        <v>42941</v>
      </c>
      <c r="D1630" s="2">
        <v>0.35881944444444447</v>
      </c>
      <c r="E1630" s="2">
        <v>0.36379629629629628</v>
      </c>
      <c r="F1630" s="2">
        <f t="shared" si="251"/>
        <v>4.9768518518518157E-3</v>
      </c>
      <c r="G1630">
        <f t="shared" si="252"/>
        <v>0</v>
      </c>
      <c r="H1630">
        <f t="shared" si="253"/>
        <v>7</v>
      </c>
      <c r="I1630">
        <f t="shared" si="254"/>
        <v>10</v>
      </c>
      <c r="J1630">
        <f t="shared" si="255"/>
        <v>430</v>
      </c>
      <c r="K1630">
        <f t="shared" si="256"/>
        <v>8</v>
      </c>
      <c r="L1630">
        <f t="shared" si="257"/>
        <v>546172</v>
      </c>
      <c r="M1630">
        <f t="shared" si="258"/>
        <v>178568</v>
      </c>
      <c r="N1630">
        <f t="shared" si="259"/>
        <v>772740</v>
      </c>
      <c r="O1630">
        <f>IF(B1630="zagraniczny",K1630+O1629,O1629)</f>
        <v>702</v>
      </c>
    </row>
    <row r="1631" spans="1:15" x14ac:dyDescent="0.25">
      <c r="A1631">
        <v>98695684</v>
      </c>
      <c r="B1631" t="str">
        <f t="shared" si="250"/>
        <v>komorkowy</v>
      </c>
      <c r="C1631" s="1">
        <v>42941</v>
      </c>
      <c r="D1631" s="2">
        <v>0.3634722222222222</v>
      </c>
      <c r="E1631" s="2">
        <v>0.37498842592592591</v>
      </c>
      <c r="F1631" s="2">
        <f t="shared" si="251"/>
        <v>1.1516203703703709E-2</v>
      </c>
      <c r="G1631">
        <f t="shared" si="252"/>
        <v>0</v>
      </c>
      <c r="H1631">
        <f t="shared" si="253"/>
        <v>16</v>
      </c>
      <c r="I1631">
        <f t="shared" si="254"/>
        <v>35</v>
      </c>
      <c r="J1631">
        <f t="shared" si="255"/>
        <v>995</v>
      </c>
      <c r="K1631">
        <f t="shared" si="256"/>
        <v>17</v>
      </c>
      <c r="L1631">
        <f t="shared" si="257"/>
        <v>546172</v>
      </c>
      <c r="M1631">
        <f t="shared" si="258"/>
        <v>179563</v>
      </c>
      <c r="N1631">
        <f t="shared" si="259"/>
        <v>773735</v>
      </c>
      <c r="O1631">
        <f>IF(B1631="zagraniczny",K1631+O1630,O1630)</f>
        <v>702</v>
      </c>
    </row>
    <row r="1632" spans="1:15" x14ac:dyDescent="0.25">
      <c r="A1632">
        <v>7712618</v>
      </c>
      <c r="B1632" t="str">
        <f t="shared" si="250"/>
        <v>stacjonarny</v>
      </c>
      <c r="C1632" s="1">
        <v>42941</v>
      </c>
      <c r="D1632" s="2">
        <v>0.36773148148148149</v>
      </c>
      <c r="E1632" s="2">
        <v>0.37118055555555557</v>
      </c>
      <c r="F1632" s="2">
        <f t="shared" si="251"/>
        <v>3.4490740740740766E-3</v>
      </c>
      <c r="G1632">
        <f t="shared" si="252"/>
        <v>0</v>
      </c>
      <c r="H1632">
        <f t="shared" si="253"/>
        <v>4</v>
      </c>
      <c r="I1632">
        <f t="shared" si="254"/>
        <v>58</v>
      </c>
      <c r="J1632">
        <f t="shared" si="255"/>
        <v>298</v>
      </c>
      <c r="K1632">
        <f t="shared" si="256"/>
        <v>5</v>
      </c>
      <c r="L1632">
        <f t="shared" si="257"/>
        <v>546470</v>
      </c>
      <c r="M1632">
        <f t="shared" si="258"/>
        <v>179563</v>
      </c>
      <c r="N1632">
        <f t="shared" si="259"/>
        <v>774033</v>
      </c>
      <c r="O1632">
        <f>IF(B1632="zagraniczny",K1632+O1631,O1631)</f>
        <v>702</v>
      </c>
    </row>
    <row r="1633" spans="1:15" x14ac:dyDescent="0.25">
      <c r="A1633">
        <v>8872311</v>
      </c>
      <c r="B1633" t="str">
        <f t="shared" si="250"/>
        <v>stacjonarny</v>
      </c>
      <c r="C1633" s="1">
        <v>42941</v>
      </c>
      <c r="D1633" s="2">
        <v>0.36854166666666666</v>
      </c>
      <c r="E1633" s="2">
        <v>0.37072916666666667</v>
      </c>
      <c r="F1633" s="2">
        <f t="shared" si="251"/>
        <v>2.1875000000000089E-3</v>
      </c>
      <c r="G1633">
        <f t="shared" si="252"/>
        <v>0</v>
      </c>
      <c r="H1633">
        <f t="shared" si="253"/>
        <v>3</v>
      </c>
      <c r="I1633">
        <f t="shared" si="254"/>
        <v>9</v>
      </c>
      <c r="J1633">
        <f t="shared" si="255"/>
        <v>189</v>
      </c>
      <c r="K1633">
        <f t="shared" si="256"/>
        <v>4</v>
      </c>
      <c r="L1633">
        <f t="shared" si="257"/>
        <v>546659</v>
      </c>
      <c r="M1633">
        <f t="shared" si="258"/>
        <v>179563</v>
      </c>
      <c r="N1633">
        <f t="shared" si="259"/>
        <v>774222</v>
      </c>
      <c r="O1633">
        <f>IF(B1633="zagraniczny",K1633+O1632,O1632)</f>
        <v>702</v>
      </c>
    </row>
    <row r="1634" spans="1:15" x14ac:dyDescent="0.25">
      <c r="A1634">
        <v>6056372</v>
      </c>
      <c r="B1634" t="str">
        <f t="shared" si="250"/>
        <v>stacjonarny</v>
      </c>
      <c r="C1634" s="1">
        <v>42941</v>
      </c>
      <c r="D1634" s="2">
        <v>0.36930555555555555</v>
      </c>
      <c r="E1634" s="2">
        <v>0.37615740740740738</v>
      </c>
      <c r="F1634" s="2">
        <f t="shared" si="251"/>
        <v>6.8518518518518312E-3</v>
      </c>
      <c r="G1634">
        <f t="shared" si="252"/>
        <v>0</v>
      </c>
      <c r="H1634">
        <f t="shared" si="253"/>
        <v>9</v>
      </c>
      <c r="I1634">
        <f t="shared" si="254"/>
        <v>52</v>
      </c>
      <c r="J1634">
        <f t="shared" si="255"/>
        <v>592</v>
      </c>
      <c r="K1634">
        <f t="shared" si="256"/>
        <v>10</v>
      </c>
      <c r="L1634">
        <f t="shared" si="257"/>
        <v>547251</v>
      </c>
      <c r="M1634">
        <f t="shared" si="258"/>
        <v>179563</v>
      </c>
      <c r="N1634">
        <f t="shared" si="259"/>
        <v>774814</v>
      </c>
      <c r="O1634">
        <f>IF(B1634="zagraniczny",K1634+O1633,O1633)</f>
        <v>702</v>
      </c>
    </row>
    <row r="1635" spans="1:15" x14ac:dyDescent="0.25">
      <c r="A1635">
        <v>8936656</v>
      </c>
      <c r="B1635" t="str">
        <f t="shared" si="250"/>
        <v>stacjonarny</v>
      </c>
      <c r="C1635" s="1">
        <v>42941</v>
      </c>
      <c r="D1635" s="2">
        <v>0.37222222222222223</v>
      </c>
      <c r="E1635" s="2">
        <v>0.37883101851851853</v>
      </c>
      <c r="F1635" s="2">
        <f t="shared" si="251"/>
        <v>6.6087962962962932E-3</v>
      </c>
      <c r="G1635">
        <f t="shared" si="252"/>
        <v>0</v>
      </c>
      <c r="H1635">
        <f t="shared" si="253"/>
        <v>9</v>
      </c>
      <c r="I1635">
        <f t="shared" si="254"/>
        <v>31</v>
      </c>
      <c r="J1635">
        <f t="shared" si="255"/>
        <v>571</v>
      </c>
      <c r="K1635">
        <f t="shared" si="256"/>
        <v>10</v>
      </c>
      <c r="L1635">
        <f t="shared" si="257"/>
        <v>547822</v>
      </c>
      <c r="M1635">
        <f t="shared" si="258"/>
        <v>179563</v>
      </c>
      <c r="N1635">
        <f t="shared" si="259"/>
        <v>775385</v>
      </c>
      <c r="O1635">
        <f>IF(B1635="zagraniczny",K1635+O1634,O1634)</f>
        <v>702</v>
      </c>
    </row>
    <row r="1636" spans="1:15" x14ac:dyDescent="0.25">
      <c r="A1636">
        <v>22966872</v>
      </c>
      <c r="B1636" t="str">
        <f t="shared" si="250"/>
        <v>komorkowy</v>
      </c>
      <c r="C1636" s="1">
        <v>42941</v>
      </c>
      <c r="D1636" s="2">
        <v>0.37277777777777776</v>
      </c>
      <c r="E1636" s="2">
        <v>0.37791666666666668</v>
      </c>
      <c r="F1636" s="2">
        <f t="shared" si="251"/>
        <v>5.138888888888915E-3</v>
      </c>
      <c r="G1636">
        <f t="shared" si="252"/>
        <v>0</v>
      </c>
      <c r="H1636">
        <f t="shared" si="253"/>
        <v>7</v>
      </c>
      <c r="I1636">
        <f t="shared" si="254"/>
        <v>24</v>
      </c>
      <c r="J1636">
        <f t="shared" si="255"/>
        <v>444</v>
      </c>
      <c r="K1636">
        <f t="shared" si="256"/>
        <v>8</v>
      </c>
      <c r="L1636">
        <f t="shared" si="257"/>
        <v>547822</v>
      </c>
      <c r="M1636">
        <f t="shared" si="258"/>
        <v>180007</v>
      </c>
      <c r="N1636">
        <f t="shared" si="259"/>
        <v>775829</v>
      </c>
      <c r="O1636">
        <f>IF(B1636="zagraniczny",K1636+O1635,O1635)</f>
        <v>702</v>
      </c>
    </row>
    <row r="1637" spans="1:15" x14ac:dyDescent="0.25">
      <c r="A1637">
        <v>3908162</v>
      </c>
      <c r="B1637" t="str">
        <f t="shared" si="250"/>
        <v>stacjonarny</v>
      </c>
      <c r="C1637" s="1">
        <v>42941</v>
      </c>
      <c r="D1637" s="2">
        <v>0.37805555555555553</v>
      </c>
      <c r="E1637" s="2">
        <v>0.38770833333333332</v>
      </c>
      <c r="F1637" s="2">
        <f t="shared" si="251"/>
        <v>9.6527777777777879E-3</v>
      </c>
      <c r="G1637">
        <f t="shared" si="252"/>
        <v>0</v>
      </c>
      <c r="H1637">
        <f t="shared" si="253"/>
        <v>13</v>
      </c>
      <c r="I1637">
        <f t="shared" si="254"/>
        <v>54</v>
      </c>
      <c r="J1637">
        <f t="shared" si="255"/>
        <v>834</v>
      </c>
      <c r="K1637">
        <f t="shared" si="256"/>
        <v>14</v>
      </c>
      <c r="L1637">
        <f t="shared" si="257"/>
        <v>548656</v>
      </c>
      <c r="M1637">
        <f t="shared" si="258"/>
        <v>180007</v>
      </c>
      <c r="N1637">
        <f t="shared" si="259"/>
        <v>776663</v>
      </c>
      <c r="O1637">
        <f>IF(B1637="zagraniczny",K1637+O1636,O1636)</f>
        <v>702</v>
      </c>
    </row>
    <row r="1638" spans="1:15" x14ac:dyDescent="0.25">
      <c r="A1638">
        <v>20485333</v>
      </c>
      <c r="B1638" t="str">
        <f t="shared" si="250"/>
        <v>komorkowy</v>
      </c>
      <c r="C1638" s="1">
        <v>42941</v>
      </c>
      <c r="D1638" s="2">
        <v>0.38230324074074074</v>
      </c>
      <c r="E1638" s="2">
        <v>0.39293981481481483</v>
      </c>
      <c r="F1638" s="2">
        <f t="shared" si="251"/>
        <v>1.063657407407409E-2</v>
      </c>
      <c r="G1638">
        <f t="shared" si="252"/>
        <v>0</v>
      </c>
      <c r="H1638">
        <f t="shared" si="253"/>
        <v>15</v>
      </c>
      <c r="I1638">
        <f t="shared" si="254"/>
        <v>19</v>
      </c>
      <c r="J1638">
        <f t="shared" si="255"/>
        <v>919</v>
      </c>
      <c r="K1638">
        <f t="shared" si="256"/>
        <v>16</v>
      </c>
      <c r="L1638">
        <f t="shared" si="257"/>
        <v>548656</v>
      </c>
      <c r="M1638">
        <f t="shared" si="258"/>
        <v>180926</v>
      </c>
      <c r="N1638">
        <f t="shared" si="259"/>
        <v>777582</v>
      </c>
      <c r="O1638">
        <f>IF(B1638="zagraniczny",K1638+O1637,O1637)</f>
        <v>702</v>
      </c>
    </row>
    <row r="1639" spans="1:15" x14ac:dyDescent="0.25">
      <c r="A1639">
        <v>78709747</v>
      </c>
      <c r="B1639" t="str">
        <f t="shared" si="250"/>
        <v>komorkowy</v>
      </c>
      <c r="C1639" s="1">
        <v>42941</v>
      </c>
      <c r="D1639" s="2">
        <v>0.38638888888888889</v>
      </c>
      <c r="E1639" s="2">
        <v>0.38983796296296297</v>
      </c>
      <c r="F1639" s="2">
        <f t="shared" si="251"/>
        <v>3.4490740740740766E-3</v>
      </c>
      <c r="G1639">
        <f t="shared" si="252"/>
        <v>0</v>
      </c>
      <c r="H1639">
        <f t="shared" si="253"/>
        <v>4</v>
      </c>
      <c r="I1639">
        <f t="shared" si="254"/>
        <v>58</v>
      </c>
      <c r="J1639">
        <f t="shared" si="255"/>
        <v>298</v>
      </c>
      <c r="K1639">
        <f t="shared" si="256"/>
        <v>5</v>
      </c>
      <c r="L1639">
        <f t="shared" si="257"/>
        <v>548656</v>
      </c>
      <c r="M1639">
        <f t="shared" si="258"/>
        <v>181224</v>
      </c>
      <c r="N1639">
        <f t="shared" si="259"/>
        <v>777880</v>
      </c>
      <c r="O1639">
        <f>IF(B1639="zagraniczny",K1639+O1638,O1638)</f>
        <v>702</v>
      </c>
    </row>
    <row r="1640" spans="1:15" x14ac:dyDescent="0.25">
      <c r="A1640">
        <v>1859884</v>
      </c>
      <c r="B1640" t="str">
        <f t="shared" si="250"/>
        <v>stacjonarny</v>
      </c>
      <c r="C1640" s="1">
        <v>42941</v>
      </c>
      <c r="D1640" s="2">
        <v>0.38668981481481479</v>
      </c>
      <c r="E1640" s="2">
        <v>0.3913773148148148</v>
      </c>
      <c r="F1640" s="2">
        <f t="shared" si="251"/>
        <v>4.6875000000000111E-3</v>
      </c>
      <c r="G1640">
        <f t="shared" si="252"/>
        <v>0</v>
      </c>
      <c r="H1640">
        <f t="shared" si="253"/>
        <v>6</v>
      </c>
      <c r="I1640">
        <f t="shared" si="254"/>
        <v>45</v>
      </c>
      <c r="J1640">
        <f t="shared" si="255"/>
        <v>405</v>
      </c>
      <c r="K1640">
        <f t="shared" si="256"/>
        <v>7</v>
      </c>
      <c r="L1640">
        <f t="shared" si="257"/>
        <v>549061</v>
      </c>
      <c r="M1640">
        <f t="shared" si="258"/>
        <v>181224</v>
      </c>
      <c r="N1640">
        <f t="shared" si="259"/>
        <v>778285</v>
      </c>
      <c r="O1640">
        <f>IF(B1640="zagraniczny",K1640+O1639,O1639)</f>
        <v>702</v>
      </c>
    </row>
    <row r="1641" spans="1:15" x14ac:dyDescent="0.25">
      <c r="A1641">
        <v>2866546</v>
      </c>
      <c r="B1641" t="str">
        <f t="shared" si="250"/>
        <v>stacjonarny</v>
      </c>
      <c r="C1641" s="1">
        <v>42941</v>
      </c>
      <c r="D1641" s="2">
        <v>0.39038194444444446</v>
      </c>
      <c r="E1641" s="2">
        <v>0.39797453703703706</v>
      </c>
      <c r="F1641" s="2">
        <f t="shared" si="251"/>
        <v>7.5925925925925952E-3</v>
      </c>
      <c r="G1641">
        <f t="shared" si="252"/>
        <v>0</v>
      </c>
      <c r="H1641">
        <f t="shared" si="253"/>
        <v>10</v>
      </c>
      <c r="I1641">
        <f t="shared" si="254"/>
        <v>56</v>
      </c>
      <c r="J1641">
        <f t="shared" si="255"/>
        <v>656</v>
      </c>
      <c r="K1641">
        <f t="shared" si="256"/>
        <v>11</v>
      </c>
      <c r="L1641">
        <f t="shared" si="257"/>
        <v>549717</v>
      </c>
      <c r="M1641">
        <f t="shared" si="258"/>
        <v>181224</v>
      </c>
      <c r="N1641">
        <f t="shared" si="259"/>
        <v>778941</v>
      </c>
      <c r="O1641">
        <f>IF(B1641="zagraniczny",K1641+O1640,O1640)</f>
        <v>702</v>
      </c>
    </row>
    <row r="1642" spans="1:15" x14ac:dyDescent="0.25">
      <c r="A1642">
        <v>23715237</v>
      </c>
      <c r="B1642" t="str">
        <f t="shared" si="250"/>
        <v>komorkowy</v>
      </c>
      <c r="C1642" s="1">
        <v>42941</v>
      </c>
      <c r="D1642" s="2">
        <v>0.39152777777777775</v>
      </c>
      <c r="E1642" s="2">
        <v>0.39559027777777778</v>
      </c>
      <c r="F1642" s="2">
        <f t="shared" si="251"/>
        <v>4.0625000000000244E-3</v>
      </c>
      <c r="G1642">
        <f t="shared" si="252"/>
        <v>0</v>
      </c>
      <c r="H1642">
        <f t="shared" si="253"/>
        <v>5</v>
      </c>
      <c r="I1642">
        <f t="shared" si="254"/>
        <v>51</v>
      </c>
      <c r="J1642">
        <f t="shared" si="255"/>
        <v>351</v>
      </c>
      <c r="K1642">
        <f t="shared" si="256"/>
        <v>6</v>
      </c>
      <c r="L1642">
        <f t="shared" si="257"/>
        <v>549717</v>
      </c>
      <c r="M1642">
        <f t="shared" si="258"/>
        <v>181575</v>
      </c>
      <c r="N1642">
        <f t="shared" si="259"/>
        <v>779292</v>
      </c>
      <c r="O1642">
        <f>IF(B1642="zagraniczny",K1642+O1641,O1641)</f>
        <v>702</v>
      </c>
    </row>
    <row r="1643" spans="1:15" x14ac:dyDescent="0.25">
      <c r="A1643">
        <v>6013508</v>
      </c>
      <c r="B1643" t="str">
        <f t="shared" si="250"/>
        <v>stacjonarny</v>
      </c>
      <c r="C1643" s="1">
        <v>42941</v>
      </c>
      <c r="D1643" s="2">
        <v>0.39195601851851852</v>
      </c>
      <c r="E1643" s="2">
        <v>0.39401620370370372</v>
      </c>
      <c r="F1643" s="2">
        <f t="shared" si="251"/>
        <v>2.0601851851851927E-3</v>
      </c>
      <c r="G1643">
        <f t="shared" si="252"/>
        <v>0</v>
      </c>
      <c r="H1643">
        <f t="shared" si="253"/>
        <v>2</v>
      </c>
      <c r="I1643">
        <f t="shared" si="254"/>
        <v>58</v>
      </c>
      <c r="J1643">
        <f t="shared" si="255"/>
        <v>178</v>
      </c>
      <c r="K1643">
        <f t="shared" si="256"/>
        <v>3</v>
      </c>
      <c r="L1643">
        <f t="shared" si="257"/>
        <v>549895</v>
      </c>
      <c r="M1643">
        <f t="shared" si="258"/>
        <v>181575</v>
      </c>
      <c r="N1643">
        <f t="shared" si="259"/>
        <v>779470</v>
      </c>
      <c r="O1643">
        <f>IF(B1643="zagraniczny",K1643+O1642,O1642)</f>
        <v>702</v>
      </c>
    </row>
    <row r="1644" spans="1:15" x14ac:dyDescent="0.25">
      <c r="A1644">
        <v>6175467</v>
      </c>
      <c r="B1644" t="str">
        <f t="shared" si="250"/>
        <v>stacjonarny</v>
      </c>
      <c r="C1644" s="1">
        <v>42941</v>
      </c>
      <c r="D1644" s="2">
        <v>0.39753472222222225</v>
      </c>
      <c r="E1644" s="2">
        <v>0.40424768518518517</v>
      </c>
      <c r="F1644" s="2">
        <f t="shared" si="251"/>
        <v>6.7129629629629206E-3</v>
      </c>
      <c r="G1644">
        <f t="shared" si="252"/>
        <v>0</v>
      </c>
      <c r="H1644">
        <f t="shared" si="253"/>
        <v>9</v>
      </c>
      <c r="I1644">
        <f t="shared" si="254"/>
        <v>40</v>
      </c>
      <c r="J1644">
        <f t="shared" si="255"/>
        <v>580</v>
      </c>
      <c r="K1644">
        <f t="shared" si="256"/>
        <v>10</v>
      </c>
      <c r="L1644">
        <f t="shared" si="257"/>
        <v>550475</v>
      </c>
      <c r="M1644">
        <f t="shared" si="258"/>
        <v>181575</v>
      </c>
      <c r="N1644">
        <f t="shared" si="259"/>
        <v>780050</v>
      </c>
      <c r="O1644">
        <f>IF(B1644="zagraniczny",K1644+O1643,O1643)</f>
        <v>702</v>
      </c>
    </row>
    <row r="1645" spans="1:15" x14ac:dyDescent="0.25">
      <c r="A1645">
        <v>22416837</v>
      </c>
      <c r="B1645" t="str">
        <f t="shared" si="250"/>
        <v>komorkowy</v>
      </c>
      <c r="C1645" s="1">
        <v>42941</v>
      </c>
      <c r="D1645" s="2">
        <v>0.39881944444444445</v>
      </c>
      <c r="E1645" s="2">
        <v>0.40244212962962961</v>
      </c>
      <c r="F1645" s="2">
        <f t="shared" si="251"/>
        <v>3.6226851851851594E-3</v>
      </c>
      <c r="G1645">
        <f t="shared" si="252"/>
        <v>0</v>
      </c>
      <c r="H1645">
        <f t="shared" si="253"/>
        <v>5</v>
      </c>
      <c r="I1645">
        <f t="shared" si="254"/>
        <v>13</v>
      </c>
      <c r="J1645">
        <f t="shared" si="255"/>
        <v>313</v>
      </c>
      <c r="K1645">
        <f t="shared" si="256"/>
        <v>6</v>
      </c>
      <c r="L1645">
        <f t="shared" si="257"/>
        <v>550475</v>
      </c>
      <c r="M1645">
        <f t="shared" si="258"/>
        <v>181888</v>
      </c>
      <c r="N1645">
        <f t="shared" si="259"/>
        <v>780363</v>
      </c>
      <c r="O1645">
        <f>IF(B1645="zagraniczny",K1645+O1644,O1644)</f>
        <v>702</v>
      </c>
    </row>
    <row r="1646" spans="1:15" x14ac:dyDescent="0.25">
      <c r="A1646">
        <v>9065927</v>
      </c>
      <c r="B1646" t="str">
        <f t="shared" si="250"/>
        <v>stacjonarny</v>
      </c>
      <c r="C1646" s="1">
        <v>42941</v>
      </c>
      <c r="D1646" s="2">
        <v>0.3991898148148148</v>
      </c>
      <c r="E1646" s="2">
        <v>0.40934027777777776</v>
      </c>
      <c r="F1646" s="2">
        <f t="shared" si="251"/>
        <v>1.0150462962962958E-2</v>
      </c>
      <c r="G1646">
        <f t="shared" si="252"/>
        <v>0</v>
      </c>
      <c r="H1646">
        <f t="shared" si="253"/>
        <v>14</v>
      </c>
      <c r="I1646">
        <f t="shared" si="254"/>
        <v>37</v>
      </c>
      <c r="J1646">
        <f t="shared" si="255"/>
        <v>877</v>
      </c>
      <c r="K1646">
        <f t="shared" si="256"/>
        <v>15</v>
      </c>
      <c r="L1646">
        <f t="shared" si="257"/>
        <v>551352</v>
      </c>
      <c r="M1646">
        <f t="shared" si="258"/>
        <v>181888</v>
      </c>
      <c r="N1646">
        <f t="shared" si="259"/>
        <v>781240</v>
      </c>
      <c r="O1646">
        <f>IF(B1646="zagraniczny",K1646+O1645,O1645)</f>
        <v>702</v>
      </c>
    </row>
    <row r="1647" spans="1:15" x14ac:dyDescent="0.25">
      <c r="A1647">
        <v>8849918</v>
      </c>
      <c r="B1647" t="str">
        <f t="shared" si="250"/>
        <v>stacjonarny</v>
      </c>
      <c r="C1647" s="1">
        <v>42941</v>
      </c>
      <c r="D1647" s="2">
        <v>0.40263888888888888</v>
      </c>
      <c r="E1647" s="2">
        <v>0.40636574074074072</v>
      </c>
      <c r="F1647" s="2">
        <f t="shared" si="251"/>
        <v>3.7268518518518423E-3</v>
      </c>
      <c r="G1647">
        <f t="shared" si="252"/>
        <v>0</v>
      </c>
      <c r="H1647">
        <f t="shared" si="253"/>
        <v>5</v>
      </c>
      <c r="I1647">
        <f t="shared" si="254"/>
        <v>22</v>
      </c>
      <c r="J1647">
        <f t="shared" si="255"/>
        <v>322</v>
      </c>
      <c r="K1647">
        <f t="shared" si="256"/>
        <v>6</v>
      </c>
      <c r="L1647">
        <f t="shared" si="257"/>
        <v>551674</v>
      </c>
      <c r="M1647">
        <f t="shared" si="258"/>
        <v>181888</v>
      </c>
      <c r="N1647">
        <f t="shared" si="259"/>
        <v>781562</v>
      </c>
      <c r="O1647">
        <f>IF(B1647="zagraniczny",K1647+O1646,O1646)</f>
        <v>702</v>
      </c>
    </row>
    <row r="1648" spans="1:15" x14ac:dyDescent="0.25">
      <c r="A1648">
        <v>8250018</v>
      </c>
      <c r="B1648" t="str">
        <f t="shared" si="250"/>
        <v>stacjonarny</v>
      </c>
      <c r="C1648" s="1">
        <v>42941</v>
      </c>
      <c r="D1648" s="2">
        <v>0.40552083333333333</v>
      </c>
      <c r="E1648" s="2">
        <v>0.41104166666666669</v>
      </c>
      <c r="F1648" s="2">
        <f t="shared" si="251"/>
        <v>5.5208333333333637E-3</v>
      </c>
      <c r="G1648">
        <f t="shared" si="252"/>
        <v>0</v>
      </c>
      <c r="H1648">
        <f t="shared" si="253"/>
        <v>7</v>
      </c>
      <c r="I1648">
        <f t="shared" si="254"/>
        <v>57</v>
      </c>
      <c r="J1648">
        <f t="shared" si="255"/>
        <v>477</v>
      </c>
      <c r="K1648">
        <f t="shared" si="256"/>
        <v>8</v>
      </c>
      <c r="L1648">
        <f t="shared" si="257"/>
        <v>552151</v>
      </c>
      <c r="M1648">
        <f t="shared" si="258"/>
        <v>181888</v>
      </c>
      <c r="N1648">
        <f t="shared" si="259"/>
        <v>782039</v>
      </c>
      <c r="O1648">
        <f>IF(B1648="zagraniczny",K1648+O1647,O1647)</f>
        <v>702</v>
      </c>
    </row>
    <row r="1649" spans="1:15" x14ac:dyDescent="0.25">
      <c r="A1649">
        <v>20349502</v>
      </c>
      <c r="B1649" t="str">
        <f t="shared" si="250"/>
        <v>komorkowy</v>
      </c>
      <c r="C1649" s="1">
        <v>42941</v>
      </c>
      <c r="D1649" s="2">
        <v>0.40979166666666667</v>
      </c>
      <c r="E1649" s="2">
        <v>0.41252314814814817</v>
      </c>
      <c r="F1649" s="2">
        <f t="shared" si="251"/>
        <v>2.7314814814815014E-3</v>
      </c>
      <c r="G1649">
        <f t="shared" si="252"/>
        <v>0</v>
      </c>
      <c r="H1649">
        <f t="shared" si="253"/>
        <v>3</v>
      </c>
      <c r="I1649">
        <f t="shared" si="254"/>
        <v>56</v>
      </c>
      <c r="J1649">
        <f t="shared" si="255"/>
        <v>236</v>
      </c>
      <c r="K1649">
        <f t="shared" si="256"/>
        <v>4</v>
      </c>
      <c r="L1649">
        <f t="shared" si="257"/>
        <v>552151</v>
      </c>
      <c r="M1649">
        <f t="shared" si="258"/>
        <v>182124</v>
      </c>
      <c r="N1649">
        <f t="shared" si="259"/>
        <v>782275</v>
      </c>
      <c r="O1649">
        <f>IF(B1649="zagraniczny",K1649+O1648,O1648)</f>
        <v>702</v>
      </c>
    </row>
    <row r="1650" spans="1:15" x14ac:dyDescent="0.25">
      <c r="A1650">
        <v>9894723</v>
      </c>
      <c r="B1650" t="str">
        <f t="shared" si="250"/>
        <v>stacjonarny</v>
      </c>
      <c r="C1650" s="1">
        <v>42941</v>
      </c>
      <c r="D1650" s="2">
        <v>0.40988425925925925</v>
      </c>
      <c r="E1650" s="2">
        <v>0.41157407407407409</v>
      </c>
      <c r="F1650" s="2">
        <f t="shared" si="251"/>
        <v>1.6898148148148384E-3</v>
      </c>
      <c r="G1650">
        <f t="shared" si="252"/>
        <v>0</v>
      </c>
      <c r="H1650">
        <f t="shared" si="253"/>
        <v>2</v>
      </c>
      <c r="I1650">
        <f t="shared" si="254"/>
        <v>26</v>
      </c>
      <c r="J1650">
        <f t="shared" si="255"/>
        <v>146</v>
      </c>
      <c r="K1650">
        <f t="shared" si="256"/>
        <v>3</v>
      </c>
      <c r="L1650">
        <f t="shared" si="257"/>
        <v>552297</v>
      </c>
      <c r="M1650">
        <f t="shared" si="258"/>
        <v>182124</v>
      </c>
      <c r="N1650">
        <f t="shared" si="259"/>
        <v>782421</v>
      </c>
      <c r="O1650">
        <f>IF(B1650="zagraniczny",K1650+O1649,O1649)</f>
        <v>702</v>
      </c>
    </row>
    <row r="1651" spans="1:15" x14ac:dyDescent="0.25">
      <c r="A1651">
        <v>9458504</v>
      </c>
      <c r="B1651" t="str">
        <f t="shared" si="250"/>
        <v>stacjonarny</v>
      </c>
      <c r="C1651" s="1">
        <v>42941</v>
      </c>
      <c r="D1651" s="2">
        <v>0.41054398148148147</v>
      </c>
      <c r="E1651" s="2">
        <v>0.41620370370370369</v>
      </c>
      <c r="F1651" s="2">
        <f t="shared" si="251"/>
        <v>5.6597222222222188E-3</v>
      </c>
      <c r="G1651">
        <f t="shared" si="252"/>
        <v>0</v>
      </c>
      <c r="H1651">
        <f t="shared" si="253"/>
        <v>8</v>
      </c>
      <c r="I1651">
        <f t="shared" si="254"/>
        <v>9</v>
      </c>
      <c r="J1651">
        <f t="shared" si="255"/>
        <v>489</v>
      </c>
      <c r="K1651">
        <f t="shared" si="256"/>
        <v>9</v>
      </c>
      <c r="L1651">
        <f t="shared" si="257"/>
        <v>552786</v>
      </c>
      <c r="M1651">
        <f t="shared" si="258"/>
        <v>182124</v>
      </c>
      <c r="N1651">
        <f t="shared" si="259"/>
        <v>782910</v>
      </c>
      <c r="O1651">
        <f>IF(B1651="zagraniczny",K1651+O1650,O1650)</f>
        <v>702</v>
      </c>
    </row>
    <row r="1652" spans="1:15" x14ac:dyDescent="0.25">
      <c r="A1652">
        <v>6741642</v>
      </c>
      <c r="B1652" t="str">
        <f t="shared" si="250"/>
        <v>stacjonarny</v>
      </c>
      <c r="C1652" s="1">
        <v>42941</v>
      </c>
      <c r="D1652" s="2">
        <v>0.41449074074074072</v>
      </c>
      <c r="E1652" s="2">
        <v>0.42371527777777779</v>
      </c>
      <c r="F1652" s="2">
        <f t="shared" si="251"/>
        <v>9.2245370370370727E-3</v>
      </c>
      <c r="G1652">
        <f t="shared" si="252"/>
        <v>0</v>
      </c>
      <c r="H1652">
        <f t="shared" si="253"/>
        <v>13</v>
      </c>
      <c r="I1652">
        <f t="shared" si="254"/>
        <v>17</v>
      </c>
      <c r="J1652">
        <f t="shared" si="255"/>
        <v>797</v>
      </c>
      <c r="K1652">
        <f t="shared" si="256"/>
        <v>14</v>
      </c>
      <c r="L1652">
        <f t="shared" si="257"/>
        <v>553583</v>
      </c>
      <c r="M1652">
        <f t="shared" si="258"/>
        <v>182124</v>
      </c>
      <c r="N1652">
        <f t="shared" si="259"/>
        <v>783707</v>
      </c>
      <c r="O1652">
        <f>IF(B1652="zagraniczny",K1652+O1651,O1651)</f>
        <v>702</v>
      </c>
    </row>
    <row r="1653" spans="1:15" x14ac:dyDescent="0.25">
      <c r="A1653">
        <v>4824710</v>
      </c>
      <c r="B1653" t="str">
        <f t="shared" si="250"/>
        <v>stacjonarny</v>
      </c>
      <c r="C1653" s="1">
        <v>42941</v>
      </c>
      <c r="D1653" s="2">
        <v>0.42008101851851853</v>
      </c>
      <c r="E1653" s="2">
        <v>0.4206597222222222</v>
      </c>
      <c r="F1653" s="2">
        <f t="shared" si="251"/>
        <v>5.7870370370366464E-4</v>
      </c>
      <c r="G1653">
        <f t="shared" si="252"/>
        <v>0</v>
      </c>
      <c r="H1653">
        <f t="shared" si="253"/>
        <v>0</v>
      </c>
      <c r="I1653">
        <f t="shared" si="254"/>
        <v>50</v>
      </c>
      <c r="J1653">
        <f t="shared" si="255"/>
        <v>50</v>
      </c>
      <c r="K1653">
        <f t="shared" si="256"/>
        <v>1</v>
      </c>
      <c r="L1653">
        <f t="shared" si="257"/>
        <v>553633</v>
      </c>
      <c r="M1653">
        <f t="shared" si="258"/>
        <v>182124</v>
      </c>
      <c r="N1653">
        <f t="shared" si="259"/>
        <v>783757</v>
      </c>
      <c r="O1653">
        <f>IF(B1653="zagraniczny",K1653+O1652,O1652)</f>
        <v>702</v>
      </c>
    </row>
    <row r="1654" spans="1:15" x14ac:dyDescent="0.25">
      <c r="A1654">
        <v>6465122</v>
      </c>
      <c r="B1654" t="str">
        <f t="shared" si="250"/>
        <v>stacjonarny</v>
      </c>
      <c r="C1654" s="1">
        <v>42941</v>
      </c>
      <c r="D1654" s="2">
        <v>0.42188657407407409</v>
      </c>
      <c r="E1654" s="2">
        <v>0.43138888888888888</v>
      </c>
      <c r="F1654" s="2">
        <f t="shared" si="251"/>
        <v>9.5023148148147829E-3</v>
      </c>
      <c r="G1654">
        <f t="shared" si="252"/>
        <v>0</v>
      </c>
      <c r="H1654">
        <f t="shared" si="253"/>
        <v>13</v>
      </c>
      <c r="I1654">
        <f t="shared" si="254"/>
        <v>41</v>
      </c>
      <c r="J1654">
        <f t="shared" si="255"/>
        <v>821</v>
      </c>
      <c r="K1654">
        <f t="shared" si="256"/>
        <v>14</v>
      </c>
      <c r="L1654">
        <f t="shared" si="257"/>
        <v>554454</v>
      </c>
      <c r="M1654">
        <f t="shared" si="258"/>
        <v>182124</v>
      </c>
      <c r="N1654">
        <f t="shared" si="259"/>
        <v>784578</v>
      </c>
      <c r="O1654">
        <f>IF(B1654="zagraniczny",K1654+O1653,O1653)</f>
        <v>702</v>
      </c>
    </row>
    <row r="1655" spans="1:15" x14ac:dyDescent="0.25">
      <c r="A1655">
        <v>6940373</v>
      </c>
      <c r="B1655" t="str">
        <f t="shared" si="250"/>
        <v>stacjonarny</v>
      </c>
      <c r="C1655" s="1">
        <v>42941</v>
      </c>
      <c r="D1655" s="2">
        <v>0.42711805555555554</v>
      </c>
      <c r="E1655" s="2">
        <v>0.43450231481481483</v>
      </c>
      <c r="F1655" s="2">
        <f t="shared" si="251"/>
        <v>7.3842592592592848E-3</v>
      </c>
      <c r="G1655">
        <f t="shared" si="252"/>
        <v>0</v>
      </c>
      <c r="H1655">
        <f t="shared" si="253"/>
        <v>10</v>
      </c>
      <c r="I1655">
        <f t="shared" si="254"/>
        <v>38</v>
      </c>
      <c r="J1655">
        <f t="shared" si="255"/>
        <v>638</v>
      </c>
      <c r="K1655">
        <f t="shared" si="256"/>
        <v>11</v>
      </c>
      <c r="L1655">
        <f t="shared" si="257"/>
        <v>555092</v>
      </c>
      <c r="M1655">
        <f t="shared" si="258"/>
        <v>182124</v>
      </c>
      <c r="N1655">
        <f t="shared" si="259"/>
        <v>785216</v>
      </c>
      <c r="O1655">
        <f>IF(B1655="zagraniczny",K1655+O1654,O1654)</f>
        <v>702</v>
      </c>
    </row>
    <row r="1656" spans="1:15" x14ac:dyDescent="0.25">
      <c r="A1656">
        <v>81613163</v>
      </c>
      <c r="B1656" t="str">
        <f t="shared" si="250"/>
        <v>komorkowy</v>
      </c>
      <c r="C1656" s="1">
        <v>42941</v>
      </c>
      <c r="D1656" s="2">
        <v>0.43004629629629632</v>
      </c>
      <c r="E1656" s="2">
        <v>0.43855324074074076</v>
      </c>
      <c r="F1656" s="2">
        <f t="shared" si="251"/>
        <v>8.506944444444442E-3</v>
      </c>
      <c r="G1656">
        <f t="shared" si="252"/>
        <v>0</v>
      </c>
      <c r="H1656">
        <f t="shared" si="253"/>
        <v>12</v>
      </c>
      <c r="I1656">
        <f t="shared" si="254"/>
        <v>15</v>
      </c>
      <c r="J1656">
        <f t="shared" si="255"/>
        <v>735</v>
      </c>
      <c r="K1656">
        <f t="shared" si="256"/>
        <v>13</v>
      </c>
      <c r="L1656">
        <f t="shared" si="257"/>
        <v>555092</v>
      </c>
      <c r="M1656">
        <f t="shared" si="258"/>
        <v>182859</v>
      </c>
      <c r="N1656">
        <f t="shared" si="259"/>
        <v>785951</v>
      </c>
      <c r="O1656">
        <f>IF(B1656="zagraniczny",K1656+O1655,O1655)</f>
        <v>702</v>
      </c>
    </row>
    <row r="1657" spans="1:15" x14ac:dyDescent="0.25">
      <c r="A1657">
        <v>9894998</v>
      </c>
      <c r="B1657" t="str">
        <f t="shared" si="250"/>
        <v>stacjonarny</v>
      </c>
      <c r="C1657" s="1">
        <v>42941</v>
      </c>
      <c r="D1657" s="2">
        <v>0.4344675925925926</v>
      </c>
      <c r="E1657" s="2">
        <v>0.44442129629629629</v>
      </c>
      <c r="F1657" s="2">
        <f t="shared" si="251"/>
        <v>9.9537037037036868E-3</v>
      </c>
      <c r="G1657">
        <f t="shared" si="252"/>
        <v>0</v>
      </c>
      <c r="H1657">
        <f t="shared" si="253"/>
        <v>14</v>
      </c>
      <c r="I1657">
        <f t="shared" si="254"/>
        <v>20</v>
      </c>
      <c r="J1657">
        <f t="shared" si="255"/>
        <v>860</v>
      </c>
      <c r="K1657">
        <f t="shared" si="256"/>
        <v>15</v>
      </c>
      <c r="L1657">
        <f t="shared" si="257"/>
        <v>555952</v>
      </c>
      <c r="M1657">
        <f t="shared" si="258"/>
        <v>182859</v>
      </c>
      <c r="N1657">
        <f t="shared" si="259"/>
        <v>786811</v>
      </c>
      <c r="O1657">
        <f>IF(B1657="zagraniczny",K1657+O1656,O1656)</f>
        <v>702</v>
      </c>
    </row>
    <row r="1658" spans="1:15" x14ac:dyDescent="0.25">
      <c r="A1658">
        <v>7663988</v>
      </c>
      <c r="B1658" t="str">
        <f t="shared" si="250"/>
        <v>stacjonarny</v>
      </c>
      <c r="C1658" s="1">
        <v>42941</v>
      </c>
      <c r="D1658" s="2">
        <v>0.43884259259259262</v>
      </c>
      <c r="E1658" s="2">
        <v>0.44464120370370369</v>
      </c>
      <c r="F1658" s="2">
        <f t="shared" si="251"/>
        <v>5.7986111111110739E-3</v>
      </c>
      <c r="G1658">
        <f t="shared" si="252"/>
        <v>0</v>
      </c>
      <c r="H1658">
        <f t="shared" si="253"/>
        <v>8</v>
      </c>
      <c r="I1658">
        <f t="shared" si="254"/>
        <v>21</v>
      </c>
      <c r="J1658">
        <f t="shared" si="255"/>
        <v>501</v>
      </c>
      <c r="K1658">
        <f t="shared" si="256"/>
        <v>9</v>
      </c>
      <c r="L1658">
        <f t="shared" si="257"/>
        <v>556453</v>
      </c>
      <c r="M1658">
        <f t="shared" si="258"/>
        <v>182859</v>
      </c>
      <c r="N1658">
        <f t="shared" si="259"/>
        <v>787312</v>
      </c>
      <c r="O1658">
        <f>IF(B1658="zagraniczny",K1658+O1657,O1657)</f>
        <v>702</v>
      </c>
    </row>
    <row r="1659" spans="1:15" x14ac:dyDescent="0.25">
      <c r="A1659">
        <v>29555837</v>
      </c>
      <c r="B1659" t="str">
        <f t="shared" si="250"/>
        <v>komorkowy</v>
      </c>
      <c r="C1659" s="1">
        <v>42941</v>
      </c>
      <c r="D1659" s="2">
        <v>0.44231481481481483</v>
      </c>
      <c r="E1659" s="2">
        <v>0.45185185185185184</v>
      </c>
      <c r="F1659" s="2">
        <f t="shared" si="251"/>
        <v>9.5370370370370106E-3</v>
      </c>
      <c r="G1659">
        <f t="shared" si="252"/>
        <v>0</v>
      </c>
      <c r="H1659">
        <f t="shared" si="253"/>
        <v>13</v>
      </c>
      <c r="I1659">
        <f t="shared" si="254"/>
        <v>44</v>
      </c>
      <c r="J1659">
        <f t="shared" si="255"/>
        <v>824</v>
      </c>
      <c r="K1659">
        <f t="shared" si="256"/>
        <v>14</v>
      </c>
      <c r="L1659">
        <f t="shared" si="257"/>
        <v>556453</v>
      </c>
      <c r="M1659">
        <f t="shared" si="258"/>
        <v>183683</v>
      </c>
      <c r="N1659">
        <f t="shared" si="259"/>
        <v>788136</v>
      </c>
      <c r="O1659">
        <f>IF(B1659="zagraniczny",K1659+O1658,O1658)</f>
        <v>702</v>
      </c>
    </row>
    <row r="1660" spans="1:15" x14ac:dyDescent="0.25">
      <c r="A1660">
        <v>6890486</v>
      </c>
      <c r="B1660" t="str">
        <f t="shared" si="250"/>
        <v>stacjonarny</v>
      </c>
      <c r="C1660" s="1">
        <v>42941</v>
      </c>
      <c r="D1660" s="2">
        <v>0.44594907407407408</v>
      </c>
      <c r="E1660" s="2">
        <v>0.45099537037037035</v>
      </c>
      <c r="F1660" s="2">
        <f t="shared" si="251"/>
        <v>5.046296296296271E-3</v>
      </c>
      <c r="G1660">
        <f t="shared" si="252"/>
        <v>0</v>
      </c>
      <c r="H1660">
        <f t="shared" si="253"/>
        <v>7</v>
      </c>
      <c r="I1660">
        <f t="shared" si="254"/>
        <v>16</v>
      </c>
      <c r="J1660">
        <f t="shared" si="255"/>
        <v>436</v>
      </c>
      <c r="K1660">
        <f t="shared" si="256"/>
        <v>8</v>
      </c>
      <c r="L1660">
        <f t="shared" si="257"/>
        <v>556889</v>
      </c>
      <c r="M1660">
        <f t="shared" si="258"/>
        <v>183683</v>
      </c>
      <c r="N1660">
        <f t="shared" si="259"/>
        <v>788572</v>
      </c>
      <c r="O1660">
        <f>IF(B1660="zagraniczny",K1660+O1659,O1659)</f>
        <v>702</v>
      </c>
    </row>
    <row r="1661" spans="1:15" x14ac:dyDescent="0.25">
      <c r="A1661">
        <v>1992079</v>
      </c>
      <c r="B1661" t="str">
        <f t="shared" si="250"/>
        <v>stacjonarny</v>
      </c>
      <c r="C1661" s="1">
        <v>42941</v>
      </c>
      <c r="D1661" s="2">
        <v>0.45004629629629628</v>
      </c>
      <c r="E1661" s="2">
        <v>0.45568287037037036</v>
      </c>
      <c r="F1661" s="2">
        <f t="shared" si="251"/>
        <v>5.6365740740740855E-3</v>
      </c>
      <c r="G1661">
        <f t="shared" si="252"/>
        <v>0</v>
      </c>
      <c r="H1661">
        <f t="shared" si="253"/>
        <v>8</v>
      </c>
      <c r="I1661">
        <f t="shared" si="254"/>
        <v>7</v>
      </c>
      <c r="J1661">
        <f t="shared" si="255"/>
        <v>487</v>
      </c>
      <c r="K1661">
        <f t="shared" si="256"/>
        <v>9</v>
      </c>
      <c r="L1661">
        <f t="shared" si="257"/>
        <v>557376</v>
      </c>
      <c r="M1661">
        <f t="shared" si="258"/>
        <v>183683</v>
      </c>
      <c r="N1661">
        <f t="shared" si="259"/>
        <v>789059</v>
      </c>
      <c r="O1661">
        <f>IF(B1661="zagraniczny",K1661+O1660,O1660)</f>
        <v>702</v>
      </c>
    </row>
    <row r="1662" spans="1:15" x14ac:dyDescent="0.25">
      <c r="A1662">
        <v>7599611</v>
      </c>
      <c r="B1662" t="str">
        <f t="shared" si="250"/>
        <v>stacjonarny</v>
      </c>
      <c r="C1662" s="1">
        <v>42941</v>
      </c>
      <c r="D1662" s="2">
        <v>0.45217592592592593</v>
      </c>
      <c r="E1662" s="2">
        <v>0.4568402777777778</v>
      </c>
      <c r="F1662" s="2">
        <f t="shared" si="251"/>
        <v>4.6643518518518778E-3</v>
      </c>
      <c r="G1662">
        <f t="shared" si="252"/>
        <v>0</v>
      </c>
      <c r="H1662">
        <f t="shared" si="253"/>
        <v>6</v>
      </c>
      <c r="I1662">
        <f t="shared" si="254"/>
        <v>43</v>
      </c>
      <c r="J1662">
        <f t="shared" si="255"/>
        <v>403</v>
      </c>
      <c r="K1662">
        <f t="shared" si="256"/>
        <v>7</v>
      </c>
      <c r="L1662">
        <f t="shared" si="257"/>
        <v>557779</v>
      </c>
      <c r="M1662">
        <f t="shared" si="258"/>
        <v>183683</v>
      </c>
      <c r="N1662">
        <f t="shared" si="259"/>
        <v>789462</v>
      </c>
      <c r="O1662">
        <f>IF(B1662="zagraniczny",K1662+O1661,O1661)</f>
        <v>702</v>
      </c>
    </row>
    <row r="1663" spans="1:15" x14ac:dyDescent="0.25">
      <c r="A1663">
        <v>1418351</v>
      </c>
      <c r="B1663" t="str">
        <f t="shared" si="250"/>
        <v>stacjonarny</v>
      </c>
      <c r="C1663" s="1">
        <v>42941</v>
      </c>
      <c r="D1663" s="2">
        <v>0.45377314814814818</v>
      </c>
      <c r="E1663" s="2">
        <v>0.45409722222222221</v>
      </c>
      <c r="F1663" s="2">
        <f t="shared" si="251"/>
        <v>3.2407407407403221E-4</v>
      </c>
      <c r="G1663">
        <f t="shared" si="252"/>
        <v>0</v>
      </c>
      <c r="H1663">
        <f t="shared" si="253"/>
        <v>0</v>
      </c>
      <c r="I1663">
        <f t="shared" si="254"/>
        <v>28</v>
      </c>
      <c r="J1663">
        <f t="shared" si="255"/>
        <v>28</v>
      </c>
      <c r="K1663">
        <f t="shared" si="256"/>
        <v>1</v>
      </c>
      <c r="L1663">
        <f t="shared" si="257"/>
        <v>557807</v>
      </c>
      <c r="M1663">
        <f t="shared" si="258"/>
        <v>183683</v>
      </c>
      <c r="N1663">
        <f t="shared" si="259"/>
        <v>789490</v>
      </c>
      <c r="O1663">
        <f>IF(B1663="zagraniczny",K1663+O1662,O1662)</f>
        <v>702</v>
      </c>
    </row>
    <row r="1664" spans="1:15" x14ac:dyDescent="0.25">
      <c r="A1664">
        <v>5883714</v>
      </c>
      <c r="B1664" t="str">
        <f t="shared" si="250"/>
        <v>stacjonarny</v>
      </c>
      <c r="C1664" s="1">
        <v>42941</v>
      </c>
      <c r="D1664" s="2">
        <v>0.45886574074074077</v>
      </c>
      <c r="E1664" s="2">
        <v>0.46630787037037036</v>
      </c>
      <c r="F1664" s="2">
        <f t="shared" si="251"/>
        <v>7.4421296296295902E-3</v>
      </c>
      <c r="G1664">
        <f t="shared" si="252"/>
        <v>0</v>
      </c>
      <c r="H1664">
        <f t="shared" si="253"/>
        <v>10</v>
      </c>
      <c r="I1664">
        <f t="shared" si="254"/>
        <v>43</v>
      </c>
      <c r="J1664">
        <f t="shared" si="255"/>
        <v>643</v>
      </c>
      <c r="K1664">
        <f t="shared" si="256"/>
        <v>11</v>
      </c>
      <c r="L1664">
        <f t="shared" si="257"/>
        <v>558450</v>
      </c>
      <c r="M1664">
        <f t="shared" si="258"/>
        <v>183683</v>
      </c>
      <c r="N1664">
        <f t="shared" si="259"/>
        <v>790133</v>
      </c>
      <c r="O1664">
        <f>IF(B1664="zagraniczny",K1664+O1663,O1663)</f>
        <v>702</v>
      </c>
    </row>
    <row r="1665" spans="1:15" x14ac:dyDescent="0.25">
      <c r="A1665">
        <v>1457083</v>
      </c>
      <c r="B1665" t="str">
        <f t="shared" si="250"/>
        <v>stacjonarny</v>
      </c>
      <c r="C1665" s="1">
        <v>42941</v>
      </c>
      <c r="D1665" s="2">
        <v>0.46381944444444445</v>
      </c>
      <c r="E1665" s="2">
        <v>0.47520833333333334</v>
      </c>
      <c r="F1665" s="2">
        <f t="shared" si="251"/>
        <v>1.1388888888888893E-2</v>
      </c>
      <c r="G1665">
        <f t="shared" si="252"/>
        <v>0</v>
      </c>
      <c r="H1665">
        <f t="shared" si="253"/>
        <v>16</v>
      </c>
      <c r="I1665">
        <f t="shared" si="254"/>
        <v>24</v>
      </c>
      <c r="J1665">
        <f t="shared" si="255"/>
        <v>984</v>
      </c>
      <c r="K1665">
        <f t="shared" si="256"/>
        <v>17</v>
      </c>
      <c r="L1665">
        <f t="shared" si="257"/>
        <v>559434</v>
      </c>
      <c r="M1665">
        <f t="shared" si="258"/>
        <v>183683</v>
      </c>
      <c r="N1665">
        <f t="shared" si="259"/>
        <v>791117</v>
      </c>
      <c r="O1665">
        <f>IF(B1665="zagraniczny",K1665+O1664,O1664)</f>
        <v>702</v>
      </c>
    </row>
    <row r="1666" spans="1:15" x14ac:dyDescent="0.25">
      <c r="A1666">
        <v>9948096</v>
      </c>
      <c r="B1666" t="str">
        <f t="shared" si="250"/>
        <v>stacjonarny</v>
      </c>
      <c r="C1666" s="1">
        <v>42941</v>
      </c>
      <c r="D1666" s="2">
        <v>0.46564814814814814</v>
      </c>
      <c r="E1666" s="2">
        <v>0.47028935185185183</v>
      </c>
      <c r="F1666" s="2">
        <f t="shared" si="251"/>
        <v>4.6412037037036891E-3</v>
      </c>
      <c r="G1666">
        <f t="shared" si="252"/>
        <v>0</v>
      </c>
      <c r="H1666">
        <f t="shared" si="253"/>
        <v>6</v>
      </c>
      <c r="I1666">
        <f t="shared" si="254"/>
        <v>41</v>
      </c>
      <c r="J1666">
        <f t="shared" si="255"/>
        <v>401</v>
      </c>
      <c r="K1666">
        <f t="shared" si="256"/>
        <v>7</v>
      </c>
      <c r="L1666">
        <f t="shared" si="257"/>
        <v>559835</v>
      </c>
      <c r="M1666">
        <f t="shared" si="258"/>
        <v>183683</v>
      </c>
      <c r="N1666">
        <f t="shared" si="259"/>
        <v>791518</v>
      </c>
      <c r="O1666">
        <f>IF(B1666="zagraniczny",K1666+O1665,O1665)</f>
        <v>702</v>
      </c>
    </row>
    <row r="1667" spans="1:15" x14ac:dyDescent="0.25">
      <c r="A1667">
        <v>2567031</v>
      </c>
      <c r="B1667" t="str">
        <f t="shared" ref="B1667:B1730" si="260">IF(LEN(A1667)=7,"stacjonarny",IF(LEN(A1667)=8,"komorkowy","zagraniczny"))</f>
        <v>stacjonarny</v>
      </c>
      <c r="C1667" s="1">
        <v>42941</v>
      </c>
      <c r="D1667" s="2">
        <v>0.47077546296296297</v>
      </c>
      <c r="E1667" s="2">
        <v>0.47538194444444443</v>
      </c>
      <c r="F1667" s="2">
        <f t="shared" ref="F1667:F1730" si="261">E1667-D1667</f>
        <v>4.6064814814814614E-3</v>
      </c>
      <c r="G1667">
        <f t="shared" ref="G1667:G1730" si="262">HOUR(F1667)</f>
        <v>0</v>
      </c>
      <c r="H1667">
        <f t="shared" ref="H1667:H1730" si="263">MINUTE(F1667)</f>
        <v>6</v>
      </c>
      <c r="I1667">
        <f t="shared" ref="I1667:I1730" si="264">SECOND(F1667)</f>
        <v>38</v>
      </c>
      <c r="J1667">
        <f t="shared" ref="J1667:J1730" si="265">H1667*60+I1667</f>
        <v>398</v>
      </c>
      <c r="K1667">
        <f t="shared" ref="K1667:K1730" si="266">IF(I1667&gt;0,G1667*60+H1667+1,H1667+G1667*60)</f>
        <v>7</v>
      </c>
      <c r="L1667">
        <f t="shared" si="257"/>
        <v>560233</v>
      </c>
      <c r="M1667">
        <f t="shared" si="258"/>
        <v>183683</v>
      </c>
      <c r="N1667">
        <f t="shared" si="259"/>
        <v>791916</v>
      </c>
      <c r="O1667">
        <f>IF(B1667="zagraniczny",K1667+O1666,O1666)</f>
        <v>702</v>
      </c>
    </row>
    <row r="1668" spans="1:15" x14ac:dyDescent="0.25">
      <c r="A1668">
        <v>5952625</v>
      </c>
      <c r="B1668" t="str">
        <f t="shared" si="260"/>
        <v>stacjonarny</v>
      </c>
      <c r="C1668" s="1">
        <v>42941</v>
      </c>
      <c r="D1668" s="2">
        <v>0.4729976851851852</v>
      </c>
      <c r="E1668" s="2">
        <v>0.47553240740740743</v>
      </c>
      <c r="F1668" s="2">
        <f t="shared" si="261"/>
        <v>2.5347222222222299E-3</v>
      </c>
      <c r="G1668">
        <f t="shared" si="262"/>
        <v>0</v>
      </c>
      <c r="H1668">
        <f t="shared" si="263"/>
        <v>3</v>
      </c>
      <c r="I1668">
        <f t="shared" si="264"/>
        <v>39</v>
      </c>
      <c r="J1668">
        <f t="shared" si="265"/>
        <v>219</v>
      </c>
      <c r="K1668">
        <f t="shared" si="266"/>
        <v>4</v>
      </c>
      <c r="L1668">
        <f t="shared" ref="L1668:L1731" si="267">IF(B1668="stacjonarny",$J1668+L1667,L1667)</f>
        <v>560452</v>
      </c>
      <c r="M1668">
        <f t="shared" ref="M1668:M1731" si="268">IF(B1668="komorkowy",$J1668+M1667,M1667)</f>
        <v>183683</v>
      </c>
      <c r="N1668">
        <f t="shared" ref="N1668:N1731" si="269">IF(OR(B1668="stacjonarny",B1668="komorkowy"),J1668+N1667,N1667)</f>
        <v>792135</v>
      </c>
      <c r="O1668">
        <f>IF(B1668="zagraniczny",K1668+O1667,O1667)</f>
        <v>702</v>
      </c>
    </row>
    <row r="1669" spans="1:15" x14ac:dyDescent="0.25">
      <c r="A1669">
        <v>8284495</v>
      </c>
      <c r="B1669" t="str">
        <f t="shared" si="260"/>
        <v>stacjonarny</v>
      </c>
      <c r="C1669" s="1">
        <v>42941</v>
      </c>
      <c r="D1669" s="2">
        <v>0.47385416666666669</v>
      </c>
      <c r="E1669" s="2">
        <v>0.47505787037037039</v>
      </c>
      <c r="F1669" s="2">
        <f t="shared" si="261"/>
        <v>1.2037037037037068E-3</v>
      </c>
      <c r="G1669">
        <f t="shared" si="262"/>
        <v>0</v>
      </c>
      <c r="H1669">
        <f t="shared" si="263"/>
        <v>1</v>
      </c>
      <c r="I1669">
        <f t="shared" si="264"/>
        <v>44</v>
      </c>
      <c r="J1669">
        <f t="shared" si="265"/>
        <v>104</v>
      </c>
      <c r="K1669">
        <f t="shared" si="266"/>
        <v>2</v>
      </c>
      <c r="L1669">
        <f t="shared" si="267"/>
        <v>560556</v>
      </c>
      <c r="M1669">
        <f t="shared" si="268"/>
        <v>183683</v>
      </c>
      <c r="N1669">
        <f t="shared" si="269"/>
        <v>792239</v>
      </c>
      <c r="O1669">
        <f>IF(B1669="zagraniczny",K1669+O1668,O1668)</f>
        <v>702</v>
      </c>
    </row>
    <row r="1670" spans="1:15" x14ac:dyDescent="0.25">
      <c r="A1670">
        <v>5354141</v>
      </c>
      <c r="B1670" t="str">
        <f t="shared" si="260"/>
        <v>stacjonarny</v>
      </c>
      <c r="C1670" s="1">
        <v>42941</v>
      </c>
      <c r="D1670" s="2">
        <v>0.47591435185185182</v>
      </c>
      <c r="E1670" s="2">
        <v>0.47734953703703703</v>
      </c>
      <c r="F1670" s="2">
        <f t="shared" si="261"/>
        <v>1.435185185185206E-3</v>
      </c>
      <c r="G1670">
        <f t="shared" si="262"/>
        <v>0</v>
      </c>
      <c r="H1670">
        <f t="shared" si="263"/>
        <v>2</v>
      </c>
      <c r="I1670">
        <f t="shared" si="264"/>
        <v>4</v>
      </c>
      <c r="J1670">
        <f t="shared" si="265"/>
        <v>124</v>
      </c>
      <c r="K1670">
        <f t="shared" si="266"/>
        <v>3</v>
      </c>
      <c r="L1670">
        <f t="shared" si="267"/>
        <v>560680</v>
      </c>
      <c r="M1670">
        <f t="shared" si="268"/>
        <v>183683</v>
      </c>
      <c r="N1670">
        <f t="shared" si="269"/>
        <v>792363</v>
      </c>
      <c r="O1670">
        <f>IF(B1670="zagraniczny",K1670+O1669,O1669)</f>
        <v>702</v>
      </c>
    </row>
    <row r="1671" spans="1:15" x14ac:dyDescent="0.25">
      <c r="A1671">
        <v>5713477</v>
      </c>
      <c r="B1671" t="str">
        <f t="shared" si="260"/>
        <v>stacjonarny</v>
      </c>
      <c r="C1671" s="1">
        <v>42941</v>
      </c>
      <c r="D1671" s="2">
        <v>0.4770138888888889</v>
      </c>
      <c r="E1671" s="2">
        <v>0.48685185185185187</v>
      </c>
      <c r="F1671" s="2">
        <f t="shared" si="261"/>
        <v>9.837962962962965E-3</v>
      </c>
      <c r="G1671">
        <f t="shared" si="262"/>
        <v>0</v>
      </c>
      <c r="H1671">
        <f t="shared" si="263"/>
        <v>14</v>
      </c>
      <c r="I1671">
        <f t="shared" si="264"/>
        <v>10</v>
      </c>
      <c r="J1671">
        <f t="shared" si="265"/>
        <v>850</v>
      </c>
      <c r="K1671">
        <f t="shared" si="266"/>
        <v>15</v>
      </c>
      <c r="L1671">
        <f t="shared" si="267"/>
        <v>561530</v>
      </c>
      <c r="M1671">
        <f t="shared" si="268"/>
        <v>183683</v>
      </c>
      <c r="N1671">
        <f t="shared" si="269"/>
        <v>793213</v>
      </c>
      <c r="O1671">
        <f>IF(B1671="zagraniczny",K1671+O1670,O1670)</f>
        <v>702</v>
      </c>
    </row>
    <row r="1672" spans="1:15" x14ac:dyDescent="0.25">
      <c r="A1672">
        <v>6865322</v>
      </c>
      <c r="B1672" t="str">
        <f t="shared" si="260"/>
        <v>stacjonarny</v>
      </c>
      <c r="C1672" s="1">
        <v>42941</v>
      </c>
      <c r="D1672" s="2">
        <v>0.47781249999999997</v>
      </c>
      <c r="E1672" s="2">
        <v>0.48425925925925928</v>
      </c>
      <c r="F1672" s="2">
        <f t="shared" si="261"/>
        <v>6.4467592592593048E-3</v>
      </c>
      <c r="G1672">
        <f t="shared" si="262"/>
        <v>0</v>
      </c>
      <c r="H1672">
        <f t="shared" si="263"/>
        <v>9</v>
      </c>
      <c r="I1672">
        <f t="shared" si="264"/>
        <v>17</v>
      </c>
      <c r="J1672">
        <f t="shared" si="265"/>
        <v>557</v>
      </c>
      <c r="K1672">
        <f t="shared" si="266"/>
        <v>10</v>
      </c>
      <c r="L1672">
        <f t="shared" si="267"/>
        <v>562087</v>
      </c>
      <c r="M1672">
        <f t="shared" si="268"/>
        <v>183683</v>
      </c>
      <c r="N1672">
        <f t="shared" si="269"/>
        <v>793770</v>
      </c>
      <c r="O1672">
        <f>IF(B1672="zagraniczny",K1672+O1671,O1671)</f>
        <v>702</v>
      </c>
    </row>
    <row r="1673" spans="1:15" x14ac:dyDescent="0.25">
      <c r="A1673">
        <v>9007177570</v>
      </c>
      <c r="B1673" t="str">
        <f t="shared" si="260"/>
        <v>zagraniczny</v>
      </c>
      <c r="C1673" s="1">
        <v>42941</v>
      </c>
      <c r="D1673" s="2">
        <v>0.47957175925925927</v>
      </c>
      <c r="E1673" s="2">
        <v>0.48254629629629631</v>
      </c>
      <c r="F1673" s="2">
        <f t="shared" si="261"/>
        <v>2.9745370370370394E-3</v>
      </c>
      <c r="G1673">
        <f t="shared" si="262"/>
        <v>0</v>
      </c>
      <c r="H1673">
        <f t="shared" si="263"/>
        <v>4</v>
      </c>
      <c r="I1673">
        <f t="shared" si="264"/>
        <v>17</v>
      </c>
      <c r="J1673">
        <f t="shared" si="265"/>
        <v>257</v>
      </c>
      <c r="K1673">
        <f t="shared" si="266"/>
        <v>5</v>
      </c>
      <c r="L1673">
        <f t="shared" si="267"/>
        <v>562087</v>
      </c>
      <c r="M1673">
        <f t="shared" si="268"/>
        <v>183683</v>
      </c>
      <c r="N1673">
        <f t="shared" si="269"/>
        <v>793770</v>
      </c>
      <c r="O1673">
        <f>IF(B1673="zagraniczny",K1673+O1672,O1672)</f>
        <v>707</v>
      </c>
    </row>
    <row r="1674" spans="1:15" x14ac:dyDescent="0.25">
      <c r="A1674">
        <v>49920930</v>
      </c>
      <c r="B1674" t="str">
        <f t="shared" si="260"/>
        <v>komorkowy</v>
      </c>
      <c r="C1674" s="1">
        <v>42941</v>
      </c>
      <c r="D1674" s="2">
        <v>0.48457175925925927</v>
      </c>
      <c r="E1674" s="2">
        <v>0.48851851851851852</v>
      </c>
      <c r="F1674" s="2">
        <f t="shared" si="261"/>
        <v>3.9467592592592471E-3</v>
      </c>
      <c r="G1674">
        <f t="shared" si="262"/>
        <v>0</v>
      </c>
      <c r="H1674">
        <f t="shared" si="263"/>
        <v>5</v>
      </c>
      <c r="I1674">
        <f t="shared" si="264"/>
        <v>41</v>
      </c>
      <c r="J1674">
        <f t="shared" si="265"/>
        <v>341</v>
      </c>
      <c r="K1674">
        <f t="shared" si="266"/>
        <v>6</v>
      </c>
      <c r="L1674">
        <f t="shared" si="267"/>
        <v>562087</v>
      </c>
      <c r="M1674">
        <f t="shared" si="268"/>
        <v>184024</v>
      </c>
      <c r="N1674">
        <f t="shared" si="269"/>
        <v>794111</v>
      </c>
      <c r="O1674">
        <f>IF(B1674="zagraniczny",K1674+O1673,O1673)</f>
        <v>707</v>
      </c>
    </row>
    <row r="1675" spans="1:15" x14ac:dyDescent="0.25">
      <c r="A1675">
        <v>3624713</v>
      </c>
      <c r="B1675" t="str">
        <f t="shared" si="260"/>
        <v>stacjonarny</v>
      </c>
      <c r="C1675" s="1">
        <v>42941</v>
      </c>
      <c r="D1675" s="2">
        <v>0.48563657407407407</v>
      </c>
      <c r="E1675" s="2">
        <v>0.49687500000000001</v>
      </c>
      <c r="F1675" s="2">
        <f t="shared" si="261"/>
        <v>1.1238425925925943E-2</v>
      </c>
      <c r="G1675">
        <f t="shared" si="262"/>
        <v>0</v>
      </c>
      <c r="H1675">
        <f t="shared" si="263"/>
        <v>16</v>
      </c>
      <c r="I1675">
        <f t="shared" si="264"/>
        <v>11</v>
      </c>
      <c r="J1675">
        <f t="shared" si="265"/>
        <v>971</v>
      </c>
      <c r="K1675">
        <f t="shared" si="266"/>
        <v>17</v>
      </c>
      <c r="L1675">
        <f t="shared" si="267"/>
        <v>563058</v>
      </c>
      <c r="M1675">
        <f t="shared" si="268"/>
        <v>184024</v>
      </c>
      <c r="N1675">
        <f t="shared" si="269"/>
        <v>795082</v>
      </c>
      <c r="O1675">
        <f>IF(B1675="zagraniczny",K1675+O1674,O1674)</f>
        <v>707</v>
      </c>
    </row>
    <row r="1676" spans="1:15" x14ac:dyDescent="0.25">
      <c r="A1676">
        <v>39848401</v>
      </c>
      <c r="B1676" t="str">
        <f t="shared" si="260"/>
        <v>komorkowy</v>
      </c>
      <c r="C1676" s="1">
        <v>42941</v>
      </c>
      <c r="D1676" s="2">
        <v>0.48615740740740743</v>
      </c>
      <c r="E1676" s="2">
        <v>0.49478009259259259</v>
      </c>
      <c r="F1676" s="2">
        <f t="shared" si="261"/>
        <v>8.6226851851851638E-3</v>
      </c>
      <c r="G1676">
        <f t="shared" si="262"/>
        <v>0</v>
      </c>
      <c r="H1676">
        <f t="shared" si="263"/>
        <v>12</v>
      </c>
      <c r="I1676">
        <f t="shared" si="264"/>
        <v>25</v>
      </c>
      <c r="J1676">
        <f t="shared" si="265"/>
        <v>745</v>
      </c>
      <c r="K1676">
        <f t="shared" si="266"/>
        <v>13</v>
      </c>
      <c r="L1676">
        <f t="shared" si="267"/>
        <v>563058</v>
      </c>
      <c r="M1676">
        <f t="shared" si="268"/>
        <v>184769</v>
      </c>
      <c r="N1676">
        <f t="shared" si="269"/>
        <v>795827</v>
      </c>
      <c r="O1676">
        <f>IF(B1676="zagraniczny",K1676+O1675,O1675)</f>
        <v>707</v>
      </c>
    </row>
    <row r="1677" spans="1:15" x14ac:dyDescent="0.25">
      <c r="A1677">
        <v>4131448</v>
      </c>
      <c r="B1677" t="str">
        <f t="shared" si="260"/>
        <v>stacjonarny</v>
      </c>
      <c r="C1677" s="1">
        <v>42941</v>
      </c>
      <c r="D1677" s="2">
        <v>0.48975694444444445</v>
      </c>
      <c r="E1677" s="2">
        <v>0.49530092592592595</v>
      </c>
      <c r="F1677" s="2">
        <f t="shared" si="261"/>
        <v>5.5439814814814969E-3</v>
      </c>
      <c r="G1677">
        <f t="shared" si="262"/>
        <v>0</v>
      </c>
      <c r="H1677">
        <f t="shared" si="263"/>
        <v>7</v>
      </c>
      <c r="I1677">
        <f t="shared" si="264"/>
        <v>59</v>
      </c>
      <c r="J1677">
        <f t="shared" si="265"/>
        <v>479</v>
      </c>
      <c r="K1677">
        <f t="shared" si="266"/>
        <v>8</v>
      </c>
      <c r="L1677">
        <f t="shared" si="267"/>
        <v>563537</v>
      </c>
      <c r="M1677">
        <f t="shared" si="268"/>
        <v>184769</v>
      </c>
      <c r="N1677">
        <f t="shared" si="269"/>
        <v>796306</v>
      </c>
      <c r="O1677">
        <f>IF(B1677="zagraniczny",K1677+O1676,O1676)</f>
        <v>707</v>
      </c>
    </row>
    <row r="1678" spans="1:15" x14ac:dyDescent="0.25">
      <c r="A1678">
        <v>2239958</v>
      </c>
      <c r="B1678" t="str">
        <f t="shared" si="260"/>
        <v>stacjonarny</v>
      </c>
      <c r="C1678" s="1">
        <v>42941</v>
      </c>
      <c r="D1678" s="2">
        <v>0.49523148148148149</v>
      </c>
      <c r="E1678" s="2">
        <v>0.49962962962962965</v>
      </c>
      <c r="F1678" s="2">
        <f t="shared" si="261"/>
        <v>4.398148148148151E-3</v>
      </c>
      <c r="G1678">
        <f t="shared" si="262"/>
        <v>0</v>
      </c>
      <c r="H1678">
        <f t="shared" si="263"/>
        <v>6</v>
      </c>
      <c r="I1678">
        <f t="shared" si="264"/>
        <v>20</v>
      </c>
      <c r="J1678">
        <f t="shared" si="265"/>
        <v>380</v>
      </c>
      <c r="K1678">
        <f t="shared" si="266"/>
        <v>7</v>
      </c>
      <c r="L1678">
        <f t="shared" si="267"/>
        <v>563917</v>
      </c>
      <c r="M1678">
        <f t="shared" si="268"/>
        <v>184769</v>
      </c>
      <c r="N1678">
        <f t="shared" si="269"/>
        <v>796686</v>
      </c>
      <c r="O1678">
        <f>IF(B1678="zagraniczny",K1678+O1677,O1677)</f>
        <v>707</v>
      </c>
    </row>
    <row r="1679" spans="1:15" x14ac:dyDescent="0.25">
      <c r="A1679">
        <v>3680149</v>
      </c>
      <c r="B1679" t="str">
        <f t="shared" si="260"/>
        <v>stacjonarny</v>
      </c>
      <c r="C1679" s="1">
        <v>42941</v>
      </c>
      <c r="D1679" s="2">
        <v>0.49556712962962962</v>
      </c>
      <c r="E1679" s="2">
        <v>0.49927083333333333</v>
      </c>
      <c r="F1679" s="2">
        <f t="shared" si="261"/>
        <v>3.703703703703709E-3</v>
      </c>
      <c r="G1679">
        <f t="shared" si="262"/>
        <v>0</v>
      </c>
      <c r="H1679">
        <f t="shared" si="263"/>
        <v>5</v>
      </c>
      <c r="I1679">
        <f t="shared" si="264"/>
        <v>20</v>
      </c>
      <c r="J1679">
        <f t="shared" si="265"/>
        <v>320</v>
      </c>
      <c r="K1679">
        <f t="shared" si="266"/>
        <v>6</v>
      </c>
      <c r="L1679">
        <f t="shared" si="267"/>
        <v>564237</v>
      </c>
      <c r="M1679">
        <f t="shared" si="268"/>
        <v>184769</v>
      </c>
      <c r="N1679">
        <f t="shared" si="269"/>
        <v>797006</v>
      </c>
      <c r="O1679">
        <f>IF(B1679="zagraniczny",K1679+O1678,O1678)</f>
        <v>707</v>
      </c>
    </row>
    <row r="1680" spans="1:15" x14ac:dyDescent="0.25">
      <c r="A1680">
        <v>3654212</v>
      </c>
      <c r="B1680" t="str">
        <f t="shared" si="260"/>
        <v>stacjonarny</v>
      </c>
      <c r="C1680" s="1">
        <v>42941</v>
      </c>
      <c r="D1680" s="2">
        <v>0.49739583333333331</v>
      </c>
      <c r="E1680" s="2">
        <v>0.49787037037037035</v>
      </c>
      <c r="F1680" s="2">
        <f t="shared" si="261"/>
        <v>4.745370370370372E-4</v>
      </c>
      <c r="G1680">
        <f t="shared" si="262"/>
        <v>0</v>
      </c>
      <c r="H1680">
        <f t="shared" si="263"/>
        <v>0</v>
      </c>
      <c r="I1680">
        <f t="shared" si="264"/>
        <v>41</v>
      </c>
      <c r="J1680">
        <f t="shared" si="265"/>
        <v>41</v>
      </c>
      <c r="K1680">
        <f t="shared" si="266"/>
        <v>1</v>
      </c>
      <c r="L1680">
        <f t="shared" si="267"/>
        <v>564278</v>
      </c>
      <c r="M1680">
        <f t="shared" si="268"/>
        <v>184769</v>
      </c>
      <c r="N1680">
        <f t="shared" si="269"/>
        <v>797047</v>
      </c>
      <c r="O1680">
        <f>IF(B1680="zagraniczny",K1680+O1679,O1679)</f>
        <v>707</v>
      </c>
    </row>
    <row r="1681" spans="1:15" x14ac:dyDescent="0.25">
      <c r="A1681">
        <v>3192053</v>
      </c>
      <c r="B1681" t="str">
        <f t="shared" si="260"/>
        <v>stacjonarny</v>
      </c>
      <c r="C1681" s="1">
        <v>42941</v>
      </c>
      <c r="D1681" s="2">
        <v>0.49796296296296294</v>
      </c>
      <c r="E1681" s="2">
        <v>0.5053009259259259</v>
      </c>
      <c r="F1681" s="2">
        <f t="shared" si="261"/>
        <v>7.3379629629629628E-3</v>
      </c>
      <c r="G1681">
        <f t="shared" si="262"/>
        <v>0</v>
      </c>
      <c r="H1681">
        <f t="shared" si="263"/>
        <v>10</v>
      </c>
      <c r="I1681">
        <f t="shared" si="264"/>
        <v>34</v>
      </c>
      <c r="J1681">
        <f t="shared" si="265"/>
        <v>634</v>
      </c>
      <c r="K1681">
        <f t="shared" si="266"/>
        <v>11</v>
      </c>
      <c r="L1681">
        <f t="shared" si="267"/>
        <v>564912</v>
      </c>
      <c r="M1681">
        <f t="shared" si="268"/>
        <v>184769</v>
      </c>
      <c r="N1681">
        <f t="shared" si="269"/>
        <v>797681</v>
      </c>
      <c r="O1681">
        <f>IF(B1681="zagraniczny",K1681+O1680,O1680)</f>
        <v>707</v>
      </c>
    </row>
    <row r="1682" spans="1:15" x14ac:dyDescent="0.25">
      <c r="A1682">
        <v>2355456</v>
      </c>
      <c r="B1682" t="str">
        <f t="shared" si="260"/>
        <v>stacjonarny</v>
      </c>
      <c r="C1682" s="1">
        <v>42941</v>
      </c>
      <c r="D1682" s="2">
        <v>0.50027777777777782</v>
      </c>
      <c r="E1682" s="2">
        <v>0.50983796296296291</v>
      </c>
      <c r="F1682" s="2">
        <f t="shared" si="261"/>
        <v>9.5601851851850883E-3</v>
      </c>
      <c r="G1682">
        <f t="shared" si="262"/>
        <v>0</v>
      </c>
      <c r="H1682">
        <f t="shared" si="263"/>
        <v>13</v>
      </c>
      <c r="I1682">
        <f t="shared" si="264"/>
        <v>46</v>
      </c>
      <c r="J1682">
        <f t="shared" si="265"/>
        <v>826</v>
      </c>
      <c r="K1682">
        <f t="shared" si="266"/>
        <v>14</v>
      </c>
      <c r="L1682">
        <f t="shared" si="267"/>
        <v>565738</v>
      </c>
      <c r="M1682">
        <f t="shared" si="268"/>
        <v>184769</v>
      </c>
      <c r="N1682">
        <f t="shared" si="269"/>
        <v>798507</v>
      </c>
      <c r="O1682">
        <f>IF(B1682="zagraniczny",K1682+O1681,O1681)</f>
        <v>707</v>
      </c>
    </row>
    <row r="1683" spans="1:15" x14ac:dyDescent="0.25">
      <c r="A1683">
        <v>64932677</v>
      </c>
      <c r="B1683" t="str">
        <f t="shared" si="260"/>
        <v>komorkowy</v>
      </c>
      <c r="C1683" s="1">
        <v>42941</v>
      </c>
      <c r="D1683" s="2">
        <v>0.50436342592592598</v>
      </c>
      <c r="E1683" s="2">
        <v>0.51339120370370372</v>
      </c>
      <c r="F1683" s="2">
        <f t="shared" si="261"/>
        <v>9.0277777777777457E-3</v>
      </c>
      <c r="G1683">
        <f t="shared" si="262"/>
        <v>0</v>
      </c>
      <c r="H1683">
        <f t="shared" si="263"/>
        <v>13</v>
      </c>
      <c r="I1683">
        <f t="shared" si="264"/>
        <v>0</v>
      </c>
      <c r="J1683">
        <f t="shared" si="265"/>
        <v>780</v>
      </c>
      <c r="K1683">
        <f t="shared" si="266"/>
        <v>13</v>
      </c>
      <c r="L1683">
        <f t="shared" si="267"/>
        <v>565738</v>
      </c>
      <c r="M1683">
        <f t="shared" si="268"/>
        <v>185549</v>
      </c>
      <c r="N1683">
        <f t="shared" si="269"/>
        <v>799287</v>
      </c>
      <c r="O1683">
        <f>IF(B1683="zagraniczny",K1683+O1682,O1682)</f>
        <v>707</v>
      </c>
    </row>
    <row r="1684" spans="1:15" x14ac:dyDescent="0.25">
      <c r="A1684">
        <v>9419117</v>
      </c>
      <c r="B1684" t="str">
        <f t="shared" si="260"/>
        <v>stacjonarny</v>
      </c>
      <c r="C1684" s="1">
        <v>42941</v>
      </c>
      <c r="D1684" s="2">
        <v>0.50545138888888885</v>
      </c>
      <c r="E1684" s="2">
        <v>0.50761574074074078</v>
      </c>
      <c r="F1684" s="2">
        <f t="shared" si="261"/>
        <v>2.1643518518519311E-3</v>
      </c>
      <c r="G1684">
        <f t="shared" si="262"/>
        <v>0</v>
      </c>
      <c r="H1684">
        <f t="shared" si="263"/>
        <v>3</v>
      </c>
      <c r="I1684">
        <f t="shared" si="264"/>
        <v>7</v>
      </c>
      <c r="J1684">
        <f t="shared" si="265"/>
        <v>187</v>
      </c>
      <c r="K1684">
        <f t="shared" si="266"/>
        <v>4</v>
      </c>
      <c r="L1684">
        <f t="shared" si="267"/>
        <v>565925</v>
      </c>
      <c r="M1684">
        <f t="shared" si="268"/>
        <v>185549</v>
      </c>
      <c r="N1684">
        <f t="shared" si="269"/>
        <v>799474</v>
      </c>
      <c r="O1684">
        <f>IF(B1684="zagraniczny",K1684+O1683,O1683)</f>
        <v>707</v>
      </c>
    </row>
    <row r="1685" spans="1:15" x14ac:dyDescent="0.25">
      <c r="A1685">
        <v>2509631</v>
      </c>
      <c r="B1685" t="str">
        <f t="shared" si="260"/>
        <v>stacjonarny</v>
      </c>
      <c r="C1685" s="1">
        <v>42941</v>
      </c>
      <c r="D1685" s="2">
        <v>0.51025462962962964</v>
      </c>
      <c r="E1685" s="2">
        <v>0.52134259259259264</v>
      </c>
      <c r="F1685" s="2">
        <f t="shared" si="261"/>
        <v>1.1087962962962994E-2</v>
      </c>
      <c r="G1685">
        <f t="shared" si="262"/>
        <v>0</v>
      </c>
      <c r="H1685">
        <f t="shared" si="263"/>
        <v>15</v>
      </c>
      <c r="I1685">
        <f t="shared" si="264"/>
        <v>58</v>
      </c>
      <c r="J1685">
        <f t="shared" si="265"/>
        <v>958</v>
      </c>
      <c r="K1685">
        <f t="shared" si="266"/>
        <v>16</v>
      </c>
      <c r="L1685">
        <f t="shared" si="267"/>
        <v>566883</v>
      </c>
      <c r="M1685">
        <f t="shared" si="268"/>
        <v>185549</v>
      </c>
      <c r="N1685">
        <f t="shared" si="269"/>
        <v>800432</v>
      </c>
      <c r="O1685">
        <f>IF(B1685="zagraniczny",K1685+O1684,O1684)</f>
        <v>707</v>
      </c>
    </row>
    <row r="1686" spans="1:15" x14ac:dyDescent="0.25">
      <c r="A1686">
        <v>4505950</v>
      </c>
      <c r="B1686" t="str">
        <f t="shared" si="260"/>
        <v>stacjonarny</v>
      </c>
      <c r="C1686" s="1">
        <v>42941</v>
      </c>
      <c r="D1686" s="2">
        <v>0.51373842592592589</v>
      </c>
      <c r="E1686" s="2">
        <v>0.52304398148148146</v>
      </c>
      <c r="F1686" s="2">
        <f t="shared" si="261"/>
        <v>9.3055555555555669E-3</v>
      </c>
      <c r="G1686">
        <f t="shared" si="262"/>
        <v>0</v>
      </c>
      <c r="H1686">
        <f t="shared" si="263"/>
        <v>13</v>
      </c>
      <c r="I1686">
        <f t="shared" si="264"/>
        <v>24</v>
      </c>
      <c r="J1686">
        <f t="shared" si="265"/>
        <v>804</v>
      </c>
      <c r="K1686">
        <f t="shared" si="266"/>
        <v>14</v>
      </c>
      <c r="L1686">
        <f t="shared" si="267"/>
        <v>567687</v>
      </c>
      <c r="M1686">
        <f t="shared" si="268"/>
        <v>185549</v>
      </c>
      <c r="N1686">
        <f t="shared" si="269"/>
        <v>801236</v>
      </c>
      <c r="O1686">
        <f>IF(B1686="zagraniczny",K1686+O1685,O1685)</f>
        <v>707</v>
      </c>
    </row>
    <row r="1687" spans="1:15" x14ac:dyDescent="0.25">
      <c r="A1687">
        <v>39663331</v>
      </c>
      <c r="B1687" t="str">
        <f t="shared" si="260"/>
        <v>komorkowy</v>
      </c>
      <c r="C1687" s="1">
        <v>42941</v>
      </c>
      <c r="D1687" s="2">
        <v>0.51447916666666671</v>
      </c>
      <c r="E1687" s="2">
        <v>0.51800925925925922</v>
      </c>
      <c r="F1687" s="2">
        <f t="shared" si="261"/>
        <v>3.5300925925925153E-3</v>
      </c>
      <c r="G1687">
        <f t="shared" si="262"/>
        <v>0</v>
      </c>
      <c r="H1687">
        <f t="shared" si="263"/>
        <v>5</v>
      </c>
      <c r="I1687">
        <f t="shared" si="264"/>
        <v>5</v>
      </c>
      <c r="J1687">
        <f t="shared" si="265"/>
        <v>305</v>
      </c>
      <c r="K1687">
        <f t="shared" si="266"/>
        <v>6</v>
      </c>
      <c r="L1687">
        <f t="shared" si="267"/>
        <v>567687</v>
      </c>
      <c r="M1687">
        <f t="shared" si="268"/>
        <v>185854</v>
      </c>
      <c r="N1687">
        <f t="shared" si="269"/>
        <v>801541</v>
      </c>
      <c r="O1687">
        <f>IF(B1687="zagraniczny",K1687+O1686,O1686)</f>
        <v>707</v>
      </c>
    </row>
    <row r="1688" spans="1:15" x14ac:dyDescent="0.25">
      <c r="A1688">
        <v>73350537</v>
      </c>
      <c r="B1688" t="str">
        <f t="shared" si="260"/>
        <v>komorkowy</v>
      </c>
      <c r="C1688" s="1">
        <v>42941</v>
      </c>
      <c r="D1688" s="2">
        <v>0.51847222222222222</v>
      </c>
      <c r="E1688" s="2">
        <v>0.5267708333333333</v>
      </c>
      <c r="F1688" s="2">
        <f t="shared" si="261"/>
        <v>8.2986111111110761E-3</v>
      </c>
      <c r="G1688">
        <f t="shared" si="262"/>
        <v>0</v>
      </c>
      <c r="H1688">
        <f t="shared" si="263"/>
        <v>11</v>
      </c>
      <c r="I1688">
        <f t="shared" si="264"/>
        <v>57</v>
      </c>
      <c r="J1688">
        <f t="shared" si="265"/>
        <v>717</v>
      </c>
      <c r="K1688">
        <f t="shared" si="266"/>
        <v>12</v>
      </c>
      <c r="L1688">
        <f t="shared" si="267"/>
        <v>567687</v>
      </c>
      <c r="M1688">
        <f t="shared" si="268"/>
        <v>186571</v>
      </c>
      <c r="N1688">
        <f t="shared" si="269"/>
        <v>802258</v>
      </c>
      <c r="O1688">
        <f>IF(B1688="zagraniczny",K1688+O1687,O1687)</f>
        <v>707</v>
      </c>
    </row>
    <row r="1689" spans="1:15" x14ac:dyDescent="0.25">
      <c r="A1689">
        <v>36929553</v>
      </c>
      <c r="B1689" t="str">
        <f t="shared" si="260"/>
        <v>komorkowy</v>
      </c>
      <c r="C1689" s="1">
        <v>42941</v>
      </c>
      <c r="D1689" s="2">
        <v>0.52155092592592589</v>
      </c>
      <c r="E1689" s="2">
        <v>0.52667824074074077</v>
      </c>
      <c r="F1689" s="2">
        <f t="shared" si="261"/>
        <v>5.1273148148148762E-3</v>
      </c>
      <c r="G1689">
        <f t="shared" si="262"/>
        <v>0</v>
      </c>
      <c r="H1689">
        <f t="shared" si="263"/>
        <v>7</v>
      </c>
      <c r="I1689">
        <f t="shared" si="264"/>
        <v>23</v>
      </c>
      <c r="J1689">
        <f t="shared" si="265"/>
        <v>443</v>
      </c>
      <c r="K1689">
        <f t="shared" si="266"/>
        <v>8</v>
      </c>
      <c r="L1689">
        <f t="shared" si="267"/>
        <v>567687</v>
      </c>
      <c r="M1689">
        <f t="shared" si="268"/>
        <v>187014</v>
      </c>
      <c r="N1689">
        <f t="shared" si="269"/>
        <v>802701</v>
      </c>
      <c r="O1689">
        <f>IF(B1689="zagraniczny",K1689+O1688,O1688)</f>
        <v>707</v>
      </c>
    </row>
    <row r="1690" spans="1:15" x14ac:dyDescent="0.25">
      <c r="A1690">
        <v>74135093</v>
      </c>
      <c r="B1690" t="str">
        <f t="shared" si="260"/>
        <v>komorkowy</v>
      </c>
      <c r="C1690" s="1">
        <v>42941</v>
      </c>
      <c r="D1690" s="2">
        <v>0.52232638888888894</v>
      </c>
      <c r="E1690" s="2">
        <v>0.52666666666666662</v>
      </c>
      <c r="F1690" s="2">
        <f t="shared" si="261"/>
        <v>4.3402777777776791E-3</v>
      </c>
      <c r="G1690">
        <f t="shared" si="262"/>
        <v>0</v>
      </c>
      <c r="H1690">
        <f t="shared" si="263"/>
        <v>6</v>
      </c>
      <c r="I1690">
        <f t="shared" si="264"/>
        <v>15</v>
      </c>
      <c r="J1690">
        <f t="shared" si="265"/>
        <v>375</v>
      </c>
      <c r="K1690">
        <f t="shared" si="266"/>
        <v>7</v>
      </c>
      <c r="L1690">
        <f t="shared" si="267"/>
        <v>567687</v>
      </c>
      <c r="M1690">
        <f t="shared" si="268"/>
        <v>187389</v>
      </c>
      <c r="N1690">
        <f t="shared" si="269"/>
        <v>803076</v>
      </c>
      <c r="O1690">
        <f>IF(B1690="zagraniczny",K1690+O1689,O1689)</f>
        <v>707</v>
      </c>
    </row>
    <row r="1691" spans="1:15" x14ac:dyDescent="0.25">
      <c r="A1691">
        <v>3505978</v>
      </c>
      <c r="B1691" t="str">
        <f t="shared" si="260"/>
        <v>stacjonarny</v>
      </c>
      <c r="C1691" s="1">
        <v>42941</v>
      </c>
      <c r="D1691" s="2">
        <v>0.52393518518518523</v>
      </c>
      <c r="E1691" s="2">
        <v>0.53479166666666667</v>
      </c>
      <c r="F1691" s="2">
        <f t="shared" si="261"/>
        <v>1.0856481481481439E-2</v>
      </c>
      <c r="G1691">
        <f t="shared" si="262"/>
        <v>0</v>
      </c>
      <c r="H1691">
        <f t="shared" si="263"/>
        <v>15</v>
      </c>
      <c r="I1691">
        <f t="shared" si="264"/>
        <v>38</v>
      </c>
      <c r="J1691">
        <f t="shared" si="265"/>
        <v>938</v>
      </c>
      <c r="K1691">
        <f t="shared" si="266"/>
        <v>16</v>
      </c>
      <c r="L1691">
        <f t="shared" si="267"/>
        <v>568625</v>
      </c>
      <c r="M1691">
        <f t="shared" si="268"/>
        <v>187389</v>
      </c>
      <c r="N1691">
        <f t="shared" si="269"/>
        <v>804014</v>
      </c>
      <c r="O1691">
        <f>IF(B1691="zagraniczny",K1691+O1690,O1690)</f>
        <v>707</v>
      </c>
    </row>
    <row r="1692" spans="1:15" x14ac:dyDescent="0.25">
      <c r="A1692">
        <v>4483996</v>
      </c>
      <c r="B1692" t="str">
        <f t="shared" si="260"/>
        <v>stacjonarny</v>
      </c>
      <c r="C1692" s="1">
        <v>42941</v>
      </c>
      <c r="D1692" s="2">
        <v>0.52584490740740741</v>
      </c>
      <c r="E1692" s="2">
        <v>0.53660879629629632</v>
      </c>
      <c r="F1692" s="2">
        <f t="shared" si="261"/>
        <v>1.0763888888888906E-2</v>
      </c>
      <c r="G1692">
        <f t="shared" si="262"/>
        <v>0</v>
      </c>
      <c r="H1692">
        <f t="shared" si="263"/>
        <v>15</v>
      </c>
      <c r="I1692">
        <f t="shared" si="264"/>
        <v>30</v>
      </c>
      <c r="J1692">
        <f t="shared" si="265"/>
        <v>930</v>
      </c>
      <c r="K1692">
        <f t="shared" si="266"/>
        <v>16</v>
      </c>
      <c r="L1692">
        <f t="shared" si="267"/>
        <v>569555</v>
      </c>
      <c r="M1692">
        <f t="shared" si="268"/>
        <v>187389</v>
      </c>
      <c r="N1692">
        <f t="shared" si="269"/>
        <v>804944</v>
      </c>
      <c r="O1692">
        <f>IF(B1692="zagraniczny",K1692+O1691,O1691)</f>
        <v>707</v>
      </c>
    </row>
    <row r="1693" spans="1:15" x14ac:dyDescent="0.25">
      <c r="A1693">
        <v>6264844</v>
      </c>
      <c r="B1693" t="str">
        <f t="shared" si="260"/>
        <v>stacjonarny</v>
      </c>
      <c r="C1693" s="1">
        <v>42941</v>
      </c>
      <c r="D1693" s="2">
        <v>0.52655092592592589</v>
      </c>
      <c r="E1693" s="2">
        <v>0.52703703703703708</v>
      </c>
      <c r="F1693" s="2">
        <f t="shared" si="261"/>
        <v>4.861111111111871E-4</v>
      </c>
      <c r="G1693">
        <f t="shared" si="262"/>
        <v>0</v>
      </c>
      <c r="H1693">
        <f t="shared" si="263"/>
        <v>0</v>
      </c>
      <c r="I1693">
        <f t="shared" si="264"/>
        <v>42</v>
      </c>
      <c r="J1693">
        <f t="shared" si="265"/>
        <v>42</v>
      </c>
      <c r="K1693">
        <f t="shared" si="266"/>
        <v>1</v>
      </c>
      <c r="L1693">
        <f t="shared" si="267"/>
        <v>569597</v>
      </c>
      <c r="M1693">
        <f t="shared" si="268"/>
        <v>187389</v>
      </c>
      <c r="N1693">
        <f t="shared" si="269"/>
        <v>804986</v>
      </c>
      <c r="O1693">
        <f>IF(B1693="zagraniczny",K1693+O1692,O1692)</f>
        <v>707</v>
      </c>
    </row>
    <row r="1694" spans="1:15" x14ac:dyDescent="0.25">
      <c r="A1694">
        <v>92127966</v>
      </c>
      <c r="B1694" t="str">
        <f t="shared" si="260"/>
        <v>komorkowy</v>
      </c>
      <c r="C1694" s="1">
        <v>42941</v>
      </c>
      <c r="D1694" s="2">
        <v>0.5317708333333333</v>
      </c>
      <c r="E1694" s="2">
        <v>0.53724537037037035</v>
      </c>
      <c r="F1694" s="2">
        <f t="shared" si="261"/>
        <v>5.4745370370370416E-3</v>
      </c>
      <c r="G1694">
        <f t="shared" si="262"/>
        <v>0</v>
      </c>
      <c r="H1694">
        <f t="shared" si="263"/>
        <v>7</v>
      </c>
      <c r="I1694">
        <f t="shared" si="264"/>
        <v>53</v>
      </c>
      <c r="J1694">
        <f t="shared" si="265"/>
        <v>473</v>
      </c>
      <c r="K1694">
        <f t="shared" si="266"/>
        <v>8</v>
      </c>
      <c r="L1694">
        <f t="shared" si="267"/>
        <v>569597</v>
      </c>
      <c r="M1694">
        <f t="shared" si="268"/>
        <v>187862</v>
      </c>
      <c r="N1694">
        <f t="shared" si="269"/>
        <v>805459</v>
      </c>
      <c r="O1694">
        <f>IF(B1694="zagraniczny",K1694+O1693,O1693)</f>
        <v>707</v>
      </c>
    </row>
    <row r="1695" spans="1:15" x14ac:dyDescent="0.25">
      <c r="A1695">
        <v>7353916</v>
      </c>
      <c r="B1695" t="str">
        <f t="shared" si="260"/>
        <v>stacjonarny</v>
      </c>
      <c r="C1695" s="1">
        <v>42941</v>
      </c>
      <c r="D1695" s="2">
        <v>0.53456018518518522</v>
      </c>
      <c r="E1695" s="2">
        <v>0.53718750000000004</v>
      </c>
      <c r="F1695" s="2">
        <f t="shared" si="261"/>
        <v>2.6273148148148184E-3</v>
      </c>
      <c r="G1695">
        <f t="shared" si="262"/>
        <v>0</v>
      </c>
      <c r="H1695">
        <f t="shared" si="263"/>
        <v>3</v>
      </c>
      <c r="I1695">
        <f t="shared" si="264"/>
        <v>47</v>
      </c>
      <c r="J1695">
        <f t="shared" si="265"/>
        <v>227</v>
      </c>
      <c r="K1695">
        <f t="shared" si="266"/>
        <v>4</v>
      </c>
      <c r="L1695">
        <f t="shared" si="267"/>
        <v>569824</v>
      </c>
      <c r="M1695">
        <f t="shared" si="268"/>
        <v>187862</v>
      </c>
      <c r="N1695">
        <f t="shared" si="269"/>
        <v>805686</v>
      </c>
      <c r="O1695">
        <f>IF(B1695="zagraniczny",K1695+O1694,O1694)</f>
        <v>707</v>
      </c>
    </row>
    <row r="1696" spans="1:15" x14ac:dyDescent="0.25">
      <c r="A1696">
        <v>5440420</v>
      </c>
      <c r="B1696" t="str">
        <f t="shared" si="260"/>
        <v>stacjonarny</v>
      </c>
      <c r="C1696" s="1">
        <v>42941</v>
      </c>
      <c r="D1696" s="2">
        <v>0.53535879629629635</v>
      </c>
      <c r="E1696" s="2">
        <v>0.54219907407407408</v>
      </c>
      <c r="F1696" s="2">
        <f t="shared" si="261"/>
        <v>6.8402777777777368E-3</v>
      </c>
      <c r="G1696">
        <f t="shared" si="262"/>
        <v>0</v>
      </c>
      <c r="H1696">
        <f t="shared" si="263"/>
        <v>9</v>
      </c>
      <c r="I1696">
        <f t="shared" si="264"/>
        <v>51</v>
      </c>
      <c r="J1696">
        <f t="shared" si="265"/>
        <v>591</v>
      </c>
      <c r="K1696">
        <f t="shared" si="266"/>
        <v>10</v>
      </c>
      <c r="L1696">
        <f t="shared" si="267"/>
        <v>570415</v>
      </c>
      <c r="M1696">
        <f t="shared" si="268"/>
        <v>187862</v>
      </c>
      <c r="N1696">
        <f t="shared" si="269"/>
        <v>806277</v>
      </c>
      <c r="O1696">
        <f>IF(B1696="zagraniczny",K1696+O1695,O1695)</f>
        <v>707</v>
      </c>
    </row>
    <row r="1697" spans="1:15" x14ac:dyDescent="0.25">
      <c r="A1697">
        <v>8840288</v>
      </c>
      <c r="B1697" t="str">
        <f t="shared" si="260"/>
        <v>stacjonarny</v>
      </c>
      <c r="C1697" s="1">
        <v>42941</v>
      </c>
      <c r="D1697" s="2">
        <v>0.53964120370370372</v>
      </c>
      <c r="E1697" s="2">
        <v>0.54101851851851857</v>
      </c>
      <c r="F1697" s="2">
        <f t="shared" si="261"/>
        <v>1.3773148148148451E-3</v>
      </c>
      <c r="G1697">
        <f t="shared" si="262"/>
        <v>0</v>
      </c>
      <c r="H1697">
        <f t="shared" si="263"/>
        <v>1</v>
      </c>
      <c r="I1697">
        <f t="shared" si="264"/>
        <v>59</v>
      </c>
      <c r="J1697">
        <f t="shared" si="265"/>
        <v>119</v>
      </c>
      <c r="K1697">
        <f t="shared" si="266"/>
        <v>2</v>
      </c>
      <c r="L1697">
        <f t="shared" si="267"/>
        <v>570534</v>
      </c>
      <c r="M1697">
        <f t="shared" si="268"/>
        <v>187862</v>
      </c>
      <c r="N1697">
        <f t="shared" si="269"/>
        <v>806396</v>
      </c>
      <c r="O1697">
        <f>IF(B1697="zagraniczny",K1697+O1696,O1696)</f>
        <v>707</v>
      </c>
    </row>
    <row r="1698" spans="1:15" x14ac:dyDescent="0.25">
      <c r="A1698">
        <v>9007177570</v>
      </c>
      <c r="B1698" t="str">
        <f t="shared" si="260"/>
        <v>zagraniczny</v>
      </c>
      <c r="C1698" s="1">
        <v>42941</v>
      </c>
      <c r="D1698" s="2">
        <v>0.54324074074074069</v>
      </c>
      <c r="E1698" s="2">
        <v>0.54956018518518523</v>
      </c>
      <c r="F1698" s="2">
        <f t="shared" si="261"/>
        <v>6.3194444444445441E-3</v>
      </c>
      <c r="G1698">
        <f t="shared" si="262"/>
        <v>0</v>
      </c>
      <c r="H1698">
        <f t="shared" si="263"/>
        <v>9</v>
      </c>
      <c r="I1698">
        <f t="shared" si="264"/>
        <v>6</v>
      </c>
      <c r="J1698">
        <f t="shared" si="265"/>
        <v>546</v>
      </c>
      <c r="K1698">
        <f t="shared" si="266"/>
        <v>10</v>
      </c>
      <c r="L1698">
        <f t="shared" si="267"/>
        <v>570534</v>
      </c>
      <c r="M1698">
        <f t="shared" si="268"/>
        <v>187862</v>
      </c>
      <c r="N1698">
        <f t="shared" si="269"/>
        <v>806396</v>
      </c>
      <c r="O1698">
        <f>IF(B1698="zagraniczny",K1698+O1697,O1697)</f>
        <v>717</v>
      </c>
    </row>
    <row r="1699" spans="1:15" x14ac:dyDescent="0.25">
      <c r="A1699">
        <v>24850212</v>
      </c>
      <c r="B1699" t="str">
        <f t="shared" si="260"/>
        <v>komorkowy</v>
      </c>
      <c r="C1699" s="1">
        <v>42941</v>
      </c>
      <c r="D1699" s="2">
        <v>0.54350694444444447</v>
      </c>
      <c r="E1699" s="2">
        <v>0.54767361111111112</v>
      </c>
      <c r="F1699" s="2">
        <f t="shared" si="261"/>
        <v>4.1666666666666519E-3</v>
      </c>
      <c r="G1699">
        <f t="shared" si="262"/>
        <v>0</v>
      </c>
      <c r="H1699">
        <f t="shared" si="263"/>
        <v>6</v>
      </c>
      <c r="I1699">
        <f t="shared" si="264"/>
        <v>0</v>
      </c>
      <c r="J1699">
        <f t="shared" si="265"/>
        <v>360</v>
      </c>
      <c r="K1699">
        <f t="shared" si="266"/>
        <v>6</v>
      </c>
      <c r="L1699">
        <f t="shared" si="267"/>
        <v>570534</v>
      </c>
      <c r="M1699">
        <f t="shared" si="268"/>
        <v>188222</v>
      </c>
      <c r="N1699">
        <f t="shared" si="269"/>
        <v>806756</v>
      </c>
      <c r="O1699">
        <f>IF(B1699="zagraniczny",K1699+O1698,O1698)</f>
        <v>717</v>
      </c>
    </row>
    <row r="1700" spans="1:15" x14ac:dyDescent="0.25">
      <c r="A1700">
        <v>7857206</v>
      </c>
      <c r="B1700" t="str">
        <f t="shared" si="260"/>
        <v>stacjonarny</v>
      </c>
      <c r="C1700" s="1">
        <v>42941</v>
      </c>
      <c r="D1700" s="2">
        <v>0.54858796296296297</v>
      </c>
      <c r="E1700" s="2">
        <v>0.55077546296296298</v>
      </c>
      <c r="F1700" s="2">
        <f t="shared" si="261"/>
        <v>2.1875000000000089E-3</v>
      </c>
      <c r="G1700">
        <f t="shared" si="262"/>
        <v>0</v>
      </c>
      <c r="H1700">
        <f t="shared" si="263"/>
        <v>3</v>
      </c>
      <c r="I1700">
        <f t="shared" si="264"/>
        <v>9</v>
      </c>
      <c r="J1700">
        <f t="shared" si="265"/>
        <v>189</v>
      </c>
      <c r="K1700">
        <f t="shared" si="266"/>
        <v>4</v>
      </c>
      <c r="L1700">
        <f t="shared" si="267"/>
        <v>570723</v>
      </c>
      <c r="M1700">
        <f t="shared" si="268"/>
        <v>188222</v>
      </c>
      <c r="N1700">
        <f t="shared" si="269"/>
        <v>806945</v>
      </c>
      <c r="O1700">
        <f>IF(B1700="zagraniczny",K1700+O1699,O1699)</f>
        <v>717</v>
      </c>
    </row>
    <row r="1701" spans="1:15" x14ac:dyDescent="0.25">
      <c r="A1701">
        <v>9007177570</v>
      </c>
      <c r="B1701" t="str">
        <f t="shared" si="260"/>
        <v>zagraniczny</v>
      </c>
      <c r="C1701" s="1">
        <v>42941</v>
      </c>
      <c r="D1701" s="2">
        <v>0.5519560185185185</v>
      </c>
      <c r="E1701" s="2">
        <v>0.55625000000000002</v>
      </c>
      <c r="F1701" s="2">
        <f t="shared" si="261"/>
        <v>4.2939814814815236E-3</v>
      </c>
      <c r="G1701">
        <f t="shared" si="262"/>
        <v>0</v>
      </c>
      <c r="H1701">
        <f t="shared" si="263"/>
        <v>6</v>
      </c>
      <c r="I1701">
        <f t="shared" si="264"/>
        <v>11</v>
      </c>
      <c r="J1701">
        <f t="shared" si="265"/>
        <v>371</v>
      </c>
      <c r="K1701">
        <f t="shared" si="266"/>
        <v>7</v>
      </c>
      <c r="L1701">
        <f t="shared" si="267"/>
        <v>570723</v>
      </c>
      <c r="M1701">
        <f t="shared" si="268"/>
        <v>188222</v>
      </c>
      <c r="N1701">
        <f t="shared" si="269"/>
        <v>806945</v>
      </c>
      <c r="O1701">
        <f>IF(B1701="zagraniczny",K1701+O1700,O1700)</f>
        <v>724</v>
      </c>
    </row>
    <row r="1702" spans="1:15" x14ac:dyDescent="0.25">
      <c r="A1702">
        <v>96375379</v>
      </c>
      <c r="B1702" t="str">
        <f t="shared" si="260"/>
        <v>komorkowy</v>
      </c>
      <c r="C1702" s="1">
        <v>42941</v>
      </c>
      <c r="D1702" s="2">
        <v>0.55320601851851847</v>
      </c>
      <c r="E1702" s="2">
        <v>0.55569444444444449</v>
      </c>
      <c r="F1702" s="2">
        <f t="shared" si="261"/>
        <v>2.4884259259260189E-3</v>
      </c>
      <c r="G1702">
        <f t="shared" si="262"/>
        <v>0</v>
      </c>
      <c r="H1702">
        <f t="shared" si="263"/>
        <v>3</v>
      </c>
      <c r="I1702">
        <f t="shared" si="264"/>
        <v>35</v>
      </c>
      <c r="J1702">
        <f t="shared" si="265"/>
        <v>215</v>
      </c>
      <c r="K1702">
        <f t="shared" si="266"/>
        <v>4</v>
      </c>
      <c r="L1702">
        <f t="shared" si="267"/>
        <v>570723</v>
      </c>
      <c r="M1702">
        <f t="shared" si="268"/>
        <v>188437</v>
      </c>
      <c r="N1702">
        <f t="shared" si="269"/>
        <v>807160</v>
      </c>
      <c r="O1702">
        <f>IF(B1702="zagraniczny",K1702+O1701,O1701)</f>
        <v>724</v>
      </c>
    </row>
    <row r="1703" spans="1:15" x14ac:dyDescent="0.25">
      <c r="A1703">
        <v>6146223</v>
      </c>
      <c r="B1703" t="str">
        <f t="shared" si="260"/>
        <v>stacjonarny</v>
      </c>
      <c r="C1703" s="1">
        <v>42941</v>
      </c>
      <c r="D1703" s="2">
        <v>0.55517361111111108</v>
      </c>
      <c r="E1703" s="2">
        <v>0.56013888888888885</v>
      </c>
      <c r="F1703" s="2">
        <f t="shared" si="261"/>
        <v>4.9652777777777768E-3</v>
      </c>
      <c r="G1703">
        <f t="shared" si="262"/>
        <v>0</v>
      </c>
      <c r="H1703">
        <f t="shared" si="263"/>
        <v>7</v>
      </c>
      <c r="I1703">
        <f t="shared" si="264"/>
        <v>9</v>
      </c>
      <c r="J1703">
        <f t="shared" si="265"/>
        <v>429</v>
      </c>
      <c r="K1703">
        <f t="shared" si="266"/>
        <v>8</v>
      </c>
      <c r="L1703">
        <f t="shared" si="267"/>
        <v>571152</v>
      </c>
      <c r="M1703">
        <f t="shared" si="268"/>
        <v>188437</v>
      </c>
      <c r="N1703">
        <f t="shared" si="269"/>
        <v>807589</v>
      </c>
      <c r="O1703">
        <f>IF(B1703="zagraniczny",K1703+O1702,O1702)</f>
        <v>724</v>
      </c>
    </row>
    <row r="1704" spans="1:15" x14ac:dyDescent="0.25">
      <c r="A1704">
        <v>7119239917</v>
      </c>
      <c r="B1704" t="str">
        <f t="shared" si="260"/>
        <v>zagraniczny</v>
      </c>
      <c r="C1704" s="1">
        <v>42941</v>
      </c>
      <c r="D1704" s="2">
        <v>0.56033564814814818</v>
      </c>
      <c r="E1704" s="2">
        <v>0.56570601851851854</v>
      </c>
      <c r="F1704" s="2">
        <f t="shared" si="261"/>
        <v>5.3703703703703587E-3</v>
      </c>
      <c r="G1704">
        <f t="shared" si="262"/>
        <v>0</v>
      </c>
      <c r="H1704">
        <f t="shared" si="263"/>
        <v>7</v>
      </c>
      <c r="I1704">
        <f t="shared" si="264"/>
        <v>44</v>
      </c>
      <c r="J1704">
        <f t="shared" si="265"/>
        <v>464</v>
      </c>
      <c r="K1704">
        <f t="shared" si="266"/>
        <v>8</v>
      </c>
      <c r="L1704">
        <f t="shared" si="267"/>
        <v>571152</v>
      </c>
      <c r="M1704">
        <f t="shared" si="268"/>
        <v>188437</v>
      </c>
      <c r="N1704">
        <f t="shared" si="269"/>
        <v>807589</v>
      </c>
      <c r="O1704">
        <f>IF(B1704="zagraniczny",K1704+O1703,O1703)</f>
        <v>732</v>
      </c>
    </row>
    <row r="1705" spans="1:15" x14ac:dyDescent="0.25">
      <c r="A1705">
        <v>8622421</v>
      </c>
      <c r="B1705" t="str">
        <f t="shared" si="260"/>
        <v>stacjonarny</v>
      </c>
      <c r="C1705" s="1">
        <v>42941</v>
      </c>
      <c r="D1705" s="2">
        <v>0.56459490740740736</v>
      </c>
      <c r="E1705" s="2">
        <v>0.56638888888888894</v>
      </c>
      <c r="F1705" s="2">
        <f t="shared" si="261"/>
        <v>1.7939814814815769E-3</v>
      </c>
      <c r="G1705">
        <f t="shared" si="262"/>
        <v>0</v>
      </c>
      <c r="H1705">
        <f t="shared" si="263"/>
        <v>2</v>
      </c>
      <c r="I1705">
        <f t="shared" si="264"/>
        <v>35</v>
      </c>
      <c r="J1705">
        <f t="shared" si="265"/>
        <v>155</v>
      </c>
      <c r="K1705">
        <f t="shared" si="266"/>
        <v>3</v>
      </c>
      <c r="L1705">
        <f t="shared" si="267"/>
        <v>571307</v>
      </c>
      <c r="M1705">
        <f t="shared" si="268"/>
        <v>188437</v>
      </c>
      <c r="N1705">
        <f t="shared" si="269"/>
        <v>807744</v>
      </c>
      <c r="O1705">
        <f>IF(B1705="zagraniczny",K1705+O1704,O1704)</f>
        <v>732</v>
      </c>
    </row>
    <row r="1706" spans="1:15" x14ac:dyDescent="0.25">
      <c r="A1706">
        <v>2304726</v>
      </c>
      <c r="B1706" t="str">
        <f t="shared" si="260"/>
        <v>stacjonarny</v>
      </c>
      <c r="C1706" s="1">
        <v>42941</v>
      </c>
      <c r="D1706" s="2">
        <v>0.56620370370370365</v>
      </c>
      <c r="E1706" s="2">
        <v>0.57226851851851857</v>
      </c>
      <c r="F1706" s="2">
        <f t="shared" si="261"/>
        <v>6.0648148148149117E-3</v>
      </c>
      <c r="G1706">
        <f t="shared" si="262"/>
        <v>0</v>
      </c>
      <c r="H1706">
        <f t="shared" si="263"/>
        <v>8</v>
      </c>
      <c r="I1706">
        <f t="shared" si="264"/>
        <v>44</v>
      </c>
      <c r="J1706">
        <f t="shared" si="265"/>
        <v>524</v>
      </c>
      <c r="K1706">
        <f t="shared" si="266"/>
        <v>9</v>
      </c>
      <c r="L1706">
        <f t="shared" si="267"/>
        <v>571831</v>
      </c>
      <c r="M1706">
        <f t="shared" si="268"/>
        <v>188437</v>
      </c>
      <c r="N1706">
        <f t="shared" si="269"/>
        <v>808268</v>
      </c>
      <c r="O1706">
        <f>IF(B1706="zagraniczny",K1706+O1705,O1705)</f>
        <v>732</v>
      </c>
    </row>
    <row r="1707" spans="1:15" x14ac:dyDescent="0.25">
      <c r="A1707">
        <v>9183185</v>
      </c>
      <c r="B1707" t="str">
        <f t="shared" si="260"/>
        <v>stacjonarny</v>
      </c>
      <c r="C1707" s="1">
        <v>42941</v>
      </c>
      <c r="D1707" s="2">
        <v>0.56643518518518521</v>
      </c>
      <c r="E1707" s="2">
        <v>0.5687268518518519</v>
      </c>
      <c r="F1707" s="2">
        <f t="shared" si="261"/>
        <v>2.2916666666666918E-3</v>
      </c>
      <c r="G1707">
        <f t="shared" si="262"/>
        <v>0</v>
      </c>
      <c r="H1707">
        <f t="shared" si="263"/>
        <v>3</v>
      </c>
      <c r="I1707">
        <f t="shared" si="264"/>
        <v>18</v>
      </c>
      <c r="J1707">
        <f t="shared" si="265"/>
        <v>198</v>
      </c>
      <c r="K1707">
        <f t="shared" si="266"/>
        <v>4</v>
      </c>
      <c r="L1707">
        <f t="shared" si="267"/>
        <v>572029</v>
      </c>
      <c r="M1707">
        <f t="shared" si="268"/>
        <v>188437</v>
      </c>
      <c r="N1707">
        <f t="shared" si="269"/>
        <v>808466</v>
      </c>
      <c r="O1707">
        <f>IF(B1707="zagraniczny",K1707+O1706,O1706)</f>
        <v>732</v>
      </c>
    </row>
    <row r="1708" spans="1:15" x14ac:dyDescent="0.25">
      <c r="A1708">
        <v>2185216</v>
      </c>
      <c r="B1708" t="str">
        <f t="shared" si="260"/>
        <v>stacjonarny</v>
      </c>
      <c r="C1708" s="1">
        <v>42941</v>
      </c>
      <c r="D1708" s="2">
        <v>0.56959490740740737</v>
      </c>
      <c r="E1708" s="2">
        <v>0.57927083333333329</v>
      </c>
      <c r="F1708" s="2">
        <f t="shared" si="261"/>
        <v>9.6759259259259212E-3</v>
      </c>
      <c r="G1708">
        <f t="shared" si="262"/>
        <v>0</v>
      </c>
      <c r="H1708">
        <f t="shared" si="263"/>
        <v>13</v>
      </c>
      <c r="I1708">
        <f t="shared" si="264"/>
        <v>56</v>
      </c>
      <c r="J1708">
        <f t="shared" si="265"/>
        <v>836</v>
      </c>
      <c r="K1708">
        <f t="shared" si="266"/>
        <v>14</v>
      </c>
      <c r="L1708">
        <f t="shared" si="267"/>
        <v>572865</v>
      </c>
      <c r="M1708">
        <f t="shared" si="268"/>
        <v>188437</v>
      </c>
      <c r="N1708">
        <f t="shared" si="269"/>
        <v>809302</v>
      </c>
      <c r="O1708">
        <f>IF(B1708="zagraniczny",K1708+O1707,O1707)</f>
        <v>732</v>
      </c>
    </row>
    <row r="1709" spans="1:15" x14ac:dyDescent="0.25">
      <c r="A1709">
        <v>9664191</v>
      </c>
      <c r="B1709" t="str">
        <f t="shared" si="260"/>
        <v>stacjonarny</v>
      </c>
      <c r="C1709" s="1">
        <v>42941</v>
      </c>
      <c r="D1709" s="2">
        <v>0.56974537037037032</v>
      </c>
      <c r="E1709" s="2">
        <v>0.57015046296296301</v>
      </c>
      <c r="F1709" s="2">
        <f t="shared" si="261"/>
        <v>4.0509259259269292E-4</v>
      </c>
      <c r="G1709">
        <f t="shared" si="262"/>
        <v>0</v>
      </c>
      <c r="H1709">
        <f t="shared" si="263"/>
        <v>0</v>
      </c>
      <c r="I1709">
        <f t="shared" si="264"/>
        <v>35</v>
      </c>
      <c r="J1709">
        <f t="shared" si="265"/>
        <v>35</v>
      </c>
      <c r="K1709">
        <f t="shared" si="266"/>
        <v>1</v>
      </c>
      <c r="L1709">
        <f t="shared" si="267"/>
        <v>572900</v>
      </c>
      <c r="M1709">
        <f t="shared" si="268"/>
        <v>188437</v>
      </c>
      <c r="N1709">
        <f t="shared" si="269"/>
        <v>809337</v>
      </c>
      <c r="O1709">
        <f>IF(B1709="zagraniczny",K1709+O1708,O1708)</f>
        <v>732</v>
      </c>
    </row>
    <row r="1710" spans="1:15" x14ac:dyDescent="0.25">
      <c r="A1710">
        <v>8743781</v>
      </c>
      <c r="B1710" t="str">
        <f t="shared" si="260"/>
        <v>stacjonarny</v>
      </c>
      <c r="C1710" s="1">
        <v>42941</v>
      </c>
      <c r="D1710" s="2">
        <v>0.57284722222222217</v>
      </c>
      <c r="E1710" s="2">
        <v>0.58149305555555553</v>
      </c>
      <c r="F1710" s="2">
        <f t="shared" si="261"/>
        <v>8.6458333333333526E-3</v>
      </c>
      <c r="G1710">
        <f t="shared" si="262"/>
        <v>0</v>
      </c>
      <c r="H1710">
        <f t="shared" si="263"/>
        <v>12</v>
      </c>
      <c r="I1710">
        <f t="shared" si="264"/>
        <v>27</v>
      </c>
      <c r="J1710">
        <f t="shared" si="265"/>
        <v>747</v>
      </c>
      <c r="K1710">
        <f t="shared" si="266"/>
        <v>13</v>
      </c>
      <c r="L1710">
        <f t="shared" si="267"/>
        <v>573647</v>
      </c>
      <c r="M1710">
        <f t="shared" si="268"/>
        <v>188437</v>
      </c>
      <c r="N1710">
        <f t="shared" si="269"/>
        <v>810084</v>
      </c>
      <c r="O1710">
        <f>IF(B1710="zagraniczny",K1710+O1709,O1709)</f>
        <v>732</v>
      </c>
    </row>
    <row r="1711" spans="1:15" x14ac:dyDescent="0.25">
      <c r="A1711">
        <v>97997759</v>
      </c>
      <c r="B1711" t="str">
        <f t="shared" si="260"/>
        <v>komorkowy</v>
      </c>
      <c r="C1711" s="1">
        <v>42941</v>
      </c>
      <c r="D1711" s="2">
        <v>0.57335648148148144</v>
      </c>
      <c r="E1711" s="2">
        <v>0.5735069444444445</v>
      </c>
      <c r="F1711" s="2">
        <f t="shared" si="261"/>
        <v>1.504629629630605E-4</v>
      </c>
      <c r="G1711">
        <f t="shared" si="262"/>
        <v>0</v>
      </c>
      <c r="H1711">
        <f t="shared" si="263"/>
        <v>0</v>
      </c>
      <c r="I1711">
        <f t="shared" si="264"/>
        <v>13</v>
      </c>
      <c r="J1711">
        <f t="shared" si="265"/>
        <v>13</v>
      </c>
      <c r="K1711">
        <f t="shared" si="266"/>
        <v>1</v>
      </c>
      <c r="L1711">
        <f t="shared" si="267"/>
        <v>573647</v>
      </c>
      <c r="M1711">
        <f t="shared" si="268"/>
        <v>188450</v>
      </c>
      <c r="N1711">
        <f t="shared" si="269"/>
        <v>810097</v>
      </c>
      <c r="O1711">
        <f>IF(B1711="zagraniczny",K1711+O1710,O1710)</f>
        <v>732</v>
      </c>
    </row>
    <row r="1712" spans="1:15" x14ac:dyDescent="0.25">
      <c r="A1712">
        <v>4100331</v>
      </c>
      <c r="B1712" t="str">
        <f t="shared" si="260"/>
        <v>stacjonarny</v>
      </c>
      <c r="C1712" s="1">
        <v>42941</v>
      </c>
      <c r="D1712" s="2">
        <v>0.57863425925925926</v>
      </c>
      <c r="E1712" s="2">
        <v>0.58030092592592597</v>
      </c>
      <c r="F1712" s="2">
        <f t="shared" si="261"/>
        <v>1.6666666666667052E-3</v>
      </c>
      <c r="G1712">
        <f t="shared" si="262"/>
        <v>0</v>
      </c>
      <c r="H1712">
        <f t="shared" si="263"/>
        <v>2</v>
      </c>
      <c r="I1712">
        <f t="shared" si="264"/>
        <v>24</v>
      </c>
      <c r="J1712">
        <f t="shared" si="265"/>
        <v>144</v>
      </c>
      <c r="K1712">
        <f t="shared" si="266"/>
        <v>3</v>
      </c>
      <c r="L1712">
        <f t="shared" si="267"/>
        <v>573791</v>
      </c>
      <c r="M1712">
        <f t="shared" si="268"/>
        <v>188450</v>
      </c>
      <c r="N1712">
        <f t="shared" si="269"/>
        <v>810241</v>
      </c>
      <c r="O1712">
        <f>IF(B1712="zagraniczny",K1712+O1711,O1711)</f>
        <v>732</v>
      </c>
    </row>
    <row r="1713" spans="1:15" x14ac:dyDescent="0.25">
      <c r="A1713">
        <v>7215284</v>
      </c>
      <c r="B1713" t="str">
        <f t="shared" si="260"/>
        <v>stacjonarny</v>
      </c>
      <c r="C1713" s="1">
        <v>42941</v>
      </c>
      <c r="D1713" s="2">
        <v>0.57974537037037033</v>
      </c>
      <c r="E1713" s="2">
        <v>0.59083333333333332</v>
      </c>
      <c r="F1713" s="2">
        <f t="shared" si="261"/>
        <v>1.1087962962962994E-2</v>
      </c>
      <c r="G1713">
        <f t="shared" si="262"/>
        <v>0</v>
      </c>
      <c r="H1713">
        <f t="shared" si="263"/>
        <v>15</v>
      </c>
      <c r="I1713">
        <f t="shared" si="264"/>
        <v>58</v>
      </c>
      <c r="J1713">
        <f t="shared" si="265"/>
        <v>958</v>
      </c>
      <c r="K1713">
        <f t="shared" si="266"/>
        <v>16</v>
      </c>
      <c r="L1713">
        <f t="shared" si="267"/>
        <v>574749</v>
      </c>
      <c r="M1713">
        <f t="shared" si="268"/>
        <v>188450</v>
      </c>
      <c r="N1713">
        <f t="shared" si="269"/>
        <v>811199</v>
      </c>
      <c r="O1713">
        <f>IF(B1713="zagraniczny",K1713+O1712,O1712)</f>
        <v>732</v>
      </c>
    </row>
    <row r="1714" spans="1:15" x14ac:dyDescent="0.25">
      <c r="A1714">
        <v>9474267</v>
      </c>
      <c r="B1714" t="str">
        <f t="shared" si="260"/>
        <v>stacjonarny</v>
      </c>
      <c r="C1714" s="1">
        <v>42941</v>
      </c>
      <c r="D1714" s="2">
        <v>0.58423611111111107</v>
      </c>
      <c r="E1714" s="2">
        <v>0.59392361111111114</v>
      </c>
      <c r="F1714" s="2">
        <f t="shared" si="261"/>
        <v>9.6875000000000711E-3</v>
      </c>
      <c r="G1714">
        <f t="shared" si="262"/>
        <v>0</v>
      </c>
      <c r="H1714">
        <f t="shared" si="263"/>
        <v>13</v>
      </c>
      <c r="I1714">
        <f t="shared" si="264"/>
        <v>57</v>
      </c>
      <c r="J1714">
        <f t="shared" si="265"/>
        <v>837</v>
      </c>
      <c r="K1714">
        <f t="shared" si="266"/>
        <v>14</v>
      </c>
      <c r="L1714">
        <f t="shared" si="267"/>
        <v>575586</v>
      </c>
      <c r="M1714">
        <f t="shared" si="268"/>
        <v>188450</v>
      </c>
      <c r="N1714">
        <f t="shared" si="269"/>
        <v>812036</v>
      </c>
      <c r="O1714">
        <f>IF(B1714="zagraniczny",K1714+O1713,O1713)</f>
        <v>732</v>
      </c>
    </row>
    <row r="1715" spans="1:15" x14ac:dyDescent="0.25">
      <c r="A1715">
        <v>3200206</v>
      </c>
      <c r="B1715" t="str">
        <f t="shared" si="260"/>
        <v>stacjonarny</v>
      </c>
      <c r="C1715" s="1">
        <v>42941</v>
      </c>
      <c r="D1715" s="2">
        <v>0.58784722222222219</v>
      </c>
      <c r="E1715" s="2">
        <v>0.59894675925925922</v>
      </c>
      <c r="F1715" s="2">
        <f t="shared" si="261"/>
        <v>1.1099537037037033E-2</v>
      </c>
      <c r="G1715">
        <f t="shared" si="262"/>
        <v>0</v>
      </c>
      <c r="H1715">
        <f t="shared" si="263"/>
        <v>15</v>
      </c>
      <c r="I1715">
        <f t="shared" si="264"/>
        <v>59</v>
      </c>
      <c r="J1715">
        <f t="shared" si="265"/>
        <v>959</v>
      </c>
      <c r="K1715">
        <f t="shared" si="266"/>
        <v>16</v>
      </c>
      <c r="L1715">
        <f t="shared" si="267"/>
        <v>576545</v>
      </c>
      <c r="M1715">
        <f t="shared" si="268"/>
        <v>188450</v>
      </c>
      <c r="N1715">
        <f t="shared" si="269"/>
        <v>812995</v>
      </c>
      <c r="O1715">
        <f>IF(B1715="zagraniczny",K1715+O1714,O1714)</f>
        <v>732</v>
      </c>
    </row>
    <row r="1716" spans="1:15" x14ac:dyDescent="0.25">
      <c r="A1716">
        <v>72014227</v>
      </c>
      <c r="B1716" t="str">
        <f t="shared" si="260"/>
        <v>komorkowy</v>
      </c>
      <c r="C1716" s="1">
        <v>42941</v>
      </c>
      <c r="D1716" s="2">
        <v>0.58899305555555559</v>
      </c>
      <c r="E1716" s="2">
        <v>0.59116898148148145</v>
      </c>
      <c r="F1716" s="2">
        <f t="shared" si="261"/>
        <v>2.175925925925859E-3</v>
      </c>
      <c r="G1716">
        <f t="shared" si="262"/>
        <v>0</v>
      </c>
      <c r="H1716">
        <f t="shared" si="263"/>
        <v>3</v>
      </c>
      <c r="I1716">
        <f t="shared" si="264"/>
        <v>8</v>
      </c>
      <c r="J1716">
        <f t="shared" si="265"/>
        <v>188</v>
      </c>
      <c r="K1716">
        <f t="shared" si="266"/>
        <v>4</v>
      </c>
      <c r="L1716">
        <f t="shared" si="267"/>
        <v>576545</v>
      </c>
      <c r="M1716">
        <f t="shared" si="268"/>
        <v>188638</v>
      </c>
      <c r="N1716">
        <f t="shared" si="269"/>
        <v>813183</v>
      </c>
      <c r="O1716">
        <f>IF(B1716="zagraniczny",K1716+O1715,O1715)</f>
        <v>732</v>
      </c>
    </row>
    <row r="1717" spans="1:15" x14ac:dyDescent="0.25">
      <c r="A1717">
        <v>3976931</v>
      </c>
      <c r="B1717" t="str">
        <f t="shared" si="260"/>
        <v>stacjonarny</v>
      </c>
      <c r="C1717" s="1">
        <v>42941</v>
      </c>
      <c r="D1717" s="2">
        <v>0.59350694444444441</v>
      </c>
      <c r="E1717" s="2">
        <v>0.59811342592592598</v>
      </c>
      <c r="F1717" s="2">
        <f t="shared" si="261"/>
        <v>4.6064814814815724E-3</v>
      </c>
      <c r="G1717">
        <f t="shared" si="262"/>
        <v>0</v>
      </c>
      <c r="H1717">
        <f t="shared" si="263"/>
        <v>6</v>
      </c>
      <c r="I1717">
        <f t="shared" si="264"/>
        <v>38</v>
      </c>
      <c r="J1717">
        <f t="shared" si="265"/>
        <v>398</v>
      </c>
      <c r="K1717">
        <f t="shared" si="266"/>
        <v>7</v>
      </c>
      <c r="L1717">
        <f t="shared" si="267"/>
        <v>576943</v>
      </c>
      <c r="M1717">
        <f t="shared" si="268"/>
        <v>188638</v>
      </c>
      <c r="N1717">
        <f t="shared" si="269"/>
        <v>813581</v>
      </c>
      <c r="O1717">
        <f>IF(B1717="zagraniczny",K1717+O1716,O1716)</f>
        <v>732</v>
      </c>
    </row>
    <row r="1718" spans="1:15" x14ac:dyDescent="0.25">
      <c r="A1718">
        <v>6717763</v>
      </c>
      <c r="B1718" t="str">
        <f t="shared" si="260"/>
        <v>stacjonarny</v>
      </c>
      <c r="C1718" s="1">
        <v>42941</v>
      </c>
      <c r="D1718" s="2">
        <v>0.596099537037037</v>
      </c>
      <c r="E1718" s="2">
        <v>0.60069444444444442</v>
      </c>
      <c r="F1718" s="2">
        <f t="shared" si="261"/>
        <v>4.5949074074074225E-3</v>
      </c>
      <c r="G1718">
        <f t="shared" si="262"/>
        <v>0</v>
      </c>
      <c r="H1718">
        <f t="shared" si="263"/>
        <v>6</v>
      </c>
      <c r="I1718">
        <f t="shared" si="264"/>
        <v>37</v>
      </c>
      <c r="J1718">
        <f t="shared" si="265"/>
        <v>397</v>
      </c>
      <c r="K1718">
        <f t="shared" si="266"/>
        <v>7</v>
      </c>
      <c r="L1718">
        <f t="shared" si="267"/>
        <v>577340</v>
      </c>
      <c r="M1718">
        <f t="shared" si="268"/>
        <v>188638</v>
      </c>
      <c r="N1718">
        <f t="shared" si="269"/>
        <v>813978</v>
      </c>
      <c r="O1718">
        <f>IF(B1718="zagraniczny",K1718+O1717,O1717)</f>
        <v>732</v>
      </c>
    </row>
    <row r="1719" spans="1:15" x14ac:dyDescent="0.25">
      <c r="A1719">
        <v>2117176</v>
      </c>
      <c r="B1719" t="str">
        <f t="shared" si="260"/>
        <v>stacjonarny</v>
      </c>
      <c r="C1719" s="1">
        <v>42941</v>
      </c>
      <c r="D1719" s="2">
        <v>0.5995138888888889</v>
      </c>
      <c r="E1719" s="2">
        <v>0.60322916666666671</v>
      </c>
      <c r="F1719" s="2">
        <f t="shared" si="261"/>
        <v>3.7152777777778034E-3</v>
      </c>
      <c r="G1719">
        <f t="shared" si="262"/>
        <v>0</v>
      </c>
      <c r="H1719">
        <f t="shared" si="263"/>
        <v>5</v>
      </c>
      <c r="I1719">
        <f t="shared" si="264"/>
        <v>21</v>
      </c>
      <c r="J1719">
        <f t="shared" si="265"/>
        <v>321</v>
      </c>
      <c r="K1719">
        <f t="shared" si="266"/>
        <v>6</v>
      </c>
      <c r="L1719">
        <f t="shared" si="267"/>
        <v>577661</v>
      </c>
      <c r="M1719">
        <f t="shared" si="268"/>
        <v>188638</v>
      </c>
      <c r="N1719">
        <f t="shared" si="269"/>
        <v>814299</v>
      </c>
      <c r="O1719">
        <f>IF(B1719="zagraniczny",K1719+O1718,O1718)</f>
        <v>732</v>
      </c>
    </row>
    <row r="1720" spans="1:15" x14ac:dyDescent="0.25">
      <c r="A1720">
        <v>67688044</v>
      </c>
      <c r="B1720" t="str">
        <f t="shared" si="260"/>
        <v>komorkowy</v>
      </c>
      <c r="C1720" s="1">
        <v>42941</v>
      </c>
      <c r="D1720" s="2">
        <v>0.60341435185185188</v>
      </c>
      <c r="E1720" s="2">
        <v>0.60423611111111108</v>
      </c>
      <c r="F1720" s="2">
        <f t="shared" si="261"/>
        <v>8.2175925925920268E-4</v>
      </c>
      <c r="G1720">
        <f t="shared" si="262"/>
        <v>0</v>
      </c>
      <c r="H1720">
        <f t="shared" si="263"/>
        <v>1</v>
      </c>
      <c r="I1720">
        <f t="shared" si="264"/>
        <v>11</v>
      </c>
      <c r="J1720">
        <f t="shared" si="265"/>
        <v>71</v>
      </c>
      <c r="K1720">
        <f t="shared" si="266"/>
        <v>2</v>
      </c>
      <c r="L1720">
        <f t="shared" si="267"/>
        <v>577661</v>
      </c>
      <c r="M1720">
        <f t="shared" si="268"/>
        <v>188709</v>
      </c>
      <c r="N1720">
        <f t="shared" si="269"/>
        <v>814370</v>
      </c>
      <c r="O1720">
        <f>IF(B1720="zagraniczny",K1720+O1719,O1719)</f>
        <v>732</v>
      </c>
    </row>
    <row r="1721" spans="1:15" x14ac:dyDescent="0.25">
      <c r="A1721">
        <v>3824371</v>
      </c>
      <c r="B1721" t="str">
        <f t="shared" si="260"/>
        <v>stacjonarny</v>
      </c>
      <c r="C1721" s="1">
        <v>42941</v>
      </c>
      <c r="D1721" s="2">
        <v>0.60442129629629626</v>
      </c>
      <c r="E1721" s="2">
        <v>0.61266203703703703</v>
      </c>
      <c r="F1721" s="2">
        <f t="shared" si="261"/>
        <v>8.2407407407407707E-3</v>
      </c>
      <c r="G1721">
        <f t="shared" si="262"/>
        <v>0</v>
      </c>
      <c r="H1721">
        <f t="shared" si="263"/>
        <v>11</v>
      </c>
      <c r="I1721">
        <f t="shared" si="264"/>
        <v>52</v>
      </c>
      <c r="J1721">
        <f t="shared" si="265"/>
        <v>712</v>
      </c>
      <c r="K1721">
        <f t="shared" si="266"/>
        <v>12</v>
      </c>
      <c r="L1721">
        <f t="shared" si="267"/>
        <v>578373</v>
      </c>
      <c r="M1721">
        <f t="shared" si="268"/>
        <v>188709</v>
      </c>
      <c r="N1721">
        <f t="shared" si="269"/>
        <v>815082</v>
      </c>
      <c r="O1721">
        <f>IF(B1721="zagraniczny",K1721+O1720,O1720)</f>
        <v>732</v>
      </c>
    </row>
    <row r="1722" spans="1:15" x14ac:dyDescent="0.25">
      <c r="A1722">
        <v>3025855</v>
      </c>
      <c r="B1722" t="str">
        <f t="shared" si="260"/>
        <v>stacjonarny</v>
      </c>
      <c r="C1722" s="1">
        <v>42941</v>
      </c>
      <c r="D1722" s="2">
        <v>0.60601851851851851</v>
      </c>
      <c r="E1722" s="2">
        <v>0.60782407407407413</v>
      </c>
      <c r="F1722" s="2">
        <f t="shared" si="261"/>
        <v>1.8055555555556158E-3</v>
      </c>
      <c r="G1722">
        <f t="shared" si="262"/>
        <v>0</v>
      </c>
      <c r="H1722">
        <f t="shared" si="263"/>
        <v>2</v>
      </c>
      <c r="I1722">
        <f t="shared" si="264"/>
        <v>36</v>
      </c>
      <c r="J1722">
        <f t="shared" si="265"/>
        <v>156</v>
      </c>
      <c r="K1722">
        <f t="shared" si="266"/>
        <v>3</v>
      </c>
      <c r="L1722">
        <f t="shared" si="267"/>
        <v>578529</v>
      </c>
      <c r="M1722">
        <f t="shared" si="268"/>
        <v>188709</v>
      </c>
      <c r="N1722">
        <f t="shared" si="269"/>
        <v>815238</v>
      </c>
      <c r="O1722">
        <f>IF(B1722="zagraniczny",K1722+O1721,O1721)</f>
        <v>732</v>
      </c>
    </row>
    <row r="1723" spans="1:15" x14ac:dyDescent="0.25">
      <c r="A1723">
        <v>8773356</v>
      </c>
      <c r="B1723" t="str">
        <f t="shared" si="260"/>
        <v>stacjonarny</v>
      </c>
      <c r="C1723" s="1">
        <v>42941</v>
      </c>
      <c r="D1723" s="2">
        <v>0.60879629629629628</v>
      </c>
      <c r="E1723" s="2">
        <v>0.61106481481481478</v>
      </c>
      <c r="F1723" s="2">
        <f t="shared" si="261"/>
        <v>2.2685185185185031E-3</v>
      </c>
      <c r="G1723">
        <f t="shared" si="262"/>
        <v>0</v>
      </c>
      <c r="H1723">
        <f t="shared" si="263"/>
        <v>3</v>
      </c>
      <c r="I1723">
        <f t="shared" si="264"/>
        <v>16</v>
      </c>
      <c r="J1723">
        <f t="shared" si="265"/>
        <v>196</v>
      </c>
      <c r="K1723">
        <f t="shared" si="266"/>
        <v>4</v>
      </c>
      <c r="L1723">
        <f t="shared" si="267"/>
        <v>578725</v>
      </c>
      <c r="M1723">
        <f t="shared" si="268"/>
        <v>188709</v>
      </c>
      <c r="N1723">
        <f t="shared" si="269"/>
        <v>815434</v>
      </c>
      <c r="O1723">
        <f>IF(B1723="zagraniczny",K1723+O1722,O1722)</f>
        <v>732</v>
      </c>
    </row>
    <row r="1724" spans="1:15" x14ac:dyDescent="0.25">
      <c r="A1724">
        <v>1211446</v>
      </c>
      <c r="B1724" t="str">
        <f t="shared" si="260"/>
        <v>stacjonarny</v>
      </c>
      <c r="C1724" s="1">
        <v>42941</v>
      </c>
      <c r="D1724" s="2">
        <v>0.61202546296296301</v>
      </c>
      <c r="E1724" s="2">
        <v>0.62135416666666665</v>
      </c>
      <c r="F1724" s="2">
        <f t="shared" si="261"/>
        <v>9.3287037037036447E-3</v>
      </c>
      <c r="G1724">
        <f t="shared" si="262"/>
        <v>0</v>
      </c>
      <c r="H1724">
        <f t="shared" si="263"/>
        <v>13</v>
      </c>
      <c r="I1724">
        <f t="shared" si="264"/>
        <v>26</v>
      </c>
      <c r="J1724">
        <f t="shared" si="265"/>
        <v>806</v>
      </c>
      <c r="K1724">
        <f t="shared" si="266"/>
        <v>14</v>
      </c>
      <c r="L1724">
        <f t="shared" si="267"/>
        <v>579531</v>
      </c>
      <c r="M1724">
        <f t="shared" si="268"/>
        <v>188709</v>
      </c>
      <c r="N1724">
        <f t="shared" si="269"/>
        <v>816240</v>
      </c>
      <c r="O1724">
        <f>IF(B1724="zagraniczny",K1724+O1723,O1723)</f>
        <v>732</v>
      </c>
    </row>
    <row r="1725" spans="1:15" x14ac:dyDescent="0.25">
      <c r="A1725">
        <v>3607585</v>
      </c>
      <c r="B1725" t="str">
        <f t="shared" si="260"/>
        <v>stacjonarny</v>
      </c>
      <c r="C1725" s="1">
        <v>42941</v>
      </c>
      <c r="D1725" s="2">
        <v>0.61460648148148145</v>
      </c>
      <c r="E1725" s="2">
        <v>0.62116898148148147</v>
      </c>
      <c r="F1725" s="2">
        <f t="shared" si="261"/>
        <v>6.5625000000000266E-3</v>
      </c>
      <c r="G1725">
        <f t="shared" si="262"/>
        <v>0</v>
      </c>
      <c r="H1725">
        <f t="shared" si="263"/>
        <v>9</v>
      </c>
      <c r="I1725">
        <f t="shared" si="264"/>
        <v>27</v>
      </c>
      <c r="J1725">
        <f t="shared" si="265"/>
        <v>567</v>
      </c>
      <c r="K1725">
        <f t="shared" si="266"/>
        <v>10</v>
      </c>
      <c r="L1725">
        <f t="shared" si="267"/>
        <v>580098</v>
      </c>
      <c r="M1725">
        <f t="shared" si="268"/>
        <v>188709</v>
      </c>
      <c r="N1725">
        <f t="shared" si="269"/>
        <v>816807</v>
      </c>
      <c r="O1725">
        <f>IF(B1725="zagraniczny",K1725+O1724,O1724)</f>
        <v>732</v>
      </c>
    </row>
    <row r="1726" spans="1:15" x14ac:dyDescent="0.25">
      <c r="A1726">
        <v>5492379</v>
      </c>
      <c r="B1726" t="str">
        <f t="shared" si="260"/>
        <v>stacjonarny</v>
      </c>
      <c r="C1726" s="1">
        <v>42941</v>
      </c>
      <c r="D1726" s="2">
        <v>0.61895833333333339</v>
      </c>
      <c r="E1726" s="2">
        <v>0.61971064814814814</v>
      </c>
      <c r="F1726" s="2">
        <f t="shared" si="261"/>
        <v>7.5231481481474738E-4</v>
      </c>
      <c r="G1726">
        <f t="shared" si="262"/>
        <v>0</v>
      </c>
      <c r="H1726">
        <f t="shared" si="263"/>
        <v>1</v>
      </c>
      <c r="I1726">
        <f t="shared" si="264"/>
        <v>5</v>
      </c>
      <c r="J1726">
        <f t="shared" si="265"/>
        <v>65</v>
      </c>
      <c r="K1726">
        <f t="shared" si="266"/>
        <v>2</v>
      </c>
      <c r="L1726">
        <f t="shared" si="267"/>
        <v>580163</v>
      </c>
      <c r="M1726">
        <f t="shared" si="268"/>
        <v>188709</v>
      </c>
      <c r="N1726">
        <f t="shared" si="269"/>
        <v>816872</v>
      </c>
      <c r="O1726">
        <f>IF(B1726="zagraniczny",K1726+O1725,O1725)</f>
        <v>732</v>
      </c>
    </row>
    <row r="1727" spans="1:15" x14ac:dyDescent="0.25">
      <c r="A1727">
        <v>84589848</v>
      </c>
      <c r="B1727" t="str">
        <f t="shared" si="260"/>
        <v>komorkowy</v>
      </c>
      <c r="C1727" s="1">
        <v>42941</v>
      </c>
      <c r="D1727" s="2">
        <v>0.61971064814814814</v>
      </c>
      <c r="E1727" s="2">
        <v>0.62334490740740744</v>
      </c>
      <c r="F1727" s="2">
        <f t="shared" si="261"/>
        <v>3.6342592592593093E-3</v>
      </c>
      <c r="G1727">
        <f t="shared" si="262"/>
        <v>0</v>
      </c>
      <c r="H1727">
        <f t="shared" si="263"/>
        <v>5</v>
      </c>
      <c r="I1727">
        <f t="shared" si="264"/>
        <v>14</v>
      </c>
      <c r="J1727">
        <f t="shared" si="265"/>
        <v>314</v>
      </c>
      <c r="K1727">
        <f t="shared" si="266"/>
        <v>6</v>
      </c>
      <c r="L1727">
        <f t="shared" si="267"/>
        <v>580163</v>
      </c>
      <c r="M1727">
        <f t="shared" si="268"/>
        <v>189023</v>
      </c>
      <c r="N1727">
        <f t="shared" si="269"/>
        <v>817186</v>
      </c>
      <c r="O1727">
        <f>IF(B1727="zagraniczny",K1727+O1726,O1726)</f>
        <v>732</v>
      </c>
    </row>
    <row r="1728" spans="1:15" x14ac:dyDescent="0.25">
      <c r="A1728">
        <v>7622848</v>
      </c>
      <c r="B1728" t="str">
        <f t="shared" si="260"/>
        <v>stacjonarny</v>
      </c>
      <c r="C1728" s="1">
        <v>42941</v>
      </c>
      <c r="D1728" s="2">
        <v>0.62008101851851849</v>
      </c>
      <c r="E1728" s="2">
        <v>0.62776620370370373</v>
      </c>
      <c r="F1728" s="2">
        <f t="shared" si="261"/>
        <v>7.6851851851852393E-3</v>
      </c>
      <c r="G1728">
        <f t="shared" si="262"/>
        <v>0</v>
      </c>
      <c r="H1728">
        <f t="shared" si="263"/>
        <v>11</v>
      </c>
      <c r="I1728">
        <f t="shared" si="264"/>
        <v>4</v>
      </c>
      <c r="J1728">
        <f t="shared" si="265"/>
        <v>664</v>
      </c>
      <c r="K1728">
        <f t="shared" si="266"/>
        <v>12</v>
      </c>
      <c r="L1728">
        <f t="shared" si="267"/>
        <v>580827</v>
      </c>
      <c r="M1728">
        <f t="shared" si="268"/>
        <v>189023</v>
      </c>
      <c r="N1728">
        <f t="shared" si="269"/>
        <v>817850</v>
      </c>
      <c r="O1728">
        <f>IF(B1728="zagraniczny",K1728+O1727,O1727)</f>
        <v>732</v>
      </c>
    </row>
    <row r="1729" spans="1:15" x14ac:dyDescent="0.25">
      <c r="A1729">
        <v>7883595</v>
      </c>
      <c r="B1729" t="str">
        <f t="shared" si="260"/>
        <v>stacjonarny</v>
      </c>
      <c r="C1729" s="1">
        <v>42941</v>
      </c>
      <c r="D1729" s="2">
        <v>0.62149305555555556</v>
      </c>
      <c r="E1729" s="2">
        <v>0.624537037037037</v>
      </c>
      <c r="F1729" s="2">
        <f t="shared" si="261"/>
        <v>3.0439814814814392E-3</v>
      </c>
      <c r="G1729">
        <f t="shared" si="262"/>
        <v>0</v>
      </c>
      <c r="H1729">
        <f t="shared" si="263"/>
        <v>4</v>
      </c>
      <c r="I1729">
        <f t="shared" si="264"/>
        <v>23</v>
      </c>
      <c r="J1729">
        <f t="shared" si="265"/>
        <v>263</v>
      </c>
      <c r="K1729">
        <f t="shared" si="266"/>
        <v>5</v>
      </c>
      <c r="L1729">
        <f t="shared" si="267"/>
        <v>581090</v>
      </c>
      <c r="M1729">
        <f t="shared" si="268"/>
        <v>189023</v>
      </c>
      <c r="N1729">
        <f t="shared" si="269"/>
        <v>818113</v>
      </c>
      <c r="O1729">
        <f>IF(B1729="zagraniczny",K1729+O1728,O1728)</f>
        <v>732</v>
      </c>
    </row>
    <row r="1730" spans="1:15" x14ac:dyDescent="0.25">
      <c r="A1730">
        <v>4804872</v>
      </c>
      <c r="B1730" t="str">
        <f t="shared" si="260"/>
        <v>stacjonarny</v>
      </c>
      <c r="C1730" s="1">
        <v>42941</v>
      </c>
      <c r="D1730" s="2">
        <v>0.62472222222222218</v>
      </c>
      <c r="E1730" s="2">
        <v>0.6360069444444445</v>
      </c>
      <c r="F1730" s="2">
        <f t="shared" si="261"/>
        <v>1.1284722222222321E-2</v>
      </c>
      <c r="G1730">
        <f t="shared" si="262"/>
        <v>0</v>
      </c>
      <c r="H1730">
        <f t="shared" si="263"/>
        <v>16</v>
      </c>
      <c r="I1730">
        <f t="shared" si="264"/>
        <v>15</v>
      </c>
      <c r="J1730">
        <f t="shared" si="265"/>
        <v>975</v>
      </c>
      <c r="K1730">
        <f t="shared" si="266"/>
        <v>17</v>
      </c>
      <c r="L1730">
        <f t="shared" si="267"/>
        <v>582065</v>
      </c>
      <c r="M1730">
        <f t="shared" si="268"/>
        <v>189023</v>
      </c>
      <c r="N1730">
        <f t="shared" si="269"/>
        <v>819088</v>
      </c>
      <c r="O1730">
        <f>IF(B1730="zagraniczny",K1730+O1729,O1729)</f>
        <v>732</v>
      </c>
    </row>
    <row r="1731" spans="1:15" x14ac:dyDescent="0.25">
      <c r="A1731">
        <v>61812355</v>
      </c>
      <c r="B1731" t="str">
        <f t="shared" ref="B1731:B1794" si="270">IF(LEN(A1731)=7,"stacjonarny",IF(LEN(A1731)=8,"komorkowy","zagraniczny"))</f>
        <v>komorkowy</v>
      </c>
      <c r="C1731" s="1">
        <v>42941</v>
      </c>
      <c r="D1731" s="2">
        <v>0.6292592592592593</v>
      </c>
      <c r="E1731" s="2">
        <v>0.63806712962962964</v>
      </c>
      <c r="F1731" s="2">
        <f t="shared" ref="F1731:F1794" si="271">E1731-D1731</f>
        <v>8.8078703703703409E-3</v>
      </c>
      <c r="G1731">
        <f t="shared" ref="G1731:G1794" si="272">HOUR(F1731)</f>
        <v>0</v>
      </c>
      <c r="H1731">
        <f t="shared" ref="H1731:H1794" si="273">MINUTE(F1731)</f>
        <v>12</v>
      </c>
      <c r="I1731">
        <f t="shared" ref="I1731:I1794" si="274">SECOND(F1731)</f>
        <v>41</v>
      </c>
      <c r="J1731">
        <f t="shared" ref="J1731:J1794" si="275">H1731*60+I1731</f>
        <v>761</v>
      </c>
      <c r="K1731">
        <f t="shared" ref="K1731:K1794" si="276">IF(I1731&gt;0,G1731*60+H1731+1,H1731+G1731*60)</f>
        <v>13</v>
      </c>
      <c r="L1731">
        <f t="shared" si="267"/>
        <v>582065</v>
      </c>
      <c r="M1731">
        <f t="shared" si="268"/>
        <v>189784</v>
      </c>
      <c r="N1731">
        <f t="shared" si="269"/>
        <v>819849</v>
      </c>
      <c r="O1731">
        <f>IF(B1731="zagraniczny",K1731+O1730,O1730)</f>
        <v>732</v>
      </c>
    </row>
    <row r="1732" spans="1:15" x14ac:dyDescent="0.25">
      <c r="A1732">
        <v>6493766</v>
      </c>
      <c r="B1732" t="str">
        <f t="shared" si="270"/>
        <v>stacjonarny</v>
      </c>
      <c r="C1732" s="1">
        <v>42942</v>
      </c>
      <c r="D1732" s="2">
        <v>0.33584490740740741</v>
      </c>
      <c r="E1732" s="2">
        <v>0.33677083333333335</v>
      </c>
      <c r="F1732" s="2">
        <f t="shared" si="271"/>
        <v>9.2592592592594114E-4</v>
      </c>
      <c r="G1732">
        <f t="shared" si="272"/>
        <v>0</v>
      </c>
      <c r="H1732">
        <f t="shared" si="273"/>
        <v>1</v>
      </c>
      <c r="I1732">
        <f t="shared" si="274"/>
        <v>20</v>
      </c>
      <c r="J1732">
        <f t="shared" si="275"/>
        <v>80</v>
      </c>
      <c r="K1732">
        <f t="shared" si="276"/>
        <v>2</v>
      </c>
      <c r="L1732">
        <f t="shared" ref="L1732:L1795" si="277">IF(B1732="stacjonarny",$J1732+L1731,L1731)</f>
        <v>582145</v>
      </c>
      <c r="M1732">
        <f t="shared" ref="M1732:M1795" si="278">IF(B1732="komorkowy",$J1732+M1731,M1731)</f>
        <v>189784</v>
      </c>
      <c r="N1732">
        <f t="shared" ref="N1732:N1795" si="279">IF(OR(B1732="stacjonarny",B1732="komorkowy"),J1732+N1731,N1731)</f>
        <v>819929</v>
      </c>
      <c r="O1732">
        <f>IF(B1732="zagraniczny",K1732+O1731,O1731)</f>
        <v>732</v>
      </c>
    </row>
    <row r="1733" spans="1:15" x14ac:dyDescent="0.25">
      <c r="A1733">
        <v>4965118</v>
      </c>
      <c r="B1733" t="str">
        <f t="shared" si="270"/>
        <v>stacjonarny</v>
      </c>
      <c r="C1733" s="1">
        <v>42942</v>
      </c>
      <c r="D1733" s="2">
        <v>0.33710648148148148</v>
      </c>
      <c r="E1733" s="2">
        <v>0.34759259259259262</v>
      </c>
      <c r="F1733" s="2">
        <f t="shared" si="271"/>
        <v>1.048611111111114E-2</v>
      </c>
      <c r="G1733">
        <f t="shared" si="272"/>
        <v>0</v>
      </c>
      <c r="H1733">
        <f t="shared" si="273"/>
        <v>15</v>
      </c>
      <c r="I1733">
        <f t="shared" si="274"/>
        <v>6</v>
      </c>
      <c r="J1733">
        <f t="shared" si="275"/>
        <v>906</v>
      </c>
      <c r="K1733">
        <f t="shared" si="276"/>
        <v>16</v>
      </c>
      <c r="L1733">
        <f t="shared" si="277"/>
        <v>583051</v>
      </c>
      <c r="M1733">
        <f t="shared" si="278"/>
        <v>189784</v>
      </c>
      <c r="N1733">
        <f t="shared" si="279"/>
        <v>820835</v>
      </c>
      <c r="O1733">
        <f>IF(B1733="zagraniczny",K1733+O1732,O1732)</f>
        <v>732</v>
      </c>
    </row>
    <row r="1734" spans="1:15" x14ac:dyDescent="0.25">
      <c r="A1734">
        <v>7973476</v>
      </c>
      <c r="B1734" t="str">
        <f t="shared" si="270"/>
        <v>stacjonarny</v>
      </c>
      <c r="C1734" s="1">
        <v>42942</v>
      </c>
      <c r="D1734" s="2">
        <v>0.34250000000000003</v>
      </c>
      <c r="E1734" s="2">
        <v>0.35003472222222221</v>
      </c>
      <c r="F1734" s="2">
        <f t="shared" si="271"/>
        <v>7.5347222222221788E-3</v>
      </c>
      <c r="G1734">
        <f t="shared" si="272"/>
        <v>0</v>
      </c>
      <c r="H1734">
        <f t="shared" si="273"/>
        <v>10</v>
      </c>
      <c r="I1734">
        <f t="shared" si="274"/>
        <v>51</v>
      </c>
      <c r="J1734">
        <f t="shared" si="275"/>
        <v>651</v>
      </c>
      <c r="K1734">
        <f t="shared" si="276"/>
        <v>11</v>
      </c>
      <c r="L1734">
        <f t="shared" si="277"/>
        <v>583702</v>
      </c>
      <c r="M1734">
        <f t="shared" si="278"/>
        <v>189784</v>
      </c>
      <c r="N1734">
        <f t="shared" si="279"/>
        <v>821486</v>
      </c>
      <c r="O1734">
        <f>IF(B1734="zagraniczny",K1734+O1733,O1733)</f>
        <v>732</v>
      </c>
    </row>
    <row r="1735" spans="1:15" x14ac:dyDescent="0.25">
      <c r="A1735">
        <v>6642574</v>
      </c>
      <c r="B1735" t="str">
        <f t="shared" si="270"/>
        <v>stacjonarny</v>
      </c>
      <c r="C1735" s="1">
        <v>42942</v>
      </c>
      <c r="D1735" s="2">
        <v>0.34575231481481483</v>
      </c>
      <c r="E1735" s="2">
        <v>0.35645833333333332</v>
      </c>
      <c r="F1735" s="2">
        <f t="shared" si="271"/>
        <v>1.070601851851849E-2</v>
      </c>
      <c r="G1735">
        <f t="shared" si="272"/>
        <v>0</v>
      </c>
      <c r="H1735">
        <f t="shared" si="273"/>
        <v>15</v>
      </c>
      <c r="I1735">
        <f t="shared" si="274"/>
        <v>25</v>
      </c>
      <c r="J1735">
        <f t="shared" si="275"/>
        <v>925</v>
      </c>
      <c r="K1735">
        <f t="shared" si="276"/>
        <v>16</v>
      </c>
      <c r="L1735">
        <f t="shared" si="277"/>
        <v>584627</v>
      </c>
      <c r="M1735">
        <f t="shared" si="278"/>
        <v>189784</v>
      </c>
      <c r="N1735">
        <f t="shared" si="279"/>
        <v>822411</v>
      </c>
      <c r="O1735">
        <f>IF(B1735="zagraniczny",K1735+O1734,O1734)</f>
        <v>732</v>
      </c>
    </row>
    <row r="1736" spans="1:15" x14ac:dyDescent="0.25">
      <c r="A1736">
        <v>2325155</v>
      </c>
      <c r="B1736" t="str">
        <f t="shared" si="270"/>
        <v>stacjonarny</v>
      </c>
      <c r="C1736" s="1">
        <v>42942</v>
      </c>
      <c r="D1736" s="2">
        <v>0.34759259259259262</v>
      </c>
      <c r="E1736" s="2">
        <v>0.35511574074074076</v>
      </c>
      <c r="F1736" s="2">
        <f t="shared" si="271"/>
        <v>7.5231481481481399E-3</v>
      </c>
      <c r="G1736">
        <f t="shared" si="272"/>
        <v>0</v>
      </c>
      <c r="H1736">
        <f t="shared" si="273"/>
        <v>10</v>
      </c>
      <c r="I1736">
        <f t="shared" si="274"/>
        <v>50</v>
      </c>
      <c r="J1736">
        <f t="shared" si="275"/>
        <v>650</v>
      </c>
      <c r="K1736">
        <f t="shared" si="276"/>
        <v>11</v>
      </c>
      <c r="L1736">
        <f t="shared" si="277"/>
        <v>585277</v>
      </c>
      <c r="M1736">
        <f t="shared" si="278"/>
        <v>189784</v>
      </c>
      <c r="N1736">
        <f t="shared" si="279"/>
        <v>823061</v>
      </c>
      <c r="O1736">
        <f>IF(B1736="zagraniczny",K1736+O1735,O1735)</f>
        <v>732</v>
      </c>
    </row>
    <row r="1737" spans="1:15" x14ac:dyDescent="0.25">
      <c r="A1737">
        <v>1340323</v>
      </c>
      <c r="B1737" t="str">
        <f t="shared" si="270"/>
        <v>stacjonarny</v>
      </c>
      <c r="C1737" s="1">
        <v>42942</v>
      </c>
      <c r="D1737" s="2">
        <v>0.34994212962962962</v>
      </c>
      <c r="E1737" s="2">
        <v>0.35781249999999998</v>
      </c>
      <c r="F1737" s="2">
        <f t="shared" si="271"/>
        <v>7.8703703703703609E-3</v>
      </c>
      <c r="G1737">
        <f t="shared" si="272"/>
        <v>0</v>
      </c>
      <c r="H1737">
        <f t="shared" si="273"/>
        <v>11</v>
      </c>
      <c r="I1737">
        <f t="shared" si="274"/>
        <v>20</v>
      </c>
      <c r="J1737">
        <f t="shared" si="275"/>
        <v>680</v>
      </c>
      <c r="K1737">
        <f t="shared" si="276"/>
        <v>12</v>
      </c>
      <c r="L1737">
        <f t="shared" si="277"/>
        <v>585957</v>
      </c>
      <c r="M1737">
        <f t="shared" si="278"/>
        <v>189784</v>
      </c>
      <c r="N1737">
        <f t="shared" si="279"/>
        <v>823741</v>
      </c>
      <c r="O1737">
        <f>IF(B1737="zagraniczny",K1737+O1736,O1736)</f>
        <v>732</v>
      </c>
    </row>
    <row r="1738" spans="1:15" x14ac:dyDescent="0.25">
      <c r="A1738">
        <v>8957203</v>
      </c>
      <c r="B1738" t="str">
        <f t="shared" si="270"/>
        <v>stacjonarny</v>
      </c>
      <c r="C1738" s="1">
        <v>42942</v>
      </c>
      <c r="D1738" s="2">
        <v>0.35454861111111113</v>
      </c>
      <c r="E1738" s="2">
        <v>0.3629398148148148</v>
      </c>
      <c r="F1738" s="2">
        <f t="shared" si="271"/>
        <v>8.3912037037036646E-3</v>
      </c>
      <c r="G1738">
        <f t="shared" si="272"/>
        <v>0</v>
      </c>
      <c r="H1738">
        <f t="shared" si="273"/>
        <v>12</v>
      </c>
      <c r="I1738">
        <f t="shared" si="274"/>
        <v>5</v>
      </c>
      <c r="J1738">
        <f t="shared" si="275"/>
        <v>725</v>
      </c>
      <c r="K1738">
        <f t="shared" si="276"/>
        <v>13</v>
      </c>
      <c r="L1738">
        <f t="shared" si="277"/>
        <v>586682</v>
      </c>
      <c r="M1738">
        <f t="shared" si="278"/>
        <v>189784</v>
      </c>
      <c r="N1738">
        <f t="shared" si="279"/>
        <v>824466</v>
      </c>
      <c r="O1738">
        <f>IF(B1738="zagraniczny",K1738+O1737,O1737)</f>
        <v>732</v>
      </c>
    </row>
    <row r="1739" spans="1:15" x14ac:dyDescent="0.25">
      <c r="A1739">
        <v>8276893</v>
      </c>
      <c r="B1739" t="str">
        <f t="shared" si="270"/>
        <v>stacjonarny</v>
      </c>
      <c r="C1739" s="1">
        <v>42942</v>
      </c>
      <c r="D1739" s="2">
        <v>0.3590740740740741</v>
      </c>
      <c r="E1739" s="2">
        <v>0.36600694444444443</v>
      </c>
      <c r="F1739" s="2">
        <f t="shared" si="271"/>
        <v>6.9328703703703254E-3</v>
      </c>
      <c r="G1739">
        <f t="shared" si="272"/>
        <v>0</v>
      </c>
      <c r="H1739">
        <f t="shared" si="273"/>
        <v>9</v>
      </c>
      <c r="I1739">
        <f t="shared" si="274"/>
        <v>59</v>
      </c>
      <c r="J1739">
        <f t="shared" si="275"/>
        <v>599</v>
      </c>
      <c r="K1739">
        <f t="shared" si="276"/>
        <v>10</v>
      </c>
      <c r="L1739">
        <f t="shared" si="277"/>
        <v>587281</v>
      </c>
      <c r="M1739">
        <f t="shared" si="278"/>
        <v>189784</v>
      </c>
      <c r="N1739">
        <f t="shared" si="279"/>
        <v>825065</v>
      </c>
      <c r="O1739">
        <f>IF(B1739="zagraniczny",K1739+O1738,O1738)</f>
        <v>732</v>
      </c>
    </row>
    <row r="1740" spans="1:15" x14ac:dyDescent="0.25">
      <c r="A1740">
        <v>7894591002</v>
      </c>
      <c r="B1740" t="str">
        <f t="shared" si="270"/>
        <v>zagraniczny</v>
      </c>
      <c r="C1740" s="1">
        <v>42942</v>
      </c>
      <c r="D1740" s="2">
        <v>0.36476851851851849</v>
      </c>
      <c r="E1740" s="2">
        <v>0.37505787037037036</v>
      </c>
      <c r="F1740" s="2">
        <f t="shared" si="271"/>
        <v>1.0289351851851869E-2</v>
      </c>
      <c r="G1740">
        <f t="shared" si="272"/>
        <v>0</v>
      </c>
      <c r="H1740">
        <f t="shared" si="273"/>
        <v>14</v>
      </c>
      <c r="I1740">
        <f t="shared" si="274"/>
        <v>49</v>
      </c>
      <c r="J1740">
        <f t="shared" si="275"/>
        <v>889</v>
      </c>
      <c r="K1740">
        <f t="shared" si="276"/>
        <v>15</v>
      </c>
      <c r="L1740">
        <f t="shared" si="277"/>
        <v>587281</v>
      </c>
      <c r="M1740">
        <f t="shared" si="278"/>
        <v>189784</v>
      </c>
      <c r="N1740">
        <f t="shared" si="279"/>
        <v>825065</v>
      </c>
      <c r="O1740">
        <f>IF(B1740="zagraniczny",K1740+O1739,O1739)</f>
        <v>747</v>
      </c>
    </row>
    <row r="1741" spans="1:15" x14ac:dyDescent="0.25">
      <c r="A1741">
        <v>26891502</v>
      </c>
      <c r="B1741" t="str">
        <f t="shared" si="270"/>
        <v>komorkowy</v>
      </c>
      <c r="C1741" s="1">
        <v>42942</v>
      </c>
      <c r="D1741" s="2">
        <v>0.3697685185185185</v>
      </c>
      <c r="E1741" s="2">
        <v>0.37656250000000002</v>
      </c>
      <c r="F1741" s="2">
        <f t="shared" si="271"/>
        <v>6.7939814814815258E-3</v>
      </c>
      <c r="G1741">
        <f t="shared" si="272"/>
        <v>0</v>
      </c>
      <c r="H1741">
        <f t="shared" si="273"/>
        <v>9</v>
      </c>
      <c r="I1741">
        <f t="shared" si="274"/>
        <v>47</v>
      </c>
      <c r="J1741">
        <f t="shared" si="275"/>
        <v>587</v>
      </c>
      <c r="K1741">
        <f t="shared" si="276"/>
        <v>10</v>
      </c>
      <c r="L1741">
        <f t="shared" si="277"/>
        <v>587281</v>
      </c>
      <c r="M1741">
        <f t="shared" si="278"/>
        <v>190371</v>
      </c>
      <c r="N1741">
        <f t="shared" si="279"/>
        <v>825652</v>
      </c>
      <c r="O1741">
        <f>IF(B1741="zagraniczny",K1741+O1740,O1740)</f>
        <v>747</v>
      </c>
    </row>
    <row r="1742" spans="1:15" x14ac:dyDescent="0.25">
      <c r="A1742">
        <v>71021004</v>
      </c>
      <c r="B1742" t="str">
        <f t="shared" si="270"/>
        <v>komorkowy</v>
      </c>
      <c r="C1742" s="1">
        <v>42942</v>
      </c>
      <c r="D1742" s="2">
        <v>0.37305555555555553</v>
      </c>
      <c r="E1742" s="2">
        <v>0.38090277777777776</v>
      </c>
      <c r="F1742" s="2">
        <f t="shared" si="271"/>
        <v>7.8472222222222276E-3</v>
      </c>
      <c r="G1742">
        <f t="shared" si="272"/>
        <v>0</v>
      </c>
      <c r="H1742">
        <f t="shared" si="273"/>
        <v>11</v>
      </c>
      <c r="I1742">
        <f t="shared" si="274"/>
        <v>18</v>
      </c>
      <c r="J1742">
        <f t="shared" si="275"/>
        <v>678</v>
      </c>
      <c r="K1742">
        <f t="shared" si="276"/>
        <v>12</v>
      </c>
      <c r="L1742">
        <f t="shared" si="277"/>
        <v>587281</v>
      </c>
      <c r="M1742">
        <f t="shared" si="278"/>
        <v>191049</v>
      </c>
      <c r="N1742">
        <f t="shared" si="279"/>
        <v>826330</v>
      </c>
      <c r="O1742">
        <f>IF(B1742="zagraniczny",K1742+O1741,O1741)</f>
        <v>747</v>
      </c>
    </row>
    <row r="1743" spans="1:15" x14ac:dyDescent="0.25">
      <c r="A1743">
        <v>17314583</v>
      </c>
      <c r="B1743" t="str">
        <f t="shared" si="270"/>
        <v>komorkowy</v>
      </c>
      <c r="C1743" s="1">
        <v>42942</v>
      </c>
      <c r="D1743" s="2">
        <v>0.37843749999999998</v>
      </c>
      <c r="E1743" s="2">
        <v>0.38879629629629631</v>
      </c>
      <c r="F1743" s="2">
        <f t="shared" si="271"/>
        <v>1.0358796296296324E-2</v>
      </c>
      <c r="G1743">
        <f t="shared" si="272"/>
        <v>0</v>
      </c>
      <c r="H1743">
        <f t="shared" si="273"/>
        <v>14</v>
      </c>
      <c r="I1743">
        <f t="shared" si="274"/>
        <v>55</v>
      </c>
      <c r="J1743">
        <f t="shared" si="275"/>
        <v>895</v>
      </c>
      <c r="K1743">
        <f t="shared" si="276"/>
        <v>15</v>
      </c>
      <c r="L1743">
        <f t="shared" si="277"/>
        <v>587281</v>
      </c>
      <c r="M1743">
        <f t="shared" si="278"/>
        <v>191944</v>
      </c>
      <c r="N1743">
        <f t="shared" si="279"/>
        <v>827225</v>
      </c>
      <c r="O1743">
        <f>IF(B1743="zagraniczny",K1743+O1742,O1742)</f>
        <v>747</v>
      </c>
    </row>
    <row r="1744" spans="1:15" x14ac:dyDescent="0.25">
      <c r="A1744">
        <v>3972159</v>
      </c>
      <c r="B1744" t="str">
        <f t="shared" si="270"/>
        <v>stacjonarny</v>
      </c>
      <c r="C1744" s="1">
        <v>42942</v>
      </c>
      <c r="D1744" s="2">
        <v>0.37895833333333334</v>
      </c>
      <c r="E1744" s="2">
        <v>0.38263888888888886</v>
      </c>
      <c r="F1744" s="2">
        <f t="shared" si="271"/>
        <v>3.6805555555555203E-3</v>
      </c>
      <c r="G1744">
        <f t="shared" si="272"/>
        <v>0</v>
      </c>
      <c r="H1744">
        <f t="shared" si="273"/>
        <v>5</v>
      </c>
      <c r="I1744">
        <f t="shared" si="274"/>
        <v>18</v>
      </c>
      <c r="J1744">
        <f t="shared" si="275"/>
        <v>318</v>
      </c>
      <c r="K1744">
        <f t="shared" si="276"/>
        <v>6</v>
      </c>
      <c r="L1744">
        <f t="shared" si="277"/>
        <v>587599</v>
      </c>
      <c r="M1744">
        <f t="shared" si="278"/>
        <v>191944</v>
      </c>
      <c r="N1744">
        <f t="shared" si="279"/>
        <v>827543</v>
      </c>
      <c r="O1744">
        <f>IF(B1744="zagraniczny",K1744+O1743,O1743)</f>
        <v>747</v>
      </c>
    </row>
    <row r="1745" spans="1:15" x14ac:dyDescent="0.25">
      <c r="A1745">
        <v>94989369</v>
      </c>
      <c r="B1745" t="str">
        <f t="shared" si="270"/>
        <v>komorkowy</v>
      </c>
      <c r="C1745" s="1">
        <v>42942</v>
      </c>
      <c r="D1745" s="2">
        <v>0.37965277777777778</v>
      </c>
      <c r="E1745" s="2">
        <v>0.39068287037037036</v>
      </c>
      <c r="F1745" s="2">
        <f t="shared" si="271"/>
        <v>1.1030092592592577E-2</v>
      </c>
      <c r="G1745">
        <f t="shared" si="272"/>
        <v>0</v>
      </c>
      <c r="H1745">
        <f t="shared" si="273"/>
        <v>15</v>
      </c>
      <c r="I1745">
        <f t="shared" si="274"/>
        <v>53</v>
      </c>
      <c r="J1745">
        <f t="shared" si="275"/>
        <v>953</v>
      </c>
      <c r="K1745">
        <f t="shared" si="276"/>
        <v>16</v>
      </c>
      <c r="L1745">
        <f t="shared" si="277"/>
        <v>587599</v>
      </c>
      <c r="M1745">
        <f t="shared" si="278"/>
        <v>192897</v>
      </c>
      <c r="N1745">
        <f t="shared" si="279"/>
        <v>828496</v>
      </c>
      <c r="O1745">
        <f>IF(B1745="zagraniczny",K1745+O1744,O1744)</f>
        <v>747</v>
      </c>
    </row>
    <row r="1746" spans="1:15" x14ac:dyDescent="0.25">
      <c r="A1746">
        <v>4857453</v>
      </c>
      <c r="B1746" t="str">
        <f t="shared" si="270"/>
        <v>stacjonarny</v>
      </c>
      <c r="C1746" s="1">
        <v>42942</v>
      </c>
      <c r="D1746" s="2">
        <v>0.38013888888888892</v>
      </c>
      <c r="E1746" s="2">
        <v>0.385625</v>
      </c>
      <c r="F1746" s="2">
        <f t="shared" si="271"/>
        <v>5.4861111111110805E-3</v>
      </c>
      <c r="G1746">
        <f t="shared" si="272"/>
        <v>0</v>
      </c>
      <c r="H1746">
        <f t="shared" si="273"/>
        <v>7</v>
      </c>
      <c r="I1746">
        <f t="shared" si="274"/>
        <v>54</v>
      </c>
      <c r="J1746">
        <f t="shared" si="275"/>
        <v>474</v>
      </c>
      <c r="K1746">
        <f t="shared" si="276"/>
        <v>8</v>
      </c>
      <c r="L1746">
        <f t="shared" si="277"/>
        <v>588073</v>
      </c>
      <c r="M1746">
        <f t="shared" si="278"/>
        <v>192897</v>
      </c>
      <c r="N1746">
        <f t="shared" si="279"/>
        <v>828970</v>
      </c>
      <c r="O1746">
        <f>IF(B1746="zagraniczny",K1746+O1745,O1745)</f>
        <v>747</v>
      </c>
    </row>
    <row r="1747" spans="1:15" x14ac:dyDescent="0.25">
      <c r="A1747">
        <v>7980513</v>
      </c>
      <c r="B1747" t="str">
        <f t="shared" si="270"/>
        <v>stacjonarny</v>
      </c>
      <c r="C1747" s="1">
        <v>42942</v>
      </c>
      <c r="D1747" s="2">
        <v>0.38197916666666665</v>
      </c>
      <c r="E1747" s="2">
        <v>0.38288194444444446</v>
      </c>
      <c r="F1747" s="2">
        <f t="shared" si="271"/>
        <v>9.0277777777780788E-4</v>
      </c>
      <c r="G1747">
        <f t="shared" si="272"/>
        <v>0</v>
      </c>
      <c r="H1747">
        <f t="shared" si="273"/>
        <v>1</v>
      </c>
      <c r="I1747">
        <f t="shared" si="274"/>
        <v>18</v>
      </c>
      <c r="J1747">
        <f t="shared" si="275"/>
        <v>78</v>
      </c>
      <c r="K1747">
        <f t="shared" si="276"/>
        <v>2</v>
      </c>
      <c r="L1747">
        <f t="shared" si="277"/>
        <v>588151</v>
      </c>
      <c r="M1747">
        <f t="shared" si="278"/>
        <v>192897</v>
      </c>
      <c r="N1747">
        <f t="shared" si="279"/>
        <v>829048</v>
      </c>
      <c r="O1747">
        <f>IF(B1747="zagraniczny",K1747+O1746,O1746)</f>
        <v>747</v>
      </c>
    </row>
    <row r="1748" spans="1:15" x14ac:dyDescent="0.25">
      <c r="A1748">
        <v>6896175</v>
      </c>
      <c r="B1748" t="str">
        <f t="shared" si="270"/>
        <v>stacjonarny</v>
      </c>
      <c r="C1748" s="1">
        <v>42942</v>
      </c>
      <c r="D1748" s="2">
        <v>0.38309027777777777</v>
      </c>
      <c r="E1748" s="2">
        <v>0.38425925925925924</v>
      </c>
      <c r="F1748" s="2">
        <f t="shared" si="271"/>
        <v>1.1689814814814792E-3</v>
      </c>
      <c r="G1748">
        <f t="shared" si="272"/>
        <v>0</v>
      </c>
      <c r="H1748">
        <f t="shared" si="273"/>
        <v>1</v>
      </c>
      <c r="I1748">
        <f t="shared" si="274"/>
        <v>41</v>
      </c>
      <c r="J1748">
        <f t="shared" si="275"/>
        <v>101</v>
      </c>
      <c r="K1748">
        <f t="shared" si="276"/>
        <v>2</v>
      </c>
      <c r="L1748">
        <f t="shared" si="277"/>
        <v>588252</v>
      </c>
      <c r="M1748">
        <f t="shared" si="278"/>
        <v>192897</v>
      </c>
      <c r="N1748">
        <f t="shared" si="279"/>
        <v>829149</v>
      </c>
      <c r="O1748">
        <f>IF(B1748="zagraniczny",K1748+O1747,O1747)</f>
        <v>747</v>
      </c>
    </row>
    <row r="1749" spans="1:15" x14ac:dyDescent="0.25">
      <c r="A1749">
        <v>1689993</v>
      </c>
      <c r="B1749" t="str">
        <f t="shared" si="270"/>
        <v>stacjonarny</v>
      </c>
      <c r="C1749" s="1">
        <v>42942</v>
      </c>
      <c r="D1749" s="2">
        <v>0.38337962962962963</v>
      </c>
      <c r="E1749" s="2">
        <v>0.38748842592592592</v>
      </c>
      <c r="F1749" s="2">
        <f t="shared" si="271"/>
        <v>4.108796296296291E-3</v>
      </c>
      <c r="G1749">
        <f t="shared" si="272"/>
        <v>0</v>
      </c>
      <c r="H1749">
        <f t="shared" si="273"/>
        <v>5</v>
      </c>
      <c r="I1749">
        <f t="shared" si="274"/>
        <v>55</v>
      </c>
      <c r="J1749">
        <f t="shared" si="275"/>
        <v>355</v>
      </c>
      <c r="K1749">
        <f t="shared" si="276"/>
        <v>6</v>
      </c>
      <c r="L1749">
        <f t="shared" si="277"/>
        <v>588607</v>
      </c>
      <c r="M1749">
        <f t="shared" si="278"/>
        <v>192897</v>
      </c>
      <c r="N1749">
        <f t="shared" si="279"/>
        <v>829504</v>
      </c>
      <c r="O1749">
        <f>IF(B1749="zagraniczny",K1749+O1748,O1748)</f>
        <v>747</v>
      </c>
    </row>
    <row r="1750" spans="1:15" x14ac:dyDescent="0.25">
      <c r="A1750">
        <v>1183006</v>
      </c>
      <c r="B1750" t="str">
        <f t="shared" si="270"/>
        <v>stacjonarny</v>
      </c>
      <c r="C1750" s="1">
        <v>42942</v>
      </c>
      <c r="D1750" s="2">
        <v>0.38601851851851854</v>
      </c>
      <c r="E1750" s="2">
        <v>0.39283564814814814</v>
      </c>
      <c r="F1750" s="2">
        <f t="shared" si="271"/>
        <v>6.8171296296296036E-3</v>
      </c>
      <c r="G1750">
        <f t="shared" si="272"/>
        <v>0</v>
      </c>
      <c r="H1750">
        <f t="shared" si="273"/>
        <v>9</v>
      </c>
      <c r="I1750">
        <f t="shared" si="274"/>
        <v>49</v>
      </c>
      <c r="J1750">
        <f t="shared" si="275"/>
        <v>589</v>
      </c>
      <c r="K1750">
        <f t="shared" si="276"/>
        <v>10</v>
      </c>
      <c r="L1750">
        <f t="shared" si="277"/>
        <v>589196</v>
      </c>
      <c r="M1750">
        <f t="shared" si="278"/>
        <v>192897</v>
      </c>
      <c r="N1750">
        <f t="shared" si="279"/>
        <v>830093</v>
      </c>
      <c r="O1750">
        <f>IF(B1750="zagraniczny",K1750+O1749,O1749)</f>
        <v>747</v>
      </c>
    </row>
    <row r="1751" spans="1:15" x14ac:dyDescent="0.25">
      <c r="A1751">
        <v>9446278</v>
      </c>
      <c r="B1751" t="str">
        <f t="shared" si="270"/>
        <v>stacjonarny</v>
      </c>
      <c r="C1751" s="1">
        <v>42942</v>
      </c>
      <c r="D1751" s="2">
        <v>0.38871527777777776</v>
      </c>
      <c r="E1751" s="2">
        <v>0.38982638888888888</v>
      </c>
      <c r="F1751" s="2">
        <f t="shared" si="271"/>
        <v>1.1111111111111183E-3</v>
      </c>
      <c r="G1751">
        <f t="shared" si="272"/>
        <v>0</v>
      </c>
      <c r="H1751">
        <f t="shared" si="273"/>
        <v>1</v>
      </c>
      <c r="I1751">
        <f t="shared" si="274"/>
        <v>36</v>
      </c>
      <c r="J1751">
        <f t="shared" si="275"/>
        <v>96</v>
      </c>
      <c r="K1751">
        <f t="shared" si="276"/>
        <v>2</v>
      </c>
      <c r="L1751">
        <f t="shared" si="277"/>
        <v>589292</v>
      </c>
      <c r="M1751">
        <f t="shared" si="278"/>
        <v>192897</v>
      </c>
      <c r="N1751">
        <f t="shared" si="279"/>
        <v>830189</v>
      </c>
      <c r="O1751">
        <f>IF(B1751="zagraniczny",K1751+O1750,O1750)</f>
        <v>747</v>
      </c>
    </row>
    <row r="1752" spans="1:15" x14ac:dyDescent="0.25">
      <c r="A1752">
        <v>2445944</v>
      </c>
      <c r="B1752" t="str">
        <f t="shared" si="270"/>
        <v>stacjonarny</v>
      </c>
      <c r="C1752" s="1">
        <v>42942</v>
      </c>
      <c r="D1752" s="2">
        <v>0.3895601851851852</v>
      </c>
      <c r="E1752" s="2">
        <v>0.39548611111111109</v>
      </c>
      <c r="F1752" s="2">
        <f t="shared" si="271"/>
        <v>5.9259259259258901E-3</v>
      </c>
      <c r="G1752">
        <f t="shared" si="272"/>
        <v>0</v>
      </c>
      <c r="H1752">
        <f t="shared" si="273"/>
        <v>8</v>
      </c>
      <c r="I1752">
        <f t="shared" si="274"/>
        <v>32</v>
      </c>
      <c r="J1752">
        <f t="shared" si="275"/>
        <v>512</v>
      </c>
      <c r="K1752">
        <f t="shared" si="276"/>
        <v>9</v>
      </c>
      <c r="L1752">
        <f t="shared" si="277"/>
        <v>589804</v>
      </c>
      <c r="M1752">
        <f t="shared" si="278"/>
        <v>192897</v>
      </c>
      <c r="N1752">
        <f t="shared" si="279"/>
        <v>830701</v>
      </c>
      <c r="O1752">
        <f>IF(B1752="zagraniczny",K1752+O1751,O1751)</f>
        <v>747</v>
      </c>
    </row>
    <row r="1753" spans="1:15" x14ac:dyDescent="0.25">
      <c r="A1753">
        <v>4404713</v>
      </c>
      <c r="B1753" t="str">
        <f t="shared" si="270"/>
        <v>stacjonarny</v>
      </c>
      <c r="C1753" s="1">
        <v>42942</v>
      </c>
      <c r="D1753" s="2">
        <v>0.39533564814814814</v>
      </c>
      <c r="E1753" s="2">
        <v>0.39599537037037036</v>
      </c>
      <c r="F1753" s="2">
        <f t="shared" si="271"/>
        <v>6.5972222222221433E-4</v>
      </c>
      <c r="G1753">
        <f t="shared" si="272"/>
        <v>0</v>
      </c>
      <c r="H1753">
        <f t="shared" si="273"/>
        <v>0</v>
      </c>
      <c r="I1753">
        <f t="shared" si="274"/>
        <v>57</v>
      </c>
      <c r="J1753">
        <f t="shared" si="275"/>
        <v>57</v>
      </c>
      <c r="K1753">
        <f t="shared" si="276"/>
        <v>1</v>
      </c>
      <c r="L1753">
        <f t="shared" si="277"/>
        <v>589861</v>
      </c>
      <c r="M1753">
        <f t="shared" si="278"/>
        <v>192897</v>
      </c>
      <c r="N1753">
        <f t="shared" si="279"/>
        <v>830758</v>
      </c>
      <c r="O1753">
        <f>IF(B1753="zagraniczny",K1753+O1752,O1752)</f>
        <v>747</v>
      </c>
    </row>
    <row r="1754" spans="1:15" x14ac:dyDescent="0.25">
      <c r="A1754">
        <v>6495153</v>
      </c>
      <c r="B1754" t="str">
        <f t="shared" si="270"/>
        <v>stacjonarny</v>
      </c>
      <c r="C1754" s="1">
        <v>42942</v>
      </c>
      <c r="D1754" s="2">
        <v>0.4001736111111111</v>
      </c>
      <c r="E1754" s="2">
        <v>0.40406249999999999</v>
      </c>
      <c r="F1754" s="2">
        <f t="shared" si="271"/>
        <v>3.8888888888888862E-3</v>
      </c>
      <c r="G1754">
        <f t="shared" si="272"/>
        <v>0</v>
      </c>
      <c r="H1754">
        <f t="shared" si="273"/>
        <v>5</v>
      </c>
      <c r="I1754">
        <f t="shared" si="274"/>
        <v>36</v>
      </c>
      <c r="J1754">
        <f t="shared" si="275"/>
        <v>336</v>
      </c>
      <c r="K1754">
        <f t="shared" si="276"/>
        <v>6</v>
      </c>
      <c r="L1754">
        <f t="shared" si="277"/>
        <v>590197</v>
      </c>
      <c r="M1754">
        <f t="shared" si="278"/>
        <v>192897</v>
      </c>
      <c r="N1754">
        <f t="shared" si="279"/>
        <v>831094</v>
      </c>
      <c r="O1754">
        <f>IF(B1754="zagraniczny",K1754+O1753,O1753)</f>
        <v>747</v>
      </c>
    </row>
    <row r="1755" spans="1:15" x14ac:dyDescent="0.25">
      <c r="A1755">
        <v>2684831</v>
      </c>
      <c r="B1755" t="str">
        <f t="shared" si="270"/>
        <v>stacjonarny</v>
      </c>
      <c r="C1755" s="1">
        <v>42942</v>
      </c>
      <c r="D1755" s="2">
        <v>0.40130787037037036</v>
      </c>
      <c r="E1755" s="2">
        <v>0.40658564814814813</v>
      </c>
      <c r="F1755" s="2">
        <f t="shared" si="271"/>
        <v>5.2777777777777701E-3</v>
      </c>
      <c r="G1755">
        <f t="shared" si="272"/>
        <v>0</v>
      </c>
      <c r="H1755">
        <f t="shared" si="273"/>
        <v>7</v>
      </c>
      <c r="I1755">
        <f t="shared" si="274"/>
        <v>36</v>
      </c>
      <c r="J1755">
        <f t="shared" si="275"/>
        <v>456</v>
      </c>
      <c r="K1755">
        <f t="shared" si="276"/>
        <v>8</v>
      </c>
      <c r="L1755">
        <f t="shared" si="277"/>
        <v>590653</v>
      </c>
      <c r="M1755">
        <f t="shared" si="278"/>
        <v>192897</v>
      </c>
      <c r="N1755">
        <f t="shared" si="279"/>
        <v>831550</v>
      </c>
      <c r="O1755">
        <f>IF(B1755="zagraniczny",K1755+O1754,O1754)</f>
        <v>747</v>
      </c>
    </row>
    <row r="1756" spans="1:15" x14ac:dyDescent="0.25">
      <c r="A1756">
        <v>8748493</v>
      </c>
      <c r="B1756" t="str">
        <f t="shared" si="270"/>
        <v>stacjonarny</v>
      </c>
      <c r="C1756" s="1">
        <v>42942</v>
      </c>
      <c r="D1756" s="2">
        <v>0.40415509259259258</v>
      </c>
      <c r="E1756" s="2">
        <v>0.40443287037037035</v>
      </c>
      <c r="F1756" s="2">
        <f t="shared" si="271"/>
        <v>2.7777777777776569E-4</v>
      </c>
      <c r="G1756">
        <f t="shared" si="272"/>
        <v>0</v>
      </c>
      <c r="H1756">
        <f t="shared" si="273"/>
        <v>0</v>
      </c>
      <c r="I1756">
        <f t="shared" si="274"/>
        <v>24</v>
      </c>
      <c r="J1756">
        <f t="shared" si="275"/>
        <v>24</v>
      </c>
      <c r="K1756">
        <f t="shared" si="276"/>
        <v>1</v>
      </c>
      <c r="L1756">
        <f t="shared" si="277"/>
        <v>590677</v>
      </c>
      <c r="M1756">
        <f t="shared" si="278"/>
        <v>192897</v>
      </c>
      <c r="N1756">
        <f t="shared" si="279"/>
        <v>831574</v>
      </c>
      <c r="O1756">
        <f>IF(B1756="zagraniczny",K1756+O1755,O1755)</f>
        <v>747</v>
      </c>
    </row>
    <row r="1757" spans="1:15" x14ac:dyDescent="0.25">
      <c r="A1757">
        <v>7230252</v>
      </c>
      <c r="B1757" t="str">
        <f t="shared" si="270"/>
        <v>stacjonarny</v>
      </c>
      <c r="C1757" s="1">
        <v>42942</v>
      </c>
      <c r="D1757" s="2">
        <v>0.40771990740740743</v>
      </c>
      <c r="E1757" s="2">
        <v>0.41290509259259262</v>
      </c>
      <c r="F1757" s="2">
        <f t="shared" si="271"/>
        <v>5.1851851851851816E-3</v>
      </c>
      <c r="G1757">
        <f t="shared" si="272"/>
        <v>0</v>
      </c>
      <c r="H1757">
        <f t="shared" si="273"/>
        <v>7</v>
      </c>
      <c r="I1757">
        <f t="shared" si="274"/>
        <v>28</v>
      </c>
      <c r="J1757">
        <f t="shared" si="275"/>
        <v>448</v>
      </c>
      <c r="K1757">
        <f t="shared" si="276"/>
        <v>8</v>
      </c>
      <c r="L1757">
        <f t="shared" si="277"/>
        <v>591125</v>
      </c>
      <c r="M1757">
        <f t="shared" si="278"/>
        <v>192897</v>
      </c>
      <c r="N1757">
        <f t="shared" si="279"/>
        <v>832022</v>
      </c>
      <c r="O1757">
        <f>IF(B1757="zagraniczny",K1757+O1756,O1756)</f>
        <v>747</v>
      </c>
    </row>
    <row r="1758" spans="1:15" x14ac:dyDescent="0.25">
      <c r="A1758">
        <v>5082463</v>
      </c>
      <c r="B1758" t="str">
        <f t="shared" si="270"/>
        <v>stacjonarny</v>
      </c>
      <c r="C1758" s="1">
        <v>42942</v>
      </c>
      <c r="D1758" s="2">
        <v>0.41269675925925925</v>
      </c>
      <c r="E1758" s="2">
        <v>0.42046296296296298</v>
      </c>
      <c r="F1758" s="2">
        <f t="shared" si="271"/>
        <v>7.7662037037037335E-3</v>
      </c>
      <c r="G1758">
        <f t="shared" si="272"/>
        <v>0</v>
      </c>
      <c r="H1758">
        <f t="shared" si="273"/>
        <v>11</v>
      </c>
      <c r="I1758">
        <f t="shared" si="274"/>
        <v>11</v>
      </c>
      <c r="J1758">
        <f t="shared" si="275"/>
        <v>671</v>
      </c>
      <c r="K1758">
        <f t="shared" si="276"/>
        <v>12</v>
      </c>
      <c r="L1758">
        <f t="shared" si="277"/>
        <v>591796</v>
      </c>
      <c r="M1758">
        <f t="shared" si="278"/>
        <v>192897</v>
      </c>
      <c r="N1758">
        <f t="shared" si="279"/>
        <v>832693</v>
      </c>
      <c r="O1758">
        <f>IF(B1758="zagraniczny",K1758+O1757,O1757)</f>
        <v>747</v>
      </c>
    </row>
    <row r="1759" spans="1:15" x14ac:dyDescent="0.25">
      <c r="A1759">
        <v>1830054</v>
      </c>
      <c r="B1759" t="str">
        <f t="shared" si="270"/>
        <v>stacjonarny</v>
      </c>
      <c r="C1759" s="1">
        <v>42942</v>
      </c>
      <c r="D1759" s="2">
        <v>0.41390046296296296</v>
      </c>
      <c r="E1759" s="2">
        <v>0.42016203703703703</v>
      </c>
      <c r="F1759" s="2">
        <f t="shared" si="271"/>
        <v>6.2615740740740722E-3</v>
      </c>
      <c r="G1759">
        <f t="shared" si="272"/>
        <v>0</v>
      </c>
      <c r="H1759">
        <f t="shared" si="273"/>
        <v>9</v>
      </c>
      <c r="I1759">
        <f t="shared" si="274"/>
        <v>1</v>
      </c>
      <c r="J1759">
        <f t="shared" si="275"/>
        <v>541</v>
      </c>
      <c r="K1759">
        <f t="shared" si="276"/>
        <v>10</v>
      </c>
      <c r="L1759">
        <f t="shared" si="277"/>
        <v>592337</v>
      </c>
      <c r="M1759">
        <f t="shared" si="278"/>
        <v>192897</v>
      </c>
      <c r="N1759">
        <f t="shared" si="279"/>
        <v>833234</v>
      </c>
      <c r="O1759">
        <f>IF(B1759="zagraniczny",K1759+O1758,O1758)</f>
        <v>747</v>
      </c>
    </row>
    <row r="1760" spans="1:15" x14ac:dyDescent="0.25">
      <c r="A1760">
        <v>5223970</v>
      </c>
      <c r="B1760" t="str">
        <f t="shared" si="270"/>
        <v>stacjonarny</v>
      </c>
      <c r="C1760" s="1">
        <v>42942</v>
      </c>
      <c r="D1760" s="2">
        <v>0.41413194444444446</v>
      </c>
      <c r="E1760" s="2">
        <v>0.41684027777777777</v>
      </c>
      <c r="F1760" s="2">
        <f t="shared" si="271"/>
        <v>2.7083333333333126E-3</v>
      </c>
      <c r="G1760">
        <f t="shared" si="272"/>
        <v>0</v>
      </c>
      <c r="H1760">
        <f t="shared" si="273"/>
        <v>3</v>
      </c>
      <c r="I1760">
        <f t="shared" si="274"/>
        <v>54</v>
      </c>
      <c r="J1760">
        <f t="shared" si="275"/>
        <v>234</v>
      </c>
      <c r="K1760">
        <f t="shared" si="276"/>
        <v>4</v>
      </c>
      <c r="L1760">
        <f t="shared" si="277"/>
        <v>592571</v>
      </c>
      <c r="M1760">
        <f t="shared" si="278"/>
        <v>192897</v>
      </c>
      <c r="N1760">
        <f t="shared" si="279"/>
        <v>833468</v>
      </c>
      <c r="O1760">
        <f>IF(B1760="zagraniczny",K1760+O1759,O1759)</f>
        <v>747</v>
      </c>
    </row>
    <row r="1761" spans="1:15" x14ac:dyDescent="0.25">
      <c r="A1761">
        <v>8369071681</v>
      </c>
      <c r="B1761" t="str">
        <f t="shared" si="270"/>
        <v>zagraniczny</v>
      </c>
      <c r="C1761" s="1">
        <v>42942</v>
      </c>
      <c r="D1761" s="2">
        <v>0.41935185185185186</v>
      </c>
      <c r="E1761" s="2">
        <v>0.42133101851851851</v>
      </c>
      <c r="F1761" s="2">
        <f t="shared" si="271"/>
        <v>1.979166666666643E-3</v>
      </c>
      <c r="G1761">
        <f t="shared" si="272"/>
        <v>0</v>
      </c>
      <c r="H1761">
        <f t="shared" si="273"/>
        <v>2</v>
      </c>
      <c r="I1761">
        <f t="shared" si="274"/>
        <v>51</v>
      </c>
      <c r="J1761">
        <f t="shared" si="275"/>
        <v>171</v>
      </c>
      <c r="K1761">
        <f t="shared" si="276"/>
        <v>3</v>
      </c>
      <c r="L1761">
        <f t="shared" si="277"/>
        <v>592571</v>
      </c>
      <c r="M1761">
        <f t="shared" si="278"/>
        <v>192897</v>
      </c>
      <c r="N1761">
        <f t="shared" si="279"/>
        <v>833468</v>
      </c>
      <c r="O1761">
        <f>IF(B1761="zagraniczny",K1761+O1760,O1760)</f>
        <v>750</v>
      </c>
    </row>
    <row r="1762" spans="1:15" x14ac:dyDescent="0.25">
      <c r="A1762">
        <v>5582631</v>
      </c>
      <c r="B1762" t="str">
        <f t="shared" si="270"/>
        <v>stacjonarny</v>
      </c>
      <c r="C1762" s="1">
        <v>42942</v>
      </c>
      <c r="D1762" s="2">
        <v>0.42229166666666668</v>
      </c>
      <c r="E1762" s="2">
        <v>0.42271990740740739</v>
      </c>
      <c r="F1762" s="2">
        <f t="shared" si="271"/>
        <v>4.2824074074071516E-4</v>
      </c>
      <c r="G1762">
        <f t="shared" si="272"/>
        <v>0</v>
      </c>
      <c r="H1762">
        <f t="shared" si="273"/>
        <v>0</v>
      </c>
      <c r="I1762">
        <f t="shared" si="274"/>
        <v>37</v>
      </c>
      <c r="J1762">
        <f t="shared" si="275"/>
        <v>37</v>
      </c>
      <c r="K1762">
        <f t="shared" si="276"/>
        <v>1</v>
      </c>
      <c r="L1762">
        <f t="shared" si="277"/>
        <v>592608</v>
      </c>
      <c r="M1762">
        <f t="shared" si="278"/>
        <v>192897</v>
      </c>
      <c r="N1762">
        <f t="shared" si="279"/>
        <v>833505</v>
      </c>
      <c r="O1762">
        <f>IF(B1762="zagraniczny",K1762+O1761,O1761)</f>
        <v>750</v>
      </c>
    </row>
    <row r="1763" spans="1:15" x14ac:dyDescent="0.25">
      <c r="A1763">
        <v>68043713</v>
      </c>
      <c r="B1763" t="str">
        <f t="shared" si="270"/>
        <v>komorkowy</v>
      </c>
      <c r="C1763" s="1">
        <v>42942</v>
      </c>
      <c r="D1763" s="2">
        <v>0.42366898148148147</v>
      </c>
      <c r="E1763" s="2">
        <v>0.42792824074074076</v>
      </c>
      <c r="F1763" s="2">
        <f t="shared" si="271"/>
        <v>4.2592592592592959E-3</v>
      </c>
      <c r="G1763">
        <f t="shared" si="272"/>
        <v>0</v>
      </c>
      <c r="H1763">
        <f t="shared" si="273"/>
        <v>6</v>
      </c>
      <c r="I1763">
        <f t="shared" si="274"/>
        <v>8</v>
      </c>
      <c r="J1763">
        <f t="shared" si="275"/>
        <v>368</v>
      </c>
      <c r="K1763">
        <f t="shared" si="276"/>
        <v>7</v>
      </c>
      <c r="L1763">
        <f t="shared" si="277"/>
        <v>592608</v>
      </c>
      <c r="M1763">
        <f t="shared" si="278"/>
        <v>193265</v>
      </c>
      <c r="N1763">
        <f t="shared" si="279"/>
        <v>833873</v>
      </c>
      <c r="O1763">
        <f>IF(B1763="zagraniczny",K1763+O1762,O1762)</f>
        <v>750</v>
      </c>
    </row>
    <row r="1764" spans="1:15" x14ac:dyDescent="0.25">
      <c r="A1764">
        <v>89263578</v>
      </c>
      <c r="B1764" t="str">
        <f t="shared" si="270"/>
        <v>komorkowy</v>
      </c>
      <c r="C1764" s="1">
        <v>42942</v>
      </c>
      <c r="D1764" s="2">
        <v>0.42912037037037037</v>
      </c>
      <c r="E1764" s="2">
        <v>0.43753472222222223</v>
      </c>
      <c r="F1764" s="2">
        <f t="shared" si="271"/>
        <v>8.4143518518518534E-3</v>
      </c>
      <c r="G1764">
        <f t="shared" si="272"/>
        <v>0</v>
      </c>
      <c r="H1764">
        <f t="shared" si="273"/>
        <v>12</v>
      </c>
      <c r="I1764">
        <f t="shared" si="274"/>
        <v>7</v>
      </c>
      <c r="J1764">
        <f t="shared" si="275"/>
        <v>727</v>
      </c>
      <c r="K1764">
        <f t="shared" si="276"/>
        <v>13</v>
      </c>
      <c r="L1764">
        <f t="shared" si="277"/>
        <v>592608</v>
      </c>
      <c r="M1764">
        <f t="shared" si="278"/>
        <v>193992</v>
      </c>
      <c r="N1764">
        <f t="shared" si="279"/>
        <v>834600</v>
      </c>
      <c r="O1764">
        <f>IF(B1764="zagraniczny",K1764+O1763,O1763)</f>
        <v>750</v>
      </c>
    </row>
    <row r="1765" spans="1:15" x14ac:dyDescent="0.25">
      <c r="A1765">
        <v>7511410</v>
      </c>
      <c r="B1765" t="str">
        <f t="shared" si="270"/>
        <v>stacjonarny</v>
      </c>
      <c r="C1765" s="1">
        <v>42942</v>
      </c>
      <c r="D1765" s="2">
        <v>0.43304398148148149</v>
      </c>
      <c r="E1765" s="2">
        <v>0.43761574074074072</v>
      </c>
      <c r="F1765" s="2">
        <f t="shared" si="271"/>
        <v>4.5717592592592338E-3</v>
      </c>
      <c r="G1765">
        <f t="shared" si="272"/>
        <v>0</v>
      </c>
      <c r="H1765">
        <f t="shared" si="273"/>
        <v>6</v>
      </c>
      <c r="I1765">
        <f t="shared" si="274"/>
        <v>35</v>
      </c>
      <c r="J1765">
        <f t="shared" si="275"/>
        <v>395</v>
      </c>
      <c r="K1765">
        <f t="shared" si="276"/>
        <v>7</v>
      </c>
      <c r="L1765">
        <f t="shared" si="277"/>
        <v>593003</v>
      </c>
      <c r="M1765">
        <f t="shared" si="278"/>
        <v>193992</v>
      </c>
      <c r="N1765">
        <f t="shared" si="279"/>
        <v>834995</v>
      </c>
      <c r="O1765">
        <f>IF(B1765="zagraniczny",K1765+O1764,O1764)</f>
        <v>750</v>
      </c>
    </row>
    <row r="1766" spans="1:15" x14ac:dyDescent="0.25">
      <c r="A1766">
        <v>2128803</v>
      </c>
      <c r="B1766" t="str">
        <f t="shared" si="270"/>
        <v>stacjonarny</v>
      </c>
      <c r="C1766" s="1">
        <v>42942</v>
      </c>
      <c r="D1766" s="2">
        <v>0.43815972222222221</v>
      </c>
      <c r="E1766" s="2">
        <v>0.44572916666666668</v>
      </c>
      <c r="F1766" s="2">
        <f t="shared" si="271"/>
        <v>7.569444444444462E-3</v>
      </c>
      <c r="G1766">
        <f t="shared" si="272"/>
        <v>0</v>
      </c>
      <c r="H1766">
        <f t="shared" si="273"/>
        <v>10</v>
      </c>
      <c r="I1766">
        <f t="shared" si="274"/>
        <v>54</v>
      </c>
      <c r="J1766">
        <f t="shared" si="275"/>
        <v>654</v>
      </c>
      <c r="K1766">
        <f t="shared" si="276"/>
        <v>11</v>
      </c>
      <c r="L1766">
        <f t="shared" si="277"/>
        <v>593657</v>
      </c>
      <c r="M1766">
        <f t="shared" si="278"/>
        <v>193992</v>
      </c>
      <c r="N1766">
        <f t="shared" si="279"/>
        <v>835649</v>
      </c>
      <c r="O1766">
        <f>IF(B1766="zagraniczny",K1766+O1765,O1765)</f>
        <v>750</v>
      </c>
    </row>
    <row r="1767" spans="1:15" x14ac:dyDescent="0.25">
      <c r="A1767">
        <v>3135285</v>
      </c>
      <c r="B1767" t="str">
        <f t="shared" si="270"/>
        <v>stacjonarny</v>
      </c>
      <c r="C1767" s="1">
        <v>42942</v>
      </c>
      <c r="D1767" s="2">
        <v>0.43896990740740743</v>
      </c>
      <c r="E1767" s="2">
        <v>0.44863425925925926</v>
      </c>
      <c r="F1767" s="2">
        <f t="shared" si="271"/>
        <v>9.6643518518518268E-3</v>
      </c>
      <c r="G1767">
        <f t="shared" si="272"/>
        <v>0</v>
      </c>
      <c r="H1767">
        <f t="shared" si="273"/>
        <v>13</v>
      </c>
      <c r="I1767">
        <f t="shared" si="274"/>
        <v>55</v>
      </c>
      <c r="J1767">
        <f t="shared" si="275"/>
        <v>835</v>
      </c>
      <c r="K1767">
        <f t="shared" si="276"/>
        <v>14</v>
      </c>
      <c r="L1767">
        <f t="shared" si="277"/>
        <v>594492</v>
      </c>
      <c r="M1767">
        <f t="shared" si="278"/>
        <v>193992</v>
      </c>
      <c r="N1767">
        <f t="shared" si="279"/>
        <v>836484</v>
      </c>
      <c r="O1767">
        <f>IF(B1767="zagraniczny",K1767+O1766,O1766)</f>
        <v>750</v>
      </c>
    </row>
    <row r="1768" spans="1:15" x14ac:dyDescent="0.25">
      <c r="A1768">
        <v>5231877</v>
      </c>
      <c r="B1768" t="str">
        <f t="shared" si="270"/>
        <v>stacjonarny</v>
      </c>
      <c r="C1768" s="1">
        <v>42942</v>
      </c>
      <c r="D1768" s="2">
        <v>0.44265046296296295</v>
      </c>
      <c r="E1768" s="2">
        <v>0.45337962962962963</v>
      </c>
      <c r="F1768" s="2">
        <f t="shared" si="271"/>
        <v>1.0729166666666679E-2</v>
      </c>
      <c r="G1768">
        <f t="shared" si="272"/>
        <v>0</v>
      </c>
      <c r="H1768">
        <f t="shared" si="273"/>
        <v>15</v>
      </c>
      <c r="I1768">
        <f t="shared" si="274"/>
        <v>27</v>
      </c>
      <c r="J1768">
        <f t="shared" si="275"/>
        <v>927</v>
      </c>
      <c r="K1768">
        <f t="shared" si="276"/>
        <v>16</v>
      </c>
      <c r="L1768">
        <f t="shared" si="277"/>
        <v>595419</v>
      </c>
      <c r="M1768">
        <f t="shared" si="278"/>
        <v>193992</v>
      </c>
      <c r="N1768">
        <f t="shared" si="279"/>
        <v>837411</v>
      </c>
      <c r="O1768">
        <f>IF(B1768="zagraniczny",K1768+O1767,O1767)</f>
        <v>750</v>
      </c>
    </row>
    <row r="1769" spans="1:15" x14ac:dyDescent="0.25">
      <c r="A1769">
        <v>98391891</v>
      </c>
      <c r="B1769" t="str">
        <f t="shared" si="270"/>
        <v>komorkowy</v>
      </c>
      <c r="C1769" s="1">
        <v>42942</v>
      </c>
      <c r="D1769" s="2">
        <v>0.44289351851851849</v>
      </c>
      <c r="E1769" s="2">
        <v>0.44364583333333335</v>
      </c>
      <c r="F1769" s="2">
        <f t="shared" si="271"/>
        <v>7.523148148148584E-4</v>
      </c>
      <c r="G1769">
        <f t="shared" si="272"/>
        <v>0</v>
      </c>
      <c r="H1769">
        <f t="shared" si="273"/>
        <v>1</v>
      </c>
      <c r="I1769">
        <f t="shared" si="274"/>
        <v>5</v>
      </c>
      <c r="J1769">
        <f t="shared" si="275"/>
        <v>65</v>
      </c>
      <c r="K1769">
        <f t="shared" si="276"/>
        <v>2</v>
      </c>
      <c r="L1769">
        <f t="shared" si="277"/>
        <v>595419</v>
      </c>
      <c r="M1769">
        <f t="shared" si="278"/>
        <v>194057</v>
      </c>
      <c r="N1769">
        <f t="shared" si="279"/>
        <v>837476</v>
      </c>
      <c r="O1769">
        <f>IF(B1769="zagraniczny",K1769+O1768,O1768)</f>
        <v>750</v>
      </c>
    </row>
    <row r="1770" spans="1:15" x14ac:dyDescent="0.25">
      <c r="A1770">
        <v>9865524</v>
      </c>
      <c r="B1770" t="str">
        <f t="shared" si="270"/>
        <v>stacjonarny</v>
      </c>
      <c r="C1770" s="1">
        <v>42942</v>
      </c>
      <c r="D1770" s="2">
        <v>0.44298611111111114</v>
      </c>
      <c r="E1770" s="2">
        <v>0.45023148148148145</v>
      </c>
      <c r="F1770" s="2">
        <f t="shared" si="271"/>
        <v>7.2453703703703187E-3</v>
      </c>
      <c r="G1770">
        <f t="shared" si="272"/>
        <v>0</v>
      </c>
      <c r="H1770">
        <f t="shared" si="273"/>
        <v>10</v>
      </c>
      <c r="I1770">
        <f t="shared" si="274"/>
        <v>26</v>
      </c>
      <c r="J1770">
        <f t="shared" si="275"/>
        <v>626</v>
      </c>
      <c r="K1770">
        <f t="shared" si="276"/>
        <v>11</v>
      </c>
      <c r="L1770">
        <f t="shared" si="277"/>
        <v>596045</v>
      </c>
      <c r="M1770">
        <f t="shared" si="278"/>
        <v>194057</v>
      </c>
      <c r="N1770">
        <f t="shared" si="279"/>
        <v>838102</v>
      </c>
      <c r="O1770">
        <f>IF(B1770="zagraniczny",K1770+O1769,O1769)</f>
        <v>750</v>
      </c>
    </row>
    <row r="1771" spans="1:15" x14ac:dyDescent="0.25">
      <c r="A1771">
        <v>7988607</v>
      </c>
      <c r="B1771" t="str">
        <f t="shared" si="270"/>
        <v>stacjonarny</v>
      </c>
      <c r="C1771" s="1">
        <v>42942</v>
      </c>
      <c r="D1771" s="2">
        <v>0.44300925925925927</v>
      </c>
      <c r="E1771" s="2">
        <v>0.4513773148148148</v>
      </c>
      <c r="F1771" s="2">
        <f t="shared" si="271"/>
        <v>8.3680555555555314E-3</v>
      </c>
      <c r="G1771">
        <f t="shared" si="272"/>
        <v>0</v>
      </c>
      <c r="H1771">
        <f t="shared" si="273"/>
        <v>12</v>
      </c>
      <c r="I1771">
        <f t="shared" si="274"/>
        <v>3</v>
      </c>
      <c r="J1771">
        <f t="shared" si="275"/>
        <v>723</v>
      </c>
      <c r="K1771">
        <f t="shared" si="276"/>
        <v>13</v>
      </c>
      <c r="L1771">
        <f t="shared" si="277"/>
        <v>596768</v>
      </c>
      <c r="M1771">
        <f t="shared" si="278"/>
        <v>194057</v>
      </c>
      <c r="N1771">
        <f t="shared" si="279"/>
        <v>838825</v>
      </c>
      <c r="O1771">
        <f>IF(B1771="zagraniczny",K1771+O1770,O1770)</f>
        <v>750</v>
      </c>
    </row>
    <row r="1772" spans="1:15" x14ac:dyDescent="0.25">
      <c r="A1772">
        <v>4599598</v>
      </c>
      <c r="B1772" t="str">
        <f t="shared" si="270"/>
        <v>stacjonarny</v>
      </c>
      <c r="C1772" s="1">
        <v>42942</v>
      </c>
      <c r="D1772" s="2">
        <v>0.44710648148148147</v>
      </c>
      <c r="E1772" s="2">
        <v>0.45658564814814817</v>
      </c>
      <c r="F1772" s="2">
        <f t="shared" si="271"/>
        <v>9.4791666666667052E-3</v>
      </c>
      <c r="G1772">
        <f t="shared" si="272"/>
        <v>0</v>
      </c>
      <c r="H1772">
        <f t="shared" si="273"/>
        <v>13</v>
      </c>
      <c r="I1772">
        <f t="shared" si="274"/>
        <v>39</v>
      </c>
      <c r="J1772">
        <f t="shared" si="275"/>
        <v>819</v>
      </c>
      <c r="K1772">
        <f t="shared" si="276"/>
        <v>14</v>
      </c>
      <c r="L1772">
        <f t="shared" si="277"/>
        <v>597587</v>
      </c>
      <c r="M1772">
        <f t="shared" si="278"/>
        <v>194057</v>
      </c>
      <c r="N1772">
        <f t="shared" si="279"/>
        <v>839644</v>
      </c>
      <c r="O1772">
        <f>IF(B1772="zagraniczny",K1772+O1771,O1771)</f>
        <v>750</v>
      </c>
    </row>
    <row r="1773" spans="1:15" x14ac:dyDescent="0.25">
      <c r="A1773">
        <v>59984179</v>
      </c>
      <c r="B1773" t="str">
        <f t="shared" si="270"/>
        <v>komorkowy</v>
      </c>
      <c r="C1773" s="1">
        <v>42942</v>
      </c>
      <c r="D1773" s="2">
        <v>0.44815972222222222</v>
      </c>
      <c r="E1773" s="2">
        <v>0.45435185185185184</v>
      </c>
      <c r="F1773" s="2">
        <f t="shared" si="271"/>
        <v>6.1921296296296169E-3</v>
      </c>
      <c r="G1773">
        <f t="shared" si="272"/>
        <v>0</v>
      </c>
      <c r="H1773">
        <f t="shared" si="273"/>
        <v>8</v>
      </c>
      <c r="I1773">
        <f t="shared" si="274"/>
        <v>55</v>
      </c>
      <c r="J1773">
        <f t="shared" si="275"/>
        <v>535</v>
      </c>
      <c r="K1773">
        <f t="shared" si="276"/>
        <v>9</v>
      </c>
      <c r="L1773">
        <f t="shared" si="277"/>
        <v>597587</v>
      </c>
      <c r="M1773">
        <f t="shared" si="278"/>
        <v>194592</v>
      </c>
      <c r="N1773">
        <f t="shared" si="279"/>
        <v>840179</v>
      </c>
      <c r="O1773">
        <f>IF(B1773="zagraniczny",K1773+O1772,O1772)</f>
        <v>750</v>
      </c>
    </row>
    <row r="1774" spans="1:15" x14ac:dyDescent="0.25">
      <c r="A1774">
        <v>9763924</v>
      </c>
      <c r="B1774" t="str">
        <f t="shared" si="270"/>
        <v>stacjonarny</v>
      </c>
      <c r="C1774" s="1">
        <v>42942</v>
      </c>
      <c r="D1774" s="2">
        <v>0.44972222222222225</v>
      </c>
      <c r="E1774" s="2">
        <v>0.45559027777777777</v>
      </c>
      <c r="F1774" s="2">
        <f t="shared" si="271"/>
        <v>5.8680555555555292E-3</v>
      </c>
      <c r="G1774">
        <f t="shared" si="272"/>
        <v>0</v>
      </c>
      <c r="H1774">
        <f t="shared" si="273"/>
        <v>8</v>
      </c>
      <c r="I1774">
        <f t="shared" si="274"/>
        <v>27</v>
      </c>
      <c r="J1774">
        <f t="shared" si="275"/>
        <v>507</v>
      </c>
      <c r="K1774">
        <f t="shared" si="276"/>
        <v>9</v>
      </c>
      <c r="L1774">
        <f t="shared" si="277"/>
        <v>598094</v>
      </c>
      <c r="M1774">
        <f t="shared" si="278"/>
        <v>194592</v>
      </c>
      <c r="N1774">
        <f t="shared" si="279"/>
        <v>840686</v>
      </c>
      <c r="O1774">
        <f>IF(B1774="zagraniczny",K1774+O1773,O1773)</f>
        <v>750</v>
      </c>
    </row>
    <row r="1775" spans="1:15" x14ac:dyDescent="0.25">
      <c r="A1775">
        <v>1531672</v>
      </c>
      <c r="B1775" t="str">
        <f t="shared" si="270"/>
        <v>stacjonarny</v>
      </c>
      <c r="C1775" s="1">
        <v>42942</v>
      </c>
      <c r="D1775" s="2">
        <v>0.45021990740740742</v>
      </c>
      <c r="E1775" s="2">
        <v>0.46079861111111109</v>
      </c>
      <c r="F1775" s="2">
        <f t="shared" si="271"/>
        <v>1.0578703703703674E-2</v>
      </c>
      <c r="G1775">
        <f t="shared" si="272"/>
        <v>0</v>
      </c>
      <c r="H1775">
        <f t="shared" si="273"/>
        <v>15</v>
      </c>
      <c r="I1775">
        <f t="shared" si="274"/>
        <v>14</v>
      </c>
      <c r="J1775">
        <f t="shared" si="275"/>
        <v>914</v>
      </c>
      <c r="K1775">
        <f t="shared" si="276"/>
        <v>16</v>
      </c>
      <c r="L1775">
        <f t="shared" si="277"/>
        <v>599008</v>
      </c>
      <c r="M1775">
        <f t="shared" si="278"/>
        <v>194592</v>
      </c>
      <c r="N1775">
        <f t="shared" si="279"/>
        <v>841600</v>
      </c>
      <c r="O1775">
        <f>IF(B1775="zagraniczny",K1775+O1774,O1774)</f>
        <v>750</v>
      </c>
    </row>
    <row r="1776" spans="1:15" x14ac:dyDescent="0.25">
      <c r="A1776">
        <v>59723258</v>
      </c>
      <c r="B1776" t="str">
        <f t="shared" si="270"/>
        <v>komorkowy</v>
      </c>
      <c r="C1776" s="1">
        <v>42942</v>
      </c>
      <c r="D1776" s="2">
        <v>0.4503125</v>
      </c>
      <c r="E1776" s="2">
        <v>0.4601736111111111</v>
      </c>
      <c r="F1776" s="2">
        <f t="shared" si="271"/>
        <v>9.8611111111110983E-3</v>
      </c>
      <c r="G1776">
        <f t="shared" si="272"/>
        <v>0</v>
      </c>
      <c r="H1776">
        <f t="shared" si="273"/>
        <v>14</v>
      </c>
      <c r="I1776">
        <f t="shared" si="274"/>
        <v>12</v>
      </c>
      <c r="J1776">
        <f t="shared" si="275"/>
        <v>852</v>
      </c>
      <c r="K1776">
        <f t="shared" si="276"/>
        <v>15</v>
      </c>
      <c r="L1776">
        <f t="shared" si="277"/>
        <v>599008</v>
      </c>
      <c r="M1776">
        <f t="shared" si="278"/>
        <v>195444</v>
      </c>
      <c r="N1776">
        <f t="shared" si="279"/>
        <v>842452</v>
      </c>
      <c r="O1776">
        <f>IF(B1776="zagraniczny",K1776+O1775,O1775)</f>
        <v>750</v>
      </c>
    </row>
    <row r="1777" spans="1:15" x14ac:dyDescent="0.25">
      <c r="A1777">
        <v>6878722</v>
      </c>
      <c r="B1777" t="str">
        <f t="shared" si="270"/>
        <v>stacjonarny</v>
      </c>
      <c r="C1777" s="1">
        <v>42942</v>
      </c>
      <c r="D1777" s="2">
        <v>0.45333333333333331</v>
      </c>
      <c r="E1777" s="2">
        <v>0.45443287037037039</v>
      </c>
      <c r="F1777" s="2">
        <f t="shared" si="271"/>
        <v>1.0995370370370794E-3</v>
      </c>
      <c r="G1777">
        <f t="shared" si="272"/>
        <v>0</v>
      </c>
      <c r="H1777">
        <f t="shared" si="273"/>
        <v>1</v>
      </c>
      <c r="I1777">
        <f t="shared" si="274"/>
        <v>35</v>
      </c>
      <c r="J1777">
        <f t="shared" si="275"/>
        <v>95</v>
      </c>
      <c r="K1777">
        <f t="shared" si="276"/>
        <v>2</v>
      </c>
      <c r="L1777">
        <f t="shared" si="277"/>
        <v>599103</v>
      </c>
      <c r="M1777">
        <f t="shared" si="278"/>
        <v>195444</v>
      </c>
      <c r="N1777">
        <f t="shared" si="279"/>
        <v>842547</v>
      </c>
      <c r="O1777">
        <f>IF(B1777="zagraniczny",K1777+O1776,O1776)</f>
        <v>750</v>
      </c>
    </row>
    <row r="1778" spans="1:15" x14ac:dyDescent="0.25">
      <c r="A1778">
        <v>49278984</v>
      </c>
      <c r="B1778" t="str">
        <f t="shared" si="270"/>
        <v>komorkowy</v>
      </c>
      <c r="C1778" s="1">
        <v>42942</v>
      </c>
      <c r="D1778" s="2">
        <v>0.45531250000000001</v>
      </c>
      <c r="E1778" s="2">
        <v>0.45717592592592593</v>
      </c>
      <c r="F1778" s="2">
        <f t="shared" si="271"/>
        <v>1.8634259259259212E-3</v>
      </c>
      <c r="G1778">
        <f t="shared" si="272"/>
        <v>0</v>
      </c>
      <c r="H1778">
        <f t="shared" si="273"/>
        <v>2</v>
      </c>
      <c r="I1778">
        <f t="shared" si="274"/>
        <v>41</v>
      </c>
      <c r="J1778">
        <f t="shared" si="275"/>
        <v>161</v>
      </c>
      <c r="K1778">
        <f t="shared" si="276"/>
        <v>3</v>
      </c>
      <c r="L1778">
        <f t="shared" si="277"/>
        <v>599103</v>
      </c>
      <c r="M1778">
        <f t="shared" si="278"/>
        <v>195605</v>
      </c>
      <c r="N1778">
        <f t="shared" si="279"/>
        <v>842708</v>
      </c>
      <c r="O1778">
        <f>IF(B1778="zagraniczny",K1778+O1777,O1777)</f>
        <v>750</v>
      </c>
    </row>
    <row r="1779" spans="1:15" x14ac:dyDescent="0.25">
      <c r="A1779">
        <v>5672312</v>
      </c>
      <c r="B1779" t="str">
        <f t="shared" si="270"/>
        <v>stacjonarny</v>
      </c>
      <c r="C1779" s="1">
        <v>42942</v>
      </c>
      <c r="D1779" s="2">
        <v>0.45554398148148151</v>
      </c>
      <c r="E1779" s="2">
        <v>0.45913194444444444</v>
      </c>
      <c r="F1779" s="2">
        <f t="shared" si="271"/>
        <v>3.5879629629629317E-3</v>
      </c>
      <c r="G1779">
        <f t="shared" si="272"/>
        <v>0</v>
      </c>
      <c r="H1779">
        <f t="shared" si="273"/>
        <v>5</v>
      </c>
      <c r="I1779">
        <f t="shared" si="274"/>
        <v>10</v>
      </c>
      <c r="J1779">
        <f t="shared" si="275"/>
        <v>310</v>
      </c>
      <c r="K1779">
        <f t="shared" si="276"/>
        <v>6</v>
      </c>
      <c r="L1779">
        <f t="shared" si="277"/>
        <v>599413</v>
      </c>
      <c r="M1779">
        <f t="shared" si="278"/>
        <v>195605</v>
      </c>
      <c r="N1779">
        <f t="shared" si="279"/>
        <v>843018</v>
      </c>
      <c r="O1779">
        <f>IF(B1779="zagraniczny",K1779+O1778,O1778)</f>
        <v>750</v>
      </c>
    </row>
    <row r="1780" spans="1:15" x14ac:dyDescent="0.25">
      <c r="A1780">
        <v>9716545</v>
      </c>
      <c r="B1780" t="str">
        <f t="shared" si="270"/>
        <v>stacjonarny</v>
      </c>
      <c r="C1780" s="1">
        <v>42942</v>
      </c>
      <c r="D1780" s="2">
        <v>0.45726851851851852</v>
      </c>
      <c r="E1780" s="2">
        <v>0.46751157407407407</v>
      </c>
      <c r="F1780" s="2">
        <f t="shared" si="271"/>
        <v>1.0243055555555547E-2</v>
      </c>
      <c r="G1780">
        <f t="shared" si="272"/>
        <v>0</v>
      </c>
      <c r="H1780">
        <f t="shared" si="273"/>
        <v>14</v>
      </c>
      <c r="I1780">
        <f t="shared" si="274"/>
        <v>45</v>
      </c>
      <c r="J1780">
        <f t="shared" si="275"/>
        <v>885</v>
      </c>
      <c r="K1780">
        <f t="shared" si="276"/>
        <v>15</v>
      </c>
      <c r="L1780">
        <f t="shared" si="277"/>
        <v>600298</v>
      </c>
      <c r="M1780">
        <f t="shared" si="278"/>
        <v>195605</v>
      </c>
      <c r="N1780">
        <f t="shared" si="279"/>
        <v>843903</v>
      </c>
      <c r="O1780">
        <f>IF(B1780="zagraniczny",K1780+O1779,O1779)</f>
        <v>750</v>
      </c>
    </row>
    <row r="1781" spans="1:15" x14ac:dyDescent="0.25">
      <c r="A1781">
        <v>97953696</v>
      </c>
      <c r="B1781" t="str">
        <f t="shared" si="270"/>
        <v>komorkowy</v>
      </c>
      <c r="C1781" s="1">
        <v>42942</v>
      </c>
      <c r="D1781" s="2">
        <v>0.46297453703703706</v>
      </c>
      <c r="E1781" s="2">
        <v>0.47129629629629627</v>
      </c>
      <c r="F1781" s="2">
        <f t="shared" si="271"/>
        <v>8.3217592592592093E-3</v>
      </c>
      <c r="G1781">
        <f t="shared" si="272"/>
        <v>0</v>
      </c>
      <c r="H1781">
        <f t="shared" si="273"/>
        <v>11</v>
      </c>
      <c r="I1781">
        <f t="shared" si="274"/>
        <v>59</v>
      </c>
      <c r="J1781">
        <f t="shared" si="275"/>
        <v>719</v>
      </c>
      <c r="K1781">
        <f t="shared" si="276"/>
        <v>12</v>
      </c>
      <c r="L1781">
        <f t="shared" si="277"/>
        <v>600298</v>
      </c>
      <c r="M1781">
        <f t="shared" si="278"/>
        <v>196324</v>
      </c>
      <c r="N1781">
        <f t="shared" si="279"/>
        <v>844622</v>
      </c>
      <c r="O1781">
        <f>IF(B1781="zagraniczny",K1781+O1780,O1780)</f>
        <v>750</v>
      </c>
    </row>
    <row r="1782" spans="1:15" x14ac:dyDescent="0.25">
      <c r="A1782">
        <v>18636086</v>
      </c>
      <c r="B1782" t="str">
        <f t="shared" si="270"/>
        <v>komorkowy</v>
      </c>
      <c r="C1782" s="1">
        <v>42942</v>
      </c>
      <c r="D1782" s="2">
        <v>0.46431712962962962</v>
      </c>
      <c r="E1782" s="2">
        <v>0.47060185185185183</v>
      </c>
      <c r="F1782" s="2">
        <f t="shared" si="271"/>
        <v>6.2847222222222054E-3</v>
      </c>
      <c r="G1782">
        <f t="shared" si="272"/>
        <v>0</v>
      </c>
      <c r="H1782">
        <f t="shared" si="273"/>
        <v>9</v>
      </c>
      <c r="I1782">
        <f t="shared" si="274"/>
        <v>3</v>
      </c>
      <c r="J1782">
        <f t="shared" si="275"/>
        <v>543</v>
      </c>
      <c r="K1782">
        <f t="shared" si="276"/>
        <v>10</v>
      </c>
      <c r="L1782">
        <f t="shared" si="277"/>
        <v>600298</v>
      </c>
      <c r="M1782">
        <f t="shared" si="278"/>
        <v>196867</v>
      </c>
      <c r="N1782">
        <f t="shared" si="279"/>
        <v>845165</v>
      </c>
      <c r="O1782">
        <f>IF(B1782="zagraniczny",K1782+O1781,O1781)</f>
        <v>750</v>
      </c>
    </row>
    <row r="1783" spans="1:15" x14ac:dyDescent="0.25">
      <c r="A1783">
        <v>2071691</v>
      </c>
      <c r="B1783" t="str">
        <f t="shared" si="270"/>
        <v>stacjonarny</v>
      </c>
      <c r="C1783" s="1">
        <v>42942</v>
      </c>
      <c r="D1783" s="2">
        <v>0.46703703703703703</v>
      </c>
      <c r="E1783" s="2">
        <v>0.47262731481481479</v>
      </c>
      <c r="F1783" s="2">
        <f t="shared" si="271"/>
        <v>5.5902777777777635E-3</v>
      </c>
      <c r="G1783">
        <f t="shared" si="272"/>
        <v>0</v>
      </c>
      <c r="H1783">
        <f t="shared" si="273"/>
        <v>8</v>
      </c>
      <c r="I1783">
        <f t="shared" si="274"/>
        <v>3</v>
      </c>
      <c r="J1783">
        <f t="shared" si="275"/>
        <v>483</v>
      </c>
      <c r="K1783">
        <f t="shared" si="276"/>
        <v>9</v>
      </c>
      <c r="L1783">
        <f t="shared" si="277"/>
        <v>600781</v>
      </c>
      <c r="M1783">
        <f t="shared" si="278"/>
        <v>196867</v>
      </c>
      <c r="N1783">
        <f t="shared" si="279"/>
        <v>845648</v>
      </c>
      <c r="O1783">
        <f>IF(B1783="zagraniczny",K1783+O1782,O1782)</f>
        <v>750</v>
      </c>
    </row>
    <row r="1784" spans="1:15" x14ac:dyDescent="0.25">
      <c r="A1784">
        <v>8023179</v>
      </c>
      <c r="B1784" t="str">
        <f t="shared" si="270"/>
        <v>stacjonarny</v>
      </c>
      <c r="C1784" s="1">
        <v>42942</v>
      </c>
      <c r="D1784" s="2">
        <v>0.46703703703703703</v>
      </c>
      <c r="E1784" s="2">
        <v>0.47568287037037038</v>
      </c>
      <c r="F1784" s="2">
        <f t="shared" si="271"/>
        <v>8.6458333333333526E-3</v>
      </c>
      <c r="G1784">
        <f t="shared" si="272"/>
        <v>0</v>
      </c>
      <c r="H1784">
        <f t="shared" si="273"/>
        <v>12</v>
      </c>
      <c r="I1784">
        <f t="shared" si="274"/>
        <v>27</v>
      </c>
      <c r="J1784">
        <f t="shared" si="275"/>
        <v>747</v>
      </c>
      <c r="K1784">
        <f t="shared" si="276"/>
        <v>13</v>
      </c>
      <c r="L1784">
        <f t="shared" si="277"/>
        <v>601528</v>
      </c>
      <c r="M1784">
        <f t="shared" si="278"/>
        <v>196867</v>
      </c>
      <c r="N1784">
        <f t="shared" si="279"/>
        <v>846395</v>
      </c>
      <c r="O1784">
        <f>IF(B1784="zagraniczny",K1784+O1783,O1783)</f>
        <v>750</v>
      </c>
    </row>
    <row r="1785" spans="1:15" x14ac:dyDescent="0.25">
      <c r="A1785">
        <v>3533421</v>
      </c>
      <c r="B1785" t="str">
        <f t="shared" si="270"/>
        <v>stacjonarny</v>
      </c>
      <c r="C1785" s="1">
        <v>42942</v>
      </c>
      <c r="D1785" s="2">
        <v>0.47266203703703702</v>
      </c>
      <c r="E1785" s="2">
        <v>0.48297453703703702</v>
      </c>
      <c r="F1785" s="2">
        <f t="shared" si="271"/>
        <v>1.0312500000000002E-2</v>
      </c>
      <c r="G1785">
        <f t="shared" si="272"/>
        <v>0</v>
      </c>
      <c r="H1785">
        <f t="shared" si="273"/>
        <v>14</v>
      </c>
      <c r="I1785">
        <f t="shared" si="274"/>
        <v>51</v>
      </c>
      <c r="J1785">
        <f t="shared" si="275"/>
        <v>891</v>
      </c>
      <c r="K1785">
        <f t="shared" si="276"/>
        <v>15</v>
      </c>
      <c r="L1785">
        <f t="shared" si="277"/>
        <v>602419</v>
      </c>
      <c r="M1785">
        <f t="shared" si="278"/>
        <v>196867</v>
      </c>
      <c r="N1785">
        <f t="shared" si="279"/>
        <v>847286</v>
      </c>
      <c r="O1785">
        <f>IF(B1785="zagraniczny",K1785+O1784,O1784)</f>
        <v>750</v>
      </c>
    </row>
    <row r="1786" spans="1:15" x14ac:dyDescent="0.25">
      <c r="A1786">
        <v>1160932</v>
      </c>
      <c r="B1786" t="str">
        <f t="shared" si="270"/>
        <v>stacjonarny</v>
      </c>
      <c r="C1786" s="1">
        <v>42942</v>
      </c>
      <c r="D1786" s="2">
        <v>0.47515046296296298</v>
      </c>
      <c r="E1786" s="2">
        <v>0.47552083333333334</v>
      </c>
      <c r="F1786" s="2">
        <f t="shared" si="271"/>
        <v>3.7037037037035425E-4</v>
      </c>
      <c r="G1786">
        <f t="shared" si="272"/>
        <v>0</v>
      </c>
      <c r="H1786">
        <f t="shared" si="273"/>
        <v>0</v>
      </c>
      <c r="I1786">
        <f t="shared" si="274"/>
        <v>32</v>
      </c>
      <c r="J1786">
        <f t="shared" si="275"/>
        <v>32</v>
      </c>
      <c r="K1786">
        <f t="shared" si="276"/>
        <v>1</v>
      </c>
      <c r="L1786">
        <f t="shared" si="277"/>
        <v>602451</v>
      </c>
      <c r="M1786">
        <f t="shared" si="278"/>
        <v>196867</v>
      </c>
      <c r="N1786">
        <f t="shared" si="279"/>
        <v>847318</v>
      </c>
      <c r="O1786">
        <f>IF(B1786="zagraniczny",K1786+O1785,O1785)</f>
        <v>750</v>
      </c>
    </row>
    <row r="1787" spans="1:15" x14ac:dyDescent="0.25">
      <c r="A1787">
        <v>6320579</v>
      </c>
      <c r="B1787" t="str">
        <f t="shared" si="270"/>
        <v>stacjonarny</v>
      </c>
      <c r="C1787" s="1">
        <v>42942</v>
      </c>
      <c r="D1787" s="2">
        <v>0.48082175925925924</v>
      </c>
      <c r="E1787" s="2">
        <v>0.48585648148148147</v>
      </c>
      <c r="F1787" s="2">
        <f t="shared" si="271"/>
        <v>5.0347222222222321E-3</v>
      </c>
      <c r="G1787">
        <f t="shared" si="272"/>
        <v>0</v>
      </c>
      <c r="H1787">
        <f t="shared" si="273"/>
        <v>7</v>
      </c>
      <c r="I1787">
        <f t="shared" si="274"/>
        <v>15</v>
      </c>
      <c r="J1787">
        <f t="shared" si="275"/>
        <v>435</v>
      </c>
      <c r="K1787">
        <f t="shared" si="276"/>
        <v>8</v>
      </c>
      <c r="L1787">
        <f t="shared" si="277"/>
        <v>602886</v>
      </c>
      <c r="M1787">
        <f t="shared" si="278"/>
        <v>196867</v>
      </c>
      <c r="N1787">
        <f t="shared" si="279"/>
        <v>847753</v>
      </c>
      <c r="O1787">
        <f>IF(B1787="zagraniczny",K1787+O1786,O1786)</f>
        <v>750</v>
      </c>
    </row>
    <row r="1788" spans="1:15" x14ac:dyDescent="0.25">
      <c r="A1788">
        <v>6021417</v>
      </c>
      <c r="B1788" t="str">
        <f t="shared" si="270"/>
        <v>stacjonarny</v>
      </c>
      <c r="C1788" s="1">
        <v>42942</v>
      </c>
      <c r="D1788" s="2">
        <v>0.48534722222222221</v>
      </c>
      <c r="E1788" s="2">
        <v>0.48814814814814816</v>
      </c>
      <c r="F1788" s="2">
        <f t="shared" si="271"/>
        <v>2.8009259259259567E-3</v>
      </c>
      <c r="G1788">
        <f t="shared" si="272"/>
        <v>0</v>
      </c>
      <c r="H1788">
        <f t="shared" si="273"/>
        <v>4</v>
      </c>
      <c r="I1788">
        <f t="shared" si="274"/>
        <v>2</v>
      </c>
      <c r="J1788">
        <f t="shared" si="275"/>
        <v>242</v>
      </c>
      <c r="K1788">
        <f t="shared" si="276"/>
        <v>5</v>
      </c>
      <c r="L1788">
        <f t="shared" si="277"/>
        <v>603128</v>
      </c>
      <c r="M1788">
        <f t="shared" si="278"/>
        <v>196867</v>
      </c>
      <c r="N1788">
        <f t="shared" si="279"/>
        <v>847995</v>
      </c>
      <c r="O1788">
        <f>IF(B1788="zagraniczny",K1788+O1787,O1787)</f>
        <v>750</v>
      </c>
    </row>
    <row r="1789" spans="1:15" x14ac:dyDescent="0.25">
      <c r="A1789">
        <v>3638658</v>
      </c>
      <c r="B1789" t="str">
        <f t="shared" si="270"/>
        <v>stacjonarny</v>
      </c>
      <c r="C1789" s="1">
        <v>42942</v>
      </c>
      <c r="D1789" s="2">
        <v>0.48700231481481482</v>
      </c>
      <c r="E1789" s="2">
        <v>0.49305555555555558</v>
      </c>
      <c r="F1789" s="2">
        <f t="shared" si="271"/>
        <v>6.0532407407407618E-3</v>
      </c>
      <c r="G1789">
        <f t="shared" si="272"/>
        <v>0</v>
      </c>
      <c r="H1789">
        <f t="shared" si="273"/>
        <v>8</v>
      </c>
      <c r="I1789">
        <f t="shared" si="274"/>
        <v>43</v>
      </c>
      <c r="J1789">
        <f t="shared" si="275"/>
        <v>523</v>
      </c>
      <c r="K1789">
        <f t="shared" si="276"/>
        <v>9</v>
      </c>
      <c r="L1789">
        <f t="shared" si="277"/>
        <v>603651</v>
      </c>
      <c r="M1789">
        <f t="shared" si="278"/>
        <v>196867</v>
      </c>
      <c r="N1789">
        <f t="shared" si="279"/>
        <v>848518</v>
      </c>
      <c r="O1789">
        <f>IF(B1789="zagraniczny",K1789+O1788,O1788)</f>
        <v>750</v>
      </c>
    </row>
    <row r="1790" spans="1:15" x14ac:dyDescent="0.25">
      <c r="A1790">
        <v>7595348</v>
      </c>
      <c r="B1790" t="str">
        <f t="shared" si="270"/>
        <v>stacjonarny</v>
      </c>
      <c r="C1790" s="1">
        <v>42942</v>
      </c>
      <c r="D1790" s="2">
        <v>0.48849537037037039</v>
      </c>
      <c r="E1790" s="2">
        <v>0.49665509259259261</v>
      </c>
      <c r="F1790" s="2">
        <f t="shared" si="271"/>
        <v>8.159722222222221E-3</v>
      </c>
      <c r="G1790">
        <f t="shared" si="272"/>
        <v>0</v>
      </c>
      <c r="H1790">
        <f t="shared" si="273"/>
        <v>11</v>
      </c>
      <c r="I1790">
        <f t="shared" si="274"/>
        <v>45</v>
      </c>
      <c r="J1790">
        <f t="shared" si="275"/>
        <v>705</v>
      </c>
      <c r="K1790">
        <f t="shared" si="276"/>
        <v>12</v>
      </c>
      <c r="L1790">
        <f t="shared" si="277"/>
        <v>604356</v>
      </c>
      <c r="M1790">
        <f t="shared" si="278"/>
        <v>196867</v>
      </c>
      <c r="N1790">
        <f t="shared" si="279"/>
        <v>849223</v>
      </c>
      <c r="O1790">
        <f>IF(B1790="zagraniczny",K1790+O1789,O1789)</f>
        <v>750</v>
      </c>
    </row>
    <row r="1791" spans="1:15" x14ac:dyDescent="0.25">
      <c r="A1791">
        <v>6637746981</v>
      </c>
      <c r="B1791" t="str">
        <f t="shared" si="270"/>
        <v>zagraniczny</v>
      </c>
      <c r="C1791" s="1">
        <v>42942</v>
      </c>
      <c r="D1791" s="2">
        <v>0.49020833333333336</v>
      </c>
      <c r="E1791" s="2">
        <v>0.49932870370370369</v>
      </c>
      <c r="F1791" s="2">
        <f t="shared" si="271"/>
        <v>9.1203703703703343E-3</v>
      </c>
      <c r="G1791">
        <f t="shared" si="272"/>
        <v>0</v>
      </c>
      <c r="H1791">
        <f t="shared" si="273"/>
        <v>13</v>
      </c>
      <c r="I1791">
        <f t="shared" si="274"/>
        <v>8</v>
      </c>
      <c r="J1791">
        <f t="shared" si="275"/>
        <v>788</v>
      </c>
      <c r="K1791">
        <f t="shared" si="276"/>
        <v>14</v>
      </c>
      <c r="L1791">
        <f t="shared" si="277"/>
        <v>604356</v>
      </c>
      <c r="M1791">
        <f t="shared" si="278"/>
        <v>196867</v>
      </c>
      <c r="N1791">
        <f t="shared" si="279"/>
        <v>849223</v>
      </c>
      <c r="O1791">
        <f>IF(B1791="zagraniczny",K1791+O1790,O1790)</f>
        <v>764</v>
      </c>
    </row>
    <row r="1792" spans="1:15" x14ac:dyDescent="0.25">
      <c r="A1792">
        <v>8501947</v>
      </c>
      <c r="B1792" t="str">
        <f t="shared" si="270"/>
        <v>stacjonarny</v>
      </c>
      <c r="C1792" s="1">
        <v>42942</v>
      </c>
      <c r="D1792" s="2">
        <v>0.49135416666666665</v>
      </c>
      <c r="E1792" s="2">
        <v>0.49472222222222223</v>
      </c>
      <c r="F1792" s="2">
        <f t="shared" si="271"/>
        <v>3.3680555555555824E-3</v>
      </c>
      <c r="G1792">
        <f t="shared" si="272"/>
        <v>0</v>
      </c>
      <c r="H1792">
        <f t="shared" si="273"/>
        <v>4</v>
      </c>
      <c r="I1792">
        <f t="shared" si="274"/>
        <v>51</v>
      </c>
      <c r="J1792">
        <f t="shared" si="275"/>
        <v>291</v>
      </c>
      <c r="K1792">
        <f t="shared" si="276"/>
        <v>5</v>
      </c>
      <c r="L1792">
        <f t="shared" si="277"/>
        <v>604647</v>
      </c>
      <c r="M1792">
        <f t="shared" si="278"/>
        <v>196867</v>
      </c>
      <c r="N1792">
        <f t="shared" si="279"/>
        <v>849514</v>
      </c>
      <c r="O1792">
        <f>IF(B1792="zagraniczny",K1792+O1791,O1791)</f>
        <v>764</v>
      </c>
    </row>
    <row r="1793" spans="1:15" x14ac:dyDescent="0.25">
      <c r="A1793">
        <v>85666950</v>
      </c>
      <c r="B1793" t="str">
        <f t="shared" si="270"/>
        <v>komorkowy</v>
      </c>
      <c r="C1793" s="1">
        <v>42942</v>
      </c>
      <c r="D1793" s="2">
        <v>0.49417824074074074</v>
      </c>
      <c r="E1793" s="2">
        <v>0.50312500000000004</v>
      </c>
      <c r="F1793" s="2">
        <f t="shared" si="271"/>
        <v>8.946759259259307E-3</v>
      </c>
      <c r="G1793">
        <f t="shared" si="272"/>
        <v>0</v>
      </c>
      <c r="H1793">
        <f t="shared" si="273"/>
        <v>12</v>
      </c>
      <c r="I1793">
        <f t="shared" si="274"/>
        <v>53</v>
      </c>
      <c r="J1793">
        <f t="shared" si="275"/>
        <v>773</v>
      </c>
      <c r="K1793">
        <f t="shared" si="276"/>
        <v>13</v>
      </c>
      <c r="L1793">
        <f t="shared" si="277"/>
        <v>604647</v>
      </c>
      <c r="M1793">
        <f t="shared" si="278"/>
        <v>197640</v>
      </c>
      <c r="N1793">
        <f t="shared" si="279"/>
        <v>850287</v>
      </c>
      <c r="O1793">
        <f>IF(B1793="zagraniczny",K1793+O1792,O1792)</f>
        <v>764</v>
      </c>
    </row>
    <row r="1794" spans="1:15" x14ac:dyDescent="0.25">
      <c r="A1794">
        <v>72289518</v>
      </c>
      <c r="B1794" t="str">
        <f t="shared" si="270"/>
        <v>komorkowy</v>
      </c>
      <c r="C1794" s="1">
        <v>42942</v>
      </c>
      <c r="D1794" s="2">
        <v>0.49541666666666667</v>
      </c>
      <c r="E1794" s="2">
        <v>0.49947916666666664</v>
      </c>
      <c r="F1794" s="2">
        <f t="shared" si="271"/>
        <v>4.0624999999999689E-3</v>
      </c>
      <c r="G1794">
        <f t="shared" si="272"/>
        <v>0</v>
      </c>
      <c r="H1794">
        <f t="shared" si="273"/>
        <v>5</v>
      </c>
      <c r="I1794">
        <f t="shared" si="274"/>
        <v>51</v>
      </c>
      <c r="J1794">
        <f t="shared" si="275"/>
        <v>351</v>
      </c>
      <c r="K1794">
        <f t="shared" si="276"/>
        <v>6</v>
      </c>
      <c r="L1794">
        <f t="shared" si="277"/>
        <v>604647</v>
      </c>
      <c r="M1794">
        <f t="shared" si="278"/>
        <v>197991</v>
      </c>
      <c r="N1794">
        <f t="shared" si="279"/>
        <v>850638</v>
      </c>
      <c r="O1794">
        <f>IF(B1794="zagraniczny",K1794+O1793,O1793)</f>
        <v>764</v>
      </c>
    </row>
    <row r="1795" spans="1:15" x14ac:dyDescent="0.25">
      <c r="A1795">
        <v>4419123</v>
      </c>
      <c r="B1795" t="str">
        <f t="shared" ref="B1795:B1858" si="280">IF(LEN(A1795)=7,"stacjonarny",IF(LEN(A1795)=8,"komorkowy","zagraniczny"))</f>
        <v>stacjonarny</v>
      </c>
      <c r="C1795" s="1">
        <v>42942</v>
      </c>
      <c r="D1795" s="2">
        <v>0.49952546296296296</v>
      </c>
      <c r="E1795" s="2">
        <v>0.50207175925925929</v>
      </c>
      <c r="F1795" s="2">
        <f t="shared" ref="F1795:F1858" si="281">E1795-D1795</f>
        <v>2.5462962962963243E-3</v>
      </c>
      <c r="G1795">
        <f t="shared" ref="G1795:G1858" si="282">HOUR(F1795)</f>
        <v>0</v>
      </c>
      <c r="H1795">
        <f t="shared" ref="H1795:H1858" si="283">MINUTE(F1795)</f>
        <v>3</v>
      </c>
      <c r="I1795">
        <f t="shared" ref="I1795:I1858" si="284">SECOND(F1795)</f>
        <v>40</v>
      </c>
      <c r="J1795">
        <f t="shared" ref="J1795:J1858" si="285">H1795*60+I1795</f>
        <v>220</v>
      </c>
      <c r="K1795">
        <f t="shared" ref="K1795:K1858" si="286">IF(I1795&gt;0,G1795*60+H1795+1,H1795+G1795*60)</f>
        <v>4</v>
      </c>
      <c r="L1795">
        <f t="shared" si="277"/>
        <v>604867</v>
      </c>
      <c r="M1795">
        <f t="shared" si="278"/>
        <v>197991</v>
      </c>
      <c r="N1795">
        <f t="shared" si="279"/>
        <v>850858</v>
      </c>
      <c r="O1795">
        <f>IF(B1795="zagraniczny",K1795+O1794,O1794)</f>
        <v>764</v>
      </c>
    </row>
    <row r="1796" spans="1:15" x14ac:dyDescent="0.25">
      <c r="A1796">
        <v>75645195</v>
      </c>
      <c r="B1796" t="str">
        <f t="shared" si="280"/>
        <v>komorkowy</v>
      </c>
      <c r="C1796" s="1">
        <v>42942</v>
      </c>
      <c r="D1796" s="2">
        <v>0.5046180555555555</v>
      </c>
      <c r="E1796" s="2">
        <v>0.50491898148148151</v>
      </c>
      <c r="F1796" s="2">
        <f t="shared" si="281"/>
        <v>3.0092592592600997E-4</v>
      </c>
      <c r="G1796">
        <f t="shared" si="282"/>
        <v>0</v>
      </c>
      <c r="H1796">
        <f t="shared" si="283"/>
        <v>0</v>
      </c>
      <c r="I1796">
        <f t="shared" si="284"/>
        <v>26</v>
      </c>
      <c r="J1796">
        <f t="shared" si="285"/>
        <v>26</v>
      </c>
      <c r="K1796">
        <f t="shared" si="286"/>
        <v>1</v>
      </c>
      <c r="L1796">
        <f t="shared" ref="L1796:L1859" si="287">IF(B1796="stacjonarny",$J1796+L1795,L1795)</f>
        <v>604867</v>
      </c>
      <c r="M1796">
        <f t="shared" ref="M1796:M1859" si="288">IF(B1796="komorkowy",$J1796+M1795,M1795)</f>
        <v>198017</v>
      </c>
      <c r="N1796">
        <f t="shared" ref="N1796:N1859" si="289">IF(OR(B1796="stacjonarny",B1796="komorkowy"),J1796+N1795,N1795)</f>
        <v>850884</v>
      </c>
      <c r="O1796">
        <f>IF(B1796="zagraniczny",K1796+O1795,O1795)</f>
        <v>764</v>
      </c>
    </row>
    <row r="1797" spans="1:15" x14ac:dyDescent="0.25">
      <c r="A1797">
        <v>4305960</v>
      </c>
      <c r="B1797" t="str">
        <f t="shared" si="280"/>
        <v>stacjonarny</v>
      </c>
      <c r="C1797" s="1">
        <v>42942</v>
      </c>
      <c r="D1797" s="2">
        <v>0.50671296296296298</v>
      </c>
      <c r="E1797" s="2">
        <v>0.51233796296296297</v>
      </c>
      <c r="F1797" s="2">
        <f t="shared" si="281"/>
        <v>5.6249999999999911E-3</v>
      </c>
      <c r="G1797">
        <f t="shared" si="282"/>
        <v>0</v>
      </c>
      <c r="H1797">
        <f t="shared" si="283"/>
        <v>8</v>
      </c>
      <c r="I1797">
        <f t="shared" si="284"/>
        <v>6</v>
      </c>
      <c r="J1797">
        <f t="shared" si="285"/>
        <v>486</v>
      </c>
      <c r="K1797">
        <f t="shared" si="286"/>
        <v>9</v>
      </c>
      <c r="L1797">
        <f t="shared" si="287"/>
        <v>605353</v>
      </c>
      <c r="M1797">
        <f t="shared" si="288"/>
        <v>198017</v>
      </c>
      <c r="N1797">
        <f t="shared" si="289"/>
        <v>851370</v>
      </c>
      <c r="O1797">
        <f>IF(B1797="zagraniczny",K1797+O1796,O1796)</f>
        <v>764</v>
      </c>
    </row>
    <row r="1798" spans="1:15" x14ac:dyDescent="0.25">
      <c r="A1798">
        <v>21681406</v>
      </c>
      <c r="B1798" t="str">
        <f t="shared" si="280"/>
        <v>komorkowy</v>
      </c>
      <c r="C1798" s="1">
        <v>42942</v>
      </c>
      <c r="D1798" s="2">
        <v>0.50876157407407407</v>
      </c>
      <c r="E1798" s="2">
        <v>0.51472222222222219</v>
      </c>
      <c r="F1798" s="2">
        <f t="shared" si="281"/>
        <v>5.9606481481481177E-3</v>
      </c>
      <c r="G1798">
        <f t="shared" si="282"/>
        <v>0</v>
      </c>
      <c r="H1798">
        <f t="shared" si="283"/>
        <v>8</v>
      </c>
      <c r="I1798">
        <f t="shared" si="284"/>
        <v>35</v>
      </c>
      <c r="J1798">
        <f t="shared" si="285"/>
        <v>515</v>
      </c>
      <c r="K1798">
        <f t="shared" si="286"/>
        <v>9</v>
      </c>
      <c r="L1798">
        <f t="shared" si="287"/>
        <v>605353</v>
      </c>
      <c r="M1798">
        <f t="shared" si="288"/>
        <v>198532</v>
      </c>
      <c r="N1798">
        <f t="shared" si="289"/>
        <v>851885</v>
      </c>
      <c r="O1798">
        <f>IF(B1798="zagraniczny",K1798+O1797,O1797)</f>
        <v>764</v>
      </c>
    </row>
    <row r="1799" spans="1:15" x14ac:dyDescent="0.25">
      <c r="A1799">
        <v>6401011</v>
      </c>
      <c r="B1799" t="str">
        <f t="shared" si="280"/>
        <v>stacjonarny</v>
      </c>
      <c r="C1799" s="1">
        <v>42942</v>
      </c>
      <c r="D1799" s="2">
        <v>0.51140046296296293</v>
      </c>
      <c r="E1799" s="2">
        <v>0.5186574074074074</v>
      </c>
      <c r="F1799" s="2">
        <f t="shared" si="281"/>
        <v>7.2569444444444686E-3</v>
      </c>
      <c r="G1799">
        <f t="shared" si="282"/>
        <v>0</v>
      </c>
      <c r="H1799">
        <f t="shared" si="283"/>
        <v>10</v>
      </c>
      <c r="I1799">
        <f t="shared" si="284"/>
        <v>27</v>
      </c>
      <c r="J1799">
        <f t="shared" si="285"/>
        <v>627</v>
      </c>
      <c r="K1799">
        <f t="shared" si="286"/>
        <v>11</v>
      </c>
      <c r="L1799">
        <f t="shared" si="287"/>
        <v>605980</v>
      </c>
      <c r="M1799">
        <f t="shared" si="288"/>
        <v>198532</v>
      </c>
      <c r="N1799">
        <f t="shared" si="289"/>
        <v>852512</v>
      </c>
      <c r="O1799">
        <f>IF(B1799="zagraniczny",K1799+O1798,O1798)</f>
        <v>764</v>
      </c>
    </row>
    <row r="1800" spans="1:15" x14ac:dyDescent="0.25">
      <c r="A1800">
        <v>1879412</v>
      </c>
      <c r="B1800" t="str">
        <f t="shared" si="280"/>
        <v>stacjonarny</v>
      </c>
      <c r="C1800" s="1">
        <v>42942</v>
      </c>
      <c r="D1800" s="2">
        <v>0.51546296296296301</v>
      </c>
      <c r="E1800" s="2">
        <v>0.52481481481481485</v>
      </c>
      <c r="F1800" s="2">
        <f t="shared" si="281"/>
        <v>9.3518518518518334E-3</v>
      </c>
      <c r="G1800">
        <f t="shared" si="282"/>
        <v>0</v>
      </c>
      <c r="H1800">
        <f t="shared" si="283"/>
        <v>13</v>
      </c>
      <c r="I1800">
        <f t="shared" si="284"/>
        <v>28</v>
      </c>
      <c r="J1800">
        <f t="shared" si="285"/>
        <v>808</v>
      </c>
      <c r="K1800">
        <f t="shared" si="286"/>
        <v>14</v>
      </c>
      <c r="L1800">
        <f t="shared" si="287"/>
        <v>606788</v>
      </c>
      <c r="M1800">
        <f t="shared" si="288"/>
        <v>198532</v>
      </c>
      <c r="N1800">
        <f t="shared" si="289"/>
        <v>853320</v>
      </c>
      <c r="O1800">
        <f>IF(B1800="zagraniczny",K1800+O1799,O1799)</f>
        <v>764</v>
      </c>
    </row>
    <row r="1801" spans="1:15" x14ac:dyDescent="0.25">
      <c r="A1801">
        <v>6218089</v>
      </c>
      <c r="B1801" t="str">
        <f t="shared" si="280"/>
        <v>stacjonarny</v>
      </c>
      <c r="C1801" s="1">
        <v>42942</v>
      </c>
      <c r="D1801" s="2">
        <v>0.51712962962962961</v>
      </c>
      <c r="E1801" s="2">
        <v>0.52177083333333329</v>
      </c>
      <c r="F1801" s="2">
        <f t="shared" si="281"/>
        <v>4.6412037037036891E-3</v>
      </c>
      <c r="G1801">
        <f t="shared" si="282"/>
        <v>0</v>
      </c>
      <c r="H1801">
        <f t="shared" si="283"/>
        <v>6</v>
      </c>
      <c r="I1801">
        <f t="shared" si="284"/>
        <v>41</v>
      </c>
      <c r="J1801">
        <f t="shared" si="285"/>
        <v>401</v>
      </c>
      <c r="K1801">
        <f t="shared" si="286"/>
        <v>7</v>
      </c>
      <c r="L1801">
        <f t="shared" si="287"/>
        <v>607189</v>
      </c>
      <c r="M1801">
        <f t="shared" si="288"/>
        <v>198532</v>
      </c>
      <c r="N1801">
        <f t="shared" si="289"/>
        <v>853721</v>
      </c>
      <c r="O1801">
        <f>IF(B1801="zagraniczny",K1801+O1800,O1800)</f>
        <v>764</v>
      </c>
    </row>
    <row r="1802" spans="1:15" x14ac:dyDescent="0.25">
      <c r="A1802">
        <v>3408462348</v>
      </c>
      <c r="B1802" t="str">
        <f t="shared" si="280"/>
        <v>zagraniczny</v>
      </c>
      <c r="C1802" s="1">
        <v>42942</v>
      </c>
      <c r="D1802" s="2">
        <v>0.52173611111111107</v>
      </c>
      <c r="E1802" s="2">
        <v>0.52998842592592588</v>
      </c>
      <c r="F1802" s="2">
        <f t="shared" si="281"/>
        <v>8.2523148148148096E-3</v>
      </c>
      <c r="G1802">
        <f t="shared" si="282"/>
        <v>0</v>
      </c>
      <c r="H1802">
        <f t="shared" si="283"/>
        <v>11</v>
      </c>
      <c r="I1802">
        <f t="shared" si="284"/>
        <v>53</v>
      </c>
      <c r="J1802">
        <f t="shared" si="285"/>
        <v>713</v>
      </c>
      <c r="K1802">
        <f t="shared" si="286"/>
        <v>12</v>
      </c>
      <c r="L1802">
        <f t="shared" si="287"/>
        <v>607189</v>
      </c>
      <c r="M1802">
        <f t="shared" si="288"/>
        <v>198532</v>
      </c>
      <c r="N1802">
        <f t="shared" si="289"/>
        <v>853721</v>
      </c>
      <c r="O1802">
        <f>IF(B1802="zagraniczny",K1802+O1801,O1801)</f>
        <v>776</v>
      </c>
    </row>
    <row r="1803" spans="1:15" x14ac:dyDescent="0.25">
      <c r="A1803">
        <v>9535780</v>
      </c>
      <c r="B1803" t="str">
        <f t="shared" si="280"/>
        <v>stacjonarny</v>
      </c>
      <c r="C1803" s="1">
        <v>42942</v>
      </c>
      <c r="D1803" s="2">
        <v>0.52265046296296291</v>
      </c>
      <c r="E1803" s="2">
        <v>0.53091435185185187</v>
      </c>
      <c r="F1803" s="2">
        <f t="shared" si="281"/>
        <v>8.2638888888889594E-3</v>
      </c>
      <c r="G1803">
        <f t="shared" si="282"/>
        <v>0</v>
      </c>
      <c r="H1803">
        <f t="shared" si="283"/>
        <v>11</v>
      </c>
      <c r="I1803">
        <f t="shared" si="284"/>
        <v>54</v>
      </c>
      <c r="J1803">
        <f t="shared" si="285"/>
        <v>714</v>
      </c>
      <c r="K1803">
        <f t="shared" si="286"/>
        <v>12</v>
      </c>
      <c r="L1803">
        <f t="shared" si="287"/>
        <v>607903</v>
      </c>
      <c r="M1803">
        <f t="shared" si="288"/>
        <v>198532</v>
      </c>
      <c r="N1803">
        <f t="shared" si="289"/>
        <v>854435</v>
      </c>
      <c r="O1803">
        <f>IF(B1803="zagraniczny",K1803+O1802,O1802)</f>
        <v>776</v>
      </c>
    </row>
    <row r="1804" spans="1:15" x14ac:dyDescent="0.25">
      <c r="A1804">
        <v>4945889</v>
      </c>
      <c r="B1804" t="str">
        <f t="shared" si="280"/>
        <v>stacjonarny</v>
      </c>
      <c r="C1804" s="1">
        <v>42942</v>
      </c>
      <c r="D1804" s="2">
        <v>0.52790509259259255</v>
      </c>
      <c r="E1804" s="2">
        <v>0.53581018518518519</v>
      </c>
      <c r="F1804" s="2">
        <f t="shared" si="281"/>
        <v>7.9050925925926441E-3</v>
      </c>
      <c r="G1804">
        <f t="shared" si="282"/>
        <v>0</v>
      </c>
      <c r="H1804">
        <f t="shared" si="283"/>
        <v>11</v>
      </c>
      <c r="I1804">
        <f t="shared" si="284"/>
        <v>23</v>
      </c>
      <c r="J1804">
        <f t="shared" si="285"/>
        <v>683</v>
      </c>
      <c r="K1804">
        <f t="shared" si="286"/>
        <v>12</v>
      </c>
      <c r="L1804">
        <f t="shared" si="287"/>
        <v>608586</v>
      </c>
      <c r="M1804">
        <f t="shared" si="288"/>
        <v>198532</v>
      </c>
      <c r="N1804">
        <f t="shared" si="289"/>
        <v>855118</v>
      </c>
      <c r="O1804">
        <f>IF(B1804="zagraniczny",K1804+O1803,O1803)</f>
        <v>776</v>
      </c>
    </row>
    <row r="1805" spans="1:15" x14ac:dyDescent="0.25">
      <c r="A1805">
        <v>8985437</v>
      </c>
      <c r="B1805" t="str">
        <f t="shared" si="280"/>
        <v>stacjonarny</v>
      </c>
      <c r="C1805" s="1">
        <v>42942</v>
      </c>
      <c r="D1805" s="2">
        <v>0.52937500000000004</v>
      </c>
      <c r="E1805" s="2">
        <v>0.53609953703703705</v>
      </c>
      <c r="F1805" s="2">
        <f t="shared" si="281"/>
        <v>6.724537037037015E-3</v>
      </c>
      <c r="G1805">
        <f t="shared" si="282"/>
        <v>0</v>
      </c>
      <c r="H1805">
        <f t="shared" si="283"/>
        <v>9</v>
      </c>
      <c r="I1805">
        <f t="shared" si="284"/>
        <v>41</v>
      </c>
      <c r="J1805">
        <f t="shared" si="285"/>
        <v>581</v>
      </c>
      <c r="K1805">
        <f t="shared" si="286"/>
        <v>10</v>
      </c>
      <c r="L1805">
        <f t="shared" si="287"/>
        <v>609167</v>
      </c>
      <c r="M1805">
        <f t="shared" si="288"/>
        <v>198532</v>
      </c>
      <c r="N1805">
        <f t="shared" si="289"/>
        <v>855699</v>
      </c>
      <c r="O1805">
        <f>IF(B1805="zagraniczny",K1805+O1804,O1804)</f>
        <v>776</v>
      </c>
    </row>
    <row r="1806" spans="1:15" x14ac:dyDescent="0.25">
      <c r="A1806">
        <v>57891628</v>
      </c>
      <c r="B1806" t="str">
        <f t="shared" si="280"/>
        <v>komorkowy</v>
      </c>
      <c r="C1806" s="1">
        <v>42942</v>
      </c>
      <c r="D1806" s="2">
        <v>0.53282407407407406</v>
      </c>
      <c r="E1806" s="2">
        <v>0.53501157407407407</v>
      </c>
      <c r="F1806" s="2">
        <f t="shared" si="281"/>
        <v>2.1875000000000089E-3</v>
      </c>
      <c r="G1806">
        <f t="shared" si="282"/>
        <v>0</v>
      </c>
      <c r="H1806">
        <f t="shared" si="283"/>
        <v>3</v>
      </c>
      <c r="I1806">
        <f t="shared" si="284"/>
        <v>9</v>
      </c>
      <c r="J1806">
        <f t="shared" si="285"/>
        <v>189</v>
      </c>
      <c r="K1806">
        <f t="shared" si="286"/>
        <v>4</v>
      </c>
      <c r="L1806">
        <f t="shared" si="287"/>
        <v>609167</v>
      </c>
      <c r="M1806">
        <f t="shared" si="288"/>
        <v>198721</v>
      </c>
      <c r="N1806">
        <f t="shared" si="289"/>
        <v>855888</v>
      </c>
      <c r="O1806">
        <f>IF(B1806="zagraniczny",K1806+O1805,O1805)</f>
        <v>776</v>
      </c>
    </row>
    <row r="1807" spans="1:15" x14ac:dyDescent="0.25">
      <c r="A1807">
        <v>9772824</v>
      </c>
      <c r="B1807" t="str">
        <f t="shared" si="280"/>
        <v>stacjonarny</v>
      </c>
      <c r="C1807" s="1">
        <v>42942</v>
      </c>
      <c r="D1807" s="2">
        <v>0.53344907407407405</v>
      </c>
      <c r="E1807" s="2">
        <v>0.54386574074074079</v>
      </c>
      <c r="F1807" s="2">
        <f t="shared" si="281"/>
        <v>1.0416666666666741E-2</v>
      </c>
      <c r="G1807">
        <f t="shared" si="282"/>
        <v>0</v>
      </c>
      <c r="H1807">
        <f t="shared" si="283"/>
        <v>15</v>
      </c>
      <c r="I1807">
        <f t="shared" si="284"/>
        <v>0</v>
      </c>
      <c r="J1807">
        <f t="shared" si="285"/>
        <v>900</v>
      </c>
      <c r="K1807">
        <f t="shared" si="286"/>
        <v>15</v>
      </c>
      <c r="L1807">
        <f t="shared" si="287"/>
        <v>610067</v>
      </c>
      <c r="M1807">
        <f t="shared" si="288"/>
        <v>198721</v>
      </c>
      <c r="N1807">
        <f t="shared" si="289"/>
        <v>856788</v>
      </c>
      <c r="O1807">
        <f>IF(B1807="zagraniczny",K1807+O1806,O1806)</f>
        <v>776</v>
      </c>
    </row>
    <row r="1808" spans="1:15" x14ac:dyDescent="0.25">
      <c r="A1808">
        <v>4154521</v>
      </c>
      <c r="B1808" t="str">
        <f t="shared" si="280"/>
        <v>stacjonarny</v>
      </c>
      <c r="C1808" s="1">
        <v>42942</v>
      </c>
      <c r="D1808" s="2">
        <v>0.53439814814814812</v>
      </c>
      <c r="E1808" s="2">
        <v>0.53813657407407411</v>
      </c>
      <c r="F1808" s="2">
        <f t="shared" si="281"/>
        <v>3.7384259259259922E-3</v>
      </c>
      <c r="G1808">
        <f t="shared" si="282"/>
        <v>0</v>
      </c>
      <c r="H1808">
        <f t="shared" si="283"/>
        <v>5</v>
      </c>
      <c r="I1808">
        <f t="shared" si="284"/>
        <v>23</v>
      </c>
      <c r="J1808">
        <f t="shared" si="285"/>
        <v>323</v>
      </c>
      <c r="K1808">
        <f t="shared" si="286"/>
        <v>6</v>
      </c>
      <c r="L1808">
        <f t="shared" si="287"/>
        <v>610390</v>
      </c>
      <c r="M1808">
        <f t="shared" si="288"/>
        <v>198721</v>
      </c>
      <c r="N1808">
        <f t="shared" si="289"/>
        <v>857111</v>
      </c>
      <c r="O1808">
        <f>IF(B1808="zagraniczny",K1808+O1807,O1807)</f>
        <v>776</v>
      </c>
    </row>
    <row r="1809" spans="1:15" x14ac:dyDescent="0.25">
      <c r="A1809">
        <v>96977805</v>
      </c>
      <c r="B1809" t="str">
        <f t="shared" si="280"/>
        <v>komorkowy</v>
      </c>
      <c r="C1809" s="1">
        <v>42942</v>
      </c>
      <c r="D1809" s="2">
        <v>0.53601851851851856</v>
      </c>
      <c r="E1809" s="2">
        <v>0.54394675925925928</v>
      </c>
      <c r="F1809" s="2">
        <f t="shared" si="281"/>
        <v>7.9282407407407218E-3</v>
      </c>
      <c r="G1809">
        <f t="shared" si="282"/>
        <v>0</v>
      </c>
      <c r="H1809">
        <f t="shared" si="283"/>
        <v>11</v>
      </c>
      <c r="I1809">
        <f t="shared" si="284"/>
        <v>25</v>
      </c>
      <c r="J1809">
        <f t="shared" si="285"/>
        <v>685</v>
      </c>
      <c r="K1809">
        <f t="shared" si="286"/>
        <v>12</v>
      </c>
      <c r="L1809">
        <f t="shared" si="287"/>
        <v>610390</v>
      </c>
      <c r="M1809">
        <f t="shared" si="288"/>
        <v>199406</v>
      </c>
      <c r="N1809">
        <f t="shared" si="289"/>
        <v>857796</v>
      </c>
      <c r="O1809">
        <f>IF(B1809="zagraniczny",K1809+O1808,O1808)</f>
        <v>776</v>
      </c>
    </row>
    <row r="1810" spans="1:15" x14ac:dyDescent="0.25">
      <c r="A1810">
        <v>24665933</v>
      </c>
      <c r="B1810" t="str">
        <f t="shared" si="280"/>
        <v>komorkowy</v>
      </c>
      <c r="C1810" s="1">
        <v>42942</v>
      </c>
      <c r="D1810" s="2">
        <v>0.53666666666666663</v>
      </c>
      <c r="E1810" s="2">
        <v>0.5370949074074074</v>
      </c>
      <c r="F1810" s="2">
        <f t="shared" si="281"/>
        <v>4.2824074074077068E-4</v>
      </c>
      <c r="G1810">
        <f t="shared" si="282"/>
        <v>0</v>
      </c>
      <c r="H1810">
        <f t="shared" si="283"/>
        <v>0</v>
      </c>
      <c r="I1810">
        <f t="shared" si="284"/>
        <v>37</v>
      </c>
      <c r="J1810">
        <f t="shared" si="285"/>
        <v>37</v>
      </c>
      <c r="K1810">
        <f t="shared" si="286"/>
        <v>1</v>
      </c>
      <c r="L1810">
        <f t="shared" si="287"/>
        <v>610390</v>
      </c>
      <c r="M1810">
        <f t="shared" si="288"/>
        <v>199443</v>
      </c>
      <c r="N1810">
        <f t="shared" si="289"/>
        <v>857833</v>
      </c>
      <c r="O1810">
        <f>IF(B1810="zagraniczny",K1810+O1809,O1809)</f>
        <v>776</v>
      </c>
    </row>
    <row r="1811" spans="1:15" x14ac:dyDescent="0.25">
      <c r="A1811">
        <v>5465004</v>
      </c>
      <c r="B1811" t="str">
        <f t="shared" si="280"/>
        <v>stacjonarny</v>
      </c>
      <c r="C1811" s="1">
        <v>42942</v>
      </c>
      <c r="D1811" s="2">
        <v>0.54017361111111106</v>
      </c>
      <c r="E1811" s="2">
        <v>0.54915509259259254</v>
      </c>
      <c r="F1811" s="2">
        <f t="shared" si="281"/>
        <v>8.9814814814814792E-3</v>
      </c>
      <c r="G1811">
        <f t="shared" si="282"/>
        <v>0</v>
      </c>
      <c r="H1811">
        <f t="shared" si="283"/>
        <v>12</v>
      </c>
      <c r="I1811">
        <f t="shared" si="284"/>
        <v>56</v>
      </c>
      <c r="J1811">
        <f t="shared" si="285"/>
        <v>776</v>
      </c>
      <c r="K1811">
        <f t="shared" si="286"/>
        <v>13</v>
      </c>
      <c r="L1811">
        <f t="shared" si="287"/>
        <v>611166</v>
      </c>
      <c r="M1811">
        <f t="shared" si="288"/>
        <v>199443</v>
      </c>
      <c r="N1811">
        <f t="shared" si="289"/>
        <v>858609</v>
      </c>
      <c r="O1811">
        <f>IF(B1811="zagraniczny",K1811+O1810,O1810)</f>
        <v>776</v>
      </c>
    </row>
    <row r="1812" spans="1:15" x14ac:dyDescent="0.25">
      <c r="A1812">
        <v>9560827</v>
      </c>
      <c r="B1812" t="str">
        <f t="shared" si="280"/>
        <v>stacjonarny</v>
      </c>
      <c r="C1812" s="1">
        <v>42942</v>
      </c>
      <c r="D1812" s="2">
        <v>0.54069444444444448</v>
      </c>
      <c r="E1812" s="2">
        <v>0.55103009259259261</v>
      </c>
      <c r="F1812" s="2">
        <f t="shared" si="281"/>
        <v>1.0335648148148135E-2</v>
      </c>
      <c r="G1812">
        <f t="shared" si="282"/>
        <v>0</v>
      </c>
      <c r="H1812">
        <f t="shared" si="283"/>
        <v>14</v>
      </c>
      <c r="I1812">
        <f t="shared" si="284"/>
        <v>53</v>
      </c>
      <c r="J1812">
        <f t="shared" si="285"/>
        <v>893</v>
      </c>
      <c r="K1812">
        <f t="shared" si="286"/>
        <v>15</v>
      </c>
      <c r="L1812">
        <f t="shared" si="287"/>
        <v>612059</v>
      </c>
      <c r="M1812">
        <f t="shared" si="288"/>
        <v>199443</v>
      </c>
      <c r="N1812">
        <f t="shared" si="289"/>
        <v>859502</v>
      </c>
      <c r="O1812">
        <f>IF(B1812="zagraniczny",K1812+O1811,O1811)</f>
        <v>776</v>
      </c>
    </row>
    <row r="1813" spans="1:15" x14ac:dyDescent="0.25">
      <c r="A1813">
        <v>3443287</v>
      </c>
      <c r="B1813" t="str">
        <f t="shared" si="280"/>
        <v>stacjonarny</v>
      </c>
      <c r="C1813" s="1">
        <v>42942</v>
      </c>
      <c r="D1813" s="2">
        <v>0.54593749999999996</v>
      </c>
      <c r="E1813" s="2">
        <v>0.55622685185185183</v>
      </c>
      <c r="F1813" s="2">
        <f t="shared" si="281"/>
        <v>1.0289351851851869E-2</v>
      </c>
      <c r="G1813">
        <f t="shared" si="282"/>
        <v>0</v>
      </c>
      <c r="H1813">
        <f t="shared" si="283"/>
        <v>14</v>
      </c>
      <c r="I1813">
        <f t="shared" si="284"/>
        <v>49</v>
      </c>
      <c r="J1813">
        <f t="shared" si="285"/>
        <v>889</v>
      </c>
      <c r="K1813">
        <f t="shared" si="286"/>
        <v>15</v>
      </c>
      <c r="L1813">
        <f t="shared" si="287"/>
        <v>612948</v>
      </c>
      <c r="M1813">
        <f t="shared" si="288"/>
        <v>199443</v>
      </c>
      <c r="N1813">
        <f t="shared" si="289"/>
        <v>860391</v>
      </c>
      <c r="O1813">
        <f>IF(B1813="zagraniczny",K1813+O1812,O1812)</f>
        <v>776</v>
      </c>
    </row>
    <row r="1814" spans="1:15" x14ac:dyDescent="0.25">
      <c r="A1814">
        <v>7551668</v>
      </c>
      <c r="B1814" t="str">
        <f t="shared" si="280"/>
        <v>stacjonarny</v>
      </c>
      <c r="C1814" s="1">
        <v>42942</v>
      </c>
      <c r="D1814" s="2">
        <v>0.55053240740740739</v>
      </c>
      <c r="E1814" s="2">
        <v>0.55672453703703706</v>
      </c>
      <c r="F1814" s="2">
        <f t="shared" si="281"/>
        <v>6.1921296296296724E-3</v>
      </c>
      <c r="G1814">
        <f t="shared" si="282"/>
        <v>0</v>
      </c>
      <c r="H1814">
        <f t="shared" si="283"/>
        <v>8</v>
      </c>
      <c r="I1814">
        <f t="shared" si="284"/>
        <v>55</v>
      </c>
      <c r="J1814">
        <f t="shared" si="285"/>
        <v>535</v>
      </c>
      <c r="K1814">
        <f t="shared" si="286"/>
        <v>9</v>
      </c>
      <c r="L1814">
        <f t="shared" si="287"/>
        <v>613483</v>
      </c>
      <c r="M1814">
        <f t="shared" si="288"/>
        <v>199443</v>
      </c>
      <c r="N1814">
        <f t="shared" si="289"/>
        <v>860926</v>
      </c>
      <c r="O1814">
        <f>IF(B1814="zagraniczny",K1814+O1813,O1813)</f>
        <v>776</v>
      </c>
    </row>
    <row r="1815" spans="1:15" x14ac:dyDescent="0.25">
      <c r="A1815">
        <v>3189059</v>
      </c>
      <c r="B1815" t="str">
        <f t="shared" si="280"/>
        <v>stacjonarny</v>
      </c>
      <c r="C1815" s="1">
        <v>42942</v>
      </c>
      <c r="D1815" s="2">
        <v>0.55462962962962958</v>
      </c>
      <c r="E1815" s="2">
        <v>0.56101851851851847</v>
      </c>
      <c r="F1815" s="2">
        <f t="shared" si="281"/>
        <v>6.3888888888888884E-3</v>
      </c>
      <c r="G1815">
        <f t="shared" si="282"/>
        <v>0</v>
      </c>
      <c r="H1815">
        <f t="shared" si="283"/>
        <v>9</v>
      </c>
      <c r="I1815">
        <f t="shared" si="284"/>
        <v>12</v>
      </c>
      <c r="J1815">
        <f t="shared" si="285"/>
        <v>552</v>
      </c>
      <c r="K1815">
        <f t="shared" si="286"/>
        <v>10</v>
      </c>
      <c r="L1815">
        <f t="shared" si="287"/>
        <v>614035</v>
      </c>
      <c r="M1815">
        <f t="shared" si="288"/>
        <v>199443</v>
      </c>
      <c r="N1815">
        <f t="shared" si="289"/>
        <v>861478</v>
      </c>
      <c r="O1815">
        <f>IF(B1815="zagraniczny",K1815+O1814,O1814)</f>
        <v>776</v>
      </c>
    </row>
    <row r="1816" spans="1:15" x14ac:dyDescent="0.25">
      <c r="A1816">
        <v>9061957</v>
      </c>
      <c r="B1816" t="str">
        <f t="shared" si="280"/>
        <v>stacjonarny</v>
      </c>
      <c r="C1816" s="1">
        <v>42942</v>
      </c>
      <c r="D1816" s="2">
        <v>0.55604166666666666</v>
      </c>
      <c r="E1816" s="2">
        <v>0.56381944444444443</v>
      </c>
      <c r="F1816" s="2">
        <f t="shared" si="281"/>
        <v>7.7777777777777724E-3</v>
      </c>
      <c r="G1816">
        <f t="shared" si="282"/>
        <v>0</v>
      </c>
      <c r="H1816">
        <f t="shared" si="283"/>
        <v>11</v>
      </c>
      <c r="I1816">
        <f t="shared" si="284"/>
        <v>12</v>
      </c>
      <c r="J1816">
        <f t="shared" si="285"/>
        <v>672</v>
      </c>
      <c r="K1816">
        <f t="shared" si="286"/>
        <v>12</v>
      </c>
      <c r="L1816">
        <f t="shared" si="287"/>
        <v>614707</v>
      </c>
      <c r="M1816">
        <f t="shared" si="288"/>
        <v>199443</v>
      </c>
      <c r="N1816">
        <f t="shared" si="289"/>
        <v>862150</v>
      </c>
      <c r="O1816">
        <f>IF(B1816="zagraniczny",K1816+O1815,O1815)</f>
        <v>776</v>
      </c>
    </row>
    <row r="1817" spans="1:15" x14ac:dyDescent="0.25">
      <c r="A1817">
        <v>2109147679</v>
      </c>
      <c r="B1817" t="str">
        <f t="shared" si="280"/>
        <v>zagraniczny</v>
      </c>
      <c r="C1817" s="1">
        <v>42942</v>
      </c>
      <c r="D1817" s="2">
        <v>0.56098379629629624</v>
      </c>
      <c r="E1817" s="2">
        <v>0.56753472222222223</v>
      </c>
      <c r="F1817" s="2">
        <f t="shared" si="281"/>
        <v>6.5509259259259878E-3</v>
      </c>
      <c r="G1817">
        <f t="shared" si="282"/>
        <v>0</v>
      </c>
      <c r="H1817">
        <f t="shared" si="283"/>
        <v>9</v>
      </c>
      <c r="I1817">
        <f t="shared" si="284"/>
        <v>26</v>
      </c>
      <c r="J1817">
        <f t="shared" si="285"/>
        <v>566</v>
      </c>
      <c r="K1817">
        <f t="shared" si="286"/>
        <v>10</v>
      </c>
      <c r="L1817">
        <f t="shared" si="287"/>
        <v>614707</v>
      </c>
      <c r="M1817">
        <f t="shared" si="288"/>
        <v>199443</v>
      </c>
      <c r="N1817">
        <f t="shared" si="289"/>
        <v>862150</v>
      </c>
      <c r="O1817">
        <f>IF(B1817="zagraniczny",K1817+O1816,O1816)</f>
        <v>786</v>
      </c>
    </row>
    <row r="1818" spans="1:15" x14ac:dyDescent="0.25">
      <c r="A1818">
        <v>59508384</v>
      </c>
      <c r="B1818" t="str">
        <f t="shared" si="280"/>
        <v>komorkowy</v>
      </c>
      <c r="C1818" s="1">
        <v>42942</v>
      </c>
      <c r="D1818" s="2">
        <v>0.56232638888888886</v>
      </c>
      <c r="E1818" s="2">
        <v>0.56594907407407402</v>
      </c>
      <c r="F1818" s="2">
        <f t="shared" si="281"/>
        <v>3.6226851851851594E-3</v>
      </c>
      <c r="G1818">
        <f t="shared" si="282"/>
        <v>0</v>
      </c>
      <c r="H1818">
        <f t="shared" si="283"/>
        <v>5</v>
      </c>
      <c r="I1818">
        <f t="shared" si="284"/>
        <v>13</v>
      </c>
      <c r="J1818">
        <f t="shared" si="285"/>
        <v>313</v>
      </c>
      <c r="K1818">
        <f t="shared" si="286"/>
        <v>6</v>
      </c>
      <c r="L1818">
        <f t="shared" si="287"/>
        <v>614707</v>
      </c>
      <c r="M1818">
        <f t="shared" si="288"/>
        <v>199756</v>
      </c>
      <c r="N1818">
        <f t="shared" si="289"/>
        <v>862463</v>
      </c>
      <c r="O1818">
        <f>IF(B1818="zagraniczny",K1818+O1817,O1817)</f>
        <v>786</v>
      </c>
    </row>
    <row r="1819" spans="1:15" x14ac:dyDescent="0.25">
      <c r="A1819">
        <v>48529464</v>
      </c>
      <c r="B1819" t="str">
        <f t="shared" si="280"/>
        <v>komorkowy</v>
      </c>
      <c r="C1819" s="1">
        <v>42942</v>
      </c>
      <c r="D1819" s="2">
        <v>0.56283564814814813</v>
      </c>
      <c r="E1819" s="2">
        <v>0.56427083333333339</v>
      </c>
      <c r="F1819" s="2">
        <f t="shared" si="281"/>
        <v>1.4351851851852615E-3</v>
      </c>
      <c r="G1819">
        <f t="shared" si="282"/>
        <v>0</v>
      </c>
      <c r="H1819">
        <f t="shared" si="283"/>
        <v>2</v>
      </c>
      <c r="I1819">
        <f t="shared" si="284"/>
        <v>4</v>
      </c>
      <c r="J1819">
        <f t="shared" si="285"/>
        <v>124</v>
      </c>
      <c r="K1819">
        <f t="shared" si="286"/>
        <v>3</v>
      </c>
      <c r="L1819">
        <f t="shared" si="287"/>
        <v>614707</v>
      </c>
      <c r="M1819">
        <f t="shared" si="288"/>
        <v>199880</v>
      </c>
      <c r="N1819">
        <f t="shared" si="289"/>
        <v>862587</v>
      </c>
      <c r="O1819">
        <f>IF(B1819="zagraniczny",K1819+O1818,O1818)</f>
        <v>786</v>
      </c>
    </row>
    <row r="1820" spans="1:15" x14ac:dyDescent="0.25">
      <c r="A1820">
        <v>4082744</v>
      </c>
      <c r="B1820" t="str">
        <f t="shared" si="280"/>
        <v>stacjonarny</v>
      </c>
      <c r="C1820" s="1">
        <v>42942</v>
      </c>
      <c r="D1820" s="2">
        <v>0.56481481481481477</v>
      </c>
      <c r="E1820" s="2">
        <v>0.57565972222222217</v>
      </c>
      <c r="F1820" s="2">
        <f t="shared" si="281"/>
        <v>1.08449074074074E-2</v>
      </c>
      <c r="G1820">
        <f t="shared" si="282"/>
        <v>0</v>
      </c>
      <c r="H1820">
        <f t="shared" si="283"/>
        <v>15</v>
      </c>
      <c r="I1820">
        <f t="shared" si="284"/>
        <v>37</v>
      </c>
      <c r="J1820">
        <f t="shared" si="285"/>
        <v>937</v>
      </c>
      <c r="K1820">
        <f t="shared" si="286"/>
        <v>16</v>
      </c>
      <c r="L1820">
        <f t="shared" si="287"/>
        <v>615644</v>
      </c>
      <c r="M1820">
        <f t="shared" si="288"/>
        <v>199880</v>
      </c>
      <c r="N1820">
        <f t="shared" si="289"/>
        <v>863524</v>
      </c>
      <c r="O1820">
        <f>IF(B1820="zagraniczny",K1820+O1819,O1819)</f>
        <v>786</v>
      </c>
    </row>
    <row r="1821" spans="1:15" x14ac:dyDescent="0.25">
      <c r="A1821">
        <v>2395447</v>
      </c>
      <c r="B1821" t="str">
        <f t="shared" si="280"/>
        <v>stacjonarny</v>
      </c>
      <c r="C1821" s="1">
        <v>42942</v>
      </c>
      <c r="D1821" s="2">
        <v>0.56805555555555554</v>
      </c>
      <c r="E1821" s="2">
        <v>0.56937499999999996</v>
      </c>
      <c r="F1821" s="2">
        <f t="shared" si="281"/>
        <v>1.3194444444444287E-3</v>
      </c>
      <c r="G1821">
        <f t="shared" si="282"/>
        <v>0</v>
      </c>
      <c r="H1821">
        <f t="shared" si="283"/>
        <v>1</v>
      </c>
      <c r="I1821">
        <f t="shared" si="284"/>
        <v>54</v>
      </c>
      <c r="J1821">
        <f t="shared" si="285"/>
        <v>114</v>
      </c>
      <c r="K1821">
        <f t="shared" si="286"/>
        <v>2</v>
      </c>
      <c r="L1821">
        <f t="shared" si="287"/>
        <v>615758</v>
      </c>
      <c r="M1821">
        <f t="shared" si="288"/>
        <v>199880</v>
      </c>
      <c r="N1821">
        <f t="shared" si="289"/>
        <v>863638</v>
      </c>
      <c r="O1821">
        <f>IF(B1821="zagraniczny",K1821+O1820,O1820)</f>
        <v>786</v>
      </c>
    </row>
    <row r="1822" spans="1:15" x14ac:dyDescent="0.25">
      <c r="A1822">
        <v>96620804</v>
      </c>
      <c r="B1822" t="str">
        <f t="shared" si="280"/>
        <v>komorkowy</v>
      </c>
      <c r="C1822" s="1">
        <v>42942</v>
      </c>
      <c r="D1822" s="2">
        <v>0.56945601851851857</v>
      </c>
      <c r="E1822" s="2">
        <v>0.5776041666666667</v>
      </c>
      <c r="F1822" s="2">
        <f t="shared" si="281"/>
        <v>8.1481481481481266E-3</v>
      </c>
      <c r="G1822">
        <f t="shared" si="282"/>
        <v>0</v>
      </c>
      <c r="H1822">
        <f t="shared" si="283"/>
        <v>11</v>
      </c>
      <c r="I1822">
        <f t="shared" si="284"/>
        <v>44</v>
      </c>
      <c r="J1822">
        <f t="shared" si="285"/>
        <v>704</v>
      </c>
      <c r="K1822">
        <f t="shared" si="286"/>
        <v>12</v>
      </c>
      <c r="L1822">
        <f t="shared" si="287"/>
        <v>615758</v>
      </c>
      <c r="M1822">
        <f t="shared" si="288"/>
        <v>200584</v>
      </c>
      <c r="N1822">
        <f t="shared" si="289"/>
        <v>864342</v>
      </c>
      <c r="O1822">
        <f>IF(B1822="zagraniczny",K1822+O1821,O1821)</f>
        <v>786</v>
      </c>
    </row>
    <row r="1823" spans="1:15" x14ac:dyDescent="0.25">
      <c r="A1823">
        <v>9489003225</v>
      </c>
      <c r="B1823" t="str">
        <f t="shared" si="280"/>
        <v>zagraniczny</v>
      </c>
      <c r="C1823" s="1">
        <v>42942</v>
      </c>
      <c r="D1823" s="2">
        <v>0.57263888888888892</v>
      </c>
      <c r="E1823" s="2">
        <v>0.57309027777777777</v>
      </c>
      <c r="F1823" s="2">
        <f t="shared" si="281"/>
        <v>4.5138888888884843E-4</v>
      </c>
      <c r="G1823">
        <f t="shared" si="282"/>
        <v>0</v>
      </c>
      <c r="H1823">
        <f t="shared" si="283"/>
        <v>0</v>
      </c>
      <c r="I1823">
        <f t="shared" si="284"/>
        <v>39</v>
      </c>
      <c r="J1823">
        <f t="shared" si="285"/>
        <v>39</v>
      </c>
      <c r="K1823">
        <f t="shared" si="286"/>
        <v>1</v>
      </c>
      <c r="L1823">
        <f t="shared" si="287"/>
        <v>615758</v>
      </c>
      <c r="M1823">
        <f t="shared" si="288"/>
        <v>200584</v>
      </c>
      <c r="N1823">
        <f t="shared" si="289"/>
        <v>864342</v>
      </c>
      <c r="O1823">
        <f>IF(B1823="zagraniczny",K1823+O1822,O1822)</f>
        <v>787</v>
      </c>
    </row>
    <row r="1824" spans="1:15" x14ac:dyDescent="0.25">
      <c r="A1824">
        <v>6897893</v>
      </c>
      <c r="B1824" t="str">
        <f t="shared" si="280"/>
        <v>stacjonarny</v>
      </c>
      <c r="C1824" s="1">
        <v>42942</v>
      </c>
      <c r="D1824" s="2">
        <v>0.57662037037037039</v>
      </c>
      <c r="E1824" s="2">
        <v>0.58204861111111106</v>
      </c>
      <c r="F1824" s="2">
        <f t="shared" si="281"/>
        <v>5.4282407407406641E-3</v>
      </c>
      <c r="G1824">
        <f t="shared" si="282"/>
        <v>0</v>
      </c>
      <c r="H1824">
        <f t="shared" si="283"/>
        <v>7</v>
      </c>
      <c r="I1824">
        <f t="shared" si="284"/>
        <v>49</v>
      </c>
      <c r="J1824">
        <f t="shared" si="285"/>
        <v>469</v>
      </c>
      <c r="K1824">
        <f t="shared" si="286"/>
        <v>8</v>
      </c>
      <c r="L1824">
        <f t="shared" si="287"/>
        <v>616227</v>
      </c>
      <c r="M1824">
        <f t="shared" si="288"/>
        <v>200584</v>
      </c>
      <c r="N1824">
        <f t="shared" si="289"/>
        <v>864811</v>
      </c>
      <c r="O1824">
        <f>IF(B1824="zagraniczny",K1824+O1823,O1823)</f>
        <v>787</v>
      </c>
    </row>
    <row r="1825" spans="1:15" x14ac:dyDescent="0.25">
      <c r="A1825">
        <v>9759222</v>
      </c>
      <c r="B1825" t="str">
        <f t="shared" si="280"/>
        <v>stacjonarny</v>
      </c>
      <c r="C1825" s="1">
        <v>42942</v>
      </c>
      <c r="D1825" s="2">
        <v>0.58021990740740736</v>
      </c>
      <c r="E1825" s="2">
        <v>0.58726851851851847</v>
      </c>
      <c r="F1825" s="2">
        <f t="shared" si="281"/>
        <v>7.0486111111111027E-3</v>
      </c>
      <c r="G1825">
        <f t="shared" si="282"/>
        <v>0</v>
      </c>
      <c r="H1825">
        <f t="shared" si="283"/>
        <v>10</v>
      </c>
      <c r="I1825">
        <f t="shared" si="284"/>
        <v>9</v>
      </c>
      <c r="J1825">
        <f t="shared" si="285"/>
        <v>609</v>
      </c>
      <c r="K1825">
        <f t="shared" si="286"/>
        <v>11</v>
      </c>
      <c r="L1825">
        <f t="shared" si="287"/>
        <v>616836</v>
      </c>
      <c r="M1825">
        <f t="shared" si="288"/>
        <v>200584</v>
      </c>
      <c r="N1825">
        <f t="shared" si="289"/>
        <v>865420</v>
      </c>
      <c r="O1825">
        <f>IF(B1825="zagraniczny",K1825+O1824,O1824)</f>
        <v>787</v>
      </c>
    </row>
    <row r="1826" spans="1:15" x14ac:dyDescent="0.25">
      <c r="A1826">
        <v>39793981</v>
      </c>
      <c r="B1826" t="str">
        <f t="shared" si="280"/>
        <v>komorkowy</v>
      </c>
      <c r="C1826" s="1">
        <v>42942</v>
      </c>
      <c r="D1826" s="2">
        <v>0.58101851851851849</v>
      </c>
      <c r="E1826" s="2">
        <v>0.58164351851851848</v>
      </c>
      <c r="F1826" s="2">
        <f t="shared" si="281"/>
        <v>6.2499999999998668E-4</v>
      </c>
      <c r="G1826">
        <f t="shared" si="282"/>
        <v>0</v>
      </c>
      <c r="H1826">
        <f t="shared" si="283"/>
        <v>0</v>
      </c>
      <c r="I1826">
        <f t="shared" si="284"/>
        <v>54</v>
      </c>
      <c r="J1826">
        <f t="shared" si="285"/>
        <v>54</v>
      </c>
      <c r="K1826">
        <f t="shared" si="286"/>
        <v>1</v>
      </c>
      <c r="L1826">
        <f t="shared" si="287"/>
        <v>616836</v>
      </c>
      <c r="M1826">
        <f t="shared" si="288"/>
        <v>200638</v>
      </c>
      <c r="N1826">
        <f t="shared" si="289"/>
        <v>865474</v>
      </c>
      <c r="O1826">
        <f>IF(B1826="zagraniczny",K1826+O1825,O1825)</f>
        <v>787</v>
      </c>
    </row>
    <row r="1827" spans="1:15" x14ac:dyDescent="0.25">
      <c r="A1827">
        <v>3759991</v>
      </c>
      <c r="B1827" t="str">
        <f t="shared" si="280"/>
        <v>stacjonarny</v>
      </c>
      <c r="C1827" s="1">
        <v>42942</v>
      </c>
      <c r="D1827" s="2">
        <v>0.58408564814814812</v>
      </c>
      <c r="E1827" s="2">
        <v>0.58677083333333335</v>
      </c>
      <c r="F1827" s="2">
        <f t="shared" si="281"/>
        <v>2.6851851851852349E-3</v>
      </c>
      <c r="G1827">
        <f t="shared" si="282"/>
        <v>0</v>
      </c>
      <c r="H1827">
        <f t="shared" si="283"/>
        <v>3</v>
      </c>
      <c r="I1827">
        <f t="shared" si="284"/>
        <v>52</v>
      </c>
      <c r="J1827">
        <f t="shared" si="285"/>
        <v>232</v>
      </c>
      <c r="K1827">
        <f t="shared" si="286"/>
        <v>4</v>
      </c>
      <c r="L1827">
        <f t="shared" si="287"/>
        <v>617068</v>
      </c>
      <c r="M1827">
        <f t="shared" si="288"/>
        <v>200638</v>
      </c>
      <c r="N1827">
        <f t="shared" si="289"/>
        <v>865706</v>
      </c>
      <c r="O1827">
        <f>IF(B1827="zagraniczny",K1827+O1826,O1826)</f>
        <v>787</v>
      </c>
    </row>
    <row r="1828" spans="1:15" x14ac:dyDescent="0.25">
      <c r="A1828">
        <v>37838778</v>
      </c>
      <c r="B1828" t="str">
        <f t="shared" si="280"/>
        <v>komorkowy</v>
      </c>
      <c r="C1828" s="1">
        <v>42942</v>
      </c>
      <c r="D1828" s="2">
        <v>0.58770833333333339</v>
      </c>
      <c r="E1828" s="2">
        <v>0.59591435185185182</v>
      </c>
      <c r="F1828" s="2">
        <f t="shared" si="281"/>
        <v>8.206018518518432E-3</v>
      </c>
      <c r="G1828">
        <f t="shared" si="282"/>
        <v>0</v>
      </c>
      <c r="H1828">
        <f t="shared" si="283"/>
        <v>11</v>
      </c>
      <c r="I1828">
        <f t="shared" si="284"/>
        <v>49</v>
      </c>
      <c r="J1828">
        <f t="shared" si="285"/>
        <v>709</v>
      </c>
      <c r="K1828">
        <f t="shared" si="286"/>
        <v>12</v>
      </c>
      <c r="L1828">
        <f t="shared" si="287"/>
        <v>617068</v>
      </c>
      <c r="M1828">
        <f t="shared" si="288"/>
        <v>201347</v>
      </c>
      <c r="N1828">
        <f t="shared" si="289"/>
        <v>866415</v>
      </c>
      <c r="O1828">
        <f>IF(B1828="zagraniczny",K1828+O1827,O1827)</f>
        <v>787</v>
      </c>
    </row>
    <row r="1829" spans="1:15" x14ac:dyDescent="0.25">
      <c r="A1829">
        <v>3785540</v>
      </c>
      <c r="B1829" t="str">
        <f t="shared" si="280"/>
        <v>stacjonarny</v>
      </c>
      <c r="C1829" s="1">
        <v>42942</v>
      </c>
      <c r="D1829" s="2">
        <v>0.59261574074074075</v>
      </c>
      <c r="E1829" s="2">
        <v>0.60343749999999996</v>
      </c>
      <c r="F1829" s="2">
        <f t="shared" si="281"/>
        <v>1.0821759259259212E-2</v>
      </c>
      <c r="G1829">
        <f t="shared" si="282"/>
        <v>0</v>
      </c>
      <c r="H1829">
        <f t="shared" si="283"/>
        <v>15</v>
      </c>
      <c r="I1829">
        <f t="shared" si="284"/>
        <v>35</v>
      </c>
      <c r="J1829">
        <f t="shared" si="285"/>
        <v>935</v>
      </c>
      <c r="K1829">
        <f t="shared" si="286"/>
        <v>16</v>
      </c>
      <c r="L1829">
        <f t="shared" si="287"/>
        <v>618003</v>
      </c>
      <c r="M1829">
        <f t="shared" si="288"/>
        <v>201347</v>
      </c>
      <c r="N1829">
        <f t="shared" si="289"/>
        <v>867350</v>
      </c>
      <c r="O1829">
        <f>IF(B1829="zagraniczny",K1829+O1828,O1828)</f>
        <v>787</v>
      </c>
    </row>
    <row r="1830" spans="1:15" x14ac:dyDescent="0.25">
      <c r="A1830">
        <v>9689833</v>
      </c>
      <c r="B1830" t="str">
        <f t="shared" si="280"/>
        <v>stacjonarny</v>
      </c>
      <c r="C1830" s="1">
        <v>42942</v>
      </c>
      <c r="D1830" s="2">
        <v>0.5932291666666667</v>
      </c>
      <c r="E1830" s="2">
        <v>0.59943287037037041</v>
      </c>
      <c r="F1830" s="2">
        <f t="shared" si="281"/>
        <v>6.2037037037037113E-3</v>
      </c>
      <c r="G1830">
        <f t="shared" si="282"/>
        <v>0</v>
      </c>
      <c r="H1830">
        <f t="shared" si="283"/>
        <v>8</v>
      </c>
      <c r="I1830">
        <f t="shared" si="284"/>
        <v>56</v>
      </c>
      <c r="J1830">
        <f t="shared" si="285"/>
        <v>536</v>
      </c>
      <c r="K1830">
        <f t="shared" si="286"/>
        <v>9</v>
      </c>
      <c r="L1830">
        <f t="shared" si="287"/>
        <v>618539</v>
      </c>
      <c r="M1830">
        <f t="shared" si="288"/>
        <v>201347</v>
      </c>
      <c r="N1830">
        <f t="shared" si="289"/>
        <v>867886</v>
      </c>
      <c r="O1830">
        <f>IF(B1830="zagraniczny",K1830+O1829,O1829)</f>
        <v>787</v>
      </c>
    </row>
    <row r="1831" spans="1:15" x14ac:dyDescent="0.25">
      <c r="A1831">
        <v>8136309</v>
      </c>
      <c r="B1831" t="str">
        <f t="shared" si="280"/>
        <v>stacjonarny</v>
      </c>
      <c r="C1831" s="1">
        <v>42942</v>
      </c>
      <c r="D1831" s="2">
        <v>0.59876157407407404</v>
      </c>
      <c r="E1831" s="2">
        <v>0.60951388888888891</v>
      </c>
      <c r="F1831" s="2">
        <f t="shared" si="281"/>
        <v>1.0752314814814867E-2</v>
      </c>
      <c r="G1831">
        <f t="shared" si="282"/>
        <v>0</v>
      </c>
      <c r="H1831">
        <f t="shared" si="283"/>
        <v>15</v>
      </c>
      <c r="I1831">
        <f t="shared" si="284"/>
        <v>29</v>
      </c>
      <c r="J1831">
        <f t="shared" si="285"/>
        <v>929</v>
      </c>
      <c r="K1831">
        <f t="shared" si="286"/>
        <v>16</v>
      </c>
      <c r="L1831">
        <f t="shared" si="287"/>
        <v>619468</v>
      </c>
      <c r="M1831">
        <f t="shared" si="288"/>
        <v>201347</v>
      </c>
      <c r="N1831">
        <f t="shared" si="289"/>
        <v>868815</v>
      </c>
      <c r="O1831">
        <f>IF(B1831="zagraniczny",K1831+O1830,O1830)</f>
        <v>787</v>
      </c>
    </row>
    <row r="1832" spans="1:15" x14ac:dyDescent="0.25">
      <c r="A1832">
        <v>1177203</v>
      </c>
      <c r="B1832" t="str">
        <f t="shared" si="280"/>
        <v>stacjonarny</v>
      </c>
      <c r="C1832" s="1">
        <v>42942</v>
      </c>
      <c r="D1832" s="2">
        <v>0.60384259259259254</v>
      </c>
      <c r="E1832" s="2">
        <v>0.60452546296296295</v>
      </c>
      <c r="F1832" s="2">
        <f t="shared" si="281"/>
        <v>6.828703703704031E-4</v>
      </c>
      <c r="G1832">
        <f t="shared" si="282"/>
        <v>0</v>
      </c>
      <c r="H1832">
        <f t="shared" si="283"/>
        <v>0</v>
      </c>
      <c r="I1832">
        <f t="shared" si="284"/>
        <v>59</v>
      </c>
      <c r="J1832">
        <f t="shared" si="285"/>
        <v>59</v>
      </c>
      <c r="K1832">
        <f t="shared" si="286"/>
        <v>1</v>
      </c>
      <c r="L1832">
        <f t="shared" si="287"/>
        <v>619527</v>
      </c>
      <c r="M1832">
        <f t="shared" si="288"/>
        <v>201347</v>
      </c>
      <c r="N1832">
        <f t="shared" si="289"/>
        <v>868874</v>
      </c>
      <c r="O1832">
        <f>IF(B1832="zagraniczny",K1832+O1831,O1831)</f>
        <v>787</v>
      </c>
    </row>
    <row r="1833" spans="1:15" x14ac:dyDescent="0.25">
      <c r="A1833">
        <v>6060835</v>
      </c>
      <c r="B1833" t="str">
        <f t="shared" si="280"/>
        <v>stacjonarny</v>
      </c>
      <c r="C1833" s="1">
        <v>42942</v>
      </c>
      <c r="D1833" s="2">
        <v>0.60623842592592592</v>
      </c>
      <c r="E1833" s="2">
        <v>0.61055555555555552</v>
      </c>
      <c r="F1833" s="2">
        <f t="shared" si="281"/>
        <v>4.3171296296296013E-3</v>
      </c>
      <c r="G1833">
        <f t="shared" si="282"/>
        <v>0</v>
      </c>
      <c r="H1833">
        <f t="shared" si="283"/>
        <v>6</v>
      </c>
      <c r="I1833">
        <f t="shared" si="284"/>
        <v>13</v>
      </c>
      <c r="J1833">
        <f t="shared" si="285"/>
        <v>373</v>
      </c>
      <c r="K1833">
        <f t="shared" si="286"/>
        <v>7</v>
      </c>
      <c r="L1833">
        <f t="shared" si="287"/>
        <v>619900</v>
      </c>
      <c r="M1833">
        <f t="shared" si="288"/>
        <v>201347</v>
      </c>
      <c r="N1833">
        <f t="shared" si="289"/>
        <v>869247</v>
      </c>
      <c r="O1833">
        <f>IF(B1833="zagraniczny",K1833+O1832,O1832)</f>
        <v>787</v>
      </c>
    </row>
    <row r="1834" spans="1:15" x14ac:dyDescent="0.25">
      <c r="A1834">
        <v>8534481</v>
      </c>
      <c r="B1834" t="str">
        <f t="shared" si="280"/>
        <v>stacjonarny</v>
      </c>
      <c r="C1834" s="1">
        <v>42942</v>
      </c>
      <c r="D1834" s="2">
        <v>0.60950231481481476</v>
      </c>
      <c r="E1834" s="2">
        <v>0.61940972222222224</v>
      </c>
      <c r="F1834" s="2">
        <f t="shared" si="281"/>
        <v>9.9074074074074758E-3</v>
      </c>
      <c r="G1834">
        <f t="shared" si="282"/>
        <v>0</v>
      </c>
      <c r="H1834">
        <f t="shared" si="283"/>
        <v>14</v>
      </c>
      <c r="I1834">
        <f t="shared" si="284"/>
        <v>16</v>
      </c>
      <c r="J1834">
        <f t="shared" si="285"/>
        <v>856</v>
      </c>
      <c r="K1834">
        <f t="shared" si="286"/>
        <v>15</v>
      </c>
      <c r="L1834">
        <f t="shared" si="287"/>
        <v>620756</v>
      </c>
      <c r="M1834">
        <f t="shared" si="288"/>
        <v>201347</v>
      </c>
      <c r="N1834">
        <f t="shared" si="289"/>
        <v>870103</v>
      </c>
      <c r="O1834">
        <f>IF(B1834="zagraniczny",K1834+O1833,O1833)</f>
        <v>787</v>
      </c>
    </row>
    <row r="1835" spans="1:15" x14ac:dyDescent="0.25">
      <c r="A1835">
        <v>4959594</v>
      </c>
      <c r="B1835" t="str">
        <f t="shared" si="280"/>
        <v>stacjonarny</v>
      </c>
      <c r="C1835" s="1">
        <v>42942</v>
      </c>
      <c r="D1835" s="2">
        <v>0.61371527777777779</v>
      </c>
      <c r="E1835" s="2">
        <v>0.6235532407407407</v>
      </c>
      <c r="F1835" s="2">
        <f t="shared" si="281"/>
        <v>9.8379629629629095E-3</v>
      </c>
      <c r="G1835">
        <f t="shared" si="282"/>
        <v>0</v>
      </c>
      <c r="H1835">
        <f t="shared" si="283"/>
        <v>14</v>
      </c>
      <c r="I1835">
        <f t="shared" si="284"/>
        <v>10</v>
      </c>
      <c r="J1835">
        <f t="shared" si="285"/>
        <v>850</v>
      </c>
      <c r="K1835">
        <f t="shared" si="286"/>
        <v>15</v>
      </c>
      <c r="L1835">
        <f t="shared" si="287"/>
        <v>621606</v>
      </c>
      <c r="M1835">
        <f t="shared" si="288"/>
        <v>201347</v>
      </c>
      <c r="N1835">
        <f t="shared" si="289"/>
        <v>870953</v>
      </c>
      <c r="O1835">
        <f>IF(B1835="zagraniczny",K1835+O1834,O1834)</f>
        <v>787</v>
      </c>
    </row>
    <row r="1836" spans="1:15" x14ac:dyDescent="0.25">
      <c r="A1836">
        <v>1047809</v>
      </c>
      <c r="B1836" t="str">
        <f t="shared" si="280"/>
        <v>stacjonarny</v>
      </c>
      <c r="C1836" s="1">
        <v>42942</v>
      </c>
      <c r="D1836" s="2">
        <v>0.61724537037037042</v>
      </c>
      <c r="E1836" s="2">
        <v>0.62866898148148154</v>
      </c>
      <c r="F1836" s="2">
        <f t="shared" si="281"/>
        <v>1.142361111111112E-2</v>
      </c>
      <c r="G1836">
        <f t="shared" si="282"/>
        <v>0</v>
      </c>
      <c r="H1836">
        <f t="shared" si="283"/>
        <v>16</v>
      </c>
      <c r="I1836">
        <f t="shared" si="284"/>
        <v>27</v>
      </c>
      <c r="J1836">
        <f t="shared" si="285"/>
        <v>987</v>
      </c>
      <c r="K1836">
        <f t="shared" si="286"/>
        <v>17</v>
      </c>
      <c r="L1836">
        <f t="shared" si="287"/>
        <v>622593</v>
      </c>
      <c r="M1836">
        <f t="shared" si="288"/>
        <v>201347</v>
      </c>
      <c r="N1836">
        <f t="shared" si="289"/>
        <v>871940</v>
      </c>
      <c r="O1836">
        <f>IF(B1836="zagraniczny",K1836+O1835,O1835)</f>
        <v>787</v>
      </c>
    </row>
    <row r="1837" spans="1:15" x14ac:dyDescent="0.25">
      <c r="A1837">
        <v>3437033</v>
      </c>
      <c r="B1837" t="str">
        <f t="shared" si="280"/>
        <v>stacjonarny</v>
      </c>
      <c r="C1837" s="1">
        <v>42942</v>
      </c>
      <c r="D1837" s="2">
        <v>0.62089120370370365</v>
      </c>
      <c r="E1837" s="2">
        <v>0.62159722222222225</v>
      </c>
      <c r="F1837" s="2">
        <f t="shared" si="281"/>
        <v>7.0601851851859188E-4</v>
      </c>
      <c r="G1837">
        <f t="shared" si="282"/>
        <v>0</v>
      </c>
      <c r="H1837">
        <f t="shared" si="283"/>
        <v>1</v>
      </c>
      <c r="I1837">
        <f t="shared" si="284"/>
        <v>1</v>
      </c>
      <c r="J1837">
        <f t="shared" si="285"/>
        <v>61</v>
      </c>
      <c r="K1837">
        <f t="shared" si="286"/>
        <v>2</v>
      </c>
      <c r="L1837">
        <f t="shared" si="287"/>
        <v>622654</v>
      </c>
      <c r="M1837">
        <f t="shared" si="288"/>
        <v>201347</v>
      </c>
      <c r="N1837">
        <f t="shared" si="289"/>
        <v>872001</v>
      </c>
      <c r="O1837">
        <f>IF(B1837="zagraniczny",K1837+O1836,O1836)</f>
        <v>787</v>
      </c>
    </row>
    <row r="1838" spans="1:15" x14ac:dyDescent="0.25">
      <c r="A1838">
        <v>6801890</v>
      </c>
      <c r="B1838" t="str">
        <f t="shared" si="280"/>
        <v>stacjonarny</v>
      </c>
      <c r="C1838" s="1">
        <v>42942</v>
      </c>
      <c r="D1838" s="2">
        <v>0.62467592592592591</v>
      </c>
      <c r="E1838" s="2">
        <v>0.62690972222222219</v>
      </c>
      <c r="F1838" s="2">
        <f t="shared" si="281"/>
        <v>2.2337962962962754E-3</v>
      </c>
      <c r="G1838">
        <f t="shared" si="282"/>
        <v>0</v>
      </c>
      <c r="H1838">
        <f t="shared" si="283"/>
        <v>3</v>
      </c>
      <c r="I1838">
        <f t="shared" si="284"/>
        <v>13</v>
      </c>
      <c r="J1838">
        <f t="shared" si="285"/>
        <v>193</v>
      </c>
      <c r="K1838">
        <f t="shared" si="286"/>
        <v>4</v>
      </c>
      <c r="L1838">
        <f t="shared" si="287"/>
        <v>622847</v>
      </c>
      <c r="M1838">
        <f t="shared" si="288"/>
        <v>201347</v>
      </c>
      <c r="N1838">
        <f t="shared" si="289"/>
        <v>872194</v>
      </c>
      <c r="O1838">
        <f>IF(B1838="zagraniczny",K1838+O1837,O1837)</f>
        <v>787</v>
      </c>
    </row>
    <row r="1839" spans="1:15" x14ac:dyDescent="0.25">
      <c r="A1839">
        <v>2604004</v>
      </c>
      <c r="B1839" t="str">
        <f t="shared" si="280"/>
        <v>stacjonarny</v>
      </c>
      <c r="C1839" s="1">
        <v>42942</v>
      </c>
      <c r="D1839" s="2">
        <v>0.6277314814814815</v>
      </c>
      <c r="E1839" s="2">
        <v>0.63423611111111111</v>
      </c>
      <c r="F1839" s="2">
        <f t="shared" si="281"/>
        <v>6.5046296296296102E-3</v>
      </c>
      <c r="G1839">
        <f t="shared" si="282"/>
        <v>0</v>
      </c>
      <c r="H1839">
        <f t="shared" si="283"/>
        <v>9</v>
      </c>
      <c r="I1839">
        <f t="shared" si="284"/>
        <v>22</v>
      </c>
      <c r="J1839">
        <f t="shared" si="285"/>
        <v>562</v>
      </c>
      <c r="K1839">
        <f t="shared" si="286"/>
        <v>10</v>
      </c>
      <c r="L1839">
        <f t="shared" si="287"/>
        <v>623409</v>
      </c>
      <c r="M1839">
        <f t="shared" si="288"/>
        <v>201347</v>
      </c>
      <c r="N1839">
        <f t="shared" si="289"/>
        <v>872756</v>
      </c>
      <c r="O1839">
        <f>IF(B1839="zagraniczny",K1839+O1838,O1838)</f>
        <v>787</v>
      </c>
    </row>
    <row r="1840" spans="1:15" x14ac:dyDescent="0.25">
      <c r="A1840">
        <v>4379524</v>
      </c>
      <c r="B1840" t="str">
        <f t="shared" si="280"/>
        <v>stacjonarny</v>
      </c>
      <c r="C1840" s="1">
        <v>42943</v>
      </c>
      <c r="D1840" s="2">
        <v>0.33751157407407406</v>
      </c>
      <c r="E1840" s="2">
        <v>0.33754629629629629</v>
      </c>
      <c r="F1840" s="2">
        <f t="shared" si="281"/>
        <v>3.472222222222765E-5</v>
      </c>
      <c r="G1840">
        <f t="shared" si="282"/>
        <v>0</v>
      </c>
      <c r="H1840">
        <f t="shared" si="283"/>
        <v>0</v>
      </c>
      <c r="I1840">
        <f t="shared" si="284"/>
        <v>3</v>
      </c>
      <c r="J1840">
        <f t="shared" si="285"/>
        <v>3</v>
      </c>
      <c r="K1840">
        <f t="shared" si="286"/>
        <v>1</v>
      </c>
      <c r="L1840">
        <f t="shared" si="287"/>
        <v>623412</v>
      </c>
      <c r="M1840">
        <f t="shared" si="288"/>
        <v>201347</v>
      </c>
      <c r="N1840">
        <f t="shared" si="289"/>
        <v>872759</v>
      </c>
      <c r="O1840">
        <f>IF(B1840="zagraniczny",K1840+O1839,O1839)</f>
        <v>787</v>
      </c>
    </row>
    <row r="1841" spans="1:15" x14ac:dyDescent="0.25">
      <c r="A1841">
        <v>12377650</v>
      </c>
      <c r="B1841" t="str">
        <f t="shared" si="280"/>
        <v>komorkowy</v>
      </c>
      <c r="C1841" s="1">
        <v>42943</v>
      </c>
      <c r="D1841" s="2">
        <v>0.33943287037037034</v>
      </c>
      <c r="E1841" s="2">
        <v>0.34292824074074074</v>
      </c>
      <c r="F1841" s="2">
        <f t="shared" si="281"/>
        <v>3.4953703703703987E-3</v>
      </c>
      <c r="G1841">
        <f t="shared" si="282"/>
        <v>0</v>
      </c>
      <c r="H1841">
        <f t="shared" si="283"/>
        <v>5</v>
      </c>
      <c r="I1841">
        <f t="shared" si="284"/>
        <v>2</v>
      </c>
      <c r="J1841">
        <f t="shared" si="285"/>
        <v>302</v>
      </c>
      <c r="K1841">
        <f t="shared" si="286"/>
        <v>6</v>
      </c>
      <c r="L1841">
        <f t="shared" si="287"/>
        <v>623412</v>
      </c>
      <c r="M1841">
        <f t="shared" si="288"/>
        <v>201649</v>
      </c>
      <c r="N1841">
        <f t="shared" si="289"/>
        <v>873061</v>
      </c>
      <c r="O1841">
        <f>IF(B1841="zagraniczny",K1841+O1840,O1840)</f>
        <v>787</v>
      </c>
    </row>
    <row r="1842" spans="1:15" x14ac:dyDescent="0.25">
      <c r="A1842">
        <v>77869622</v>
      </c>
      <c r="B1842" t="str">
        <f t="shared" si="280"/>
        <v>komorkowy</v>
      </c>
      <c r="C1842" s="1">
        <v>42943</v>
      </c>
      <c r="D1842" s="2">
        <v>0.34219907407407407</v>
      </c>
      <c r="E1842" s="2">
        <v>0.35170138888888891</v>
      </c>
      <c r="F1842" s="2">
        <f t="shared" si="281"/>
        <v>9.5023148148148384E-3</v>
      </c>
      <c r="G1842">
        <f t="shared" si="282"/>
        <v>0</v>
      </c>
      <c r="H1842">
        <f t="shared" si="283"/>
        <v>13</v>
      </c>
      <c r="I1842">
        <f t="shared" si="284"/>
        <v>41</v>
      </c>
      <c r="J1842">
        <f t="shared" si="285"/>
        <v>821</v>
      </c>
      <c r="K1842">
        <f t="shared" si="286"/>
        <v>14</v>
      </c>
      <c r="L1842">
        <f t="shared" si="287"/>
        <v>623412</v>
      </c>
      <c r="M1842">
        <f t="shared" si="288"/>
        <v>202470</v>
      </c>
      <c r="N1842">
        <f t="shared" si="289"/>
        <v>873882</v>
      </c>
      <c r="O1842">
        <f>IF(B1842="zagraniczny",K1842+O1841,O1841)</f>
        <v>787</v>
      </c>
    </row>
    <row r="1843" spans="1:15" x14ac:dyDescent="0.25">
      <c r="A1843">
        <v>3414247278</v>
      </c>
      <c r="B1843" t="str">
        <f t="shared" si="280"/>
        <v>zagraniczny</v>
      </c>
      <c r="C1843" s="1">
        <v>42943</v>
      </c>
      <c r="D1843" s="2">
        <v>0.34658564814814813</v>
      </c>
      <c r="E1843" s="2">
        <v>0.34666666666666668</v>
      </c>
      <c r="F1843" s="2">
        <f t="shared" si="281"/>
        <v>8.1018518518549687E-5</v>
      </c>
      <c r="G1843">
        <f t="shared" si="282"/>
        <v>0</v>
      </c>
      <c r="H1843">
        <f t="shared" si="283"/>
        <v>0</v>
      </c>
      <c r="I1843">
        <f t="shared" si="284"/>
        <v>7</v>
      </c>
      <c r="J1843">
        <f t="shared" si="285"/>
        <v>7</v>
      </c>
      <c r="K1843">
        <f t="shared" si="286"/>
        <v>1</v>
      </c>
      <c r="L1843">
        <f t="shared" si="287"/>
        <v>623412</v>
      </c>
      <c r="M1843">
        <f t="shared" si="288"/>
        <v>202470</v>
      </c>
      <c r="N1843">
        <f t="shared" si="289"/>
        <v>873882</v>
      </c>
      <c r="O1843">
        <f>IF(B1843="zagraniczny",K1843+O1842,O1842)</f>
        <v>788</v>
      </c>
    </row>
    <row r="1844" spans="1:15" x14ac:dyDescent="0.25">
      <c r="A1844">
        <v>5839324907</v>
      </c>
      <c r="B1844" t="str">
        <f t="shared" si="280"/>
        <v>zagraniczny</v>
      </c>
      <c r="C1844" s="1">
        <v>42943</v>
      </c>
      <c r="D1844" s="2">
        <v>0.3490509259259259</v>
      </c>
      <c r="E1844" s="2">
        <v>0.35481481481481481</v>
      </c>
      <c r="F1844" s="2">
        <f t="shared" si="281"/>
        <v>5.7638888888889017E-3</v>
      </c>
      <c r="G1844">
        <f t="shared" si="282"/>
        <v>0</v>
      </c>
      <c r="H1844">
        <f t="shared" si="283"/>
        <v>8</v>
      </c>
      <c r="I1844">
        <f t="shared" si="284"/>
        <v>18</v>
      </c>
      <c r="J1844">
        <f t="shared" si="285"/>
        <v>498</v>
      </c>
      <c r="K1844">
        <f t="shared" si="286"/>
        <v>9</v>
      </c>
      <c r="L1844">
        <f t="shared" si="287"/>
        <v>623412</v>
      </c>
      <c r="M1844">
        <f t="shared" si="288"/>
        <v>202470</v>
      </c>
      <c r="N1844">
        <f t="shared" si="289"/>
        <v>873882</v>
      </c>
      <c r="O1844">
        <f>IF(B1844="zagraniczny",K1844+O1843,O1843)</f>
        <v>797</v>
      </c>
    </row>
    <row r="1845" spans="1:15" x14ac:dyDescent="0.25">
      <c r="A1845">
        <v>4852863</v>
      </c>
      <c r="B1845" t="str">
        <f t="shared" si="280"/>
        <v>stacjonarny</v>
      </c>
      <c r="C1845" s="1">
        <v>42943</v>
      </c>
      <c r="D1845" s="2">
        <v>0.34975694444444444</v>
      </c>
      <c r="E1845" s="2">
        <v>0.35971064814814813</v>
      </c>
      <c r="F1845" s="2">
        <f t="shared" si="281"/>
        <v>9.9537037037036868E-3</v>
      </c>
      <c r="G1845">
        <f t="shared" si="282"/>
        <v>0</v>
      </c>
      <c r="H1845">
        <f t="shared" si="283"/>
        <v>14</v>
      </c>
      <c r="I1845">
        <f t="shared" si="284"/>
        <v>20</v>
      </c>
      <c r="J1845">
        <f t="shared" si="285"/>
        <v>860</v>
      </c>
      <c r="K1845">
        <f t="shared" si="286"/>
        <v>15</v>
      </c>
      <c r="L1845">
        <f t="shared" si="287"/>
        <v>624272</v>
      </c>
      <c r="M1845">
        <f t="shared" si="288"/>
        <v>202470</v>
      </c>
      <c r="N1845">
        <f t="shared" si="289"/>
        <v>874742</v>
      </c>
      <c r="O1845">
        <f>IF(B1845="zagraniczny",K1845+O1844,O1844)</f>
        <v>797</v>
      </c>
    </row>
    <row r="1846" spans="1:15" x14ac:dyDescent="0.25">
      <c r="A1846">
        <v>3245936</v>
      </c>
      <c r="B1846" t="str">
        <f t="shared" si="280"/>
        <v>stacjonarny</v>
      </c>
      <c r="C1846" s="1">
        <v>42943</v>
      </c>
      <c r="D1846" s="2">
        <v>0.35116898148148146</v>
      </c>
      <c r="E1846" s="2">
        <v>0.35408564814814814</v>
      </c>
      <c r="F1846" s="2">
        <f t="shared" si="281"/>
        <v>2.9166666666666785E-3</v>
      </c>
      <c r="G1846">
        <f t="shared" si="282"/>
        <v>0</v>
      </c>
      <c r="H1846">
        <f t="shared" si="283"/>
        <v>4</v>
      </c>
      <c r="I1846">
        <f t="shared" si="284"/>
        <v>12</v>
      </c>
      <c r="J1846">
        <f t="shared" si="285"/>
        <v>252</v>
      </c>
      <c r="K1846">
        <f t="shared" si="286"/>
        <v>5</v>
      </c>
      <c r="L1846">
        <f t="shared" si="287"/>
        <v>624524</v>
      </c>
      <c r="M1846">
        <f t="shared" si="288"/>
        <v>202470</v>
      </c>
      <c r="N1846">
        <f t="shared" si="289"/>
        <v>874994</v>
      </c>
      <c r="O1846">
        <f>IF(B1846="zagraniczny",K1846+O1845,O1845)</f>
        <v>797</v>
      </c>
    </row>
    <row r="1847" spans="1:15" x14ac:dyDescent="0.25">
      <c r="A1847">
        <v>6674505</v>
      </c>
      <c r="B1847" t="str">
        <f t="shared" si="280"/>
        <v>stacjonarny</v>
      </c>
      <c r="C1847" s="1">
        <v>42943</v>
      </c>
      <c r="D1847" s="2">
        <v>0.35136574074074073</v>
      </c>
      <c r="E1847" s="2">
        <v>0.35390046296296296</v>
      </c>
      <c r="F1847" s="2">
        <f t="shared" si="281"/>
        <v>2.5347222222222299E-3</v>
      </c>
      <c r="G1847">
        <f t="shared" si="282"/>
        <v>0</v>
      </c>
      <c r="H1847">
        <f t="shared" si="283"/>
        <v>3</v>
      </c>
      <c r="I1847">
        <f t="shared" si="284"/>
        <v>39</v>
      </c>
      <c r="J1847">
        <f t="shared" si="285"/>
        <v>219</v>
      </c>
      <c r="K1847">
        <f t="shared" si="286"/>
        <v>4</v>
      </c>
      <c r="L1847">
        <f t="shared" si="287"/>
        <v>624743</v>
      </c>
      <c r="M1847">
        <f t="shared" si="288"/>
        <v>202470</v>
      </c>
      <c r="N1847">
        <f t="shared" si="289"/>
        <v>875213</v>
      </c>
      <c r="O1847">
        <f>IF(B1847="zagraniczny",K1847+O1846,O1846)</f>
        <v>797</v>
      </c>
    </row>
    <row r="1848" spans="1:15" x14ac:dyDescent="0.25">
      <c r="A1848">
        <v>9591892</v>
      </c>
      <c r="B1848" t="str">
        <f t="shared" si="280"/>
        <v>stacjonarny</v>
      </c>
      <c r="C1848" s="1">
        <v>42943</v>
      </c>
      <c r="D1848" s="2">
        <v>0.35487268518518517</v>
      </c>
      <c r="E1848" s="2">
        <v>0.36251157407407408</v>
      </c>
      <c r="F1848" s="2">
        <f t="shared" si="281"/>
        <v>7.6388888888889173E-3</v>
      </c>
      <c r="G1848">
        <f t="shared" si="282"/>
        <v>0</v>
      </c>
      <c r="H1848">
        <f t="shared" si="283"/>
        <v>11</v>
      </c>
      <c r="I1848">
        <f t="shared" si="284"/>
        <v>0</v>
      </c>
      <c r="J1848">
        <f t="shared" si="285"/>
        <v>660</v>
      </c>
      <c r="K1848">
        <f t="shared" si="286"/>
        <v>11</v>
      </c>
      <c r="L1848">
        <f t="shared" si="287"/>
        <v>625403</v>
      </c>
      <c r="M1848">
        <f t="shared" si="288"/>
        <v>202470</v>
      </c>
      <c r="N1848">
        <f t="shared" si="289"/>
        <v>875873</v>
      </c>
      <c r="O1848">
        <f>IF(B1848="zagraniczny",K1848+O1847,O1847)</f>
        <v>797</v>
      </c>
    </row>
    <row r="1849" spans="1:15" x14ac:dyDescent="0.25">
      <c r="A1849">
        <v>96404523</v>
      </c>
      <c r="B1849" t="str">
        <f t="shared" si="280"/>
        <v>komorkowy</v>
      </c>
      <c r="C1849" s="1">
        <v>42943</v>
      </c>
      <c r="D1849" s="2">
        <v>0.35592592592592592</v>
      </c>
      <c r="E1849" s="2">
        <v>0.36366898148148147</v>
      </c>
      <c r="F1849" s="2">
        <f t="shared" si="281"/>
        <v>7.7430555555555447E-3</v>
      </c>
      <c r="G1849">
        <f t="shared" si="282"/>
        <v>0</v>
      </c>
      <c r="H1849">
        <f t="shared" si="283"/>
        <v>11</v>
      </c>
      <c r="I1849">
        <f t="shared" si="284"/>
        <v>9</v>
      </c>
      <c r="J1849">
        <f t="shared" si="285"/>
        <v>669</v>
      </c>
      <c r="K1849">
        <f t="shared" si="286"/>
        <v>12</v>
      </c>
      <c r="L1849">
        <f t="shared" si="287"/>
        <v>625403</v>
      </c>
      <c r="M1849">
        <f t="shared" si="288"/>
        <v>203139</v>
      </c>
      <c r="N1849">
        <f t="shared" si="289"/>
        <v>876542</v>
      </c>
      <c r="O1849">
        <f>IF(B1849="zagraniczny",K1849+O1848,O1848)</f>
        <v>797</v>
      </c>
    </row>
    <row r="1850" spans="1:15" x14ac:dyDescent="0.25">
      <c r="A1850">
        <v>1405478</v>
      </c>
      <c r="B1850" t="str">
        <f t="shared" si="280"/>
        <v>stacjonarny</v>
      </c>
      <c r="C1850" s="1">
        <v>42943</v>
      </c>
      <c r="D1850" s="2">
        <v>0.35940972222222223</v>
      </c>
      <c r="E1850" s="2">
        <v>0.36412037037037037</v>
      </c>
      <c r="F1850" s="2">
        <f t="shared" si="281"/>
        <v>4.7106481481481444E-3</v>
      </c>
      <c r="G1850">
        <f t="shared" si="282"/>
        <v>0</v>
      </c>
      <c r="H1850">
        <f t="shared" si="283"/>
        <v>6</v>
      </c>
      <c r="I1850">
        <f t="shared" si="284"/>
        <v>47</v>
      </c>
      <c r="J1850">
        <f t="shared" si="285"/>
        <v>407</v>
      </c>
      <c r="K1850">
        <f t="shared" si="286"/>
        <v>7</v>
      </c>
      <c r="L1850">
        <f t="shared" si="287"/>
        <v>625810</v>
      </c>
      <c r="M1850">
        <f t="shared" si="288"/>
        <v>203139</v>
      </c>
      <c r="N1850">
        <f t="shared" si="289"/>
        <v>876949</v>
      </c>
      <c r="O1850">
        <f>IF(B1850="zagraniczny",K1850+O1849,O1849)</f>
        <v>797</v>
      </c>
    </row>
    <row r="1851" spans="1:15" x14ac:dyDescent="0.25">
      <c r="A1851">
        <v>5900506</v>
      </c>
      <c r="B1851" t="str">
        <f t="shared" si="280"/>
        <v>stacjonarny</v>
      </c>
      <c r="C1851" s="1">
        <v>42943</v>
      </c>
      <c r="D1851" s="2">
        <v>0.36026620370370371</v>
      </c>
      <c r="E1851" s="2">
        <v>0.36319444444444443</v>
      </c>
      <c r="F1851" s="2">
        <f t="shared" si="281"/>
        <v>2.9282407407407174E-3</v>
      </c>
      <c r="G1851">
        <f t="shared" si="282"/>
        <v>0</v>
      </c>
      <c r="H1851">
        <f t="shared" si="283"/>
        <v>4</v>
      </c>
      <c r="I1851">
        <f t="shared" si="284"/>
        <v>13</v>
      </c>
      <c r="J1851">
        <f t="shared" si="285"/>
        <v>253</v>
      </c>
      <c r="K1851">
        <f t="shared" si="286"/>
        <v>5</v>
      </c>
      <c r="L1851">
        <f t="shared" si="287"/>
        <v>626063</v>
      </c>
      <c r="M1851">
        <f t="shared" si="288"/>
        <v>203139</v>
      </c>
      <c r="N1851">
        <f t="shared" si="289"/>
        <v>877202</v>
      </c>
      <c r="O1851">
        <f>IF(B1851="zagraniczny",K1851+O1850,O1850)</f>
        <v>797</v>
      </c>
    </row>
    <row r="1852" spans="1:15" x14ac:dyDescent="0.25">
      <c r="A1852">
        <v>6060835</v>
      </c>
      <c r="B1852" t="str">
        <f t="shared" si="280"/>
        <v>stacjonarny</v>
      </c>
      <c r="C1852" s="1">
        <v>42943</v>
      </c>
      <c r="D1852" s="2">
        <v>0.36148148148148146</v>
      </c>
      <c r="E1852" s="2">
        <v>0.3721990740740741</v>
      </c>
      <c r="F1852" s="2">
        <f t="shared" si="281"/>
        <v>1.071759259259264E-2</v>
      </c>
      <c r="G1852">
        <f t="shared" si="282"/>
        <v>0</v>
      </c>
      <c r="H1852">
        <f t="shared" si="283"/>
        <v>15</v>
      </c>
      <c r="I1852">
        <f t="shared" si="284"/>
        <v>26</v>
      </c>
      <c r="J1852">
        <f t="shared" si="285"/>
        <v>926</v>
      </c>
      <c r="K1852">
        <f t="shared" si="286"/>
        <v>16</v>
      </c>
      <c r="L1852">
        <f t="shared" si="287"/>
        <v>626989</v>
      </c>
      <c r="M1852">
        <f t="shared" si="288"/>
        <v>203139</v>
      </c>
      <c r="N1852">
        <f t="shared" si="289"/>
        <v>878128</v>
      </c>
      <c r="O1852">
        <f>IF(B1852="zagraniczny",K1852+O1851,O1851)</f>
        <v>797</v>
      </c>
    </row>
    <row r="1853" spans="1:15" x14ac:dyDescent="0.25">
      <c r="A1853">
        <v>8880275</v>
      </c>
      <c r="B1853" t="str">
        <f t="shared" si="280"/>
        <v>stacjonarny</v>
      </c>
      <c r="C1853" s="1">
        <v>42943</v>
      </c>
      <c r="D1853" s="2">
        <v>0.36598379629629629</v>
      </c>
      <c r="E1853" s="2">
        <v>0.37474537037037037</v>
      </c>
      <c r="F1853" s="2">
        <f t="shared" si="281"/>
        <v>8.7615740740740744E-3</v>
      </c>
      <c r="G1853">
        <f t="shared" si="282"/>
        <v>0</v>
      </c>
      <c r="H1853">
        <f t="shared" si="283"/>
        <v>12</v>
      </c>
      <c r="I1853">
        <f t="shared" si="284"/>
        <v>37</v>
      </c>
      <c r="J1853">
        <f t="shared" si="285"/>
        <v>757</v>
      </c>
      <c r="K1853">
        <f t="shared" si="286"/>
        <v>13</v>
      </c>
      <c r="L1853">
        <f t="shared" si="287"/>
        <v>627746</v>
      </c>
      <c r="M1853">
        <f t="shared" si="288"/>
        <v>203139</v>
      </c>
      <c r="N1853">
        <f t="shared" si="289"/>
        <v>878885</v>
      </c>
      <c r="O1853">
        <f>IF(B1853="zagraniczny",K1853+O1852,O1852)</f>
        <v>797</v>
      </c>
    </row>
    <row r="1854" spans="1:15" x14ac:dyDescent="0.25">
      <c r="A1854">
        <v>57101974</v>
      </c>
      <c r="B1854" t="str">
        <f t="shared" si="280"/>
        <v>komorkowy</v>
      </c>
      <c r="C1854" s="1">
        <v>42943</v>
      </c>
      <c r="D1854" s="2">
        <v>0.37133101851851852</v>
      </c>
      <c r="E1854" s="2">
        <v>0.37923611111111111</v>
      </c>
      <c r="F1854" s="2">
        <f t="shared" si="281"/>
        <v>7.9050925925925886E-3</v>
      </c>
      <c r="G1854">
        <f t="shared" si="282"/>
        <v>0</v>
      </c>
      <c r="H1854">
        <f t="shared" si="283"/>
        <v>11</v>
      </c>
      <c r="I1854">
        <f t="shared" si="284"/>
        <v>23</v>
      </c>
      <c r="J1854">
        <f t="shared" si="285"/>
        <v>683</v>
      </c>
      <c r="K1854">
        <f t="shared" si="286"/>
        <v>12</v>
      </c>
      <c r="L1854">
        <f t="shared" si="287"/>
        <v>627746</v>
      </c>
      <c r="M1854">
        <f t="shared" si="288"/>
        <v>203822</v>
      </c>
      <c r="N1854">
        <f t="shared" si="289"/>
        <v>879568</v>
      </c>
      <c r="O1854">
        <f>IF(B1854="zagraniczny",K1854+O1853,O1853)</f>
        <v>797</v>
      </c>
    </row>
    <row r="1855" spans="1:15" x14ac:dyDescent="0.25">
      <c r="A1855">
        <v>2096100</v>
      </c>
      <c r="B1855" t="str">
        <f t="shared" si="280"/>
        <v>stacjonarny</v>
      </c>
      <c r="C1855" s="1">
        <v>42943</v>
      </c>
      <c r="D1855" s="2">
        <v>0.3717361111111111</v>
      </c>
      <c r="E1855" s="2">
        <v>0.37253472222222223</v>
      </c>
      <c r="F1855" s="2">
        <f t="shared" si="281"/>
        <v>7.9861111111112493E-4</v>
      </c>
      <c r="G1855">
        <f t="shared" si="282"/>
        <v>0</v>
      </c>
      <c r="H1855">
        <f t="shared" si="283"/>
        <v>1</v>
      </c>
      <c r="I1855">
        <f t="shared" si="284"/>
        <v>9</v>
      </c>
      <c r="J1855">
        <f t="shared" si="285"/>
        <v>69</v>
      </c>
      <c r="K1855">
        <f t="shared" si="286"/>
        <v>2</v>
      </c>
      <c r="L1855">
        <f t="shared" si="287"/>
        <v>627815</v>
      </c>
      <c r="M1855">
        <f t="shared" si="288"/>
        <v>203822</v>
      </c>
      <c r="N1855">
        <f t="shared" si="289"/>
        <v>879637</v>
      </c>
      <c r="O1855">
        <f>IF(B1855="zagraniczny",K1855+O1854,O1854)</f>
        <v>797</v>
      </c>
    </row>
    <row r="1856" spans="1:15" x14ac:dyDescent="0.25">
      <c r="A1856">
        <v>2366545</v>
      </c>
      <c r="B1856" t="str">
        <f t="shared" si="280"/>
        <v>stacjonarny</v>
      </c>
      <c r="C1856" s="1">
        <v>42943</v>
      </c>
      <c r="D1856" s="2">
        <v>0.3737152777777778</v>
      </c>
      <c r="E1856" s="2">
        <v>0.37967592592592592</v>
      </c>
      <c r="F1856" s="2">
        <f t="shared" si="281"/>
        <v>5.9606481481481177E-3</v>
      </c>
      <c r="G1856">
        <f t="shared" si="282"/>
        <v>0</v>
      </c>
      <c r="H1856">
        <f t="shared" si="283"/>
        <v>8</v>
      </c>
      <c r="I1856">
        <f t="shared" si="284"/>
        <v>35</v>
      </c>
      <c r="J1856">
        <f t="shared" si="285"/>
        <v>515</v>
      </c>
      <c r="K1856">
        <f t="shared" si="286"/>
        <v>9</v>
      </c>
      <c r="L1856">
        <f t="shared" si="287"/>
        <v>628330</v>
      </c>
      <c r="M1856">
        <f t="shared" si="288"/>
        <v>203822</v>
      </c>
      <c r="N1856">
        <f t="shared" si="289"/>
        <v>880152</v>
      </c>
      <c r="O1856">
        <f>IF(B1856="zagraniczny",K1856+O1855,O1855)</f>
        <v>797</v>
      </c>
    </row>
    <row r="1857" spans="1:15" x14ac:dyDescent="0.25">
      <c r="A1857">
        <v>2260131</v>
      </c>
      <c r="B1857" t="str">
        <f t="shared" si="280"/>
        <v>stacjonarny</v>
      </c>
      <c r="C1857" s="1">
        <v>42943</v>
      </c>
      <c r="D1857" s="2">
        <v>0.37664351851851852</v>
      </c>
      <c r="E1857" s="2">
        <v>0.38442129629629629</v>
      </c>
      <c r="F1857" s="2">
        <f t="shared" si="281"/>
        <v>7.7777777777777724E-3</v>
      </c>
      <c r="G1857">
        <f t="shared" si="282"/>
        <v>0</v>
      </c>
      <c r="H1857">
        <f t="shared" si="283"/>
        <v>11</v>
      </c>
      <c r="I1857">
        <f t="shared" si="284"/>
        <v>12</v>
      </c>
      <c r="J1857">
        <f t="shared" si="285"/>
        <v>672</v>
      </c>
      <c r="K1857">
        <f t="shared" si="286"/>
        <v>12</v>
      </c>
      <c r="L1857">
        <f t="shared" si="287"/>
        <v>629002</v>
      </c>
      <c r="M1857">
        <f t="shared" si="288"/>
        <v>203822</v>
      </c>
      <c r="N1857">
        <f t="shared" si="289"/>
        <v>880824</v>
      </c>
      <c r="O1857">
        <f>IF(B1857="zagraniczny",K1857+O1856,O1856)</f>
        <v>797</v>
      </c>
    </row>
    <row r="1858" spans="1:15" x14ac:dyDescent="0.25">
      <c r="A1858">
        <v>75818182</v>
      </c>
      <c r="B1858" t="str">
        <f t="shared" si="280"/>
        <v>komorkowy</v>
      </c>
      <c r="C1858" s="1">
        <v>42943</v>
      </c>
      <c r="D1858" s="2">
        <v>0.37973379629629628</v>
      </c>
      <c r="E1858" s="2">
        <v>0.38395833333333335</v>
      </c>
      <c r="F1858" s="2">
        <f t="shared" si="281"/>
        <v>4.2245370370370683E-3</v>
      </c>
      <c r="G1858">
        <f t="shared" si="282"/>
        <v>0</v>
      </c>
      <c r="H1858">
        <f t="shared" si="283"/>
        <v>6</v>
      </c>
      <c r="I1858">
        <f t="shared" si="284"/>
        <v>5</v>
      </c>
      <c r="J1858">
        <f t="shared" si="285"/>
        <v>365</v>
      </c>
      <c r="K1858">
        <f t="shared" si="286"/>
        <v>7</v>
      </c>
      <c r="L1858">
        <f t="shared" si="287"/>
        <v>629002</v>
      </c>
      <c r="M1858">
        <f t="shared" si="288"/>
        <v>204187</v>
      </c>
      <c r="N1858">
        <f t="shared" si="289"/>
        <v>881189</v>
      </c>
      <c r="O1858">
        <f>IF(B1858="zagraniczny",K1858+O1857,O1857)</f>
        <v>797</v>
      </c>
    </row>
    <row r="1859" spans="1:15" x14ac:dyDescent="0.25">
      <c r="A1859">
        <v>1247125</v>
      </c>
      <c r="B1859" t="str">
        <f t="shared" ref="B1859:B1922" si="290">IF(LEN(A1859)=7,"stacjonarny",IF(LEN(A1859)=8,"komorkowy","zagraniczny"))</f>
        <v>stacjonarny</v>
      </c>
      <c r="C1859" s="1">
        <v>42943</v>
      </c>
      <c r="D1859" s="2">
        <v>0.38461805555555556</v>
      </c>
      <c r="E1859" s="2">
        <v>0.39339120370370373</v>
      </c>
      <c r="F1859" s="2">
        <f t="shared" ref="F1859:F1922" si="291">E1859-D1859</f>
        <v>8.7731481481481688E-3</v>
      </c>
      <c r="G1859">
        <f t="shared" ref="G1859:G1922" si="292">HOUR(F1859)</f>
        <v>0</v>
      </c>
      <c r="H1859">
        <f t="shared" ref="H1859:H1922" si="293">MINUTE(F1859)</f>
        <v>12</v>
      </c>
      <c r="I1859">
        <f t="shared" ref="I1859:I1922" si="294">SECOND(F1859)</f>
        <v>38</v>
      </c>
      <c r="J1859">
        <f t="shared" ref="J1859:J1922" si="295">H1859*60+I1859</f>
        <v>758</v>
      </c>
      <c r="K1859">
        <f t="shared" ref="K1859:K1922" si="296">IF(I1859&gt;0,G1859*60+H1859+1,H1859+G1859*60)</f>
        <v>13</v>
      </c>
      <c r="L1859">
        <f t="shared" si="287"/>
        <v>629760</v>
      </c>
      <c r="M1859">
        <f t="shared" si="288"/>
        <v>204187</v>
      </c>
      <c r="N1859">
        <f t="shared" si="289"/>
        <v>881947</v>
      </c>
      <c r="O1859">
        <f>IF(B1859="zagraniczny",K1859+O1858,O1858)</f>
        <v>797</v>
      </c>
    </row>
    <row r="1860" spans="1:15" x14ac:dyDescent="0.25">
      <c r="A1860">
        <v>3733011</v>
      </c>
      <c r="B1860" t="str">
        <f t="shared" si="290"/>
        <v>stacjonarny</v>
      </c>
      <c r="C1860" s="1">
        <v>42943</v>
      </c>
      <c r="D1860" s="2">
        <v>0.38571759259259258</v>
      </c>
      <c r="E1860" s="2">
        <v>0.39556712962962964</v>
      </c>
      <c r="F1860" s="2">
        <f t="shared" si="291"/>
        <v>9.8495370370370594E-3</v>
      </c>
      <c r="G1860">
        <f t="shared" si="292"/>
        <v>0</v>
      </c>
      <c r="H1860">
        <f t="shared" si="293"/>
        <v>14</v>
      </c>
      <c r="I1860">
        <f t="shared" si="294"/>
        <v>11</v>
      </c>
      <c r="J1860">
        <f t="shared" si="295"/>
        <v>851</v>
      </c>
      <c r="K1860">
        <f t="shared" si="296"/>
        <v>15</v>
      </c>
      <c r="L1860">
        <f t="shared" ref="L1860:L1923" si="297">IF(B1860="stacjonarny",$J1860+L1859,L1859)</f>
        <v>630611</v>
      </c>
      <c r="M1860">
        <f t="shared" ref="M1860:M1923" si="298">IF(B1860="komorkowy",$J1860+M1859,M1859)</f>
        <v>204187</v>
      </c>
      <c r="N1860">
        <f t="shared" ref="N1860:N1923" si="299">IF(OR(B1860="stacjonarny",B1860="komorkowy"),J1860+N1859,N1859)</f>
        <v>882798</v>
      </c>
      <c r="O1860">
        <f>IF(B1860="zagraniczny",K1860+O1859,O1859)</f>
        <v>797</v>
      </c>
    </row>
    <row r="1861" spans="1:15" x14ac:dyDescent="0.25">
      <c r="A1861">
        <v>6615729</v>
      </c>
      <c r="B1861" t="str">
        <f t="shared" si="290"/>
        <v>stacjonarny</v>
      </c>
      <c r="C1861" s="1">
        <v>42943</v>
      </c>
      <c r="D1861" s="2">
        <v>0.38997685185185182</v>
      </c>
      <c r="E1861" s="2">
        <v>0.39743055555555556</v>
      </c>
      <c r="F1861" s="2">
        <f t="shared" si="291"/>
        <v>7.4537037037037401E-3</v>
      </c>
      <c r="G1861">
        <f t="shared" si="292"/>
        <v>0</v>
      </c>
      <c r="H1861">
        <f t="shared" si="293"/>
        <v>10</v>
      </c>
      <c r="I1861">
        <f t="shared" si="294"/>
        <v>44</v>
      </c>
      <c r="J1861">
        <f t="shared" si="295"/>
        <v>644</v>
      </c>
      <c r="K1861">
        <f t="shared" si="296"/>
        <v>11</v>
      </c>
      <c r="L1861">
        <f t="shared" si="297"/>
        <v>631255</v>
      </c>
      <c r="M1861">
        <f t="shared" si="298"/>
        <v>204187</v>
      </c>
      <c r="N1861">
        <f t="shared" si="299"/>
        <v>883442</v>
      </c>
      <c r="O1861">
        <f>IF(B1861="zagraniczny",K1861+O1860,O1860)</f>
        <v>797</v>
      </c>
    </row>
    <row r="1862" spans="1:15" x14ac:dyDescent="0.25">
      <c r="A1862">
        <v>6844342</v>
      </c>
      <c r="B1862" t="str">
        <f t="shared" si="290"/>
        <v>stacjonarny</v>
      </c>
      <c r="C1862" s="1">
        <v>42943</v>
      </c>
      <c r="D1862" s="2">
        <v>0.39451388888888889</v>
      </c>
      <c r="E1862" s="2">
        <v>0.39609953703703704</v>
      </c>
      <c r="F1862" s="2">
        <f t="shared" si="291"/>
        <v>1.5856481481481555E-3</v>
      </c>
      <c r="G1862">
        <f t="shared" si="292"/>
        <v>0</v>
      </c>
      <c r="H1862">
        <f t="shared" si="293"/>
        <v>2</v>
      </c>
      <c r="I1862">
        <f t="shared" si="294"/>
        <v>17</v>
      </c>
      <c r="J1862">
        <f t="shared" si="295"/>
        <v>137</v>
      </c>
      <c r="K1862">
        <f t="shared" si="296"/>
        <v>3</v>
      </c>
      <c r="L1862">
        <f t="shared" si="297"/>
        <v>631392</v>
      </c>
      <c r="M1862">
        <f t="shared" si="298"/>
        <v>204187</v>
      </c>
      <c r="N1862">
        <f t="shared" si="299"/>
        <v>883579</v>
      </c>
      <c r="O1862">
        <f>IF(B1862="zagraniczny",K1862+O1861,O1861)</f>
        <v>797</v>
      </c>
    </row>
    <row r="1863" spans="1:15" x14ac:dyDescent="0.25">
      <c r="A1863">
        <v>8369815</v>
      </c>
      <c r="B1863" t="str">
        <f t="shared" si="290"/>
        <v>stacjonarny</v>
      </c>
      <c r="C1863" s="1">
        <v>42943</v>
      </c>
      <c r="D1863" s="2">
        <v>0.3967013888888889</v>
      </c>
      <c r="E1863" s="2">
        <v>0.40182870370370372</v>
      </c>
      <c r="F1863" s="2">
        <f t="shared" si="291"/>
        <v>5.1273148148148207E-3</v>
      </c>
      <c r="G1863">
        <f t="shared" si="292"/>
        <v>0</v>
      </c>
      <c r="H1863">
        <f t="shared" si="293"/>
        <v>7</v>
      </c>
      <c r="I1863">
        <f t="shared" si="294"/>
        <v>23</v>
      </c>
      <c r="J1863">
        <f t="shared" si="295"/>
        <v>443</v>
      </c>
      <c r="K1863">
        <f t="shared" si="296"/>
        <v>8</v>
      </c>
      <c r="L1863">
        <f t="shared" si="297"/>
        <v>631835</v>
      </c>
      <c r="M1863">
        <f t="shared" si="298"/>
        <v>204187</v>
      </c>
      <c r="N1863">
        <f t="shared" si="299"/>
        <v>884022</v>
      </c>
      <c r="O1863">
        <f>IF(B1863="zagraniczny",K1863+O1862,O1862)</f>
        <v>797</v>
      </c>
    </row>
    <row r="1864" spans="1:15" x14ac:dyDescent="0.25">
      <c r="A1864">
        <v>9304830</v>
      </c>
      <c r="B1864" t="str">
        <f t="shared" si="290"/>
        <v>stacjonarny</v>
      </c>
      <c r="C1864" s="1">
        <v>42943</v>
      </c>
      <c r="D1864" s="2">
        <v>0.39812500000000001</v>
      </c>
      <c r="E1864" s="2">
        <v>0.39895833333333336</v>
      </c>
      <c r="F1864" s="2">
        <f t="shared" si="291"/>
        <v>8.3333333333335258E-4</v>
      </c>
      <c r="G1864">
        <f t="shared" si="292"/>
        <v>0</v>
      </c>
      <c r="H1864">
        <f t="shared" si="293"/>
        <v>1</v>
      </c>
      <c r="I1864">
        <f t="shared" si="294"/>
        <v>12</v>
      </c>
      <c r="J1864">
        <f t="shared" si="295"/>
        <v>72</v>
      </c>
      <c r="K1864">
        <f t="shared" si="296"/>
        <v>2</v>
      </c>
      <c r="L1864">
        <f t="shared" si="297"/>
        <v>631907</v>
      </c>
      <c r="M1864">
        <f t="shared" si="298"/>
        <v>204187</v>
      </c>
      <c r="N1864">
        <f t="shared" si="299"/>
        <v>884094</v>
      </c>
      <c r="O1864">
        <f>IF(B1864="zagraniczny",K1864+O1863,O1863)</f>
        <v>797</v>
      </c>
    </row>
    <row r="1865" spans="1:15" x14ac:dyDescent="0.25">
      <c r="A1865">
        <v>1117708</v>
      </c>
      <c r="B1865" t="str">
        <f t="shared" si="290"/>
        <v>stacjonarny</v>
      </c>
      <c r="C1865" s="1">
        <v>42943</v>
      </c>
      <c r="D1865" s="2">
        <v>0.40266203703703701</v>
      </c>
      <c r="E1865" s="2">
        <v>0.4073148148148148</v>
      </c>
      <c r="F1865" s="2">
        <f t="shared" si="291"/>
        <v>4.6527777777777835E-3</v>
      </c>
      <c r="G1865">
        <f t="shared" si="292"/>
        <v>0</v>
      </c>
      <c r="H1865">
        <f t="shared" si="293"/>
        <v>6</v>
      </c>
      <c r="I1865">
        <f t="shared" si="294"/>
        <v>42</v>
      </c>
      <c r="J1865">
        <f t="shared" si="295"/>
        <v>402</v>
      </c>
      <c r="K1865">
        <f t="shared" si="296"/>
        <v>7</v>
      </c>
      <c r="L1865">
        <f t="shared" si="297"/>
        <v>632309</v>
      </c>
      <c r="M1865">
        <f t="shared" si="298"/>
        <v>204187</v>
      </c>
      <c r="N1865">
        <f t="shared" si="299"/>
        <v>884496</v>
      </c>
      <c r="O1865">
        <f>IF(B1865="zagraniczny",K1865+O1864,O1864)</f>
        <v>797</v>
      </c>
    </row>
    <row r="1866" spans="1:15" x14ac:dyDescent="0.25">
      <c r="A1866">
        <v>6055986</v>
      </c>
      <c r="B1866" t="str">
        <f t="shared" si="290"/>
        <v>stacjonarny</v>
      </c>
      <c r="C1866" s="1">
        <v>42943</v>
      </c>
      <c r="D1866" s="2">
        <v>0.40710648148148149</v>
      </c>
      <c r="E1866" s="2">
        <v>0.40740740740740738</v>
      </c>
      <c r="F1866" s="2">
        <f t="shared" si="291"/>
        <v>3.0092592592589895E-4</v>
      </c>
      <c r="G1866">
        <f t="shared" si="292"/>
        <v>0</v>
      </c>
      <c r="H1866">
        <f t="shared" si="293"/>
        <v>0</v>
      </c>
      <c r="I1866">
        <f t="shared" si="294"/>
        <v>26</v>
      </c>
      <c r="J1866">
        <f t="shared" si="295"/>
        <v>26</v>
      </c>
      <c r="K1866">
        <f t="shared" si="296"/>
        <v>1</v>
      </c>
      <c r="L1866">
        <f t="shared" si="297"/>
        <v>632335</v>
      </c>
      <c r="M1866">
        <f t="shared" si="298"/>
        <v>204187</v>
      </c>
      <c r="N1866">
        <f t="shared" si="299"/>
        <v>884522</v>
      </c>
      <c r="O1866">
        <f>IF(B1866="zagraniczny",K1866+O1865,O1865)</f>
        <v>797</v>
      </c>
    </row>
    <row r="1867" spans="1:15" x14ac:dyDescent="0.25">
      <c r="A1867">
        <v>4569864426</v>
      </c>
      <c r="B1867" t="str">
        <f t="shared" si="290"/>
        <v>zagraniczny</v>
      </c>
      <c r="C1867" s="1">
        <v>42943</v>
      </c>
      <c r="D1867" s="2">
        <v>0.40751157407407407</v>
      </c>
      <c r="E1867" s="2">
        <v>0.41725694444444444</v>
      </c>
      <c r="F1867" s="2">
        <f t="shared" si="291"/>
        <v>9.7453703703703765E-3</v>
      </c>
      <c r="G1867">
        <f t="shared" si="292"/>
        <v>0</v>
      </c>
      <c r="H1867">
        <f t="shared" si="293"/>
        <v>14</v>
      </c>
      <c r="I1867">
        <f t="shared" si="294"/>
        <v>2</v>
      </c>
      <c r="J1867">
        <f t="shared" si="295"/>
        <v>842</v>
      </c>
      <c r="K1867">
        <f t="shared" si="296"/>
        <v>15</v>
      </c>
      <c r="L1867">
        <f t="shared" si="297"/>
        <v>632335</v>
      </c>
      <c r="M1867">
        <f t="shared" si="298"/>
        <v>204187</v>
      </c>
      <c r="N1867">
        <f t="shared" si="299"/>
        <v>884522</v>
      </c>
      <c r="O1867">
        <f>IF(B1867="zagraniczny",K1867+O1866,O1866)</f>
        <v>812</v>
      </c>
    </row>
    <row r="1868" spans="1:15" x14ac:dyDescent="0.25">
      <c r="A1868">
        <v>2781512</v>
      </c>
      <c r="B1868" t="str">
        <f t="shared" si="290"/>
        <v>stacjonarny</v>
      </c>
      <c r="C1868" s="1">
        <v>42943</v>
      </c>
      <c r="D1868" s="2">
        <v>0.41244212962962962</v>
      </c>
      <c r="E1868" s="2">
        <v>0.41619212962962965</v>
      </c>
      <c r="F1868" s="2">
        <f t="shared" si="291"/>
        <v>3.7500000000000311E-3</v>
      </c>
      <c r="G1868">
        <f t="shared" si="292"/>
        <v>0</v>
      </c>
      <c r="H1868">
        <f t="shared" si="293"/>
        <v>5</v>
      </c>
      <c r="I1868">
        <f t="shared" si="294"/>
        <v>24</v>
      </c>
      <c r="J1868">
        <f t="shared" si="295"/>
        <v>324</v>
      </c>
      <c r="K1868">
        <f t="shared" si="296"/>
        <v>6</v>
      </c>
      <c r="L1868">
        <f t="shared" si="297"/>
        <v>632659</v>
      </c>
      <c r="M1868">
        <f t="shared" si="298"/>
        <v>204187</v>
      </c>
      <c r="N1868">
        <f t="shared" si="299"/>
        <v>884846</v>
      </c>
      <c r="O1868">
        <f>IF(B1868="zagraniczny",K1868+O1867,O1867)</f>
        <v>812</v>
      </c>
    </row>
    <row r="1869" spans="1:15" x14ac:dyDescent="0.25">
      <c r="A1869">
        <v>3093964</v>
      </c>
      <c r="B1869" t="str">
        <f t="shared" si="290"/>
        <v>stacjonarny</v>
      </c>
      <c r="C1869" s="1">
        <v>42943</v>
      </c>
      <c r="D1869" s="2">
        <v>0.41363425925925928</v>
      </c>
      <c r="E1869" s="2">
        <v>0.41902777777777778</v>
      </c>
      <c r="F1869" s="2">
        <f t="shared" si="291"/>
        <v>5.393518518518492E-3</v>
      </c>
      <c r="G1869">
        <f t="shared" si="292"/>
        <v>0</v>
      </c>
      <c r="H1869">
        <f t="shared" si="293"/>
        <v>7</v>
      </c>
      <c r="I1869">
        <f t="shared" si="294"/>
        <v>46</v>
      </c>
      <c r="J1869">
        <f t="shared" si="295"/>
        <v>466</v>
      </c>
      <c r="K1869">
        <f t="shared" si="296"/>
        <v>8</v>
      </c>
      <c r="L1869">
        <f t="shared" si="297"/>
        <v>633125</v>
      </c>
      <c r="M1869">
        <f t="shared" si="298"/>
        <v>204187</v>
      </c>
      <c r="N1869">
        <f t="shared" si="299"/>
        <v>885312</v>
      </c>
      <c r="O1869">
        <f>IF(B1869="zagraniczny",K1869+O1868,O1868)</f>
        <v>812</v>
      </c>
    </row>
    <row r="1870" spans="1:15" x14ac:dyDescent="0.25">
      <c r="A1870">
        <v>9413315</v>
      </c>
      <c r="B1870" t="str">
        <f t="shared" si="290"/>
        <v>stacjonarny</v>
      </c>
      <c r="C1870" s="1">
        <v>42943</v>
      </c>
      <c r="D1870" s="2">
        <v>0.41783564814814816</v>
      </c>
      <c r="E1870" s="2">
        <v>0.42383101851851851</v>
      </c>
      <c r="F1870" s="2">
        <f t="shared" si="291"/>
        <v>5.9953703703703454E-3</v>
      </c>
      <c r="G1870">
        <f t="shared" si="292"/>
        <v>0</v>
      </c>
      <c r="H1870">
        <f t="shared" si="293"/>
        <v>8</v>
      </c>
      <c r="I1870">
        <f t="shared" si="294"/>
        <v>38</v>
      </c>
      <c r="J1870">
        <f t="shared" si="295"/>
        <v>518</v>
      </c>
      <c r="K1870">
        <f t="shared" si="296"/>
        <v>9</v>
      </c>
      <c r="L1870">
        <f t="shared" si="297"/>
        <v>633643</v>
      </c>
      <c r="M1870">
        <f t="shared" si="298"/>
        <v>204187</v>
      </c>
      <c r="N1870">
        <f t="shared" si="299"/>
        <v>885830</v>
      </c>
      <c r="O1870">
        <f>IF(B1870="zagraniczny",K1870+O1869,O1869)</f>
        <v>812</v>
      </c>
    </row>
    <row r="1871" spans="1:15" x14ac:dyDescent="0.25">
      <c r="A1871">
        <v>1890121</v>
      </c>
      <c r="B1871" t="str">
        <f t="shared" si="290"/>
        <v>stacjonarny</v>
      </c>
      <c r="C1871" s="1">
        <v>42943</v>
      </c>
      <c r="D1871" s="2">
        <v>0.42357638888888888</v>
      </c>
      <c r="E1871" s="2">
        <v>0.43</v>
      </c>
      <c r="F1871" s="2">
        <f t="shared" si="291"/>
        <v>6.423611111111116E-3</v>
      </c>
      <c r="G1871">
        <f t="shared" si="292"/>
        <v>0</v>
      </c>
      <c r="H1871">
        <f t="shared" si="293"/>
        <v>9</v>
      </c>
      <c r="I1871">
        <f t="shared" si="294"/>
        <v>15</v>
      </c>
      <c r="J1871">
        <f t="shared" si="295"/>
        <v>555</v>
      </c>
      <c r="K1871">
        <f t="shared" si="296"/>
        <v>10</v>
      </c>
      <c r="L1871">
        <f t="shared" si="297"/>
        <v>634198</v>
      </c>
      <c r="M1871">
        <f t="shared" si="298"/>
        <v>204187</v>
      </c>
      <c r="N1871">
        <f t="shared" si="299"/>
        <v>886385</v>
      </c>
      <c r="O1871">
        <f>IF(B1871="zagraniczny",K1871+O1870,O1870)</f>
        <v>812</v>
      </c>
    </row>
    <row r="1872" spans="1:15" x14ac:dyDescent="0.25">
      <c r="A1872">
        <v>9906846123</v>
      </c>
      <c r="B1872" t="str">
        <f t="shared" si="290"/>
        <v>zagraniczny</v>
      </c>
      <c r="C1872" s="1">
        <v>42943</v>
      </c>
      <c r="D1872" s="2">
        <v>0.424375</v>
      </c>
      <c r="E1872" s="2">
        <v>0.42505787037037035</v>
      </c>
      <c r="F1872" s="2">
        <f t="shared" si="291"/>
        <v>6.8287037037034759E-4</v>
      </c>
      <c r="G1872">
        <f t="shared" si="292"/>
        <v>0</v>
      </c>
      <c r="H1872">
        <f t="shared" si="293"/>
        <v>0</v>
      </c>
      <c r="I1872">
        <f t="shared" si="294"/>
        <v>59</v>
      </c>
      <c r="J1872">
        <f t="shared" si="295"/>
        <v>59</v>
      </c>
      <c r="K1872">
        <f t="shared" si="296"/>
        <v>1</v>
      </c>
      <c r="L1872">
        <f t="shared" si="297"/>
        <v>634198</v>
      </c>
      <c r="M1872">
        <f t="shared" si="298"/>
        <v>204187</v>
      </c>
      <c r="N1872">
        <f t="shared" si="299"/>
        <v>886385</v>
      </c>
      <c r="O1872">
        <f>IF(B1872="zagraniczny",K1872+O1871,O1871)</f>
        <v>813</v>
      </c>
    </row>
    <row r="1873" spans="1:15" x14ac:dyDescent="0.25">
      <c r="A1873">
        <v>12063341</v>
      </c>
      <c r="B1873" t="str">
        <f t="shared" si="290"/>
        <v>komorkowy</v>
      </c>
      <c r="C1873" s="1">
        <v>42943</v>
      </c>
      <c r="D1873" s="2">
        <v>0.42849537037037039</v>
      </c>
      <c r="E1873" s="2">
        <v>0.4372800925925926</v>
      </c>
      <c r="F1873" s="2">
        <f t="shared" si="291"/>
        <v>8.7847222222222077E-3</v>
      </c>
      <c r="G1873">
        <f t="shared" si="292"/>
        <v>0</v>
      </c>
      <c r="H1873">
        <f t="shared" si="293"/>
        <v>12</v>
      </c>
      <c r="I1873">
        <f t="shared" si="294"/>
        <v>39</v>
      </c>
      <c r="J1873">
        <f t="shared" si="295"/>
        <v>759</v>
      </c>
      <c r="K1873">
        <f t="shared" si="296"/>
        <v>13</v>
      </c>
      <c r="L1873">
        <f t="shared" si="297"/>
        <v>634198</v>
      </c>
      <c r="M1873">
        <f t="shared" si="298"/>
        <v>204946</v>
      </c>
      <c r="N1873">
        <f t="shared" si="299"/>
        <v>887144</v>
      </c>
      <c r="O1873">
        <f>IF(B1873="zagraniczny",K1873+O1872,O1872)</f>
        <v>813</v>
      </c>
    </row>
    <row r="1874" spans="1:15" x14ac:dyDescent="0.25">
      <c r="A1874">
        <v>27798660</v>
      </c>
      <c r="B1874" t="str">
        <f t="shared" si="290"/>
        <v>komorkowy</v>
      </c>
      <c r="C1874" s="1">
        <v>42943</v>
      </c>
      <c r="D1874" s="2">
        <v>0.42925925925925928</v>
      </c>
      <c r="E1874" s="2">
        <v>0.43239583333333331</v>
      </c>
      <c r="F1874" s="2">
        <f t="shared" si="291"/>
        <v>3.1365740740740278E-3</v>
      </c>
      <c r="G1874">
        <f t="shared" si="292"/>
        <v>0</v>
      </c>
      <c r="H1874">
        <f t="shared" si="293"/>
        <v>4</v>
      </c>
      <c r="I1874">
        <f t="shared" si="294"/>
        <v>31</v>
      </c>
      <c r="J1874">
        <f t="shared" si="295"/>
        <v>271</v>
      </c>
      <c r="K1874">
        <f t="shared" si="296"/>
        <v>5</v>
      </c>
      <c r="L1874">
        <f t="shared" si="297"/>
        <v>634198</v>
      </c>
      <c r="M1874">
        <f t="shared" si="298"/>
        <v>205217</v>
      </c>
      <c r="N1874">
        <f t="shared" si="299"/>
        <v>887415</v>
      </c>
      <c r="O1874">
        <f>IF(B1874="zagraniczny",K1874+O1873,O1873)</f>
        <v>813</v>
      </c>
    </row>
    <row r="1875" spans="1:15" x14ac:dyDescent="0.25">
      <c r="A1875">
        <v>37077953</v>
      </c>
      <c r="B1875" t="str">
        <f t="shared" si="290"/>
        <v>komorkowy</v>
      </c>
      <c r="C1875" s="1">
        <v>42943</v>
      </c>
      <c r="D1875" s="2">
        <v>0.43262731481481481</v>
      </c>
      <c r="E1875" s="2">
        <v>0.43929398148148147</v>
      </c>
      <c r="F1875" s="2">
        <f t="shared" si="291"/>
        <v>6.6666666666666541E-3</v>
      </c>
      <c r="G1875">
        <f t="shared" si="292"/>
        <v>0</v>
      </c>
      <c r="H1875">
        <f t="shared" si="293"/>
        <v>9</v>
      </c>
      <c r="I1875">
        <f t="shared" si="294"/>
        <v>36</v>
      </c>
      <c r="J1875">
        <f t="shared" si="295"/>
        <v>576</v>
      </c>
      <c r="K1875">
        <f t="shared" si="296"/>
        <v>10</v>
      </c>
      <c r="L1875">
        <f t="shared" si="297"/>
        <v>634198</v>
      </c>
      <c r="M1875">
        <f t="shared" si="298"/>
        <v>205793</v>
      </c>
      <c r="N1875">
        <f t="shared" si="299"/>
        <v>887991</v>
      </c>
      <c r="O1875">
        <f>IF(B1875="zagraniczny",K1875+O1874,O1874)</f>
        <v>813</v>
      </c>
    </row>
    <row r="1876" spans="1:15" x14ac:dyDescent="0.25">
      <c r="A1876">
        <v>70606958</v>
      </c>
      <c r="B1876" t="str">
        <f t="shared" si="290"/>
        <v>komorkowy</v>
      </c>
      <c r="C1876" s="1">
        <v>42943</v>
      </c>
      <c r="D1876" s="2">
        <v>0.43387731481481484</v>
      </c>
      <c r="E1876" s="2">
        <v>0.44252314814814814</v>
      </c>
      <c r="F1876" s="2">
        <f t="shared" si="291"/>
        <v>8.6458333333332971E-3</v>
      </c>
      <c r="G1876">
        <f t="shared" si="292"/>
        <v>0</v>
      </c>
      <c r="H1876">
        <f t="shared" si="293"/>
        <v>12</v>
      </c>
      <c r="I1876">
        <f t="shared" si="294"/>
        <v>27</v>
      </c>
      <c r="J1876">
        <f t="shared" si="295"/>
        <v>747</v>
      </c>
      <c r="K1876">
        <f t="shared" si="296"/>
        <v>13</v>
      </c>
      <c r="L1876">
        <f t="shared" si="297"/>
        <v>634198</v>
      </c>
      <c r="M1876">
        <f t="shared" si="298"/>
        <v>206540</v>
      </c>
      <c r="N1876">
        <f t="shared" si="299"/>
        <v>888738</v>
      </c>
      <c r="O1876">
        <f>IF(B1876="zagraniczny",K1876+O1875,O1875)</f>
        <v>813</v>
      </c>
    </row>
    <row r="1877" spans="1:15" x14ac:dyDescent="0.25">
      <c r="A1877">
        <v>21303266</v>
      </c>
      <c r="B1877" t="str">
        <f t="shared" si="290"/>
        <v>komorkowy</v>
      </c>
      <c r="C1877" s="1">
        <v>42943</v>
      </c>
      <c r="D1877" s="2">
        <v>0.4384953703703704</v>
      </c>
      <c r="E1877" s="2">
        <v>0.44209490740740742</v>
      </c>
      <c r="F1877" s="2">
        <f t="shared" si="291"/>
        <v>3.5995370370370261E-3</v>
      </c>
      <c r="G1877">
        <f t="shared" si="292"/>
        <v>0</v>
      </c>
      <c r="H1877">
        <f t="shared" si="293"/>
        <v>5</v>
      </c>
      <c r="I1877">
        <f t="shared" si="294"/>
        <v>11</v>
      </c>
      <c r="J1877">
        <f t="shared" si="295"/>
        <v>311</v>
      </c>
      <c r="K1877">
        <f t="shared" si="296"/>
        <v>6</v>
      </c>
      <c r="L1877">
        <f t="shared" si="297"/>
        <v>634198</v>
      </c>
      <c r="M1877">
        <f t="shared" si="298"/>
        <v>206851</v>
      </c>
      <c r="N1877">
        <f t="shared" si="299"/>
        <v>889049</v>
      </c>
      <c r="O1877">
        <f>IF(B1877="zagraniczny",K1877+O1876,O1876)</f>
        <v>813</v>
      </c>
    </row>
    <row r="1878" spans="1:15" x14ac:dyDescent="0.25">
      <c r="A1878">
        <v>66871690</v>
      </c>
      <c r="B1878" t="str">
        <f t="shared" si="290"/>
        <v>komorkowy</v>
      </c>
      <c r="C1878" s="1">
        <v>42943</v>
      </c>
      <c r="D1878" s="2">
        <v>0.44003472222222223</v>
      </c>
      <c r="E1878" s="2">
        <v>0.44219907407407405</v>
      </c>
      <c r="F1878" s="2">
        <f t="shared" si="291"/>
        <v>2.1643518518518201E-3</v>
      </c>
      <c r="G1878">
        <f t="shared" si="292"/>
        <v>0</v>
      </c>
      <c r="H1878">
        <f t="shared" si="293"/>
        <v>3</v>
      </c>
      <c r="I1878">
        <f t="shared" si="294"/>
        <v>7</v>
      </c>
      <c r="J1878">
        <f t="shared" si="295"/>
        <v>187</v>
      </c>
      <c r="K1878">
        <f t="shared" si="296"/>
        <v>4</v>
      </c>
      <c r="L1878">
        <f t="shared" si="297"/>
        <v>634198</v>
      </c>
      <c r="M1878">
        <f t="shared" si="298"/>
        <v>207038</v>
      </c>
      <c r="N1878">
        <f t="shared" si="299"/>
        <v>889236</v>
      </c>
      <c r="O1878">
        <f>IF(B1878="zagraniczny",K1878+O1877,O1877)</f>
        <v>813</v>
      </c>
    </row>
    <row r="1879" spans="1:15" x14ac:dyDescent="0.25">
      <c r="A1879">
        <v>88366261</v>
      </c>
      <c r="B1879" t="str">
        <f t="shared" si="290"/>
        <v>komorkowy</v>
      </c>
      <c r="C1879" s="1">
        <v>42943</v>
      </c>
      <c r="D1879" s="2">
        <v>0.44006944444444446</v>
      </c>
      <c r="E1879" s="2">
        <v>0.44208333333333333</v>
      </c>
      <c r="F1879" s="2">
        <f t="shared" si="291"/>
        <v>2.0138888888888706E-3</v>
      </c>
      <c r="G1879">
        <f t="shared" si="292"/>
        <v>0</v>
      </c>
      <c r="H1879">
        <f t="shared" si="293"/>
        <v>2</v>
      </c>
      <c r="I1879">
        <f t="shared" si="294"/>
        <v>54</v>
      </c>
      <c r="J1879">
        <f t="shared" si="295"/>
        <v>174</v>
      </c>
      <c r="K1879">
        <f t="shared" si="296"/>
        <v>3</v>
      </c>
      <c r="L1879">
        <f t="shared" si="297"/>
        <v>634198</v>
      </c>
      <c r="M1879">
        <f t="shared" si="298"/>
        <v>207212</v>
      </c>
      <c r="N1879">
        <f t="shared" si="299"/>
        <v>889410</v>
      </c>
      <c r="O1879">
        <f>IF(B1879="zagraniczny",K1879+O1878,O1878)</f>
        <v>813</v>
      </c>
    </row>
    <row r="1880" spans="1:15" x14ac:dyDescent="0.25">
      <c r="A1880">
        <v>9506446</v>
      </c>
      <c r="B1880" t="str">
        <f t="shared" si="290"/>
        <v>stacjonarny</v>
      </c>
      <c r="C1880" s="1">
        <v>42943</v>
      </c>
      <c r="D1880" s="2">
        <v>0.44490740740740742</v>
      </c>
      <c r="E1880" s="2">
        <v>0.45071759259259259</v>
      </c>
      <c r="F1880" s="2">
        <f t="shared" si="291"/>
        <v>5.8101851851851682E-3</v>
      </c>
      <c r="G1880">
        <f t="shared" si="292"/>
        <v>0</v>
      </c>
      <c r="H1880">
        <f t="shared" si="293"/>
        <v>8</v>
      </c>
      <c r="I1880">
        <f t="shared" si="294"/>
        <v>22</v>
      </c>
      <c r="J1880">
        <f t="shared" si="295"/>
        <v>502</v>
      </c>
      <c r="K1880">
        <f t="shared" si="296"/>
        <v>9</v>
      </c>
      <c r="L1880">
        <f t="shared" si="297"/>
        <v>634700</v>
      </c>
      <c r="M1880">
        <f t="shared" si="298"/>
        <v>207212</v>
      </c>
      <c r="N1880">
        <f t="shared" si="299"/>
        <v>889912</v>
      </c>
      <c r="O1880">
        <f>IF(B1880="zagraniczny",K1880+O1879,O1879)</f>
        <v>813</v>
      </c>
    </row>
    <row r="1881" spans="1:15" x14ac:dyDescent="0.25">
      <c r="A1881">
        <v>9225807</v>
      </c>
      <c r="B1881" t="str">
        <f t="shared" si="290"/>
        <v>stacjonarny</v>
      </c>
      <c r="C1881" s="1">
        <v>42943</v>
      </c>
      <c r="D1881" s="2">
        <v>0.44996527777777778</v>
      </c>
      <c r="E1881" s="2">
        <v>0.45952546296296298</v>
      </c>
      <c r="F1881" s="2">
        <f t="shared" si="291"/>
        <v>9.5601851851851993E-3</v>
      </c>
      <c r="G1881">
        <f t="shared" si="292"/>
        <v>0</v>
      </c>
      <c r="H1881">
        <f t="shared" si="293"/>
        <v>13</v>
      </c>
      <c r="I1881">
        <f t="shared" si="294"/>
        <v>46</v>
      </c>
      <c r="J1881">
        <f t="shared" si="295"/>
        <v>826</v>
      </c>
      <c r="K1881">
        <f t="shared" si="296"/>
        <v>14</v>
      </c>
      <c r="L1881">
        <f t="shared" si="297"/>
        <v>635526</v>
      </c>
      <c r="M1881">
        <f t="shared" si="298"/>
        <v>207212</v>
      </c>
      <c r="N1881">
        <f t="shared" si="299"/>
        <v>890738</v>
      </c>
      <c r="O1881">
        <f>IF(B1881="zagraniczny",K1881+O1880,O1880)</f>
        <v>813</v>
      </c>
    </row>
    <row r="1882" spans="1:15" x14ac:dyDescent="0.25">
      <c r="A1882">
        <v>6956143</v>
      </c>
      <c r="B1882" t="str">
        <f t="shared" si="290"/>
        <v>stacjonarny</v>
      </c>
      <c r="C1882" s="1">
        <v>42943</v>
      </c>
      <c r="D1882" s="2">
        <v>0.45157407407407407</v>
      </c>
      <c r="E1882" s="2">
        <v>0.455625</v>
      </c>
      <c r="F1882" s="2">
        <f t="shared" si="291"/>
        <v>4.05092592592593E-3</v>
      </c>
      <c r="G1882">
        <f t="shared" si="292"/>
        <v>0</v>
      </c>
      <c r="H1882">
        <f t="shared" si="293"/>
        <v>5</v>
      </c>
      <c r="I1882">
        <f t="shared" si="294"/>
        <v>50</v>
      </c>
      <c r="J1882">
        <f t="shared" si="295"/>
        <v>350</v>
      </c>
      <c r="K1882">
        <f t="shared" si="296"/>
        <v>6</v>
      </c>
      <c r="L1882">
        <f t="shared" si="297"/>
        <v>635876</v>
      </c>
      <c r="M1882">
        <f t="shared" si="298"/>
        <v>207212</v>
      </c>
      <c r="N1882">
        <f t="shared" si="299"/>
        <v>891088</v>
      </c>
      <c r="O1882">
        <f>IF(B1882="zagraniczny",K1882+O1881,O1881)</f>
        <v>813</v>
      </c>
    </row>
    <row r="1883" spans="1:15" x14ac:dyDescent="0.25">
      <c r="A1883">
        <v>1472253</v>
      </c>
      <c r="B1883" t="str">
        <f t="shared" si="290"/>
        <v>stacjonarny</v>
      </c>
      <c r="C1883" s="1">
        <v>42943</v>
      </c>
      <c r="D1883" s="2">
        <v>0.45729166666666665</v>
      </c>
      <c r="E1883" s="2">
        <v>0.46041666666666664</v>
      </c>
      <c r="F1883" s="2">
        <f t="shared" si="291"/>
        <v>3.1249999999999889E-3</v>
      </c>
      <c r="G1883">
        <f t="shared" si="292"/>
        <v>0</v>
      </c>
      <c r="H1883">
        <f t="shared" si="293"/>
        <v>4</v>
      </c>
      <c r="I1883">
        <f t="shared" si="294"/>
        <v>30</v>
      </c>
      <c r="J1883">
        <f t="shared" si="295"/>
        <v>270</v>
      </c>
      <c r="K1883">
        <f t="shared" si="296"/>
        <v>5</v>
      </c>
      <c r="L1883">
        <f t="shared" si="297"/>
        <v>636146</v>
      </c>
      <c r="M1883">
        <f t="shared" si="298"/>
        <v>207212</v>
      </c>
      <c r="N1883">
        <f t="shared" si="299"/>
        <v>891358</v>
      </c>
      <c r="O1883">
        <f>IF(B1883="zagraniczny",K1883+O1882,O1882)</f>
        <v>813</v>
      </c>
    </row>
    <row r="1884" spans="1:15" x14ac:dyDescent="0.25">
      <c r="A1884">
        <v>4025325</v>
      </c>
      <c r="B1884" t="str">
        <f t="shared" si="290"/>
        <v>stacjonarny</v>
      </c>
      <c r="C1884" s="1">
        <v>42943</v>
      </c>
      <c r="D1884" s="2">
        <v>0.46151620370370372</v>
      </c>
      <c r="E1884" s="2">
        <v>0.46604166666666669</v>
      </c>
      <c r="F1884" s="2">
        <f t="shared" si="291"/>
        <v>4.5254629629629672E-3</v>
      </c>
      <c r="G1884">
        <f t="shared" si="292"/>
        <v>0</v>
      </c>
      <c r="H1884">
        <f t="shared" si="293"/>
        <v>6</v>
      </c>
      <c r="I1884">
        <f t="shared" si="294"/>
        <v>31</v>
      </c>
      <c r="J1884">
        <f t="shared" si="295"/>
        <v>391</v>
      </c>
      <c r="K1884">
        <f t="shared" si="296"/>
        <v>7</v>
      </c>
      <c r="L1884">
        <f t="shared" si="297"/>
        <v>636537</v>
      </c>
      <c r="M1884">
        <f t="shared" si="298"/>
        <v>207212</v>
      </c>
      <c r="N1884">
        <f t="shared" si="299"/>
        <v>891749</v>
      </c>
      <c r="O1884">
        <f>IF(B1884="zagraniczny",K1884+O1883,O1883)</f>
        <v>813</v>
      </c>
    </row>
    <row r="1885" spans="1:15" x14ac:dyDescent="0.25">
      <c r="A1885">
        <v>6220398</v>
      </c>
      <c r="B1885" t="str">
        <f t="shared" si="290"/>
        <v>stacjonarny</v>
      </c>
      <c r="C1885" s="1">
        <v>42943</v>
      </c>
      <c r="D1885" s="2">
        <v>0.46175925925925926</v>
      </c>
      <c r="E1885" s="2">
        <v>0.46263888888888888</v>
      </c>
      <c r="F1885" s="2">
        <f t="shared" si="291"/>
        <v>8.796296296296191E-4</v>
      </c>
      <c r="G1885">
        <f t="shared" si="292"/>
        <v>0</v>
      </c>
      <c r="H1885">
        <f t="shared" si="293"/>
        <v>1</v>
      </c>
      <c r="I1885">
        <f t="shared" si="294"/>
        <v>16</v>
      </c>
      <c r="J1885">
        <f t="shared" si="295"/>
        <v>76</v>
      </c>
      <c r="K1885">
        <f t="shared" si="296"/>
        <v>2</v>
      </c>
      <c r="L1885">
        <f t="shared" si="297"/>
        <v>636613</v>
      </c>
      <c r="M1885">
        <f t="shared" si="298"/>
        <v>207212</v>
      </c>
      <c r="N1885">
        <f t="shared" si="299"/>
        <v>891825</v>
      </c>
      <c r="O1885">
        <f>IF(B1885="zagraniczny",K1885+O1884,O1884)</f>
        <v>813</v>
      </c>
    </row>
    <row r="1886" spans="1:15" x14ac:dyDescent="0.25">
      <c r="A1886">
        <v>6326108</v>
      </c>
      <c r="B1886" t="str">
        <f t="shared" si="290"/>
        <v>stacjonarny</v>
      </c>
      <c r="C1886" s="1">
        <v>42943</v>
      </c>
      <c r="D1886" s="2">
        <v>0.46474537037037039</v>
      </c>
      <c r="E1886" s="2">
        <v>0.47486111111111112</v>
      </c>
      <c r="F1886" s="2">
        <f t="shared" si="291"/>
        <v>1.0115740740740731E-2</v>
      </c>
      <c r="G1886">
        <f t="shared" si="292"/>
        <v>0</v>
      </c>
      <c r="H1886">
        <f t="shared" si="293"/>
        <v>14</v>
      </c>
      <c r="I1886">
        <f t="shared" si="294"/>
        <v>34</v>
      </c>
      <c r="J1886">
        <f t="shared" si="295"/>
        <v>874</v>
      </c>
      <c r="K1886">
        <f t="shared" si="296"/>
        <v>15</v>
      </c>
      <c r="L1886">
        <f t="shared" si="297"/>
        <v>637487</v>
      </c>
      <c r="M1886">
        <f t="shared" si="298"/>
        <v>207212</v>
      </c>
      <c r="N1886">
        <f t="shared" si="299"/>
        <v>892699</v>
      </c>
      <c r="O1886">
        <f>IF(B1886="zagraniczny",K1886+O1885,O1885)</f>
        <v>813</v>
      </c>
    </row>
    <row r="1887" spans="1:15" x14ac:dyDescent="0.25">
      <c r="A1887">
        <v>88929709</v>
      </c>
      <c r="B1887" t="str">
        <f t="shared" si="290"/>
        <v>komorkowy</v>
      </c>
      <c r="C1887" s="1">
        <v>42943</v>
      </c>
      <c r="D1887" s="2">
        <v>0.46687499999999998</v>
      </c>
      <c r="E1887" s="2">
        <v>0.47510416666666666</v>
      </c>
      <c r="F1887" s="2">
        <f t="shared" si="291"/>
        <v>8.2291666666666763E-3</v>
      </c>
      <c r="G1887">
        <f t="shared" si="292"/>
        <v>0</v>
      </c>
      <c r="H1887">
        <f t="shared" si="293"/>
        <v>11</v>
      </c>
      <c r="I1887">
        <f t="shared" si="294"/>
        <v>51</v>
      </c>
      <c r="J1887">
        <f t="shared" si="295"/>
        <v>711</v>
      </c>
      <c r="K1887">
        <f t="shared" si="296"/>
        <v>12</v>
      </c>
      <c r="L1887">
        <f t="shared" si="297"/>
        <v>637487</v>
      </c>
      <c r="M1887">
        <f t="shared" si="298"/>
        <v>207923</v>
      </c>
      <c r="N1887">
        <f t="shared" si="299"/>
        <v>893410</v>
      </c>
      <c r="O1887">
        <f>IF(B1887="zagraniczny",K1887+O1886,O1886)</f>
        <v>813</v>
      </c>
    </row>
    <row r="1888" spans="1:15" x14ac:dyDescent="0.25">
      <c r="A1888">
        <v>3004967</v>
      </c>
      <c r="B1888" t="str">
        <f t="shared" si="290"/>
        <v>stacjonarny</v>
      </c>
      <c r="C1888" s="1">
        <v>42943</v>
      </c>
      <c r="D1888" s="2">
        <v>0.4707175925925926</v>
      </c>
      <c r="E1888" s="2">
        <v>0.47547453703703701</v>
      </c>
      <c r="F1888" s="2">
        <f t="shared" si="291"/>
        <v>4.7569444444444109E-3</v>
      </c>
      <c r="G1888">
        <f t="shared" si="292"/>
        <v>0</v>
      </c>
      <c r="H1888">
        <f t="shared" si="293"/>
        <v>6</v>
      </c>
      <c r="I1888">
        <f t="shared" si="294"/>
        <v>51</v>
      </c>
      <c r="J1888">
        <f t="shared" si="295"/>
        <v>411</v>
      </c>
      <c r="K1888">
        <f t="shared" si="296"/>
        <v>7</v>
      </c>
      <c r="L1888">
        <f t="shared" si="297"/>
        <v>637898</v>
      </c>
      <c r="M1888">
        <f t="shared" si="298"/>
        <v>207923</v>
      </c>
      <c r="N1888">
        <f t="shared" si="299"/>
        <v>893821</v>
      </c>
      <c r="O1888">
        <f>IF(B1888="zagraniczny",K1888+O1887,O1887)</f>
        <v>813</v>
      </c>
    </row>
    <row r="1889" spans="1:15" x14ac:dyDescent="0.25">
      <c r="A1889">
        <v>1721264</v>
      </c>
      <c r="B1889" t="str">
        <f t="shared" si="290"/>
        <v>stacjonarny</v>
      </c>
      <c r="C1889" s="1">
        <v>42943</v>
      </c>
      <c r="D1889" s="2">
        <v>0.47394675925925928</v>
      </c>
      <c r="E1889" s="2">
        <v>0.47922453703703705</v>
      </c>
      <c r="F1889" s="2">
        <f t="shared" si="291"/>
        <v>5.2777777777777701E-3</v>
      </c>
      <c r="G1889">
        <f t="shared" si="292"/>
        <v>0</v>
      </c>
      <c r="H1889">
        <f t="shared" si="293"/>
        <v>7</v>
      </c>
      <c r="I1889">
        <f t="shared" si="294"/>
        <v>36</v>
      </c>
      <c r="J1889">
        <f t="shared" si="295"/>
        <v>456</v>
      </c>
      <c r="K1889">
        <f t="shared" si="296"/>
        <v>8</v>
      </c>
      <c r="L1889">
        <f t="shared" si="297"/>
        <v>638354</v>
      </c>
      <c r="M1889">
        <f t="shared" si="298"/>
        <v>207923</v>
      </c>
      <c r="N1889">
        <f t="shared" si="299"/>
        <v>894277</v>
      </c>
      <c r="O1889">
        <f>IF(B1889="zagraniczny",K1889+O1888,O1888)</f>
        <v>813</v>
      </c>
    </row>
    <row r="1890" spans="1:15" x14ac:dyDescent="0.25">
      <c r="A1890">
        <v>5231877</v>
      </c>
      <c r="B1890" t="str">
        <f t="shared" si="290"/>
        <v>stacjonarny</v>
      </c>
      <c r="C1890" s="1">
        <v>42943</v>
      </c>
      <c r="D1890" s="2">
        <v>0.47550925925925924</v>
      </c>
      <c r="E1890" s="2">
        <v>0.47930555555555554</v>
      </c>
      <c r="F1890" s="2">
        <f t="shared" si="291"/>
        <v>3.7962962962962976E-3</v>
      </c>
      <c r="G1890">
        <f t="shared" si="292"/>
        <v>0</v>
      </c>
      <c r="H1890">
        <f t="shared" si="293"/>
        <v>5</v>
      </c>
      <c r="I1890">
        <f t="shared" si="294"/>
        <v>28</v>
      </c>
      <c r="J1890">
        <f t="shared" si="295"/>
        <v>328</v>
      </c>
      <c r="K1890">
        <f t="shared" si="296"/>
        <v>6</v>
      </c>
      <c r="L1890">
        <f t="shared" si="297"/>
        <v>638682</v>
      </c>
      <c r="M1890">
        <f t="shared" si="298"/>
        <v>207923</v>
      </c>
      <c r="N1890">
        <f t="shared" si="299"/>
        <v>894605</v>
      </c>
      <c r="O1890">
        <f>IF(B1890="zagraniczny",K1890+O1889,O1889)</f>
        <v>813</v>
      </c>
    </row>
    <row r="1891" spans="1:15" x14ac:dyDescent="0.25">
      <c r="A1891">
        <v>92414932</v>
      </c>
      <c r="B1891" t="str">
        <f t="shared" si="290"/>
        <v>komorkowy</v>
      </c>
      <c r="C1891" s="1">
        <v>42943</v>
      </c>
      <c r="D1891" s="2">
        <v>0.48085648148148147</v>
      </c>
      <c r="E1891" s="2">
        <v>0.48893518518518519</v>
      </c>
      <c r="F1891" s="2">
        <f t="shared" si="291"/>
        <v>8.0787037037037268E-3</v>
      </c>
      <c r="G1891">
        <f t="shared" si="292"/>
        <v>0</v>
      </c>
      <c r="H1891">
        <f t="shared" si="293"/>
        <v>11</v>
      </c>
      <c r="I1891">
        <f t="shared" si="294"/>
        <v>38</v>
      </c>
      <c r="J1891">
        <f t="shared" si="295"/>
        <v>698</v>
      </c>
      <c r="K1891">
        <f t="shared" si="296"/>
        <v>12</v>
      </c>
      <c r="L1891">
        <f t="shared" si="297"/>
        <v>638682</v>
      </c>
      <c r="M1891">
        <f t="shared" si="298"/>
        <v>208621</v>
      </c>
      <c r="N1891">
        <f t="shared" si="299"/>
        <v>895303</v>
      </c>
      <c r="O1891">
        <f>IF(B1891="zagraniczny",K1891+O1890,O1890)</f>
        <v>813</v>
      </c>
    </row>
    <row r="1892" spans="1:15" x14ac:dyDescent="0.25">
      <c r="A1892">
        <v>3202610</v>
      </c>
      <c r="B1892" t="str">
        <f t="shared" si="290"/>
        <v>stacjonarny</v>
      </c>
      <c r="C1892" s="1">
        <v>42943</v>
      </c>
      <c r="D1892" s="2">
        <v>0.48528935185185185</v>
      </c>
      <c r="E1892" s="2">
        <v>0.48694444444444446</v>
      </c>
      <c r="F1892" s="2">
        <f t="shared" si="291"/>
        <v>1.6550925925926108E-3</v>
      </c>
      <c r="G1892">
        <f t="shared" si="292"/>
        <v>0</v>
      </c>
      <c r="H1892">
        <f t="shared" si="293"/>
        <v>2</v>
      </c>
      <c r="I1892">
        <f t="shared" si="294"/>
        <v>23</v>
      </c>
      <c r="J1892">
        <f t="shared" si="295"/>
        <v>143</v>
      </c>
      <c r="K1892">
        <f t="shared" si="296"/>
        <v>3</v>
      </c>
      <c r="L1892">
        <f t="shared" si="297"/>
        <v>638825</v>
      </c>
      <c r="M1892">
        <f t="shared" si="298"/>
        <v>208621</v>
      </c>
      <c r="N1892">
        <f t="shared" si="299"/>
        <v>895446</v>
      </c>
      <c r="O1892">
        <f>IF(B1892="zagraniczny",K1892+O1891,O1891)</f>
        <v>813</v>
      </c>
    </row>
    <row r="1893" spans="1:15" x14ac:dyDescent="0.25">
      <c r="A1893">
        <v>2825289</v>
      </c>
      <c r="B1893" t="str">
        <f t="shared" si="290"/>
        <v>stacjonarny</v>
      </c>
      <c r="C1893" s="1">
        <v>42943</v>
      </c>
      <c r="D1893" s="2">
        <v>0.4855902777777778</v>
      </c>
      <c r="E1893" s="2">
        <v>0.49710648148148145</v>
      </c>
      <c r="F1893" s="2">
        <f t="shared" si="291"/>
        <v>1.1516203703703654E-2</v>
      </c>
      <c r="G1893">
        <f t="shared" si="292"/>
        <v>0</v>
      </c>
      <c r="H1893">
        <f t="shared" si="293"/>
        <v>16</v>
      </c>
      <c r="I1893">
        <f t="shared" si="294"/>
        <v>35</v>
      </c>
      <c r="J1893">
        <f t="shared" si="295"/>
        <v>995</v>
      </c>
      <c r="K1893">
        <f t="shared" si="296"/>
        <v>17</v>
      </c>
      <c r="L1893">
        <f t="shared" si="297"/>
        <v>639820</v>
      </c>
      <c r="M1893">
        <f t="shared" si="298"/>
        <v>208621</v>
      </c>
      <c r="N1893">
        <f t="shared" si="299"/>
        <v>896441</v>
      </c>
      <c r="O1893">
        <f>IF(B1893="zagraniczny",K1893+O1892,O1892)</f>
        <v>813</v>
      </c>
    </row>
    <row r="1894" spans="1:15" x14ac:dyDescent="0.25">
      <c r="A1894">
        <v>7915936</v>
      </c>
      <c r="B1894" t="str">
        <f t="shared" si="290"/>
        <v>stacjonarny</v>
      </c>
      <c r="C1894" s="1">
        <v>42943</v>
      </c>
      <c r="D1894" s="2">
        <v>0.49075231481481479</v>
      </c>
      <c r="E1894" s="2">
        <v>0.49836805555555558</v>
      </c>
      <c r="F1894" s="2">
        <f t="shared" si="291"/>
        <v>7.615740740740784E-3</v>
      </c>
      <c r="G1894">
        <f t="shared" si="292"/>
        <v>0</v>
      </c>
      <c r="H1894">
        <f t="shared" si="293"/>
        <v>10</v>
      </c>
      <c r="I1894">
        <f t="shared" si="294"/>
        <v>58</v>
      </c>
      <c r="J1894">
        <f t="shared" si="295"/>
        <v>658</v>
      </c>
      <c r="K1894">
        <f t="shared" si="296"/>
        <v>11</v>
      </c>
      <c r="L1894">
        <f t="shared" si="297"/>
        <v>640478</v>
      </c>
      <c r="M1894">
        <f t="shared" si="298"/>
        <v>208621</v>
      </c>
      <c r="N1894">
        <f t="shared" si="299"/>
        <v>897099</v>
      </c>
      <c r="O1894">
        <f>IF(B1894="zagraniczny",K1894+O1893,O1893)</f>
        <v>813</v>
      </c>
    </row>
    <row r="1895" spans="1:15" x14ac:dyDescent="0.25">
      <c r="A1895">
        <v>3680072</v>
      </c>
      <c r="B1895" t="str">
        <f t="shared" si="290"/>
        <v>stacjonarny</v>
      </c>
      <c r="C1895" s="1">
        <v>42943</v>
      </c>
      <c r="D1895" s="2">
        <v>0.49561342592592594</v>
      </c>
      <c r="E1895" s="2">
        <v>0.49716435185185187</v>
      </c>
      <c r="F1895" s="2">
        <f t="shared" si="291"/>
        <v>1.5509259259259278E-3</v>
      </c>
      <c r="G1895">
        <f t="shared" si="292"/>
        <v>0</v>
      </c>
      <c r="H1895">
        <f t="shared" si="293"/>
        <v>2</v>
      </c>
      <c r="I1895">
        <f t="shared" si="294"/>
        <v>14</v>
      </c>
      <c r="J1895">
        <f t="shared" si="295"/>
        <v>134</v>
      </c>
      <c r="K1895">
        <f t="shared" si="296"/>
        <v>3</v>
      </c>
      <c r="L1895">
        <f t="shared" si="297"/>
        <v>640612</v>
      </c>
      <c r="M1895">
        <f t="shared" si="298"/>
        <v>208621</v>
      </c>
      <c r="N1895">
        <f t="shared" si="299"/>
        <v>897233</v>
      </c>
      <c r="O1895">
        <f>IF(B1895="zagraniczny",K1895+O1894,O1894)</f>
        <v>813</v>
      </c>
    </row>
    <row r="1896" spans="1:15" x14ac:dyDescent="0.25">
      <c r="A1896">
        <v>6980867</v>
      </c>
      <c r="B1896" t="str">
        <f t="shared" si="290"/>
        <v>stacjonarny</v>
      </c>
      <c r="C1896" s="1">
        <v>42943</v>
      </c>
      <c r="D1896" s="2">
        <v>0.49716435185185187</v>
      </c>
      <c r="E1896" s="2">
        <v>0.50270833333333331</v>
      </c>
      <c r="F1896" s="2">
        <f t="shared" si="291"/>
        <v>5.5439814814814414E-3</v>
      </c>
      <c r="G1896">
        <f t="shared" si="292"/>
        <v>0</v>
      </c>
      <c r="H1896">
        <f t="shared" si="293"/>
        <v>7</v>
      </c>
      <c r="I1896">
        <f t="shared" si="294"/>
        <v>59</v>
      </c>
      <c r="J1896">
        <f t="shared" si="295"/>
        <v>479</v>
      </c>
      <c r="K1896">
        <f t="shared" si="296"/>
        <v>8</v>
      </c>
      <c r="L1896">
        <f t="shared" si="297"/>
        <v>641091</v>
      </c>
      <c r="M1896">
        <f t="shared" si="298"/>
        <v>208621</v>
      </c>
      <c r="N1896">
        <f t="shared" si="299"/>
        <v>897712</v>
      </c>
      <c r="O1896">
        <f>IF(B1896="zagraniczny",K1896+O1895,O1895)</f>
        <v>813</v>
      </c>
    </row>
    <row r="1897" spans="1:15" x14ac:dyDescent="0.25">
      <c r="A1897">
        <v>3656681</v>
      </c>
      <c r="B1897" t="str">
        <f t="shared" si="290"/>
        <v>stacjonarny</v>
      </c>
      <c r="C1897" s="1">
        <v>42943</v>
      </c>
      <c r="D1897" s="2">
        <v>0.50123842592592593</v>
      </c>
      <c r="E1897" s="2">
        <v>0.5084143518518518</v>
      </c>
      <c r="F1897" s="2">
        <f t="shared" si="291"/>
        <v>7.1759259259258634E-3</v>
      </c>
      <c r="G1897">
        <f t="shared" si="292"/>
        <v>0</v>
      </c>
      <c r="H1897">
        <f t="shared" si="293"/>
        <v>10</v>
      </c>
      <c r="I1897">
        <f t="shared" si="294"/>
        <v>20</v>
      </c>
      <c r="J1897">
        <f t="shared" si="295"/>
        <v>620</v>
      </c>
      <c r="K1897">
        <f t="shared" si="296"/>
        <v>11</v>
      </c>
      <c r="L1897">
        <f t="shared" si="297"/>
        <v>641711</v>
      </c>
      <c r="M1897">
        <f t="shared" si="298"/>
        <v>208621</v>
      </c>
      <c r="N1897">
        <f t="shared" si="299"/>
        <v>898332</v>
      </c>
      <c r="O1897">
        <f>IF(B1897="zagraniczny",K1897+O1896,O1896)</f>
        <v>813</v>
      </c>
    </row>
    <row r="1898" spans="1:15" x14ac:dyDescent="0.25">
      <c r="A1898">
        <v>4445684</v>
      </c>
      <c r="B1898" t="str">
        <f t="shared" si="290"/>
        <v>stacjonarny</v>
      </c>
      <c r="C1898" s="1">
        <v>42943</v>
      </c>
      <c r="D1898" s="2">
        <v>0.50361111111111112</v>
      </c>
      <c r="E1898" s="2">
        <v>0.51285879629629627</v>
      </c>
      <c r="F1898" s="2">
        <f t="shared" si="291"/>
        <v>9.2476851851851505E-3</v>
      </c>
      <c r="G1898">
        <f t="shared" si="292"/>
        <v>0</v>
      </c>
      <c r="H1898">
        <f t="shared" si="293"/>
        <v>13</v>
      </c>
      <c r="I1898">
        <f t="shared" si="294"/>
        <v>19</v>
      </c>
      <c r="J1898">
        <f t="shared" si="295"/>
        <v>799</v>
      </c>
      <c r="K1898">
        <f t="shared" si="296"/>
        <v>14</v>
      </c>
      <c r="L1898">
        <f t="shared" si="297"/>
        <v>642510</v>
      </c>
      <c r="M1898">
        <f t="shared" si="298"/>
        <v>208621</v>
      </c>
      <c r="N1898">
        <f t="shared" si="299"/>
        <v>899131</v>
      </c>
      <c r="O1898">
        <f>IF(B1898="zagraniczny",K1898+O1897,O1897)</f>
        <v>813</v>
      </c>
    </row>
    <row r="1899" spans="1:15" x14ac:dyDescent="0.25">
      <c r="A1899">
        <v>9864502</v>
      </c>
      <c r="B1899" t="str">
        <f t="shared" si="290"/>
        <v>stacjonarny</v>
      </c>
      <c r="C1899" s="1">
        <v>42943</v>
      </c>
      <c r="D1899" s="2">
        <v>0.50722222222222224</v>
      </c>
      <c r="E1899" s="2">
        <v>0.50762731481481482</v>
      </c>
      <c r="F1899" s="2">
        <f t="shared" si="291"/>
        <v>4.050925925925819E-4</v>
      </c>
      <c r="G1899">
        <f t="shared" si="292"/>
        <v>0</v>
      </c>
      <c r="H1899">
        <f t="shared" si="293"/>
        <v>0</v>
      </c>
      <c r="I1899">
        <f t="shared" si="294"/>
        <v>35</v>
      </c>
      <c r="J1899">
        <f t="shared" si="295"/>
        <v>35</v>
      </c>
      <c r="K1899">
        <f t="shared" si="296"/>
        <v>1</v>
      </c>
      <c r="L1899">
        <f t="shared" si="297"/>
        <v>642545</v>
      </c>
      <c r="M1899">
        <f t="shared" si="298"/>
        <v>208621</v>
      </c>
      <c r="N1899">
        <f t="shared" si="299"/>
        <v>899166</v>
      </c>
      <c r="O1899">
        <f>IF(B1899="zagraniczny",K1899+O1898,O1898)</f>
        <v>813</v>
      </c>
    </row>
    <row r="1900" spans="1:15" x14ac:dyDescent="0.25">
      <c r="A1900">
        <v>5881130</v>
      </c>
      <c r="B1900" t="str">
        <f t="shared" si="290"/>
        <v>stacjonarny</v>
      </c>
      <c r="C1900" s="1">
        <v>42943</v>
      </c>
      <c r="D1900" s="2">
        <v>0.51086805555555559</v>
      </c>
      <c r="E1900" s="2">
        <v>0.516087962962963</v>
      </c>
      <c r="F1900" s="2">
        <f t="shared" si="291"/>
        <v>5.2199074074074092E-3</v>
      </c>
      <c r="G1900">
        <f t="shared" si="292"/>
        <v>0</v>
      </c>
      <c r="H1900">
        <f t="shared" si="293"/>
        <v>7</v>
      </c>
      <c r="I1900">
        <f t="shared" si="294"/>
        <v>31</v>
      </c>
      <c r="J1900">
        <f t="shared" si="295"/>
        <v>451</v>
      </c>
      <c r="K1900">
        <f t="shared" si="296"/>
        <v>8</v>
      </c>
      <c r="L1900">
        <f t="shared" si="297"/>
        <v>642996</v>
      </c>
      <c r="M1900">
        <f t="shared" si="298"/>
        <v>208621</v>
      </c>
      <c r="N1900">
        <f t="shared" si="299"/>
        <v>899617</v>
      </c>
      <c r="O1900">
        <f>IF(B1900="zagraniczny",K1900+O1899,O1899)</f>
        <v>813</v>
      </c>
    </row>
    <row r="1901" spans="1:15" x14ac:dyDescent="0.25">
      <c r="A1901">
        <v>2056567</v>
      </c>
      <c r="B1901" t="str">
        <f t="shared" si="290"/>
        <v>stacjonarny</v>
      </c>
      <c r="C1901" s="1">
        <v>42943</v>
      </c>
      <c r="D1901" s="2">
        <v>0.51563657407407404</v>
      </c>
      <c r="E1901" s="2">
        <v>0.52396990740740745</v>
      </c>
      <c r="F1901" s="2">
        <f t="shared" si="291"/>
        <v>8.3333333333334147E-3</v>
      </c>
      <c r="G1901">
        <f t="shared" si="292"/>
        <v>0</v>
      </c>
      <c r="H1901">
        <f t="shared" si="293"/>
        <v>12</v>
      </c>
      <c r="I1901">
        <f t="shared" si="294"/>
        <v>0</v>
      </c>
      <c r="J1901">
        <f t="shared" si="295"/>
        <v>720</v>
      </c>
      <c r="K1901">
        <f t="shared" si="296"/>
        <v>12</v>
      </c>
      <c r="L1901">
        <f t="shared" si="297"/>
        <v>643716</v>
      </c>
      <c r="M1901">
        <f t="shared" si="298"/>
        <v>208621</v>
      </c>
      <c r="N1901">
        <f t="shared" si="299"/>
        <v>900337</v>
      </c>
      <c r="O1901">
        <f>IF(B1901="zagraniczny",K1901+O1900,O1900)</f>
        <v>813</v>
      </c>
    </row>
    <row r="1902" spans="1:15" x14ac:dyDescent="0.25">
      <c r="A1902">
        <v>62150310</v>
      </c>
      <c r="B1902" t="str">
        <f t="shared" si="290"/>
        <v>komorkowy</v>
      </c>
      <c r="C1902" s="1">
        <v>42943</v>
      </c>
      <c r="D1902" s="2">
        <v>0.52003472222222225</v>
      </c>
      <c r="E1902" s="2">
        <v>0.52927083333333336</v>
      </c>
      <c r="F1902" s="2">
        <f t="shared" si="291"/>
        <v>9.2361111111111116E-3</v>
      </c>
      <c r="G1902">
        <f t="shared" si="292"/>
        <v>0</v>
      </c>
      <c r="H1902">
        <f t="shared" si="293"/>
        <v>13</v>
      </c>
      <c r="I1902">
        <f t="shared" si="294"/>
        <v>18</v>
      </c>
      <c r="J1902">
        <f t="shared" si="295"/>
        <v>798</v>
      </c>
      <c r="K1902">
        <f t="shared" si="296"/>
        <v>14</v>
      </c>
      <c r="L1902">
        <f t="shared" si="297"/>
        <v>643716</v>
      </c>
      <c r="M1902">
        <f t="shared" si="298"/>
        <v>209419</v>
      </c>
      <c r="N1902">
        <f t="shared" si="299"/>
        <v>901135</v>
      </c>
      <c r="O1902">
        <f>IF(B1902="zagraniczny",K1902+O1901,O1901)</f>
        <v>813</v>
      </c>
    </row>
    <row r="1903" spans="1:15" x14ac:dyDescent="0.25">
      <c r="A1903">
        <v>9340299</v>
      </c>
      <c r="B1903" t="str">
        <f t="shared" si="290"/>
        <v>stacjonarny</v>
      </c>
      <c r="C1903" s="1">
        <v>42943</v>
      </c>
      <c r="D1903" s="2">
        <v>0.52034722222222218</v>
      </c>
      <c r="E1903" s="2">
        <v>0.52137731481481486</v>
      </c>
      <c r="F1903" s="2">
        <f t="shared" si="291"/>
        <v>1.0300925925926796E-3</v>
      </c>
      <c r="G1903">
        <f t="shared" si="292"/>
        <v>0</v>
      </c>
      <c r="H1903">
        <f t="shared" si="293"/>
        <v>1</v>
      </c>
      <c r="I1903">
        <f t="shared" si="294"/>
        <v>29</v>
      </c>
      <c r="J1903">
        <f t="shared" si="295"/>
        <v>89</v>
      </c>
      <c r="K1903">
        <f t="shared" si="296"/>
        <v>2</v>
      </c>
      <c r="L1903">
        <f t="shared" si="297"/>
        <v>643805</v>
      </c>
      <c r="M1903">
        <f t="shared" si="298"/>
        <v>209419</v>
      </c>
      <c r="N1903">
        <f t="shared" si="299"/>
        <v>901224</v>
      </c>
      <c r="O1903">
        <f>IF(B1903="zagraniczny",K1903+O1902,O1902)</f>
        <v>813</v>
      </c>
    </row>
    <row r="1904" spans="1:15" x14ac:dyDescent="0.25">
      <c r="A1904">
        <v>3912924</v>
      </c>
      <c r="B1904" t="str">
        <f t="shared" si="290"/>
        <v>stacjonarny</v>
      </c>
      <c r="C1904" s="1">
        <v>42943</v>
      </c>
      <c r="D1904" s="2">
        <v>0.52368055555555559</v>
      </c>
      <c r="E1904" s="2">
        <v>0.52627314814814818</v>
      </c>
      <c r="F1904" s="2">
        <f t="shared" si="291"/>
        <v>2.5925925925925908E-3</v>
      </c>
      <c r="G1904">
        <f t="shared" si="292"/>
        <v>0</v>
      </c>
      <c r="H1904">
        <f t="shared" si="293"/>
        <v>3</v>
      </c>
      <c r="I1904">
        <f t="shared" si="294"/>
        <v>44</v>
      </c>
      <c r="J1904">
        <f t="shared" si="295"/>
        <v>224</v>
      </c>
      <c r="K1904">
        <f t="shared" si="296"/>
        <v>4</v>
      </c>
      <c r="L1904">
        <f t="shared" si="297"/>
        <v>644029</v>
      </c>
      <c r="M1904">
        <f t="shared" si="298"/>
        <v>209419</v>
      </c>
      <c r="N1904">
        <f t="shared" si="299"/>
        <v>901448</v>
      </c>
      <c r="O1904">
        <f>IF(B1904="zagraniczny",K1904+O1903,O1903)</f>
        <v>813</v>
      </c>
    </row>
    <row r="1905" spans="1:15" x14ac:dyDescent="0.25">
      <c r="A1905">
        <v>8159466</v>
      </c>
      <c r="B1905" t="str">
        <f t="shared" si="290"/>
        <v>stacjonarny</v>
      </c>
      <c r="C1905" s="1">
        <v>42943</v>
      </c>
      <c r="D1905" s="2">
        <v>0.52460648148148148</v>
      </c>
      <c r="E1905" s="2">
        <v>0.52971064814814817</v>
      </c>
      <c r="F1905" s="2">
        <f t="shared" si="291"/>
        <v>5.1041666666666874E-3</v>
      </c>
      <c r="G1905">
        <f t="shared" si="292"/>
        <v>0</v>
      </c>
      <c r="H1905">
        <f t="shared" si="293"/>
        <v>7</v>
      </c>
      <c r="I1905">
        <f t="shared" si="294"/>
        <v>21</v>
      </c>
      <c r="J1905">
        <f t="shared" si="295"/>
        <v>441</v>
      </c>
      <c r="K1905">
        <f t="shared" si="296"/>
        <v>8</v>
      </c>
      <c r="L1905">
        <f t="shared" si="297"/>
        <v>644470</v>
      </c>
      <c r="M1905">
        <f t="shared" si="298"/>
        <v>209419</v>
      </c>
      <c r="N1905">
        <f t="shared" si="299"/>
        <v>901889</v>
      </c>
      <c r="O1905">
        <f>IF(B1905="zagraniczny",K1905+O1904,O1904)</f>
        <v>813</v>
      </c>
    </row>
    <row r="1906" spans="1:15" x14ac:dyDescent="0.25">
      <c r="A1906">
        <v>7467198</v>
      </c>
      <c r="B1906" t="str">
        <f t="shared" si="290"/>
        <v>stacjonarny</v>
      </c>
      <c r="C1906" s="1">
        <v>42943</v>
      </c>
      <c r="D1906" s="2">
        <v>0.52993055555555557</v>
      </c>
      <c r="E1906" s="2">
        <v>0.53739583333333329</v>
      </c>
      <c r="F1906" s="2">
        <f t="shared" si="291"/>
        <v>7.4652777777777235E-3</v>
      </c>
      <c r="G1906">
        <f t="shared" si="292"/>
        <v>0</v>
      </c>
      <c r="H1906">
        <f t="shared" si="293"/>
        <v>10</v>
      </c>
      <c r="I1906">
        <f t="shared" si="294"/>
        <v>45</v>
      </c>
      <c r="J1906">
        <f t="shared" si="295"/>
        <v>645</v>
      </c>
      <c r="K1906">
        <f t="shared" si="296"/>
        <v>11</v>
      </c>
      <c r="L1906">
        <f t="shared" si="297"/>
        <v>645115</v>
      </c>
      <c r="M1906">
        <f t="shared" si="298"/>
        <v>209419</v>
      </c>
      <c r="N1906">
        <f t="shared" si="299"/>
        <v>902534</v>
      </c>
      <c r="O1906">
        <f>IF(B1906="zagraniczny",K1906+O1905,O1905)</f>
        <v>813</v>
      </c>
    </row>
    <row r="1907" spans="1:15" x14ac:dyDescent="0.25">
      <c r="A1907">
        <v>4703748</v>
      </c>
      <c r="B1907" t="str">
        <f t="shared" si="290"/>
        <v>stacjonarny</v>
      </c>
      <c r="C1907" s="1">
        <v>42943</v>
      </c>
      <c r="D1907" s="2">
        <v>0.53315972222222219</v>
      </c>
      <c r="E1907" s="2">
        <v>0.53454861111111107</v>
      </c>
      <c r="F1907" s="2">
        <f t="shared" si="291"/>
        <v>1.388888888888884E-3</v>
      </c>
      <c r="G1907">
        <f t="shared" si="292"/>
        <v>0</v>
      </c>
      <c r="H1907">
        <f t="shared" si="293"/>
        <v>2</v>
      </c>
      <c r="I1907">
        <f t="shared" si="294"/>
        <v>0</v>
      </c>
      <c r="J1907">
        <f t="shared" si="295"/>
        <v>120</v>
      </c>
      <c r="K1907">
        <f t="shared" si="296"/>
        <v>2</v>
      </c>
      <c r="L1907">
        <f t="shared" si="297"/>
        <v>645235</v>
      </c>
      <c r="M1907">
        <f t="shared" si="298"/>
        <v>209419</v>
      </c>
      <c r="N1907">
        <f t="shared" si="299"/>
        <v>902654</v>
      </c>
      <c r="O1907">
        <f>IF(B1907="zagraniczny",K1907+O1906,O1906)</f>
        <v>813</v>
      </c>
    </row>
    <row r="1908" spans="1:15" x14ac:dyDescent="0.25">
      <c r="A1908">
        <v>1165705</v>
      </c>
      <c r="B1908" t="str">
        <f t="shared" si="290"/>
        <v>stacjonarny</v>
      </c>
      <c r="C1908" s="1">
        <v>42943</v>
      </c>
      <c r="D1908" s="2">
        <v>0.53666666666666663</v>
      </c>
      <c r="E1908" s="2">
        <v>0.54100694444444442</v>
      </c>
      <c r="F1908" s="2">
        <f t="shared" si="291"/>
        <v>4.3402777777777901E-3</v>
      </c>
      <c r="G1908">
        <f t="shared" si="292"/>
        <v>0</v>
      </c>
      <c r="H1908">
        <f t="shared" si="293"/>
        <v>6</v>
      </c>
      <c r="I1908">
        <f t="shared" si="294"/>
        <v>15</v>
      </c>
      <c r="J1908">
        <f t="shared" si="295"/>
        <v>375</v>
      </c>
      <c r="K1908">
        <f t="shared" si="296"/>
        <v>7</v>
      </c>
      <c r="L1908">
        <f t="shared" si="297"/>
        <v>645610</v>
      </c>
      <c r="M1908">
        <f t="shared" si="298"/>
        <v>209419</v>
      </c>
      <c r="N1908">
        <f t="shared" si="299"/>
        <v>903029</v>
      </c>
      <c r="O1908">
        <f>IF(B1908="zagraniczny",K1908+O1907,O1907)</f>
        <v>813</v>
      </c>
    </row>
    <row r="1909" spans="1:15" x14ac:dyDescent="0.25">
      <c r="A1909">
        <v>90762334</v>
      </c>
      <c r="B1909" t="str">
        <f t="shared" si="290"/>
        <v>komorkowy</v>
      </c>
      <c r="C1909" s="1">
        <v>42943</v>
      </c>
      <c r="D1909" s="2">
        <v>0.54144675925925922</v>
      </c>
      <c r="E1909" s="2">
        <v>0.54313657407407412</v>
      </c>
      <c r="F1909" s="2">
        <f t="shared" si="291"/>
        <v>1.6898148148148939E-3</v>
      </c>
      <c r="G1909">
        <f t="shared" si="292"/>
        <v>0</v>
      </c>
      <c r="H1909">
        <f t="shared" si="293"/>
        <v>2</v>
      </c>
      <c r="I1909">
        <f t="shared" si="294"/>
        <v>26</v>
      </c>
      <c r="J1909">
        <f t="shared" si="295"/>
        <v>146</v>
      </c>
      <c r="K1909">
        <f t="shared" si="296"/>
        <v>3</v>
      </c>
      <c r="L1909">
        <f t="shared" si="297"/>
        <v>645610</v>
      </c>
      <c r="M1909">
        <f t="shared" si="298"/>
        <v>209565</v>
      </c>
      <c r="N1909">
        <f t="shared" si="299"/>
        <v>903175</v>
      </c>
      <c r="O1909">
        <f>IF(B1909="zagraniczny",K1909+O1908,O1908)</f>
        <v>813</v>
      </c>
    </row>
    <row r="1910" spans="1:15" x14ac:dyDescent="0.25">
      <c r="A1910">
        <v>16527855</v>
      </c>
      <c r="B1910" t="str">
        <f t="shared" si="290"/>
        <v>komorkowy</v>
      </c>
      <c r="C1910" s="1">
        <v>42943</v>
      </c>
      <c r="D1910" s="2">
        <v>0.54194444444444445</v>
      </c>
      <c r="E1910" s="2">
        <v>0.5513541666666667</v>
      </c>
      <c r="F1910" s="2">
        <f t="shared" si="291"/>
        <v>9.4097222222222499E-3</v>
      </c>
      <c r="G1910">
        <f t="shared" si="292"/>
        <v>0</v>
      </c>
      <c r="H1910">
        <f t="shared" si="293"/>
        <v>13</v>
      </c>
      <c r="I1910">
        <f t="shared" si="294"/>
        <v>33</v>
      </c>
      <c r="J1910">
        <f t="shared" si="295"/>
        <v>813</v>
      </c>
      <c r="K1910">
        <f t="shared" si="296"/>
        <v>14</v>
      </c>
      <c r="L1910">
        <f t="shared" si="297"/>
        <v>645610</v>
      </c>
      <c r="M1910">
        <f t="shared" si="298"/>
        <v>210378</v>
      </c>
      <c r="N1910">
        <f t="shared" si="299"/>
        <v>903988</v>
      </c>
      <c r="O1910">
        <f>IF(B1910="zagraniczny",K1910+O1909,O1909)</f>
        <v>813</v>
      </c>
    </row>
    <row r="1911" spans="1:15" x14ac:dyDescent="0.25">
      <c r="A1911">
        <v>1055495</v>
      </c>
      <c r="B1911" t="str">
        <f t="shared" si="290"/>
        <v>stacjonarny</v>
      </c>
      <c r="C1911" s="1">
        <v>42943</v>
      </c>
      <c r="D1911" s="2">
        <v>0.54600694444444442</v>
      </c>
      <c r="E1911" s="2">
        <v>0.54866898148148147</v>
      </c>
      <c r="F1911" s="2">
        <f t="shared" si="291"/>
        <v>2.6620370370370461E-3</v>
      </c>
      <c r="G1911">
        <f t="shared" si="292"/>
        <v>0</v>
      </c>
      <c r="H1911">
        <f t="shared" si="293"/>
        <v>3</v>
      </c>
      <c r="I1911">
        <f t="shared" si="294"/>
        <v>50</v>
      </c>
      <c r="J1911">
        <f t="shared" si="295"/>
        <v>230</v>
      </c>
      <c r="K1911">
        <f t="shared" si="296"/>
        <v>4</v>
      </c>
      <c r="L1911">
        <f t="shared" si="297"/>
        <v>645840</v>
      </c>
      <c r="M1911">
        <f t="shared" si="298"/>
        <v>210378</v>
      </c>
      <c r="N1911">
        <f t="shared" si="299"/>
        <v>904218</v>
      </c>
      <c r="O1911">
        <f>IF(B1911="zagraniczny",K1911+O1910,O1910)</f>
        <v>813</v>
      </c>
    </row>
    <row r="1912" spans="1:15" x14ac:dyDescent="0.25">
      <c r="A1912">
        <v>9120318</v>
      </c>
      <c r="B1912" t="str">
        <f t="shared" si="290"/>
        <v>stacjonarny</v>
      </c>
      <c r="C1912" s="1">
        <v>42943</v>
      </c>
      <c r="D1912" s="2">
        <v>0.54690972222222223</v>
      </c>
      <c r="E1912" s="2">
        <v>0.54707175925925922</v>
      </c>
      <c r="F1912" s="2">
        <f t="shared" si="291"/>
        <v>1.6203703703698835E-4</v>
      </c>
      <c r="G1912">
        <f t="shared" si="292"/>
        <v>0</v>
      </c>
      <c r="H1912">
        <f t="shared" si="293"/>
        <v>0</v>
      </c>
      <c r="I1912">
        <f t="shared" si="294"/>
        <v>14</v>
      </c>
      <c r="J1912">
        <f t="shared" si="295"/>
        <v>14</v>
      </c>
      <c r="K1912">
        <f t="shared" si="296"/>
        <v>1</v>
      </c>
      <c r="L1912">
        <f t="shared" si="297"/>
        <v>645854</v>
      </c>
      <c r="M1912">
        <f t="shared" si="298"/>
        <v>210378</v>
      </c>
      <c r="N1912">
        <f t="shared" si="299"/>
        <v>904232</v>
      </c>
      <c r="O1912">
        <f>IF(B1912="zagraniczny",K1912+O1911,O1911)</f>
        <v>813</v>
      </c>
    </row>
    <row r="1913" spans="1:15" x14ac:dyDescent="0.25">
      <c r="A1913">
        <v>4030817</v>
      </c>
      <c r="B1913" t="str">
        <f t="shared" si="290"/>
        <v>stacjonarny</v>
      </c>
      <c r="C1913" s="1">
        <v>42943</v>
      </c>
      <c r="D1913" s="2">
        <v>0.55092592592592593</v>
      </c>
      <c r="E1913" s="2">
        <v>0.56030092592592595</v>
      </c>
      <c r="F1913" s="2">
        <f t="shared" si="291"/>
        <v>9.3750000000000222E-3</v>
      </c>
      <c r="G1913">
        <f t="shared" si="292"/>
        <v>0</v>
      </c>
      <c r="H1913">
        <f t="shared" si="293"/>
        <v>13</v>
      </c>
      <c r="I1913">
        <f t="shared" si="294"/>
        <v>30</v>
      </c>
      <c r="J1913">
        <f t="shared" si="295"/>
        <v>810</v>
      </c>
      <c r="K1913">
        <f t="shared" si="296"/>
        <v>14</v>
      </c>
      <c r="L1913">
        <f t="shared" si="297"/>
        <v>646664</v>
      </c>
      <c r="M1913">
        <f t="shared" si="298"/>
        <v>210378</v>
      </c>
      <c r="N1913">
        <f t="shared" si="299"/>
        <v>905042</v>
      </c>
      <c r="O1913">
        <f>IF(B1913="zagraniczny",K1913+O1912,O1912)</f>
        <v>813</v>
      </c>
    </row>
    <row r="1914" spans="1:15" x14ac:dyDescent="0.25">
      <c r="A1914">
        <v>1025756</v>
      </c>
      <c r="B1914" t="str">
        <f t="shared" si="290"/>
        <v>stacjonarny</v>
      </c>
      <c r="C1914" s="1">
        <v>42943</v>
      </c>
      <c r="D1914" s="2">
        <v>0.55116898148148152</v>
      </c>
      <c r="E1914" s="2">
        <v>0.56047453703703709</v>
      </c>
      <c r="F1914" s="2">
        <f t="shared" si="291"/>
        <v>9.3055555555555669E-3</v>
      </c>
      <c r="G1914">
        <f t="shared" si="292"/>
        <v>0</v>
      </c>
      <c r="H1914">
        <f t="shared" si="293"/>
        <v>13</v>
      </c>
      <c r="I1914">
        <f t="shared" si="294"/>
        <v>24</v>
      </c>
      <c r="J1914">
        <f t="shared" si="295"/>
        <v>804</v>
      </c>
      <c r="K1914">
        <f t="shared" si="296"/>
        <v>14</v>
      </c>
      <c r="L1914">
        <f t="shared" si="297"/>
        <v>647468</v>
      </c>
      <c r="M1914">
        <f t="shared" si="298"/>
        <v>210378</v>
      </c>
      <c r="N1914">
        <f t="shared" si="299"/>
        <v>905846</v>
      </c>
      <c r="O1914">
        <f>IF(B1914="zagraniczny",K1914+O1913,O1913)</f>
        <v>813</v>
      </c>
    </row>
    <row r="1915" spans="1:15" x14ac:dyDescent="0.25">
      <c r="A1915">
        <v>29880225</v>
      </c>
      <c r="B1915" t="str">
        <f t="shared" si="290"/>
        <v>komorkowy</v>
      </c>
      <c r="C1915" s="1">
        <v>42943</v>
      </c>
      <c r="D1915" s="2">
        <v>0.55174768518518513</v>
      </c>
      <c r="E1915" s="2">
        <v>0.55920138888888893</v>
      </c>
      <c r="F1915" s="2">
        <f t="shared" si="291"/>
        <v>7.4537037037037956E-3</v>
      </c>
      <c r="G1915">
        <f t="shared" si="292"/>
        <v>0</v>
      </c>
      <c r="H1915">
        <f t="shared" si="293"/>
        <v>10</v>
      </c>
      <c r="I1915">
        <f t="shared" si="294"/>
        <v>44</v>
      </c>
      <c r="J1915">
        <f t="shared" si="295"/>
        <v>644</v>
      </c>
      <c r="K1915">
        <f t="shared" si="296"/>
        <v>11</v>
      </c>
      <c r="L1915">
        <f t="shared" si="297"/>
        <v>647468</v>
      </c>
      <c r="M1915">
        <f t="shared" si="298"/>
        <v>211022</v>
      </c>
      <c r="N1915">
        <f t="shared" si="299"/>
        <v>906490</v>
      </c>
      <c r="O1915">
        <f>IF(B1915="zagraniczny",K1915+O1914,O1914)</f>
        <v>813</v>
      </c>
    </row>
    <row r="1916" spans="1:15" x14ac:dyDescent="0.25">
      <c r="A1916">
        <v>4791902</v>
      </c>
      <c r="B1916" t="str">
        <f t="shared" si="290"/>
        <v>stacjonarny</v>
      </c>
      <c r="C1916" s="1">
        <v>42943</v>
      </c>
      <c r="D1916" s="2">
        <v>0.55718749999999995</v>
      </c>
      <c r="E1916" s="2">
        <v>0.55753472222222222</v>
      </c>
      <c r="F1916" s="2">
        <f t="shared" si="291"/>
        <v>3.472222222222765E-4</v>
      </c>
      <c r="G1916">
        <f t="shared" si="292"/>
        <v>0</v>
      </c>
      <c r="H1916">
        <f t="shared" si="293"/>
        <v>0</v>
      </c>
      <c r="I1916">
        <f t="shared" si="294"/>
        <v>30</v>
      </c>
      <c r="J1916">
        <f t="shared" si="295"/>
        <v>30</v>
      </c>
      <c r="K1916">
        <f t="shared" si="296"/>
        <v>1</v>
      </c>
      <c r="L1916">
        <f t="shared" si="297"/>
        <v>647498</v>
      </c>
      <c r="M1916">
        <f t="shared" si="298"/>
        <v>211022</v>
      </c>
      <c r="N1916">
        <f t="shared" si="299"/>
        <v>906520</v>
      </c>
      <c r="O1916">
        <f>IF(B1916="zagraniczny",K1916+O1915,O1915)</f>
        <v>813</v>
      </c>
    </row>
    <row r="1917" spans="1:15" x14ac:dyDescent="0.25">
      <c r="A1917">
        <v>5228419</v>
      </c>
      <c r="B1917" t="str">
        <f t="shared" si="290"/>
        <v>stacjonarny</v>
      </c>
      <c r="C1917" s="1">
        <v>42943</v>
      </c>
      <c r="D1917" s="2">
        <v>0.55995370370370368</v>
      </c>
      <c r="E1917" s="2">
        <v>0.56405092592592587</v>
      </c>
      <c r="F1917" s="2">
        <f t="shared" si="291"/>
        <v>4.0972222222221966E-3</v>
      </c>
      <c r="G1917">
        <f t="shared" si="292"/>
        <v>0</v>
      </c>
      <c r="H1917">
        <f t="shared" si="293"/>
        <v>5</v>
      </c>
      <c r="I1917">
        <f t="shared" si="294"/>
        <v>54</v>
      </c>
      <c r="J1917">
        <f t="shared" si="295"/>
        <v>354</v>
      </c>
      <c r="K1917">
        <f t="shared" si="296"/>
        <v>6</v>
      </c>
      <c r="L1917">
        <f t="shared" si="297"/>
        <v>647852</v>
      </c>
      <c r="M1917">
        <f t="shared" si="298"/>
        <v>211022</v>
      </c>
      <c r="N1917">
        <f t="shared" si="299"/>
        <v>906874</v>
      </c>
      <c r="O1917">
        <f>IF(B1917="zagraniczny",K1917+O1916,O1916)</f>
        <v>813</v>
      </c>
    </row>
    <row r="1918" spans="1:15" x14ac:dyDescent="0.25">
      <c r="A1918">
        <v>8991671</v>
      </c>
      <c r="B1918" t="str">
        <f t="shared" si="290"/>
        <v>stacjonarny</v>
      </c>
      <c r="C1918" s="1">
        <v>42943</v>
      </c>
      <c r="D1918" s="2">
        <v>0.56268518518518518</v>
      </c>
      <c r="E1918" s="2">
        <v>0.56517361111111108</v>
      </c>
      <c r="F1918" s="2">
        <f t="shared" si="291"/>
        <v>2.4884259259259078E-3</v>
      </c>
      <c r="G1918">
        <f t="shared" si="292"/>
        <v>0</v>
      </c>
      <c r="H1918">
        <f t="shared" si="293"/>
        <v>3</v>
      </c>
      <c r="I1918">
        <f t="shared" si="294"/>
        <v>35</v>
      </c>
      <c r="J1918">
        <f t="shared" si="295"/>
        <v>215</v>
      </c>
      <c r="K1918">
        <f t="shared" si="296"/>
        <v>4</v>
      </c>
      <c r="L1918">
        <f t="shared" si="297"/>
        <v>648067</v>
      </c>
      <c r="M1918">
        <f t="shared" si="298"/>
        <v>211022</v>
      </c>
      <c r="N1918">
        <f t="shared" si="299"/>
        <v>907089</v>
      </c>
      <c r="O1918">
        <f>IF(B1918="zagraniczny",K1918+O1917,O1917)</f>
        <v>813</v>
      </c>
    </row>
    <row r="1919" spans="1:15" x14ac:dyDescent="0.25">
      <c r="A1919">
        <v>8045338707</v>
      </c>
      <c r="B1919" t="str">
        <f t="shared" si="290"/>
        <v>zagraniczny</v>
      </c>
      <c r="C1919" s="1">
        <v>42943</v>
      </c>
      <c r="D1919" s="2">
        <v>0.56680555555555556</v>
      </c>
      <c r="E1919" s="2">
        <v>0.56877314814814817</v>
      </c>
      <c r="F1919" s="2">
        <f t="shared" si="291"/>
        <v>1.9675925925926041E-3</v>
      </c>
      <c r="G1919">
        <f t="shared" si="292"/>
        <v>0</v>
      </c>
      <c r="H1919">
        <f t="shared" si="293"/>
        <v>2</v>
      </c>
      <c r="I1919">
        <f t="shared" si="294"/>
        <v>50</v>
      </c>
      <c r="J1919">
        <f t="shared" si="295"/>
        <v>170</v>
      </c>
      <c r="K1919">
        <f t="shared" si="296"/>
        <v>3</v>
      </c>
      <c r="L1919">
        <f t="shared" si="297"/>
        <v>648067</v>
      </c>
      <c r="M1919">
        <f t="shared" si="298"/>
        <v>211022</v>
      </c>
      <c r="N1919">
        <f t="shared" si="299"/>
        <v>907089</v>
      </c>
      <c r="O1919">
        <f>IF(B1919="zagraniczny",K1919+O1918,O1918)</f>
        <v>816</v>
      </c>
    </row>
    <row r="1920" spans="1:15" x14ac:dyDescent="0.25">
      <c r="A1920">
        <v>9192546</v>
      </c>
      <c r="B1920" t="str">
        <f t="shared" si="290"/>
        <v>stacjonarny</v>
      </c>
      <c r="C1920" s="1">
        <v>42943</v>
      </c>
      <c r="D1920" s="2">
        <v>0.57233796296296291</v>
      </c>
      <c r="E1920" s="2">
        <v>0.57620370370370366</v>
      </c>
      <c r="F1920" s="2">
        <f t="shared" si="291"/>
        <v>3.8657407407407529E-3</v>
      </c>
      <c r="G1920">
        <f t="shared" si="292"/>
        <v>0</v>
      </c>
      <c r="H1920">
        <f t="shared" si="293"/>
        <v>5</v>
      </c>
      <c r="I1920">
        <f t="shared" si="294"/>
        <v>34</v>
      </c>
      <c r="J1920">
        <f t="shared" si="295"/>
        <v>334</v>
      </c>
      <c r="K1920">
        <f t="shared" si="296"/>
        <v>6</v>
      </c>
      <c r="L1920">
        <f t="shared" si="297"/>
        <v>648401</v>
      </c>
      <c r="M1920">
        <f t="shared" si="298"/>
        <v>211022</v>
      </c>
      <c r="N1920">
        <f t="shared" si="299"/>
        <v>907423</v>
      </c>
      <c r="O1920">
        <f>IF(B1920="zagraniczny",K1920+O1919,O1919)</f>
        <v>816</v>
      </c>
    </row>
    <row r="1921" spans="1:15" x14ac:dyDescent="0.25">
      <c r="A1921">
        <v>9664752</v>
      </c>
      <c r="B1921" t="str">
        <f t="shared" si="290"/>
        <v>stacjonarny</v>
      </c>
      <c r="C1921" s="1">
        <v>42943</v>
      </c>
      <c r="D1921" s="2">
        <v>0.57563657407407409</v>
      </c>
      <c r="E1921" s="2">
        <v>0.57976851851851852</v>
      </c>
      <c r="F1921" s="2">
        <f t="shared" si="291"/>
        <v>4.1319444444444242E-3</v>
      </c>
      <c r="G1921">
        <f t="shared" si="292"/>
        <v>0</v>
      </c>
      <c r="H1921">
        <f t="shared" si="293"/>
        <v>5</v>
      </c>
      <c r="I1921">
        <f t="shared" si="294"/>
        <v>57</v>
      </c>
      <c r="J1921">
        <f t="shared" si="295"/>
        <v>357</v>
      </c>
      <c r="K1921">
        <f t="shared" si="296"/>
        <v>6</v>
      </c>
      <c r="L1921">
        <f t="shared" si="297"/>
        <v>648758</v>
      </c>
      <c r="M1921">
        <f t="shared" si="298"/>
        <v>211022</v>
      </c>
      <c r="N1921">
        <f t="shared" si="299"/>
        <v>907780</v>
      </c>
      <c r="O1921">
        <f>IF(B1921="zagraniczny",K1921+O1920,O1920)</f>
        <v>816</v>
      </c>
    </row>
    <row r="1922" spans="1:15" x14ac:dyDescent="0.25">
      <c r="A1922">
        <v>62653835</v>
      </c>
      <c r="B1922" t="str">
        <f t="shared" si="290"/>
        <v>komorkowy</v>
      </c>
      <c r="C1922" s="1">
        <v>42943</v>
      </c>
      <c r="D1922" s="2">
        <v>0.58034722222222224</v>
      </c>
      <c r="E1922" s="2">
        <v>0.58803240740740736</v>
      </c>
      <c r="F1922" s="2">
        <f t="shared" si="291"/>
        <v>7.6851851851851283E-3</v>
      </c>
      <c r="G1922">
        <f t="shared" si="292"/>
        <v>0</v>
      </c>
      <c r="H1922">
        <f t="shared" si="293"/>
        <v>11</v>
      </c>
      <c r="I1922">
        <f t="shared" si="294"/>
        <v>4</v>
      </c>
      <c r="J1922">
        <f t="shared" si="295"/>
        <v>664</v>
      </c>
      <c r="K1922">
        <f t="shared" si="296"/>
        <v>12</v>
      </c>
      <c r="L1922">
        <f t="shared" si="297"/>
        <v>648758</v>
      </c>
      <c r="M1922">
        <f t="shared" si="298"/>
        <v>211686</v>
      </c>
      <c r="N1922">
        <f t="shared" si="299"/>
        <v>908444</v>
      </c>
      <c r="O1922">
        <f>IF(B1922="zagraniczny",K1922+O1921,O1921)</f>
        <v>816</v>
      </c>
    </row>
    <row r="1923" spans="1:15" x14ac:dyDescent="0.25">
      <c r="A1923">
        <v>6087301</v>
      </c>
      <c r="B1923" t="str">
        <f t="shared" ref="B1923:B1986" si="300">IF(LEN(A1923)=7,"stacjonarny",IF(LEN(A1923)=8,"komorkowy","zagraniczny"))</f>
        <v>stacjonarny</v>
      </c>
      <c r="C1923" s="1">
        <v>42943</v>
      </c>
      <c r="D1923" s="2">
        <v>0.58589120370370373</v>
      </c>
      <c r="E1923" s="2">
        <v>0.59706018518518522</v>
      </c>
      <c r="F1923" s="2">
        <f t="shared" ref="F1923:F1986" si="301">E1923-D1923</f>
        <v>1.1168981481481488E-2</v>
      </c>
      <c r="G1923">
        <f t="shared" ref="G1923:G1986" si="302">HOUR(F1923)</f>
        <v>0</v>
      </c>
      <c r="H1923">
        <f t="shared" ref="H1923:H1986" si="303">MINUTE(F1923)</f>
        <v>16</v>
      </c>
      <c r="I1923">
        <f t="shared" ref="I1923:I1986" si="304">SECOND(F1923)</f>
        <v>5</v>
      </c>
      <c r="J1923">
        <f t="shared" ref="J1923:J1986" si="305">H1923*60+I1923</f>
        <v>965</v>
      </c>
      <c r="K1923">
        <f t="shared" ref="K1923:K1986" si="306">IF(I1923&gt;0,G1923*60+H1923+1,H1923+G1923*60)</f>
        <v>17</v>
      </c>
      <c r="L1923">
        <f t="shared" si="297"/>
        <v>649723</v>
      </c>
      <c r="M1923">
        <f t="shared" si="298"/>
        <v>211686</v>
      </c>
      <c r="N1923">
        <f t="shared" si="299"/>
        <v>909409</v>
      </c>
      <c r="O1923">
        <f>IF(B1923="zagraniczny",K1923+O1922,O1922)</f>
        <v>816</v>
      </c>
    </row>
    <row r="1924" spans="1:15" x14ac:dyDescent="0.25">
      <c r="A1924">
        <v>3864488</v>
      </c>
      <c r="B1924" t="str">
        <f t="shared" si="300"/>
        <v>stacjonarny</v>
      </c>
      <c r="C1924" s="1">
        <v>42943</v>
      </c>
      <c r="D1924" s="2">
        <v>0.58601851851851849</v>
      </c>
      <c r="E1924" s="2">
        <v>0.58971064814814811</v>
      </c>
      <c r="F1924" s="2">
        <f t="shared" si="301"/>
        <v>3.6921296296296147E-3</v>
      </c>
      <c r="G1924">
        <f t="shared" si="302"/>
        <v>0</v>
      </c>
      <c r="H1924">
        <f t="shared" si="303"/>
        <v>5</v>
      </c>
      <c r="I1924">
        <f t="shared" si="304"/>
        <v>19</v>
      </c>
      <c r="J1924">
        <f t="shared" si="305"/>
        <v>319</v>
      </c>
      <c r="K1924">
        <f t="shared" si="306"/>
        <v>6</v>
      </c>
      <c r="L1924">
        <f t="shared" ref="L1924:L1987" si="307">IF(B1924="stacjonarny",$J1924+L1923,L1923)</f>
        <v>650042</v>
      </c>
      <c r="M1924">
        <f t="shared" ref="M1924:M1987" si="308">IF(B1924="komorkowy",$J1924+M1923,M1923)</f>
        <v>211686</v>
      </c>
      <c r="N1924">
        <f t="shared" ref="N1924:N1987" si="309">IF(OR(B1924="stacjonarny",B1924="komorkowy"),J1924+N1923,N1923)</f>
        <v>909728</v>
      </c>
      <c r="O1924">
        <f>IF(B1924="zagraniczny",K1924+O1923,O1923)</f>
        <v>816</v>
      </c>
    </row>
    <row r="1925" spans="1:15" x14ac:dyDescent="0.25">
      <c r="A1925">
        <v>5604405</v>
      </c>
      <c r="B1925" t="str">
        <f t="shared" si="300"/>
        <v>stacjonarny</v>
      </c>
      <c r="C1925" s="1">
        <v>42943</v>
      </c>
      <c r="D1925" s="2">
        <v>0.58655092592592595</v>
      </c>
      <c r="E1925" s="2">
        <v>0.59761574074074075</v>
      </c>
      <c r="F1925" s="2">
        <f t="shared" si="301"/>
        <v>1.1064814814814805E-2</v>
      </c>
      <c r="G1925">
        <f t="shared" si="302"/>
        <v>0</v>
      </c>
      <c r="H1925">
        <f t="shared" si="303"/>
        <v>15</v>
      </c>
      <c r="I1925">
        <f t="shared" si="304"/>
        <v>56</v>
      </c>
      <c r="J1925">
        <f t="shared" si="305"/>
        <v>956</v>
      </c>
      <c r="K1925">
        <f t="shared" si="306"/>
        <v>16</v>
      </c>
      <c r="L1925">
        <f t="shared" si="307"/>
        <v>650998</v>
      </c>
      <c r="M1925">
        <f t="shared" si="308"/>
        <v>211686</v>
      </c>
      <c r="N1925">
        <f t="shared" si="309"/>
        <v>910684</v>
      </c>
      <c r="O1925">
        <f>IF(B1925="zagraniczny",K1925+O1924,O1924)</f>
        <v>816</v>
      </c>
    </row>
    <row r="1926" spans="1:15" x14ac:dyDescent="0.25">
      <c r="A1926">
        <v>4774889</v>
      </c>
      <c r="B1926" t="str">
        <f t="shared" si="300"/>
        <v>stacjonarny</v>
      </c>
      <c r="C1926" s="1">
        <v>42943</v>
      </c>
      <c r="D1926" s="2">
        <v>0.58733796296296292</v>
      </c>
      <c r="E1926" s="2">
        <v>0.59475694444444449</v>
      </c>
      <c r="F1926" s="2">
        <f t="shared" si="301"/>
        <v>7.418981481481568E-3</v>
      </c>
      <c r="G1926">
        <f t="shared" si="302"/>
        <v>0</v>
      </c>
      <c r="H1926">
        <f t="shared" si="303"/>
        <v>10</v>
      </c>
      <c r="I1926">
        <f t="shared" si="304"/>
        <v>41</v>
      </c>
      <c r="J1926">
        <f t="shared" si="305"/>
        <v>641</v>
      </c>
      <c r="K1926">
        <f t="shared" si="306"/>
        <v>11</v>
      </c>
      <c r="L1926">
        <f t="shared" si="307"/>
        <v>651639</v>
      </c>
      <c r="M1926">
        <f t="shared" si="308"/>
        <v>211686</v>
      </c>
      <c r="N1926">
        <f t="shared" si="309"/>
        <v>911325</v>
      </c>
      <c r="O1926">
        <f>IF(B1926="zagraniczny",K1926+O1925,O1925)</f>
        <v>816</v>
      </c>
    </row>
    <row r="1927" spans="1:15" x14ac:dyDescent="0.25">
      <c r="A1927">
        <v>4017213</v>
      </c>
      <c r="B1927" t="str">
        <f t="shared" si="300"/>
        <v>stacjonarny</v>
      </c>
      <c r="C1927" s="1">
        <v>42943</v>
      </c>
      <c r="D1927" s="2">
        <v>0.59228009259259262</v>
      </c>
      <c r="E1927" s="2">
        <v>0.60034722222222225</v>
      </c>
      <c r="F1927" s="2">
        <f t="shared" si="301"/>
        <v>8.0671296296296324E-3</v>
      </c>
      <c r="G1927">
        <f t="shared" si="302"/>
        <v>0</v>
      </c>
      <c r="H1927">
        <f t="shared" si="303"/>
        <v>11</v>
      </c>
      <c r="I1927">
        <f t="shared" si="304"/>
        <v>37</v>
      </c>
      <c r="J1927">
        <f t="shared" si="305"/>
        <v>697</v>
      </c>
      <c r="K1927">
        <f t="shared" si="306"/>
        <v>12</v>
      </c>
      <c r="L1927">
        <f t="shared" si="307"/>
        <v>652336</v>
      </c>
      <c r="M1927">
        <f t="shared" si="308"/>
        <v>211686</v>
      </c>
      <c r="N1927">
        <f t="shared" si="309"/>
        <v>912022</v>
      </c>
      <c r="O1927">
        <f>IF(B1927="zagraniczny",K1927+O1926,O1926)</f>
        <v>816</v>
      </c>
    </row>
    <row r="1928" spans="1:15" x14ac:dyDescent="0.25">
      <c r="A1928">
        <v>4720934</v>
      </c>
      <c r="B1928" t="str">
        <f t="shared" si="300"/>
        <v>stacjonarny</v>
      </c>
      <c r="C1928" s="1">
        <v>42943</v>
      </c>
      <c r="D1928" s="2">
        <v>0.59624999999999995</v>
      </c>
      <c r="E1928" s="2">
        <v>0.59810185185185183</v>
      </c>
      <c r="F1928" s="2">
        <f t="shared" si="301"/>
        <v>1.8518518518518823E-3</v>
      </c>
      <c r="G1928">
        <f t="shared" si="302"/>
        <v>0</v>
      </c>
      <c r="H1928">
        <f t="shared" si="303"/>
        <v>2</v>
      </c>
      <c r="I1928">
        <f t="shared" si="304"/>
        <v>40</v>
      </c>
      <c r="J1928">
        <f t="shared" si="305"/>
        <v>160</v>
      </c>
      <c r="K1928">
        <f t="shared" si="306"/>
        <v>3</v>
      </c>
      <c r="L1928">
        <f t="shared" si="307"/>
        <v>652496</v>
      </c>
      <c r="M1928">
        <f t="shared" si="308"/>
        <v>211686</v>
      </c>
      <c r="N1928">
        <f t="shared" si="309"/>
        <v>912182</v>
      </c>
      <c r="O1928">
        <f>IF(B1928="zagraniczny",K1928+O1927,O1927)</f>
        <v>816</v>
      </c>
    </row>
    <row r="1929" spans="1:15" x14ac:dyDescent="0.25">
      <c r="A1929">
        <v>13494237</v>
      </c>
      <c r="B1929" t="str">
        <f t="shared" si="300"/>
        <v>komorkowy</v>
      </c>
      <c r="C1929" s="1">
        <v>42943</v>
      </c>
      <c r="D1929" s="2">
        <v>0.60160879629629627</v>
      </c>
      <c r="E1929" s="2">
        <v>0.61234953703703698</v>
      </c>
      <c r="F1929" s="2">
        <f t="shared" si="301"/>
        <v>1.0740740740740717E-2</v>
      </c>
      <c r="G1929">
        <f t="shared" si="302"/>
        <v>0</v>
      </c>
      <c r="H1929">
        <f t="shared" si="303"/>
        <v>15</v>
      </c>
      <c r="I1929">
        <f t="shared" si="304"/>
        <v>28</v>
      </c>
      <c r="J1929">
        <f t="shared" si="305"/>
        <v>928</v>
      </c>
      <c r="K1929">
        <f t="shared" si="306"/>
        <v>16</v>
      </c>
      <c r="L1929">
        <f t="shared" si="307"/>
        <v>652496</v>
      </c>
      <c r="M1929">
        <f t="shared" si="308"/>
        <v>212614</v>
      </c>
      <c r="N1929">
        <f t="shared" si="309"/>
        <v>913110</v>
      </c>
      <c r="O1929">
        <f>IF(B1929="zagraniczny",K1929+O1928,O1928)</f>
        <v>816</v>
      </c>
    </row>
    <row r="1930" spans="1:15" x14ac:dyDescent="0.25">
      <c r="A1930">
        <v>71807686</v>
      </c>
      <c r="B1930" t="str">
        <f t="shared" si="300"/>
        <v>komorkowy</v>
      </c>
      <c r="C1930" s="1">
        <v>42943</v>
      </c>
      <c r="D1930" s="2">
        <v>0.60339120370370369</v>
      </c>
      <c r="E1930" s="2">
        <v>0.61410879629629633</v>
      </c>
      <c r="F1930" s="2">
        <f t="shared" si="301"/>
        <v>1.071759259259264E-2</v>
      </c>
      <c r="G1930">
        <f t="shared" si="302"/>
        <v>0</v>
      </c>
      <c r="H1930">
        <f t="shared" si="303"/>
        <v>15</v>
      </c>
      <c r="I1930">
        <f t="shared" si="304"/>
        <v>26</v>
      </c>
      <c r="J1930">
        <f t="shared" si="305"/>
        <v>926</v>
      </c>
      <c r="K1930">
        <f t="shared" si="306"/>
        <v>16</v>
      </c>
      <c r="L1930">
        <f t="shared" si="307"/>
        <v>652496</v>
      </c>
      <c r="M1930">
        <f t="shared" si="308"/>
        <v>213540</v>
      </c>
      <c r="N1930">
        <f t="shared" si="309"/>
        <v>914036</v>
      </c>
      <c r="O1930">
        <f>IF(B1930="zagraniczny",K1930+O1929,O1929)</f>
        <v>816</v>
      </c>
    </row>
    <row r="1931" spans="1:15" x14ac:dyDescent="0.25">
      <c r="A1931">
        <v>7865609</v>
      </c>
      <c r="B1931" t="str">
        <f t="shared" si="300"/>
        <v>stacjonarny</v>
      </c>
      <c r="C1931" s="1">
        <v>42943</v>
      </c>
      <c r="D1931" s="2">
        <v>0.60826388888888894</v>
      </c>
      <c r="E1931" s="2">
        <v>0.61071759259259262</v>
      </c>
      <c r="F1931" s="2">
        <f t="shared" si="301"/>
        <v>2.4537037037036802E-3</v>
      </c>
      <c r="G1931">
        <f t="shared" si="302"/>
        <v>0</v>
      </c>
      <c r="H1931">
        <f t="shared" si="303"/>
        <v>3</v>
      </c>
      <c r="I1931">
        <f t="shared" si="304"/>
        <v>32</v>
      </c>
      <c r="J1931">
        <f t="shared" si="305"/>
        <v>212</v>
      </c>
      <c r="K1931">
        <f t="shared" si="306"/>
        <v>4</v>
      </c>
      <c r="L1931">
        <f t="shared" si="307"/>
        <v>652708</v>
      </c>
      <c r="M1931">
        <f t="shared" si="308"/>
        <v>213540</v>
      </c>
      <c r="N1931">
        <f t="shared" si="309"/>
        <v>914248</v>
      </c>
      <c r="O1931">
        <f>IF(B1931="zagraniczny",K1931+O1930,O1930)</f>
        <v>816</v>
      </c>
    </row>
    <row r="1932" spans="1:15" x14ac:dyDescent="0.25">
      <c r="A1932">
        <v>5318850</v>
      </c>
      <c r="B1932" t="str">
        <f t="shared" si="300"/>
        <v>stacjonarny</v>
      </c>
      <c r="C1932" s="1">
        <v>42943</v>
      </c>
      <c r="D1932" s="2">
        <v>0.61053240740740744</v>
      </c>
      <c r="E1932" s="2">
        <v>0.61406249999999996</v>
      </c>
      <c r="F1932" s="2">
        <f t="shared" si="301"/>
        <v>3.5300925925925153E-3</v>
      </c>
      <c r="G1932">
        <f t="shared" si="302"/>
        <v>0</v>
      </c>
      <c r="H1932">
        <f t="shared" si="303"/>
        <v>5</v>
      </c>
      <c r="I1932">
        <f t="shared" si="304"/>
        <v>5</v>
      </c>
      <c r="J1932">
        <f t="shared" si="305"/>
        <v>305</v>
      </c>
      <c r="K1932">
        <f t="shared" si="306"/>
        <v>6</v>
      </c>
      <c r="L1932">
        <f t="shared" si="307"/>
        <v>653013</v>
      </c>
      <c r="M1932">
        <f t="shared" si="308"/>
        <v>213540</v>
      </c>
      <c r="N1932">
        <f t="shared" si="309"/>
        <v>914553</v>
      </c>
      <c r="O1932">
        <f>IF(B1932="zagraniczny",K1932+O1931,O1931)</f>
        <v>816</v>
      </c>
    </row>
    <row r="1933" spans="1:15" x14ac:dyDescent="0.25">
      <c r="A1933">
        <v>63613334</v>
      </c>
      <c r="B1933" t="str">
        <f t="shared" si="300"/>
        <v>komorkowy</v>
      </c>
      <c r="C1933" s="1">
        <v>42943</v>
      </c>
      <c r="D1933" s="2">
        <v>0.61393518518518519</v>
      </c>
      <c r="E1933" s="2">
        <v>0.61831018518518521</v>
      </c>
      <c r="F1933" s="2">
        <f t="shared" si="301"/>
        <v>4.3750000000000178E-3</v>
      </c>
      <c r="G1933">
        <f t="shared" si="302"/>
        <v>0</v>
      </c>
      <c r="H1933">
        <f t="shared" si="303"/>
        <v>6</v>
      </c>
      <c r="I1933">
        <f t="shared" si="304"/>
        <v>18</v>
      </c>
      <c r="J1933">
        <f t="shared" si="305"/>
        <v>378</v>
      </c>
      <c r="K1933">
        <f t="shared" si="306"/>
        <v>7</v>
      </c>
      <c r="L1933">
        <f t="shared" si="307"/>
        <v>653013</v>
      </c>
      <c r="M1933">
        <f t="shared" si="308"/>
        <v>213918</v>
      </c>
      <c r="N1933">
        <f t="shared" si="309"/>
        <v>914931</v>
      </c>
      <c r="O1933">
        <f>IF(B1933="zagraniczny",K1933+O1932,O1932)</f>
        <v>816</v>
      </c>
    </row>
    <row r="1934" spans="1:15" x14ac:dyDescent="0.25">
      <c r="A1934">
        <v>2256093</v>
      </c>
      <c r="B1934" t="str">
        <f t="shared" si="300"/>
        <v>stacjonarny</v>
      </c>
      <c r="C1934" s="1">
        <v>42943</v>
      </c>
      <c r="D1934" s="2">
        <v>0.61958333333333337</v>
      </c>
      <c r="E1934" s="2">
        <v>0.62275462962962957</v>
      </c>
      <c r="F1934" s="2">
        <f t="shared" si="301"/>
        <v>3.1712962962961999E-3</v>
      </c>
      <c r="G1934">
        <f t="shared" si="302"/>
        <v>0</v>
      </c>
      <c r="H1934">
        <f t="shared" si="303"/>
        <v>4</v>
      </c>
      <c r="I1934">
        <f t="shared" si="304"/>
        <v>34</v>
      </c>
      <c r="J1934">
        <f t="shared" si="305"/>
        <v>274</v>
      </c>
      <c r="K1934">
        <f t="shared" si="306"/>
        <v>5</v>
      </c>
      <c r="L1934">
        <f t="shared" si="307"/>
        <v>653287</v>
      </c>
      <c r="M1934">
        <f t="shared" si="308"/>
        <v>213918</v>
      </c>
      <c r="N1934">
        <f t="shared" si="309"/>
        <v>915205</v>
      </c>
      <c r="O1934">
        <f>IF(B1934="zagraniczny",K1934+O1933,O1933)</f>
        <v>816</v>
      </c>
    </row>
    <row r="1935" spans="1:15" x14ac:dyDescent="0.25">
      <c r="A1935">
        <v>7421094</v>
      </c>
      <c r="B1935" t="str">
        <f t="shared" si="300"/>
        <v>stacjonarny</v>
      </c>
      <c r="C1935" s="1">
        <v>42943</v>
      </c>
      <c r="D1935" s="2">
        <v>0.62206018518518513</v>
      </c>
      <c r="E1935" s="2">
        <v>0.62554398148148149</v>
      </c>
      <c r="F1935" s="2">
        <f t="shared" si="301"/>
        <v>3.4837962962963598E-3</v>
      </c>
      <c r="G1935">
        <f t="shared" si="302"/>
        <v>0</v>
      </c>
      <c r="H1935">
        <f t="shared" si="303"/>
        <v>5</v>
      </c>
      <c r="I1935">
        <f t="shared" si="304"/>
        <v>1</v>
      </c>
      <c r="J1935">
        <f t="shared" si="305"/>
        <v>301</v>
      </c>
      <c r="K1935">
        <f t="shared" si="306"/>
        <v>6</v>
      </c>
      <c r="L1935">
        <f t="shared" si="307"/>
        <v>653588</v>
      </c>
      <c r="M1935">
        <f t="shared" si="308"/>
        <v>213918</v>
      </c>
      <c r="N1935">
        <f t="shared" si="309"/>
        <v>915506</v>
      </c>
      <c r="O1935">
        <f>IF(B1935="zagraniczny",K1935+O1934,O1934)</f>
        <v>816</v>
      </c>
    </row>
    <row r="1936" spans="1:15" x14ac:dyDescent="0.25">
      <c r="A1936">
        <v>5376362</v>
      </c>
      <c r="B1936" t="str">
        <f t="shared" si="300"/>
        <v>stacjonarny</v>
      </c>
      <c r="C1936" s="1">
        <v>42943</v>
      </c>
      <c r="D1936" s="2">
        <v>0.6255208333333333</v>
      </c>
      <c r="E1936" s="2">
        <v>0.63026620370370368</v>
      </c>
      <c r="F1936" s="2">
        <f t="shared" si="301"/>
        <v>4.745370370370372E-3</v>
      </c>
      <c r="G1936">
        <f t="shared" si="302"/>
        <v>0</v>
      </c>
      <c r="H1936">
        <f t="shared" si="303"/>
        <v>6</v>
      </c>
      <c r="I1936">
        <f t="shared" si="304"/>
        <v>50</v>
      </c>
      <c r="J1936">
        <f t="shared" si="305"/>
        <v>410</v>
      </c>
      <c r="K1936">
        <f t="shared" si="306"/>
        <v>7</v>
      </c>
      <c r="L1936">
        <f t="shared" si="307"/>
        <v>653998</v>
      </c>
      <c r="M1936">
        <f t="shared" si="308"/>
        <v>213918</v>
      </c>
      <c r="N1936">
        <f t="shared" si="309"/>
        <v>915916</v>
      </c>
      <c r="O1936">
        <f>IF(B1936="zagraniczny",K1936+O1935,O1935)</f>
        <v>816</v>
      </c>
    </row>
    <row r="1937" spans="1:15" x14ac:dyDescent="0.25">
      <c r="A1937">
        <v>8967842</v>
      </c>
      <c r="B1937" t="str">
        <f t="shared" si="300"/>
        <v>stacjonarny</v>
      </c>
      <c r="C1937" s="1">
        <v>42944</v>
      </c>
      <c r="D1937" s="2">
        <v>0.3369328703703704</v>
      </c>
      <c r="E1937" s="2">
        <v>0.34400462962962963</v>
      </c>
      <c r="F1937" s="2">
        <f t="shared" si="301"/>
        <v>7.071759259259236E-3</v>
      </c>
      <c r="G1937">
        <f t="shared" si="302"/>
        <v>0</v>
      </c>
      <c r="H1937">
        <f t="shared" si="303"/>
        <v>10</v>
      </c>
      <c r="I1937">
        <f t="shared" si="304"/>
        <v>11</v>
      </c>
      <c r="J1937">
        <f t="shared" si="305"/>
        <v>611</v>
      </c>
      <c r="K1937">
        <f t="shared" si="306"/>
        <v>11</v>
      </c>
      <c r="L1937">
        <f t="shared" si="307"/>
        <v>654609</v>
      </c>
      <c r="M1937">
        <f t="shared" si="308"/>
        <v>213918</v>
      </c>
      <c r="N1937">
        <f t="shared" si="309"/>
        <v>916527</v>
      </c>
      <c r="O1937">
        <f>IF(B1937="zagraniczny",K1937+O1936,O1936)</f>
        <v>816</v>
      </c>
    </row>
    <row r="1938" spans="1:15" x14ac:dyDescent="0.25">
      <c r="A1938">
        <v>76644634</v>
      </c>
      <c r="B1938" t="str">
        <f t="shared" si="300"/>
        <v>komorkowy</v>
      </c>
      <c r="C1938" s="1">
        <v>42944</v>
      </c>
      <c r="D1938" s="2">
        <v>0.33696759259259257</v>
      </c>
      <c r="E1938" s="2">
        <v>0.33809027777777778</v>
      </c>
      <c r="F1938" s="2">
        <f t="shared" si="301"/>
        <v>1.1226851851852127E-3</v>
      </c>
      <c r="G1938">
        <f t="shared" si="302"/>
        <v>0</v>
      </c>
      <c r="H1938">
        <f t="shared" si="303"/>
        <v>1</v>
      </c>
      <c r="I1938">
        <f t="shared" si="304"/>
        <v>37</v>
      </c>
      <c r="J1938">
        <f t="shared" si="305"/>
        <v>97</v>
      </c>
      <c r="K1938">
        <f t="shared" si="306"/>
        <v>2</v>
      </c>
      <c r="L1938">
        <f t="shared" si="307"/>
        <v>654609</v>
      </c>
      <c r="M1938">
        <f t="shared" si="308"/>
        <v>214015</v>
      </c>
      <c r="N1938">
        <f t="shared" si="309"/>
        <v>916624</v>
      </c>
      <c r="O1938">
        <f>IF(B1938="zagraniczny",K1938+O1937,O1937)</f>
        <v>816</v>
      </c>
    </row>
    <row r="1939" spans="1:15" x14ac:dyDescent="0.25">
      <c r="A1939">
        <v>7622819</v>
      </c>
      <c r="B1939" t="str">
        <f t="shared" si="300"/>
        <v>stacjonarny</v>
      </c>
      <c r="C1939" s="1">
        <v>42944</v>
      </c>
      <c r="D1939" s="2">
        <v>0.33831018518518519</v>
      </c>
      <c r="E1939" s="2">
        <v>0.34758101851851853</v>
      </c>
      <c r="F1939" s="2">
        <f t="shared" si="301"/>
        <v>9.2708333333333393E-3</v>
      </c>
      <c r="G1939">
        <f t="shared" si="302"/>
        <v>0</v>
      </c>
      <c r="H1939">
        <f t="shared" si="303"/>
        <v>13</v>
      </c>
      <c r="I1939">
        <f t="shared" si="304"/>
        <v>21</v>
      </c>
      <c r="J1939">
        <f t="shared" si="305"/>
        <v>801</v>
      </c>
      <c r="K1939">
        <f t="shared" si="306"/>
        <v>14</v>
      </c>
      <c r="L1939">
        <f t="shared" si="307"/>
        <v>655410</v>
      </c>
      <c r="M1939">
        <f t="shared" si="308"/>
        <v>214015</v>
      </c>
      <c r="N1939">
        <f t="shared" si="309"/>
        <v>917425</v>
      </c>
      <c r="O1939">
        <f>IF(B1939="zagraniczny",K1939+O1938,O1938)</f>
        <v>816</v>
      </c>
    </row>
    <row r="1940" spans="1:15" x14ac:dyDescent="0.25">
      <c r="A1940">
        <v>3524259</v>
      </c>
      <c r="B1940" t="str">
        <f t="shared" si="300"/>
        <v>stacjonarny</v>
      </c>
      <c r="C1940" s="1">
        <v>42944</v>
      </c>
      <c r="D1940" s="2">
        <v>0.33927083333333335</v>
      </c>
      <c r="E1940" s="2">
        <v>0.34861111111111109</v>
      </c>
      <c r="F1940" s="2">
        <f t="shared" si="301"/>
        <v>9.340277777777739E-3</v>
      </c>
      <c r="G1940">
        <f t="shared" si="302"/>
        <v>0</v>
      </c>
      <c r="H1940">
        <f t="shared" si="303"/>
        <v>13</v>
      </c>
      <c r="I1940">
        <f t="shared" si="304"/>
        <v>27</v>
      </c>
      <c r="J1940">
        <f t="shared" si="305"/>
        <v>807</v>
      </c>
      <c r="K1940">
        <f t="shared" si="306"/>
        <v>14</v>
      </c>
      <c r="L1940">
        <f t="shared" si="307"/>
        <v>656217</v>
      </c>
      <c r="M1940">
        <f t="shared" si="308"/>
        <v>214015</v>
      </c>
      <c r="N1940">
        <f t="shared" si="309"/>
        <v>918232</v>
      </c>
      <c r="O1940">
        <f>IF(B1940="zagraniczny",K1940+O1939,O1939)</f>
        <v>816</v>
      </c>
    </row>
    <row r="1941" spans="1:15" x14ac:dyDescent="0.25">
      <c r="A1941">
        <v>5550678</v>
      </c>
      <c r="B1941" t="str">
        <f t="shared" si="300"/>
        <v>stacjonarny</v>
      </c>
      <c r="C1941" s="1">
        <v>42944</v>
      </c>
      <c r="D1941" s="2">
        <v>0.34497685185185184</v>
      </c>
      <c r="E1941" s="2">
        <v>0.35487268518518517</v>
      </c>
      <c r="F1941" s="2">
        <f t="shared" si="301"/>
        <v>9.8958333333333259E-3</v>
      </c>
      <c r="G1941">
        <f t="shared" si="302"/>
        <v>0</v>
      </c>
      <c r="H1941">
        <f t="shared" si="303"/>
        <v>14</v>
      </c>
      <c r="I1941">
        <f t="shared" si="304"/>
        <v>15</v>
      </c>
      <c r="J1941">
        <f t="shared" si="305"/>
        <v>855</v>
      </c>
      <c r="K1941">
        <f t="shared" si="306"/>
        <v>15</v>
      </c>
      <c r="L1941">
        <f t="shared" si="307"/>
        <v>657072</v>
      </c>
      <c r="M1941">
        <f t="shared" si="308"/>
        <v>214015</v>
      </c>
      <c r="N1941">
        <f t="shared" si="309"/>
        <v>919087</v>
      </c>
      <c r="O1941">
        <f>IF(B1941="zagraniczny",K1941+O1940,O1940)</f>
        <v>816</v>
      </c>
    </row>
    <row r="1942" spans="1:15" x14ac:dyDescent="0.25">
      <c r="A1942">
        <v>41852472</v>
      </c>
      <c r="B1942" t="str">
        <f t="shared" si="300"/>
        <v>komorkowy</v>
      </c>
      <c r="C1942" s="1">
        <v>42944</v>
      </c>
      <c r="D1942" s="2">
        <v>0.34826388888888887</v>
      </c>
      <c r="E1942" s="2">
        <v>0.34871527777777778</v>
      </c>
      <c r="F1942" s="2">
        <f t="shared" si="301"/>
        <v>4.5138888888890394E-4</v>
      </c>
      <c r="G1942">
        <f t="shared" si="302"/>
        <v>0</v>
      </c>
      <c r="H1942">
        <f t="shared" si="303"/>
        <v>0</v>
      </c>
      <c r="I1942">
        <f t="shared" si="304"/>
        <v>39</v>
      </c>
      <c r="J1942">
        <f t="shared" si="305"/>
        <v>39</v>
      </c>
      <c r="K1942">
        <f t="shared" si="306"/>
        <v>1</v>
      </c>
      <c r="L1942">
        <f t="shared" si="307"/>
        <v>657072</v>
      </c>
      <c r="M1942">
        <f t="shared" si="308"/>
        <v>214054</v>
      </c>
      <c r="N1942">
        <f t="shared" si="309"/>
        <v>919126</v>
      </c>
      <c r="O1942">
        <f>IF(B1942="zagraniczny",K1942+O1941,O1941)</f>
        <v>816</v>
      </c>
    </row>
    <row r="1943" spans="1:15" x14ac:dyDescent="0.25">
      <c r="A1943">
        <v>8799570155</v>
      </c>
      <c r="B1943" t="str">
        <f t="shared" si="300"/>
        <v>zagraniczny</v>
      </c>
      <c r="C1943" s="1">
        <v>42944</v>
      </c>
      <c r="D1943" s="2">
        <v>0.34932870370370372</v>
      </c>
      <c r="E1943" s="2">
        <v>0.35365740740740742</v>
      </c>
      <c r="F1943" s="2">
        <f t="shared" si="301"/>
        <v>4.3287037037036957E-3</v>
      </c>
      <c r="G1943">
        <f t="shared" si="302"/>
        <v>0</v>
      </c>
      <c r="H1943">
        <f t="shared" si="303"/>
        <v>6</v>
      </c>
      <c r="I1943">
        <f t="shared" si="304"/>
        <v>14</v>
      </c>
      <c r="J1943">
        <f t="shared" si="305"/>
        <v>374</v>
      </c>
      <c r="K1943">
        <f t="shared" si="306"/>
        <v>7</v>
      </c>
      <c r="L1943">
        <f t="shared" si="307"/>
        <v>657072</v>
      </c>
      <c r="M1943">
        <f t="shared" si="308"/>
        <v>214054</v>
      </c>
      <c r="N1943">
        <f t="shared" si="309"/>
        <v>919126</v>
      </c>
      <c r="O1943">
        <f>IF(B1943="zagraniczny",K1943+O1942,O1942)</f>
        <v>823</v>
      </c>
    </row>
    <row r="1944" spans="1:15" x14ac:dyDescent="0.25">
      <c r="A1944">
        <v>9329226</v>
      </c>
      <c r="B1944" t="str">
        <f t="shared" si="300"/>
        <v>stacjonarny</v>
      </c>
      <c r="C1944" s="1">
        <v>42944</v>
      </c>
      <c r="D1944" s="2">
        <v>0.34983796296296299</v>
      </c>
      <c r="E1944" s="2">
        <v>0.35505787037037034</v>
      </c>
      <c r="F1944" s="2">
        <f t="shared" si="301"/>
        <v>5.2199074074073537E-3</v>
      </c>
      <c r="G1944">
        <f t="shared" si="302"/>
        <v>0</v>
      </c>
      <c r="H1944">
        <f t="shared" si="303"/>
        <v>7</v>
      </c>
      <c r="I1944">
        <f t="shared" si="304"/>
        <v>31</v>
      </c>
      <c r="J1944">
        <f t="shared" si="305"/>
        <v>451</v>
      </c>
      <c r="K1944">
        <f t="shared" si="306"/>
        <v>8</v>
      </c>
      <c r="L1944">
        <f t="shared" si="307"/>
        <v>657523</v>
      </c>
      <c r="M1944">
        <f t="shared" si="308"/>
        <v>214054</v>
      </c>
      <c r="N1944">
        <f t="shared" si="309"/>
        <v>919577</v>
      </c>
      <c r="O1944">
        <f>IF(B1944="zagraniczny",K1944+O1943,O1943)</f>
        <v>823</v>
      </c>
    </row>
    <row r="1945" spans="1:15" x14ac:dyDescent="0.25">
      <c r="A1945">
        <v>9219408</v>
      </c>
      <c r="B1945" t="str">
        <f t="shared" si="300"/>
        <v>stacjonarny</v>
      </c>
      <c r="C1945" s="1">
        <v>42944</v>
      </c>
      <c r="D1945" s="2">
        <v>0.35519675925925925</v>
      </c>
      <c r="E1945" s="2">
        <v>0.36072916666666666</v>
      </c>
      <c r="F1945" s="2">
        <f t="shared" si="301"/>
        <v>5.5324074074074026E-3</v>
      </c>
      <c r="G1945">
        <f t="shared" si="302"/>
        <v>0</v>
      </c>
      <c r="H1945">
        <f t="shared" si="303"/>
        <v>7</v>
      </c>
      <c r="I1945">
        <f t="shared" si="304"/>
        <v>58</v>
      </c>
      <c r="J1945">
        <f t="shared" si="305"/>
        <v>478</v>
      </c>
      <c r="K1945">
        <f t="shared" si="306"/>
        <v>8</v>
      </c>
      <c r="L1945">
        <f t="shared" si="307"/>
        <v>658001</v>
      </c>
      <c r="M1945">
        <f t="shared" si="308"/>
        <v>214054</v>
      </c>
      <c r="N1945">
        <f t="shared" si="309"/>
        <v>920055</v>
      </c>
      <c r="O1945">
        <f>IF(B1945="zagraniczny",K1945+O1944,O1944)</f>
        <v>823</v>
      </c>
    </row>
    <row r="1946" spans="1:15" x14ac:dyDescent="0.25">
      <c r="A1946">
        <v>2163209</v>
      </c>
      <c r="B1946" t="str">
        <f t="shared" si="300"/>
        <v>stacjonarny</v>
      </c>
      <c r="C1946" s="1">
        <v>42944</v>
      </c>
      <c r="D1946" s="2">
        <v>0.35749999999999998</v>
      </c>
      <c r="E1946" s="2">
        <v>0.36791666666666667</v>
      </c>
      <c r="F1946" s="2">
        <f t="shared" si="301"/>
        <v>1.0416666666666685E-2</v>
      </c>
      <c r="G1946">
        <f t="shared" si="302"/>
        <v>0</v>
      </c>
      <c r="H1946">
        <f t="shared" si="303"/>
        <v>15</v>
      </c>
      <c r="I1946">
        <f t="shared" si="304"/>
        <v>0</v>
      </c>
      <c r="J1946">
        <f t="shared" si="305"/>
        <v>900</v>
      </c>
      <c r="K1946">
        <f t="shared" si="306"/>
        <v>15</v>
      </c>
      <c r="L1946">
        <f t="shared" si="307"/>
        <v>658901</v>
      </c>
      <c r="M1946">
        <f t="shared" si="308"/>
        <v>214054</v>
      </c>
      <c r="N1946">
        <f t="shared" si="309"/>
        <v>920955</v>
      </c>
      <c r="O1946">
        <f>IF(B1946="zagraniczny",K1946+O1945,O1945)</f>
        <v>823</v>
      </c>
    </row>
    <row r="1947" spans="1:15" x14ac:dyDescent="0.25">
      <c r="A1947">
        <v>98021540</v>
      </c>
      <c r="B1947" t="str">
        <f t="shared" si="300"/>
        <v>komorkowy</v>
      </c>
      <c r="C1947" s="1">
        <v>42944</v>
      </c>
      <c r="D1947" s="2">
        <v>0.35806712962962961</v>
      </c>
      <c r="E1947" s="2">
        <v>0.36835648148148148</v>
      </c>
      <c r="F1947" s="2">
        <f t="shared" si="301"/>
        <v>1.0289351851851869E-2</v>
      </c>
      <c r="G1947">
        <f t="shared" si="302"/>
        <v>0</v>
      </c>
      <c r="H1947">
        <f t="shared" si="303"/>
        <v>14</v>
      </c>
      <c r="I1947">
        <f t="shared" si="304"/>
        <v>49</v>
      </c>
      <c r="J1947">
        <f t="shared" si="305"/>
        <v>889</v>
      </c>
      <c r="K1947">
        <f t="shared" si="306"/>
        <v>15</v>
      </c>
      <c r="L1947">
        <f t="shared" si="307"/>
        <v>658901</v>
      </c>
      <c r="M1947">
        <f t="shared" si="308"/>
        <v>214943</v>
      </c>
      <c r="N1947">
        <f t="shared" si="309"/>
        <v>921844</v>
      </c>
      <c r="O1947">
        <f>IF(B1947="zagraniczny",K1947+O1946,O1946)</f>
        <v>823</v>
      </c>
    </row>
    <row r="1948" spans="1:15" x14ac:dyDescent="0.25">
      <c r="A1948">
        <v>58420185</v>
      </c>
      <c r="B1948" t="str">
        <f t="shared" si="300"/>
        <v>komorkowy</v>
      </c>
      <c r="C1948" s="1">
        <v>42944</v>
      </c>
      <c r="D1948" s="2">
        <v>0.35957175925925927</v>
      </c>
      <c r="E1948" s="2">
        <v>0.3616435185185185</v>
      </c>
      <c r="F1948" s="2">
        <f t="shared" si="301"/>
        <v>2.0717592592592315E-3</v>
      </c>
      <c r="G1948">
        <f t="shared" si="302"/>
        <v>0</v>
      </c>
      <c r="H1948">
        <f t="shared" si="303"/>
        <v>2</v>
      </c>
      <c r="I1948">
        <f t="shared" si="304"/>
        <v>59</v>
      </c>
      <c r="J1948">
        <f t="shared" si="305"/>
        <v>179</v>
      </c>
      <c r="K1948">
        <f t="shared" si="306"/>
        <v>3</v>
      </c>
      <c r="L1948">
        <f t="shared" si="307"/>
        <v>658901</v>
      </c>
      <c r="M1948">
        <f t="shared" si="308"/>
        <v>215122</v>
      </c>
      <c r="N1948">
        <f t="shared" si="309"/>
        <v>922023</v>
      </c>
      <c r="O1948">
        <f>IF(B1948="zagraniczny",K1948+O1947,O1947)</f>
        <v>823</v>
      </c>
    </row>
    <row r="1949" spans="1:15" x14ac:dyDescent="0.25">
      <c r="A1949">
        <v>2188847</v>
      </c>
      <c r="B1949" t="str">
        <f t="shared" si="300"/>
        <v>stacjonarny</v>
      </c>
      <c r="C1949" s="1">
        <v>42944</v>
      </c>
      <c r="D1949" s="2">
        <v>0.36321759259259262</v>
      </c>
      <c r="E1949" s="2">
        <v>0.36689814814814814</v>
      </c>
      <c r="F1949" s="2">
        <f t="shared" si="301"/>
        <v>3.6805555555555203E-3</v>
      </c>
      <c r="G1949">
        <f t="shared" si="302"/>
        <v>0</v>
      </c>
      <c r="H1949">
        <f t="shared" si="303"/>
        <v>5</v>
      </c>
      <c r="I1949">
        <f t="shared" si="304"/>
        <v>18</v>
      </c>
      <c r="J1949">
        <f t="shared" si="305"/>
        <v>318</v>
      </c>
      <c r="K1949">
        <f t="shared" si="306"/>
        <v>6</v>
      </c>
      <c r="L1949">
        <f t="shared" si="307"/>
        <v>659219</v>
      </c>
      <c r="M1949">
        <f t="shared" si="308"/>
        <v>215122</v>
      </c>
      <c r="N1949">
        <f t="shared" si="309"/>
        <v>922341</v>
      </c>
      <c r="O1949">
        <f>IF(B1949="zagraniczny",K1949+O1948,O1948)</f>
        <v>823</v>
      </c>
    </row>
    <row r="1950" spans="1:15" x14ac:dyDescent="0.25">
      <c r="A1950">
        <v>2419817</v>
      </c>
      <c r="B1950" t="str">
        <f t="shared" si="300"/>
        <v>stacjonarny</v>
      </c>
      <c r="C1950" s="1">
        <v>42944</v>
      </c>
      <c r="D1950" s="2">
        <v>0.36768518518518517</v>
      </c>
      <c r="E1950" s="2">
        <v>0.3742476851851852</v>
      </c>
      <c r="F1950" s="2">
        <f t="shared" si="301"/>
        <v>6.5625000000000266E-3</v>
      </c>
      <c r="G1950">
        <f t="shared" si="302"/>
        <v>0</v>
      </c>
      <c r="H1950">
        <f t="shared" si="303"/>
        <v>9</v>
      </c>
      <c r="I1950">
        <f t="shared" si="304"/>
        <v>27</v>
      </c>
      <c r="J1950">
        <f t="shared" si="305"/>
        <v>567</v>
      </c>
      <c r="K1950">
        <f t="shared" si="306"/>
        <v>10</v>
      </c>
      <c r="L1950">
        <f t="shared" si="307"/>
        <v>659786</v>
      </c>
      <c r="M1950">
        <f t="shared" si="308"/>
        <v>215122</v>
      </c>
      <c r="N1950">
        <f t="shared" si="309"/>
        <v>922908</v>
      </c>
      <c r="O1950">
        <f>IF(B1950="zagraniczny",K1950+O1949,O1949)</f>
        <v>823</v>
      </c>
    </row>
    <row r="1951" spans="1:15" x14ac:dyDescent="0.25">
      <c r="A1951">
        <v>8938444</v>
      </c>
      <c r="B1951" t="str">
        <f t="shared" si="300"/>
        <v>stacjonarny</v>
      </c>
      <c r="C1951" s="1">
        <v>42944</v>
      </c>
      <c r="D1951" s="2">
        <v>0.37162037037037038</v>
      </c>
      <c r="E1951" s="2">
        <v>0.37275462962962963</v>
      </c>
      <c r="F1951" s="2">
        <f t="shared" si="301"/>
        <v>1.1342592592592515E-3</v>
      </c>
      <c r="G1951">
        <f t="shared" si="302"/>
        <v>0</v>
      </c>
      <c r="H1951">
        <f t="shared" si="303"/>
        <v>1</v>
      </c>
      <c r="I1951">
        <f t="shared" si="304"/>
        <v>38</v>
      </c>
      <c r="J1951">
        <f t="shared" si="305"/>
        <v>98</v>
      </c>
      <c r="K1951">
        <f t="shared" si="306"/>
        <v>2</v>
      </c>
      <c r="L1951">
        <f t="shared" si="307"/>
        <v>659884</v>
      </c>
      <c r="M1951">
        <f t="shared" si="308"/>
        <v>215122</v>
      </c>
      <c r="N1951">
        <f t="shared" si="309"/>
        <v>923006</v>
      </c>
      <c r="O1951">
        <f>IF(B1951="zagraniczny",K1951+O1950,O1950)</f>
        <v>823</v>
      </c>
    </row>
    <row r="1952" spans="1:15" x14ac:dyDescent="0.25">
      <c r="A1952">
        <v>8512255</v>
      </c>
      <c r="B1952" t="str">
        <f t="shared" si="300"/>
        <v>stacjonarny</v>
      </c>
      <c r="C1952" s="1">
        <v>42944</v>
      </c>
      <c r="D1952" s="2">
        <v>0.37327546296296299</v>
      </c>
      <c r="E1952" s="2">
        <v>0.37962962962962965</v>
      </c>
      <c r="F1952" s="2">
        <f t="shared" si="301"/>
        <v>6.3541666666666607E-3</v>
      </c>
      <c r="G1952">
        <f t="shared" si="302"/>
        <v>0</v>
      </c>
      <c r="H1952">
        <f t="shared" si="303"/>
        <v>9</v>
      </c>
      <c r="I1952">
        <f t="shared" si="304"/>
        <v>9</v>
      </c>
      <c r="J1952">
        <f t="shared" si="305"/>
        <v>549</v>
      </c>
      <c r="K1952">
        <f t="shared" si="306"/>
        <v>10</v>
      </c>
      <c r="L1952">
        <f t="shared" si="307"/>
        <v>660433</v>
      </c>
      <c r="M1952">
        <f t="shared" si="308"/>
        <v>215122</v>
      </c>
      <c r="N1952">
        <f t="shared" si="309"/>
        <v>923555</v>
      </c>
      <c r="O1952">
        <f>IF(B1952="zagraniczny",K1952+O1951,O1951)</f>
        <v>823</v>
      </c>
    </row>
    <row r="1953" spans="1:15" x14ac:dyDescent="0.25">
      <c r="A1953">
        <v>7488966</v>
      </c>
      <c r="B1953" t="str">
        <f t="shared" si="300"/>
        <v>stacjonarny</v>
      </c>
      <c r="C1953" s="1">
        <v>42944</v>
      </c>
      <c r="D1953" s="2">
        <v>0.37513888888888891</v>
      </c>
      <c r="E1953" s="2">
        <v>0.3775</v>
      </c>
      <c r="F1953" s="2">
        <f t="shared" si="301"/>
        <v>2.3611111111110916E-3</v>
      </c>
      <c r="G1953">
        <f t="shared" si="302"/>
        <v>0</v>
      </c>
      <c r="H1953">
        <f t="shared" si="303"/>
        <v>3</v>
      </c>
      <c r="I1953">
        <f t="shared" si="304"/>
        <v>24</v>
      </c>
      <c r="J1953">
        <f t="shared" si="305"/>
        <v>204</v>
      </c>
      <c r="K1953">
        <f t="shared" si="306"/>
        <v>4</v>
      </c>
      <c r="L1953">
        <f t="shared" si="307"/>
        <v>660637</v>
      </c>
      <c r="M1953">
        <f t="shared" si="308"/>
        <v>215122</v>
      </c>
      <c r="N1953">
        <f t="shared" si="309"/>
        <v>923759</v>
      </c>
      <c r="O1953">
        <f>IF(B1953="zagraniczny",K1953+O1952,O1952)</f>
        <v>823</v>
      </c>
    </row>
    <row r="1954" spans="1:15" x14ac:dyDescent="0.25">
      <c r="A1954">
        <v>6068132</v>
      </c>
      <c r="B1954" t="str">
        <f t="shared" si="300"/>
        <v>stacjonarny</v>
      </c>
      <c r="C1954" s="1">
        <v>42944</v>
      </c>
      <c r="D1954" s="2">
        <v>0.37793981481481481</v>
      </c>
      <c r="E1954" s="2">
        <v>0.3873611111111111</v>
      </c>
      <c r="F1954" s="2">
        <f t="shared" si="301"/>
        <v>9.4212962962962887E-3</v>
      </c>
      <c r="G1954">
        <f t="shared" si="302"/>
        <v>0</v>
      </c>
      <c r="H1954">
        <f t="shared" si="303"/>
        <v>13</v>
      </c>
      <c r="I1954">
        <f t="shared" si="304"/>
        <v>34</v>
      </c>
      <c r="J1954">
        <f t="shared" si="305"/>
        <v>814</v>
      </c>
      <c r="K1954">
        <f t="shared" si="306"/>
        <v>14</v>
      </c>
      <c r="L1954">
        <f t="shared" si="307"/>
        <v>661451</v>
      </c>
      <c r="M1954">
        <f t="shared" si="308"/>
        <v>215122</v>
      </c>
      <c r="N1954">
        <f t="shared" si="309"/>
        <v>924573</v>
      </c>
      <c r="O1954">
        <f>IF(B1954="zagraniczny",K1954+O1953,O1953)</f>
        <v>823</v>
      </c>
    </row>
    <row r="1955" spans="1:15" x14ac:dyDescent="0.25">
      <c r="A1955">
        <v>6131743</v>
      </c>
      <c r="B1955" t="str">
        <f t="shared" si="300"/>
        <v>stacjonarny</v>
      </c>
      <c r="C1955" s="1">
        <v>42944</v>
      </c>
      <c r="D1955" s="2">
        <v>0.38305555555555554</v>
      </c>
      <c r="E1955" s="2">
        <v>0.38718750000000002</v>
      </c>
      <c r="F1955" s="2">
        <f t="shared" si="301"/>
        <v>4.1319444444444797E-3</v>
      </c>
      <c r="G1955">
        <f t="shared" si="302"/>
        <v>0</v>
      </c>
      <c r="H1955">
        <f t="shared" si="303"/>
        <v>5</v>
      </c>
      <c r="I1955">
        <f t="shared" si="304"/>
        <v>57</v>
      </c>
      <c r="J1955">
        <f t="shared" si="305"/>
        <v>357</v>
      </c>
      <c r="K1955">
        <f t="shared" si="306"/>
        <v>6</v>
      </c>
      <c r="L1955">
        <f t="shared" si="307"/>
        <v>661808</v>
      </c>
      <c r="M1955">
        <f t="shared" si="308"/>
        <v>215122</v>
      </c>
      <c r="N1955">
        <f t="shared" si="309"/>
        <v>924930</v>
      </c>
      <c r="O1955">
        <f>IF(B1955="zagraniczny",K1955+O1954,O1954)</f>
        <v>823</v>
      </c>
    </row>
    <row r="1956" spans="1:15" x14ac:dyDescent="0.25">
      <c r="A1956">
        <v>71564278</v>
      </c>
      <c r="B1956" t="str">
        <f t="shared" si="300"/>
        <v>komorkowy</v>
      </c>
      <c r="C1956" s="1">
        <v>42944</v>
      </c>
      <c r="D1956" s="2">
        <v>0.38849537037037035</v>
      </c>
      <c r="E1956" s="2">
        <v>0.39708333333333334</v>
      </c>
      <c r="F1956" s="2">
        <f t="shared" si="301"/>
        <v>8.5879629629629917E-3</v>
      </c>
      <c r="G1956">
        <f t="shared" si="302"/>
        <v>0</v>
      </c>
      <c r="H1956">
        <f t="shared" si="303"/>
        <v>12</v>
      </c>
      <c r="I1956">
        <f t="shared" si="304"/>
        <v>22</v>
      </c>
      <c r="J1956">
        <f t="shared" si="305"/>
        <v>742</v>
      </c>
      <c r="K1956">
        <f t="shared" si="306"/>
        <v>13</v>
      </c>
      <c r="L1956">
        <f t="shared" si="307"/>
        <v>661808</v>
      </c>
      <c r="M1956">
        <f t="shared" si="308"/>
        <v>215864</v>
      </c>
      <c r="N1956">
        <f t="shared" si="309"/>
        <v>925672</v>
      </c>
      <c r="O1956">
        <f>IF(B1956="zagraniczny",K1956+O1955,O1955)</f>
        <v>823</v>
      </c>
    </row>
    <row r="1957" spans="1:15" x14ac:dyDescent="0.25">
      <c r="A1957">
        <v>4529192</v>
      </c>
      <c r="B1957" t="str">
        <f t="shared" si="300"/>
        <v>stacjonarny</v>
      </c>
      <c r="C1957" s="1">
        <v>42944</v>
      </c>
      <c r="D1957" s="2">
        <v>0.39005787037037037</v>
      </c>
      <c r="E1957" s="2">
        <v>0.39561342592592591</v>
      </c>
      <c r="F1957" s="2">
        <f t="shared" si="301"/>
        <v>5.5555555555555358E-3</v>
      </c>
      <c r="G1957">
        <f t="shared" si="302"/>
        <v>0</v>
      </c>
      <c r="H1957">
        <f t="shared" si="303"/>
        <v>8</v>
      </c>
      <c r="I1957">
        <f t="shared" si="304"/>
        <v>0</v>
      </c>
      <c r="J1957">
        <f t="shared" si="305"/>
        <v>480</v>
      </c>
      <c r="K1957">
        <f t="shared" si="306"/>
        <v>8</v>
      </c>
      <c r="L1957">
        <f t="shared" si="307"/>
        <v>662288</v>
      </c>
      <c r="M1957">
        <f t="shared" si="308"/>
        <v>215864</v>
      </c>
      <c r="N1957">
        <f t="shared" si="309"/>
        <v>926152</v>
      </c>
      <c r="O1957">
        <f>IF(B1957="zagraniczny",K1957+O1956,O1956)</f>
        <v>823</v>
      </c>
    </row>
    <row r="1958" spans="1:15" x14ac:dyDescent="0.25">
      <c r="A1958">
        <v>2193730</v>
      </c>
      <c r="B1958" t="str">
        <f t="shared" si="300"/>
        <v>stacjonarny</v>
      </c>
      <c r="C1958" s="1">
        <v>42944</v>
      </c>
      <c r="D1958" s="2">
        <v>0.39269675925925923</v>
      </c>
      <c r="E1958" s="2">
        <v>0.40126157407407409</v>
      </c>
      <c r="F1958" s="2">
        <f t="shared" si="301"/>
        <v>8.5648148148148584E-3</v>
      </c>
      <c r="G1958">
        <f t="shared" si="302"/>
        <v>0</v>
      </c>
      <c r="H1958">
        <f t="shared" si="303"/>
        <v>12</v>
      </c>
      <c r="I1958">
        <f t="shared" si="304"/>
        <v>20</v>
      </c>
      <c r="J1958">
        <f t="shared" si="305"/>
        <v>740</v>
      </c>
      <c r="K1958">
        <f t="shared" si="306"/>
        <v>13</v>
      </c>
      <c r="L1958">
        <f t="shared" si="307"/>
        <v>663028</v>
      </c>
      <c r="M1958">
        <f t="shared" si="308"/>
        <v>215864</v>
      </c>
      <c r="N1958">
        <f t="shared" si="309"/>
        <v>926892</v>
      </c>
      <c r="O1958">
        <f>IF(B1958="zagraniczny",K1958+O1957,O1957)</f>
        <v>823</v>
      </c>
    </row>
    <row r="1959" spans="1:15" x14ac:dyDescent="0.25">
      <c r="A1959">
        <v>3120387</v>
      </c>
      <c r="B1959" t="str">
        <f t="shared" si="300"/>
        <v>stacjonarny</v>
      </c>
      <c r="C1959" s="1">
        <v>42944</v>
      </c>
      <c r="D1959" s="2">
        <v>0.39303240740740741</v>
      </c>
      <c r="E1959" s="2">
        <v>0.39657407407407408</v>
      </c>
      <c r="F1959" s="2">
        <f t="shared" si="301"/>
        <v>3.5416666666666652E-3</v>
      </c>
      <c r="G1959">
        <f t="shared" si="302"/>
        <v>0</v>
      </c>
      <c r="H1959">
        <f t="shared" si="303"/>
        <v>5</v>
      </c>
      <c r="I1959">
        <f t="shared" si="304"/>
        <v>6</v>
      </c>
      <c r="J1959">
        <f t="shared" si="305"/>
        <v>306</v>
      </c>
      <c r="K1959">
        <f t="shared" si="306"/>
        <v>6</v>
      </c>
      <c r="L1959">
        <f t="shared" si="307"/>
        <v>663334</v>
      </c>
      <c r="M1959">
        <f t="shared" si="308"/>
        <v>215864</v>
      </c>
      <c r="N1959">
        <f t="shared" si="309"/>
        <v>927198</v>
      </c>
      <c r="O1959">
        <f>IF(B1959="zagraniczny",K1959+O1958,O1958)</f>
        <v>823</v>
      </c>
    </row>
    <row r="1960" spans="1:15" x14ac:dyDescent="0.25">
      <c r="A1960">
        <v>5726531</v>
      </c>
      <c r="B1960" t="str">
        <f t="shared" si="300"/>
        <v>stacjonarny</v>
      </c>
      <c r="C1960" s="1">
        <v>42944</v>
      </c>
      <c r="D1960" s="2">
        <v>0.39825231481481482</v>
      </c>
      <c r="E1960" s="2">
        <v>0.39855324074074072</v>
      </c>
      <c r="F1960" s="2">
        <f t="shared" si="301"/>
        <v>3.0092592592589895E-4</v>
      </c>
      <c r="G1960">
        <f t="shared" si="302"/>
        <v>0</v>
      </c>
      <c r="H1960">
        <f t="shared" si="303"/>
        <v>0</v>
      </c>
      <c r="I1960">
        <f t="shared" si="304"/>
        <v>26</v>
      </c>
      <c r="J1960">
        <f t="shared" si="305"/>
        <v>26</v>
      </c>
      <c r="K1960">
        <f t="shared" si="306"/>
        <v>1</v>
      </c>
      <c r="L1960">
        <f t="shared" si="307"/>
        <v>663360</v>
      </c>
      <c r="M1960">
        <f t="shared" si="308"/>
        <v>215864</v>
      </c>
      <c r="N1960">
        <f t="shared" si="309"/>
        <v>927224</v>
      </c>
      <c r="O1960">
        <f>IF(B1960="zagraniczny",K1960+O1959,O1959)</f>
        <v>823</v>
      </c>
    </row>
    <row r="1961" spans="1:15" x14ac:dyDescent="0.25">
      <c r="A1961">
        <v>5076649</v>
      </c>
      <c r="B1961" t="str">
        <f t="shared" si="300"/>
        <v>stacjonarny</v>
      </c>
      <c r="C1961" s="1">
        <v>42944</v>
      </c>
      <c r="D1961" s="2">
        <v>0.39922453703703703</v>
      </c>
      <c r="E1961" s="2">
        <v>0.40482638888888889</v>
      </c>
      <c r="F1961" s="2">
        <f t="shared" si="301"/>
        <v>5.6018518518518579E-3</v>
      </c>
      <c r="G1961">
        <f t="shared" si="302"/>
        <v>0</v>
      </c>
      <c r="H1961">
        <f t="shared" si="303"/>
        <v>8</v>
      </c>
      <c r="I1961">
        <f t="shared" si="304"/>
        <v>4</v>
      </c>
      <c r="J1961">
        <f t="shared" si="305"/>
        <v>484</v>
      </c>
      <c r="K1961">
        <f t="shared" si="306"/>
        <v>9</v>
      </c>
      <c r="L1961">
        <f t="shared" si="307"/>
        <v>663844</v>
      </c>
      <c r="M1961">
        <f t="shared" si="308"/>
        <v>215864</v>
      </c>
      <c r="N1961">
        <f t="shared" si="309"/>
        <v>927708</v>
      </c>
      <c r="O1961">
        <f>IF(B1961="zagraniczny",K1961+O1960,O1960)</f>
        <v>823</v>
      </c>
    </row>
    <row r="1962" spans="1:15" x14ac:dyDescent="0.25">
      <c r="A1962">
        <v>98939809</v>
      </c>
      <c r="B1962" t="str">
        <f t="shared" si="300"/>
        <v>komorkowy</v>
      </c>
      <c r="C1962" s="1">
        <v>42944</v>
      </c>
      <c r="D1962" s="2">
        <v>0.40277777777777779</v>
      </c>
      <c r="E1962" s="2">
        <v>0.40599537037037037</v>
      </c>
      <c r="F1962" s="2">
        <f t="shared" si="301"/>
        <v>3.2175925925925775E-3</v>
      </c>
      <c r="G1962">
        <f t="shared" si="302"/>
        <v>0</v>
      </c>
      <c r="H1962">
        <f t="shared" si="303"/>
        <v>4</v>
      </c>
      <c r="I1962">
        <f t="shared" si="304"/>
        <v>38</v>
      </c>
      <c r="J1962">
        <f t="shared" si="305"/>
        <v>278</v>
      </c>
      <c r="K1962">
        <f t="shared" si="306"/>
        <v>5</v>
      </c>
      <c r="L1962">
        <f t="shared" si="307"/>
        <v>663844</v>
      </c>
      <c r="M1962">
        <f t="shared" si="308"/>
        <v>216142</v>
      </c>
      <c r="N1962">
        <f t="shared" si="309"/>
        <v>927986</v>
      </c>
      <c r="O1962">
        <f>IF(B1962="zagraniczny",K1962+O1961,O1961)</f>
        <v>823</v>
      </c>
    </row>
    <row r="1963" spans="1:15" x14ac:dyDescent="0.25">
      <c r="A1963">
        <v>2005653</v>
      </c>
      <c r="B1963" t="str">
        <f t="shared" si="300"/>
        <v>stacjonarny</v>
      </c>
      <c r="C1963" s="1">
        <v>42944</v>
      </c>
      <c r="D1963" s="2">
        <v>0.40842592592592591</v>
      </c>
      <c r="E1963" s="2">
        <v>0.41866898148148146</v>
      </c>
      <c r="F1963" s="2">
        <f t="shared" si="301"/>
        <v>1.0243055555555547E-2</v>
      </c>
      <c r="G1963">
        <f t="shared" si="302"/>
        <v>0</v>
      </c>
      <c r="H1963">
        <f t="shared" si="303"/>
        <v>14</v>
      </c>
      <c r="I1963">
        <f t="shared" si="304"/>
        <v>45</v>
      </c>
      <c r="J1963">
        <f t="shared" si="305"/>
        <v>885</v>
      </c>
      <c r="K1963">
        <f t="shared" si="306"/>
        <v>15</v>
      </c>
      <c r="L1963">
        <f t="shared" si="307"/>
        <v>664729</v>
      </c>
      <c r="M1963">
        <f t="shared" si="308"/>
        <v>216142</v>
      </c>
      <c r="N1963">
        <f t="shared" si="309"/>
        <v>928871</v>
      </c>
      <c r="O1963">
        <f>IF(B1963="zagraniczny",K1963+O1962,O1962)</f>
        <v>823</v>
      </c>
    </row>
    <row r="1964" spans="1:15" x14ac:dyDescent="0.25">
      <c r="A1964">
        <v>4659808</v>
      </c>
      <c r="B1964" t="str">
        <f t="shared" si="300"/>
        <v>stacjonarny</v>
      </c>
      <c r="C1964" s="1">
        <v>42944</v>
      </c>
      <c r="D1964" s="2">
        <v>0.40956018518518517</v>
      </c>
      <c r="E1964" s="2">
        <v>0.41278935185185184</v>
      </c>
      <c r="F1964" s="2">
        <f t="shared" si="301"/>
        <v>3.2291666666666718E-3</v>
      </c>
      <c r="G1964">
        <f t="shared" si="302"/>
        <v>0</v>
      </c>
      <c r="H1964">
        <f t="shared" si="303"/>
        <v>4</v>
      </c>
      <c r="I1964">
        <f t="shared" si="304"/>
        <v>39</v>
      </c>
      <c r="J1964">
        <f t="shared" si="305"/>
        <v>279</v>
      </c>
      <c r="K1964">
        <f t="shared" si="306"/>
        <v>5</v>
      </c>
      <c r="L1964">
        <f t="shared" si="307"/>
        <v>665008</v>
      </c>
      <c r="M1964">
        <f t="shared" si="308"/>
        <v>216142</v>
      </c>
      <c r="N1964">
        <f t="shared" si="309"/>
        <v>929150</v>
      </c>
      <c r="O1964">
        <f>IF(B1964="zagraniczny",K1964+O1963,O1963)</f>
        <v>823</v>
      </c>
    </row>
    <row r="1965" spans="1:15" x14ac:dyDescent="0.25">
      <c r="A1965">
        <v>60113139</v>
      </c>
      <c r="B1965" t="str">
        <f t="shared" si="300"/>
        <v>komorkowy</v>
      </c>
      <c r="C1965" s="1">
        <v>42944</v>
      </c>
      <c r="D1965" s="2">
        <v>0.41228009259259257</v>
      </c>
      <c r="E1965" s="2">
        <v>0.41718749999999999</v>
      </c>
      <c r="F1965" s="2">
        <f t="shared" si="301"/>
        <v>4.9074074074074159E-3</v>
      </c>
      <c r="G1965">
        <f t="shared" si="302"/>
        <v>0</v>
      </c>
      <c r="H1965">
        <f t="shared" si="303"/>
        <v>7</v>
      </c>
      <c r="I1965">
        <f t="shared" si="304"/>
        <v>4</v>
      </c>
      <c r="J1965">
        <f t="shared" si="305"/>
        <v>424</v>
      </c>
      <c r="K1965">
        <f t="shared" si="306"/>
        <v>8</v>
      </c>
      <c r="L1965">
        <f t="shared" si="307"/>
        <v>665008</v>
      </c>
      <c r="M1965">
        <f t="shared" si="308"/>
        <v>216566</v>
      </c>
      <c r="N1965">
        <f t="shared" si="309"/>
        <v>929574</v>
      </c>
      <c r="O1965">
        <f>IF(B1965="zagraniczny",K1965+O1964,O1964)</f>
        <v>823</v>
      </c>
    </row>
    <row r="1966" spans="1:15" x14ac:dyDescent="0.25">
      <c r="A1966">
        <v>55896338</v>
      </c>
      <c r="B1966" t="str">
        <f t="shared" si="300"/>
        <v>komorkowy</v>
      </c>
      <c r="C1966" s="1">
        <v>42944</v>
      </c>
      <c r="D1966" s="2">
        <v>0.41521990740740738</v>
      </c>
      <c r="E1966" s="2">
        <v>0.41893518518518519</v>
      </c>
      <c r="F1966" s="2">
        <f t="shared" si="301"/>
        <v>3.7152777777778034E-3</v>
      </c>
      <c r="G1966">
        <f t="shared" si="302"/>
        <v>0</v>
      </c>
      <c r="H1966">
        <f t="shared" si="303"/>
        <v>5</v>
      </c>
      <c r="I1966">
        <f t="shared" si="304"/>
        <v>21</v>
      </c>
      <c r="J1966">
        <f t="shared" si="305"/>
        <v>321</v>
      </c>
      <c r="K1966">
        <f t="shared" si="306"/>
        <v>6</v>
      </c>
      <c r="L1966">
        <f t="shared" si="307"/>
        <v>665008</v>
      </c>
      <c r="M1966">
        <f t="shared" si="308"/>
        <v>216887</v>
      </c>
      <c r="N1966">
        <f t="shared" si="309"/>
        <v>929895</v>
      </c>
      <c r="O1966">
        <f>IF(B1966="zagraniczny",K1966+O1965,O1965)</f>
        <v>823</v>
      </c>
    </row>
    <row r="1967" spans="1:15" x14ac:dyDescent="0.25">
      <c r="A1967">
        <v>9747403</v>
      </c>
      <c r="B1967" t="str">
        <f t="shared" si="300"/>
        <v>stacjonarny</v>
      </c>
      <c r="C1967" s="1">
        <v>42944</v>
      </c>
      <c r="D1967" s="2">
        <v>0.42093750000000002</v>
      </c>
      <c r="E1967" s="2">
        <v>0.42825231481481479</v>
      </c>
      <c r="F1967" s="2">
        <f t="shared" si="301"/>
        <v>7.314814814814774E-3</v>
      </c>
      <c r="G1967">
        <f t="shared" si="302"/>
        <v>0</v>
      </c>
      <c r="H1967">
        <f t="shared" si="303"/>
        <v>10</v>
      </c>
      <c r="I1967">
        <f t="shared" si="304"/>
        <v>32</v>
      </c>
      <c r="J1967">
        <f t="shared" si="305"/>
        <v>632</v>
      </c>
      <c r="K1967">
        <f t="shared" si="306"/>
        <v>11</v>
      </c>
      <c r="L1967">
        <f t="shared" si="307"/>
        <v>665640</v>
      </c>
      <c r="M1967">
        <f t="shared" si="308"/>
        <v>216887</v>
      </c>
      <c r="N1967">
        <f t="shared" si="309"/>
        <v>930527</v>
      </c>
      <c r="O1967">
        <f>IF(B1967="zagraniczny",K1967+O1966,O1966)</f>
        <v>823</v>
      </c>
    </row>
    <row r="1968" spans="1:15" x14ac:dyDescent="0.25">
      <c r="A1968">
        <v>5687447</v>
      </c>
      <c r="B1968" t="str">
        <f t="shared" si="300"/>
        <v>stacjonarny</v>
      </c>
      <c r="C1968" s="1">
        <v>42944</v>
      </c>
      <c r="D1968" s="2">
        <v>0.42295138888888889</v>
      </c>
      <c r="E1968" s="2">
        <v>0.42423611111111109</v>
      </c>
      <c r="F1968" s="2">
        <f t="shared" si="301"/>
        <v>1.284722222222201E-3</v>
      </c>
      <c r="G1968">
        <f t="shared" si="302"/>
        <v>0</v>
      </c>
      <c r="H1968">
        <f t="shared" si="303"/>
        <v>1</v>
      </c>
      <c r="I1968">
        <f t="shared" si="304"/>
        <v>51</v>
      </c>
      <c r="J1968">
        <f t="shared" si="305"/>
        <v>111</v>
      </c>
      <c r="K1968">
        <f t="shared" si="306"/>
        <v>2</v>
      </c>
      <c r="L1968">
        <f t="shared" si="307"/>
        <v>665751</v>
      </c>
      <c r="M1968">
        <f t="shared" si="308"/>
        <v>216887</v>
      </c>
      <c r="N1968">
        <f t="shared" si="309"/>
        <v>930638</v>
      </c>
      <c r="O1968">
        <f>IF(B1968="zagraniczny",K1968+O1967,O1967)</f>
        <v>823</v>
      </c>
    </row>
    <row r="1969" spans="1:15" x14ac:dyDescent="0.25">
      <c r="A1969">
        <v>78940032</v>
      </c>
      <c r="B1969" t="str">
        <f t="shared" si="300"/>
        <v>komorkowy</v>
      </c>
      <c r="C1969" s="1">
        <v>42944</v>
      </c>
      <c r="D1969" s="2">
        <v>0.42478009259259258</v>
      </c>
      <c r="E1969" s="2">
        <v>0.43118055555555557</v>
      </c>
      <c r="F1969" s="2">
        <f t="shared" si="301"/>
        <v>6.4004629629629828E-3</v>
      </c>
      <c r="G1969">
        <f t="shared" si="302"/>
        <v>0</v>
      </c>
      <c r="H1969">
        <f t="shared" si="303"/>
        <v>9</v>
      </c>
      <c r="I1969">
        <f t="shared" si="304"/>
        <v>13</v>
      </c>
      <c r="J1969">
        <f t="shared" si="305"/>
        <v>553</v>
      </c>
      <c r="K1969">
        <f t="shared" si="306"/>
        <v>10</v>
      </c>
      <c r="L1969">
        <f t="shared" si="307"/>
        <v>665751</v>
      </c>
      <c r="M1969">
        <f t="shared" si="308"/>
        <v>217440</v>
      </c>
      <c r="N1969">
        <f t="shared" si="309"/>
        <v>931191</v>
      </c>
      <c r="O1969">
        <f>IF(B1969="zagraniczny",K1969+O1968,O1968)</f>
        <v>823</v>
      </c>
    </row>
    <row r="1970" spans="1:15" x14ac:dyDescent="0.25">
      <c r="A1970">
        <v>1094486764</v>
      </c>
      <c r="B1970" t="str">
        <f t="shared" si="300"/>
        <v>zagraniczny</v>
      </c>
      <c r="C1970" s="1">
        <v>42944</v>
      </c>
      <c r="D1970" s="2">
        <v>0.42781249999999998</v>
      </c>
      <c r="E1970" s="2">
        <v>0.43763888888888891</v>
      </c>
      <c r="F1970" s="2">
        <f t="shared" si="301"/>
        <v>9.8263888888889261E-3</v>
      </c>
      <c r="G1970">
        <f t="shared" si="302"/>
        <v>0</v>
      </c>
      <c r="H1970">
        <f t="shared" si="303"/>
        <v>14</v>
      </c>
      <c r="I1970">
        <f t="shared" si="304"/>
        <v>9</v>
      </c>
      <c r="J1970">
        <f t="shared" si="305"/>
        <v>849</v>
      </c>
      <c r="K1970">
        <f t="shared" si="306"/>
        <v>15</v>
      </c>
      <c r="L1970">
        <f t="shared" si="307"/>
        <v>665751</v>
      </c>
      <c r="M1970">
        <f t="shared" si="308"/>
        <v>217440</v>
      </c>
      <c r="N1970">
        <f t="shared" si="309"/>
        <v>931191</v>
      </c>
      <c r="O1970">
        <f>IF(B1970="zagraniczny",K1970+O1969,O1969)</f>
        <v>838</v>
      </c>
    </row>
    <row r="1971" spans="1:15" x14ac:dyDescent="0.25">
      <c r="A1971">
        <v>2611045</v>
      </c>
      <c r="B1971" t="str">
        <f t="shared" si="300"/>
        <v>stacjonarny</v>
      </c>
      <c r="C1971" s="1">
        <v>42944</v>
      </c>
      <c r="D1971" s="2">
        <v>0.43131944444444442</v>
      </c>
      <c r="E1971" s="2">
        <v>0.4387152777777778</v>
      </c>
      <c r="F1971" s="2">
        <f t="shared" si="301"/>
        <v>7.3958333333333792E-3</v>
      </c>
      <c r="G1971">
        <f t="shared" si="302"/>
        <v>0</v>
      </c>
      <c r="H1971">
        <f t="shared" si="303"/>
        <v>10</v>
      </c>
      <c r="I1971">
        <f t="shared" si="304"/>
        <v>39</v>
      </c>
      <c r="J1971">
        <f t="shared" si="305"/>
        <v>639</v>
      </c>
      <c r="K1971">
        <f t="shared" si="306"/>
        <v>11</v>
      </c>
      <c r="L1971">
        <f t="shared" si="307"/>
        <v>666390</v>
      </c>
      <c r="M1971">
        <f t="shared" si="308"/>
        <v>217440</v>
      </c>
      <c r="N1971">
        <f t="shared" si="309"/>
        <v>931830</v>
      </c>
      <c r="O1971">
        <f>IF(B1971="zagraniczny",K1971+O1970,O1970)</f>
        <v>838</v>
      </c>
    </row>
    <row r="1972" spans="1:15" x14ac:dyDescent="0.25">
      <c r="A1972">
        <v>6047761</v>
      </c>
      <c r="B1972" t="str">
        <f t="shared" si="300"/>
        <v>stacjonarny</v>
      </c>
      <c r="C1972" s="1">
        <v>42944</v>
      </c>
      <c r="D1972" s="2">
        <v>0.43351851851851853</v>
      </c>
      <c r="E1972" s="2">
        <v>0.4412152777777778</v>
      </c>
      <c r="F1972" s="2">
        <f t="shared" si="301"/>
        <v>7.6967592592592782E-3</v>
      </c>
      <c r="G1972">
        <f t="shared" si="302"/>
        <v>0</v>
      </c>
      <c r="H1972">
        <f t="shared" si="303"/>
        <v>11</v>
      </c>
      <c r="I1972">
        <f t="shared" si="304"/>
        <v>5</v>
      </c>
      <c r="J1972">
        <f t="shared" si="305"/>
        <v>665</v>
      </c>
      <c r="K1972">
        <f t="shared" si="306"/>
        <v>12</v>
      </c>
      <c r="L1972">
        <f t="shared" si="307"/>
        <v>667055</v>
      </c>
      <c r="M1972">
        <f t="shared" si="308"/>
        <v>217440</v>
      </c>
      <c r="N1972">
        <f t="shared" si="309"/>
        <v>932495</v>
      </c>
      <c r="O1972">
        <f>IF(B1972="zagraniczny",K1972+O1971,O1971)</f>
        <v>838</v>
      </c>
    </row>
    <row r="1973" spans="1:15" x14ac:dyDescent="0.25">
      <c r="A1973">
        <v>4154521</v>
      </c>
      <c r="B1973" t="str">
        <f t="shared" si="300"/>
        <v>stacjonarny</v>
      </c>
      <c r="C1973" s="1">
        <v>42944</v>
      </c>
      <c r="D1973" s="2">
        <v>0.43552083333333336</v>
      </c>
      <c r="E1973" s="2">
        <v>0.44587962962962963</v>
      </c>
      <c r="F1973" s="2">
        <f t="shared" si="301"/>
        <v>1.0358796296296269E-2</v>
      </c>
      <c r="G1973">
        <f t="shared" si="302"/>
        <v>0</v>
      </c>
      <c r="H1973">
        <f t="shared" si="303"/>
        <v>14</v>
      </c>
      <c r="I1973">
        <f t="shared" si="304"/>
        <v>55</v>
      </c>
      <c r="J1973">
        <f t="shared" si="305"/>
        <v>895</v>
      </c>
      <c r="K1973">
        <f t="shared" si="306"/>
        <v>15</v>
      </c>
      <c r="L1973">
        <f t="shared" si="307"/>
        <v>667950</v>
      </c>
      <c r="M1973">
        <f t="shared" si="308"/>
        <v>217440</v>
      </c>
      <c r="N1973">
        <f t="shared" si="309"/>
        <v>933390</v>
      </c>
      <c r="O1973">
        <f>IF(B1973="zagraniczny",K1973+O1972,O1972)</f>
        <v>838</v>
      </c>
    </row>
    <row r="1974" spans="1:15" x14ac:dyDescent="0.25">
      <c r="A1974">
        <v>8895257</v>
      </c>
      <c r="B1974" t="str">
        <f t="shared" si="300"/>
        <v>stacjonarny</v>
      </c>
      <c r="C1974" s="1">
        <v>42944</v>
      </c>
      <c r="D1974" s="2">
        <v>0.43975694444444446</v>
      </c>
      <c r="E1974" s="2">
        <v>0.4472800925925926</v>
      </c>
      <c r="F1974" s="2">
        <f t="shared" si="301"/>
        <v>7.5231481481481399E-3</v>
      </c>
      <c r="G1974">
        <f t="shared" si="302"/>
        <v>0</v>
      </c>
      <c r="H1974">
        <f t="shared" si="303"/>
        <v>10</v>
      </c>
      <c r="I1974">
        <f t="shared" si="304"/>
        <v>50</v>
      </c>
      <c r="J1974">
        <f t="shared" si="305"/>
        <v>650</v>
      </c>
      <c r="K1974">
        <f t="shared" si="306"/>
        <v>11</v>
      </c>
      <c r="L1974">
        <f t="shared" si="307"/>
        <v>668600</v>
      </c>
      <c r="M1974">
        <f t="shared" si="308"/>
        <v>217440</v>
      </c>
      <c r="N1974">
        <f t="shared" si="309"/>
        <v>934040</v>
      </c>
      <c r="O1974">
        <f>IF(B1974="zagraniczny",K1974+O1973,O1973)</f>
        <v>838</v>
      </c>
    </row>
    <row r="1975" spans="1:15" x14ac:dyDescent="0.25">
      <c r="A1975">
        <v>2199311</v>
      </c>
      <c r="B1975" t="str">
        <f t="shared" si="300"/>
        <v>stacjonarny</v>
      </c>
      <c r="C1975" s="1">
        <v>42944</v>
      </c>
      <c r="D1975" s="2">
        <v>0.44490740740740742</v>
      </c>
      <c r="E1975" s="2">
        <v>0.44578703703703704</v>
      </c>
      <c r="F1975" s="2">
        <f t="shared" si="301"/>
        <v>8.796296296296191E-4</v>
      </c>
      <c r="G1975">
        <f t="shared" si="302"/>
        <v>0</v>
      </c>
      <c r="H1975">
        <f t="shared" si="303"/>
        <v>1</v>
      </c>
      <c r="I1975">
        <f t="shared" si="304"/>
        <v>16</v>
      </c>
      <c r="J1975">
        <f t="shared" si="305"/>
        <v>76</v>
      </c>
      <c r="K1975">
        <f t="shared" si="306"/>
        <v>2</v>
      </c>
      <c r="L1975">
        <f t="shared" si="307"/>
        <v>668676</v>
      </c>
      <c r="M1975">
        <f t="shared" si="308"/>
        <v>217440</v>
      </c>
      <c r="N1975">
        <f t="shared" si="309"/>
        <v>934116</v>
      </c>
      <c r="O1975">
        <f>IF(B1975="zagraniczny",K1975+O1974,O1974)</f>
        <v>838</v>
      </c>
    </row>
    <row r="1976" spans="1:15" x14ac:dyDescent="0.25">
      <c r="A1976">
        <v>17864361</v>
      </c>
      <c r="B1976" t="str">
        <f t="shared" si="300"/>
        <v>komorkowy</v>
      </c>
      <c r="C1976" s="1">
        <v>42944</v>
      </c>
      <c r="D1976" s="2">
        <v>0.44605324074074076</v>
      </c>
      <c r="E1976" s="2">
        <v>0.45253472222222224</v>
      </c>
      <c r="F1976" s="2">
        <f t="shared" si="301"/>
        <v>6.481481481481477E-3</v>
      </c>
      <c r="G1976">
        <f t="shared" si="302"/>
        <v>0</v>
      </c>
      <c r="H1976">
        <f t="shared" si="303"/>
        <v>9</v>
      </c>
      <c r="I1976">
        <f t="shared" si="304"/>
        <v>20</v>
      </c>
      <c r="J1976">
        <f t="shared" si="305"/>
        <v>560</v>
      </c>
      <c r="K1976">
        <f t="shared" si="306"/>
        <v>10</v>
      </c>
      <c r="L1976">
        <f t="shared" si="307"/>
        <v>668676</v>
      </c>
      <c r="M1976">
        <f t="shared" si="308"/>
        <v>218000</v>
      </c>
      <c r="N1976">
        <f t="shared" si="309"/>
        <v>934676</v>
      </c>
      <c r="O1976">
        <f>IF(B1976="zagraniczny",K1976+O1975,O1975)</f>
        <v>838</v>
      </c>
    </row>
    <row r="1977" spans="1:15" x14ac:dyDescent="0.25">
      <c r="A1977">
        <v>6943996503</v>
      </c>
      <c r="B1977" t="str">
        <f t="shared" si="300"/>
        <v>zagraniczny</v>
      </c>
      <c r="C1977" s="1">
        <v>42944</v>
      </c>
      <c r="D1977" s="2">
        <v>0.4506134259259259</v>
      </c>
      <c r="E1977" s="2">
        <v>0.45674768518518516</v>
      </c>
      <c r="F1977" s="2">
        <f t="shared" si="301"/>
        <v>6.134259259259256E-3</v>
      </c>
      <c r="G1977">
        <f t="shared" si="302"/>
        <v>0</v>
      </c>
      <c r="H1977">
        <f t="shared" si="303"/>
        <v>8</v>
      </c>
      <c r="I1977">
        <f t="shared" si="304"/>
        <v>50</v>
      </c>
      <c r="J1977">
        <f t="shared" si="305"/>
        <v>530</v>
      </c>
      <c r="K1977">
        <f t="shared" si="306"/>
        <v>9</v>
      </c>
      <c r="L1977">
        <f t="shared" si="307"/>
        <v>668676</v>
      </c>
      <c r="M1977">
        <f t="shared" si="308"/>
        <v>218000</v>
      </c>
      <c r="N1977">
        <f t="shared" si="309"/>
        <v>934676</v>
      </c>
      <c r="O1977">
        <f>IF(B1977="zagraniczny",K1977+O1976,O1976)</f>
        <v>847</v>
      </c>
    </row>
    <row r="1978" spans="1:15" x14ac:dyDescent="0.25">
      <c r="A1978">
        <v>9547712</v>
      </c>
      <c r="B1978" t="str">
        <f t="shared" si="300"/>
        <v>stacjonarny</v>
      </c>
      <c r="C1978" s="1">
        <v>42944</v>
      </c>
      <c r="D1978" s="2">
        <v>0.45546296296296296</v>
      </c>
      <c r="E1978" s="2">
        <v>0.46259259259259261</v>
      </c>
      <c r="F1978" s="2">
        <f t="shared" si="301"/>
        <v>7.1296296296296524E-3</v>
      </c>
      <c r="G1978">
        <f t="shared" si="302"/>
        <v>0</v>
      </c>
      <c r="H1978">
        <f t="shared" si="303"/>
        <v>10</v>
      </c>
      <c r="I1978">
        <f t="shared" si="304"/>
        <v>16</v>
      </c>
      <c r="J1978">
        <f t="shared" si="305"/>
        <v>616</v>
      </c>
      <c r="K1978">
        <f t="shared" si="306"/>
        <v>11</v>
      </c>
      <c r="L1978">
        <f t="shared" si="307"/>
        <v>669292</v>
      </c>
      <c r="M1978">
        <f t="shared" si="308"/>
        <v>218000</v>
      </c>
      <c r="N1978">
        <f t="shared" si="309"/>
        <v>935292</v>
      </c>
      <c r="O1978">
        <f>IF(B1978="zagraniczny",K1978+O1977,O1977)</f>
        <v>847</v>
      </c>
    </row>
    <row r="1979" spans="1:15" x14ac:dyDescent="0.25">
      <c r="A1979">
        <v>3925701</v>
      </c>
      <c r="B1979" t="str">
        <f t="shared" si="300"/>
        <v>stacjonarny</v>
      </c>
      <c r="C1979" s="1">
        <v>42944</v>
      </c>
      <c r="D1979" s="2">
        <v>0.45756944444444442</v>
      </c>
      <c r="E1979" s="2">
        <v>0.46141203703703704</v>
      </c>
      <c r="F1979" s="2">
        <f t="shared" si="301"/>
        <v>3.8425925925926196E-3</v>
      </c>
      <c r="G1979">
        <f t="shared" si="302"/>
        <v>0</v>
      </c>
      <c r="H1979">
        <f t="shared" si="303"/>
        <v>5</v>
      </c>
      <c r="I1979">
        <f t="shared" si="304"/>
        <v>32</v>
      </c>
      <c r="J1979">
        <f t="shared" si="305"/>
        <v>332</v>
      </c>
      <c r="K1979">
        <f t="shared" si="306"/>
        <v>6</v>
      </c>
      <c r="L1979">
        <f t="shared" si="307"/>
        <v>669624</v>
      </c>
      <c r="M1979">
        <f t="shared" si="308"/>
        <v>218000</v>
      </c>
      <c r="N1979">
        <f t="shared" si="309"/>
        <v>935624</v>
      </c>
      <c r="O1979">
        <f>IF(B1979="zagraniczny",K1979+O1978,O1978)</f>
        <v>847</v>
      </c>
    </row>
    <row r="1980" spans="1:15" x14ac:dyDescent="0.25">
      <c r="A1980">
        <v>97317489</v>
      </c>
      <c r="B1980" t="str">
        <f t="shared" si="300"/>
        <v>komorkowy</v>
      </c>
      <c r="C1980" s="1">
        <v>42944</v>
      </c>
      <c r="D1980" s="2">
        <v>0.46269675925925924</v>
      </c>
      <c r="E1980" s="2">
        <v>0.46620370370370373</v>
      </c>
      <c r="F1980" s="2">
        <f t="shared" si="301"/>
        <v>3.506944444444493E-3</v>
      </c>
      <c r="G1980">
        <f t="shared" si="302"/>
        <v>0</v>
      </c>
      <c r="H1980">
        <f t="shared" si="303"/>
        <v>5</v>
      </c>
      <c r="I1980">
        <f t="shared" si="304"/>
        <v>3</v>
      </c>
      <c r="J1980">
        <f t="shared" si="305"/>
        <v>303</v>
      </c>
      <c r="K1980">
        <f t="shared" si="306"/>
        <v>6</v>
      </c>
      <c r="L1980">
        <f t="shared" si="307"/>
        <v>669624</v>
      </c>
      <c r="M1980">
        <f t="shared" si="308"/>
        <v>218303</v>
      </c>
      <c r="N1980">
        <f t="shared" si="309"/>
        <v>935927</v>
      </c>
      <c r="O1980">
        <f>IF(B1980="zagraniczny",K1980+O1979,O1979)</f>
        <v>847</v>
      </c>
    </row>
    <row r="1981" spans="1:15" x14ac:dyDescent="0.25">
      <c r="A1981">
        <v>78009874</v>
      </c>
      <c r="B1981" t="str">
        <f t="shared" si="300"/>
        <v>komorkowy</v>
      </c>
      <c r="C1981" s="1">
        <v>42944</v>
      </c>
      <c r="D1981" s="2">
        <v>0.46400462962962963</v>
      </c>
      <c r="E1981" s="2">
        <v>0.46545138888888887</v>
      </c>
      <c r="F1981" s="2">
        <f t="shared" si="301"/>
        <v>1.4467592592592449E-3</v>
      </c>
      <c r="G1981">
        <f t="shared" si="302"/>
        <v>0</v>
      </c>
      <c r="H1981">
        <f t="shared" si="303"/>
        <v>2</v>
      </c>
      <c r="I1981">
        <f t="shared" si="304"/>
        <v>5</v>
      </c>
      <c r="J1981">
        <f t="shared" si="305"/>
        <v>125</v>
      </c>
      <c r="K1981">
        <f t="shared" si="306"/>
        <v>3</v>
      </c>
      <c r="L1981">
        <f t="shared" si="307"/>
        <v>669624</v>
      </c>
      <c r="M1981">
        <f t="shared" si="308"/>
        <v>218428</v>
      </c>
      <c r="N1981">
        <f t="shared" si="309"/>
        <v>936052</v>
      </c>
      <c r="O1981">
        <f>IF(B1981="zagraniczny",K1981+O1980,O1980)</f>
        <v>847</v>
      </c>
    </row>
    <row r="1982" spans="1:15" x14ac:dyDescent="0.25">
      <c r="A1982">
        <v>8590206</v>
      </c>
      <c r="B1982" t="str">
        <f t="shared" si="300"/>
        <v>stacjonarny</v>
      </c>
      <c r="C1982" s="1">
        <v>42944</v>
      </c>
      <c r="D1982" s="2">
        <v>0.46763888888888888</v>
      </c>
      <c r="E1982" s="2">
        <v>0.47359953703703705</v>
      </c>
      <c r="F1982" s="2">
        <f t="shared" si="301"/>
        <v>5.9606481481481732E-3</v>
      </c>
      <c r="G1982">
        <f t="shared" si="302"/>
        <v>0</v>
      </c>
      <c r="H1982">
        <f t="shared" si="303"/>
        <v>8</v>
      </c>
      <c r="I1982">
        <f t="shared" si="304"/>
        <v>35</v>
      </c>
      <c r="J1982">
        <f t="shared" si="305"/>
        <v>515</v>
      </c>
      <c r="K1982">
        <f t="shared" si="306"/>
        <v>9</v>
      </c>
      <c r="L1982">
        <f t="shared" si="307"/>
        <v>670139</v>
      </c>
      <c r="M1982">
        <f t="shared" si="308"/>
        <v>218428</v>
      </c>
      <c r="N1982">
        <f t="shared" si="309"/>
        <v>936567</v>
      </c>
      <c r="O1982">
        <f>IF(B1982="zagraniczny",K1982+O1981,O1981)</f>
        <v>847</v>
      </c>
    </row>
    <row r="1983" spans="1:15" x14ac:dyDescent="0.25">
      <c r="A1983">
        <v>7273239</v>
      </c>
      <c r="B1983" t="str">
        <f t="shared" si="300"/>
        <v>stacjonarny</v>
      </c>
      <c r="C1983" s="1">
        <v>42944</v>
      </c>
      <c r="D1983" s="2">
        <v>0.47111111111111109</v>
      </c>
      <c r="E1983" s="2">
        <v>0.48017361111111112</v>
      </c>
      <c r="F1983" s="2">
        <f t="shared" si="301"/>
        <v>9.0625000000000289E-3</v>
      </c>
      <c r="G1983">
        <f t="shared" si="302"/>
        <v>0</v>
      </c>
      <c r="H1983">
        <f t="shared" si="303"/>
        <v>13</v>
      </c>
      <c r="I1983">
        <f t="shared" si="304"/>
        <v>3</v>
      </c>
      <c r="J1983">
        <f t="shared" si="305"/>
        <v>783</v>
      </c>
      <c r="K1983">
        <f t="shared" si="306"/>
        <v>14</v>
      </c>
      <c r="L1983">
        <f t="shared" si="307"/>
        <v>670922</v>
      </c>
      <c r="M1983">
        <f t="shared" si="308"/>
        <v>218428</v>
      </c>
      <c r="N1983">
        <f t="shared" si="309"/>
        <v>937350</v>
      </c>
      <c r="O1983">
        <f>IF(B1983="zagraniczny",K1983+O1982,O1982)</f>
        <v>847</v>
      </c>
    </row>
    <row r="1984" spans="1:15" x14ac:dyDescent="0.25">
      <c r="A1984">
        <v>9975967</v>
      </c>
      <c r="B1984" t="str">
        <f t="shared" si="300"/>
        <v>stacjonarny</v>
      </c>
      <c r="C1984" s="1">
        <v>42944</v>
      </c>
      <c r="D1984" s="2">
        <v>0.47454861111111113</v>
      </c>
      <c r="E1984" s="2">
        <v>0.47562500000000002</v>
      </c>
      <c r="F1984" s="2">
        <f t="shared" si="301"/>
        <v>1.0763888888888906E-3</v>
      </c>
      <c r="G1984">
        <f t="shared" si="302"/>
        <v>0</v>
      </c>
      <c r="H1984">
        <f t="shared" si="303"/>
        <v>1</v>
      </c>
      <c r="I1984">
        <f t="shared" si="304"/>
        <v>33</v>
      </c>
      <c r="J1984">
        <f t="shared" si="305"/>
        <v>93</v>
      </c>
      <c r="K1984">
        <f t="shared" si="306"/>
        <v>2</v>
      </c>
      <c r="L1984">
        <f t="shared" si="307"/>
        <v>671015</v>
      </c>
      <c r="M1984">
        <f t="shared" si="308"/>
        <v>218428</v>
      </c>
      <c r="N1984">
        <f t="shared" si="309"/>
        <v>937443</v>
      </c>
      <c r="O1984">
        <f>IF(B1984="zagraniczny",K1984+O1983,O1983)</f>
        <v>847</v>
      </c>
    </row>
    <row r="1985" spans="1:15" x14ac:dyDescent="0.25">
      <c r="A1985">
        <v>2134315</v>
      </c>
      <c r="B1985" t="str">
        <f t="shared" si="300"/>
        <v>stacjonarny</v>
      </c>
      <c r="C1985" s="1">
        <v>42944</v>
      </c>
      <c r="D1985" s="2">
        <v>0.47733796296296294</v>
      </c>
      <c r="E1985" s="2">
        <v>0.48003472222222221</v>
      </c>
      <c r="F1985" s="2">
        <f t="shared" si="301"/>
        <v>2.6967592592592737E-3</v>
      </c>
      <c r="G1985">
        <f t="shared" si="302"/>
        <v>0</v>
      </c>
      <c r="H1985">
        <f t="shared" si="303"/>
        <v>3</v>
      </c>
      <c r="I1985">
        <f t="shared" si="304"/>
        <v>53</v>
      </c>
      <c r="J1985">
        <f t="shared" si="305"/>
        <v>233</v>
      </c>
      <c r="K1985">
        <f t="shared" si="306"/>
        <v>4</v>
      </c>
      <c r="L1985">
        <f t="shared" si="307"/>
        <v>671248</v>
      </c>
      <c r="M1985">
        <f t="shared" si="308"/>
        <v>218428</v>
      </c>
      <c r="N1985">
        <f t="shared" si="309"/>
        <v>937676</v>
      </c>
      <c r="O1985">
        <f>IF(B1985="zagraniczny",K1985+O1984,O1984)</f>
        <v>847</v>
      </c>
    </row>
    <row r="1986" spans="1:15" x14ac:dyDescent="0.25">
      <c r="A1986">
        <v>6919928</v>
      </c>
      <c r="B1986" t="str">
        <f t="shared" si="300"/>
        <v>stacjonarny</v>
      </c>
      <c r="C1986" s="1">
        <v>42944</v>
      </c>
      <c r="D1986" s="2">
        <v>0.4783101851851852</v>
      </c>
      <c r="E1986" s="2">
        <v>0.48770833333333335</v>
      </c>
      <c r="F1986" s="2">
        <f t="shared" si="301"/>
        <v>9.3981481481481555E-3</v>
      </c>
      <c r="G1986">
        <f t="shared" si="302"/>
        <v>0</v>
      </c>
      <c r="H1986">
        <f t="shared" si="303"/>
        <v>13</v>
      </c>
      <c r="I1986">
        <f t="shared" si="304"/>
        <v>32</v>
      </c>
      <c r="J1986">
        <f t="shared" si="305"/>
        <v>812</v>
      </c>
      <c r="K1986">
        <f t="shared" si="306"/>
        <v>14</v>
      </c>
      <c r="L1986">
        <f t="shared" si="307"/>
        <v>672060</v>
      </c>
      <c r="M1986">
        <f t="shared" si="308"/>
        <v>218428</v>
      </c>
      <c r="N1986">
        <f t="shared" si="309"/>
        <v>938488</v>
      </c>
      <c r="O1986">
        <f>IF(B1986="zagraniczny",K1986+O1985,O1985)</f>
        <v>847</v>
      </c>
    </row>
    <row r="1987" spans="1:15" x14ac:dyDescent="0.25">
      <c r="A1987">
        <v>45081794</v>
      </c>
      <c r="B1987" t="str">
        <f t="shared" ref="B1987:B2050" si="310">IF(LEN(A1987)=7,"stacjonarny",IF(LEN(A1987)=8,"komorkowy","zagraniczny"))</f>
        <v>komorkowy</v>
      </c>
      <c r="C1987" s="1">
        <v>42944</v>
      </c>
      <c r="D1987" s="2">
        <v>0.47928240740740741</v>
      </c>
      <c r="E1987" s="2">
        <v>0.481875</v>
      </c>
      <c r="F1987" s="2">
        <f t="shared" ref="F1987:F2050" si="311">E1987-D1987</f>
        <v>2.5925925925925908E-3</v>
      </c>
      <c r="G1987">
        <f t="shared" ref="G1987:G2050" si="312">HOUR(F1987)</f>
        <v>0</v>
      </c>
      <c r="H1987">
        <f t="shared" ref="H1987:H2050" si="313">MINUTE(F1987)</f>
        <v>3</v>
      </c>
      <c r="I1987">
        <f t="shared" ref="I1987:I2050" si="314">SECOND(F1987)</f>
        <v>44</v>
      </c>
      <c r="J1987">
        <f t="shared" ref="J1987:J2050" si="315">H1987*60+I1987</f>
        <v>224</v>
      </c>
      <c r="K1987">
        <f t="shared" ref="K1987:K2050" si="316">IF(I1987&gt;0,G1987*60+H1987+1,H1987+G1987*60)</f>
        <v>4</v>
      </c>
      <c r="L1987">
        <f t="shared" si="307"/>
        <v>672060</v>
      </c>
      <c r="M1987">
        <f t="shared" si="308"/>
        <v>218652</v>
      </c>
      <c r="N1987">
        <f t="shared" si="309"/>
        <v>938712</v>
      </c>
      <c r="O1987">
        <f>IF(B1987="zagraniczny",K1987+O1986,O1986)</f>
        <v>847</v>
      </c>
    </row>
    <row r="1988" spans="1:15" x14ac:dyDescent="0.25">
      <c r="A1988">
        <v>1661633</v>
      </c>
      <c r="B1988" t="str">
        <f t="shared" si="310"/>
        <v>stacjonarny</v>
      </c>
      <c r="C1988" s="1">
        <v>42944</v>
      </c>
      <c r="D1988" s="2">
        <v>0.48042824074074075</v>
      </c>
      <c r="E1988" s="2">
        <v>0.48422453703703705</v>
      </c>
      <c r="F1988" s="2">
        <f t="shared" si="311"/>
        <v>3.7962962962962976E-3</v>
      </c>
      <c r="G1988">
        <f t="shared" si="312"/>
        <v>0</v>
      </c>
      <c r="H1988">
        <f t="shared" si="313"/>
        <v>5</v>
      </c>
      <c r="I1988">
        <f t="shared" si="314"/>
        <v>28</v>
      </c>
      <c r="J1988">
        <f t="shared" si="315"/>
        <v>328</v>
      </c>
      <c r="K1988">
        <f t="shared" si="316"/>
        <v>6</v>
      </c>
      <c r="L1988">
        <f t="shared" ref="L1988:L2051" si="317">IF(B1988="stacjonarny",$J1988+L1987,L1987)</f>
        <v>672388</v>
      </c>
      <c r="M1988">
        <f t="shared" ref="M1988:M2051" si="318">IF(B1988="komorkowy",$J1988+M1987,M1987)</f>
        <v>218652</v>
      </c>
      <c r="N1988">
        <f t="shared" ref="N1988:N2051" si="319">IF(OR(B1988="stacjonarny",B1988="komorkowy"),J1988+N1987,N1987)</f>
        <v>939040</v>
      </c>
      <c r="O1988">
        <f>IF(B1988="zagraniczny",K1988+O1987,O1987)</f>
        <v>847</v>
      </c>
    </row>
    <row r="1989" spans="1:15" x14ac:dyDescent="0.25">
      <c r="A1989">
        <v>1639829</v>
      </c>
      <c r="B1989" t="str">
        <f t="shared" si="310"/>
        <v>stacjonarny</v>
      </c>
      <c r="C1989" s="1">
        <v>42944</v>
      </c>
      <c r="D1989" s="2">
        <v>0.4815740740740741</v>
      </c>
      <c r="E1989" s="2">
        <v>0.48802083333333335</v>
      </c>
      <c r="F1989" s="2">
        <f t="shared" si="311"/>
        <v>6.4467592592592493E-3</v>
      </c>
      <c r="G1989">
        <f t="shared" si="312"/>
        <v>0</v>
      </c>
      <c r="H1989">
        <f t="shared" si="313"/>
        <v>9</v>
      </c>
      <c r="I1989">
        <f t="shared" si="314"/>
        <v>17</v>
      </c>
      <c r="J1989">
        <f t="shared" si="315"/>
        <v>557</v>
      </c>
      <c r="K1989">
        <f t="shared" si="316"/>
        <v>10</v>
      </c>
      <c r="L1989">
        <f t="shared" si="317"/>
        <v>672945</v>
      </c>
      <c r="M1989">
        <f t="shared" si="318"/>
        <v>218652</v>
      </c>
      <c r="N1989">
        <f t="shared" si="319"/>
        <v>939597</v>
      </c>
      <c r="O1989">
        <f>IF(B1989="zagraniczny",K1989+O1988,O1988)</f>
        <v>847</v>
      </c>
    </row>
    <row r="1990" spans="1:15" x14ac:dyDescent="0.25">
      <c r="A1990">
        <v>8585321</v>
      </c>
      <c r="B1990" t="str">
        <f t="shared" si="310"/>
        <v>stacjonarny</v>
      </c>
      <c r="C1990" s="1">
        <v>42944</v>
      </c>
      <c r="D1990" s="2">
        <v>0.4836111111111111</v>
      </c>
      <c r="E1990" s="2">
        <v>0.48996527777777776</v>
      </c>
      <c r="F1990" s="2">
        <f t="shared" si="311"/>
        <v>6.3541666666666607E-3</v>
      </c>
      <c r="G1990">
        <f t="shared" si="312"/>
        <v>0</v>
      </c>
      <c r="H1990">
        <f t="shared" si="313"/>
        <v>9</v>
      </c>
      <c r="I1990">
        <f t="shared" si="314"/>
        <v>9</v>
      </c>
      <c r="J1990">
        <f t="shared" si="315"/>
        <v>549</v>
      </c>
      <c r="K1990">
        <f t="shared" si="316"/>
        <v>10</v>
      </c>
      <c r="L1990">
        <f t="shared" si="317"/>
        <v>673494</v>
      </c>
      <c r="M1990">
        <f t="shared" si="318"/>
        <v>218652</v>
      </c>
      <c r="N1990">
        <f t="shared" si="319"/>
        <v>940146</v>
      </c>
      <c r="O1990">
        <f>IF(B1990="zagraniczny",K1990+O1989,O1989)</f>
        <v>847</v>
      </c>
    </row>
    <row r="1991" spans="1:15" x14ac:dyDescent="0.25">
      <c r="A1991">
        <v>1661643168</v>
      </c>
      <c r="B1991" t="str">
        <f t="shared" si="310"/>
        <v>zagraniczny</v>
      </c>
      <c r="C1991" s="1">
        <v>42944</v>
      </c>
      <c r="D1991" s="2">
        <v>0.48609953703703701</v>
      </c>
      <c r="E1991" s="2">
        <v>0.48850694444444442</v>
      </c>
      <c r="F1991" s="2">
        <f t="shared" si="311"/>
        <v>2.4074074074074137E-3</v>
      </c>
      <c r="G1991">
        <f t="shared" si="312"/>
        <v>0</v>
      </c>
      <c r="H1991">
        <f t="shared" si="313"/>
        <v>3</v>
      </c>
      <c r="I1991">
        <f t="shared" si="314"/>
        <v>28</v>
      </c>
      <c r="J1991">
        <f t="shared" si="315"/>
        <v>208</v>
      </c>
      <c r="K1991">
        <f t="shared" si="316"/>
        <v>4</v>
      </c>
      <c r="L1991">
        <f t="shared" si="317"/>
        <v>673494</v>
      </c>
      <c r="M1991">
        <f t="shared" si="318"/>
        <v>218652</v>
      </c>
      <c r="N1991">
        <f t="shared" si="319"/>
        <v>940146</v>
      </c>
      <c r="O1991">
        <f>IF(B1991="zagraniczny",K1991+O1990,O1990)</f>
        <v>851</v>
      </c>
    </row>
    <row r="1992" spans="1:15" x14ac:dyDescent="0.25">
      <c r="A1992">
        <v>5136126</v>
      </c>
      <c r="B1992" t="str">
        <f t="shared" si="310"/>
        <v>stacjonarny</v>
      </c>
      <c r="C1992" s="1">
        <v>42944</v>
      </c>
      <c r="D1992" s="2">
        <v>0.49048611111111112</v>
      </c>
      <c r="E1992" s="2">
        <v>0.49685185185185188</v>
      </c>
      <c r="F1992" s="2">
        <f t="shared" si="311"/>
        <v>6.3657407407407551E-3</v>
      </c>
      <c r="G1992">
        <f t="shared" si="312"/>
        <v>0</v>
      </c>
      <c r="H1992">
        <f t="shared" si="313"/>
        <v>9</v>
      </c>
      <c r="I1992">
        <f t="shared" si="314"/>
        <v>10</v>
      </c>
      <c r="J1992">
        <f t="shared" si="315"/>
        <v>550</v>
      </c>
      <c r="K1992">
        <f t="shared" si="316"/>
        <v>10</v>
      </c>
      <c r="L1992">
        <f t="shared" si="317"/>
        <v>674044</v>
      </c>
      <c r="M1992">
        <f t="shared" si="318"/>
        <v>218652</v>
      </c>
      <c r="N1992">
        <f t="shared" si="319"/>
        <v>940696</v>
      </c>
      <c r="O1992">
        <f>IF(B1992="zagraniczny",K1992+O1991,O1991)</f>
        <v>851</v>
      </c>
    </row>
    <row r="1993" spans="1:15" x14ac:dyDescent="0.25">
      <c r="A1993">
        <v>9747700</v>
      </c>
      <c r="B1993" t="str">
        <f t="shared" si="310"/>
        <v>stacjonarny</v>
      </c>
      <c r="C1993" s="1">
        <v>42944</v>
      </c>
      <c r="D1993" s="2">
        <v>0.49305555555555558</v>
      </c>
      <c r="E1993" s="2">
        <v>0.50435185185185183</v>
      </c>
      <c r="F1993" s="2">
        <f t="shared" si="311"/>
        <v>1.1296296296296249E-2</v>
      </c>
      <c r="G1993">
        <f t="shared" si="312"/>
        <v>0</v>
      </c>
      <c r="H1993">
        <f t="shared" si="313"/>
        <v>16</v>
      </c>
      <c r="I1993">
        <f t="shared" si="314"/>
        <v>16</v>
      </c>
      <c r="J1993">
        <f t="shared" si="315"/>
        <v>976</v>
      </c>
      <c r="K1993">
        <f t="shared" si="316"/>
        <v>17</v>
      </c>
      <c r="L1993">
        <f t="shared" si="317"/>
        <v>675020</v>
      </c>
      <c r="M1993">
        <f t="shared" si="318"/>
        <v>218652</v>
      </c>
      <c r="N1993">
        <f t="shared" si="319"/>
        <v>941672</v>
      </c>
      <c r="O1993">
        <f>IF(B1993="zagraniczny",K1993+O1992,O1992)</f>
        <v>851</v>
      </c>
    </row>
    <row r="1994" spans="1:15" x14ac:dyDescent="0.25">
      <c r="A1994">
        <v>8387594</v>
      </c>
      <c r="B1994" t="str">
        <f t="shared" si="310"/>
        <v>stacjonarny</v>
      </c>
      <c r="C1994" s="1">
        <v>42944</v>
      </c>
      <c r="D1994" s="2">
        <v>0.49401620370370369</v>
      </c>
      <c r="E1994" s="2">
        <v>0.49682870370370369</v>
      </c>
      <c r="F1994" s="2">
        <f t="shared" si="311"/>
        <v>2.8124999999999956E-3</v>
      </c>
      <c r="G1994">
        <f t="shared" si="312"/>
        <v>0</v>
      </c>
      <c r="H1994">
        <f t="shared" si="313"/>
        <v>4</v>
      </c>
      <c r="I1994">
        <f t="shared" si="314"/>
        <v>3</v>
      </c>
      <c r="J1994">
        <f t="shared" si="315"/>
        <v>243</v>
      </c>
      <c r="K1994">
        <f t="shared" si="316"/>
        <v>5</v>
      </c>
      <c r="L1994">
        <f t="shared" si="317"/>
        <v>675263</v>
      </c>
      <c r="M1994">
        <f t="shared" si="318"/>
        <v>218652</v>
      </c>
      <c r="N1994">
        <f t="shared" si="319"/>
        <v>941915</v>
      </c>
      <c r="O1994">
        <f>IF(B1994="zagraniczny",K1994+O1993,O1993)</f>
        <v>851</v>
      </c>
    </row>
    <row r="1995" spans="1:15" x14ac:dyDescent="0.25">
      <c r="A1995">
        <v>65166542</v>
      </c>
      <c r="B1995" t="str">
        <f t="shared" si="310"/>
        <v>komorkowy</v>
      </c>
      <c r="C1995" s="1">
        <v>42944</v>
      </c>
      <c r="D1995" s="2">
        <v>0.49554398148148149</v>
      </c>
      <c r="E1995" s="2">
        <v>0.49667824074074074</v>
      </c>
      <c r="F1995" s="2">
        <f t="shared" si="311"/>
        <v>1.1342592592592515E-3</v>
      </c>
      <c r="G1995">
        <f t="shared" si="312"/>
        <v>0</v>
      </c>
      <c r="H1995">
        <f t="shared" si="313"/>
        <v>1</v>
      </c>
      <c r="I1995">
        <f t="shared" si="314"/>
        <v>38</v>
      </c>
      <c r="J1995">
        <f t="shared" si="315"/>
        <v>98</v>
      </c>
      <c r="K1995">
        <f t="shared" si="316"/>
        <v>2</v>
      </c>
      <c r="L1995">
        <f t="shared" si="317"/>
        <v>675263</v>
      </c>
      <c r="M1995">
        <f t="shared" si="318"/>
        <v>218750</v>
      </c>
      <c r="N1995">
        <f t="shared" si="319"/>
        <v>942013</v>
      </c>
      <c r="O1995">
        <f>IF(B1995="zagraniczny",K1995+O1994,O1994)</f>
        <v>851</v>
      </c>
    </row>
    <row r="1996" spans="1:15" x14ac:dyDescent="0.25">
      <c r="A1996">
        <v>77607017</v>
      </c>
      <c r="B1996" t="str">
        <f t="shared" si="310"/>
        <v>komorkowy</v>
      </c>
      <c r="C1996" s="1">
        <v>42944</v>
      </c>
      <c r="D1996" s="2">
        <v>0.49858796296296298</v>
      </c>
      <c r="E1996" s="2">
        <v>0.50891203703703702</v>
      </c>
      <c r="F1996" s="2">
        <f t="shared" si="311"/>
        <v>1.0324074074074041E-2</v>
      </c>
      <c r="G1996">
        <f t="shared" si="312"/>
        <v>0</v>
      </c>
      <c r="H1996">
        <f t="shared" si="313"/>
        <v>14</v>
      </c>
      <c r="I1996">
        <f t="shared" si="314"/>
        <v>52</v>
      </c>
      <c r="J1996">
        <f t="shared" si="315"/>
        <v>892</v>
      </c>
      <c r="K1996">
        <f t="shared" si="316"/>
        <v>15</v>
      </c>
      <c r="L1996">
        <f t="shared" si="317"/>
        <v>675263</v>
      </c>
      <c r="M1996">
        <f t="shared" si="318"/>
        <v>219642</v>
      </c>
      <c r="N1996">
        <f t="shared" si="319"/>
        <v>942905</v>
      </c>
      <c r="O1996">
        <f>IF(B1996="zagraniczny",K1996+O1995,O1995)</f>
        <v>851</v>
      </c>
    </row>
    <row r="1997" spans="1:15" x14ac:dyDescent="0.25">
      <c r="A1997">
        <v>9028434625</v>
      </c>
      <c r="B1997" t="str">
        <f t="shared" si="310"/>
        <v>zagraniczny</v>
      </c>
      <c r="C1997" s="1">
        <v>42944</v>
      </c>
      <c r="D1997" s="2">
        <v>0.50208333333333333</v>
      </c>
      <c r="E1997" s="2">
        <v>0.5110069444444445</v>
      </c>
      <c r="F1997" s="2">
        <f t="shared" si="311"/>
        <v>8.9236111111111738E-3</v>
      </c>
      <c r="G1997">
        <f t="shared" si="312"/>
        <v>0</v>
      </c>
      <c r="H1997">
        <f t="shared" si="313"/>
        <v>12</v>
      </c>
      <c r="I1997">
        <f t="shared" si="314"/>
        <v>51</v>
      </c>
      <c r="J1997">
        <f t="shared" si="315"/>
        <v>771</v>
      </c>
      <c r="K1997">
        <f t="shared" si="316"/>
        <v>13</v>
      </c>
      <c r="L1997">
        <f t="shared" si="317"/>
        <v>675263</v>
      </c>
      <c r="M1997">
        <f t="shared" si="318"/>
        <v>219642</v>
      </c>
      <c r="N1997">
        <f t="shared" si="319"/>
        <v>942905</v>
      </c>
      <c r="O1997">
        <f>IF(B1997="zagraniczny",K1997+O1996,O1996)</f>
        <v>864</v>
      </c>
    </row>
    <row r="1998" spans="1:15" x14ac:dyDescent="0.25">
      <c r="A1998">
        <v>7503173</v>
      </c>
      <c r="B1998" t="str">
        <f t="shared" si="310"/>
        <v>stacjonarny</v>
      </c>
      <c r="C1998" s="1">
        <v>42944</v>
      </c>
      <c r="D1998" s="2">
        <v>0.50390046296296298</v>
      </c>
      <c r="E1998" s="2">
        <v>0.50619212962962967</v>
      </c>
      <c r="F1998" s="2">
        <f t="shared" si="311"/>
        <v>2.2916666666666918E-3</v>
      </c>
      <c r="G1998">
        <f t="shared" si="312"/>
        <v>0</v>
      </c>
      <c r="H1998">
        <f t="shared" si="313"/>
        <v>3</v>
      </c>
      <c r="I1998">
        <f t="shared" si="314"/>
        <v>18</v>
      </c>
      <c r="J1998">
        <f t="shared" si="315"/>
        <v>198</v>
      </c>
      <c r="K1998">
        <f t="shared" si="316"/>
        <v>4</v>
      </c>
      <c r="L1998">
        <f t="shared" si="317"/>
        <v>675461</v>
      </c>
      <c r="M1998">
        <f t="shared" si="318"/>
        <v>219642</v>
      </c>
      <c r="N1998">
        <f t="shared" si="319"/>
        <v>943103</v>
      </c>
      <c r="O1998">
        <f>IF(B1998="zagraniczny",K1998+O1997,O1997)</f>
        <v>864</v>
      </c>
    </row>
    <row r="1999" spans="1:15" x14ac:dyDescent="0.25">
      <c r="A1999">
        <v>9039872</v>
      </c>
      <c r="B1999" t="str">
        <f t="shared" si="310"/>
        <v>stacjonarny</v>
      </c>
      <c r="C1999" s="1">
        <v>42944</v>
      </c>
      <c r="D1999" s="2">
        <v>0.50825231481481481</v>
      </c>
      <c r="E1999" s="2">
        <v>0.5168518518518519</v>
      </c>
      <c r="F1999" s="2">
        <f t="shared" si="311"/>
        <v>8.5995370370370861E-3</v>
      </c>
      <c r="G1999">
        <f t="shared" si="312"/>
        <v>0</v>
      </c>
      <c r="H1999">
        <f t="shared" si="313"/>
        <v>12</v>
      </c>
      <c r="I1999">
        <f t="shared" si="314"/>
        <v>23</v>
      </c>
      <c r="J1999">
        <f t="shared" si="315"/>
        <v>743</v>
      </c>
      <c r="K1999">
        <f t="shared" si="316"/>
        <v>13</v>
      </c>
      <c r="L1999">
        <f t="shared" si="317"/>
        <v>676204</v>
      </c>
      <c r="M1999">
        <f t="shared" si="318"/>
        <v>219642</v>
      </c>
      <c r="N1999">
        <f t="shared" si="319"/>
        <v>943846</v>
      </c>
      <c r="O1999">
        <f>IF(B1999="zagraniczny",K1999+O1998,O1998)</f>
        <v>864</v>
      </c>
    </row>
    <row r="2000" spans="1:15" x14ac:dyDescent="0.25">
      <c r="A2000">
        <v>45940361</v>
      </c>
      <c r="B2000" t="str">
        <f t="shared" si="310"/>
        <v>komorkowy</v>
      </c>
      <c r="C2000" s="1">
        <v>42944</v>
      </c>
      <c r="D2000" s="2">
        <v>0.50982638888888887</v>
      </c>
      <c r="E2000" s="2">
        <v>0.51537037037037037</v>
      </c>
      <c r="F2000" s="2">
        <f t="shared" si="311"/>
        <v>5.5439814814814969E-3</v>
      </c>
      <c r="G2000">
        <f t="shared" si="312"/>
        <v>0</v>
      </c>
      <c r="H2000">
        <f t="shared" si="313"/>
        <v>7</v>
      </c>
      <c r="I2000">
        <f t="shared" si="314"/>
        <v>59</v>
      </c>
      <c r="J2000">
        <f t="shared" si="315"/>
        <v>479</v>
      </c>
      <c r="K2000">
        <f t="shared" si="316"/>
        <v>8</v>
      </c>
      <c r="L2000">
        <f t="shared" si="317"/>
        <v>676204</v>
      </c>
      <c r="M2000">
        <f t="shared" si="318"/>
        <v>220121</v>
      </c>
      <c r="N2000">
        <f t="shared" si="319"/>
        <v>944325</v>
      </c>
      <c r="O2000">
        <f>IF(B2000="zagraniczny",K2000+O1999,O1999)</f>
        <v>864</v>
      </c>
    </row>
    <row r="2001" spans="1:15" x14ac:dyDescent="0.25">
      <c r="A2001">
        <v>6242177</v>
      </c>
      <c r="B2001" t="str">
        <f t="shared" si="310"/>
        <v>stacjonarny</v>
      </c>
      <c r="C2001" s="1">
        <v>42944</v>
      </c>
      <c r="D2001" s="2">
        <v>0.5138773148148148</v>
      </c>
      <c r="E2001" s="2">
        <v>0.52096064814814813</v>
      </c>
      <c r="F2001" s="2">
        <f t="shared" si="311"/>
        <v>7.0833333333333304E-3</v>
      </c>
      <c r="G2001">
        <f t="shared" si="312"/>
        <v>0</v>
      </c>
      <c r="H2001">
        <f t="shared" si="313"/>
        <v>10</v>
      </c>
      <c r="I2001">
        <f t="shared" si="314"/>
        <v>12</v>
      </c>
      <c r="J2001">
        <f t="shared" si="315"/>
        <v>612</v>
      </c>
      <c r="K2001">
        <f t="shared" si="316"/>
        <v>11</v>
      </c>
      <c r="L2001">
        <f t="shared" si="317"/>
        <v>676816</v>
      </c>
      <c r="M2001">
        <f t="shared" si="318"/>
        <v>220121</v>
      </c>
      <c r="N2001">
        <f t="shared" si="319"/>
        <v>944937</v>
      </c>
      <c r="O2001">
        <f>IF(B2001="zagraniczny",K2001+O2000,O2000)</f>
        <v>864</v>
      </c>
    </row>
    <row r="2002" spans="1:15" x14ac:dyDescent="0.25">
      <c r="A2002">
        <v>60454232</v>
      </c>
      <c r="B2002" t="str">
        <f t="shared" si="310"/>
        <v>komorkowy</v>
      </c>
      <c r="C2002" s="1">
        <v>42944</v>
      </c>
      <c r="D2002" s="2">
        <v>0.5149421296296296</v>
      </c>
      <c r="E2002" s="2">
        <v>0.5248032407407407</v>
      </c>
      <c r="F2002" s="2">
        <f t="shared" si="311"/>
        <v>9.8611111111110983E-3</v>
      </c>
      <c r="G2002">
        <f t="shared" si="312"/>
        <v>0</v>
      </c>
      <c r="H2002">
        <f t="shared" si="313"/>
        <v>14</v>
      </c>
      <c r="I2002">
        <f t="shared" si="314"/>
        <v>12</v>
      </c>
      <c r="J2002">
        <f t="shared" si="315"/>
        <v>852</v>
      </c>
      <c r="K2002">
        <f t="shared" si="316"/>
        <v>15</v>
      </c>
      <c r="L2002">
        <f t="shared" si="317"/>
        <v>676816</v>
      </c>
      <c r="M2002">
        <f t="shared" si="318"/>
        <v>220973</v>
      </c>
      <c r="N2002">
        <f t="shared" si="319"/>
        <v>945789</v>
      </c>
      <c r="O2002">
        <f>IF(B2002="zagraniczny",K2002+O2001,O2001)</f>
        <v>864</v>
      </c>
    </row>
    <row r="2003" spans="1:15" x14ac:dyDescent="0.25">
      <c r="A2003">
        <v>4060894</v>
      </c>
      <c r="B2003" t="str">
        <f t="shared" si="310"/>
        <v>stacjonarny</v>
      </c>
      <c r="C2003" s="1">
        <v>42944</v>
      </c>
      <c r="D2003" s="2">
        <v>0.51730324074074074</v>
      </c>
      <c r="E2003" s="2">
        <v>0.51848379629629626</v>
      </c>
      <c r="F2003" s="2">
        <f t="shared" si="311"/>
        <v>1.1805555555555181E-3</v>
      </c>
      <c r="G2003">
        <f t="shared" si="312"/>
        <v>0</v>
      </c>
      <c r="H2003">
        <f t="shared" si="313"/>
        <v>1</v>
      </c>
      <c r="I2003">
        <f t="shared" si="314"/>
        <v>42</v>
      </c>
      <c r="J2003">
        <f t="shared" si="315"/>
        <v>102</v>
      </c>
      <c r="K2003">
        <f t="shared" si="316"/>
        <v>2</v>
      </c>
      <c r="L2003">
        <f t="shared" si="317"/>
        <v>676918</v>
      </c>
      <c r="M2003">
        <f t="shared" si="318"/>
        <v>220973</v>
      </c>
      <c r="N2003">
        <f t="shared" si="319"/>
        <v>945891</v>
      </c>
      <c r="O2003">
        <f>IF(B2003="zagraniczny",K2003+O2002,O2002)</f>
        <v>864</v>
      </c>
    </row>
    <row r="2004" spans="1:15" x14ac:dyDescent="0.25">
      <c r="A2004">
        <v>8223406</v>
      </c>
      <c r="B2004" t="str">
        <f t="shared" si="310"/>
        <v>stacjonarny</v>
      </c>
      <c r="C2004" s="1">
        <v>42944</v>
      </c>
      <c r="D2004" s="2">
        <v>0.51908564814814817</v>
      </c>
      <c r="E2004" s="2">
        <v>0.51929398148148154</v>
      </c>
      <c r="F2004" s="2">
        <f t="shared" si="311"/>
        <v>2.083333333333659E-4</v>
      </c>
      <c r="G2004">
        <f t="shared" si="312"/>
        <v>0</v>
      </c>
      <c r="H2004">
        <f t="shared" si="313"/>
        <v>0</v>
      </c>
      <c r="I2004">
        <f t="shared" si="314"/>
        <v>18</v>
      </c>
      <c r="J2004">
        <f t="shared" si="315"/>
        <v>18</v>
      </c>
      <c r="K2004">
        <f t="shared" si="316"/>
        <v>1</v>
      </c>
      <c r="L2004">
        <f t="shared" si="317"/>
        <v>676936</v>
      </c>
      <c r="M2004">
        <f t="shared" si="318"/>
        <v>220973</v>
      </c>
      <c r="N2004">
        <f t="shared" si="319"/>
        <v>945909</v>
      </c>
      <c r="O2004">
        <f>IF(B2004="zagraniczny",K2004+O2003,O2003)</f>
        <v>864</v>
      </c>
    </row>
    <row r="2005" spans="1:15" x14ac:dyDescent="0.25">
      <c r="A2005">
        <v>43109897</v>
      </c>
      <c r="B2005" t="str">
        <f t="shared" si="310"/>
        <v>komorkowy</v>
      </c>
      <c r="C2005" s="1">
        <v>42944</v>
      </c>
      <c r="D2005" s="2">
        <v>0.52467592592592593</v>
      </c>
      <c r="E2005" s="2">
        <v>0.53178240740740745</v>
      </c>
      <c r="F2005" s="2">
        <f t="shared" si="311"/>
        <v>7.1064814814815191E-3</v>
      </c>
      <c r="G2005">
        <f t="shared" si="312"/>
        <v>0</v>
      </c>
      <c r="H2005">
        <f t="shared" si="313"/>
        <v>10</v>
      </c>
      <c r="I2005">
        <f t="shared" si="314"/>
        <v>14</v>
      </c>
      <c r="J2005">
        <f t="shared" si="315"/>
        <v>614</v>
      </c>
      <c r="K2005">
        <f t="shared" si="316"/>
        <v>11</v>
      </c>
      <c r="L2005">
        <f t="shared" si="317"/>
        <v>676936</v>
      </c>
      <c r="M2005">
        <f t="shared" si="318"/>
        <v>221587</v>
      </c>
      <c r="N2005">
        <f t="shared" si="319"/>
        <v>946523</v>
      </c>
      <c r="O2005">
        <f>IF(B2005="zagraniczny",K2005+O2004,O2004)</f>
        <v>864</v>
      </c>
    </row>
    <row r="2006" spans="1:15" x14ac:dyDescent="0.25">
      <c r="A2006">
        <v>95805020</v>
      </c>
      <c r="B2006" t="str">
        <f t="shared" si="310"/>
        <v>komorkowy</v>
      </c>
      <c r="C2006" s="1">
        <v>42944</v>
      </c>
      <c r="D2006" s="2">
        <v>0.52603009259259259</v>
      </c>
      <c r="E2006" s="2">
        <v>0.53304398148148147</v>
      </c>
      <c r="F2006" s="2">
        <f t="shared" si="311"/>
        <v>7.0138888888888751E-3</v>
      </c>
      <c r="G2006">
        <f t="shared" si="312"/>
        <v>0</v>
      </c>
      <c r="H2006">
        <f t="shared" si="313"/>
        <v>10</v>
      </c>
      <c r="I2006">
        <f t="shared" si="314"/>
        <v>6</v>
      </c>
      <c r="J2006">
        <f t="shared" si="315"/>
        <v>606</v>
      </c>
      <c r="K2006">
        <f t="shared" si="316"/>
        <v>11</v>
      </c>
      <c r="L2006">
        <f t="shared" si="317"/>
        <v>676936</v>
      </c>
      <c r="M2006">
        <f t="shared" si="318"/>
        <v>222193</v>
      </c>
      <c r="N2006">
        <f t="shared" si="319"/>
        <v>947129</v>
      </c>
      <c r="O2006">
        <f>IF(B2006="zagraniczny",K2006+O2005,O2005)</f>
        <v>864</v>
      </c>
    </row>
    <row r="2007" spans="1:15" x14ac:dyDescent="0.25">
      <c r="A2007">
        <v>2849439</v>
      </c>
      <c r="B2007" t="str">
        <f t="shared" si="310"/>
        <v>stacjonarny</v>
      </c>
      <c r="C2007" s="1">
        <v>42944</v>
      </c>
      <c r="D2007" s="2">
        <v>0.52813657407407411</v>
      </c>
      <c r="E2007" s="2">
        <v>0.53039351851851857</v>
      </c>
      <c r="F2007" s="2">
        <f t="shared" si="311"/>
        <v>2.2569444444444642E-3</v>
      </c>
      <c r="G2007">
        <f t="shared" si="312"/>
        <v>0</v>
      </c>
      <c r="H2007">
        <f t="shared" si="313"/>
        <v>3</v>
      </c>
      <c r="I2007">
        <f t="shared" si="314"/>
        <v>15</v>
      </c>
      <c r="J2007">
        <f t="shared" si="315"/>
        <v>195</v>
      </c>
      <c r="K2007">
        <f t="shared" si="316"/>
        <v>4</v>
      </c>
      <c r="L2007">
        <f t="shared" si="317"/>
        <v>677131</v>
      </c>
      <c r="M2007">
        <f t="shared" si="318"/>
        <v>222193</v>
      </c>
      <c r="N2007">
        <f t="shared" si="319"/>
        <v>947324</v>
      </c>
      <c r="O2007">
        <f>IF(B2007="zagraniczny",K2007+O2006,O2006)</f>
        <v>864</v>
      </c>
    </row>
    <row r="2008" spans="1:15" x14ac:dyDescent="0.25">
      <c r="A2008">
        <v>9589060</v>
      </c>
      <c r="B2008" t="str">
        <f t="shared" si="310"/>
        <v>stacjonarny</v>
      </c>
      <c r="C2008" s="1">
        <v>42944</v>
      </c>
      <c r="D2008" s="2">
        <v>0.53310185185185188</v>
      </c>
      <c r="E2008" s="2">
        <v>0.53871527777777772</v>
      </c>
      <c r="F2008" s="2">
        <f t="shared" si="311"/>
        <v>5.6134259259258412E-3</v>
      </c>
      <c r="G2008">
        <f t="shared" si="312"/>
        <v>0</v>
      </c>
      <c r="H2008">
        <f t="shared" si="313"/>
        <v>8</v>
      </c>
      <c r="I2008">
        <f t="shared" si="314"/>
        <v>5</v>
      </c>
      <c r="J2008">
        <f t="shared" si="315"/>
        <v>485</v>
      </c>
      <c r="K2008">
        <f t="shared" si="316"/>
        <v>9</v>
      </c>
      <c r="L2008">
        <f t="shared" si="317"/>
        <v>677616</v>
      </c>
      <c r="M2008">
        <f t="shared" si="318"/>
        <v>222193</v>
      </c>
      <c r="N2008">
        <f t="shared" si="319"/>
        <v>947809</v>
      </c>
      <c r="O2008">
        <f>IF(B2008="zagraniczny",K2008+O2007,O2007)</f>
        <v>864</v>
      </c>
    </row>
    <row r="2009" spans="1:15" x14ac:dyDescent="0.25">
      <c r="A2009">
        <v>2603125</v>
      </c>
      <c r="B2009" t="str">
        <f t="shared" si="310"/>
        <v>stacjonarny</v>
      </c>
      <c r="C2009" s="1">
        <v>42944</v>
      </c>
      <c r="D2009" s="2">
        <v>0.53541666666666665</v>
      </c>
      <c r="E2009" s="2">
        <v>0.53666666666666663</v>
      </c>
      <c r="F2009" s="2">
        <f t="shared" si="311"/>
        <v>1.2499999999999734E-3</v>
      </c>
      <c r="G2009">
        <f t="shared" si="312"/>
        <v>0</v>
      </c>
      <c r="H2009">
        <f t="shared" si="313"/>
        <v>1</v>
      </c>
      <c r="I2009">
        <f t="shared" si="314"/>
        <v>48</v>
      </c>
      <c r="J2009">
        <f t="shared" si="315"/>
        <v>108</v>
      </c>
      <c r="K2009">
        <f t="shared" si="316"/>
        <v>2</v>
      </c>
      <c r="L2009">
        <f t="shared" si="317"/>
        <v>677724</v>
      </c>
      <c r="M2009">
        <f t="shared" si="318"/>
        <v>222193</v>
      </c>
      <c r="N2009">
        <f t="shared" si="319"/>
        <v>947917</v>
      </c>
      <c r="O2009">
        <f>IF(B2009="zagraniczny",K2009+O2008,O2008)</f>
        <v>864</v>
      </c>
    </row>
    <row r="2010" spans="1:15" x14ac:dyDescent="0.25">
      <c r="A2010">
        <v>8770898</v>
      </c>
      <c r="B2010" t="str">
        <f t="shared" si="310"/>
        <v>stacjonarny</v>
      </c>
      <c r="C2010" s="1">
        <v>42944</v>
      </c>
      <c r="D2010" s="2">
        <v>0.53773148148148153</v>
      </c>
      <c r="E2010" s="2">
        <v>0.54628472222222224</v>
      </c>
      <c r="F2010" s="2">
        <f t="shared" si="311"/>
        <v>8.5532407407407085E-3</v>
      </c>
      <c r="G2010">
        <f t="shared" si="312"/>
        <v>0</v>
      </c>
      <c r="H2010">
        <f t="shared" si="313"/>
        <v>12</v>
      </c>
      <c r="I2010">
        <f t="shared" si="314"/>
        <v>19</v>
      </c>
      <c r="J2010">
        <f t="shared" si="315"/>
        <v>739</v>
      </c>
      <c r="K2010">
        <f t="shared" si="316"/>
        <v>13</v>
      </c>
      <c r="L2010">
        <f t="shared" si="317"/>
        <v>678463</v>
      </c>
      <c r="M2010">
        <f t="shared" si="318"/>
        <v>222193</v>
      </c>
      <c r="N2010">
        <f t="shared" si="319"/>
        <v>948656</v>
      </c>
      <c r="O2010">
        <f>IF(B2010="zagraniczny",K2010+O2009,O2009)</f>
        <v>864</v>
      </c>
    </row>
    <row r="2011" spans="1:15" x14ac:dyDescent="0.25">
      <c r="A2011">
        <v>3224960</v>
      </c>
      <c r="B2011" t="str">
        <f t="shared" si="310"/>
        <v>stacjonarny</v>
      </c>
      <c r="C2011" s="1">
        <v>42944</v>
      </c>
      <c r="D2011" s="2">
        <v>0.54221064814814812</v>
      </c>
      <c r="E2011" s="2">
        <v>0.54947916666666663</v>
      </c>
      <c r="F2011" s="2">
        <f t="shared" si="311"/>
        <v>7.2685185185185075E-3</v>
      </c>
      <c r="G2011">
        <f t="shared" si="312"/>
        <v>0</v>
      </c>
      <c r="H2011">
        <f t="shared" si="313"/>
        <v>10</v>
      </c>
      <c r="I2011">
        <f t="shared" si="314"/>
        <v>28</v>
      </c>
      <c r="J2011">
        <f t="shared" si="315"/>
        <v>628</v>
      </c>
      <c r="K2011">
        <f t="shared" si="316"/>
        <v>11</v>
      </c>
      <c r="L2011">
        <f t="shared" si="317"/>
        <v>679091</v>
      </c>
      <c r="M2011">
        <f t="shared" si="318"/>
        <v>222193</v>
      </c>
      <c r="N2011">
        <f t="shared" si="319"/>
        <v>949284</v>
      </c>
      <c r="O2011">
        <f>IF(B2011="zagraniczny",K2011+O2010,O2010)</f>
        <v>864</v>
      </c>
    </row>
    <row r="2012" spans="1:15" x14ac:dyDescent="0.25">
      <c r="A2012">
        <v>4150421</v>
      </c>
      <c r="B2012" t="str">
        <f t="shared" si="310"/>
        <v>stacjonarny</v>
      </c>
      <c r="C2012" s="1">
        <v>42944</v>
      </c>
      <c r="D2012" s="2">
        <v>0.54599537037037038</v>
      </c>
      <c r="E2012" s="2">
        <v>0.54759259259259263</v>
      </c>
      <c r="F2012" s="2">
        <f t="shared" si="311"/>
        <v>1.5972222222222499E-3</v>
      </c>
      <c r="G2012">
        <f t="shared" si="312"/>
        <v>0</v>
      </c>
      <c r="H2012">
        <f t="shared" si="313"/>
        <v>2</v>
      </c>
      <c r="I2012">
        <f t="shared" si="314"/>
        <v>18</v>
      </c>
      <c r="J2012">
        <f t="shared" si="315"/>
        <v>138</v>
      </c>
      <c r="K2012">
        <f t="shared" si="316"/>
        <v>3</v>
      </c>
      <c r="L2012">
        <f t="shared" si="317"/>
        <v>679229</v>
      </c>
      <c r="M2012">
        <f t="shared" si="318"/>
        <v>222193</v>
      </c>
      <c r="N2012">
        <f t="shared" si="319"/>
        <v>949422</v>
      </c>
      <c r="O2012">
        <f>IF(B2012="zagraniczny",K2012+O2011,O2011)</f>
        <v>864</v>
      </c>
    </row>
    <row r="2013" spans="1:15" x14ac:dyDescent="0.25">
      <c r="A2013">
        <v>44302763</v>
      </c>
      <c r="B2013" t="str">
        <f t="shared" si="310"/>
        <v>komorkowy</v>
      </c>
      <c r="C2013" s="1">
        <v>42944</v>
      </c>
      <c r="D2013" s="2">
        <v>0.54905092592592597</v>
      </c>
      <c r="E2013" s="2">
        <v>0.55343750000000003</v>
      </c>
      <c r="F2013" s="2">
        <f t="shared" si="311"/>
        <v>4.3865740740740566E-3</v>
      </c>
      <c r="G2013">
        <f t="shared" si="312"/>
        <v>0</v>
      </c>
      <c r="H2013">
        <f t="shared" si="313"/>
        <v>6</v>
      </c>
      <c r="I2013">
        <f t="shared" si="314"/>
        <v>19</v>
      </c>
      <c r="J2013">
        <f t="shared" si="315"/>
        <v>379</v>
      </c>
      <c r="K2013">
        <f t="shared" si="316"/>
        <v>7</v>
      </c>
      <c r="L2013">
        <f t="shared" si="317"/>
        <v>679229</v>
      </c>
      <c r="M2013">
        <f t="shared" si="318"/>
        <v>222572</v>
      </c>
      <c r="N2013">
        <f t="shared" si="319"/>
        <v>949801</v>
      </c>
      <c r="O2013">
        <f>IF(B2013="zagraniczny",K2013+O2012,O2012)</f>
        <v>864</v>
      </c>
    </row>
    <row r="2014" spans="1:15" x14ac:dyDescent="0.25">
      <c r="A2014">
        <v>1922212</v>
      </c>
      <c r="B2014" t="str">
        <f t="shared" si="310"/>
        <v>stacjonarny</v>
      </c>
      <c r="C2014" s="1">
        <v>42944</v>
      </c>
      <c r="D2014" s="2">
        <v>0.55334490740740738</v>
      </c>
      <c r="E2014" s="2">
        <v>0.56339120370370366</v>
      </c>
      <c r="F2014" s="2">
        <f t="shared" si="311"/>
        <v>1.0046296296296275E-2</v>
      </c>
      <c r="G2014">
        <f t="shared" si="312"/>
        <v>0</v>
      </c>
      <c r="H2014">
        <f t="shared" si="313"/>
        <v>14</v>
      </c>
      <c r="I2014">
        <f t="shared" si="314"/>
        <v>28</v>
      </c>
      <c r="J2014">
        <f t="shared" si="315"/>
        <v>868</v>
      </c>
      <c r="K2014">
        <f t="shared" si="316"/>
        <v>15</v>
      </c>
      <c r="L2014">
        <f t="shared" si="317"/>
        <v>680097</v>
      </c>
      <c r="M2014">
        <f t="shared" si="318"/>
        <v>222572</v>
      </c>
      <c r="N2014">
        <f t="shared" si="319"/>
        <v>950669</v>
      </c>
      <c r="O2014">
        <f>IF(B2014="zagraniczny",K2014+O2013,O2013)</f>
        <v>864</v>
      </c>
    </row>
    <row r="2015" spans="1:15" x14ac:dyDescent="0.25">
      <c r="A2015">
        <v>9603024</v>
      </c>
      <c r="B2015" t="str">
        <f t="shared" si="310"/>
        <v>stacjonarny</v>
      </c>
      <c r="C2015" s="1">
        <v>42944</v>
      </c>
      <c r="D2015" s="2">
        <v>0.55806712962962968</v>
      </c>
      <c r="E2015" s="2">
        <v>0.55923611111111116</v>
      </c>
      <c r="F2015" s="2">
        <f t="shared" si="311"/>
        <v>1.1689814814814792E-3</v>
      </c>
      <c r="G2015">
        <f t="shared" si="312"/>
        <v>0</v>
      </c>
      <c r="H2015">
        <f t="shared" si="313"/>
        <v>1</v>
      </c>
      <c r="I2015">
        <f t="shared" si="314"/>
        <v>41</v>
      </c>
      <c r="J2015">
        <f t="shared" si="315"/>
        <v>101</v>
      </c>
      <c r="K2015">
        <f t="shared" si="316"/>
        <v>2</v>
      </c>
      <c r="L2015">
        <f t="shared" si="317"/>
        <v>680198</v>
      </c>
      <c r="M2015">
        <f t="shared" si="318"/>
        <v>222572</v>
      </c>
      <c r="N2015">
        <f t="shared" si="319"/>
        <v>950770</v>
      </c>
      <c r="O2015">
        <f>IF(B2015="zagraniczny",K2015+O2014,O2014)</f>
        <v>864</v>
      </c>
    </row>
    <row r="2016" spans="1:15" x14ac:dyDescent="0.25">
      <c r="A2016">
        <v>1640513</v>
      </c>
      <c r="B2016" t="str">
        <f t="shared" si="310"/>
        <v>stacjonarny</v>
      </c>
      <c r="C2016" s="1">
        <v>42944</v>
      </c>
      <c r="D2016" s="2">
        <v>0.56162037037037038</v>
      </c>
      <c r="E2016" s="2">
        <v>0.56876157407407413</v>
      </c>
      <c r="F2016" s="2">
        <f t="shared" si="311"/>
        <v>7.1412037037037468E-3</v>
      </c>
      <c r="G2016">
        <f t="shared" si="312"/>
        <v>0</v>
      </c>
      <c r="H2016">
        <f t="shared" si="313"/>
        <v>10</v>
      </c>
      <c r="I2016">
        <f t="shared" si="314"/>
        <v>17</v>
      </c>
      <c r="J2016">
        <f t="shared" si="315"/>
        <v>617</v>
      </c>
      <c r="K2016">
        <f t="shared" si="316"/>
        <v>11</v>
      </c>
      <c r="L2016">
        <f t="shared" si="317"/>
        <v>680815</v>
      </c>
      <c r="M2016">
        <f t="shared" si="318"/>
        <v>222572</v>
      </c>
      <c r="N2016">
        <f t="shared" si="319"/>
        <v>951387</v>
      </c>
      <c r="O2016">
        <f>IF(B2016="zagraniczny",K2016+O2015,O2015)</f>
        <v>864</v>
      </c>
    </row>
    <row r="2017" spans="1:15" x14ac:dyDescent="0.25">
      <c r="A2017">
        <v>16592072</v>
      </c>
      <c r="B2017" t="str">
        <f t="shared" si="310"/>
        <v>komorkowy</v>
      </c>
      <c r="C2017" s="1">
        <v>42944</v>
      </c>
      <c r="D2017" s="2">
        <v>0.56673611111111111</v>
      </c>
      <c r="E2017" s="2">
        <v>0.57725694444444442</v>
      </c>
      <c r="F2017" s="2">
        <f t="shared" si="311"/>
        <v>1.0520833333333313E-2</v>
      </c>
      <c r="G2017">
        <f t="shared" si="312"/>
        <v>0</v>
      </c>
      <c r="H2017">
        <f t="shared" si="313"/>
        <v>15</v>
      </c>
      <c r="I2017">
        <f t="shared" si="314"/>
        <v>9</v>
      </c>
      <c r="J2017">
        <f t="shared" si="315"/>
        <v>909</v>
      </c>
      <c r="K2017">
        <f t="shared" si="316"/>
        <v>16</v>
      </c>
      <c r="L2017">
        <f t="shared" si="317"/>
        <v>680815</v>
      </c>
      <c r="M2017">
        <f t="shared" si="318"/>
        <v>223481</v>
      </c>
      <c r="N2017">
        <f t="shared" si="319"/>
        <v>952296</v>
      </c>
      <c r="O2017">
        <f>IF(B2017="zagraniczny",K2017+O2016,O2016)</f>
        <v>864</v>
      </c>
    </row>
    <row r="2018" spans="1:15" x14ac:dyDescent="0.25">
      <c r="A2018">
        <v>4895290</v>
      </c>
      <c r="B2018" t="str">
        <f t="shared" si="310"/>
        <v>stacjonarny</v>
      </c>
      <c r="C2018" s="1">
        <v>42944</v>
      </c>
      <c r="D2018" s="2">
        <v>0.56821759259259264</v>
      </c>
      <c r="E2018" s="2">
        <v>0.5773611111111111</v>
      </c>
      <c r="F2018" s="2">
        <f t="shared" si="311"/>
        <v>9.1435185185184675E-3</v>
      </c>
      <c r="G2018">
        <f t="shared" si="312"/>
        <v>0</v>
      </c>
      <c r="H2018">
        <f t="shared" si="313"/>
        <v>13</v>
      </c>
      <c r="I2018">
        <f t="shared" si="314"/>
        <v>10</v>
      </c>
      <c r="J2018">
        <f t="shared" si="315"/>
        <v>790</v>
      </c>
      <c r="K2018">
        <f t="shared" si="316"/>
        <v>14</v>
      </c>
      <c r="L2018">
        <f t="shared" si="317"/>
        <v>681605</v>
      </c>
      <c r="M2018">
        <f t="shared" si="318"/>
        <v>223481</v>
      </c>
      <c r="N2018">
        <f t="shared" si="319"/>
        <v>953086</v>
      </c>
      <c r="O2018">
        <f>IF(B2018="zagraniczny",K2018+O2017,O2017)</f>
        <v>864</v>
      </c>
    </row>
    <row r="2019" spans="1:15" x14ac:dyDescent="0.25">
      <c r="A2019">
        <v>5277660</v>
      </c>
      <c r="B2019" t="str">
        <f t="shared" si="310"/>
        <v>stacjonarny</v>
      </c>
      <c r="C2019" s="1">
        <v>42944</v>
      </c>
      <c r="D2019" s="2">
        <v>0.57050925925925922</v>
      </c>
      <c r="E2019" s="2">
        <v>0.58049768518518519</v>
      </c>
      <c r="F2019" s="2">
        <f t="shared" si="311"/>
        <v>9.98842592592597E-3</v>
      </c>
      <c r="G2019">
        <f t="shared" si="312"/>
        <v>0</v>
      </c>
      <c r="H2019">
        <f t="shared" si="313"/>
        <v>14</v>
      </c>
      <c r="I2019">
        <f t="shared" si="314"/>
        <v>23</v>
      </c>
      <c r="J2019">
        <f t="shared" si="315"/>
        <v>863</v>
      </c>
      <c r="K2019">
        <f t="shared" si="316"/>
        <v>15</v>
      </c>
      <c r="L2019">
        <f t="shared" si="317"/>
        <v>682468</v>
      </c>
      <c r="M2019">
        <f t="shared" si="318"/>
        <v>223481</v>
      </c>
      <c r="N2019">
        <f t="shared" si="319"/>
        <v>953949</v>
      </c>
      <c r="O2019">
        <f>IF(B2019="zagraniczny",K2019+O2018,O2018)</f>
        <v>864</v>
      </c>
    </row>
    <row r="2020" spans="1:15" x14ac:dyDescent="0.25">
      <c r="A2020">
        <v>8715278</v>
      </c>
      <c r="B2020" t="str">
        <f t="shared" si="310"/>
        <v>stacjonarny</v>
      </c>
      <c r="C2020" s="1">
        <v>42944</v>
      </c>
      <c r="D2020" s="2">
        <v>0.57146990740740744</v>
      </c>
      <c r="E2020" s="2">
        <v>0.57642361111111107</v>
      </c>
      <c r="F2020" s="2">
        <f t="shared" si="311"/>
        <v>4.9537037037036269E-3</v>
      </c>
      <c r="G2020">
        <f t="shared" si="312"/>
        <v>0</v>
      </c>
      <c r="H2020">
        <f t="shared" si="313"/>
        <v>7</v>
      </c>
      <c r="I2020">
        <f t="shared" si="314"/>
        <v>8</v>
      </c>
      <c r="J2020">
        <f t="shared" si="315"/>
        <v>428</v>
      </c>
      <c r="K2020">
        <f t="shared" si="316"/>
        <v>8</v>
      </c>
      <c r="L2020">
        <f t="shared" si="317"/>
        <v>682896</v>
      </c>
      <c r="M2020">
        <f t="shared" si="318"/>
        <v>223481</v>
      </c>
      <c r="N2020">
        <f t="shared" si="319"/>
        <v>954377</v>
      </c>
      <c r="O2020">
        <f>IF(B2020="zagraniczny",K2020+O2019,O2019)</f>
        <v>864</v>
      </c>
    </row>
    <row r="2021" spans="1:15" x14ac:dyDescent="0.25">
      <c r="A2021">
        <v>1462418</v>
      </c>
      <c r="B2021" t="str">
        <f t="shared" si="310"/>
        <v>stacjonarny</v>
      </c>
      <c r="C2021" s="1">
        <v>42944</v>
      </c>
      <c r="D2021" s="2">
        <v>0.57186342592592587</v>
      </c>
      <c r="E2021" s="2">
        <v>0.57379629629629625</v>
      </c>
      <c r="F2021" s="2">
        <f t="shared" si="311"/>
        <v>1.9328703703703765E-3</v>
      </c>
      <c r="G2021">
        <f t="shared" si="312"/>
        <v>0</v>
      </c>
      <c r="H2021">
        <f t="shared" si="313"/>
        <v>2</v>
      </c>
      <c r="I2021">
        <f t="shared" si="314"/>
        <v>47</v>
      </c>
      <c r="J2021">
        <f t="shared" si="315"/>
        <v>167</v>
      </c>
      <c r="K2021">
        <f t="shared" si="316"/>
        <v>3</v>
      </c>
      <c r="L2021">
        <f t="shared" si="317"/>
        <v>683063</v>
      </c>
      <c r="M2021">
        <f t="shared" si="318"/>
        <v>223481</v>
      </c>
      <c r="N2021">
        <f t="shared" si="319"/>
        <v>954544</v>
      </c>
      <c r="O2021">
        <f>IF(B2021="zagraniczny",K2021+O2020,O2020)</f>
        <v>864</v>
      </c>
    </row>
    <row r="2022" spans="1:15" x14ac:dyDescent="0.25">
      <c r="A2022">
        <v>8077806</v>
      </c>
      <c r="B2022" t="str">
        <f t="shared" si="310"/>
        <v>stacjonarny</v>
      </c>
      <c r="C2022" s="1">
        <v>42944</v>
      </c>
      <c r="D2022" s="2">
        <v>0.57629629629629631</v>
      </c>
      <c r="E2022" s="2">
        <v>0.58628472222222228</v>
      </c>
      <c r="F2022" s="2">
        <f t="shared" si="311"/>
        <v>9.98842592592597E-3</v>
      </c>
      <c r="G2022">
        <f t="shared" si="312"/>
        <v>0</v>
      </c>
      <c r="H2022">
        <f t="shared" si="313"/>
        <v>14</v>
      </c>
      <c r="I2022">
        <f t="shared" si="314"/>
        <v>23</v>
      </c>
      <c r="J2022">
        <f t="shared" si="315"/>
        <v>863</v>
      </c>
      <c r="K2022">
        <f t="shared" si="316"/>
        <v>15</v>
      </c>
      <c r="L2022">
        <f t="shared" si="317"/>
        <v>683926</v>
      </c>
      <c r="M2022">
        <f t="shared" si="318"/>
        <v>223481</v>
      </c>
      <c r="N2022">
        <f t="shared" si="319"/>
        <v>955407</v>
      </c>
      <c r="O2022">
        <f>IF(B2022="zagraniczny",K2022+O2021,O2021)</f>
        <v>864</v>
      </c>
    </row>
    <row r="2023" spans="1:15" x14ac:dyDescent="0.25">
      <c r="A2023">
        <v>5759409</v>
      </c>
      <c r="B2023" t="str">
        <f t="shared" si="310"/>
        <v>stacjonarny</v>
      </c>
      <c r="C2023" s="1">
        <v>42944</v>
      </c>
      <c r="D2023" s="2">
        <v>0.57835648148148144</v>
      </c>
      <c r="E2023" s="2">
        <v>0.58644675925925926</v>
      </c>
      <c r="F2023" s="2">
        <f t="shared" si="311"/>
        <v>8.0902777777778212E-3</v>
      </c>
      <c r="G2023">
        <f t="shared" si="312"/>
        <v>0</v>
      </c>
      <c r="H2023">
        <f t="shared" si="313"/>
        <v>11</v>
      </c>
      <c r="I2023">
        <f t="shared" si="314"/>
        <v>39</v>
      </c>
      <c r="J2023">
        <f t="shared" si="315"/>
        <v>699</v>
      </c>
      <c r="K2023">
        <f t="shared" si="316"/>
        <v>12</v>
      </c>
      <c r="L2023">
        <f t="shared" si="317"/>
        <v>684625</v>
      </c>
      <c r="M2023">
        <f t="shared" si="318"/>
        <v>223481</v>
      </c>
      <c r="N2023">
        <f t="shared" si="319"/>
        <v>956106</v>
      </c>
      <c r="O2023">
        <f>IF(B2023="zagraniczny",K2023+O2022,O2022)</f>
        <v>864</v>
      </c>
    </row>
    <row r="2024" spans="1:15" x14ac:dyDescent="0.25">
      <c r="A2024">
        <v>6257971</v>
      </c>
      <c r="B2024" t="str">
        <f t="shared" si="310"/>
        <v>stacjonarny</v>
      </c>
      <c r="C2024" s="1">
        <v>42944</v>
      </c>
      <c r="D2024" s="2">
        <v>0.58331018518518518</v>
      </c>
      <c r="E2024" s="2">
        <v>0.58539351851851851</v>
      </c>
      <c r="F2024" s="2">
        <f t="shared" si="311"/>
        <v>2.0833333333333259E-3</v>
      </c>
      <c r="G2024">
        <f t="shared" si="312"/>
        <v>0</v>
      </c>
      <c r="H2024">
        <f t="shared" si="313"/>
        <v>3</v>
      </c>
      <c r="I2024">
        <f t="shared" si="314"/>
        <v>0</v>
      </c>
      <c r="J2024">
        <f t="shared" si="315"/>
        <v>180</v>
      </c>
      <c r="K2024">
        <f t="shared" si="316"/>
        <v>3</v>
      </c>
      <c r="L2024">
        <f t="shared" si="317"/>
        <v>684805</v>
      </c>
      <c r="M2024">
        <f t="shared" si="318"/>
        <v>223481</v>
      </c>
      <c r="N2024">
        <f t="shared" si="319"/>
        <v>956286</v>
      </c>
      <c r="O2024">
        <f>IF(B2024="zagraniczny",K2024+O2023,O2023)</f>
        <v>864</v>
      </c>
    </row>
    <row r="2025" spans="1:15" x14ac:dyDescent="0.25">
      <c r="A2025">
        <v>91129571</v>
      </c>
      <c r="B2025" t="str">
        <f t="shared" si="310"/>
        <v>komorkowy</v>
      </c>
      <c r="C2025" s="1">
        <v>42944</v>
      </c>
      <c r="D2025" s="2">
        <v>0.58353009259259259</v>
      </c>
      <c r="E2025" s="2">
        <v>0.58950231481481485</v>
      </c>
      <c r="F2025" s="2">
        <f t="shared" si="311"/>
        <v>5.9722222222222676E-3</v>
      </c>
      <c r="G2025">
        <f t="shared" si="312"/>
        <v>0</v>
      </c>
      <c r="H2025">
        <f t="shared" si="313"/>
        <v>8</v>
      </c>
      <c r="I2025">
        <f t="shared" si="314"/>
        <v>36</v>
      </c>
      <c r="J2025">
        <f t="shared" si="315"/>
        <v>516</v>
      </c>
      <c r="K2025">
        <f t="shared" si="316"/>
        <v>9</v>
      </c>
      <c r="L2025">
        <f t="shared" si="317"/>
        <v>684805</v>
      </c>
      <c r="M2025">
        <f t="shared" si="318"/>
        <v>223997</v>
      </c>
      <c r="N2025">
        <f t="shared" si="319"/>
        <v>956802</v>
      </c>
      <c r="O2025">
        <f>IF(B2025="zagraniczny",K2025+O2024,O2024)</f>
        <v>864</v>
      </c>
    </row>
    <row r="2026" spans="1:15" x14ac:dyDescent="0.25">
      <c r="A2026">
        <v>6884037</v>
      </c>
      <c r="B2026" t="str">
        <f t="shared" si="310"/>
        <v>stacjonarny</v>
      </c>
      <c r="C2026" s="1">
        <v>42944</v>
      </c>
      <c r="D2026" s="2">
        <v>0.58892361111111113</v>
      </c>
      <c r="E2026" s="2">
        <v>0.59381944444444446</v>
      </c>
      <c r="F2026" s="2">
        <f t="shared" si="311"/>
        <v>4.8958333333333215E-3</v>
      </c>
      <c r="G2026">
        <f t="shared" si="312"/>
        <v>0</v>
      </c>
      <c r="H2026">
        <f t="shared" si="313"/>
        <v>7</v>
      </c>
      <c r="I2026">
        <f t="shared" si="314"/>
        <v>3</v>
      </c>
      <c r="J2026">
        <f t="shared" si="315"/>
        <v>423</v>
      </c>
      <c r="K2026">
        <f t="shared" si="316"/>
        <v>8</v>
      </c>
      <c r="L2026">
        <f t="shared" si="317"/>
        <v>685228</v>
      </c>
      <c r="M2026">
        <f t="shared" si="318"/>
        <v>223997</v>
      </c>
      <c r="N2026">
        <f t="shared" si="319"/>
        <v>957225</v>
      </c>
      <c r="O2026">
        <f>IF(B2026="zagraniczny",K2026+O2025,O2025)</f>
        <v>864</v>
      </c>
    </row>
    <row r="2027" spans="1:15" x14ac:dyDescent="0.25">
      <c r="A2027">
        <v>6657074</v>
      </c>
      <c r="B2027" t="str">
        <f t="shared" si="310"/>
        <v>stacjonarny</v>
      </c>
      <c r="C2027" s="1">
        <v>42944</v>
      </c>
      <c r="D2027" s="2">
        <v>0.59035879629629628</v>
      </c>
      <c r="E2027" s="2">
        <v>0.5992939814814815</v>
      </c>
      <c r="F2027" s="2">
        <f t="shared" si="311"/>
        <v>8.9351851851852127E-3</v>
      </c>
      <c r="G2027">
        <f t="shared" si="312"/>
        <v>0</v>
      </c>
      <c r="H2027">
        <f t="shared" si="313"/>
        <v>12</v>
      </c>
      <c r="I2027">
        <f t="shared" si="314"/>
        <v>52</v>
      </c>
      <c r="J2027">
        <f t="shared" si="315"/>
        <v>772</v>
      </c>
      <c r="K2027">
        <f t="shared" si="316"/>
        <v>13</v>
      </c>
      <c r="L2027">
        <f t="shared" si="317"/>
        <v>686000</v>
      </c>
      <c r="M2027">
        <f t="shared" si="318"/>
        <v>223997</v>
      </c>
      <c r="N2027">
        <f t="shared" si="319"/>
        <v>957997</v>
      </c>
      <c r="O2027">
        <f>IF(B2027="zagraniczny",K2027+O2026,O2026)</f>
        <v>864</v>
      </c>
    </row>
    <row r="2028" spans="1:15" x14ac:dyDescent="0.25">
      <c r="A2028">
        <v>2211277198</v>
      </c>
      <c r="B2028" t="str">
        <f t="shared" si="310"/>
        <v>zagraniczny</v>
      </c>
      <c r="C2028" s="1">
        <v>42944</v>
      </c>
      <c r="D2028" s="2">
        <v>0.59439814814814818</v>
      </c>
      <c r="E2028" s="2">
        <v>0.60048611111111116</v>
      </c>
      <c r="F2028" s="2">
        <f t="shared" si="311"/>
        <v>6.0879629629629894E-3</v>
      </c>
      <c r="G2028">
        <f t="shared" si="312"/>
        <v>0</v>
      </c>
      <c r="H2028">
        <f t="shared" si="313"/>
        <v>8</v>
      </c>
      <c r="I2028">
        <f t="shared" si="314"/>
        <v>46</v>
      </c>
      <c r="J2028">
        <f t="shared" si="315"/>
        <v>526</v>
      </c>
      <c r="K2028">
        <f t="shared" si="316"/>
        <v>9</v>
      </c>
      <c r="L2028">
        <f t="shared" si="317"/>
        <v>686000</v>
      </c>
      <c r="M2028">
        <f t="shared" si="318"/>
        <v>223997</v>
      </c>
      <c r="N2028">
        <f t="shared" si="319"/>
        <v>957997</v>
      </c>
      <c r="O2028">
        <f>IF(B2028="zagraniczny",K2028+O2027,O2027)</f>
        <v>873</v>
      </c>
    </row>
    <row r="2029" spans="1:15" x14ac:dyDescent="0.25">
      <c r="A2029">
        <v>26766818</v>
      </c>
      <c r="B2029" t="str">
        <f t="shared" si="310"/>
        <v>komorkowy</v>
      </c>
      <c r="C2029" s="1">
        <v>42944</v>
      </c>
      <c r="D2029" s="2">
        <v>0.59788194444444442</v>
      </c>
      <c r="E2029" s="2">
        <v>0.60576388888888888</v>
      </c>
      <c r="F2029" s="2">
        <f t="shared" si="311"/>
        <v>7.8819444444444553E-3</v>
      </c>
      <c r="G2029">
        <f t="shared" si="312"/>
        <v>0</v>
      </c>
      <c r="H2029">
        <f t="shared" si="313"/>
        <v>11</v>
      </c>
      <c r="I2029">
        <f t="shared" si="314"/>
        <v>21</v>
      </c>
      <c r="J2029">
        <f t="shared" si="315"/>
        <v>681</v>
      </c>
      <c r="K2029">
        <f t="shared" si="316"/>
        <v>12</v>
      </c>
      <c r="L2029">
        <f t="shared" si="317"/>
        <v>686000</v>
      </c>
      <c r="M2029">
        <f t="shared" si="318"/>
        <v>224678</v>
      </c>
      <c r="N2029">
        <f t="shared" si="319"/>
        <v>958678</v>
      </c>
      <c r="O2029">
        <f>IF(B2029="zagraniczny",K2029+O2028,O2028)</f>
        <v>873</v>
      </c>
    </row>
    <row r="2030" spans="1:15" x14ac:dyDescent="0.25">
      <c r="A2030">
        <v>4473835</v>
      </c>
      <c r="B2030" t="str">
        <f t="shared" si="310"/>
        <v>stacjonarny</v>
      </c>
      <c r="C2030" s="1">
        <v>42944</v>
      </c>
      <c r="D2030" s="2">
        <v>0.60322916666666671</v>
      </c>
      <c r="E2030" s="2">
        <v>0.60628472222222218</v>
      </c>
      <c r="F2030" s="2">
        <f t="shared" si="311"/>
        <v>3.0555555555554781E-3</v>
      </c>
      <c r="G2030">
        <f t="shared" si="312"/>
        <v>0</v>
      </c>
      <c r="H2030">
        <f t="shared" si="313"/>
        <v>4</v>
      </c>
      <c r="I2030">
        <f t="shared" si="314"/>
        <v>24</v>
      </c>
      <c r="J2030">
        <f t="shared" si="315"/>
        <v>264</v>
      </c>
      <c r="K2030">
        <f t="shared" si="316"/>
        <v>5</v>
      </c>
      <c r="L2030">
        <f t="shared" si="317"/>
        <v>686264</v>
      </c>
      <c r="M2030">
        <f t="shared" si="318"/>
        <v>224678</v>
      </c>
      <c r="N2030">
        <f t="shared" si="319"/>
        <v>958942</v>
      </c>
      <c r="O2030">
        <f>IF(B2030="zagraniczny",K2030+O2029,O2029)</f>
        <v>873</v>
      </c>
    </row>
    <row r="2031" spans="1:15" x14ac:dyDescent="0.25">
      <c r="A2031">
        <v>9941776</v>
      </c>
      <c r="B2031" t="str">
        <f t="shared" si="310"/>
        <v>stacjonarny</v>
      </c>
      <c r="C2031" s="1">
        <v>42944</v>
      </c>
      <c r="D2031" s="2">
        <v>0.60745370370370366</v>
      </c>
      <c r="E2031" s="2">
        <v>0.61017361111111112</v>
      </c>
      <c r="F2031" s="2">
        <f t="shared" si="311"/>
        <v>2.7199074074074625E-3</v>
      </c>
      <c r="G2031">
        <f t="shared" si="312"/>
        <v>0</v>
      </c>
      <c r="H2031">
        <f t="shared" si="313"/>
        <v>3</v>
      </c>
      <c r="I2031">
        <f t="shared" si="314"/>
        <v>55</v>
      </c>
      <c r="J2031">
        <f t="shared" si="315"/>
        <v>235</v>
      </c>
      <c r="K2031">
        <f t="shared" si="316"/>
        <v>4</v>
      </c>
      <c r="L2031">
        <f t="shared" si="317"/>
        <v>686499</v>
      </c>
      <c r="M2031">
        <f t="shared" si="318"/>
        <v>224678</v>
      </c>
      <c r="N2031">
        <f t="shared" si="319"/>
        <v>959177</v>
      </c>
      <c r="O2031">
        <f>IF(B2031="zagraniczny",K2031+O2030,O2030)</f>
        <v>873</v>
      </c>
    </row>
    <row r="2032" spans="1:15" x14ac:dyDescent="0.25">
      <c r="A2032">
        <v>9045402</v>
      </c>
      <c r="B2032" t="str">
        <f t="shared" si="310"/>
        <v>stacjonarny</v>
      </c>
      <c r="C2032" s="1">
        <v>42944</v>
      </c>
      <c r="D2032" s="2">
        <v>0.61322916666666671</v>
      </c>
      <c r="E2032" s="2">
        <v>0.62153935185185183</v>
      </c>
      <c r="F2032" s="2">
        <f t="shared" si="311"/>
        <v>8.310185185185115E-3</v>
      </c>
      <c r="G2032">
        <f t="shared" si="312"/>
        <v>0</v>
      </c>
      <c r="H2032">
        <f t="shared" si="313"/>
        <v>11</v>
      </c>
      <c r="I2032">
        <f t="shared" si="314"/>
        <v>58</v>
      </c>
      <c r="J2032">
        <f t="shared" si="315"/>
        <v>718</v>
      </c>
      <c r="K2032">
        <f t="shared" si="316"/>
        <v>12</v>
      </c>
      <c r="L2032">
        <f t="shared" si="317"/>
        <v>687217</v>
      </c>
      <c r="M2032">
        <f t="shared" si="318"/>
        <v>224678</v>
      </c>
      <c r="N2032">
        <f t="shared" si="319"/>
        <v>959895</v>
      </c>
      <c r="O2032">
        <f>IF(B2032="zagraniczny",K2032+O2031,O2031)</f>
        <v>873</v>
      </c>
    </row>
    <row r="2033" spans="1:15" x14ac:dyDescent="0.25">
      <c r="A2033">
        <v>7662302259</v>
      </c>
      <c r="B2033" t="str">
        <f t="shared" si="310"/>
        <v>zagraniczny</v>
      </c>
      <c r="C2033" s="1">
        <v>42944</v>
      </c>
      <c r="D2033" s="2">
        <v>0.61570601851851847</v>
      </c>
      <c r="E2033" s="2">
        <v>0.62429398148148152</v>
      </c>
      <c r="F2033" s="2">
        <f t="shared" si="311"/>
        <v>8.5879629629630472E-3</v>
      </c>
      <c r="G2033">
        <f t="shared" si="312"/>
        <v>0</v>
      </c>
      <c r="H2033">
        <f t="shared" si="313"/>
        <v>12</v>
      </c>
      <c r="I2033">
        <f t="shared" si="314"/>
        <v>22</v>
      </c>
      <c r="J2033">
        <f t="shared" si="315"/>
        <v>742</v>
      </c>
      <c r="K2033">
        <f t="shared" si="316"/>
        <v>13</v>
      </c>
      <c r="L2033">
        <f t="shared" si="317"/>
        <v>687217</v>
      </c>
      <c r="M2033">
        <f t="shared" si="318"/>
        <v>224678</v>
      </c>
      <c r="N2033">
        <f t="shared" si="319"/>
        <v>959895</v>
      </c>
      <c r="O2033">
        <f>IF(B2033="zagraniczny",K2033+O2032,O2032)</f>
        <v>886</v>
      </c>
    </row>
    <row r="2034" spans="1:15" x14ac:dyDescent="0.25">
      <c r="A2034">
        <v>2756059784</v>
      </c>
      <c r="B2034" t="str">
        <f t="shared" si="310"/>
        <v>zagraniczny</v>
      </c>
      <c r="C2034" s="1">
        <v>42944</v>
      </c>
      <c r="D2034" s="2">
        <v>0.61962962962962964</v>
      </c>
      <c r="E2034" s="2">
        <v>0.62399305555555551</v>
      </c>
      <c r="F2034" s="2">
        <f t="shared" si="311"/>
        <v>4.3634259259258679E-3</v>
      </c>
      <c r="G2034">
        <f t="shared" si="312"/>
        <v>0</v>
      </c>
      <c r="H2034">
        <f t="shared" si="313"/>
        <v>6</v>
      </c>
      <c r="I2034">
        <f t="shared" si="314"/>
        <v>17</v>
      </c>
      <c r="J2034">
        <f t="shared" si="315"/>
        <v>377</v>
      </c>
      <c r="K2034">
        <f t="shared" si="316"/>
        <v>7</v>
      </c>
      <c r="L2034">
        <f t="shared" si="317"/>
        <v>687217</v>
      </c>
      <c r="M2034">
        <f t="shared" si="318"/>
        <v>224678</v>
      </c>
      <c r="N2034">
        <f t="shared" si="319"/>
        <v>959895</v>
      </c>
      <c r="O2034">
        <f>IF(B2034="zagraniczny",K2034+O2033,O2033)</f>
        <v>893</v>
      </c>
    </row>
    <row r="2035" spans="1:15" x14ac:dyDescent="0.25">
      <c r="A2035">
        <v>8667012</v>
      </c>
      <c r="B2035" t="str">
        <f t="shared" si="310"/>
        <v>stacjonarny</v>
      </c>
      <c r="C2035" s="1">
        <v>42944</v>
      </c>
      <c r="D2035" s="2">
        <v>0.62204861111111109</v>
      </c>
      <c r="E2035" s="2">
        <v>0.62440972222222224</v>
      </c>
      <c r="F2035" s="2">
        <f t="shared" si="311"/>
        <v>2.3611111111111471E-3</v>
      </c>
      <c r="G2035">
        <f t="shared" si="312"/>
        <v>0</v>
      </c>
      <c r="H2035">
        <f t="shared" si="313"/>
        <v>3</v>
      </c>
      <c r="I2035">
        <f t="shared" si="314"/>
        <v>24</v>
      </c>
      <c r="J2035">
        <f t="shared" si="315"/>
        <v>204</v>
      </c>
      <c r="K2035">
        <f t="shared" si="316"/>
        <v>4</v>
      </c>
      <c r="L2035">
        <f t="shared" si="317"/>
        <v>687421</v>
      </c>
      <c r="M2035">
        <f t="shared" si="318"/>
        <v>224678</v>
      </c>
      <c r="N2035">
        <f t="shared" si="319"/>
        <v>960099</v>
      </c>
      <c r="O2035">
        <f>IF(B2035="zagraniczny",K2035+O2034,O2034)</f>
        <v>893</v>
      </c>
    </row>
    <row r="2036" spans="1:15" x14ac:dyDescent="0.25">
      <c r="A2036">
        <v>34964547</v>
      </c>
      <c r="B2036" t="str">
        <f t="shared" si="310"/>
        <v>komorkowy</v>
      </c>
      <c r="C2036" s="1">
        <v>42944</v>
      </c>
      <c r="D2036" s="2">
        <v>0.62502314814814819</v>
      </c>
      <c r="E2036" s="2">
        <v>0.63574074074074072</v>
      </c>
      <c r="F2036" s="2">
        <f t="shared" si="311"/>
        <v>1.0717592592592529E-2</v>
      </c>
      <c r="G2036">
        <f t="shared" si="312"/>
        <v>0</v>
      </c>
      <c r="H2036">
        <f t="shared" si="313"/>
        <v>15</v>
      </c>
      <c r="I2036">
        <f t="shared" si="314"/>
        <v>26</v>
      </c>
      <c r="J2036">
        <f t="shared" si="315"/>
        <v>926</v>
      </c>
      <c r="K2036">
        <f t="shared" si="316"/>
        <v>16</v>
      </c>
      <c r="L2036">
        <f t="shared" si="317"/>
        <v>687421</v>
      </c>
      <c r="M2036">
        <f t="shared" si="318"/>
        <v>225604</v>
      </c>
      <c r="N2036">
        <f t="shared" si="319"/>
        <v>961025</v>
      </c>
      <c r="O2036">
        <f>IF(B2036="zagraniczny",K2036+O2035,O2035)</f>
        <v>893</v>
      </c>
    </row>
    <row r="2037" spans="1:15" x14ac:dyDescent="0.25">
      <c r="A2037">
        <v>9357185</v>
      </c>
      <c r="B2037" t="str">
        <f t="shared" si="310"/>
        <v>stacjonarny</v>
      </c>
      <c r="C2037" s="1">
        <v>42947</v>
      </c>
      <c r="D2037" s="2">
        <v>0.3342013888888889</v>
      </c>
      <c r="E2037" s="2">
        <v>0.34159722222222222</v>
      </c>
      <c r="F2037" s="2">
        <f t="shared" si="311"/>
        <v>7.3958333333333237E-3</v>
      </c>
      <c r="G2037">
        <f t="shared" si="312"/>
        <v>0</v>
      </c>
      <c r="H2037">
        <f t="shared" si="313"/>
        <v>10</v>
      </c>
      <c r="I2037">
        <f t="shared" si="314"/>
        <v>39</v>
      </c>
      <c r="J2037">
        <f t="shared" si="315"/>
        <v>639</v>
      </c>
      <c r="K2037">
        <f t="shared" si="316"/>
        <v>11</v>
      </c>
      <c r="L2037">
        <f t="shared" si="317"/>
        <v>688060</v>
      </c>
      <c r="M2037">
        <f t="shared" si="318"/>
        <v>225604</v>
      </c>
      <c r="N2037">
        <f t="shared" si="319"/>
        <v>961664</v>
      </c>
      <c r="O2037">
        <f>IF(B2037="zagraniczny",K2037+O2036,O2036)</f>
        <v>893</v>
      </c>
    </row>
    <row r="2038" spans="1:15" x14ac:dyDescent="0.25">
      <c r="A2038">
        <v>12471534</v>
      </c>
      <c r="B2038" t="str">
        <f t="shared" si="310"/>
        <v>komorkowy</v>
      </c>
      <c r="C2038" s="1">
        <v>42947</v>
      </c>
      <c r="D2038" s="2">
        <v>0.33929398148148149</v>
      </c>
      <c r="E2038" s="2">
        <v>0.34349537037037037</v>
      </c>
      <c r="F2038" s="2">
        <f t="shared" si="311"/>
        <v>4.2013888888888795E-3</v>
      </c>
      <c r="G2038">
        <f t="shared" si="312"/>
        <v>0</v>
      </c>
      <c r="H2038">
        <f t="shared" si="313"/>
        <v>6</v>
      </c>
      <c r="I2038">
        <f t="shared" si="314"/>
        <v>3</v>
      </c>
      <c r="J2038">
        <f t="shared" si="315"/>
        <v>363</v>
      </c>
      <c r="K2038">
        <f t="shared" si="316"/>
        <v>7</v>
      </c>
      <c r="L2038">
        <f t="shared" si="317"/>
        <v>688060</v>
      </c>
      <c r="M2038">
        <f t="shared" si="318"/>
        <v>225967</v>
      </c>
      <c r="N2038">
        <f t="shared" si="319"/>
        <v>962027</v>
      </c>
      <c r="O2038">
        <f>IF(B2038="zagraniczny",K2038+O2037,O2037)</f>
        <v>893</v>
      </c>
    </row>
    <row r="2039" spans="1:15" x14ac:dyDescent="0.25">
      <c r="A2039">
        <v>1003402</v>
      </c>
      <c r="B2039" t="str">
        <f t="shared" si="310"/>
        <v>stacjonarny</v>
      </c>
      <c r="C2039" s="1">
        <v>42947</v>
      </c>
      <c r="D2039" s="2">
        <v>0.34378472222222223</v>
      </c>
      <c r="E2039" s="2">
        <v>0.34677083333333331</v>
      </c>
      <c r="F2039" s="2">
        <f t="shared" si="311"/>
        <v>2.9861111111110783E-3</v>
      </c>
      <c r="G2039">
        <f t="shared" si="312"/>
        <v>0</v>
      </c>
      <c r="H2039">
        <f t="shared" si="313"/>
        <v>4</v>
      </c>
      <c r="I2039">
        <f t="shared" si="314"/>
        <v>18</v>
      </c>
      <c r="J2039">
        <f t="shared" si="315"/>
        <v>258</v>
      </c>
      <c r="K2039">
        <f t="shared" si="316"/>
        <v>5</v>
      </c>
      <c r="L2039">
        <f t="shared" si="317"/>
        <v>688318</v>
      </c>
      <c r="M2039">
        <f t="shared" si="318"/>
        <v>225967</v>
      </c>
      <c r="N2039">
        <f t="shared" si="319"/>
        <v>962285</v>
      </c>
      <c r="O2039">
        <f>IF(B2039="zagraniczny",K2039+O2038,O2038)</f>
        <v>893</v>
      </c>
    </row>
    <row r="2040" spans="1:15" x14ac:dyDescent="0.25">
      <c r="A2040">
        <v>4509550</v>
      </c>
      <c r="B2040" t="str">
        <f t="shared" si="310"/>
        <v>stacjonarny</v>
      </c>
      <c r="C2040" s="1">
        <v>42947</v>
      </c>
      <c r="D2040" s="2">
        <v>0.34609953703703705</v>
      </c>
      <c r="E2040" s="2">
        <v>0.35118055555555555</v>
      </c>
      <c r="F2040" s="2">
        <f t="shared" si="311"/>
        <v>5.0810185185184986E-3</v>
      </c>
      <c r="G2040">
        <f t="shared" si="312"/>
        <v>0</v>
      </c>
      <c r="H2040">
        <f t="shared" si="313"/>
        <v>7</v>
      </c>
      <c r="I2040">
        <f t="shared" si="314"/>
        <v>19</v>
      </c>
      <c r="J2040">
        <f t="shared" si="315"/>
        <v>439</v>
      </c>
      <c r="K2040">
        <f t="shared" si="316"/>
        <v>8</v>
      </c>
      <c r="L2040">
        <f t="shared" si="317"/>
        <v>688757</v>
      </c>
      <c r="M2040">
        <f t="shared" si="318"/>
        <v>225967</v>
      </c>
      <c r="N2040">
        <f t="shared" si="319"/>
        <v>962724</v>
      </c>
      <c r="O2040">
        <f>IF(B2040="zagraniczny",K2040+O2039,O2039)</f>
        <v>893</v>
      </c>
    </row>
    <row r="2041" spans="1:15" x14ac:dyDescent="0.25">
      <c r="A2041">
        <v>5356824</v>
      </c>
      <c r="B2041" t="str">
        <f t="shared" si="310"/>
        <v>stacjonarny</v>
      </c>
      <c r="C2041" s="1">
        <v>42947</v>
      </c>
      <c r="D2041" s="2">
        <v>0.35167824074074072</v>
      </c>
      <c r="E2041" s="2">
        <v>0.35538194444444443</v>
      </c>
      <c r="F2041" s="2">
        <f t="shared" si="311"/>
        <v>3.703703703703709E-3</v>
      </c>
      <c r="G2041">
        <f t="shared" si="312"/>
        <v>0</v>
      </c>
      <c r="H2041">
        <f t="shared" si="313"/>
        <v>5</v>
      </c>
      <c r="I2041">
        <f t="shared" si="314"/>
        <v>20</v>
      </c>
      <c r="J2041">
        <f t="shared" si="315"/>
        <v>320</v>
      </c>
      <c r="K2041">
        <f t="shared" si="316"/>
        <v>6</v>
      </c>
      <c r="L2041">
        <f t="shared" si="317"/>
        <v>689077</v>
      </c>
      <c r="M2041">
        <f t="shared" si="318"/>
        <v>225967</v>
      </c>
      <c r="N2041">
        <f t="shared" si="319"/>
        <v>963044</v>
      </c>
      <c r="O2041">
        <f>IF(B2041="zagraniczny",K2041+O2040,O2040)</f>
        <v>893</v>
      </c>
    </row>
    <row r="2042" spans="1:15" x14ac:dyDescent="0.25">
      <c r="A2042">
        <v>4293872</v>
      </c>
      <c r="B2042" t="str">
        <f t="shared" si="310"/>
        <v>stacjonarny</v>
      </c>
      <c r="C2042" s="1">
        <v>42947</v>
      </c>
      <c r="D2042" s="2">
        <v>0.35333333333333333</v>
      </c>
      <c r="E2042" s="2">
        <v>0.35844907407407406</v>
      </c>
      <c r="F2042" s="2">
        <f t="shared" si="311"/>
        <v>5.1157407407407263E-3</v>
      </c>
      <c r="G2042">
        <f t="shared" si="312"/>
        <v>0</v>
      </c>
      <c r="H2042">
        <f t="shared" si="313"/>
        <v>7</v>
      </c>
      <c r="I2042">
        <f t="shared" si="314"/>
        <v>22</v>
      </c>
      <c r="J2042">
        <f t="shared" si="315"/>
        <v>442</v>
      </c>
      <c r="K2042">
        <f t="shared" si="316"/>
        <v>8</v>
      </c>
      <c r="L2042">
        <f t="shared" si="317"/>
        <v>689519</v>
      </c>
      <c r="M2042">
        <f t="shared" si="318"/>
        <v>225967</v>
      </c>
      <c r="N2042">
        <f t="shared" si="319"/>
        <v>963486</v>
      </c>
      <c r="O2042">
        <f>IF(B2042="zagraniczny",K2042+O2041,O2041)</f>
        <v>893</v>
      </c>
    </row>
    <row r="2043" spans="1:15" x14ac:dyDescent="0.25">
      <c r="A2043">
        <v>5086182</v>
      </c>
      <c r="B2043" t="str">
        <f t="shared" si="310"/>
        <v>stacjonarny</v>
      </c>
      <c r="C2043" s="1">
        <v>42947</v>
      </c>
      <c r="D2043" s="2">
        <v>0.35793981481481479</v>
      </c>
      <c r="E2043" s="2">
        <v>0.36571759259259257</v>
      </c>
      <c r="F2043" s="2">
        <f t="shared" si="311"/>
        <v>7.7777777777777724E-3</v>
      </c>
      <c r="G2043">
        <f t="shared" si="312"/>
        <v>0</v>
      </c>
      <c r="H2043">
        <f t="shared" si="313"/>
        <v>11</v>
      </c>
      <c r="I2043">
        <f t="shared" si="314"/>
        <v>12</v>
      </c>
      <c r="J2043">
        <f t="shared" si="315"/>
        <v>672</v>
      </c>
      <c r="K2043">
        <f t="shared" si="316"/>
        <v>12</v>
      </c>
      <c r="L2043">
        <f t="shared" si="317"/>
        <v>690191</v>
      </c>
      <c r="M2043">
        <f t="shared" si="318"/>
        <v>225967</v>
      </c>
      <c r="N2043">
        <f t="shared" si="319"/>
        <v>964158</v>
      </c>
      <c r="O2043">
        <f>IF(B2043="zagraniczny",K2043+O2042,O2042)</f>
        <v>893</v>
      </c>
    </row>
    <row r="2044" spans="1:15" x14ac:dyDescent="0.25">
      <c r="A2044">
        <v>6175467</v>
      </c>
      <c r="B2044" t="str">
        <f t="shared" si="310"/>
        <v>stacjonarny</v>
      </c>
      <c r="C2044" s="1">
        <v>42947</v>
      </c>
      <c r="D2044" s="2">
        <v>0.35976851851851854</v>
      </c>
      <c r="E2044" s="2">
        <v>0.36883101851851852</v>
      </c>
      <c r="F2044" s="2">
        <f t="shared" si="311"/>
        <v>9.0624999999999734E-3</v>
      </c>
      <c r="G2044">
        <f t="shared" si="312"/>
        <v>0</v>
      </c>
      <c r="H2044">
        <f t="shared" si="313"/>
        <v>13</v>
      </c>
      <c r="I2044">
        <f t="shared" si="314"/>
        <v>3</v>
      </c>
      <c r="J2044">
        <f t="shared" si="315"/>
        <v>783</v>
      </c>
      <c r="K2044">
        <f t="shared" si="316"/>
        <v>14</v>
      </c>
      <c r="L2044">
        <f t="shared" si="317"/>
        <v>690974</v>
      </c>
      <c r="M2044">
        <f t="shared" si="318"/>
        <v>225967</v>
      </c>
      <c r="N2044">
        <f t="shared" si="319"/>
        <v>964941</v>
      </c>
      <c r="O2044">
        <f>IF(B2044="zagraniczny",K2044+O2043,O2043)</f>
        <v>893</v>
      </c>
    </row>
    <row r="2045" spans="1:15" x14ac:dyDescent="0.25">
      <c r="A2045">
        <v>2107985</v>
      </c>
      <c r="B2045" t="str">
        <f t="shared" si="310"/>
        <v>stacjonarny</v>
      </c>
      <c r="C2045" s="1">
        <v>42947</v>
      </c>
      <c r="D2045" s="2">
        <v>0.36394675925925923</v>
      </c>
      <c r="E2045" s="2">
        <v>0.37373842592592593</v>
      </c>
      <c r="F2045" s="2">
        <f t="shared" si="311"/>
        <v>9.7916666666666985E-3</v>
      </c>
      <c r="G2045">
        <f t="shared" si="312"/>
        <v>0</v>
      </c>
      <c r="H2045">
        <f t="shared" si="313"/>
        <v>14</v>
      </c>
      <c r="I2045">
        <f t="shared" si="314"/>
        <v>6</v>
      </c>
      <c r="J2045">
        <f t="shared" si="315"/>
        <v>846</v>
      </c>
      <c r="K2045">
        <f t="shared" si="316"/>
        <v>15</v>
      </c>
      <c r="L2045">
        <f t="shared" si="317"/>
        <v>691820</v>
      </c>
      <c r="M2045">
        <f t="shared" si="318"/>
        <v>225967</v>
      </c>
      <c r="N2045">
        <f t="shared" si="319"/>
        <v>965787</v>
      </c>
      <c r="O2045">
        <f>IF(B2045="zagraniczny",K2045+O2044,O2044)</f>
        <v>893</v>
      </c>
    </row>
    <row r="2046" spans="1:15" x14ac:dyDescent="0.25">
      <c r="A2046">
        <v>9388066</v>
      </c>
      <c r="B2046" t="str">
        <f t="shared" si="310"/>
        <v>stacjonarny</v>
      </c>
      <c r="C2046" s="1">
        <v>42947</v>
      </c>
      <c r="D2046" s="2">
        <v>0.36552083333333335</v>
      </c>
      <c r="E2046" s="2">
        <v>0.3696990740740741</v>
      </c>
      <c r="F2046" s="2">
        <f t="shared" si="311"/>
        <v>4.1782407407407463E-3</v>
      </c>
      <c r="G2046">
        <f t="shared" si="312"/>
        <v>0</v>
      </c>
      <c r="H2046">
        <f t="shared" si="313"/>
        <v>6</v>
      </c>
      <c r="I2046">
        <f t="shared" si="314"/>
        <v>1</v>
      </c>
      <c r="J2046">
        <f t="shared" si="315"/>
        <v>361</v>
      </c>
      <c r="K2046">
        <f t="shared" si="316"/>
        <v>7</v>
      </c>
      <c r="L2046">
        <f t="shared" si="317"/>
        <v>692181</v>
      </c>
      <c r="M2046">
        <f t="shared" si="318"/>
        <v>225967</v>
      </c>
      <c r="N2046">
        <f t="shared" si="319"/>
        <v>966148</v>
      </c>
      <c r="O2046">
        <f>IF(B2046="zagraniczny",K2046+O2045,O2045)</f>
        <v>893</v>
      </c>
    </row>
    <row r="2047" spans="1:15" x14ac:dyDescent="0.25">
      <c r="A2047">
        <v>4614100</v>
      </c>
      <c r="B2047" t="str">
        <f t="shared" si="310"/>
        <v>stacjonarny</v>
      </c>
      <c r="C2047" s="1">
        <v>42947</v>
      </c>
      <c r="D2047" s="2">
        <v>0.36776620370370372</v>
      </c>
      <c r="E2047" s="2">
        <v>0.37584490740740739</v>
      </c>
      <c r="F2047" s="2">
        <f t="shared" si="311"/>
        <v>8.0787037037036713E-3</v>
      </c>
      <c r="G2047">
        <f t="shared" si="312"/>
        <v>0</v>
      </c>
      <c r="H2047">
        <f t="shared" si="313"/>
        <v>11</v>
      </c>
      <c r="I2047">
        <f t="shared" si="314"/>
        <v>38</v>
      </c>
      <c r="J2047">
        <f t="shared" si="315"/>
        <v>698</v>
      </c>
      <c r="K2047">
        <f t="shared" si="316"/>
        <v>12</v>
      </c>
      <c r="L2047">
        <f t="shared" si="317"/>
        <v>692879</v>
      </c>
      <c r="M2047">
        <f t="shared" si="318"/>
        <v>225967</v>
      </c>
      <c r="N2047">
        <f t="shared" si="319"/>
        <v>966846</v>
      </c>
      <c r="O2047">
        <f>IF(B2047="zagraniczny",K2047+O2046,O2046)</f>
        <v>893</v>
      </c>
    </row>
    <row r="2048" spans="1:15" x14ac:dyDescent="0.25">
      <c r="A2048">
        <v>8279741</v>
      </c>
      <c r="B2048" t="str">
        <f t="shared" si="310"/>
        <v>stacjonarny</v>
      </c>
      <c r="C2048" s="1">
        <v>42947</v>
      </c>
      <c r="D2048" s="2">
        <v>0.37170138888888887</v>
      </c>
      <c r="E2048" s="2">
        <v>0.38305555555555554</v>
      </c>
      <c r="F2048" s="2">
        <f t="shared" si="311"/>
        <v>1.1354166666666665E-2</v>
      </c>
      <c r="G2048">
        <f t="shared" si="312"/>
        <v>0</v>
      </c>
      <c r="H2048">
        <f t="shared" si="313"/>
        <v>16</v>
      </c>
      <c r="I2048">
        <f t="shared" si="314"/>
        <v>21</v>
      </c>
      <c r="J2048">
        <f t="shared" si="315"/>
        <v>981</v>
      </c>
      <c r="K2048">
        <f t="shared" si="316"/>
        <v>17</v>
      </c>
      <c r="L2048">
        <f t="shared" si="317"/>
        <v>693860</v>
      </c>
      <c r="M2048">
        <f t="shared" si="318"/>
        <v>225967</v>
      </c>
      <c r="N2048">
        <f t="shared" si="319"/>
        <v>967827</v>
      </c>
      <c r="O2048">
        <f>IF(B2048="zagraniczny",K2048+O2047,O2047)</f>
        <v>893</v>
      </c>
    </row>
    <row r="2049" spans="1:15" x14ac:dyDescent="0.25">
      <c r="A2049">
        <v>9564752674</v>
      </c>
      <c r="B2049" t="str">
        <f t="shared" si="310"/>
        <v>zagraniczny</v>
      </c>
      <c r="C2049" s="1">
        <v>42947</v>
      </c>
      <c r="D2049" s="2">
        <v>0.37239583333333331</v>
      </c>
      <c r="E2049" s="2">
        <v>0.37680555555555556</v>
      </c>
      <c r="F2049" s="2">
        <f t="shared" si="311"/>
        <v>4.4097222222222454E-3</v>
      </c>
      <c r="G2049">
        <f t="shared" si="312"/>
        <v>0</v>
      </c>
      <c r="H2049">
        <f t="shared" si="313"/>
        <v>6</v>
      </c>
      <c r="I2049">
        <f t="shared" si="314"/>
        <v>21</v>
      </c>
      <c r="J2049">
        <f t="shared" si="315"/>
        <v>381</v>
      </c>
      <c r="K2049">
        <f t="shared" si="316"/>
        <v>7</v>
      </c>
      <c r="L2049">
        <f t="shared" si="317"/>
        <v>693860</v>
      </c>
      <c r="M2049">
        <f t="shared" si="318"/>
        <v>225967</v>
      </c>
      <c r="N2049">
        <f t="shared" si="319"/>
        <v>967827</v>
      </c>
      <c r="O2049">
        <f>IF(B2049="zagraniczny",K2049+O2048,O2048)</f>
        <v>900</v>
      </c>
    </row>
    <row r="2050" spans="1:15" x14ac:dyDescent="0.25">
      <c r="A2050">
        <v>1451455</v>
      </c>
      <c r="B2050" t="str">
        <f t="shared" si="310"/>
        <v>stacjonarny</v>
      </c>
      <c r="C2050" s="1">
        <v>42947</v>
      </c>
      <c r="D2050" s="2">
        <v>0.37714120370370369</v>
      </c>
      <c r="E2050" s="2">
        <v>0.38119212962962962</v>
      </c>
      <c r="F2050" s="2">
        <f t="shared" si="311"/>
        <v>4.05092592592593E-3</v>
      </c>
      <c r="G2050">
        <f t="shared" si="312"/>
        <v>0</v>
      </c>
      <c r="H2050">
        <f t="shared" si="313"/>
        <v>5</v>
      </c>
      <c r="I2050">
        <f t="shared" si="314"/>
        <v>50</v>
      </c>
      <c r="J2050">
        <f t="shared" si="315"/>
        <v>350</v>
      </c>
      <c r="K2050">
        <f t="shared" si="316"/>
        <v>6</v>
      </c>
      <c r="L2050">
        <f t="shared" si="317"/>
        <v>694210</v>
      </c>
      <c r="M2050">
        <f t="shared" si="318"/>
        <v>225967</v>
      </c>
      <c r="N2050">
        <f t="shared" si="319"/>
        <v>968177</v>
      </c>
      <c r="O2050">
        <f>IF(B2050="zagraniczny",K2050+O2049,O2049)</f>
        <v>900</v>
      </c>
    </row>
    <row r="2051" spans="1:15" x14ac:dyDescent="0.25">
      <c r="A2051">
        <v>8156713</v>
      </c>
      <c r="B2051" t="str">
        <f t="shared" ref="B2051:B2114" si="320">IF(LEN(A2051)=7,"stacjonarny",IF(LEN(A2051)=8,"komorkowy","zagraniczny"))</f>
        <v>stacjonarny</v>
      </c>
      <c r="C2051" s="1">
        <v>42947</v>
      </c>
      <c r="D2051" s="2">
        <v>0.38130787037037039</v>
      </c>
      <c r="E2051" s="2">
        <v>0.38280092592592591</v>
      </c>
      <c r="F2051" s="2">
        <f t="shared" ref="F2051:F2114" si="321">E2051-D2051</f>
        <v>1.4930555555555114E-3</v>
      </c>
      <c r="G2051">
        <f t="shared" ref="G2051:G2114" si="322">HOUR(F2051)</f>
        <v>0</v>
      </c>
      <c r="H2051">
        <f t="shared" ref="H2051:H2114" si="323">MINUTE(F2051)</f>
        <v>2</v>
      </c>
      <c r="I2051">
        <f t="shared" ref="I2051:I2114" si="324">SECOND(F2051)</f>
        <v>9</v>
      </c>
      <c r="J2051">
        <f t="shared" ref="J2051:J2114" si="325">H2051*60+I2051</f>
        <v>129</v>
      </c>
      <c r="K2051">
        <f t="shared" ref="K2051:K2114" si="326">IF(I2051&gt;0,G2051*60+H2051+1,H2051+G2051*60)</f>
        <v>3</v>
      </c>
      <c r="L2051">
        <f t="shared" si="317"/>
        <v>694339</v>
      </c>
      <c r="M2051">
        <f t="shared" si="318"/>
        <v>225967</v>
      </c>
      <c r="N2051">
        <f t="shared" si="319"/>
        <v>968306</v>
      </c>
      <c r="O2051">
        <f>IF(B2051="zagraniczny",K2051+O2050,O2050)</f>
        <v>900</v>
      </c>
    </row>
    <row r="2052" spans="1:15" x14ac:dyDescent="0.25">
      <c r="A2052">
        <v>24024164</v>
      </c>
      <c r="B2052" t="str">
        <f t="shared" si="320"/>
        <v>komorkowy</v>
      </c>
      <c r="C2052" s="1">
        <v>42947</v>
      </c>
      <c r="D2052" s="2">
        <v>0.38135416666666666</v>
      </c>
      <c r="E2052" s="2">
        <v>0.38210648148148146</v>
      </c>
      <c r="F2052" s="2">
        <f t="shared" si="321"/>
        <v>7.5231481481480289E-4</v>
      </c>
      <c r="G2052">
        <f t="shared" si="322"/>
        <v>0</v>
      </c>
      <c r="H2052">
        <f t="shared" si="323"/>
        <v>1</v>
      </c>
      <c r="I2052">
        <f t="shared" si="324"/>
        <v>5</v>
      </c>
      <c r="J2052">
        <f t="shared" si="325"/>
        <v>65</v>
      </c>
      <c r="K2052">
        <f t="shared" si="326"/>
        <v>2</v>
      </c>
      <c r="L2052">
        <f t="shared" ref="L2052:L2115" si="327">IF(B2052="stacjonarny",$J2052+L2051,L2051)</f>
        <v>694339</v>
      </c>
      <c r="M2052">
        <f t="shared" ref="M2052:M2115" si="328">IF(B2052="komorkowy",$J2052+M2051,M2051)</f>
        <v>226032</v>
      </c>
      <c r="N2052">
        <f t="shared" ref="N2052:N2115" si="329">IF(OR(B2052="stacjonarny",B2052="komorkowy"),J2052+N2051,N2051)</f>
        <v>968371</v>
      </c>
      <c r="O2052">
        <f>IF(B2052="zagraniczny",K2052+O2051,O2051)</f>
        <v>900</v>
      </c>
    </row>
    <row r="2053" spans="1:15" x14ac:dyDescent="0.25">
      <c r="A2053">
        <v>75122204</v>
      </c>
      <c r="B2053" t="str">
        <f t="shared" si="320"/>
        <v>komorkowy</v>
      </c>
      <c r="C2053" s="1">
        <v>42947</v>
      </c>
      <c r="D2053" s="2">
        <v>0.38641203703703703</v>
      </c>
      <c r="E2053" s="2">
        <v>0.39549768518518519</v>
      </c>
      <c r="F2053" s="2">
        <f t="shared" si="321"/>
        <v>9.0856481481481621E-3</v>
      </c>
      <c r="G2053">
        <f t="shared" si="322"/>
        <v>0</v>
      </c>
      <c r="H2053">
        <f t="shared" si="323"/>
        <v>13</v>
      </c>
      <c r="I2053">
        <f t="shared" si="324"/>
        <v>5</v>
      </c>
      <c r="J2053">
        <f t="shared" si="325"/>
        <v>785</v>
      </c>
      <c r="K2053">
        <f t="shared" si="326"/>
        <v>14</v>
      </c>
      <c r="L2053">
        <f t="shared" si="327"/>
        <v>694339</v>
      </c>
      <c r="M2053">
        <f t="shared" si="328"/>
        <v>226817</v>
      </c>
      <c r="N2053">
        <f t="shared" si="329"/>
        <v>969156</v>
      </c>
      <c r="O2053">
        <f>IF(B2053="zagraniczny",K2053+O2052,O2052)</f>
        <v>900</v>
      </c>
    </row>
    <row r="2054" spans="1:15" x14ac:dyDescent="0.25">
      <c r="A2054">
        <v>33166727</v>
      </c>
      <c r="B2054" t="str">
        <f t="shared" si="320"/>
        <v>komorkowy</v>
      </c>
      <c r="C2054" s="1">
        <v>42947</v>
      </c>
      <c r="D2054" s="2">
        <v>0.38927083333333334</v>
      </c>
      <c r="E2054" s="2">
        <v>0.39721064814814816</v>
      </c>
      <c r="F2054" s="2">
        <f t="shared" si="321"/>
        <v>7.9398148148148162E-3</v>
      </c>
      <c r="G2054">
        <f t="shared" si="322"/>
        <v>0</v>
      </c>
      <c r="H2054">
        <f t="shared" si="323"/>
        <v>11</v>
      </c>
      <c r="I2054">
        <f t="shared" si="324"/>
        <v>26</v>
      </c>
      <c r="J2054">
        <f t="shared" si="325"/>
        <v>686</v>
      </c>
      <c r="K2054">
        <f t="shared" si="326"/>
        <v>12</v>
      </c>
      <c r="L2054">
        <f t="shared" si="327"/>
        <v>694339</v>
      </c>
      <c r="M2054">
        <f t="shared" si="328"/>
        <v>227503</v>
      </c>
      <c r="N2054">
        <f t="shared" si="329"/>
        <v>969842</v>
      </c>
      <c r="O2054">
        <f>IF(B2054="zagraniczny",K2054+O2053,O2053)</f>
        <v>900</v>
      </c>
    </row>
    <row r="2055" spans="1:15" x14ac:dyDescent="0.25">
      <c r="A2055">
        <v>4293872</v>
      </c>
      <c r="B2055" t="str">
        <f t="shared" si="320"/>
        <v>stacjonarny</v>
      </c>
      <c r="C2055" s="1">
        <v>42947</v>
      </c>
      <c r="D2055" s="2">
        <v>0.39023148148148146</v>
      </c>
      <c r="E2055" s="2">
        <v>0.39748842592592593</v>
      </c>
      <c r="F2055" s="2">
        <f t="shared" si="321"/>
        <v>7.2569444444444686E-3</v>
      </c>
      <c r="G2055">
        <f t="shared" si="322"/>
        <v>0</v>
      </c>
      <c r="H2055">
        <f t="shared" si="323"/>
        <v>10</v>
      </c>
      <c r="I2055">
        <f t="shared" si="324"/>
        <v>27</v>
      </c>
      <c r="J2055">
        <f t="shared" si="325"/>
        <v>627</v>
      </c>
      <c r="K2055">
        <f t="shared" si="326"/>
        <v>11</v>
      </c>
      <c r="L2055">
        <f t="shared" si="327"/>
        <v>694966</v>
      </c>
      <c r="M2055">
        <f t="shared" si="328"/>
        <v>227503</v>
      </c>
      <c r="N2055">
        <f t="shared" si="329"/>
        <v>970469</v>
      </c>
      <c r="O2055">
        <f>IF(B2055="zagraniczny",K2055+O2054,O2054)</f>
        <v>900</v>
      </c>
    </row>
    <row r="2056" spans="1:15" x14ac:dyDescent="0.25">
      <c r="A2056">
        <v>3017523</v>
      </c>
      <c r="B2056" t="str">
        <f t="shared" si="320"/>
        <v>stacjonarny</v>
      </c>
      <c r="C2056" s="1">
        <v>42947</v>
      </c>
      <c r="D2056" s="2">
        <v>0.3934259259259259</v>
      </c>
      <c r="E2056" s="2">
        <v>0.40181712962962962</v>
      </c>
      <c r="F2056" s="2">
        <f t="shared" si="321"/>
        <v>8.3912037037037202E-3</v>
      </c>
      <c r="G2056">
        <f t="shared" si="322"/>
        <v>0</v>
      </c>
      <c r="H2056">
        <f t="shared" si="323"/>
        <v>12</v>
      </c>
      <c r="I2056">
        <f t="shared" si="324"/>
        <v>5</v>
      </c>
      <c r="J2056">
        <f t="shared" si="325"/>
        <v>725</v>
      </c>
      <c r="K2056">
        <f t="shared" si="326"/>
        <v>13</v>
      </c>
      <c r="L2056">
        <f t="shared" si="327"/>
        <v>695691</v>
      </c>
      <c r="M2056">
        <f t="shared" si="328"/>
        <v>227503</v>
      </c>
      <c r="N2056">
        <f t="shared" si="329"/>
        <v>971194</v>
      </c>
      <c r="O2056">
        <f>IF(B2056="zagraniczny",K2056+O2055,O2055)</f>
        <v>900</v>
      </c>
    </row>
    <row r="2057" spans="1:15" x14ac:dyDescent="0.25">
      <c r="A2057">
        <v>5087484</v>
      </c>
      <c r="B2057" t="str">
        <f t="shared" si="320"/>
        <v>stacjonarny</v>
      </c>
      <c r="C2057" s="1">
        <v>42947</v>
      </c>
      <c r="D2057" s="2">
        <v>0.39766203703703706</v>
      </c>
      <c r="E2057" s="2">
        <v>0.39957175925925925</v>
      </c>
      <c r="F2057" s="2">
        <f t="shared" si="321"/>
        <v>1.9097222222221877E-3</v>
      </c>
      <c r="G2057">
        <f t="shared" si="322"/>
        <v>0</v>
      </c>
      <c r="H2057">
        <f t="shared" si="323"/>
        <v>2</v>
      </c>
      <c r="I2057">
        <f t="shared" si="324"/>
        <v>45</v>
      </c>
      <c r="J2057">
        <f t="shared" si="325"/>
        <v>165</v>
      </c>
      <c r="K2057">
        <f t="shared" si="326"/>
        <v>3</v>
      </c>
      <c r="L2057">
        <f t="shared" si="327"/>
        <v>695856</v>
      </c>
      <c r="M2057">
        <f t="shared" si="328"/>
        <v>227503</v>
      </c>
      <c r="N2057">
        <f t="shared" si="329"/>
        <v>971359</v>
      </c>
      <c r="O2057">
        <f>IF(B2057="zagraniczny",K2057+O2056,O2056)</f>
        <v>900</v>
      </c>
    </row>
    <row r="2058" spans="1:15" x14ac:dyDescent="0.25">
      <c r="A2058">
        <v>47615054</v>
      </c>
      <c r="B2058" t="str">
        <f t="shared" si="320"/>
        <v>komorkowy</v>
      </c>
      <c r="C2058" s="1">
        <v>42947</v>
      </c>
      <c r="D2058" s="2">
        <v>0.39878472222222222</v>
      </c>
      <c r="E2058" s="2">
        <v>0.40041666666666664</v>
      </c>
      <c r="F2058" s="2">
        <f t="shared" si="321"/>
        <v>1.631944444444422E-3</v>
      </c>
      <c r="G2058">
        <f t="shared" si="322"/>
        <v>0</v>
      </c>
      <c r="H2058">
        <f t="shared" si="323"/>
        <v>2</v>
      </c>
      <c r="I2058">
        <f t="shared" si="324"/>
        <v>21</v>
      </c>
      <c r="J2058">
        <f t="shared" si="325"/>
        <v>141</v>
      </c>
      <c r="K2058">
        <f t="shared" si="326"/>
        <v>3</v>
      </c>
      <c r="L2058">
        <f t="shared" si="327"/>
        <v>695856</v>
      </c>
      <c r="M2058">
        <f t="shared" si="328"/>
        <v>227644</v>
      </c>
      <c r="N2058">
        <f t="shared" si="329"/>
        <v>971500</v>
      </c>
      <c r="O2058">
        <f>IF(B2058="zagraniczny",K2058+O2057,O2057)</f>
        <v>900</v>
      </c>
    </row>
    <row r="2059" spans="1:15" x14ac:dyDescent="0.25">
      <c r="A2059">
        <v>7775602353</v>
      </c>
      <c r="B2059" t="str">
        <f t="shared" si="320"/>
        <v>zagraniczny</v>
      </c>
      <c r="C2059" s="1">
        <v>42947</v>
      </c>
      <c r="D2059" s="2">
        <v>0.40313657407407405</v>
      </c>
      <c r="E2059" s="2">
        <v>0.40773148148148147</v>
      </c>
      <c r="F2059" s="2">
        <f t="shared" si="321"/>
        <v>4.5949074074074225E-3</v>
      </c>
      <c r="G2059">
        <f t="shared" si="322"/>
        <v>0</v>
      </c>
      <c r="H2059">
        <f t="shared" si="323"/>
        <v>6</v>
      </c>
      <c r="I2059">
        <f t="shared" si="324"/>
        <v>37</v>
      </c>
      <c r="J2059">
        <f t="shared" si="325"/>
        <v>397</v>
      </c>
      <c r="K2059">
        <f t="shared" si="326"/>
        <v>7</v>
      </c>
      <c r="L2059">
        <f t="shared" si="327"/>
        <v>695856</v>
      </c>
      <c r="M2059">
        <f t="shared" si="328"/>
        <v>227644</v>
      </c>
      <c r="N2059">
        <f t="shared" si="329"/>
        <v>971500</v>
      </c>
      <c r="O2059">
        <f>IF(B2059="zagraniczny",K2059+O2058,O2058)</f>
        <v>907</v>
      </c>
    </row>
    <row r="2060" spans="1:15" x14ac:dyDescent="0.25">
      <c r="A2060">
        <v>9533304954</v>
      </c>
      <c r="B2060" t="str">
        <f t="shared" si="320"/>
        <v>zagraniczny</v>
      </c>
      <c r="C2060" s="1">
        <v>42947</v>
      </c>
      <c r="D2060" s="2">
        <v>0.40328703703703705</v>
      </c>
      <c r="E2060" s="2">
        <v>0.41405092592592591</v>
      </c>
      <c r="F2060" s="2">
        <f t="shared" si="321"/>
        <v>1.0763888888888851E-2</v>
      </c>
      <c r="G2060">
        <f t="shared" si="322"/>
        <v>0</v>
      </c>
      <c r="H2060">
        <f t="shared" si="323"/>
        <v>15</v>
      </c>
      <c r="I2060">
        <f t="shared" si="324"/>
        <v>30</v>
      </c>
      <c r="J2060">
        <f t="shared" si="325"/>
        <v>930</v>
      </c>
      <c r="K2060">
        <f t="shared" si="326"/>
        <v>16</v>
      </c>
      <c r="L2060">
        <f t="shared" si="327"/>
        <v>695856</v>
      </c>
      <c r="M2060">
        <f t="shared" si="328"/>
        <v>227644</v>
      </c>
      <c r="N2060">
        <f t="shared" si="329"/>
        <v>971500</v>
      </c>
      <c r="O2060">
        <f>IF(B2060="zagraniczny",K2060+O2059,O2059)</f>
        <v>923</v>
      </c>
    </row>
    <row r="2061" spans="1:15" x14ac:dyDescent="0.25">
      <c r="A2061">
        <v>5147651</v>
      </c>
      <c r="B2061" t="str">
        <f t="shared" si="320"/>
        <v>stacjonarny</v>
      </c>
      <c r="C2061" s="1">
        <v>42947</v>
      </c>
      <c r="D2061" s="2">
        <v>0.40497685185185184</v>
      </c>
      <c r="E2061" s="2">
        <v>0.41167824074074072</v>
      </c>
      <c r="F2061" s="2">
        <f t="shared" si="321"/>
        <v>6.7013888888888817E-3</v>
      </c>
      <c r="G2061">
        <f t="shared" si="322"/>
        <v>0</v>
      </c>
      <c r="H2061">
        <f t="shared" si="323"/>
        <v>9</v>
      </c>
      <c r="I2061">
        <f t="shared" si="324"/>
        <v>39</v>
      </c>
      <c r="J2061">
        <f t="shared" si="325"/>
        <v>579</v>
      </c>
      <c r="K2061">
        <f t="shared" si="326"/>
        <v>10</v>
      </c>
      <c r="L2061">
        <f t="shared" si="327"/>
        <v>696435</v>
      </c>
      <c r="M2061">
        <f t="shared" si="328"/>
        <v>227644</v>
      </c>
      <c r="N2061">
        <f t="shared" si="329"/>
        <v>972079</v>
      </c>
      <c r="O2061">
        <f>IF(B2061="zagraniczny",K2061+O2060,O2060)</f>
        <v>923</v>
      </c>
    </row>
    <row r="2062" spans="1:15" x14ac:dyDescent="0.25">
      <c r="A2062">
        <v>7564861</v>
      </c>
      <c r="B2062" t="str">
        <f t="shared" si="320"/>
        <v>stacjonarny</v>
      </c>
      <c r="C2062" s="1">
        <v>42947</v>
      </c>
      <c r="D2062" s="2">
        <v>0.40725694444444444</v>
      </c>
      <c r="E2062" s="2">
        <v>0.41819444444444442</v>
      </c>
      <c r="F2062" s="2">
        <f t="shared" si="321"/>
        <v>1.0937499999999989E-2</v>
      </c>
      <c r="G2062">
        <f t="shared" si="322"/>
        <v>0</v>
      </c>
      <c r="H2062">
        <f t="shared" si="323"/>
        <v>15</v>
      </c>
      <c r="I2062">
        <f t="shared" si="324"/>
        <v>45</v>
      </c>
      <c r="J2062">
        <f t="shared" si="325"/>
        <v>945</v>
      </c>
      <c r="K2062">
        <f t="shared" si="326"/>
        <v>16</v>
      </c>
      <c r="L2062">
        <f t="shared" si="327"/>
        <v>697380</v>
      </c>
      <c r="M2062">
        <f t="shared" si="328"/>
        <v>227644</v>
      </c>
      <c r="N2062">
        <f t="shared" si="329"/>
        <v>973024</v>
      </c>
      <c r="O2062">
        <f>IF(B2062="zagraniczny",K2062+O2061,O2061)</f>
        <v>923</v>
      </c>
    </row>
    <row r="2063" spans="1:15" x14ac:dyDescent="0.25">
      <c r="A2063">
        <v>8163790</v>
      </c>
      <c r="B2063" t="str">
        <f t="shared" si="320"/>
        <v>stacjonarny</v>
      </c>
      <c r="C2063" s="1">
        <v>42947</v>
      </c>
      <c r="D2063" s="2">
        <v>0.40787037037037038</v>
      </c>
      <c r="E2063" s="2">
        <v>0.40846064814814814</v>
      </c>
      <c r="F2063" s="2">
        <f t="shared" si="321"/>
        <v>5.9027777777775903E-4</v>
      </c>
      <c r="G2063">
        <f t="shared" si="322"/>
        <v>0</v>
      </c>
      <c r="H2063">
        <f t="shared" si="323"/>
        <v>0</v>
      </c>
      <c r="I2063">
        <f t="shared" si="324"/>
        <v>51</v>
      </c>
      <c r="J2063">
        <f t="shared" si="325"/>
        <v>51</v>
      </c>
      <c r="K2063">
        <f t="shared" si="326"/>
        <v>1</v>
      </c>
      <c r="L2063">
        <f t="shared" si="327"/>
        <v>697431</v>
      </c>
      <c r="M2063">
        <f t="shared" si="328"/>
        <v>227644</v>
      </c>
      <c r="N2063">
        <f t="shared" si="329"/>
        <v>973075</v>
      </c>
      <c r="O2063">
        <f>IF(B2063="zagraniczny",K2063+O2062,O2062)</f>
        <v>923</v>
      </c>
    </row>
    <row r="2064" spans="1:15" x14ac:dyDescent="0.25">
      <c r="A2064">
        <v>37930610</v>
      </c>
      <c r="B2064" t="str">
        <f t="shared" si="320"/>
        <v>komorkowy</v>
      </c>
      <c r="C2064" s="1">
        <v>42947</v>
      </c>
      <c r="D2064" s="2">
        <v>0.41334490740740742</v>
      </c>
      <c r="E2064" s="2">
        <v>0.4239236111111111</v>
      </c>
      <c r="F2064" s="2">
        <f t="shared" si="321"/>
        <v>1.0578703703703674E-2</v>
      </c>
      <c r="G2064">
        <f t="shared" si="322"/>
        <v>0</v>
      </c>
      <c r="H2064">
        <f t="shared" si="323"/>
        <v>15</v>
      </c>
      <c r="I2064">
        <f t="shared" si="324"/>
        <v>14</v>
      </c>
      <c r="J2064">
        <f t="shared" si="325"/>
        <v>914</v>
      </c>
      <c r="K2064">
        <f t="shared" si="326"/>
        <v>16</v>
      </c>
      <c r="L2064">
        <f t="shared" si="327"/>
        <v>697431</v>
      </c>
      <c r="M2064">
        <f t="shared" si="328"/>
        <v>228558</v>
      </c>
      <c r="N2064">
        <f t="shared" si="329"/>
        <v>973989</v>
      </c>
      <c r="O2064">
        <f>IF(B2064="zagraniczny",K2064+O2063,O2063)</f>
        <v>923</v>
      </c>
    </row>
    <row r="2065" spans="1:15" x14ac:dyDescent="0.25">
      <c r="A2065">
        <v>7518300</v>
      </c>
      <c r="B2065" t="str">
        <f t="shared" si="320"/>
        <v>stacjonarny</v>
      </c>
      <c r="C2065" s="1">
        <v>42947</v>
      </c>
      <c r="D2065" s="2">
        <v>0.41337962962962965</v>
      </c>
      <c r="E2065" s="2">
        <v>0.41743055555555558</v>
      </c>
      <c r="F2065" s="2">
        <f t="shared" si="321"/>
        <v>4.05092592592593E-3</v>
      </c>
      <c r="G2065">
        <f t="shared" si="322"/>
        <v>0</v>
      </c>
      <c r="H2065">
        <f t="shared" si="323"/>
        <v>5</v>
      </c>
      <c r="I2065">
        <f t="shared" si="324"/>
        <v>50</v>
      </c>
      <c r="J2065">
        <f t="shared" si="325"/>
        <v>350</v>
      </c>
      <c r="K2065">
        <f t="shared" si="326"/>
        <v>6</v>
      </c>
      <c r="L2065">
        <f t="shared" si="327"/>
        <v>697781</v>
      </c>
      <c r="M2065">
        <f t="shared" si="328"/>
        <v>228558</v>
      </c>
      <c r="N2065">
        <f t="shared" si="329"/>
        <v>974339</v>
      </c>
      <c r="O2065">
        <f>IF(B2065="zagraniczny",K2065+O2064,O2064)</f>
        <v>923</v>
      </c>
    </row>
    <row r="2066" spans="1:15" x14ac:dyDescent="0.25">
      <c r="A2066">
        <v>9233918039</v>
      </c>
      <c r="B2066" t="str">
        <f t="shared" si="320"/>
        <v>zagraniczny</v>
      </c>
      <c r="C2066" s="1">
        <v>42947</v>
      </c>
      <c r="D2066" s="2">
        <v>0.41523148148148148</v>
      </c>
      <c r="E2066" s="2">
        <v>0.42322916666666666</v>
      </c>
      <c r="F2066" s="2">
        <f t="shared" si="321"/>
        <v>7.9976851851851771E-3</v>
      </c>
      <c r="G2066">
        <f t="shared" si="322"/>
        <v>0</v>
      </c>
      <c r="H2066">
        <f t="shared" si="323"/>
        <v>11</v>
      </c>
      <c r="I2066">
        <f t="shared" si="324"/>
        <v>31</v>
      </c>
      <c r="J2066">
        <f t="shared" si="325"/>
        <v>691</v>
      </c>
      <c r="K2066">
        <f t="shared" si="326"/>
        <v>12</v>
      </c>
      <c r="L2066">
        <f t="shared" si="327"/>
        <v>697781</v>
      </c>
      <c r="M2066">
        <f t="shared" si="328"/>
        <v>228558</v>
      </c>
      <c r="N2066">
        <f t="shared" si="329"/>
        <v>974339</v>
      </c>
      <c r="O2066">
        <f>IF(B2066="zagraniczny",K2066+O2065,O2065)</f>
        <v>935</v>
      </c>
    </row>
    <row r="2067" spans="1:15" x14ac:dyDescent="0.25">
      <c r="A2067">
        <v>5744555</v>
      </c>
      <c r="B2067" t="str">
        <f t="shared" si="320"/>
        <v>stacjonarny</v>
      </c>
      <c r="C2067" s="1">
        <v>42947</v>
      </c>
      <c r="D2067" s="2">
        <v>0.41841435185185183</v>
      </c>
      <c r="E2067" s="2">
        <v>0.42677083333333332</v>
      </c>
      <c r="F2067" s="2">
        <f t="shared" si="321"/>
        <v>8.3564814814814925E-3</v>
      </c>
      <c r="G2067">
        <f t="shared" si="322"/>
        <v>0</v>
      </c>
      <c r="H2067">
        <f t="shared" si="323"/>
        <v>12</v>
      </c>
      <c r="I2067">
        <f t="shared" si="324"/>
        <v>2</v>
      </c>
      <c r="J2067">
        <f t="shared" si="325"/>
        <v>722</v>
      </c>
      <c r="K2067">
        <f t="shared" si="326"/>
        <v>13</v>
      </c>
      <c r="L2067">
        <f t="shared" si="327"/>
        <v>698503</v>
      </c>
      <c r="M2067">
        <f t="shared" si="328"/>
        <v>228558</v>
      </c>
      <c r="N2067">
        <f t="shared" si="329"/>
        <v>975061</v>
      </c>
      <c r="O2067">
        <f>IF(B2067="zagraniczny",K2067+O2066,O2066)</f>
        <v>935</v>
      </c>
    </row>
    <row r="2068" spans="1:15" x14ac:dyDescent="0.25">
      <c r="A2068">
        <v>17005785</v>
      </c>
      <c r="B2068" t="str">
        <f t="shared" si="320"/>
        <v>komorkowy</v>
      </c>
      <c r="C2068" s="1">
        <v>42947</v>
      </c>
      <c r="D2068" s="2">
        <v>0.41873842592592592</v>
      </c>
      <c r="E2068" s="2">
        <v>0.42502314814814812</v>
      </c>
      <c r="F2068" s="2">
        <f t="shared" si="321"/>
        <v>6.2847222222222054E-3</v>
      </c>
      <c r="G2068">
        <f t="shared" si="322"/>
        <v>0</v>
      </c>
      <c r="H2068">
        <f t="shared" si="323"/>
        <v>9</v>
      </c>
      <c r="I2068">
        <f t="shared" si="324"/>
        <v>3</v>
      </c>
      <c r="J2068">
        <f t="shared" si="325"/>
        <v>543</v>
      </c>
      <c r="K2068">
        <f t="shared" si="326"/>
        <v>10</v>
      </c>
      <c r="L2068">
        <f t="shared" si="327"/>
        <v>698503</v>
      </c>
      <c r="M2068">
        <f t="shared" si="328"/>
        <v>229101</v>
      </c>
      <c r="N2068">
        <f t="shared" si="329"/>
        <v>975604</v>
      </c>
      <c r="O2068">
        <f>IF(B2068="zagraniczny",K2068+O2067,O2067)</f>
        <v>935</v>
      </c>
    </row>
    <row r="2069" spans="1:15" x14ac:dyDescent="0.25">
      <c r="A2069">
        <v>35281950</v>
      </c>
      <c r="B2069" t="str">
        <f t="shared" si="320"/>
        <v>komorkowy</v>
      </c>
      <c r="C2069" s="1">
        <v>42947</v>
      </c>
      <c r="D2069" s="2">
        <v>0.41952546296296295</v>
      </c>
      <c r="E2069" s="2">
        <v>0.42105324074074074</v>
      </c>
      <c r="F2069" s="2">
        <f t="shared" si="321"/>
        <v>1.5277777777777946E-3</v>
      </c>
      <c r="G2069">
        <f t="shared" si="322"/>
        <v>0</v>
      </c>
      <c r="H2069">
        <f t="shared" si="323"/>
        <v>2</v>
      </c>
      <c r="I2069">
        <f t="shared" si="324"/>
        <v>12</v>
      </c>
      <c r="J2069">
        <f t="shared" si="325"/>
        <v>132</v>
      </c>
      <c r="K2069">
        <f t="shared" si="326"/>
        <v>3</v>
      </c>
      <c r="L2069">
        <f t="shared" si="327"/>
        <v>698503</v>
      </c>
      <c r="M2069">
        <f t="shared" si="328"/>
        <v>229233</v>
      </c>
      <c r="N2069">
        <f t="shared" si="329"/>
        <v>975736</v>
      </c>
      <c r="O2069">
        <f>IF(B2069="zagraniczny",K2069+O2068,O2068)</f>
        <v>935</v>
      </c>
    </row>
    <row r="2070" spans="1:15" x14ac:dyDescent="0.25">
      <c r="A2070">
        <v>54840810</v>
      </c>
      <c r="B2070" t="str">
        <f t="shared" si="320"/>
        <v>komorkowy</v>
      </c>
      <c r="C2070" s="1">
        <v>42947</v>
      </c>
      <c r="D2070" s="2">
        <v>0.4211111111111111</v>
      </c>
      <c r="E2070" s="2">
        <v>0.42442129629629627</v>
      </c>
      <c r="F2070" s="2">
        <f t="shared" si="321"/>
        <v>3.310185185185166E-3</v>
      </c>
      <c r="G2070">
        <f t="shared" si="322"/>
        <v>0</v>
      </c>
      <c r="H2070">
        <f t="shared" si="323"/>
        <v>4</v>
      </c>
      <c r="I2070">
        <f t="shared" si="324"/>
        <v>46</v>
      </c>
      <c r="J2070">
        <f t="shared" si="325"/>
        <v>286</v>
      </c>
      <c r="K2070">
        <f t="shared" si="326"/>
        <v>5</v>
      </c>
      <c r="L2070">
        <f t="shared" si="327"/>
        <v>698503</v>
      </c>
      <c r="M2070">
        <f t="shared" si="328"/>
        <v>229519</v>
      </c>
      <c r="N2070">
        <f t="shared" si="329"/>
        <v>976022</v>
      </c>
      <c r="O2070">
        <f>IF(B2070="zagraniczny",K2070+O2069,O2069)</f>
        <v>935</v>
      </c>
    </row>
    <row r="2071" spans="1:15" x14ac:dyDescent="0.25">
      <c r="A2071">
        <v>3236046</v>
      </c>
      <c r="B2071" t="str">
        <f t="shared" si="320"/>
        <v>stacjonarny</v>
      </c>
      <c r="C2071" s="1">
        <v>42947</v>
      </c>
      <c r="D2071" s="2">
        <v>0.42247685185185185</v>
      </c>
      <c r="E2071" s="2">
        <v>0.4268865740740741</v>
      </c>
      <c r="F2071" s="2">
        <f t="shared" si="321"/>
        <v>4.4097222222222454E-3</v>
      </c>
      <c r="G2071">
        <f t="shared" si="322"/>
        <v>0</v>
      </c>
      <c r="H2071">
        <f t="shared" si="323"/>
        <v>6</v>
      </c>
      <c r="I2071">
        <f t="shared" si="324"/>
        <v>21</v>
      </c>
      <c r="J2071">
        <f t="shared" si="325"/>
        <v>381</v>
      </c>
      <c r="K2071">
        <f t="shared" si="326"/>
        <v>7</v>
      </c>
      <c r="L2071">
        <f t="shared" si="327"/>
        <v>698884</v>
      </c>
      <c r="M2071">
        <f t="shared" si="328"/>
        <v>229519</v>
      </c>
      <c r="N2071">
        <f t="shared" si="329"/>
        <v>976403</v>
      </c>
      <c r="O2071">
        <f>IF(B2071="zagraniczny",K2071+O2070,O2070)</f>
        <v>935</v>
      </c>
    </row>
    <row r="2072" spans="1:15" x14ac:dyDescent="0.25">
      <c r="A2072">
        <v>20149106</v>
      </c>
      <c r="B2072" t="str">
        <f t="shared" si="320"/>
        <v>komorkowy</v>
      </c>
      <c r="C2072" s="1">
        <v>42947</v>
      </c>
      <c r="D2072" s="2">
        <v>0.42586805555555557</v>
      </c>
      <c r="E2072" s="2">
        <v>0.42711805555555554</v>
      </c>
      <c r="F2072" s="2">
        <f t="shared" si="321"/>
        <v>1.2499999999999734E-3</v>
      </c>
      <c r="G2072">
        <f t="shared" si="322"/>
        <v>0</v>
      </c>
      <c r="H2072">
        <f t="shared" si="323"/>
        <v>1</v>
      </c>
      <c r="I2072">
        <f t="shared" si="324"/>
        <v>48</v>
      </c>
      <c r="J2072">
        <f t="shared" si="325"/>
        <v>108</v>
      </c>
      <c r="K2072">
        <f t="shared" si="326"/>
        <v>2</v>
      </c>
      <c r="L2072">
        <f t="shared" si="327"/>
        <v>698884</v>
      </c>
      <c r="M2072">
        <f t="shared" si="328"/>
        <v>229627</v>
      </c>
      <c r="N2072">
        <f t="shared" si="329"/>
        <v>976511</v>
      </c>
      <c r="O2072">
        <f>IF(B2072="zagraniczny",K2072+O2071,O2071)</f>
        <v>935</v>
      </c>
    </row>
    <row r="2073" spans="1:15" x14ac:dyDescent="0.25">
      <c r="A2073">
        <v>6124638</v>
      </c>
      <c r="B2073" t="str">
        <f t="shared" si="320"/>
        <v>stacjonarny</v>
      </c>
      <c r="C2073" s="1">
        <v>42947</v>
      </c>
      <c r="D2073" s="2">
        <v>0.43162037037037038</v>
      </c>
      <c r="E2073" s="2">
        <v>0.44153935185185184</v>
      </c>
      <c r="F2073" s="2">
        <f t="shared" si="321"/>
        <v>9.9189814814814592E-3</v>
      </c>
      <c r="G2073">
        <f t="shared" si="322"/>
        <v>0</v>
      </c>
      <c r="H2073">
        <f t="shared" si="323"/>
        <v>14</v>
      </c>
      <c r="I2073">
        <f t="shared" si="324"/>
        <v>17</v>
      </c>
      <c r="J2073">
        <f t="shared" si="325"/>
        <v>857</v>
      </c>
      <c r="K2073">
        <f t="shared" si="326"/>
        <v>15</v>
      </c>
      <c r="L2073">
        <f t="shared" si="327"/>
        <v>699741</v>
      </c>
      <c r="M2073">
        <f t="shared" si="328"/>
        <v>229627</v>
      </c>
      <c r="N2073">
        <f t="shared" si="329"/>
        <v>977368</v>
      </c>
      <c r="O2073">
        <f>IF(B2073="zagraniczny",K2073+O2072,O2072)</f>
        <v>935</v>
      </c>
    </row>
    <row r="2074" spans="1:15" x14ac:dyDescent="0.25">
      <c r="A2074">
        <v>1090396060</v>
      </c>
      <c r="B2074" t="str">
        <f t="shared" si="320"/>
        <v>zagraniczny</v>
      </c>
      <c r="C2074" s="1">
        <v>42947</v>
      </c>
      <c r="D2074" s="2">
        <v>0.43663194444444442</v>
      </c>
      <c r="E2074" s="2">
        <v>0.43993055555555555</v>
      </c>
      <c r="F2074" s="2">
        <f t="shared" si="321"/>
        <v>3.2986111111111271E-3</v>
      </c>
      <c r="G2074">
        <f t="shared" si="322"/>
        <v>0</v>
      </c>
      <c r="H2074">
        <f t="shared" si="323"/>
        <v>4</v>
      </c>
      <c r="I2074">
        <f t="shared" si="324"/>
        <v>45</v>
      </c>
      <c r="J2074">
        <f t="shared" si="325"/>
        <v>285</v>
      </c>
      <c r="K2074">
        <f t="shared" si="326"/>
        <v>5</v>
      </c>
      <c r="L2074">
        <f t="shared" si="327"/>
        <v>699741</v>
      </c>
      <c r="M2074">
        <f t="shared" si="328"/>
        <v>229627</v>
      </c>
      <c r="N2074">
        <f t="shared" si="329"/>
        <v>977368</v>
      </c>
      <c r="O2074">
        <f>IF(B2074="zagraniczny",K2074+O2073,O2073)</f>
        <v>940</v>
      </c>
    </row>
    <row r="2075" spans="1:15" x14ac:dyDescent="0.25">
      <c r="A2075">
        <v>9355422</v>
      </c>
      <c r="B2075" t="str">
        <f t="shared" si="320"/>
        <v>stacjonarny</v>
      </c>
      <c r="C2075" s="1">
        <v>42947</v>
      </c>
      <c r="D2075" s="2">
        <v>0.43686342592592592</v>
      </c>
      <c r="E2075" s="2">
        <v>0.44393518518518521</v>
      </c>
      <c r="F2075" s="2">
        <f t="shared" si="321"/>
        <v>7.0717592592592915E-3</v>
      </c>
      <c r="G2075">
        <f t="shared" si="322"/>
        <v>0</v>
      </c>
      <c r="H2075">
        <f t="shared" si="323"/>
        <v>10</v>
      </c>
      <c r="I2075">
        <f t="shared" si="324"/>
        <v>11</v>
      </c>
      <c r="J2075">
        <f t="shared" si="325"/>
        <v>611</v>
      </c>
      <c r="K2075">
        <f t="shared" si="326"/>
        <v>11</v>
      </c>
      <c r="L2075">
        <f t="shared" si="327"/>
        <v>700352</v>
      </c>
      <c r="M2075">
        <f t="shared" si="328"/>
        <v>229627</v>
      </c>
      <c r="N2075">
        <f t="shared" si="329"/>
        <v>977979</v>
      </c>
      <c r="O2075">
        <f>IF(B2075="zagraniczny",K2075+O2074,O2074)</f>
        <v>940</v>
      </c>
    </row>
    <row r="2076" spans="1:15" x14ac:dyDescent="0.25">
      <c r="A2076">
        <v>9950462</v>
      </c>
      <c r="B2076" t="str">
        <f t="shared" si="320"/>
        <v>stacjonarny</v>
      </c>
      <c r="C2076" s="1">
        <v>42947</v>
      </c>
      <c r="D2076" s="2">
        <v>0.44243055555555555</v>
      </c>
      <c r="E2076" s="2">
        <v>0.45349537037037035</v>
      </c>
      <c r="F2076" s="2">
        <f t="shared" si="321"/>
        <v>1.1064814814814805E-2</v>
      </c>
      <c r="G2076">
        <f t="shared" si="322"/>
        <v>0</v>
      </c>
      <c r="H2076">
        <f t="shared" si="323"/>
        <v>15</v>
      </c>
      <c r="I2076">
        <f t="shared" si="324"/>
        <v>56</v>
      </c>
      <c r="J2076">
        <f t="shared" si="325"/>
        <v>956</v>
      </c>
      <c r="K2076">
        <f t="shared" si="326"/>
        <v>16</v>
      </c>
      <c r="L2076">
        <f t="shared" si="327"/>
        <v>701308</v>
      </c>
      <c r="M2076">
        <f t="shared" si="328"/>
        <v>229627</v>
      </c>
      <c r="N2076">
        <f t="shared" si="329"/>
        <v>978935</v>
      </c>
      <c r="O2076">
        <f>IF(B2076="zagraniczny",K2076+O2075,O2075)</f>
        <v>940</v>
      </c>
    </row>
    <row r="2077" spans="1:15" x14ac:dyDescent="0.25">
      <c r="A2077">
        <v>2474506</v>
      </c>
      <c r="B2077" t="str">
        <f t="shared" si="320"/>
        <v>stacjonarny</v>
      </c>
      <c r="C2077" s="1">
        <v>42947</v>
      </c>
      <c r="D2077" s="2">
        <v>0.44802083333333331</v>
      </c>
      <c r="E2077" s="2">
        <v>0.45892361111111113</v>
      </c>
      <c r="F2077" s="2">
        <f t="shared" si="321"/>
        <v>1.0902777777777817E-2</v>
      </c>
      <c r="G2077">
        <f t="shared" si="322"/>
        <v>0</v>
      </c>
      <c r="H2077">
        <f t="shared" si="323"/>
        <v>15</v>
      </c>
      <c r="I2077">
        <f t="shared" si="324"/>
        <v>42</v>
      </c>
      <c r="J2077">
        <f t="shared" si="325"/>
        <v>942</v>
      </c>
      <c r="K2077">
        <f t="shared" si="326"/>
        <v>16</v>
      </c>
      <c r="L2077">
        <f t="shared" si="327"/>
        <v>702250</v>
      </c>
      <c r="M2077">
        <f t="shared" si="328"/>
        <v>229627</v>
      </c>
      <c r="N2077">
        <f t="shared" si="329"/>
        <v>979877</v>
      </c>
      <c r="O2077">
        <f>IF(B2077="zagraniczny",K2077+O2076,O2076)</f>
        <v>940</v>
      </c>
    </row>
    <row r="2078" spans="1:15" x14ac:dyDescent="0.25">
      <c r="A2078">
        <v>2462682</v>
      </c>
      <c r="B2078" t="str">
        <f t="shared" si="320"/>
        <v>stacjonarny</v>
      </c>
      <c r="C2078" s="1">
        <v>42947</v>
      </c>
      <c r="D2078" s="2">
        <v>0.45243055555555556</v>
      </c>
      <c r="E2078" s="2">
        <v>0.45275462962962965</v>
      </c>
      <c r="F2078" s="2">
        <f t="shared" si="321"/>
        <v>3.2407407407408773E-4</v>
      </c>
      <c r="G2078">
        <f t="shared" si="322"/>
        <v>0</v>
      </c>
      <c r="H2078">
        <f t="shared" si="323"/>
        <v>0</v>
      </c>
      <c r="I2078">
        <f t="shared" si="324"/>
        <v>28</v>
      </c>
      <c r="J2078">
        <f t="shared" si="325"/>
        <v>28</v>
      </c>
      <c r="K2078">
        <f t="shared" si="326"/>
        <v>1</v>
      </c>
      <c r="L2078">
        <f t="shared" si="327"/>
        <v>702278</v>
      </c>
      <c r="M2078">
        <f t="shared" si="328"/>
        <v>229627</v>
      </c>
      <c r="N2078">
        <f t="shared" si="329"/>
        <v>979905</v>
      </c>
      <c r="O2078">
        <f>IF(B2078="zagraniczny",K2078+O2077,O2077)</f>
        <v>940</v>
      </c>
    </row>
    <row r="2079" spans="1:15" x14ac:dyDescent="0.25">
      <c r="A2079">
        <v>8159788</v>
      </c>
      <c r="B2079" t="str">
        <f t="shared" si="320"/>
        <v>stacjonarny</v>
      </c>
      <c r="C2079" s="1">
        <v>42947</v>
      </c>
      <c r="D2079" s="2">
        <v>0.45399305555555558</v>
      </c>
      <c r="E2079" s="2">
        <v>0.46392361111111113</v>
      </c>
      <c r="F2079" s="2">
        <f t="shared" si="321"/>
        <v>9.9305555555555536E-3</v>
      </c>
      <c r="G2079">
        <f t="shared" si="322"/>
        <v>0</v>
      </c>
      <c r="H2079">
        <f t="shared" si="323"/>
        <v>14</v>
      </c>
      <c r="I2079">
        <f t="shared" si="324"/>
        <v>18</v>
      </c>
      <c r="J2079">
        <f t="shared" si="325"/>
        <v>858</v>
      </c>
      <c r="K2079">
        <f t="shared" si="326"/>
        <v>15</v>
      </c>
      <c r="L2079">
        <f t="shared" si="327"/>
        <v>703136</v>
      </c>
      <c r="M2079">
        <f t="shared" si="328"/>
        <v>229627</v>
      </c>
      <c r="N2079">
        <f t="shared" si="329"/>
        <v>980763</v>
      </c>
      <c r="O2079">
        <f>IF(B2079="zagraniczny",K2079+O2078,O2078)</f>
        <v>940</v>
      </c>
    </row>
    <row r="2080" spans="1:15" x14ac:dyDescent="0.25">
      <c r="A2080">
        <v>8802222</v>
      </c>
      <c r="B2080" t="str">
        <f t="shared" si="320"/>
        <v>stacjonarny</v>
      </c>
      <c r="C2080" s="1">
        <v>42947</v>
      </c>
      <c r="D2080" s="2">
        <v>0.4572222222222222</v>
      </c>
      <c r="E2080" s="2">
        <v>0.45910879629629631</v>
      </c>
      <c r="F2080" s="2">
        <f t="shared" si="321"/>
        <v>1.8865740740741099E-3</v>
      </c>
      <c r="G2080">
        <f t="shared" si="322"/>
        <v>0</v>
      </c>
      <c r="H2080">
        <f t="shared" si="323"/>
        <v>2</v>
      </c>
      <c r="I2080">
        <f t="shared" si="324"/>
        <v>43</v>
      </c>
      <c r="J2080">
        <f t="shared" si="325"/>
        <v>163</v>
      </c>
      <c r="K2080">
        <f t="shared" si="326"/>
        <v>3</v>
      </c>
      <c r="L2080">
        <f t="shared" si="327"/>
        <v>703299</v>
      </c>
      <c r="M2080">
        <f t="shared" si="328"/>
        <v>229627</v>
      </c>
      <c r="N2080">
        <f t="shared" si="329"/>
        <v>980926</v>
      </c>
      <c r="O2080">
        <f>IF(B2080="zagraniczny",K2080+O2079,O2079)</f>
        <v>940</v>
      </c>
    </row>
    <row r="2081" spans="1:15" x14ac:dyDescent="0.25">
      <c r="A2081">
        <v>6384230</v>
      </c>
      <c r="B2081" t="str">
        <f t="shared" si="320"/>
        <v>stacjonarny</v>
      </c>
      <c r="C2081" s="1">
        <v>42947</v>
      </c>
      <c r="D2081" s="2">
        <v>0.45846064814814813</v>
      </c>
      <c r="E2081" s="2">
        <v>0.46900462962962963</v>
      </c>
      <c r="F2081" s="2">
        <f t="shared" si="321"/>
        <v>1.0543981481481501E-2</v>
      </c>
      <c r="G2081">
        <f t="shared" si="322"/>
        <v>0</v>
      </c>
      <c r="H2081">
        <f t="shared" si="323"/>
        <v>15</v>
      </c>
      <c r="I2081">
        <f t="shared" si="324"/>
        <v>11</v>
      </c>
      <c r="J2081">
        <f t="shared" si="325"/>
        <v>911</v>
      </c>
      <c r="K2081">
        <f t="shared" si="326"/>
        <v>16</v>
      </c>
      <c r="L2081">
        <f t="shared" si="327"/>
        <v>704210</v>
      </c>
      <c r="M2081">
        <f t="shared" si="328"/>
        <v>229627</v>
      </c>
      <c r="N2081">
        <f t="shared" si="329"/>
        <v>981837</v>
      </c>
      <c r="O2081">
        <f>IF(B2081="zagraniczny",K2081+O2080,O2080)</f>
        <v>940</v>
      </c>
    </row>
    <row r="2082" spans="1:15" x14ac:dyDescent="0.25">
      <c r="A2082">
        <v>48676568</v>
      </c>
      <c r="B2082" t="str">
        <f t="shared" si="320"/>
        <v>komorkowy</v>
      </c>
      <c r="C2082" s="1">
        <v>42947</v>
      </c>
      <c r="D2082" s="2">
        <v>0.45945601851851853</v>
      </c>
      <c r="E2082" s="2">
        <v>0.46525462962962966</v>
      </c>
      <c r="F2082" s="2">
        <f t="shared" si="321"/>
        <v>5.7986111111111294E-3</v>
      </c>
      <c r="G2082">
        <f t="shared" si="322"/>
        <v>0</v>
      </c>
      <c r="H2082">
        <f t="shared" si="323"/>
        <v>8</v>
      </c>
      <c r="I2082">
        <f t="shared" si="324"/>
        <v>21</v>
      </c>
      <c r="J2082">
        <f t="shared" si="325"/>
        <v>501</v>
      </c>
      <c r="K2082">
        <f t="shared" si="326"/>
        <v>9</v>
      </c>
      <c r="L2082">
        <f t="shared" si="327"/>
        <v>704210</v>
      </c>
      <c r="M2082">
        <f t="shared" si="328"/>
        <v>230128</v>
      </c>
      <c r="N2082">
        <f t="shared" si="329"/>
        <v>982338</v>
      </c>
      <c r="O2082">
        <f>IF(B2082="zagraniczny",K2082+O2081,O2081)</f>
        <v>940</v>
      </c>
    </row>
    <row r="2083" spans="1:15" x14ac:dyDescent="0.25">
      <c r="A2083">
        <v>3691457</v>
      </c>
      <c r="B2083" t="str">
        <f t="shared" si="320"/>
        <v>stacjonarny</v>
      </c>
      <c r="C2083" s="1">
        <v>42947</v>
      </c>
      <c r="D2083" s="2">
        <v>0.46119212962962963</v>
      </c>
      <c r="E2083" s="2">
        <v>0.4725347222222222</v>
      </c>
      <c r="F2083" s="2">
        <f t="shared" si="321"/>
        <v>1.1342592592592571E-2</v>
      </c>
      <c r="G2083">
        <f t="shared" si="322"/>
        <v>0</v>
      </c>
      <c r="H2083">
        <f t="shared" si="323"/>
        <v>16</v>
      </c>
      <c r="I2083">
        <f t="shared" si="324"/>
        <v>20</v>
      </c>
      <c r="J2083">
        <f t="shared" si="325"/>
        <v>980</v>
      </c>
      <c r="K2083">
        <f t="shared" si="326"/>
        <v>17</v>
      </c>
      <c r="L2083">
        <f t="shared" si="327"/>
        <v>705190</v>
      </c>
      <c r="M2083">
        <f t="shared" si="328"/>
        <v>230128</v>
      </c>
      <c r="N2083">
        <f t="shared" si="329"/>
        <v>983318</v>
      </c>
      <c r="O2083">
        <f>IF(B2083="zagraniczny",K2083+O2082,O2082)</f>
        <v>940</v>
      </c>
    </row>
    <row r="2084" spans="1:15" x14ac:dyDescent="0.25">
      <c r="A2084">
        <v>3263854</v>
      </c>
      <c r="B2084" t="str">
        <f t="shared" si="320"/>
        <v>stacjonarny</v>
      </c>
      <c r="C2084" s="1">
        <v>42947</v>
      </c>
      <c r="D2084" s="2">
        <v>0.46311342592592591</v>
      </c>
      <c r="E2084" s="2">
        <v>0.46394675925925927</v>
      </c>
      <c r="F2084" s="2">
        <f t="shared" si="321"/>
        <v>8.3333333333335258E-4</v>
      </c>
      <c r="G2084">
        <f t="shared" si="322"/>
        <v>0</v>
      </c>
      <c r="H2084">
        <f t="shared" si="323"/>
        <v>1</v>
      </c>
      <c r="I2084">
        <f t="shared" si="324"/>
        <v>12</v>
      </c>
      <c r="J2084">
        <f t="shared" si="325"/>
        <v>72</v>
      </c>
      <c r="K2084">
        <f t="shared" si="326"/>
        <v>2</v>
      </c>
      <c r="L2084">
        <f t="shared" si="327"/>
        <v>705262</v>
      </c>
      <c r="M2084">
        <f t="shared" si="328"/>
        <v>230128</v>
      </c>
      <c r="N2084">
        <f t="shared" si="329"/>
        <v>983390</v>
      </c>
      <c r="O2084">
        <f>IF(B2084="zagraniczny",K2084+O2083,O2083)</f>
        <v>940</v>
      </c>
    </row>
    <row r="2085" spans="1:15" x14ac:dyDescent="0.25">
      <c r="A2085">
        <v>8489588</v>
      </c>
      <c r="B2085" t="str">
        <f t="shared" si="320"/>
        <v>stacjonarny</v>
      </c>
      <c r="C2085" s="1">
        <v>42947</v>
      </c>
      <c r="D2085" s="2">
        <v>0.46803240740740742</v>
      </c>
      <c r="E2085" s="2">
        <v>0.47423611111111114</v>
      </c>
      <c r="F2085" s="2">
        <f t="shared" si="321"/>
        <v>6.2037037037037113E-3</v>
      </c>
      <c r="G2085">
        <f t="shared" si="322"/>
        <v>0</v>
      </c>
      <c r="H2085">
        <f t="shared" si="323"/>
        <v>8</v>
      </c>
      <c r="I2085">
        <f t="shared" si="324"/>
        <v>56</v>
      </c>
      <c r="J2085">
        <f t="shared" si="325"/>
        <v>536</v>
      </c>
      <c r="K2085">
        <f t="shared" si="326"/>
        <v>9</v>
      </c>
      <c r="L2085">
        <f t="shared" si="327"/>
        <v>705798</v>
      </c>
      <c r="M2085">
        <f t="shared" si="328"/>
        <v>230128</v>
      </c>
      <c r="N2085">
        <f t="shared" si="329"/>
        <v>983926</v>
      </c>
      <c r="O2085">
        <f>IF(B2085="zagraniczny",K2085+O2084,O2084)</f>
        <v>940</v>
      </c>
    </row>
    <row r="2086" spans="1:15" x14ac:dyDescent="0.25">
      <c r="A2086">
        <v>57211290</v>
      </c>
      <c r="B2086" t="str">
        <f t="shared" si="320"/>
        <v>komorkowy</v>
      </c>
      <c r="C2086" s="1">
        <v>42947</v>
      </c>
      <c r="D2086" s="2">
        <v>0.46987268518518521</v>
      </c>
      <c r="E2086" s="2">
        <v>0.47664351851851849</v>
      </c>
      <c r="F2086" s="2">
        <f t="shared" si="321"/>
        <v>6.7708333333332815E-3</v>
      </c>
      <c r="G2086">
        <f t="shared" si="322"/>
        <v>0</v>
      </c>
      <c r="H2086">
        <f t="shared" si="323"/>
        <v>9</v>
      </c>
      <c r="I2086">
        <f t="shared" si="324"/>
        <v>45</v>
      </c>
      <c r="J2086">
        <f t="shared" si="325"/>
        <v>585</v>
      </c>
      <c r="K2086">
        <f t="shared" si="326"/>
        <v>10</v>
      </c>
      <c r="L2086">
        <f t="shared" si="327"/>
        <v>705798</v>
      </c>
      <c r="M2086">
        <f t="shared" si="328"/>
        <v>230713</v>
      </c>
      <c r="N2086">
        <f t="shared" si="329"/>
        <v>984511</v>
      </c>
      <c r="O2086">
        <f>IF(B2086="zagraniczny",K2086+O2085,O2085)</f>
        <v>940</v>
      </c>
    </row>
    <row r="2087" spans="1:15" x14ac:dyDescent="0.25">
      <c r="A2087">
        <v>67748426</v>
      </c>
      <c r="B2087" t="str">
        <f t="shared" si="320"/>
        <v>komorkowy</v>
      </c>
      <c r="C2087" s="1">
        <v>42947</v>
      </c>
      <c r="D2087" s="2">
        <v>0.47158564814814813</v>
      </c>
      <c r="E2087" s="2">
        <v>0.47471064814814817</v>
      </c>
      <c r="F2087" s="2">
        <f t="shared" si="321"/>
        <v>3.1250000000000444E-3</v>
      </c>
      <c r="G2087">
        <f t="shared" si="322"/>
        <v>0</v>
      </c>
      <c r="H2087">
        <f t="shared" si="323"/>
        <v>4</v>
      </c>
      <c r="I2087">
        <f t="shared" si="324"/>
        <v>30</v>
      </c>
      <c r="J2087">
        <f t="shared" si="325"/>
        <v>270</v>
      </c>
      <c r="K2087">
        <f t="shared" si="326"/>
        <v>5</v>
      </c>
      <c r="L2087">
        <f t="shared" si="327"/>
        <v>705798</v>
      </c>
      <c r="M2087">
        <f t="shared" si="328"/>
        <v>230983</v>
      </c>
      <c r="N2087">
        <f t="shared" si="329"/>
        <v>984781</v>
      </c>
      <c r="O2087">
        <f>IF(B2087="zagraniczny",K2087+O2086,O2086)</f>
        <v>940</v>
      </c>
    </row>
    <row r="2088" spans="1:15" x14ac:dyDescent="0.25">
      <c r="A2088">
        <v>7225111</v>
      </c>
      <c r="B2088" t="str">
        <f t="shared" si="320"/>
        <v>stacjonarny</v>
      </c>
      <c r="C2088" s="1">
        <v>42947</v>
      </c>
      <c r="D2088" s="2">
        <v>0.47314814814814815</v>
      </c>
      <c r="E2088" s="2">
        <v>0.47643518518518518</v>
      </c>
      <c r="F2088" s="2">
        <f t="shared" si="321"/>
        <v>3.2870370370370328E-3</v>
      </c>
      <c r="G2088">
        <f t="shared" si="322"/>
        <v>0</v>
      </c>
      <c r="H2088">
        <f t="shared" si="323"/>
        <v>4</v>
      </c>
      <c r="I2088">
        <f t="shared" si="324"/>
        <v>44</v>
      </c>
      <c r="J2088">
        <f t="shared" si="325"/>
        <v>284</v>
      </c>
      <c r="K2088">
        <f t="shared" si="326"/>
        <v>5</v>
      </c>
      <c r="L2088">
        <f t="shared" si="327"/>
        <v>706082</v>
      </c>
      <c r="M2088">
        <f t="shared" si="328"/>
        <v>230983</v>
      </c>
      <c r="N2088">
        <f t="shared" si="329"/>
        <v>985065</v>
      </c>
      <c r="O2088">
        <f>IF(B2088="zagraniczny",K2088+O2087,O2087)</f>
        <v>940</v>
      </c>
    </row>
    <row r="2089" spans="1:15" x14ac:dyDescent="0.25">
      <c r="A2089">
        <v>5418543</v>
      </c>
      <c r="B2089" t="str">
        <f t="shared" si="320"/>
        <v>stacjonarny</v>
      </c>
      <c r="C2089" s="1">
        <v>42947</v>
      </c>
      <c r="D2089" s="2">
        <v>0.47315972222222225</v>
      </c>
      <c r="E2089" s="2">
        <v>0.47687499999999999</v>
      </c>
      <c r="F2089" s="2">
        <f t="shared" si="321"/>
        <v>3.7152777777777479E-3</v>
      </c>
      <c r="G2089">
        <f t="shared" si="322"/>
        <v>0</v>
      </c>
      <c r="H2089">
        <f t="shared" si="323"/>
        <v>5</v>
      </c>
      <c r="I2089">
        <f t="shared" si="324"/>
        <v>21</v>
      </c>
      <c r="J2089">
        <f t="shared" si="325"/>
        <v>321</v>
      </c>
      <c r="K2089">
        <f t="shared" si="326"/>
        <v>6</v>
      </c>
      <c r="L2089">
        <f t="shared" si="327"/>
        <v>706403</v>
      </c>
      <c r="M2089">
        <f t="shared" si="328"/>
        <v>230983</v>
      </c>
      <c r="N2089">
        <f t="shared" si="329"/>
        <v>985386</v>
      </c>
      <c r="O2089">
        <f>IF(B2089="zagraniczny",K2089+O2088,O2088)</f>
        <v>940</v>
      </c>
    </row>
    <row r="2090" spans="1:15" x14ac:dyDescent="0.25">
      <c r="A2090">
        <v>6439414</v>
      </c>
      <c r="B2090" t="str">
        <f t="shared" si="320"/>
        <v>stacjonarny</v>
      </c>
      <c r="C2090" s="1">
        <v>42947</v>
      </c>
      <c r="D2090" s="2">
        <v>0.47349537037037037</v>
      </c>
      <c r="E2090" s="2">
        <v>0.47881944444444446</v>
      </c>
      <c r="F2090" s="2">
        <f t="shared" si="321"/>
        <v>5.3240740740740922E-3</v>
      </c>
      <c r="G2090">
        <f t="shared" si="322"/>
        <v>0</v>
      </c>
      <c r="H2090">
        <f t="shared" si="323"/>
        <v>7</v>
      </c>
      <c r="I2090">
        <f t="shared" si="324"/>
        <v>40</v>
      </c>
      <c r="J2090">
        <f t="shared" si="325"/>
        <v>460</v>
      </c>
      <c r="K2090">
        <f t="shared" si="326"/>
        <v>8</v>
      </c>
      <c r="L2090">
        <f t="shared" si="327"/>
        <v>706863</v>
      </c>
      <c r="M2090">
        <f t="shared" si="328"/>
        <v>230983</v>
      </c>
      <c r="N2090">
        <f t="shared" si="329"/>
        <v>985846</v>
      </c>
      <c r="O2090">
        <f>IF(B2090="zagraniczny",K2090+O2089,O2089)</f>
        <v>940</v>
      </c>
    </row>
    <row r="2091" spans="1:15" x14ac:dyDescent="0.25">
      <c r="A2091">
        <v>3478173</v>
      </c>
      <c r="B2091" t="str">
        <f t="shared" si="320"/>
        <v>stacjonarny</v>
      </c>
      <c r="C2091" s="1">
        <v>42947</v>
      </c>
      <c r="D2091" s="2">
        <v>0.47357638888888887</v>
      </c>
      <c r="E2091" s="2">
        <v>0.47564814814814815</v>
      </c>
      <c r="F2091" s="2">
        <f t="shared" si="321"/>
        <v>2.0717592592592871E-3</v>
      </c>
      <c r="G2091">
        <f t="shared" si="322"/>
        <v>0</v>
      </c>
      <c r="H2091">
        <f t="shared" si="323"/>
        <v>2</v>
      </c>
      <c r="I2091">
        <f t="shared" si="324"/>
        <v>59</v>
      </c>
      <c r="J2091">
        <f t="shared" si="325"/>
        <v>179</v>
      </c>
      <c r="K2091">
        <f t="shared" si="326"/>
        <v>3</v>
      </c>
      <c r="L2091">
        <f t="shared" si="327"/>
        <v>707042</v>
      </c>
      <c r="M2091">
        <f t="shared" si="328"/>
        <v>230983</v>
      </c>
      <c r="N2091">
        <f t="shared" si="329"/>
        <v>986025</v>
      </c>
      <c r="O2091">
        <f>IF(B2091="zagraniczny",K2091+O2090,O2090)</f>
        <v>940</v>
      </c>
    </row>
    <row r="2092" spans="1:15" x14ac:dyDescent="0.25">
      <c r="A2092">
        <v>3691457</v>
      </c>
      <c r="B2092" t="str">
        <f t="shared" si="320"/>
        <v>stacjonarny</v>
      </c>
      <c r="C2092" s="1">
        <v>42947</v>
      </c>
      <c r="D2092" s="2">
        <v>0.47366898148148145</v>
      </c>
      <c r="E2092" s="2">
        <v>0.48020833333333335</v>
      </c>
      <c r="F2092" s="2">
        <f t="shared" si="321"/>
        <v>6.5393518518518934E-3</v>
      </c>
      <c r="G2092">
        <f t="shared" si="322"/>
        <v>0</v>
      </c>
      <c r="H2092">
        <f t="shared" si="323"/>
        <v>9</v>
      </c>
      <c r="I2092">
        <f t="shared" si="324"/>
        <v>25</v>
      </c>
      <c r="J2092">
        <f t="shared" si="325"/>
        <v>565</v>
      </c>
      <c r="K2092">
        <f t="shared" si="326"/>
        <v>10</v>
      </c>
      <c r="L2092">
        <f t="shared" si="327"/>
        <v>707607</v>
      </c>
      <c r="M2092">
        <f t="shared" si="328"/>
        <v>230983</v>
      </c>
      <c r="N2092">
        <f t="shared" si="329"/>
        <v>986590</v>
      </c>
      <c r="O2092">
        <f>IF(B2092="zagraniczny",K2092+O2091,O2091)</f>
        <v>940</v>
      </c>
    </row>
    <row r="2093" spans="1:15" x14ac:dyDescent="0.25">
      <c r="A2093">
        <v>6717763</v>
      </c>
      <c r="B2093" t="str">
        <f t="shared" si="320"/>
        <v>stacjonarny</v>
      </c>
      <c r="C2093" s="1">
        <v>42947</v>
      </c>
      <c r="D2093" s="2">
        <v>0.47851851851851851</v>
      </c>
      <c r="E2093" s="2">
        <v>0.48517361111111112</v>
      </c>
      <c r="F2093" s="2">
        <f t="shared" si="321"/>
        <v>6.6550925925926152E-3</v>
      </c>
      <c r="G2093">
        <f t="shared" si="322"/>
        <v>0</v>
      </c>
      <c r="H2093">
        <f t="shared" si="323"/>
        <v>9</v>
      </c>
      <c r="I2093">
        <f t="shared" si="324"/>
        <v>35</v>
      </c>
      <c r="J2093">
        <f t="shared" si="325"/>
        <v>575</v>
      </c>
      <c r="K2093">
        <f t="shared" si="326"/>
        <v>10</v>
      </c>
      <c r="L2093">
        <f t="shared" si="327"/>
        <v>708182</v>
      </c>
      <c r="M2093">
        <f t="shared" si="328"/>
        <v>230983</v>
      </c>
      <c r="N2093">
        <f t="shared" si="329"/>
        <v>987165</v>
      </c>
      <c r="O2093">
        <f>IF(B2093="zagraniczny",K2093+O2092,O2092)</f>
        <v>940</v>
      </c>
    </row>
    <row r="2094" spans="1:15" x14ac:dyDescent="0.25">
      <c r="A2094">
        <v>61228399</v>
      </c>
      <c r="B2094" t="str">
        <f t="shared" si="320"/>
        <v>komorkowy</v>
      </c>
      <c r="C2094" s="1">
        <v>42947</v>
      </c>
      <c r="D2094" s="2">
        <v>0.48053240740740738</v>
      </c>
      <c r="E2094" s="2">
        <v>0.48828703703703702</v>
      </c>
      <c r="F2094" s="2">
        <f t="shared" si="321"/>
        <v>7.7546296296296391E-3</v>
      </c>
      <c r="G2094">
        <f t="shared" si="322"/>
        <v>0</v>
      </c>
      <c r="H2094">
        <f t="shared" si="323"/>
        <v>11</v>
      </c>
      <c r="I2094">
        <f t="shared" si="324"/>
        <v>10</v>
      </c>
      <c r="J2094">
        <f t="shared" si="325"/>
        <v>670</v>
      </c>
      <c r="K2094">
        <f t="shared" si="326"/>
        <v>12</v>
      </c>
      <c r="L2094">
        <f t="shared" si="327"/>
        <v>708182</v>
      </c>
      <c r="M2094">
        <f t="shared" si="328"/>
        <v>231653</v>
      </c>
      <c r="N2094">
        <f t="shared" si="329"/>
        <v>987835</v>
      </c>
      <c r="O2094">
        <f>IF(B2094="zagraniczny",K2094+O2093,O2093)</f>
        <v>940</v>
      </c>
    </row>
    <row r="2095" spans="1:15" x14ac:dyDescent="0.25">
      <c r="A2095">
        <v>9282166</v>
      </c>
      <c r="B2095" t="str">
        <f t="shared" si="320"/>
        <v>stacjonarny</v>
      </c>
      <c r="C2095" s="1">
        <v>42947</v>
      </c>
      <c r="D2095" s="2">
        <v>0.48141203703703705</v>
      </c>
      <c r="E2095" s="2">
        <v>0.49063657407407407</v>
      </c>
      <c r="F2095" s="2">
        <f t="shared" si="321"/>
        <v>9.2245370370370172E-3</v>
      </c>
      <c r="G2095">
        <f t="shared" si="322"/>
        <v>0</v>
      </c>
      <c r="H2095">
        <f t="shared" si="323"/>
        <v>13</v>
      </c>
      <c r="I2095">
        <f t="shared" si="324"/>
        <v>17</v>
      </c>
      <c r="J2095">
        <f t="shared" si="325"/>
        <v>797</v>
      </c>
      <c r="K2095">
        <f t="shared" si="326"/>
        <v>14</v>
      </c>
      <c r="L2095">
        <f t="shared" si="327"/>
        <v>708979</v>
      </c>
      <c r="M2095">
        <f t="shared" si="328"/>
        <v>231653</v>
      </c>
      <c r="N2095">
        <f t="shared" si="329"/>
        <v>988632</v>
      </c>
      <c r="O2095">
        <f>IF(B2095="zagraniczny",K2095+O2094,O2094)</f>
        <v>940</v>
      </c>
    </row>
    <row r="2096" spans="1:15" x14ac:dyDescent="0.25">
      <c r="A2096">
        <v>6426246</v>
      </c>
      <c r="B2096" t="str">
        <f t="shared" si="320"/>
        <v>stacjonarny</v>
      </c>
      <c r="C2096" s="1">
        <v>42947</v>
      </c>
      <c r="D2096" s="2">
        <v>0.48174768518518518</v>
      </c>
      <c r="E2096" s="2">
        <v>0.48682870370370368</v>
      </c>
      <c r="F2096" s="2">
        <f t="shared" si="321"/>
        <v>5.0810185185184986E-3</v>
      </c>
      <c r="G2096">
        <f t="shared" si="322"/>
        <v>0</v>
      </c>
      <c r="H2096">
        <f t="shared" si="323"/>
        <v>7</v>
      </c>
      <c r="I2096">
        <f t="shared" si="324"/>
        <v>19</v>
      </c>
      <c r="J2096">
        <f t="shared" si="325"/>
        <v>439</v>
      </c>
      <c r="K2096">
        <f t="shared" si="326"/>
        <v>8</v>
      </c>
      <c r="L2096">
        <f t="shared" si="327"/>
        <v>709418</v>
      </c>
      <c r="M2096">
        <f t="shared" si="328"/>
        <v>231653</v>
      </c>
      <c r="N2096">
        <f t="shared" si="329"/>
        <v>989071</v>
      </c>
      <c r="O2096">
        <f>IF(B2096="zagraniczny",K2096+O2095,O2095)</f>
        <v>940</v>
      </c>
    </row>
    <row r="2097" spans="1:15" x14ac:dyDescent="0.25">
      <c r="A2097">
        <v>8585321</v>
      </c>
      <c r="B2097" t="str">
        <f t="shared" si="320"/>
        <v>stacjonarny</v>
      </c>
      <c r="C2097" s="1">
        <v>42947</v>
      </c>
      <c r="D2097" s="2">
        <v>0.48424768518518518</v>
      </c>
      <c r="E2097" s="2">
        <v>0.48873842592592592</v>
      </c>
      <c r="F2097" s="2">
        <f t="shared" si="321"/>
        <v>4.4907407407407396E-3</v>
      </c>
      <c r="G2097">
        <f t="shared" si="322"/>
        <v>0</v>
      </c>
      <c r="H2097">
        <f t="shared" si="323"/>
        <v>6</v>
      </c>
      <c r="I2097">
        <f t="shared" si="324"/>
        <v>28</v>
      </c>
      <c r="J2097">
        <f t="shared" si="325"/>
        <v>388</v>
      </c>
      <c r="K2097">
        <f t="shared" si="326"/>
        <v>7</v>
      </c>
      <c r="L2097">
        <f t="shared" si="327"/>
        <v>709806</v>
      </c>
      <c r="M2097">
        <f t="shared" si="328"/>
        <v>231653</v>
      </c>
      <c r="N2097">
        <f t="shared" si="329"/>
        <v>989459</v>
      </c>
      <c r="O2097">
        <f>IF(B2097="zagraniczny",K2097+O2096,O2096)</f>
        <v>940</v>
      </c>
    </row>
    <row r="2098" spans="1:15" x14ac:dyDescent="0.25">
      <c r="A2098">
        <v>9791237</v>
      </c>
      <c r="B2098" t="str">
        <f t="shared" si="320"/>
        <v>stacjonarny</v>
      </c>
      <c r="C2098" s="1">
        <v>42947</v>
      </c>
      <c r="D2098" s="2">
        <v>0.48635416666666664</v>
      </c>
      <c r="E2098" s="2">
        <v>0.49025462962962962</v>
      </c>
      <c r="F2098" s="2">
        <f t="shared" si="321"/>
        <v>3.9004629629629806E-3</v>
      </c>
      <c r="G2098">
        <f t="shared" si="322"/>
        <v>0</v>
      </c>
      <c r="H2098">
        <f t="shared" si="323"/>
        <v>5</v>
      </c>
      <c r="I2098">
        <f t="shared" si="324"/>
        <v>37</v>
      </c>
      <c r="J2098">
        <f t="shared" si="325"/>
        <v>337</v>
      </c>
      <c r="K2098">
        <f t="shared" si="326"/>
        <v>6</v>
      </c>
      <c r="L2098">
        <f t="shared" si="327"/>
        <v>710143</v>
      </c>
      <c r="M2098">
        <f t="shared" si="328"/>
        <v>231653</v>
      </c>
      <c r="N2098">
        <f t="shared" si="329"/>
        <v>989796</v>
      </c>
      <c r="O2098">
        <f>IF(B2098="zagraniczny",K2098+O2097,O2097)</f>
        <v>940</v>
      </c>
    </row>
    <row r="2099" spans="1:15" x14ac:dyDescent="0.25">
      <c r="A2099">
        <v>1830251</v>
      </c>
      <c r="B2099" t="str">
        <f t="shared" si="320"/>
        <v>stacjonarny</v>
      </c>
      <c r="C2099" s="1">
        <v>42947</v>
      </c>
      <c r="D2099" s="2">
        <v>0.48893518518518519</v>
      </c>
      <c r="E2099" s="2">
        <v>0.49787037037037035</v>
      </c>
      <c r="F2099" s="2">
        <f t="shared" si="321"/>
        <v>8.9351851851851571E-3</v>
      </c>
      <c r="G2099">
        <f t="shared" si="322"/>
        <v>0</v>
      </c>
      <c r="H2099">
        <f t="shared" si="323"/>
        <v>12</v>
      </c>
      <c r="I2099">
        <f t="shared" si="324"/>
        <v>52</v>
      </c>
      <c r="J2099">
        <f t="shared" si="325"/>
        <v>772</v>
      </c>
      <c r="K2099">
        <f t="shared" si="326"/>
        <v>13</v>
      </c>
      <c r="L2099">
        <f t="shared" si="327"/>
        <v>710915</v>
      </c>
      <c r="M2099">
        <f t="shared" si="328"/>
        <v>231653</v>
      </c>
      <c r="N2099">
        <f t="shared" si="329"/>
        <v>990568</v>
      </c>
      <c r="O2099">
        <f>IF(B2099="zagraniczny",K2099+O2098,O2098)</f>
        <v>940</v>
      </c>
    </row>
    <row r="2100" spans="1:15" x14ac:dyDescent="0.25">
      <c r="A2100">
        <v>42603700</v>
      </c>
      <c r="B2100" t="str">
        <f t="shared" si="320"/>
        <v>komorkowy</v>
      </c>
      <c r="C2100" s="1">
        <v>42947</v>
      </c>
      <c r="D2100" s="2">
        <v>0.49409722222222224</v>
      </c>
      <c r="E2100" s="2">
        <v>0.50521990740740741</v>
      </c>
      <c r="F2100" s="2">
        <f t="shared" si="321"/>
        <v>1.1122685185185166E-2</v>
      </c>
      <c r="G2100">
        <f t="shared" si="322"/>
        <v>0</v>
      </c>
      <c r="H2100">
        <f t="shared" si="323"/>
        <v>16</v>
      </c>
      <c r="I2100">
        <f t="shared" si="324"/>
        <v>1</v>
      </c>
      <c r="J2100">
        <f t="shared" si="325"/>
        <v>961</v>
      </c>
      <c r="K2100">
        <f t="shared" si="326"/>
        <v>17</v>
      </c>
      <c r="L2100">
        <f t="shared" si="327"/>
        <v>710915</v>
      </c>
      <c r="M2100">
        <f t="shared" si="328"/>
        <v>232614</v>
      </c>
      <c r="N2100">
        <f t="shared" si="329"/>
        <v>991529</v>
      </c>
      <c r="O2100">
        <f>IF(B2100="zagraniczny",K2100+O2099,O2099)</f>
        <v>940</v>
      </c>
    </row>
    <row r="2101" spans="1:15" x14ac:dyDescent="0.25">
      <c r="A2101">
        <v>3983714</v>
      </c>
      <c r="B2101" t="str">
        <f t="shared" si="320"/>
        <v>stacjonarny</v>
      </c>
      <c r="C2101" s="1">
        <v>42947</v>
      </c>
      <c r="D2101" s="2">
        <v>0.49849537037037039</v>
      </c>
      <c r="E2101" s="2">
        <v>0.5092592592592593</v>
      </c>
      <c r="F2101" s="2">
        <f t="shared" si="321"/>
        <v>1.0763888888888906E-2</v>
      </c>
      <c r="G2101">
        <f t="shared" si="322"/>
        <v>0</v>
      </c>
      <c r="H2101">
        <f t="shared" si="323"/>
        <v>15</v>
      </c>
      <c r="I2101">
        <f t="shared" si="324"/>
        <v>30</v>
      </c>
      <c r="J2101">
        <f t="shared" si="325"/>
        <v>930</v>
      </c>
      <c r="K2101">
        <f t="shared" si="326"/>
        <v>16</v>
      </c>
      <c r="L2101">
        <f t="shared" si="327"/>
        <v>711845</v>
      </c>
      <c r="M2101">
        <f t="shared" si="328"/>
        <v>232614</v>
      </c>
      <c r="N2101">
        <f t="shared" si="329"/>
        <v>992459</v>
      </c>
      <c r="O2101">
        <f>IF(B2101="zagraniczny",K2101+O2100,O2100)</f>
        <v>940</v>
      </c>
    </row>
    <row r="2102" spans="1:15" x14ac:dyDescent="0.25">
      <c r="A2102">
        <v>4520226</v>
      </c>
      <c r="B2102" t="str">
        <f t="shared" si="320"/>
        <v>stacjonarny</v>
      </c>
      <c r="C2102" s="1">
        <v>42947</v>
      </c>
      <c r="D2102" s="2">
        <v>0.49903935185185183</v>
      </c>
      <c r="E2102" s="2">
        <v>0.51059027777777777</v>
      </c>
      <c r="F2102" s="2">
        <f t="shared" si="321"/>
        <v>1.1550925925925937E-2</v>
      </c>
      <c r="G2102">
        <f t="shared" si="322"/>
        <v>0</v>
      </c>
      <c r="H2102">
        <f t="shared" si="323"/>
        <v>16</v>
      </c>
      <c r="I2102">
        <f t="shared" si="324"/>
        <v>38</v>
      </c>
      <c r="J2102">
        <f t="shared" si="325"/>
        <v>998</v>
      </c>
      <c r="K2102">
        <f t="shared" si="326"/>
        <v>17</v>
      </c>
      <c r="L2102">
        <f t="shared" si="327"/>
        <v>712843</v>
      </c>
      <c r="M2102">
        <f t="shared" si="328"/>
        <v>232614</v>
      </c>
      <c r="N2102">
        <f t="shared" si="329"/>
        <v>993457</v>
      </c>
      <c r="O2102">
        <f>IF(B2102="zagraniczny",K2102+O2101,O2101)</f>
        <v>940</v>
      </c>
    </row>
    <row r="2103" spans="1:15" x14ac:dyDescent="0.25">
      <c r="A2103">
        <v>6999348</v>
      </c>
      <c r="B2103" t="str">
        <f t="shared" si="320"/>
        <v>stacjonarny</v>
      </c>
      <c r="C2103" s="1">
        <v>42947</v>
      </c>
      <c r="D2103" s="2">
        <v>0.50065972222222221</v>
      </c>
      <c r="E2103" s="2">
        <v>0.50898148148148148</v>
      </c>
      <c r="F2103" s="2">
        <f t="shared" si="321"/>
        <v>8.3217592592592649E-3</v>
      </c>
      <c r="G2103">
        <f t="shared" si="322"/>
        <v>0</v>
      </c>
      <c r="H2103">
        <f t="shared" si="323"/>
        <v>11</v>
      </c>
      <c r="I2103">
        <f t="shared" si="324"/>
        <v>59</v>
      </c>
      <c r="J2103">
        <f t="shared" si="325"/>
        <v>719</v>
      </c>
      <c r="K2103">
        <f t="shared" si="326"/>
        <v>12</v>
      </c>
      <c r="L2103">
        <f t="shared" si="327"/>
        <v>713562</v>
      </c>
      <c r="M2103">
        <f t="shared" si="328"/>
        <v>232614</v>
      </c>
      <c r="N2103">
        <f t="shared" si="329"/>
        <v>994176</v>
      </c>
      <c r="O2103">
        <f>IF(B2103="zagraniczny",K2103+O2102,O2102)</f>
        <v>940</v>
      </c>
    </row>
    <row r="2104" spans="1:15" x14ac:dyDescent="0.25">
      <c r="A2104">
        <v>3767866</v>
      </c>
      <c r="B2104" t="str">
        <f t="shared" si="320"/>
        <v>stacjonarny</v>
      </c>
      <c r="C2104" s="1">
        <v>42947</v>
      </c>
      <c r="D2104" s="2">
        <v>0.5040972222222222</v>
      </c>
      <c r="E2104" s="2">
        <v>0.50971064814814815</v>
      </c>
      <c r="F2104" s="2">
        <f t="shared" si="321"/>
        <v>5.6134259259259522E-3</v>
      </c>
      <c r="G2104">
        <f t="shared" si="322"/>
        <v>0</v>
      </c>
      <c r="H2104">
        <f t="shared" si="323"/>
        <v>8</v>
      </c>
      <c r="I2104">
        <f t="shared" si="324"/>
        <v>5</v>
      </c>
      <c r="J2104">
        <f t="shared" si="325"/>
        <v>485</v>
      </c>
      <c r="K2104">
        <f t="shared" si="326"/>
        <v>9</v>
      </c>
      <c r="L2104">
        <f t="shared" si="327"/>
        <v>714047</v>
      </c>
      <c r="M2104">
        <f t="shared" si="328"/>
        <v>232614</v>
      </c>
      <c r="N2104">
        <f t="shared" si="329"/>
        <v>994661</v>
      </c>
      <c r="O2104">
        <f>IF(B2104="zagraniczny",K2104+O2103,O2103)</f>
        <v>940</v>
      </c>
    </row>
    <row r="2105" spans="1:15" x14ac:dyDescent="0.25">
      <c r="A2105">
        <v>49342013</v>
      </c>
      <c r="B2105" t="str">
        <f t="shared" si="320"/>
        <v>komorkowy</v>
      </c>
      <c r="C2105" s="1">
        <v>42947</v>
      </c>
      <c r="D2105" s="2">
        <v>0.50410879629629635</v>
      </c>
      <c r="E2105" s="2">
        <v>0.50539351851851855</v>
      </c>
      <c r="F2105" s="2">
        <f t="shared" si="321"/>
        <v>1.284722222222201E-3</v>
      </c>
      <c r="G2105">
        <f t="shared" si="322"/>
        <v>0</v>
      </c>
      <c r="H2105">
        <f t="shared" si="323"/>
        <v>1</v>
      </c>
      <c r="I2105">
        <f t="shared" si="324"/>
        <v>51</v>
      </c>
      <c r="J2105">
        <f t="shared" si="325"/>
        <v>111</v>
      </c>
      <c r="K2105">
        <f t="shared" si="326"/>
        <v>2</v>
      </c>
      <c r="L2105">
        <f t="shared" si="327"/>
        <v>714047</v>
      </c>
      <c r="M2105">
        <f t="shared" si="328"/>
        <v>232725</v>
      </c>
      <c r="N2105">
        <f t="shared" si="329"/>
        <v>994772</v>
      </c>
      <c r="O2105">
        <f>IF(B2105="zagraniczny",K2105+O2104,O2104)</f>
        <v>940</v>
      </c>
    </row>
    <row r="2106" spans="1:15" x14ac:dyDescent="0.25">
      <c r="A2106">
        <v>6051341</v>
      </c>
      <c r="B2106" t="str">
        <f t="shared" si="320"/>
        <v>stacjonarny</v>
      </c>
      <c r="C2106" s="1">
        <v>42947</v>
      </c>
      <c r="D2106" s="2">
        <v>0.50980324074074079</v>
      </c>
      <c r="E2106" s="2">
        <v>0.51123842592592594</v>
      </c>
      <c r="F2106" s="2">
        <f t="shared" si="321"/>
        <v>1.4351851851851505E-3</v>
      </c>
      <c r="G2106">
        <f t="shared" si="322"/>
        <v>0</v>
      </c>
      <c r="H2106">
        <f t="shared" si="323"/>
        <v>2</v>
      </c>
      <c r="I2106">
        <f t="shared" si="324"/>
        <v>4</v>
      </c>
      <c r="J2106">
        <f t="shared" si="325"/>
        <v>124</v>
      </c>
      <c r="K2106">
        <f t="shared" si="326"/>
        <v>3</v>
      </c>
      <c r="L2106">
        <f t="shared" si="327"/>
        <v>714171</v>
      </c>
      <c r="M2106">
        <f t="shared" si="328"/>
        <v>232725</v>
      </c>
      <c r="N2106">
        <f t="shared" si="329"/>
        <v>994896</v>
      </c>
      <c r="O2106">
        <f>IF(B2106="zagraniczny",K2106+O2105,O2105)</f>
        <v>940</v>
      </c>
    </row>
    <row r="2107" spans="1:15" x14ac:dyDescent="0.25">
      <c r="A2107">
        <v>4326245</v>
      </c>
      <c r="B2107" t="str">
        <f t="shared" si="320"/>
        <v>stacjonarny</v>
      </c>
      <c r="C2107" s="1">
        <v>42947</v>
      </c>
      <c r="D2107" s="2">
        <v>0.51331018518518523</v>
      </c>
      <c r="E2107" s="2">
        <v>0.51490740740740737</v>
      </c>
      <c r="F2107" s="2">
        <f t="shared" si="321"/>
        <v>1.5972222222221388E-3</v>
      </c>
      <c r="G2107">
        <f t="shared" si="322"/>
        <v>0</v>
      </c>
      <c r="H2107">
        <f t="shared" si="323"/>
        <v>2</v>
      </c>
      <c r="I2107">
        <f t="shared" si="324"/>
        <v>18</v>
      </c>
      <c r="J2107">
        <f t="shared" si="325"/>
        <v>138</v>
      </c>
      <c r="K2107">
        <f t="shared" si="326"/>
        <v>3</v>
      </c>
      <c r="L2107">
        <f t="shared" si="327"/>
        <v>714309</v>
      </c>
      <c r="M2107">
        <f t="shared" si="328"/>
        <v>232725</v>
      </c>
      <c r="N2107">
        <f t="shared" si="329"/>
        <v>995034</v>
      </c>
      <c r="O2107">
        <f>IF(B2107="zagraniczny",K2107+O2106,O2106)</f>
        <v>940</v>
      </c>
    </row>
    <row r="2108" spans="1:15" x14ac:dyDescent="0.25">
      <c r="A2108">
        <v>5356378</v>
      </c>
      <c r="B2108" t="str">
        <f t="shared" si="320"/>
        <v>stacjonarny</v>
      </c>
      <c r="C2108" s="1">
        <v>42947</v>
      </c>
      <c r="D2108" s="2">
        <v>0.51811342592592591</v>
      </c>
      <c r="E2108" s="2">
        <v>0.51965277777777774</v>
      </c>
      <c r="F2108" s="2">
        <f t="shared" si="321"/>
        <v>1.5393518518518334E-3</v>
      </c>
      <c r="G2108">
        <f t="shared" si="322"/>
        <v>0</v>
      </c>
      <c r="H2108">
        <f t="shared" si="323"/>
        <v>2</v>
      </c>
      <c r="I2108">
        <f t="shared" si="324"/>
        <v>13</v>
      </c>
      <c r="J2108">
        <f t="shared" si="325"/>
        <v>133</v>
      </c>
      <c r="K2108">
        <f t="shared" si="326"/>
        <v>3</v>
      </c>
      <c r="L2108">
        <f t="shared" si="327"/>
        <v>714442</v>
      </c>
      <c r="M2108">
        <f t="shared" si="328"/>
        <v>232725</v>
      </c>
      <c r="N2108">
        <f t="shared" si="329"/>
        <v>995167</v>
      </c>
      <c r="O2108">
        <f>IF(B2108="zagraniczny",K2108+O2107,O2107)</f>
        <v>940</v>
      </c>
    </row>
    <row r="2109" spans="1:15" x14ac:dyDescent="0.25">
      <c r="A2109">
        <v>1302842</v>
      </c>
      <c r="B2109" t="str">
        <f t="shared" si="320"/>
        <v>stacjonarny</v>
      </c>
      <c r="C2109" s="1">
        <v>42947</v>
      </c>
      <c r="D2109" s="2">
        <v>0.52203703703703708</v>
      </c>
      <c r="E2109" s="2">
        <v>0.53162037037037035</v>
      </c>
      <c r="F2109" s="2">
        <f t="shared" si="321"/>
        <v>9.5833333333332771E-3</v>
      </c>
      <c r="G2109">
        <f t="shared" si="322"/>
        <v>0</v>
      </c>
      <c r="H2109">
        <f t="shared" si="323"/>
        <v>13</v>
      </c>
      <c r="I2109">
        <f t="shared" si="324"/>
        <v>48</v>
      </c>
      <c r="J2109">
        <f t="shared" si="325"/>
        <v>828</v>
      </c>
      <c r="K2109">
        <f t="shared" si="326"/>
        <v>14</v>
      </c>
      <c r="L2109">
        <f t="shared" si="327"/>
        <v>715270</v>
      </c>
      <c r="M2109">
        <f t="shared" si="328"/>
        <v>232725</v>
      </c>
      <c r="N2109">
        <f t="shared" si="329"/>
        <v>995995</v>
      </c>
      <c r="O2109">
        <f>IF(B2109="zagraniczny",K2109+O2108,O2108)</f>
        <v>940</v>
      </c>
    </row>
    <row r="2110" spans="1:15" x14ac:dyDescent="0.25">
      <c r="A2110">
        <v>2025194</v>
      </c>
      <c r="B2110" t="str">
        <f t="shared" si="320"/>
        <v>stacjonarny</v>
      </c>
      <c r="C2110" s="1">
        <v>42947</v>
      </c>
      <c r="D2110" s="2">
        <v>0.52238425925925924</v>
      </c>
      <c r="E2110" s="2">
        <v>0.52749999999999997</v>
      </c>
      <c r="F2110" s="2">
        <f t="shared" si="321"/>
        <v>5.1157407407407263E-3</v>
      </c>
      <c r="G2110">
        <f t="shared" si="322"/>
        <v>0</v>
      </c>
      <c r="H2110">
        <f t="shared" si="323"/>
        <v>7</v>
      </c>
      <c r="I2110">
        <f t="shared" si="324"/>
        <v>22</v>
      </c>
      <c r="J2110">
        <f t="shared" si="325"/>
        <v>442</v>
      </c>
      <c r="K2110">
        <f t="shared" si="326"/>
        <v>8</v>
      </c>
      <c r="L2110">
        <f t="shared" si="327"/>
        <v>715712</v>
      </c>
      <c r="M2110">
        <f t="shared" si="328"/>
        <v>232725</v>
      </c>
      <c r="N2110">
        <f t="shared" si="329"/>
        <v>996437</v>
      </c>
      <c r="O2110">
        <f>IF(B2110="zagraniczny",K2110+O2109,O2109)</f>
        <v>940</v>
      </c>
    </row>
    <row r="2111" spans="1:15" x14ac:dyDescent="0.25">
      <c r="A2111">
        <v>6703754</v>
      </c>
      <c r="B2111" t="str">
        <f t="shared" si="320"/>
        <v>stacjonarny</v>
      </c>
      <c r="C2111" s="1">
        <v>42947</v>
      </c>
      <c r="D2111" s="2">
        <v>0.5237384259259259</v>
      </c>
      <c r="E2111" s="2">
        <v>0.52431712962962962</v>
      </c>
      <c r="F2111" s="2">
        <f t="shared" si="321"/>
        <v>5.7870370370372015E-4</v>
      </c>
      <c r="G2111">
        <f t="shared" si="322"/>
        <v>0</v>
      </c>
      <c r="H2111">
        <f t="shared" si="323"/>
        <v>0</v>
      </c>
      <c r="I2111">
        <f t="shared" si="324"/>
        <v>50</v>
      </c>
      <c r="J2111">
        <f t="shared" si="325"/>
        <v>50</v>
      </c>
      <c r="K2111">
        <f t="shared" si="326"/>
        <v>1</v>
      </c>
      <c r="L2111">
        <f t="shared" si="327"/>
        <v>715762</v>
      </c>
      <c r="M2111">
        <f t="shared" si="328"/>
        <v>232725</v>
      </c>
      <c r="N2111">
        <f t="shared" si="329"/>
        <v>996487</v>
      </c>
      <c r="O2111">
        <f>IF(B2111="zagraniczny",K2111+O2110,O2110)</f>
        <v>940</v>
      </c>
    </row>
    <row r="2112" spans="1:15" x14ac:dyDescent="0.25">
      <c r="A2112">
        <v>86965710</v>
      </c>
      <c r="B2112" t="str">
        <f t="shared" si="320"/>
        <v>komorkowy</v>
      </c>
      <c r="C2112" s="1">
        <v>42947</v>
      </c>
      <c r="D2112" s="2">
        <v>0.52516203703703701</v>
      </c>
      <c r="E2112" s="2">
        <v>0.52825231481481483</v>
      </c>
      <c r="F2112" s="2">
        <f t="shared" si="321"/>
        <v>3.0902777777778168E-3</v>
      </c>
      <c r="G2112">
        <f t="shared" si="322"/>
        <v>0</v>
      </c>
      <c r="H2112">
        <f t="shared" si="323"/>
        <v>4</v>
      </c>
      <c r="I2112">
        <f t="shared" si="324"/>
        <v>27</v>
      </c>
      <c r="J2112">
        <f t="shared" si="325"/>
        <v>267</v>
      </c>
      <c r="K2112">
        <f t="shared" si="326"/>
        <v>5</v>
      </c>
      <c r="L2112">
        <f t="shared" si="327"/>
        <v>715762</v>
      </c>
      <c r="M2112">
        <f t="shared" si="328"/>
        <v>232992</v>
      </c>
      <c r="N2112">
        <f t="shared" si="329"/>
        <v>996754</v>
      </c>
      <c r="O2112">
        <f>IF(B2112="zagraniczny",K2112+O2111,O2111)</f>
        <v>940</v>
      </c>
    </row>
    <row r="2113" spans="1:15" x14ac:dyDescent="0.25">
      <c r="A2113">
        <v>9797571</v>
      </c>
      <c r="B2113" t="str">
        <f t="shared" si="320"/>
        <v>stacjonarny</v>
      </c>
      <c r="C2113" s="1">
        <v>42947</v>
      </c>
      <c r="D2113" s="2">
        <v>0.53011574074074075</v>
      </c>
      <c r="E2113" s="2">
        <v>0.5342824074074074</v>
      </c>
      <c r="F2113" s="2">
        <f t="shared" si="321"/>
        <v>4.1666666666666519E-3</v>
      </c>
      <c r="G2113">
        <f t="shared" si="322"/>
        <v>0</v>
      </c>
      <c r="H2113">
        <f t="shared" si="323"/>
        <v>6</v>
      </c>
      <c r="I2113">
        <f t="shared" si="324"/>
        <v>0</v>
      </c>
      <c r="J2113">
        <f t="shared" si="325"/>
        <v>360</v>
      </c>
      <c r="K2113">
        <f t="shared" si="326"/>
        <v>6</v>
      </c>
      <c r="L2113">
        <f t="shared" si="327"/>
        <v>716122</v>
      </c>
      <c r="M2113">
        <f t="shared" si="328"/>
        <v>232992</v>
      </c>
      <c r="N2113">
        <f t="shared" si="329"/>
        <v>997114</v>
      </c>
      <c r="O2113">
        <f>IF(B2113="zagraniczny",K2113+O2112,O2112)</f>
        <v>940</v>
      </c>
    </row>
    <row r="2114" spans="1:15" x14ac:dyDescent="0.25">
      <c r="A2114">
        <v>34628061</v>
      </c>
      <c r="B2114" t="str">
        <f t="shared" si="320"/>
        <v>komorkowy</v>
      </c>
      <c r="C2114" s="1">
        <v>42947</v>
      </c>
      <c r="D2114" s="2">
        <v>0.53206018518518516</v>
      </c>
      <c r="E2114" s="2">
        <v>0.53396990740740746</v>
      </c>
      <c r="F2114" s="2">
        <f t="shared" si="321"/>
        <v>1.9097222222222987E-3</v>
      </c>
      <c r="G2114">
        <f t="shared" si="322"/>
        <v>0</v>
      </c>
      <c r="H2114">
        <f t="shared" si="323"/>
        <v>2</v>
      </c>
      <c r="I2114">
        <f t="shared" si="324"/>
        <v>45</v>
      </c>
      <c r="J2114">
        <f t="shared" si="325"/>
        <v>165</v>
      </c>
      <c r="K2114">
        <f t="shared" si="326"/>
        <v>3</v>
      </c>
      <c r="L2114">
        <f t="shared" si="327"/>
        <v>716122</v>
      </c>
      <c r="M2114">
        <f t="shared" si="328"/>
        <v>233157</v>
      </c>
      <c r="N2114">
        <f t="shared" si="329"/>
        <v>997279</v>
      </c>
      <c r="O2114">
        <f>IF(B2114="zagraniczny",K2114+O2113,O2113)</f>
        <v>940</v>
      </c>
    </row>
    <row r="2115" spans="1:15" x14ac:dyDescent="0.25">
      <c r="A2115">
        <v>6716140</v>
      </c>
      <c r="B2115" t="str">
        <f t="shared" ref="B2115:B2149" si="330">IF(LEN(A2115)=7,"stacjonarny",IF(LEN(A2115)=8,"komorkowy","zagraniczny"))</f>
        <v>stacjonarny</v>
      </c>
      <c r="C2115" s="1">
        <v>42947</v>
      </c>
      <c r="D2115" s="2">
        <v>0.53451388888888884</v>
      </c>
      <c r="E2115" s="2">
        <v>0.54087962962962965</v>
      </c>
      <c r="F2115" s="2">
        <f t="shared" ref="F2115:F2149" si="331">E2115-D2115</f>
        <v>6.3657407407408106E-3</v>
      </c>
      <c r="G2115">
        <f t="shared" ref="G2115:G2149" si="332">HOUR(F2115)</f>
        <v>0</v>
      </c>
      <c r="H2115">
        <f t="shared" ref="H2115:H2149" si="333">MINUTE(F2115)</f>
        <v>9</v>
      </c>
      <c r="I2115">
        <f t="shared" ref="I2115:I2149" si="334">SECOND(F2115)</f>
        <v>10</v>
      </c>
      <c r="J2115">
        <f t="shared" ref="J2115:J2151" si="335">H2115*60+I2115</f>
        <v>550</v>
      </c>
      <c r="K2115">
        <f t="shared" ref="K2115:K2149" si="336">IF(I2115&gt;0,G2115*60+H2115+1,H2115+G2115*60)</f>
        <v>10</v>
      </c>
      <c r="L2115">
        <f t="shared" si="327"/>
        <v>716672</v>
      </c>
      <c r="M2115">
        <f t="shared" si="328"/>
        <v>233157</v>
      </c>
      <c r="N2115">
        <f t="shared" si="329"/>
        <v>997829</v>
      </c>
      <c r="O2115">
        <f>IF(B2115="zagraniczny",K2115+O2114,O2114)</f>
        <v>940</v>
      </c>
    </row>
    <row r="2116" spans="1:15" x14ac:dyDescent="0.25">
      <c r="A2116">
        <v>9709339</v>
      </c>
      <c r="B2116" t="str">
        <f t="shared" si="330"/>
        <v>stacjonarny</v>
      </c>
      <c r="C2116" s="1">
        <v>42947</v>
      </c>
      <c r="D2116" s="2">
        <v>0.53622685185185182</v>
      </c>
      <c r="E2116" s="2">
        <v>0.54399305555555555</v>
      </c>
      <c r="F2116" s="2">
        <f t="shared" si="331"/>
        <v>7.7662037037037335E-3</v>
      </c>
      <c r="G2116">
        <f t="shared" si="332"/>
        <v>0</v>
      </c>
      <c r="H2116">
        <f t="shared" si="333"/>
        <v>11</v>
      </c>
      <c r="I2116">
        <f t="shared" si="334"/>
        <v>11</v>
      </c>
      <c r="J2116">
        <f t="shared" si="335"/>
        <v>671</v>
      </c>
      <c r="K2116">
        <f t="shared" si="336"/>
        <v>12</v>
      </c>
      <c r="L2116">
        <f t="shared" ref="L2116:L2151" si="337">IF(B2116="stacjonarny",$J2116+L2115,L2115)</f>
        <v>717343</v>
      </c>
      <c r="M2116">
        <f t="shared" ref="M2116:M2151" si="338">IF(B2116="komorkowy",$J2116+M2115,M2115)</f>
        <v>233157</v>
      </c>
      <c r="N2116">
        <f t="shared" ref="N2116:N2149" si="339">IF(OR(B2116="stacjonarny",B2116="komorkowy"),J2116+N2115,N2115)</f>
        <v>998500</v>
      </c>
      <c r="O2116">
        <f>IF(B2116="zagraniczny",K2116+O2115,O2115)</f>
        <v>940</v>
      </c>
    </row>
    <row r="2117" spans="1:15" x14ac:dyDescent="0.25">
      <c r="A2117">
        <v>1331802</v>
      </c>
      <c r="B2117" t="str">
        <f t="shared" si="330"/>
        <v>stacjonarny</v>
      </c>
      <c r="C2117" s="1">
        <v>42947</v>
      </c>
      <c r="D2117" s="2">
        <v>0.5376967592592593</v>
      </c>
      <c r="E2117" s="2">
        <v>0.54113425925925929</v>
      </c>
      <c r="F2117" s="2">
        <f t="shared" si="331"/>
        <v>3.4374999999999822E-3</v>
      </c>
      <c r="G2117">
        <f t="shared" si="332"/>
        <v>0</v>
      </c>
      <c r="H2117">
        <f t="shared" si="333"/>
        <v>4</v>
      </c>
      <c r="I2117">
        <f t="shared" si="334"/>
        <v>57</v>
      </c>
      <c r="J2117">
        <f t="shared" si="335"/>
        <v>297</v>
      </c>
      <c r="K2117">
        <f t="shared" si="336"/>
        <v>5</v>
      </c>
      <c r="L2117">
        <f t="shared" si="337"/>
        <v>717640</v>
      </c>
      <c r="M2117">
        <f t="shared" si="338"/>
        <v>233157</v>
      </c>
      <c r="N2117">
        <f t="shared" si="339"/>
        <v>998797</v>
      </c>
      <c r="O2117">
        <f>IF(B2117="zagraniczny",K2117+O2116,O2116)</f>
        <v>940</v>
      </c>
    </row>
    <row r="2118" spans="1:15" x14ac:dyDescent="0.25">
      <c r="A2118">
        <v>9413315</v>
      </c>
      <c r="B2118" t="str">
        <f t="shared" si="330"/>
        <v>stacjonarny</v>
      </c>
      <c r="C2118" s="1">
        <v>42947</v>
      </c>
      <c r="D2118" s="2">
        <v>0.53961805555555553</v>
      </c>
      <c r="E2118" s="2">
        <v>0.54870370370370369</v>
      </c>
      <c r="F2118" s="2">
        <f t="shared" si="331"/>
        <v>9.0856481481481621E-3</v>
      </c>
      <c r="G2118">
        <f t="shared" si="332"/>
        <v>0</v>
      </c>
      <c r="H2118">
        <f t="shared" si="333"/>
        <v>13</v>
      </c>
      <c r="I2118">
        <f t="shared" si="334"/>
        <v>5</v>
      </c>
      <c r="J2118">
        <f t="shared" si="335"/>
        <v>785</v>
      </c>
      <c r="K2118">
        <f t="shared" si="336"/>
        <v>14</v>
      </c>
      <c r="L2118">
        <f t="shared" si="337"/>
        <v>718425</v>
      </c>
      <c r="M2118">
        <f t="shared" si="338"/>
        <v>233157</v>
      </c>
      <c r="N2118">
        <f t="shared" si="339"/>
        <v>999582</v>
      </c>
      <c r="O2118">
        <f>IF(B2118="zagraniczny",K2118+O2117,O2117)</f>
        <v>940</v>
      </c>
    </row>
    <row r="2119" spans="1:15" x14ac:dyDescent="0.25">
      <c r="A2119">
        <v>9555643</v>
      </c>
      <c r="B2119" t="str">
        <f t="shared" si="330"/>
        <v>stacjonarny</v>
      </c>
      <c r="C2119" s="1">
        <v>42947</v>
      </c>
      <c r="D2119" s="2">
        <v>0.5415740740740741</v>
      </c>
      <c r="E2119" s="2">
        <v>0.54230324074074077</v>
      </c>
      <c r="F2119" s="2">
        <f t="shared" si="331"/>
        <v>7.2916666666666963E-4</v>
      </c>
      <c r="G2119">
        <f t="shared" si="332"/>
        <v>0</v>
      </c>
      <c r="H2119">
        <f t="shared" si="333"/>
        <v>1</v>
      </c>
      <c r="I2119">
        <f t="shared" si="334"/>
        <v>3</v>
      </c>
      <c r="J2119">
        <f t="shared" si="335"/>
        <v>63</v>
      </c>
      <c r="K2119">
        <f t="shared" si="336"/>
        <v>2</v>
      </c>
      <c r="L2119">
        <f t="shared" si="337"/>
        <v>718488</v>
      </c>
      <c r="M2119">
        <f t="shared" si="338"/>
        <v>233157</v>
      </c>
      <c r="N2119">
        <f t="shared" si="339"/>
        <v>999645</v>
      </c>
      <c r="O2119">
        <f>IF(B2119="zagraniczny",K2119+O2118,O2118)</f>
        <v>940</v>
      </c>
    </row>
    <row r="2120" spans="1:15" x14ac:dyDescent="0.25">
      <c r="A2120">
        <v>4824250</v>
      </c>
      <c r="B2120" t="str">
        <f t="shared" si="330"/>
        <v>stacjonarny</v>
      </c>
      <c r="C2120" s="1">
        <v>42947</v>
      </c>
      <c r="D2120" s="2">
        <v>0.54670138888888886</v>
      </c>
      <c r="E2120" s="2">
        <v>0.55440972222222218</v>
      </c>
      <c r="F2120" s="2">
        <f t="shared" si="331"/>
        <v>7.7083333333333171E-3</v>
      </c>
      <c r="G2120">
        <f t="shared" si="332"/>
        <v>0</v>
      </c>
      <c r="H2120">
        <f t="shared" si="333"/>
        <v>11</v>
      </c>
      <c r="I2120">
        <f t="shared" si="334"/>
        <v>6</v>
      </c>
      <c r="J2120">
        <f t="shared" si="335"/>
        <v>666</v>
      </c>
      <c r="K2120">
        <f t="shared" si="336"/>
        <v>12</v>
      </c>
      <c r="L2120">
        <f t="shared" si="337"/>
        <v>719154</v>
      </c>
      <c r="M2120">
        <f t="shared" si="338"/>
        <v>233157</v>
      </c>
      <c r="N2120">
        <f t="shared" si="339"/>
        <v>1000311</v>
      </c>
      <c r="O2120">
        <f>IF(B2120="zagraniczny",K2120+O2119,O2119)</f>
        <v>940</v>
      </c>
    </row>
    <row r="2121" spans="1:15" x14ac:dyDescent="0.25">
      <c r="A2121">
        <v>3931914</v>
      </c>
      <c r="B2121" t="str">
        <f t="shared" si="330"/>
        <v>stacjonarny</v>
      </c>
      <c r="C2121" s="1">
        <v>42947</v>
      </c>
      <c r="D2121" s="2">
        <v>0.55063657407407407</v>
      </c>
      <c r="E2121" s="2">
        <v>0.55451388888888886</v>
      </c>
      <c r="F2121" s="2">
        <f t="shared" si="331"/>
        <v>3.8773148148147918E-3</v>
      </c>
      <c r="G2121">
        <f t="shared" si="332"/>
        <v>0</v>
      </c>
      <c r="H2121">
        <f t="shared" si="333"/>
        <v>5</v>
      </c>
      <c r="I2121">
        <f t="shared" si="334"/>
        <v>35</v>
      </c>
      <c r="J2121">
        <f t="shared" si="335"/>
        <v>335</v>
      </c>
      <c r="K2121">
        <f t="shared" si="336"/>
        <v>6</v>
      </c>
      <c r="L2121">
        <f t="shared" si="337"/>
        <v>719489</v>
      </c>
      <c r="M2121">
        <f t="shared" si="338"/>
        <v>233157</v>
      </c>
      <c r="N2121">
        <f t="shared" si="339"/>
        <v>1000646</v>
      </c>
      <c r="O2121">
        <f>IF(B2121="zagraniczny",K2121+O2120,O2120)</f>
        <v>940</v>
      </c>
    </row>
    <row r="2122" spans="1:15" x14ac:dyDescent="0.25">
      <c r="A2122">
        <v>79698655</v>
      </c>
      <c r="B2122" t="str">
        <f t="shared" si="330"/>
        <v>komorkowy</v>
      </c>
      <c r="C2122" s="1">
        <v>42947</v>
      </c>
      <c r="D2122" s="2">
        <v>0.55182870370370374</v>
      </c>
      <c r="E2122" s="2">
        <v>0.55775462962962963</v>
      </c>
      <c r="F2122" s="2">
        <f t="shared" si="331"/>
        <v>5.9259259259258901E-3</v>
      </c>
      <c r="G2122">
        <f t="shared" si="332"/>
        <v>0</v>
      </c>
      <c r="H2122">
        <f t="shared" si="333"/>
        <v>8</v>
      </c>
      <c r="I2122">
        <f t="shared" si="334"/>
        <v>32</v>
      </c>
      <c r="J2122">
        <f t="shared" si="335"/>
        <v>512</v>
      </c>
      <c r="K2122">
        <f t="shared" si="336"/>
        <v>9</v>
      </c>
      <c r="L2122">
        <f t="shared" si="337"/>
        <v>719489</v>
      </c>
      <c r="M2122">
        <f t="shared" si="338"/>
        <v>233669</v>
      </c>
      <c r="N2122">
        <f t="shared" si="339"/>
        <v>1001158</v>
      </c>
      <c r="O2122">
        <f>IF(B2122="zagraniczny",K2122+O2121,O2121)</f>
        <v>940</v>
      </c>
    </row>
    <row r="2123" spans="1:15" x14ac:dyDescent="0.25">
      <c r="A2123">
        <v>5387521845</v>
      </c>
      <c r="B2123" t="str">
        <f t="shared" si="330"/>
        <v>zagraniczny</v>
      </c>
      <c r="C2123" s="1">
        <v>42947</v>
      </c>
      <c r="D2123" s="2">
        <v>0.55717592592592591</v>
      </c>
      <c r="E2123" s="2">
        <v>0.56000000000000005</v>
      </c>
      <c r="F2123" s="2">
        <f t="shared" si="331"/>
        <v>2.8240740740741455E-3</v>
      </c>
      <c r="G2123">
        <f t="shared" si="332"/>
        <v>0</v>
      </c>
      <c r="H2123">
        <f t="shared" si="333"/>
        <v>4</v>
      </c>
      <c r="I2123">
        <f t="shared" si="334"/>
        <v>4</v>
      </c>
      <c r="J2123">
        <f t="shared" si="335"/>
        <v>244</v>
      </c>
      <c r="K2123">
        <f t="shared" si="336"/>
        <v>5</v>
      </c>
      <c r="L2123">
        <f t="shared" si="337"/>
        <v>719489</v>
      </c>
      <c r="M2123">
        <f t="shared" si="338"/>
        <v>233669</v>
      </c>
      <c r="N2123">
        <f t="shared" si="339"/>
        <v>1001158</v>
      </c>
      <c r="O2123">
        <f>IF(B2123="zagraniczny",K2123+O2122,O2122)</f>
        <v>945</v>
      </c>
    </row>
    <row r="2124" spans="1:15" x14ac:dyDescent="0.25">
      <c r="A2124">
        <v>84589848</v>
      </c>
      <c r="B2124" t="str">
        <f t="shared" si="330"/>
        <v>komorkowy</v>
      </c>
      <c r="C2124" s="1">
        <v>42947</v>
      </c>
      <c r="D2124" s="2">
        <v>0.56119212962962961</v>
      </c>
      <c r="E2124" s="2">
        <v>0.56221064814814814</v>
      </c>
      <c r="F2124" s="2">
        <f t="shared" si="331"/>
        <v>1.0185185185185297E-3</v>
      </c>
      <c r="G2124">
        <f t="shared" si="332"/>
        <v>0</v>
      </c>
      <c r="H2124">
        <f t="shared" si="333"/>
        <v>1</v>
      </c>
      <c r="I2124">
        <f t="shared" si="334"/>
        <v>28</v>
      </c>
      <c r="J2124">
        <f t="shared" si="335"/>
        <v>88</v>
      </c>
      <c r="K2124">
        <f t="shared" si="336"/>
        <v>2</v>
      </c>
      <c r="L2124">
        <f t="shared" si="337"/>
        <v>719489</v>
      </c>
      <c r="M2124">
        <f t="shared" si="338"/>
        <v>233757</v>
      </c>
      <c r="N2124">
        <f t="shared" si="339"/>
        <v>1001246</v>
      </c>
      <c r="O2124">
        <f>IF(B2124="zagraniczny",K2124+O2123,O2123)</f>
        <v>945</v>
      </c>
    </row>
    <row r="2125" spans="1:15" x14ac:dyDescent="0.25">
      <c r="A2125">
        <v>1927908</v>
      </c>
      <c r="B2125" t="str">
        <f t="shared" si="330"/>
        <v>stacjonarny</v>
      </c>
      <c r="C2125" s="1">
        <v>42947</v>
      </c>
      <c r="D2125" s="2">
        <v>0.56452546296296291</v>
      </c>
      <c r="E2125" s="2">
        <v>0.5725231481481482</v>
      </c>
      <c r="F2125" s="2">
        <f t="shared" si="331"/>
        <v>7.9976851851852881E-3</v>
      </c>
      <c r="G2125">
        <f t="shared" si="332"/>
        <v>0</v>
      </c>
      <c r="H2125">
        <f t="shared" si="333"/>
        <v>11</v>
      </c>
      <c r="I2125">
        <f t="shared" si="334"/>
        <v>31</v>
      </c>
      <c r="J2125">
        <f t="shared" si="335"/>
        <v>691</v>
      </c>
      <c r="K2125">
        <f t="shared" si="336"/>
        <v>12</v>
      </c>
      <c r="L2125">
        <f t="shared" si="337"/>
        <v>720180</v>
      </c>
      <c r="M2125">
        <f t="shared" si="338"/>
        <v>233757</v>
      </c>
      <c r="N2125">
        <f t="shared" si="339"/>
        <v>1001937</v>
      </c>
      <c r="O2125">
        <f>IF(B2125="zagraniczny",K2125+O2124,O2124)</f>
        <v>945</v>
      </c>
    </row>
    <row r="2126" spans="1:15" x14ac:dyDescent="0.25">
      <c r="A2126">
        <v>7975900</v>
      </c>
      <c r="B2126" t="str">
        <f t="shared" si="330"/>
        <v>stacjonarny</v>
      </c>
      <c r="C2126" s="1">
        <v>42947</v>
      </c>
      <c r="D2126" s="2">
        <v>0.56582175925925926</v>
      </c>
      <c r="E2126" s="2">
        <v>0.57314814814814818</v>
      </c>
      <c r="F2126" s="2">
        <f t="shared" si="331"/>
        <v>7.3263888888889239E-3</v>
      </c>
      <c r="G2126">
        <f t="shared" si="332"/>
        <v>0</v>
      </c>
      <c r="H2126">
        <f t="shared" si="333"/>
        <v>10</v>
      </c>
      <c r="I2126">
        <f t="shared" si="334"/>
        <v>33</v>
      </c>
      <c r="J2126">
        <f t="shared" si="335"/>
        <v>633</v>
      </c>
      <c r="K2126">
        <f t="shared" si="336"/>
        <v>11</v>
      </c>
      <c r="L2126">
        <f t="shared" si="337"/>
        <v>720813</v>
      </c>
      <c r="M2126">
        <f t="shared" si="338"/>
        <v>233757</v>
      </c>
      <c r="N2126">
        <f t="shared" si="339"/>
        <v>1002570</v>
      </c>
      <c r="O2126">
        <f>IF(B2126="zagraniczny",K2126+O2125,O2125)</f>
        <v>945</v>
      </c>
    </row>
    <row r="2127" spans="1:15" x14ac:dyDescent="0.25">
      <c r="A2127">
        <v>1731500345</v>
      </c>
      <c r="B2127" t="str">
        <f t="shared" si="330"/>
        <v>zagraniczny</v>
      </c>
      <c r="C2127" s="1">
        <v>42947</v>
      </c>
      <c r="D2127" s="2">
        <v>0.56916666666666671</v>
      </c>
      <c r="E2127" s="2">
        <v>0.57851851851851854</v>
      </c>
      <c r="F2127" s="2">
        <f t="shared" si="331"/>
        <v>9.3518518518518334E-3</v>
      </c>
      <c r="G2127">
        <f t="shared" si="332"/>
        <v>0</v>
      </c>
      <c r="H2127">
        <f t="shared" si="333"/>
        <v>13</v>
      </c>
      <c r="I2127">
        <f t="shared" si="334"/>
        <v>28</v>
      </c>
      <c r="J2127">
        <f t="shared" si="335"/>
        <v>808</v>
      </c>
      <c r="K2127">
        <f t="shared" si="336"/>
        <v>14</v>
      </c>
      <c r="L2127">
        <f t="shared" si="337"/>
        <v>720813</v>
      </c>
      <c r="M2127">
        <f t="shared" si="338"/>
        <v>233757</v>
      </c>
      <c r="N2127">
        <f t="shared" si="339"/>
        <v>1002570</v>
      </c>
      <c r="O2127">
        <f>IF(B2127="zagraniczny",K2127+O2126,O2126)</f>
        <v>959</v>
      </c>
    </row>
    <row r="2128" spans="1:15" x14ac:dyDescent="0.25">
      <c r="A2128">
        <v>5926011</v>
      </c>
      <c r="B2128" t="str">
        <f t="shared" si="330"/>
        <v>stacjonarny</v>
      </c>
      <c r="C2128" s="1">
        <v>42947</v>
      </c>
      <c r="D2128" s="2">
        <v>0.57268518518518519</v>
      </c>
      <c r="E2128" s="2">
        <v>0.58170138888888889</v>
      </c>
      <c r="F2128" s="2">
        <f t="shared" si="331"/>
        <v>9.0162037037037068E-3</v>
      </c>
      <c r="G2128">
        <f t="shared" si="332"/>
        <v>0</v>
      </c>
      <c r="H2128">
        <f t="shared" si="333"/>
        <v>12</v>
      </c>
      <c r="I2128">
        <f t="shared" si="334"/>
        <v>59</v>
      </c>
      <c r="J2128">
        <f t="shared" si="335"/>
        <v>779</v>
      </c>
      <c r="K2128">
        <f t="shared" si="336"/>
        <v>13</v>
      </c>
      <c r="L2128">
        <f t="shared" si="337"/>
        <v>721592</v>
      </c>
      <c r="M2128">
        <f t="shared" si="338"/>
        <v>233757</v>
      </c>
      <c r="N2128">
        <f t="shared" si="339"/>
        <v>1003349</v>
      </c>
      <c r="O2128">
        <f>IF(B2128="zagraniczny",K2128+O2127,O2127)</f>
        <v>959</v>
      </c>
    </row>
    <row r="2129" spans="1:15" x14ac:dyDescent="0.25">
      <c r="A2129">
        <v>6408952</v>
      </c>
      <c r="B2129" t="str">
        <f t="shared" si="330"/>
        <v>stacjonarny</v>
      </c>
      <c r="C2129" s="1">
        <v>42947</v>
      </c>
      <c r="D2129" s="2">
        <v>0.57740740740740737</v>
      </c>
      <c r="E2129" s="2">
        <v>0.58895833333333336</v>
      </c>
      <c r="F2129" s="2">
        <f t="shared" si="331"/>
        <v>1.1550925925925992E-2</v>
      </c>
      <c r="G2129">
        <f t="shared" si="332"/>
        <v>0</v>
      </c>
      <c r="H2129">
        <f t="shared" si="333"/>
        <v>16</v>
      </c>
      <c r="I2129">
        <f t="shared" si="334"/>
        <v>38</v>
      </c>
      <c r="J2129">
        <f t="shared" si="335"/>
        <v>998</v>
      </c>
      <c r="K2129">
        <f t="shared" si="336"/>
        <v>17</v>
      </c>
      <c r="L2129">
        <f t="shared" si="337"/>
        <v>722590</v>
      </c>
      <c r="M2129">
        <f t="shared" si="338"/>
        <v>233757</v>
      </c>
      <c r="N2129">
        <f t="shared" si="339"/>
        <v>1004347</v>
      </c>
      <c r="O2129">
        <f>IF(B2129="zagraniczny",K2129+O2128,O2128)</f>
        <v>959</v>
      </c>
    </row>
    <row r="2130" spans="1:15" x14ac:dyDescent="0.25">
      <c r="A2130">
        <v>53370610</v>
      </c>
      <c r="B2130" t="str">
        <f t="shared" si="330"/>
        <v>komorkowy</v>
      </c>
      <c r="C2130" s="1">
        <v>42947</v>
      </c>
      <c r="D2130" s="2">
        <v>0.57822916666666668</v>
      </c>
      <c r="E2130" s="2">
        <v>0.57994212962962965</v>
      </c>
      <c r="F2130" s="2">
        <f t="shared" si="331"/>
        <v>1.7129629629629717E-3</v>
      </c>
      <c r="G2130">
        <f t="shared" si="332"/>
        <v>0</v>
      </c>
      <c r="H2130">
        <f t="shared" si="333"/>
        <v>2</v>
      </c>
      <c r="I2130">
        <f t="shared" si="334"/>
        <v>28</v>
      </c>
      <c r="J2130">
        <f t="shared" si="335"/>
        <v>148</v>
      </c>
      <c r="K2130">
        <f t="shared" si="336"/>
        <v>3</v>
      </c>
      <c r="L2130">
        <f t="shared" si="337"/>
        <v>722590</v>
      </c>
      <c r="M2130">
        <f t="shared" si="338"/>
        <v>233905</v>
      </c>
      <c r="N2130">
        <f t="shared" si="339"/>
        <v>1004495</v>
      </c>
      <c r="O2130">
        <f>IF(B2130="zagraniczny",K2130+O2129,O2129)</f>
        <v>959</v>
      </c>
    </row>
    <row r="2131" spans="1:15" x14ac:dyDescent="0.25">
      <c r="A2131">
        <v>8060169</v>
      </c>
      <c r="B2131" t="str">
        <f t="shared" si="330"/>
        <v>stacjonarny</v>
      </c>
      <c r="C2131" s="1">
        <v>42947</v>
      </c>
      <c r="D2131" s="2">
        <v>0.57874999999999999</v>
      </c>
      <c r="E2131" s="2">
        <v>0.58307870370370374</v>
      </c>
      <c r="F2131" s="2">
        <f t="shared" si="331"/>
        <v>4.3287037037037512E-3</v>
      </c>
      <c r="G2131">
        <f t="shared" si="332"/>
        <v>0</v>
      </c>
      <c r="H2131">
        <f t="shared" si="333"/>
        <v>6</v>
      </c>
      <c r="I2131">
        <f t="shared" si="334"/>
        <v>14</v>
      </c>
      <c r="J2131">
        <f t="shared" si="335"/>
        <v>374</v>
      </c>
      <c r="K2131">
        <f t="shared" si="336"/>
        <v>7</v>
      </c>
      <c r="L2131">
        <f t="shared" si="337"/>
        <v>722964</v>
      </c>
      <c r="M2131">
        <f t="shared" si="338"/>
        <v>233905</v>
      </c>
      <c r="N2131">
        <f t="shared" si="339"/>
        <v>1004869</v>
      </c>
      <c r="O2131">
        <f>IF(B2131="zagraniczny",K2131+O2130,O2130)</f>
        <v>959</v>
      </c>
    </row>
    <row r="2132" spans="1:15" x14ac:dyDescent="0.25">
      <c r="A2132">
        <v>9147613</v>
      </c>
      <c r="B2132" t="str">
        <f t="shared" si="330"/>
        <v>stacjonarny</v>
      </c>
      <c r="C2132" s="1">
        <v>42947</v>
      </c>
      <c r="D2132" s="2">
        <v>0.57952546296296292</v>
      </c>
      <c r="E2132" s="2">
        <v>0.58090277777777777</v>
      </c>
      <c r="F2132" s="2">
        <f t="shared" si="331"/>
        <v>1.3773148148148451E-3</v>
      </c>
      <c r="G2132">
        <f t="shared" si="332"/>
        <v>0</v>
      </c>
      <c r="H2132">
        <f t="shared" si="333"/>
        <v>1</v>
      </c>
      <c r="I2132">
        <f t="shared" si="334"/>
        <v>59</v>
      </c>
      <c r="J2132">
        <f t="shared" si="335"/>
        <v>119</v>
      </c>
      <c r="K2132">
        <f t="shared" si="336"/>
        <v>2</v>
      </c>
      <c r="L2132">
        <f t="shared" si="337"/>
        <v>723083</v>
      </c>
      <c r="M2132">
        <f t="shared" si="338"/>
        <v>233905</v>
      </c>
      <c r="N2132">
        <f t="shared" si="339"/>
        <v>1004988</v>
      </c>
      <c r="O2132">
        <f>IF(B2132="zagraniczny",K2132+O2131,O2131)</f>
        <v>959</v>
      </c>
    </row>
    <row r="2133" spans="1:15" x14ac:dyDescent="0.25">
      <c r="A2133">
        <v>4505950</v>
      </c>
      <c r="B2133" t="str">
        <f t="shared" si="330"/>
        <v>stacjonarny</v>
      </c>
      <c r="C2133" s="1">
        <v>42947</v>
      </c>
      <c r="D2133" s="2">
        <v>0.58163194444444444</v>
      </c>
      <c r="E2133" s="2">
        <v>0.5872222222222222</v>
      </c>
      <c r="F2133" s="2">
        <f t="shared" si="331"/>
        <v>5.5902777777777635E-3</v>
      </c>
      <c r="G2133">
        <f t="shared" si="332"/>
        <v>0</v>
      </c>
      <c r="H2133">
        <f t="shared" si="333"/>
        <v>8</v>
      </c>
      <c r="I2133">
        <f t="shared" si="334"/>
        <v>3</v>
      </c>
      <c r="J2133">
        <f t="shared" si="335"/>
        <v>483</v>
      </c>
      <c r="K2133">
        <f t="shared" si="336"/>
        <v>9</v>
      </c>
      <c r="L2133">
        <f t="shared" si="337"/>
        <v>723566</v>
      </c>
      <c r="M2133">
        <f t="shared" si="338"/>
        <v>233905</v>
      </c>
      <c r="N2133">
        <f t="shared" si="339"/>
        <v>1005471</v>
      </c>
      <c r="O2133">
        <f>IF(B2133="zagraniczny",K2133+O2132,O2132)</f>
        <v>959</v>
      </c>
    </row>
    <row r="2134" spans="1:15" x14ac:dyDescent="0.25">
      <c r="A2134">
        <v>3537655</v>
      </c>
      <c r="B2134" t="str">
        <f t="shared" si="330"/>
        <v>stacjonarny</v>
      </c>
      <c r="C2134" s="1">
        <v>42947</v>
      </c>
      <c r="D2134" s="2">
        <v>0.58287037037037037</v>
      </c>
      <c r="E2134" s="2">
        <v>0.58347222222222217</v>
      </c>
      <c r="F2134" s="2">
        <f t="shared" si="331"/>
        <v>6.018518518517979E-4</v>
      </c>
      <c r="G2134">
        <f t="shared" si="332"/>
        <v>0</v>
      </c>
      <c r="H2134">
        <f t="shared" si="333"/>
        <v>0</v>
      </c>
      <c r="I2134">
        <f t="shared" si="334"/>
        <v>52</v>
      </c>
      <c r="J2134">
        <f t="shared" si="335"/>
        <v>52</v>
      </c>
      <c r="K2134">
        <f t="shared" si="336"/>
        <v>1</v>
      </c>
      <c r="L2134">
        <f t="shared" si="337"/>
        <v>723618</v>
      </c>
      <c r="M2134">
        <f t="shared" si="338"/>
        <v>233905</v>
      </c>
      <c r="N2134">
        <f t="shared" si="339"/>
        <v>1005523</v>
      </c>
      <c r="O2134">
        <f>IF(B2134="zagraniczny",K2134+O2133,O2133)</f>
        <v>959</v>
      </c>
    </row>
    <row r="2135" spans="1:15" x14ac:dyDescent="0.25">
      <c r="A2135">
        <v>1583683</v>
      </c>
      <c r="B2135" t="str">
        <f t="shared" si="330"/>
        <v>stacjonarny</v>
      </c>
      <c r="C2135" s="1">
        <v>42947</v>
      </c>
      <c r="D2135" s="2">
        <v>0.58784722222222219</v>
      </c>
      <c r="E2135" s="2">
        <v>0.58940972222222221</v>
      </c>
      <c r="F2135" s="2">
        <f t="shared" si="331"/>
        <v>1.5625000000000222E-3</v>
      </c>
      <c r="G2135">
        <f t="shared" si="332"/>
        <v>0</v>
      </c>
      <c r="H2135">
        <f t="shared" si="333"/>
        <v>2</v>
      </c>
      <c r="I2135">
        <f t="shared" si="334"/>
        <v>15</v>
      </c>
      <c r="J2135">
        <f t="shared" si="335"/>
        <v>135</v>
      </c>
      <c r="K2135">
        <f t="shared" si="336"/>
        <v>3</v>
      </c>
      <c r="L2135">
        <f t="shared" si="337"/>
        <v>723753</v>
      </c>
      <c r="M2135">
        <f t="shared" si="338"/>
        <v>233905</v>
      </c>
      <c r="N2135">
        <f t="shared" si="339"/>
        <v>1005658</v>
      </c>
      <c r="O2135">
        <f>IF(B2135="zagraniczny",K2135+O2134,O2134)</f>
        <v>959</v>
      </c>
    </row>
    <row r="2136" spans="1:15" x14ac:dyDescent="0.25">
      <c r="A2136">
        <v>96302157</v>
      </c>
      <c r="B2136" t="str">
        <f t="shared" si="330"/>
        <v>komorkowy</v>
      </c>
      <c r="C2136" s="1">
        <v>42947</v>
      </c>
      <c r="D2136" s="2">
        <v>0.59052083333333338</v>
      </c>
      <c r="E2136" s="2">
        <v>0.59702546296296299</v>
      </c>
      <c r="F2136" s="2">
        <f t="shared" si="331"/>
        <v>6.5046296296296102E-3</v>
      </c>
      <c r="G2136">
        <f t="shared" si="332"/>
        <v>0</v>
      </c>
      <c r="H2136">
        <f t="shared" si="333"/>
        <v>9</v>
      </c>
      <c r="I2136">
        <f t="shared" si="334"/>
        <v>22</v>
      </c>
      <c r="J2136">
        <f t="shared" si="335"/>
        <v>562</v>
      </c>
      <c r="K2136">
        <f t="shared" si="336"/>
        <v>10</v>
      </c>
      <c r="L2136">
        <f t="shared" si="337"/>
        <v>723753</v>
      </c>
      <c r="M2136">
        <f t="shared" si="338"/>
        <v>234467</v>
      </c>
      <c r="N2136">
        <f t="shared" si="339"/>
        <v>1006220</v>
      </c>
      <c r="O2136">
        <f>IF(B2136="zagraniczny",K2136+O2135,O2135)</f>
        <v>959</v>
      </c>
    </row>
    <row r="2137" spans="1:15" x14ac:dyDescent="0.25">
      <c r="A2137">
        <v>1809111</v>
      </c>
      <c r="B2137" t="str">
        <f t="shared" si="330"/>
        <v>stacjonarny</v>
      </c>
      <c r="C2137" s="1">
        <v>42947</v>
      </c>
      <c r="D2137" s="2">
        <v>0.59290509259259261</v>
      </c>
      <c r="E2137" s="2">
        <v>0.60322916666666671</v>
      </c>
      <c r="F2137" s="2">
        <f t="shared" si="331"/>
        <v>1.0324074074074097E-2</v>
      </c>
      <c r="G2137">
        <f t="shared" si="332"/>
        <v>0</v>
      </c>
      <c r="H2137">
        <f t="shared" si="333"/>
        <v>14</v>
      </c>
      <c r="I2137">
        <f t="shared" si="334"/>
        <v>52</v>
      </c>
      <c r="J2137">
        <f t="shared" si="335"/>
        <v>892</v>
      </c>
      <c r="K2137">
        <f t="shared" si="336"/>
        <v>15</v>
      </c>
      <c r="L2137">
        <f t="shared" si="337"/>
        <v>724645</v>
      </c>
      <c r="M2137">
        <f t="shared" si="338"/>
        <v>234467</v>
      </c>
      <c r="N2137">
        <f t="shared" si="339"/>
        <v>1007112</v>
      </c>
      <c r="O2137">
        <f>IF(B2137="zagraniczny",K2137+O2136,O2136)</f>
        <v>959</v>
      </c>
    </row>
    <row r="2138" spans="1:15" x14ac:dyDescent="0.25">
      <c r="A2138">
        <v>8493652</v>
      </c>
      <c r="B2138" t="str">
        <f t="shared" si="330"/>
        <v>stacjonarny</v>
      </c>
      <c r="C2138" s="1">
        <v>42947</v>
      </c>
      <c r="D2138" s="2">
        <v>0.59569444444444442</v>
      </c>
      <c r="E2138" s="2">
        <v>0.60372685185185182</v>
      </c>
      <c r="F2138" s="2">
        <f t="shared" si="331"/>
        <v>8.0324074074074048E-3</v>
      </c>
      <c r="G2138">
        <f t="shared" si="332"/>
        <v>0</v>
      </c>
      <c r="H2138">
        <f t="shared" si="333"/>
        <v>11</v>
      </c>
      <c r="I2138">
        <f t="shared" si="334"/>
        <v>34</v>
      </c>
      <c r="J2138">
        <f t="shared" si="335"/>
        <v>694</v>
      </c>
      <c r="K2138">
        <f t="shared" si="336"/>
        <v>12</v>
      </c>
      <c r="L2138">
        <f t="shared" si="337"/>
        <v>725339</v>
      </c>
      <c r="M2138">
        <f t="shared" si="338"/>
        <v>234467</v>
      </c>
      <c r="N2138">
        <f t="shared" si="339"/>
        <v>1007806</v>
      </c>
      <c r="O2138">
        <f>IF(B2138="zagraniczny",K2138+O2137,O2137)</f>
        <v>959</v>
      </c>
    </row>
    <row r="2139" spans="1:15" x14ac:dyDescent="0.25">
      <c r="A2139">
        <v>1026326</v>
      </c>
      <c r="B2139" t="str">
        <f t="shared" si="330"/>
        <v>stacjonarny</v>
      </c>
      <c r="C2139" s="1">
        <v>42947</v>
      </c>
      <c r="D2139" s="2">
        <v>0.59736111111111112</v>
      </c>
      <c r="E2139" s="2">
        <v>0.60046296296296298</v>
      </c>
      <c r="F2139" s="2">
        <f t="shared" si="331"/>
        <v>3.1018518518518556E-3</v>
      </c>
      <c r="G2139">
        <f t="shared" si="332"/>
        <v>0</v>
      </c>
      <c r="H2139">
        <f t="shared" si="333"/>
        <v>4</v>
      </c>
      <c r="I2139">
        <f t="shared" si="334"/>
        <v>28</v>
      </c>
      <c r="J2139">
        <f t="shared" si="335"/>
        <v>268</v>
      </c>
      <c r="K2139">
        <f t="shared" si="336"/>
        <v>5</v>
      </c>
      <c r="L2139">
        <f t="shared" si="337"/>
        <v>725607</v>
      </c>
      <c r="M2139">
        <f t="shared" si="338"/>
        <v>234467</v>
      </c>
      <c r="N2139">
        <f t="shared" si="339"/>
        <v>1008074</v>
      </c>
      <c r="O2139">
        <f>IF(B2139="zagraniczny",K2139+O2138,O2138)</f>
        <v>959</v>
      </c>
    </row>
    <row r="2140" spans="1:15" x14ac:dyDescent="0.25">
      <c r="A2140">
        <v>1475165</v>
      </c>
      <c r="B2140" t="str">
        <f t="shared" si="330"/>
        <v>stacjonarny</v>
      </c>
      <c r="C2140" s="1">
        <v>42947</v>
      </c>
      <c r="D2140" s="2">
        <v>0.60197916666666662</v>
      </c>
      <c r="E2140" s="2">
        <v>0.60856481481481484</v>
      </c>
      <c r="F2140" s="2">
        <f t="shared" si="331"/>
        <v>6.5856481481482154E-3</v>
      </c>
      <c r="G2140">
        <f t="shared" si="332"/>
        <v>0</v>
      </c>
      <c r="H2140">
        <f t="shared" si="333"/>
        <v>9</v>
      </c>
      <c r="I2140">
        <f t="shared" si="334"/>
        <v>29</v>
      </c>
      <c r="J2140">
        <f t="shared" si="335"/>
        <v>569</v>
      </c>
      <c r="K2140">
        <f t="shared" si="336"/>
        <v>10</v>
      </c>
      <c r="L2140">
        <f t="shared" si="337"/>
        <v>726176</v>
      </c>
      <c r="M2140">
        <f t="shared" si="338"/>
        <v>234467</v>
      </c>
      <c r="N2140">
        <f t="shared" si="339"/>
        <v>1008643</v>
      </c>
      <c r="O2140">
        <f>IF(B2140="zagraniczny",K2140+O2139,O2139)</f>
        <v>959</v>
      </c>
    </row>
    <row r="2141" spans="1:15" x14ac:dyDescent="0.25">
      <c r="A2141">
        <v>6264844</v>
      </c>
      <c r="B2141" t="str">
        <f t="shared" si="330"/>
        <v>stacjonarny</v>
      </c>
      <c r="C2141" s="1">
        <v>42947</v>
      </c>
      <c r="D2141" s="2">
        <v>0.60348379629629634</v>
      </c>
      <c r="E2141" s="2">
        <v>0.61365740740740737</v>
      </c>
      <c r="F2141" s="2">
        <f t="shared" si="331"/>
        <v>1.0173611111111036E-2</v>
      </c>
      <c r="G2141">
        <f t="shared" si="332"/>
        <v>0</v>
      </c>
      <c r="H2141">
        <f t="shared" si="333"/>
        <v>14</v>
      </c>
      <c r="I2141">
        <f t="shared" si="334"/>
        <v>39</v>
      </c>
      <c r="J2141">
        <f t="shared" si="335"/>
        <v>879</v>
      </c>
      <c r="K2141">
        <f t="shared" si="336"/>
        <v>15</v>
      </c>
      <c r="L2141">
        <f t="shared" si="337"/>
        <v>727055</v>
      </c>
      <c r="M2141">
        <f t="shared" si="338"/>
        <v>234467</v>
      </c>
      <c r="N2141">
        <f t="shared" si="339"/>
        <v>1009522</v>
      </c>
      <c r="O2141">
        <f>IF(B2141="zagraniczny",K2141+O2140,O2140)</f>
        <v>959</v>
      </c>
    </row>
    <row r="2142" spans="1:15" x14ac:dyDescent="0.25">
      <c r="A2142">
        <v>9861652</v>
      </c>
      <c r="B2142" t="str">
        <f t="shared" si="330"/>
        <v>stacjonarny</v>
      </c>
      <c r="C2142" s="1">
        <v>42947</v>
      </c>
      <c r="D2142" s="2">
        <v>0.60519675925925931</v>
      </c>
      <c r="E2142" s="2">
        <v>0.61221064814814818</v>
      </c>
      <c r="F2142" s="2">
        <f t="shared" si="331"/>
        <v>7.0138888888888751E-3</v>
      </c>
      <c r="G2142">
        <f t="shared" si="332"/>
        <v>0</v>
      </c>
      <c r="H2142">
        <f t="shared" si="333"/>
        <v>10</v>
      </c>
      <c r="I2142">
        <f t="shared" si="334"/>
        <v>6</v>
      </c>
      <c r="J2142">
        <f t="shared" si="335"/>
        <v>606</v>
      </c>
      <c r="K2142">
        <f t="shared" si="336"/>
        <v>11</v>
      </c>
      <c r="L2142">
        <f t="shared" si="337"/>
        <v>727661</v>
      </c>
      <c r="M2142">
        <f t="shared" si="338"/>
        <v>234467</v>
      </c>
      <c r="N2142">
        <f t="shared" si="339"/>
        <v>1010128</v>
      </c>
      <c r="O2142">
        <f>IF(B2142="zagraniczny",K2142+O2141,O2141)</f>
        <v>959</v>
      </c>
    </row>
    <row r="2143" spans="1:15" x14ac:dyDescent="0.25">
      <c r="A2143">
        <v>5446203</v>
      </c>
      <c r="B2143" t="str">
        <f t="shared" si="330"/>
        <v>stacjonarny</v>
      </c>
      <c r="C2143" s="1">
        <v>42947</v>
      </c>
      <c r="D2143" s="2">
        <v>0.60825231481481479</v>
      </c>
      <c r="E2143" s="2">
        <v>0.61048611111111106</v>
      </c>
      <c r="F2143" s="2">
        <f t="shared" si="331"/>
        <v>2.2337962962962754E-3</v>
      </c>
      <c r="G2143">
        <f t="shared" si="332"/>
        <v>0</v>
      </c>
      <c r="H2143">
        <f t="shared" si="333"/>
        <v>3</v>
      </c>
      <c r="I2143">
        <f t="shared" si="334"/>
        <v>13</v>
      </c>
      <c r="J2143">
        <f t="shared" si="335"/>
        <v>193</v>
      </c>
      <c r="K2143">
        <f t="shared" si="336"/>
        <v>4</v>
      </c>
      <c r="L2143">
        <f t="shared" si="337"/>
        <v>727854</v>
      </c>
      <c r="M2143">
        <f t="shared" si="338"/>
        <v>234467</v>
      </c>
      <c r="N2143">
        <f t="shared" si="339"/>
        <v>1010321</v>
      </c>
      <c r="O2143">
        <f>IF(B2143="zagraniczny",K2143+O2142,O2142)</f>
        <v>959</v>
      </c>
    </row>
    <row r="2144" spans="1:15" x14ac:dyDescent="0.25">
      <c r="A2144">
        <v>7762020</v>
      </c>
      <c r="B2144" t="str">
        <f t="shared" si="330"/>
        <v>stacjonarny</v>
      </c>
      <c r="C2144" s="1">
        <v>42947</v>
      </c>
      <c r="D2144" s="2">
        <v>0.61159722222222224</v>
      </c>
      <c r="E2144" s="2">
        <v>0.61434027777777778</v>
      </c>
      <c r="F2144" s="2">
        <f t="shared" si="331"/>
        <v>2.7430555555555403E-3</v>
      </c>
      <c r="G2144">
        <f t="shared" si="332"/>
        <v>0</v>
      </c>
      <c r="H2144">
        <f t="shared" si="333"/>
        <v>3</v>
      </c>
      <c r="I2144">
        <f t="shared" si="334"/>
        <v>57</v>
      </c>
      <c r="J2144">
        <f t="shared" si="335"/>
        <v>237</v>
      </c>
      <c r="K2144">
        <f t="shared" si="336"/>
        <v>4</v>
      </c>
      <c r="L2144">
        <f t="shared" si="337"/>
        <v>728091</v>
      </c>
      <c r="M2144">
        <f t="shared" si="338"/>
        <v>234467</v>
      </c>
      <c r="N2144">
        <f t="shared" si="339"/>
        <v>1010558</v>
      </c>
      <c r="O2144">
        <f>IF(B2144="zagraniczny",K2144+O2143,O2143)</f>
        <v>959</v>
      </c>
    </row>
    <row r="2145" spans="1:15" x14ac:dyDescent="0.25">
      <c r="A2145">
        <v>4045129075</v>
      </c>
      <c r="B2145" t="str">
        <f t="shared" si="330"/>
        <v>zagraniczny</v>
      </c>
      <c r="C2145" s="1">
        <v>42947</v>
      </c>
      <c r="D2145" s="2">
        <v>0.61328703703703702</v>
      </c>
      <c r="E2145" s="2">
        <v>0.61828703703703702</v>
      </c>
      <c r="F2145" s="2">
        <f t="shared" si="331"/>
        <v>5.0000000000000044E-3</v>
      </c>
      <c r="G2145">
        <f t="shared" si="332"/>
        <v>0</v>
      </c>
      <c r="H2145">
        <f t="shared" si="333"/>
        <v>7</v>
      </c>
      <c r="I2145">
        <f t="shared" si="334"/>
        <v>12</v>
      </c>
      <c r="J2145">
        <f t="shared" si="335"/>
        <v>432</v>
      </c>
      <c r="K2145">
        <f t="shared" si="336"/>
        <v>8</v>
      </c>
      <c r="L2145">
        <f t="shared" si="337"/>
        <v>728091</v>
      </c>
      <c r="M2145">
        <f t="shared" si="338"/>
        <v>234467</v>
      </c>
      <c r="N2145">
        <f t="shared" si="339"/>
        <v>1010558</v>
      </c>
      <c r="O2145">
        <f>IF(B2145="zagraniczny",K2145+O2144,O2144)</f>
        <v>967</v>
      </c>
    </row>
    <row r="2146" spans="1:15" x14ac:dyDescent="0.25">
      <c r="A2146">
        <v>96736796</v>
      </c>
      <c r="B2146" t="str">
        <f t="shared" si="330"/>
        <v>komorkowy</v>
      </c>
      <c r="C2146" s="1">
        <v>42947</v>
      </c>
      <c r="D2146" s="2">
        <v>0.61524305555555558</v>
      </c>
      <c r="E2146" s="2">
        <v>0.62432870370370375</v>
      </c>
      <c r="F2146" s="2">
        <f t="shared" si="331"/>
        <v>9.0856481481481621E-3</v>
      </c>
      <c r="G2146">
        <f t="shared" si="332"/>
        <v>0</v>
      </c>
      <c r="H2146">
        <f t="shared" si="333"/>
        <v>13</v>
      </c>
      <c r="I2146">
        <f t="shared" si="334"/>
        <v>5</v>
      </c>
      <c r="J2146">
        <f t="shared" si="335"/>
        <v>785</v>
      </c>
      <c r="K2146">
        <f t="shared" si="336"/>
        <v>14</v>
      </c>
      <c r="L2146">
        <f t="shared" si="337"/>
        <v>728091</v>
      </c>
      <c r="M2146">
        <f t="shared" si="338"/>
        <v>235252</v>
      </c>
      <c r="N2146">
        <f t="shared" si="339"/>
        <v>1011343</v>
      </c>
      <c r="O2146">
        <f>IF(B2146="zagraniczny",K2146+O2145,O2145)</f>
        <v>967</v>
      </c>
    </row>
    <row r="2147" spans="1:15" x14ac:dyDescent="0.25">
      <c r="A2147">
        <v>1035023</v>
      </c>
      <c r="B2147" t="str">
        <f t="shared" si="330"/>
        <v>stacjonarny</v>
      </c>
      <c r="C2147" s="1">
        <v>42947</v>
      </c>
      <c r="D2147" s="2">
        <v>0.61821759259259257</v>
      </c>
      <c r="E2147" s="2">
        <v>0.62706018518518514</v>
      </c>
      <c r="F2147" s="2">
        <f t="shared" si="331"/>
        <v>8.8425925925925686E-3</v>
      </c>
      <c r="G2147">
        <f t="shared" si="332"/>
        <v>0</v>
      </c>
      <c r="H2147">
        <f t="shared" si="333"/>
        <v>12</v>
      </c>
      <c r="I2147">
        <f t="shared" si="334"/>
        <v>44</v>
      </c>
      <c r="J2147">
        <f t="shared" si="335"/>
        <v>764</v>
      </c>
      <c r="K2147">
        <f t="shared" si="336"/>
        <v>13</v>
      </c>
      <c r="L2147">
        <f t="shared" si="337"/>
        <v>728855</v>
      </c>
      <c r="M2147">
        <f t="shared" si="338"/>
        <v>235252</v>
      </c>
      <c r="N2147">
        <f t="shared" si="339"/>
        <v>1012107</v>
      </c>
      <c r="O2147">
        <f>IF(B2147="zagraniczny",K2147+O2146,O2146)</f>
        <v>967</v>
      </c>
    </row>
    <row r="2148" spans="1:15" x14ac:dyDescent="0.25">
      <c r="A2148">
        <v>9941776</v>
      </c>
      <c r="B2148" t="str">
        <f t="shared" si="330"/>
        <v>stacjonarny</v>
      </c>
      <c r="C2148" s="1">
        <v>42947</v>
      </c>
      <c r="D2148" s="2">
        <v>0.62299768518518517</v>
      </c>
      <c r="E2148" s="2">
        <v>0.62311342592592589</v>
      </c>
      <c r="F2148" s="2">
        <f t="shared" si="331"/>
        <v>1.1574074074072183E-4</v>
      </c>
      <c r="G2148">
        <f t="shared" si="332"/>
        <v>0</v>
      </c>
      <c r="H2148">
        <f t="shared" si="333"/>
        <v>0</v>
      </c>
      <c r="I2148">
        <f t="shared" si="334"/>
        <v>10</v>
      </c>
      <c r="J2148">
        <f t="shared" si="335"/>
        <v>10</v>
      </c>
      <c r="K2148">
        <f t="shared" si="336"/>
        <v>1</v>
      </c>
      <c r="L2148">
        <f t="shared" si="337"/>
        <v>728865</v>
      </c>
      <c r="M2148">
        <f t="shared" si="338"/>
        <v>235252</v>
      </c>
      <c r="N2148">
        <f t="shared" si="339"/>
        <v>1012117</v>
      </c>
      <c r="O2148">
        <f>IF(B2148="zagraniczny",K2148+O2147,O2147)</f>
        <v>967</v>
      </c>
    </row>
    <row r="2149" spans="1:15" x14ac:dyDescent="0.25">
      <c r="A2149">
        <v>6401011</v>
      </c>
      <c r="B2149" t="str">
        <f t="shared" si="330"/>
        <v>stacjonarny</v>
      </c>
      <c r="C2149" s="1">
        <v>42947</v>
      </c>
      <c r="D2149" s="2">
        <v>0.62693287037037038</v>
      </c>
      <c r="E2149" s="2">
        <v>0.62837962962962968</v>
      </c>
      <c r="F2149" s="2">
        <f t="shared" si="331"/>
        <v>1.4467592592593004E-3</v>
      </c>
      <c r="G2149">
        <f t="shared" si="332"/>
        <v>0</v>
      </c>
      <c r="H2149">
        <f t="shared" si="333"/>
        <v>2</v>
      </c>
      <c r="I2149">
        <f t="shared" si="334"/>
        <v>5</v>
      </c>
      <c r="J2149">
        <f t="shared" si="335"/>
        <v>125</v>
      </c>
      <c r="K2149">
        <f t="shared" si="336"/>
        <v>3</v>
      </c>
      <c r="L2149">
        <f t="shared" si="337"/>
        <v>728990</v>
      </c>
      <c r="M2149">
        <f t="shared" si="338"/>
        <v>235252</v>
      </c>
      <c r="N2149">
        <f t="shared" si="339"/>
        <v>1012242</v>
      </c>
      <c r="O2149">
        <f>IF(B2149="zagraniczny",K2149+O2148,O2148)</f>
        <v>967</v>
      </c>
    </row>
    <row r="2150" spans="1:15" x14ac:dyDescent="0.25">
      <c r="K2150" t="s">
        <v>33</v>
      </c>
      <c r="L2150">
        <f>L2149/60</f>
        <v>12149.833333333334</v>
      </c>
      <c r="M2150">
        <f>M2149/60</f>
        <v>3920.8666666666668</v>
      </c>
    </row>
    <row r="2151" spans="1:15" x14ac:dyDescent="0.25">
      <c r="K2151" t="s">
        <v>34</v>
      </c>
      <c r="L2151">
        <f>L2150/100</f>
        <v>121.49833333333333</v>
      </c>
      <c r="M2151">
        <f>M2150/100</f>
        <v>39.208666666666666</v>
      </c>
    </row>
    <row r="2152" spans="1:15" x14ac:dyDescent="0.25">
      <c r="K2152" t="s">
        <v>26</v>
      </c>
      <c r="L2152">
        <v>122</v>
      </c>
      <c r="M215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5</vt:i4>
      </vt:variant>
    </vt:vector>
  </HeadingPairs>
  <TitlesOfParts>
    <vt:vector size="11" baseType="lpstr">
      <vt:lpstr>Dane</vt:lpstr>
      <vt:lpstr>1</vt:lpstr>
      <vt:lpstr>2</vt:lpstr>
      <vt:lpstr>3</vt:lpstr>
      <vt:lpstr>3b</vt:lpstr>
      <vt:lpstr>4</vt:lpstr>
      <vt:lpstr>'1'!telefony</vt:lpstr>
      <vt:lpstr>'2'!telefony</vt:lpstr>
      <vt:lpstr>'3'!telefony</vt:lpstr>
      <vt:lpstr>'4'!telefony</vt:lpstr>
      <vt:lpstr>Dane!telefony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2024-04-25T12:51:46Z</dcterms:modified>
</cp:coreProperties>
</file>