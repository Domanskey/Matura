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omad\Desktop\Informatyka_2017_czerwiec\"/>
    </mc:Choice>
  </mc:AlternateContent>
  <xr:revisionPtr revIDLastSave="0" documentId="13_ncr:1_{A0382A1E-3971-4222-889C-1DA8EF71C54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ne" sheetId="1" r:id="rId1"/>
    <sheet name="1" sheetId="2" r:id="rId2"/>
    <sheet name="2" sheetId="3" r:id="rId3"/>
    <sheet name="3" sheetId="4" r:id="rId4"/>
    <sheet name="4" sheetId="5" r:id="rId5"/>
  </sheets>
  <definedNames>
    <definedName name="transport" localSheetId="1">'1'!$A$1:$F$135</definedName>
    <definedName name="transport" localSheetId="2">'2'!$A$1:$D$135</definedName>
    <definedName name="transport" localSheetId="3">'3'!$A$1:$E$135</definedName>
    <definedName name="transport" localSheetId="4">'4'!$A$1:$C$135</definedName>
    <definedName name="transport" localSheetId="0">Dane!$A$1:$F$135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K6" i="2" s="1"/>
  <c r="J7" i="2"/>
  <c r="J8" i="2"/>
  <c r="J9" i="2"/>
  <c r="J10" i="2"/>
  <c r="J11" i="2"/>
  <c r="J12" i="2"/>
  <c r="J13" i="2"/>
  <c r="J14" i="2"/>
  <c r="K14" i="2" s="1"/>
  <c r="J15" i="2"/>
  <c r="J16" i="2"/>
  <c r="J17" i="2"/>
  <c r="J18" i="2"/>
  <c r="K18" i="2" s="1"/>
  <c r="J19" i="2"/>
  <c r="J20" i="2"/>
  <c r="J21" i="2"/>
  <c r="J22" i="2"/>
  <c r="J23" i="2"/>
  <c r="J24" i="2"/>
  <c r="K24" i="2" s="1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K40" i="2" s="1"/>
  <c r="J41" i="2"/>
  <c r="J42" i="2"/>
  <c r="K42" i="2" s="1"/>
  <c r="J43" i="2"/>
  <c r="J44" i="2"/>
  <c r="J45" i="2"/>
  <c r="J46" i="2"/>
  <c r="J47" i="2"/>
  <c r="J48" i="2"/>
  <c r="J49" i="2"/>
  <c r="J50" i="2"/>
  <c r="J51" i="2"/>
  <c r="J52" i="2"/>
  <c r="J53" i="2"/>
  <c r="K53" i="2" s="1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K66" i="2" s="1"/>
  <c r="J67" i="2"/>
  <c r="J68" i="2"/>
  <c r="J69" i="2"/>
  <c r="J70" i="2"/>
  <c r="J71" i="2"/>
  <c r="J72" i="2"/>
  <c r="K72" i="2" s="1"/>
  <c r="J73" i="2"/>
  <c r="J74" i="2"/>
  <c r="K74" i="2" s="1"/>
  <c r="J75" i="2"/>
  <c r="J76" i="2"/>
  <c r="J77" i="2"/>
  <c r="J78" i="2"/>
  <c r="K78" i="2" s="1"/>
  <c r="J79" i="2"/>
  <c r="J80" i="2"/>
  <c r="J81" i="2"/>
  <c r="J82" i="2"/>
  <c r="J83" i="2"/>
  <c r="J84" i="2"/>
  <c r="J85" i="2"/>
  <c r="J86" i="2"/>
  <c r="K86" i="2" s="1"/>
  <c r="J87" i="2"/>
  <c r="J88" i="2"/>
  <c r="J89" i="2"/>
  <c r="J90" i="2"/>
  <c r="K90" i="2" s="1"/>
  <c r="J91" i="2"/>
  <c r="J92" i="2"/>
  <c r="J93" i="2"/>
  <c r="J94" i="2"/>
  <c r="J95" i="2"/>
  <c r="J96" i="2"/>
  <c r="J97" i="2"/>
  <c r="J98" i="2"/>
  <c r="K98" i="2" s="1"/>
  <c r="J99" i="2"/>
  <c r="J100" i="2"/>
  <c r="J101" i="2"/>
  <c r="J102" i="2"/>
  <c r="J103" i="2"/>
  <c r="J104" i="2"/>
  <c r="J105" i="2"/>
  <c r="J106" i="2"/>
  <c r="J107" i="2"/>
  <c r="J108" i="2"/>
  <c r="J109" i="2"/>
  <c r="J110" i="2"/>
  <c r="K110" i="2" s="1"/>
  <c r="J111" i="2"/>
  <c r="J112" i="2"/>
  <c r="J113" i="2"/>
  <c r="J114" i="2"/>
  <c r="K114" i="2" s="1"/>
  <c r="J115" i="2"/>
  <c r="J116" i="2"/>
  <c r="J117" i="2"/>
  <c r="J118" i="2"/>
  <c r="J119" i="2"/>
  <c r="J120" i="2"/>
  <c r="J121" i="2"/>
  <c r="J122" i="2"/>
  <c r="J123" i="2"/>
  <c r="J124" i="2"/>
  <c r="J125" i="2"/>
  <c r="J126" i="2"/>
  <c r="K126" i="2" s="1"/>
  <c r="J127" i="2"/>
  <c r="J128" i="2"/>
  <c r="J129" i="2"/>
  <c r="J130" i="2"/>
  <c r="J131" i="2"/>
  <c r="J132" i="2"/>
  <c r="K132" i="2" s="1"/>
  <c r="J133" i="2"/>
  <c r="J134" i="2"/>
  <c r="J135" i="2"/>
  <c r="J2" i="2"/>
  <c r="I3" i="2"/>
  <c r="I4" i="2"/>
  <c r="I5" i="2"/>
  <c r="I6" i="2"/>
  <c r="I7" i="2"/>
  <c r="I8" i="2"/>
  <c r="I9" i="2"/>
  <c r="I10" i="2"/>
  <c r="K10" i="2" s="1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K27" i="2" s="1"/>
  <c r="I28" i="2"/>
  <c r="K28" i="2" s="1"/>
  <c r="I29" i="2"/>
  <c r="I30" i="2"/>
  <c r="I31" i="2"/>
  <c r="I32" i="2"/>
  <c r="I33" i="2"/>
  <c r="I34" i="2"/>
  <c r="K34" i="2" s="1"/>
  <c r="I35" i="2"/>
  <c r="I36" i="2"/>
  <c r="I37" i="2"/>
  <c r="I38" i="2"/>
  <c r="K38" i="2" s="1"/>
  <c r="I39" i="2"/>
  <c r="I40" i="2"/>
  <c r="I41" i="2"/>
  <c r="I42" i="2"/>
  <c r="I43" i="2"/>
  <c r="I44" i="2"/>
  <c r="I45" i="2"/>
  <c r="I46" i="2"/>
  <c r="K46" i="2" s="1"/>
  <c r="I47" i="2"/>
  <c r="I48" i="2"/>
  <c r="I49" i="2"/>
  <c r="I50" i="2"/>
  <c r="I51" i="2"/>
  <c r="I52" i="2"/>
  <c r="K52" i="2" s="1"/>
  <c r="I53" i="2"/>
  <c r="I54" i="2"/>
  <c r="I55" i="2"/>
  <c r="K55" i="2" s="1"/>
  <c r="I56" i="2"/>
  <c r="I57" i="2"/>
  <c r="I58" i="2"/>
  <c r="K58" i="2" s="1"/>
  <c r="I59" i="2"/>
  <c r="I60" i="2"/>
  <c r="I61" i="2"/>
  <c r="I62" i="2"/>
  <c r="I63" i="2"/>
  <c r="I64" i="2"/>
  <c r="K64" i="2" s="1"/>
  <c r="I65" i="2"/>
  <c r="I66" i="2"/>
  <c r="I67" i="2"/>
  <c r="I68" i="2"/>
  <c r="I69" i="2"/>
  <c r="I70" i="2"/>
  <c r="K70" i="2" s="1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K88" i="2" s="1"/>
  <c r="I89" i="2"/>
  <c r="I90" i="2"/>
  <c r="I91" i="2"/>
  <c r="I92" i="2"/>
  <c r="I93" i="2"/>
  <c r="I94" i="2"/>
  <c r="I95" i="2"/>
  <c r="I96" i="2"/>
  <c r="I97" i="2"/>
  <c r="I98" i="2"/>
  <c r="I99" i="2"/>
  <c r="I100" i="2"/>
  <c r="K100" i="2" s="1"/>
  <c r="I101" i="2"/>
  <c r="I102" i="2"/>
  <c r="I103" i="2"/>
  <c r="I104" i="2"/>
  <c r="I105" i="2"/>
  <c r="I106" i="2"/>
  <c r="I107" i="2"/>
  <c r="I108" i="2"/>
  <c r="I109" i="2"/>
  <c r="I110" i="2"/>
  <c r="I111" i="2"/>
  <c r="I112" i="2"/>
  <c r="K112" i="2" s="1"/>
  <c r="I113" i="2"/>
  <c r="I114" i="2"/>
  <c r="I115" i="2"/>
  <c r="I116" i="2"/>
  <c r="I117" i="2"/>
  <c r="I118" i="2"/>
  <c r="K118" i="2" s="1"/>
  <c r="I119" i="2"/>
  <c r="I120" i="2"/>
  <c r="I121" i="2"/>
  <c r="I122" i="2"/>
  <c r="I123" i="2"/>
  <c r="I124" i="2"/>
  <c r="K124" i="2" s="1"/>
  <c r="I125" i="2"/>
  <c r="I126" i="2"/>
  <c r="I127" i="2"/>
  <c r="I128" i="2"/>
  <c r="I129" i="2"/>
  <c r="I130" i="2"/>
  <c r="K130" i="2" s="1"/>
  <c r="I131" i="2"/>
  <c r="I132" i="2"/>
  <c r="I133" i="2"/>
  <c r="I134" i="2"/>
  <c r="I13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2" i="2"/>
  <c r="I2" i="2" s="1"/>
  <c r="K2" i="2" s="1"/>
  <c r="E6" i="5"/>
  <c r="E3" i="5"/>
  <c r="E4" i="5"/>
  <c r="E8" i="5"/>
  <c r="E114" i="5"/>
  <c r="E115" i="5"/>
  <c r="E40" i="5"/>
  <c r="E54" i="5"/>
  <c r="E83" i="5"/>
  <c r="E18" i="5"/>
  <c r="E41" i="5"/>
  <c r="E25" i="5"/>
  <c r="E42" i="5"/>
  <c r="E36" i="5"/>
  <c r="E87" i="5"/>
  <c r="E37" i="5"/>
  <c r="E55" i="5"/>
  <c r="E77" i="5"/>
  <c r="E2" i="5"/>
  <c r="E79" i="5"/>
  <c r="E80" i="5"/>
  <c r="E84" i="5"/>
  <c r="E38" i="5"/>
  <c r="E19" i="5"/>
  <c r="E27" i="5"/>
  <c r="E16" i="5"/>
  <c r="E88" i="5"/>
  <c r="E89" i="5"/>
  <c r="E75" i="5"/>
  <c r="E118" i="5"/>
  <c r="E69" i="5"/>
  <c r="E57" i="5"/>
  <c r="E106" i="5"/>
  <c r="E59" i="5"/>
  <c r="E65" i="5"/>
  <c r="E63" i="5"/>
  <c r="E67" i="5"/>
  <c r="E12" i="5"/>
  <c r="E90" i="5"/>
  <c r="E43" i="5"/>
  <c r="E7" i="5"/>
  <c r="E26" i="5"/>
  <c r="E28" i="5"/>
  <c r="E85" i="5"/>
  <c r="E29" i="5"/>
  <c r="E86" i="5"/>
  <c r="E52" i="5"/>
  <c r="E17" i="5"/>
  <c r="E14" i="5"/>
  <c r="E5" i="5"/>
  <c r="E45" i="5"/>
  <c r="E46" i="5"/>
  <c r="E47" i="5"/>
  <c r="E93" i="5"/>
  <c r="E66" i="5"/>
  <c r="E61" i="5"/>
  <c r="E68" i="5"/>
  <c r="E48" i="5"/>
  <c r="E49" i="5"/>
  <c r="E44" i="5"/>
  <c r="E30" i="5"/>
  <c r="E110" i="5"/>
  <c r="E111" i="5"/>
  <c r="E112" i="5"/>
  <c r="E113" i="5"/>
  <c r="E50" i="5"/>
  <c r="E51" i="5"/>
  <c r="E60" i="5"/>
  <c r="E100" i="5"/>
  <c r="E101" i="5"/>
  <c r="E102" i="5"/>
  <c r="E103" i="5"/>
  <c r="E104" i="5"/>
  <c r="E105" i="5"/>
  <c r="E13" i="5"/>
  <c r="E23" i="5"/>
  <c r="E56" i="5"/>
  <c r="E78" i="5"/>
  <c r="E39" i="5"/>
  <c r="E20" i="5"/>
  <c r="E76" i="5"/>
  <c r="E108" i="5"/>
  <c r="E10" i="5"/>
  <c r="E11" i="5"/>
  <c r="E70" i="5"/>
  <c r="E95" i="5"/>
  <c r="E96" i="5"/>
  <c r="E97" i="5"/>
  <c r="E98" i="5"/>
  <c r="E99" i="5"/>
  <c r="E91" i="5"/>
  <c r="E107" i="5"/>
  <c r="E92" i="5"/>
  <c r="E116" i="5"/>
  <c r="E94" i="5"/>
  <c r="E31" i="5"/>
  <c r="E32" i="5"/>
  <c r="E33" i="5"/>
  <c r="E34" i="5"/>
  <c r="E35" i="5"/>
  <c r="E64" i="5"/>
  <c r="E24" i="5"/>
  <c r="E81" i="5"/>
  <c r="E82" i="5"/>
  <c r="E53" i="5"/>
  <c r="E15" i="5"/>
  <c r="E119" i="5"/>
  <c r="E123" i="5"/>
  <c r="E124" i="5"/>
  <c r="E125" i="5"/>
  <c r="E126" i="5"/>
  <c r="E127" i="5"/>
  <c r="E128" i="5"/>
  <c r="E129" i="5"/>
  <c r="E130" i="5"/>
  <c r="E71" i="5"/>
  <c r="E117" i="5"/>
  <c r="E73" i="5"/>
  <c r="E74" i="5"/>
  <c r="E109" i="5"/>
  <c r="E58" i="5"/>
  <c r="E21" i="5"/>
  <c r="E120" i="5"/>
  <c r="E121" i="5"/>
  <c r="E122" i="5"/>
  <c r="E72" i="5"/>
  <c r="E22" i="5"/>
  <c r="E62" i="5"/>
  <c r="E131" i="5"/>
  <c r="E132" i="5"/>
  <c r="E133" i="5"/>
  <c r="E134" i="5"/>
  <c r="E135" i="5"/>
  <c r="E9" i="5"/>
  <c r="I18" i="3"/>
  <c r="I19" i="3"/>
  <c r="I20" i="3"/>
  <c r="I21" i="3"/>
  <c r="I22" i="3"/>
  <c r="I23" i="3"/>
  <c r="I17" i="3"/>
  <c r="K13" i="2"/>
  <c r="K20" i="2"/>
  <c r="K21" i="2"/>
  <c r="K23" i="2"/>
  <c r="K30" i="2"/>
  <c r="K31" i="2"/>
  <c r="K32" i="2"/>
  <c r="K36" i="2"/>
  <c r="K37" i="2"/>
  <c r="K44" i="2"/>
  <c r="K45" i="2"/>
  <c r="K47" i="2"/>
  <c r="K48" i="2"/>
  <c r="K54" i="2"/>
  <c r="K56" i="2"/>
  <c r="K60" i="2"/>
  <c r="K61" i="2"/>
  <c r="K62" i="2"/>
  <c r="K68" i="2"/>
  <c r="K71" i="2"/>
  <c r="K76" i="2"/>
  <c r="K79" i="2"/>
  <c r="K80" i="2"/>
  <c r="K82" i="2"/>
  <c r="K84" i="2"/>
  <c r="K85" i="2"/>
  <c r="K92" i="2"/>
  <c r="K94" i="2"/>
  <c r="K95" i="2"/>
  <c r="K96" i="2"/>
  <c r="K102" i="2"/>
  <c r="K104" i="2"/>
  <c r="K106" i="2"/>
  <c r="K108" i="2"/>
  <c r="K109" i="2"/>
  <c r="K116" i="2"/>
  <c r="K117" i="2"/>
  <c r="K119" i="2"/>
  <c r="K120" i="2"/>
  <c r="K128" i="2"/>
  <c r="K133" i="2"/>
  <c r="K3" i="2"/>
  <c r="K4" i="2"/>
  <c r="K8" i="2"/>
  <c r="K11" i="2"/>
  <c r="K5" i="2" l="1"/>
  <c r="K134" i="2"/>
  <c r="K122" i="2"/>
  <c r="K89" i="2"/>
  <c r="K50" i="2"/>
  <c r="K65" i="2"/>
  <c r="K29" i="2"/>
  <c r="K113" i="2"/>
  <c r="K41" i="2"/>
  <c r="K26" i="2"/>
  <c r="K17" i="2"/>
  <c r="K101" i="2"/>
  <c r="K93" i="2"/>
  <c r="K125" i="2"/>
  <c r="K77" i="2"/>
  <c r="K69" i="2"/>
  <c r="K22" i="2"/>
  <c r="K9" i="2"/>
  <c r="K99" i="2"/>
  <c r="K75" i="2"/>
  <c r="K127" i="2"/>
  <c r="K103" i="2"/>
  <c r="K51" i="2"/>
  <c r="K12" i="2"/>
  <c r="K7" i="2"/>
  <c r="K131" i="2"/>
  <c r="K121" i="2"/>
  <c r="K107" i="2"/>
  <c r="K97" i="2"/>
  <c r="K83" i="2"/>
  <c r="K73" i="2"/>
  <c r="K59" i="2"/>
  <c r="K49" i="2"/>
  <c r="K35" i="2"/>
  <c r="K25" i="2"/>
  <c r="K87" i="2"/>
  <c r="K63" i="2"/>
  <c r="K39" i="2"/>
  <c r="K111" i="2"/>
  <c r="K123" i="2"/>
  <c r="K135" i="2"/>
  <c r="K129" i="2"/>
  <c r="K115" i="2"/>
  <c r="K105" i="2"/>
  <c r="K91" i="2"/>
  <c r="K81" i="2"/>
  <c r="K67" i="2"/>
  <c r="K57" i="2"/>
  <c r="K43" i="2"/>
  <c r="K33" i="2"/>
  <c r="K19" i="2"/>
  <c r="K15" i="2"/>
  <c r="K16" i="2"/>
  <c r="N2" i="2" l="1"/>
  <c r="L15" i="2" s="1"/>
  <c r="L16" i="2" l="1"/>
  <c r="L64" i="2"/>
  <c r="L40" i="2"/>
  <c r="L8" i="2"/>
  <c r="L26" i="2"/>
  <c r="L74" i="2"/>
  <c r="L98" i="2"/>
  <c r="L110" i="2"/>
  <c r="L122" i="2"/>
  <c r="L134" i="2"/>
  <c r="L28" i="2"/>
  <c r="L38" i="2"/>
  <c r="L76" i="2"/>
  <c r="L13" i="2"/>
  <c r="L50" i="2"/>
  <c r="L62" i="2"/>
  <c r="L86" i="2"/>
  <c r="L52" i="2"/>
  <c r="L88" i="2"/>
  <c r="L100" i="2"/>
  <c r="L112" i="2"/>
  <c r="L124" i="2"/>
  <c r="L2" i="2"/>
  <c r="L4" i="2"/>
  <c r="L73" i="2"/>
  <c r="L24" i="2"/>
  <c r="L19" i="2"/>
  <c r="L128" i="2"/>
  <c r="L32" i="2"/>
  <c r="L123" i="2"/>
  <c r="L27" i="2"/>
  <c r="L118" i="2"/>
  <c r="L45" i="2"/>
  <c r="L35" i="2"/>
  <c r="L14" i="2"/>
  <c r="L114" i="2"/>
  <c r="L119" i="2"/>
  <c r="L23" i="2"/>
  <c r="L113" i="2"/>
  <c r="L17" i="2"/>
  <c r="L94" i="2"/>
  <c r="L31" i="2"/>
  <c r="L106" i="2"/>
  <c r="L95" i="2"/>
  <c r="L89" i="2"/>
  <c r="L20" i="2"/>
  <c r="L5" i="2"/>
  <c r="L90" i="2"/>
  <c r="L109" i="2"/>
  <c r="L11" i="2"/>
  <c r="L108" i="2"/>
  <c r="L121" i="2"/>
  <c r="L12" i="2"/>
  <c r="L21" i="2"/>
  <c r="L130" i="2"/>
  <c r="L129" i="2"/>
  <c r="L66" i="2"/>
  <c r="L104" i="2"/>
  <c r="L83" i="2"/>
  <c r="L99" i="2"/>
  <c r="L107" i="2"/>
  <c r="L7" i="2"/>
  <c r="L126" i="2"/>
  <c r="L115" i="2"/>
  <c r="L42" i="2"/>
  <c r="L135" i="2"/>
  <c r="L92" i="2"/>
  <c r="L102" i="2"/>
  <c r="L58" i="2"/>
  <c r="L57" i="2"/>
  <c r="L79" i="2"/>
  <c r="L9" i="2"/>
  <c r="L120" i="2"/>
  <c r="L133" i="2"/>
  <c r="L55" i="2"/>
  <c r="L34" i="2"/>
  <c r="L105" i="2"/>
  <c r="L18" i="2"/>
  <c r="L85" i="2"/>
  <c r="L87" i="2"/>
  <c r="L84" i="2"/>
  <c r="L68" i="2"/>
  <c r="L127" i="2"/>
  <c r="L78" i="2"/>
  <c r="L44" i="2"/>
  <c r="L54" i="2"/>
  <c r="L81" i="2"/>
  <c r="L82" i="2"/>
  <c r="L70" i="2"/>
  <c r="L25" i="2"/>
  <c r="L30" i="2"/>
  <c r="L67" i="2"/>
  <c r="L125" i="2"/>
  <c r="L46" i="2"/>
  <c r="L93" i="2"/>
  <c r="L131" i="2"/>
  <c r="L56" i="2"/>
  <c r="L51" i="2"/>
  <c r="L59" i="2"/>
  <c r="L72" i="2"/>
  <c r="L47" i="2"/>
  <c r="L41" i="2"/>
  <c r="L69" i="2"/>
  <c r="L48" i="2"/>
  <c r="L37" i="2"/>
  <c r="L36" i="2"/>
  <c r="L10" i="2"/>
  <c r="L91" i="2"/>
  <c r="L49" i="2"/>
  <c r="L80" i="2"/>
  <c r="L53" i="2"/>
  <c r="L75" i="2"/>
  <c r="L117" i="2"/>
  <c r="L111" i="2"/>
  <c r="L71" i="2"/>
  <c r="L65" i="2"/>
  <c r="L103" i="2"/>
  <c r="L96" i="2"/>
  <c r="L61" i="2"/>
  <c r="L60" i="2"/>
  <c r="L6" i="2"/>
  <c r="L77" i="2"/>
  <c r="L39" i="2"/>
  <c r="L22" i="2"/>
  <c r="L101" i="2"/>
  <c r="L116" i="2"/>
  <c r="L43" i="2"/>
  <c r="L3" i="2"/>
  <c r="L63" i="2"/>
  <c r="L97" i="2"/>
  <c r="L33" i="2"/>
  <c r="L132" i="2"/>
  <c r="L2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65231B-75C8-4E67-B5FA-1D14CB0FA858}" name="transport" type="6" refreshedVersion="8" background="1" saveData="1">
    <textPr codePage="852" sourceFile="C:\Users\domad\Desktop\MIN-DANE-2017\transport.txt" decimal="," thousands=" ">
      <textFields count="6">
        <textField/>
        <textField/>
        <textField/>
        <textField/>
        <textField/>
        <textField type="YMD"/>
      </textFields>
    </textPr>
  </connection>
  <connection id="2" xr16:uid="{FE555AB2-4B9E-4FFE-B28A-27818343ABB7}" name="transport1" type="6" refreshedVersion="8" background="1" saveData="1">
    <textPr codePage="852" sourceFile="C:\Users\domad\Desktop\MIN-DANE-2017\transport.txt" decimal="," thousands=" ">
      <textFields count="6">
        <textField/>
        <textField/>
        <textField/>
        <textField/>
        <textField/>
        <textField type="YMD"/>
      </textFields>
    </textPr>
  </connection>
  <connection id="3" xr16:uid="{781C4B0A-7045-45A7-BF06-785B301CB22C}" name="transport2" type="6" refreshedVersion="8" background="1" saveData="1">
    <textPr codePage="852" sourceFile="C:\Users\domad\Desktop\MIN-DANE-2017\transport.txt" decimal="," thousands=" ">
      <textFields count="6">
        <textField/>
        <textField/>
        <textField/>
        <textField/>
        <textField/>
        <textField type="YMD"/>
      </textFields>
    </textPr>
  </connection>
  <connection id="4" xr16:uid="{80C43FF8-6BB8-4896-A95A-93D2A9E3C966}" name="transport3" type="6" refreshedVersion="8" background="1" saveData="1">
    <textPr codePage="852" sourceFile="C:\Users\domad\Desktop\MIN-DANE-2017\transport.txt" decimal="," thousands=" ">
      <textFields count="6">
        <textField/>
        <textField/>
        <textField/>
        <textField/>
        <textField/>
        <textField type="YMD"/>
      </textFields>
    </textPr>
  </connection>
  <connection id="5" xr16:uid="{DDB6DDBD-0B5D-47B2-9D65-A2CD26ED57BC}" name="transport4" type="6" refreshedVersion="8" background="1" saveData="1">
    <textPr codePage="852" sourceFile="C:\Users\domad\Desktop\MIN-DANE-2017\transport.txt" decimal="," thousands=" ">
      <textFields count="6">
        <textField/>
        <textField/>
        <textField/>
        <textField/>
        <textField/>
        <textField type="YMD"/>
      </textFields>
    </textPr>
  </connection>
</connections>
</file>

<file path=xl/sharedStrings.xml><?xml version="1.0" encoding="utf-8"?>
<sst xmlns="http://schemas.openxmlformats.org/spreadsheetml/2006/main" count="1425" uniqueCount="200">
  <si>
    <t>Marka_i_model</t>
  </si>
  <si>
    <t>Rok_produkcji</t>
  </si>
  <si>
    <t>Cena_zakupu</t>
  </si>
  <si>
    <t>Nr_rejestracyjny</t>
  </si>
  <si>
    <t>Przebieg</t>
  </si>
  <si>
    <t>Data_ostatniego_remontu</t>
  </si>
  <si>
    <t>Iveco Strails</t>
  </si>
  <si>
    <t>ERA 210 TR</t>
  </si>
  <si>
    <t>ERA 211 TR</t>
  </si>
  <si>
    <t>ERA 212 TR</t>
  </si>
  <si>
    <t>ERA 213 TR</t>
  </si>
  <si>
    <t>ERA 209 TR</t>
  </si>
  <si>
    <t>Mercedes Axor</t>
  </si>
  <si>
    <t>ERA 223 TR</t>
  </si>
  <si>
    <t>MAN TGA</t>
  </si>
  <si>
    <t>ERA 217 TR</t>
  </si>
  <si>
    <t>Volvo FE</t>
  </si>
  <si>
    <t>ERA 095 TR</t>
  </si>
  <si>
    <t>Volvo FM</t>
  </si>
  <si>
    <t>ERA 093 TR</t>
  </si>
  <si>
    <t>Volvo FMX</t>
  </si>
  <si>
    <t>ERA 094 TR</t>
  </si>
  <si>
    <t>Volvo FH</t>
  </si>
  <si>
    <t>ERA 092 TR</t>
  </si>
  <si>
    <t>ERA 097 TR</t>
  </si>
  <si>
    <t>Iveco 100E</t>
  </si>
  <si>
    <t>ERA 114 TR</t>
  </si>
  <si>
    <t>ERA 108 TR</t>
  </si>
  <si>
    <t>Scania L94</t>
  </si>
  <si>
    <t>ERA 100 TR</t>
  </si>
  <si>
    <t>ERA 101 TR</t>
  </si>
  <si>
    <t>ERA 111 TR</t>
  </si>
  <si>
    <t>ERA 120 TR</t>
  </si>
  <si>
    <t>Renault Premium</t>
  </si>
  <si>
    <t>ERA 110 TR</t>
  </si>
  <si>
    <t>Mercedes Atego</t>
  </si>
  <si>
    <t>ERA 112 TR</t>
  </si>
  <si>
    <t>Scania M93</t>
  </si>
  <si>
    <t>ERA 102 TR</t>
  </si>
  <si>
    <t>ERA 302 TR</t>
  </si>
  <si>
    <t>ERA 096 TR</t>
  </si>
  <si>
    <t>Iveco EuroCargo</t>
  </si>
  <si>
    <t>ERA 104 TR</t>
  </si>
  <si>
    <t>ERA 119 TR</t>
  </si>
  <si>
    <t>ERA 106 TR</t>
  </si>
  <si>
    <t>MAN TGL</t>
  </si>
  <si>
    <t>ERA 117 TR</t>
  </si>
  <si>
    <t>Volvo FL</t>
  </si>
  <si>
    <t>ERA 098 TR</t>
  </si>
  <si>
    <t>ERA 109 TR</t>
  </si>
  <si>
    <t>DAF LF45</t>
  </si>
  <si>
    <t>ERA 115 TR</t>
  </si>
  <si>
    <t>ERA 113 TR</t>
  </si>
  <si>
    <t>ERA 107 TR</t>
  </si>
  <si>
    <t>MAN TGA41</t>
  </si>
  <si>
    <t>ERA 116 TR</t>
  </si>
  <si>
    <t>MAN TGA33</t>
  </si>
  <si>
    <t>ERA 105 TR</t>
  </si>
  <si>
    <t>DAF CF85</t>
  </si>
  <si>
    <t>ERA 103 TR</t>
  </si>
  <si>
    <t>Mercedes Sided</t>
  </si>
  <si>
    <t>ERA 099 TR</t>
  </si>
  <si>
    <t>Mercedes Actros</t>
  </si>
  <si>
    <t>ERA 118 TR</t>
  </si>
  <si>
    <t>ERA 132 TR</t>
  </si>
  <si>
    <t>ERA 142 TR</t>
  </si>
  <si>
    <t>ERA 145 TR</t>
  </si>
  <si>
    <t>Renault Midlum</t>
  </si>
  <si>
    <t>ERA 146 TR</t>
  </si>
  <si>
    <t>ERA 135 TR</t>
  </si>
  <si>
    <t>ERA 136 TR</t>
  </si>
  <si>
    <t>Renault D10</t>
  </si>
  <si>
    <t>ERA 141 TR</t>
  </si>
  <si>
    <t>ERA 340 TR</t>
  </si>
  <si>
    <t>ERA 147 TR</t>
  </si>
  <si>
    <t>ERA 394 TR</t>
  </si>
  <si>
    <t>DAF CF75</t>
  </si>
  <si>
    <t>ERA 143 TR</t>
  </si>
  <si>
    <t>ERA 140 TR</t>
  </si>
  <si>
    <t>DAF CF65</t>
  </si>
  <si>
    <t>ERA 133 TR</t>
  </si>
  <si>
    <t>Iveco TrakkerEuro5</t>
  </si>
  <si>
    <t>ERA 214 TR</t>
  </si>
  <si>
    <t>Renault Magnum</t>
  </si>
  <si>
    <t>ERA 227 TR</t>
  </si>
  <si>
    <t>ERA 228 TR</t>
  </si>
  <si>
    <t>ERA 226 TR</t>
  </si>
  <si>
    <t>ERA 131 TR</t>
  </si>
  <si>
    <t>ERA 144 TR</t>
  </si>
  <si>
    <t>ERA 134 TR</t>
  </si>
  <si>
    <t>ERA 161 TR</t>
  </si>
  <si>
    <t>Renault R385</t>
  </si>
  <si>
    <t>ERA 158 TR</t>
  </si>
  <si>
    <t>ERA 160 TR</t>
  </si>
  <si>
    <t>ERA 159 TR</t>
  </si>
  <si>
    <t>ERA 157 TR</t>
  </si>
  <si>
    <t>ERA 221 TR</t>
  </si>
  <si>
    <t>ERA 225 TR</t>
  </si>
  <si>
    <t>ERA 220 TR</t>
  </si>
  <si>
    <t>ERA 222 TR</t>
  </si>
  <si>
    <t>Renault Pelen</t>
  </si>
  <si>
    <t>ERA 230 TR</t>
  </si>
  <si>
    <t>ERA 229 TR</t>
  </si>
  <si>
    <t>ERA 162 TR</t>
  </si>
  <si>
    <t>Scania R500</t>
  </si>
  <si>
    <t>ERA 237 TR</t>
  </si>
  <si>
    <t>ERA 236 TR</t>
  </si>
  <si>
    <t>ERA 238 TR</t>
  </si>
  <si>
    <t>ERA 240 TR</t>
  </si>
  <si>
    <t>ERA 241 TR</t>
  </si>
  <si>
    <t>ERA 239 TR</t>
  </si>
  <si>
    <t>ERA 168 TR</t>
  </si>
  <si>
    <t>ERA 175 TR</t>
  </si>
  <si>
    <t>ERA 173 TR</t>
  </si>
  <si>
    <t>ERA 166 TR</t>
  </si>
  <si>
    <t>ERA 176 TR</t>
  </si>
  <si>
    <t>ERA 172 TR</t>
  </si>
  <si>
    <t>ERA 169 TR</t>
  </si>
  <si>
    <t>ERA 170 TR</t>
  </si>
  <si>
    <t>Iveco STRALIS</t>
  </si>
  <si>
    <t>ERA 215 TR</t>
  </si>
  <si>
    <t>ERA 216 TR</t>
  </si>
  <si>
    <t>ERA 178 TR</t>
  </si>
  <si>
    <t>Scania R420</t>
  </si>
  <si>
    <t>ERA 232 TR</t>
  </si>
  <si>
    <t>ERA 233 TR</t>
  </si>
  <si>
    <t>ERA 231 TR</t>
  </si>
  <si>
    <t>ERA 234 TR</t>
  </si>
  <si>
    <t>ERA 235 TR</t>
  </si>
  <si>
    <t>Volvo FH13-500</t>
  </si>
  <si>
    <t>ERA 248 TR</t>
  </si>
  <si>
    <t>ERA 177 TR</t>
  </si>
  <si>
    <t>ERA 247 TR</t>
  </si>
  <si>
    <t>MAN TGX</t>
  </si>
  <si>
    <t>ERA 218 TR</t>
  </si>
  <si>
    <t>ERA 174 TR</t>
  </si>
  <si>
    <t>DAF XF460</t>
  </si>
  <si>
    <t>ERA 207 TR</t>
  </si>
  <si>
    <t>ERA 405 TR</t>
  </si>
  <si>
    <t>ERA 204 TR</t>
  </si>
  <si>
    <t>ERA 208 TR</t>
  </si>
  <si>
    <t>ERA 406 TR</t>
  </si>
  <si>
    <t>ERA 171 TR</t>
  </si>
  <si>
    <t>ERA 183 TR</t>
  </si>
  <si>
    <t>ERA 388 TR</t>
  </si>
  <si>
    <t>ERA 188 TR</t>
  </si>
  <si>
    <t>ERA 184 TR</t>
  </si>
  <si>
    <t>ERA 186 TR</t>
  </si>
  <si>
    <t>ERA 185 TR</t>
  </si>
  <si>
    <t>ERA 199 TR</t>
  </si>
  <si>
    <t>ERA 198 TR</t>
  </si>
  <si>
    <t>ERA 200 TR</t>
  </si>
  <si>
    <t>ERA 201 TR</t>
  </si>
  <si>
    <t>ERA 496 TR</t>
  </si>
  <si>
    <t>ERA 497 TR</t>
  </si>
  <si>
    <t>ERA 202 TR</t>
  </si>
  <si>
    <t>ERA 203 TR</t>
  </si>
  <si>
    <t>MAN TGS</t>
  </si>
  <si>
    <t>ERA 187 TR</t>
  </si>
  <si>
    <t>ERA 219 TR</t>
  </si>
  <si>
    <t>MAN TGA18</t>
  </si>
  <si>
    <t>ERA 193 TR</t>
  </si>
  <si>
    <t>ERA 195 TR</t>
  </si>
  <si>
    <t>ERA 197 TR</t>
  </si>
  <si>
    <t>ERA 194 TR</t>
  </si>
  <si>
    <t>ERA 196 TR</t>
  </si>
  <si>
    <t>ERA 393 TR</t>
  </si>
  <si>
    <t>ERA 494 TR</t>
  </si>
  <si>
    <t>ERA 495 TR</t>
  </si>
  <si>
    <t>ERA 192 TR</t>
  </si>
  <si>
    <t>ERA 205 TR</t>
  </si>
  <si>
    <t>ERA 206 TR</t>
  </si>
  <si>
    <t>Volvo 2015Euro6M</t>
  </si>
  <si>
    <t>ERA 242 TR</t>
  </si>
  <si>
    <t>ERA 243 TR</t>
  </si>
  <si>
    <t>ERA 244 TR</t>
  </si>
  <si>
    <t>ERA 245 TR</t>
  </si>
  <si>
    <t>ERA 246 TR</t>
  </si>
  <si>
    <t>czas</t>
  </si>
  <si>
    <t>przebieg</t>
  </si>
  <si>
    <t>cena</t>
  </si>
  <si>
    <t>Iveco</t>
  </si>
  <si>
    <t>Volvo</t>
  </si>
  <si>
    <t>Scania</t>
  </si>
  <si>
    <t>Marka</t>
  </si>
  <si>
    <t>Etykiety wierszy</t>
  </si>
  <si>
    <t>Suma końcowa</t>
  </si>
  <si>
    <t>Liczba z Nr_rejestracyjny</t>
  </si>
  <si>
    <t>Mercedes</t>
  </si>
  <si>
    <t>MAN</t>
  </si>
  <si>
    <t>Renault</t>
  </si>
  <si>
    <t>DAF</t>
  </si>
  <si>
    <t>Średnia z Przebieg</t>
  </si>
  <si>
    <t>Etykiety kolumn</t>
  </si>
  <si>
    <t>Rok</t>
  </si>
  <si>
    <t>Dzisiejsza data</t>
  </si>
  <si>
    <t>roznica</t>
  </si>
  <si>
    <t>średni przebieg</t>
  </si>
  <si>
    <t>lata</t>
  </si>
  <si>
    <t>ile tysi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</si>
</sst>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 przebieg dla</a:t>
            </a:r>
            <a:r>
              <a:rPr lang="pl-PL" baseline="0"/>
              <a:t> każdej marki samoochodzu 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'2'!$H$24</c:f>
              <c:strCache>
                <c:ptCount val="1"/>
                <c:pt idx="0">
                  <c:v>średni przebieg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'2'!$G$25:$G$31</c:f>
              <c:strCache>
                <c:ptCount val="7"/>
                <c:pt idx="0">
                  <c:v>DAF</c:v>
                </c:pt>
                <c:pt idx="1">
                  <c:v>Iveco</c:v>
                </c:pt>
                <c:pt idx="2">
                  <c:v>MAN</c:v>
                </c:pt>
                <c:pt idx="3">
                  <c:v>Mercedes</c:v>
                </c:pt>
                <c:pt idx="4">
                  <c:v>Renault</c:v>
                </c:pt>
                <c:pt idx="5">
                  <c:v>Scania</c:v>
                </c:pt>
                <c:pt idx="6">
                  <c:v>Volvo</c:v>
                </c:pt>
              </c:strCache>
            </c:strRef>
          </c:cat>
          <c:val>
            <c:numRef>
              <c:f>'2'!$H$25:$H$31</c:f>
              <c:numCache>
                <c:formatCode>General</c:formatCode>
                <c:ptCount val="7"/>
                <c:pt idx="0">
                  <c:v>273239</c:v>
                </c:pt>
                <c:pt idx="1">
                  <c:v>657434</c:v>
                </c:pt>
                <c:pt idx="2">
                  <c:v>289637</c:v>
                </c:pt>
                <c:pt idx="3">
                  <c:v>486545</c:v>
                </c:pt>
                <c:pt idx="4">
                  <c:v>519936</c:v>
                </c:pt>
                <c:pt idx="5">
                  <c:v>557117</c:v>
                </c:pt>
                <c:pt idx="6">
                  <c:v>307130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E-4BB1-8BDD-B0157929E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90096"/>
        <c:axId val="41391536"/>
      </c:barChart>
      <c:catAx>
        <c:axId val="41390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Marka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1391536"/>
        <c:crosses val="autoZero"/>
        <c:auto val="1"/>
        <c:lblAlgn val="ctr"/>
        <c:lblOffset val="100"/>
        <c:noMultiLvlLbl val="0"/>
      </c:catAx>
      <c:valAx>
        <c:axId val="4139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</a:t>
                </a:r>
                <a:r>
                  <a:rPr lang="pl-PL" baseline="0"/>
                  <a:t> przebieg w km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139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247650</xdr:colOff>
      <xdr:row>9</xdr:row>
      <xdr:rowOff>176212</xdr:rowOff>
    </xdr:from>
    <xdr:to>
      <xdr:col>19</xdr:col>
      <xdr:colOff>552450</xdr:colOff>
      <xdr:row>24</xdr:row>
      <xdr:rowOff>61912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C19AD91-1250-8FD9-842B-C1F3BBA58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400.677593402776" createdVersion="8" refreshedVersion="8" minRefreshableVersion="3" recordCount="134" xr:uid="{63059209-18BB-45CD-9064-DDF5571D1F6A}">
  <cacheSource type="worksheet">
    <worksheetSource ref="A1:C135" sheet="2"/>
  </cacheSource>
  <cacheFields count="3">
    <cacheField name="Marka" numFmtId="0">
      <sharedItems count="7">
        <s v="Iveco"/>
        <s v="Mercedes"/>
        <s v="MAN"/>
        <s v="Volvo"/>
        <s v="Scania"/>
        <s v="Renault"/>
        <s v="DAF"/>
      </sharedItems>
    </cacheField>
    <cacheField name="Nr_rejestracyjny" numFmtId="0">
      <sharedItems/>
    </cacheField>
    <cacheField name="Przebieg" numFmtId="0">
      <sharedItems containsSemiMixedTypes="0" containsString="0" containsNumber="1" containsInteger="1" minValue="91000" maxValue="12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400.679270486115" createdVersion="8" refreshedVersion="8" minRefreshableVersion="3" recordCount="134" xr:uid="{9C3E945F-A364-46CB-90A4-8F19EEFFFD54}">
  <cacheSource type="worksheet">
    <worksheetSource ref="A1:C135" sheet="3"/>
  </cacheSource>
  <cacheFields count="3">
    <cacheField name="Marka" numFmtId="0">
      <sharedItems count="7">
        <s v="Iveco"/>
        <s v="Mercedes"/>
        <s v="MAN"/>
        <s v="Volvo"/>
        <s v="Scania"/>
        <s v="Renault"/>
        <s v="DAF"/>
      </sharedItems>
    </cacheField>
    <cacheField name="Rok_produkcji" numFmtId="0">
      <sharedItems containsSemiMixedTypes="0" containsString="0" containsNumber="1" containsInteger="1" minValue="2006" maxValue="2015" count="10">
        <n v="2006"/>
        <n v="2007"/>
        <n v="2008"/>
        <n v="2009"/>
        <n v="2010"/>
        <n v="2011"/>
        <n v="2012"/>
        <n v="2013"/>
        <n v="2014"/>
        <n v="2015"/>
      </sharedItems>
    </cacheField>
    <cacheField name="Nr_rejestracyjn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s v="ERA 210 TR"/>
    <n v="1200655"/>
  </r>
  <r>
    <x v="0"/>
    <s v="ERA 211 TR"/>
    <n v="1068570"/>
  </r>
  <r>
    <x v="0"/>
    <s v="ERA 212 TR"/>
    <n v="998704"/>
  </r>
  <r>
    <x v="0"/>
    <s v="ERA 213 TR"/>
    <n v="936780"/>
  </r>
  <r>
    <x v="0"/>
    <s v="ERA 209 TR"/>
    <n v="870233"/>
  </r>
  <r>
    <x v="1"/>
    <s v="ERA 223 TR"/>
    <n v="1260000"/>
  </r>
  <r>
    <x v="2"/>
    <s v="ERA 217 TR"/>
    <n v="890200"/>
  </r>
  <r>
    <x v="3"/>
    <s v="ERA 095 TR"/>
    <n v="186000"/>
  </r>
  <r>
    <x v="3"/>
    <s v="ERA 093 TR"/>
    <n v="306000"/>
  </r>
  <r>
    <x v="3"/>
    <s v="ERA 094 TR"/>
    <n v="266000"/>
  </r>
  <r>
    <x v="3"/>
    <s v="ERA 092 TR"/>
    <n v="305000"/>
  </r>
  <r>
    <x v="3"/>
    <s v="ERA 097 TR"/>
    <n v="190000"/>
  </r>
  <r>
    <x v="0"/>
    <s v="ERA 114 TR"/>
    <n v="992600"/>
  </r>
  <r>
    <x v="3"/>
    <s v="ERA 108 TR"/>
    <n v="186000"/>
  </r>
  <r>
    <x v="4"/>
    <s v="ERA 100 TR"/>
    <n v="850000"/>
  </r>
  <r>
    <x v="3"/>
    <s v="ERA 101 TR"/>
    <n v="740000"/>
  </r>
  <r>
    <x v="4"/>
    <s v="ERA 111 TR"/>
    <n v="846000"/>
  </r>
  <r>
    <x v="3"/>
    <s v="ERA 120 TR"/>
    <n v="302000"/>
  </r>
  <r>
    <x v="5"/>
    <s v="ERA 110 TR"/>
    <n v="846000"/>
  </r>
  <r>
    <x v="1"/>
    <s v="ERA 112 TR"/>
    <n v="946000"/>
  </r>
  <r>
    <x v="4"/>
    <s v="ERA 102 TR"/>
    <n v="390000"/>
  </r>
  <r>
    <x v="4"/>
    <s v="ERA 302 TR"/>
    <n v="390000"/>
  </r>
  <r>
    <x v="3"/>
    <s v="ERA 096 TR"/>
    <n v="270000"/>
  </r>
  <r>
    <x v="0"/>
    <s v="ERA 104 TR"/>
    <n v="380000"/>
  </r>
  <r>
    <x v="3"/>
    <s v="ERA 119 TR"/>
    <n v="301000"/>
  </r>
  <r>
    <x v="1"/>
    <s v="ERA 106 TR"/>
    <n v="360000"/>
  </r>
  <r>
    <x v="2"/>
    <s v="ERA 117 TR"/>
    <n v="226000"/>
  </r>
  <r>
    <x v="3"/>
    <s v="ERA 098 TR"/>
    <n v="482000"/>
  </r>
  <r>
    <x v="3"/>
    <s v="ERA 109 TR"/>
    <n v="478000"/>
  </r>
  <r>
    <x v="6"/>
    <s v="ERA 115 TR"/>
    <n v="306000"/>
  </r>
  <r>
    <x v="2"/>
    <s v="ERA 113 TR"/>
    <n v="403000"/>
  </r>
  <r>
    <x v="5"/>
    <s v="ERA 107 TR"/>
    <n v="370000"/>
  </r>
  <r>
    <x v="2"/>
    <s v="ERA 116 TR"/>
    <n v="186300"/>
  </r>
  <r>
    <x v="2"/>
    <s v="ERA 105 TR"/>
    <n v="290000"/>
  </r>
  <r>
    <x v="6"/>
    <s v="ERA 103 TR"/>
    <n v="190000"/>
  </r>
  <r>
    <x v="1"/>
    <s v="ERA 099 TR"/>
    <n v="305000"/>
  </r>
  <r>
    <x v="1"/>
    <s v="ERA 118 TR"/>
    <n v="166000"/>
  </r>
  <r>
    <x v="6"/>
    <s v="ERA 132 TR"/>
    <n v="978000"/>
  </r>
  <r>
    <x v="6"/>
    <s v="ERA 142 TR"/>
    <n v="326000"/>
  </r>
  <r>
    <x v="3"/>
    <s v="ERA 145 TR"/>
    <n v="736000"/>
  </r>
  <r>
    <x v="5"/>
    <s v="ERA 146 TR"/>
    <n v="99250"/>
  </r>
  <r>
    <x v="1"/>
    <s v="ERA 135 TR"/>
    <n v="950000"/>
  </r>
  <r>
    <x v="0"/>
    <s v="ERA 136 TR"/>
    <n v="103260"/>
  </r>
  <r>
    <x v="5"/>
    <s v="ERA 141 TR"/>
    <n v="302000"/>
  </r>
  <r>
    <x v="3"/>
    <s v="ERA 340 TR"/>
    <n v="266000"/>
  </r>
  <r>
    <x v="1"/>
    <s v="ERA 147 TR"/>
    <n v="356000"/>
  </r>
  <r>
    <x v="2"/>
    <s v="ERA 394 TR"/>
    <n v="266000"/>
  </r>
  <r>
    <x v="6"/>
    <s v="ERA 143 TR"/>
    <n v="91000"/>
  </r>
  <r>
    <x v="2"/>
    <s v="ERA 140 TR"/>
    <n v="230000"/>
  </r>
  <r>
    <x v="6"/>
    <s v="ERA 133 TR"/>
    <n v="251000"/>
  </r>
  <r>
    <x v="0"/>
    <s v="ERA 214 TR"/>
    <n v="263000"/>
  </r>
  <r>
    <x v="5"/>
    <s v="ERA 227 TR"/>
    <n v="930000"/>
  </r>
  <r>
    <x v="5"/>
    <s v="ERA 228 TR"/>
    <n v="912000"/>
  </r>
  <r>
    <x v="5"/>
    <s v="ERA 226 TR"/>
    <n v="856000"/>
  </r>
  <r>
    <x v="5"/>
    <s v="ERA 131 TR"/>
    <n v="455000"/>
  </r>
  <r>
    <x v="1"/>
    <s v="ERA 144 TR"/>
    <n v="301000"/>
  </r>
  <r>
    <x v="1"/>
    <s v="ERA 134 TR"/>
    <n v="164700"/>
  </r>
  <r>
    <x v="6"/>
    <s v="ERA 161 TR"/>
    <n v="574000"/>
  </r>
  <r>
    <x v="5"/>
    <s v="ERA 158 TR"/>
    <n v="290000"/>
  </r>
  <r>
    <x v="5"/>
    <s v="ERA 160 TR"/>
    <n v="286000"/>
  </r>
  <r>
    <x v="5"/>
    <s v="ERA 159 TR"/>
    <n v="103250"/>
  </r>
  <r>
    <x v="5"/>
    <s v="ERA 157 TR"/>
    <n v="306000"/>
  </r>
  <r>
    <x v="1"/>
    <s v="ERA 221 TR"/>
    <n v="780000"/>
  </r>
  <r>
    <x v="1"/>
    <s v="ERA 225 TR"/>
    <n v="760300"/>
  </r>
  <r>
    <x v="1"/>
    <s v="ERA 220 TR"/>
    <n v="680000"/>
  </r>
  <r>
    <x v="1"/>
    <s v="ERA 222 TR"/>
    <n v="655000"/>
  </r>
  <r>
    <x v="5"/>
    <s v="ERA 230 TR"/>
    <n v="731000"/>
  </r>
  <r>
    <x v="5"/>
    <s v="ERA 229 TR"/>
    <n v="685413"/>
  </r>
  <r>
    <x v="6"/>
    <s v="ERA 162 TR"/>
    <n v="186000"/>
  </r>
  <r>
    <x v="4"/>
    <s v="ERA 237 TR"/>
    <n v="720000"/>
  </r>
  <r>
    <x v="4"/>
    <s v="ERA 236 TR"/>
    <n v="680000"/>
  </r>
  <r>
    <x v="4"/>
    <s v="ERA 238 TR"/>
    <n v="660000"/>
  </r>
  <r>
    <x v="4"/>
    <s v="ERA 240 TR"/>
    <n v="630000"/>
  </r>
  <r>
    <x v="4"/>
    <s v="ERA 241 TR"/>
    <n v="655000"/>
  </r>
  <r>
    <x v="4"/>
    <s v="ERA 239 TR"/>
    <n v="590000"/>
  </r>
  <r>
    <x v="6"/>
    <s v="ERA 168 TR"/>
    <n v="330000"/>
  </r>
  <r>
    <x v="6"/>
    <s v="ERA 175 TR"/>
    <n v="268650"/>
  </r>
  <r>
    <x v="3"/>
    <s v="ERA 173 TR"/>
    <n v="302000"/>
  </r>
  <r>
    <x v="5"/>
    <s v="ERA 166 TR"/>
    <n v="850000"/>
  </r>
  <r>
    <x v="0"/>
    <s v="ERA 176 TR"/>
    <n v="376000"/>
  </r>
  <r>
    <x v="3"/>
    <s v="ERA 172 TR"/>
    <n v="201000"/>
  </r>
  <r>
    <x v="6"/>
    <s v="ERA 169 TR"/>
    <n v="310000"/>
  </r>
  <r>
    <x v="2"/>
    <s v="ERA 170 TR"/>
    <n v="247000"/>
  </r>
  <r>
    <x v="0"/>
    <s v="ERA 215 TR"/>
    <n v="386732"/>
  </r>
  <r>
    <x v="0"/>
    <s v="ERA 216 TR"/>
    <n v="312680"/>
  </r>
  <r>
    <x v="5"/>
    <s v="ERA 178 TR"/>
    <n v="366000"/>
  </r>
  <r>
    <x v="4"/>
    <s v="ERA 232 TR"/>
    <n v="520000"/>
  </r>
  <r>
    <x v="4"/>
    <s v="ERA 233 TR"/>
    <n v="530000"/>
  </r>
  <r>
    <x v="4"/>
    <s v="ERA 231 TR"/>
    <n v="490000"/>
  </r>
  <r>
    <x v="4"/>
    <s v="ERA 234 TR"/>
    <n v="481000"/>
  </r>
  <r>
    <x v="4"/>
    <s v="ERA 235 TR"/>
    <n v="454000"/>
  </r>
  <r>
    <x v="3"/>
    <s v="ERA 248 TR"/>
    <n v="517000"/>
  </r>
  <r>
    <x v="2"/>
    <s v="ERA 177 TR"/>
    <n v="286000"/>
  </r>
  <r>
    <x v="3"/>
    <s v="ERA 247 TR"/>
    <n v="435000"/>
  </r>
  <r>
    <x v="2"/>
    <s v="ERA 218 TR"/>
    <n v="417671"/>
  </r>
  <r>
    <x v="5"/>
    <s v="ERA 174 TR"/>
    <n v="451000"/>
  </r>
  <r>
    <x v="6"/>
    <s v="ERA 207 TR"/>
    <n v="301344"/>
  </r>
  <r>
    <x v="6"/>
    <s v="ERA 405 TR"/>
    <n v="315988"/>
  </r>
  <r>
    <x v="6"/>
    <s v="ERA 204 TR"/>
    <n v="234760"/>
  </r>
  <r>
    <x v="6"/>
    <s v="ERA 208 TR"/>
    <n v="210780"/>
  </r>
  <r>
    <x v="6"/>
    <s v="ERA 406 TR"/>
    <n v="198240"/>
  </r>
  <r>
    <x v="1"/>
    <s v="ERA 171 TR"/>
    <n v="170000"/>
  </r>
  <r>
    <x v="6"/>
    <s v="ERA 183 TR"/>
    <n v="272650"/>
  </r>
  <r>
    <x v="4"/>
    <s v="ERA 388 TR"/>
    <n v="350000"/>
  </r>
  <r>
    <x v="4"/>
    <s v="ERA 188 TR"/>
    <n v="235000"/>
  </r>
  <r>
    <x v="6"/>
    <s v="ERA 184 TR"/>
    <n v="195000"/>
  </r>
  <r>
    <x v="6"/>
    <s v="ERA 186 TR"/>
    <n v="247000"/>
  </r>
  <r>
    <x v="2"/>
    <s v="ERA 185 TR"/>
    <n v="407000"/>
  </r>
  <r>
    <x v="6"/>
    <s v="ERA 199 TR"/>
    <n v="301232"/>
  </r>
  <r>
    <x v="6"/>
    <s v="ERA 198 TR"/>
    <n v="289567"/>
  </r>
  <r>
    <x v="6"/>
    <s v="ERA 200 TR"/>
    <n v="245211"/>
  </r>
  <r>
    <x v="6"/>
    <s v="ERA 201 TR"/>
    <n v="200123"/>
  </r>
  <r>
    <x v="6"/>
    <s v="ERA 496 TR"/>
    <n v="235811"/>
  </r>
  <r>
    <x v="6"/>
    <s v="ERA 497 TR"/>
    <n v="250021"/>
  </r>
  <r>
    <x v="6"/>
    <s v="ERA 202 TR"/>
    <n v="198340"/>
  </r>
  <r>
    <x v="6"/>
    <s v="ERA 203 TR"/>
    <n v="189761"/>
  </r>
  <r>
    <x v="2"/>
    <s v="ERA 187 TR"/>
    <n v="153000"/>
  </r>
  <r>
    <x v="2"/>
    <s v="ERA 219 TR"/>
    <n v="123000"/>
  </r>
  <r>
    <x v="2"/>
    <s v="ERA 193 TR"/>
    <n v="251000"/>
  </r>
  <r>
    <x v="2"/>
    <s v="ERA 195 TR"/>
    <n v="247000"/>
  </r>
  <r>
    <x v="2"/>
    <s v="ERA 197 TR"/>
    <n v="243000"/>
  </r>
  <r>
    <x v="2"/>
    <s v="ERA 194 TR"/>
    <n v="190300"/>
  </r>
  <r>
    <x v="1"/>
    <s v="ERA 196 TR"/>
    <n v="126290"/>
  </r>
  <r>
    <x v="6"/>
    <s v="ERA 393 TR"/>
    <n v="183788"/>
  </r>
  <r>
    <x v="6"/>
    <s v="ERA 494 TR"/>
    <n v="160198"/>
  </r>
  <r>
    <x v="6"/>
    <s v="ERA 495 TR"/>
    <n v="156724"/>
  </r>
  <r>
    <x v="2"/>
    <s v="ERA 192 TR"/>
    <n v="157000"/>
  </r>
  <r>
    <x v="1"/>
    <s v="ERA 205 TR"/>
    <n v="130290"/>
  </r>
  <r>
    <x v="1"/>
    <s v="ERA 206 TR"/>
    <n v="160700"/>
  </r>
  <r>
    <x v="3"/>
    <s v="ERA 242 TR"/>
    <n v="100000"/>
  </r>
  <r>
    <x v="3"/>
    <s v="ERA 243 TR"/>
    <n v="115000"/>
  </r>
  <r>
    <x v="3"/>
    <s v="ERA 244 TR"/>
    <n v="132000"/>
  </r>
  <r>
    <x v="3"/>
    <s v="ERA 245 TR"/>
    <n v="108000"/>
  </r>
  <r>
    <x v="3"/>
    <s v="ERA 246 TR"/>
    <n v="14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x v="0"/>
    <s v="ERA 210 TR"/>
  </r>
  <r>
    <x v="0"/>
    <x v="0"/>
    <s v="ERA 211 TR"/>
  </r>
  <r>
    <x v="0"/>
    <x v="0"/>
    <s v="ERA 212 TR"/>
  </r>
  <r>
    <x v="0"/>
    <x v="0"/>
    <s v="ERA 213 TR"/>
  </r>
  <r>
    <x v="0"/>
    <x v="0"/>
    <s v="ERA 209 TR"/>
  </r>
  <r>
    <x v="1"/>
    <x v="1"/>
    <s v="ERA 223 TR"/>
  </r>
  <r>
    <x v="2"/>
    <x v="1"/>
    <s v="ERA 217 TR"/>
  </r>
  <r>
    <x v="3"/>
    <x v="2"/>
    <s v="ERA 095 TR"/>
  </r>
  <r>
    <x v="3"/>
    <x v="2"/>
    <s v="ERA 093 TR"/>
  </r>
  <r>
    <x v="3"/>
    <x v="2"/>
    <s v="ERA 094 TR"/>
  </r>
  <r>
    <x v="3"/>
    <x v="2"/>
    <s v="ERA 092 TR"/>
  </r>
  <r>
    <x v="3"/>
    <x v="3"/>
    <s v="ERA 097 TR"/>
  </r>
  <r>
    <x v="0"/>
    <x v="3"/>
    <s v="ERA 114 TR"/>
  </r>
  <r>
    <x v="3"/>
    <x v="3"/>
    <s v="ERA 108 TR"/>
  </r>
  <r>
    <x v="4"/>
    <x v="3"/>
    <s v="ERA 100 TR"/>
  </r>
  <r>
    <x v="3"/>
    <x v="3"/>
    <s v="ERA 101 TR"/>
  </r>
  <r>
    <x v="4"/>
    <x v="3"/>
    <s v="ERA 111 TR"/>
  </r>
  <r>
    <x v="3"/>
    <x v="3"/>
    <s v="ERA 120 TR"/>
  </r>
  <r>
    <x v="5"/>
    <x v="3"/>
    <s v="ERA 110 TR"/>
  </r>
  <r>
    <x v="1"/>
    <x v="3"/>
    <s v="ERA 112 TR"/>
  </r>
  <r>
    <x v="4"/>
    <x v="3"/>
    <s v="ERA 102 TR"/>
  </r>
  <r>
    <x v="4"/>
    <x v="3"/>
    <s v="ERA 302 TR"/>
  </r>
  <r>
    <x v="3"/>
    <x v="3"/>
    <s v="ERA 096 TR"/>
  </r>
  <r>
    <x v="0"/>
    <x v="3"/>
    <s v="ERA 104 TR"/>
  </r>
  <r>
    <x v="3"/>
    <x v="3"/>
    <s v="ERA 119 TR"/>
  </r>
  <r>
    <x v="1"/>
    <x v="3"/>
    <s v="ERA 106 TR"/>
  </r>
  <r>
    <x v="2"/>
    <x v="3"/>
    <s v="ERA 117 TR"/>
  </r>
  <r>
    <x v="3"/>
    <x v="3"/>
    <s v="ERA 098 TR"/>
  </r>
  <r>
    <x v="3"/>
    <x v="3"/>
    <s v="ERA 109 TR"/>
  </r>
  <r>
    <x v="6"/>
    <x v="3"/>
    <s v="ERA 115 TR"/>
  </r>
  <r>
    <x v="2"/>
    <x v="3"/>
    <s v="ERA 113 TR"/>
  </r>
  <r>
    <x v="5"/>
    <x v="3"/>
    <s v="ERA 107 TR"/>
  </r>
  <r>
    <x v="2"/>
    <x v="3"/>
    <s v="ERA 116 TR"/>
  </r>
  <r>
    <x v="2"/>
    <x v="3"/>
    <s v="ERA 105 TR"/>
  </r>
  <r>
    <x v="6"/>
    <x v="3"/>
    <s v="ERA 103 TR"/>
  </r>
  <r>
    <x v="1"/>
    <x v="3"/>
    <s v="ERA 099 TR"/>
  </r>
  <r>
    <x v="1"/>
    <x v="3"/>
    <s v="ERA 118 TR"/>
  </r>
  <r>
    <x v="6"/>
    <x v="4"/>
    <s v="ERA 132 TR"/>
  </r>
  <r>
    <x v="6"/>
    <x v="4"/>
    <s v="ERA 142 TR"/>
  </r>
  <r>
    <x v="3"/>
    <x v="4"/>
    <s v="ERA 145 TR"/>
  </r>
  <r>
    <x v="5"/>
    <x v="4"/>
    <s v="ERA 146 TR"/>
  </r>
  <r>
    <x v="1"/>
    <x v="4"/>
    <s v="ERA 135 TR"/>
  </r>
  <r>
    <x v="0"/>
    <x v="4"/>
    <s v="ERA 136 TR"/>
  </r>
  <r>
    <x v="5"/>
    <x v="4"/>
    <s v="ERA 141 TR"/>
  </r>
  <r>
    <x v="3"/>
    <x v="4"/>
    <s v="ERA 340 TR"/>
  </r>
  <r>
    <x v="1"/>
    <x v="4"/>
    <s v="ERA 147 TR"/>
  </r>
  <r>
    <x v="2"/>
    <x v="4"/>
    <s v="ERA 394 TR"/>
  </r>
  <r>
    <x v="6"/>
    <x v="4"/>
    <s v="ERA 143 TR"/>
  </r>
  <r>
    <x v="2"/>
    <x v="4"/>
    <s v="ERA 140 TR"/>
  </r>
  <r>
    <x v="6"/>
    <x v="4"/>
    <s v="ERA 133 TR"/>
  </r>
  <r>
    <x v="0"/>
    <x v="4"/>
    <s v="ERA 214 TR"/>
  </r>
  <r>
    <x v="5"/>
    <x v="4"/>
    <s v="ERA 227 TR"/>
  </r>
  <r>
    <x v="5"/>
    <x v="4"/>
    <s v="ERA 228 TR"/>
  </r>
  <r>
    <x v="5"/>
    <x v="4"/>
    <s v="ERA 226 TR"/>
  </r>
  <r>
    <x v="5"/>
    <x v="4"/>
    <s v="ERA 131 TR"/>
  </r>
  <r>
    <x v="1"/>
    <x v="4"/>
    <s v="ERA 144 TR"/>
  </r>
  <r>
    <x v="1"/>
    <x v="4"/>
    <s v="ERA 134 TR"/>
  </r>
  <r>
    <x v="6"/>
    <x v="5"/>
    <s v="ERA 161 TR"/>
  </r>
  <r>
    <x v="5"/>
    <x v="5"/>
    <s v="ERA 158 TR"/>
  </r>
  <r>
    <x v="5"/>
    <x v="5"/>
    <s v="ERA 160 TR"/>
  </r>
  <r>
    <x v="5"/>
    <x v="5"/>
    <s v="ERA 159 TR"/>
  </r>
  <r>
    <x v="5"/>
    <x v="5"/>
    <s v="ERA 157 TR"/>
  </r>
  <r>
    <x v="1"/>
    <x v="5"/>
    <s v="ERA 221 TR"/>
  </r>
  <r>
    <x v="1"/>
    <x v="5"/>
    <s v="ERA 225 TR"/>
  </r>
  <r>
    <x v="1"/>
    <x v="5"/>
    <s v="ERA 220 TR"/>
  </r>
  <r>
    <x v="1"/>
    <x v="5"/>
    <s v="ERA 222 TR"/>
  </r>
  <r>
    <x v="5"/>
    <x v="5"/>
    <s v="ERA 230 TR"/>
  </r>
  <r>
    <x v="5"/>
    <x v="5"/>
    <s v="ERA 229 TR"/>
  </r>
  <r>
    <x v="6"/>
    <x v="5"/>
    <s v="ERA 162 TR"/>
  </r>
  <r>
    <x v="4"/>
    <x v="5"/>
    <s v="ERA 237 TR"/>
  </r>
  <r>
    <x v="4"/>
    <x v="5"/>
    <s v="ERA 236 TR"/>
  </r>
  <r>
    <x v="4"/>
    <x v="5"/>
    <s v="ERA 238 TR"/>
  </r>
  <r>
    <x v="4"/>
    <x v="5"/>
    <s v="ERA 240 TR"/>
  </r>
  <r>
    <x v="4"/>
    <x v="5"/>
    <s v="ERA 241 TR"/>
  </r>
  <r>
    <x v="4"/>
    <x v="5"/>
    <s v="ERA 239 TR"/>
  </r>
  <r>
    <x v="6"/>
    <x v="6"/>
    <s v="ERA 168 TR"/>
  </r>
  <r>
    <x v="6"/>
    <x v="6"/>
    <s v="ERA 175 TR"/>
  </r>
  <r>
    <x v="3"/>
    <x v="6"/>
    <s v="ERA 173 TR"/>
  </r>
  <r>
    <x v="5"/>
    <x v="6"/>
    <s v="ERA 166 TR"/>
  </r>
  <r>
    <x v="0"/>
    <x v="6"/>
    <s v="ERA 176 TR"/>
  </r>
  <r>
    <x v="3"/>
    <x v="6"/>
    <s v="ERA 172 TR"/>
  </r>
  <r>
    <x v="6"/>
    <x v="6"/>
    <s v="ERA 169 TR"/>
  </r>
  <r>
    <x v="2"/>
    <x v="6"/>
    <s v="ERA 170 TR"/>
  </r>
  <r>
    <x v="0"/>
    <x v="6"/>
    <s v="ERA 215 TR"/>
  </r>
  <r>
    <x v="0"/>
    <x v="6"/>
    <s v="ERA 216 TR"/>
  </r>
  <r>
    <x v="5"/>
    <x v="6"/>
    <s v="ERA 178 TR"/>
  </r>
  <r>
    <x v="4"/>
    <x v="6"/>
    <s v="ERA 232 TR"/>
  </r>
  <r>
    <x v="4"/>
    <x v="6"/>
    <s v="ERA 233 TR"/>
  </r>
  <r>
    <x v="4"/>
    <x v="6"/>
    <s v="ERA 231 TR"/>
  </r>
  <r>
    <x v="4"/>
    <x v="6"/>
    <s v="ERA 234 TR"/>
  </r>
  <r>
    <x v="4"/>
    <x v="6"/>
    <s v="ERA 235 TR"/>
  </r>
  <r>
    <x v="3"/>
    <x v="6"/>
    <s v="ERA 248 TR"/>
  </r>
  <r>
    <x v="2"/>
    <x v="6"/>
    <s v="ERA 177 TR"/>
  </r>
  <r>
    <x v="3"/>
    <x v="6"/>
    <s v="ERA 247 TR"/>
  </r>
  <r>
    <x v="2"/>
    <x v="6"/>
    <s v="ERA 218 TR"/>
  </r>
  <r>
    <x v="5"/>
    <x v="6"/>
    <s v="ERA 174 TR"/>
  </r>
  <r>
    <x v="6"/>
    <x v="6"/>
    <s v="ERA 207 TR"/>
  </r>
  <r>
    <x v="6"/>
    <x v="6"/>
    <s v="ERA 405 TR"/>
  </r>
  <r>
    <x v="6"/>
    <x v="6"/>
    <s v="ERA 204 TR"/>
  </r>
  <r>
    <x v="6"/>
    <x v="6"/>
    <s v="ERA 208 TR"/>
  </r>
  <r>
    <x v="6"/>
    <x v="6"/>
    <s v="ERA 406 TR"/>
  </r>
  <r>
    <x v="1"/>
    <x v="6"/>
    <s v="ERA 171 TR"/>
  </r>
  <r>
    <x v="6"/>
    <x v="7"/>
    <s v="ERA 183 TR"/>
  </r>
  <r>
    <x v="4"/>
    <x v="7"/>
    <s v="ERA 388 TR"/>
  </r>
  <r>
    <x v="4"/>
    <x v="7"/>
    <s v="ERA 188 TR"/>
  </r>
  <r>
    <x v="6"/>
    <x v="7"/>
    <s v="ERA 184 TR"/>
  </r>
  <r>
    <x v="6"/>
    <x v="7"/>
    <s v="ERA 186 TR"/>
  </r>
  <r>
    <x v="2"/>
    <x v="7"/>
    <s v="ERA 185 TR"/>
  </r>
  <r>
    <x v="6"/>
    <x v="7"/>
    <s v="ERA 199 TR"/>
  </r>
  <r>
    <x v="6"/>
    <x v="7"/>
    <s v="ERA 198 TR"/>
  </r>
  <r>
    <x v="6"/>
    <x v="7"/>
    <s v="ERA 200 TR"/>
  </r>
  <r>
    <x v="6"/>
    <x v="7"/>
    <s v="ERA 201 TR"/>
  </r>
  <r>
    <x v="6"/>
    <x v="7"/>
    <s v="ERA 496 TR"/>
  </r>
  <r>
    <x v="6"/>
    <x v="7"/>
    <s v="ERA 497 TR"/>
  </r>
  <r>
    <x v="6"/>
    <x v="7"/>
    <s v="ERA 202 TR"/>
  </r>
  <r>
    <x v="6"/>
    <x v="7"/>
    <s v="ERA 203 TR"/>
  </r>
  <r>
    <x v="2"/>
    <x v="7"/>
    <s v="ERA 187 TR"/>
  </r>
  <r>
    <x v="2"/>
    <x v="7"/>
    <s v="ERA 219 TR"/>
  </r>
  <r>
    <x v="2"/>
    <x v="8"/>
    <s v="ERA 193 TR"/>
  </r>
  <r>
    <x v="2"/>
    <x v="8"/>
    <s v="ERA 195 TR"/>
  </r>
  <r>
    <x v="2"/>
    <x v="8"/>
    <s v="ERA 197 TR"/>
  </r>
  <r>
    <x v="2"/>
    <x v="8"/>
    <s v="ERA 194 TR"/>
  </r>
  <r>
    <x v="1"/>
    <x v="8"/>
    <s v="ERA 196 TR"/>
  </r>
  <r>
    <x v="6"/>
    <x v="8"/>
    <s v="ERA 393 TR"/>
  </r>
  <r>
    <x v="6"/>
    <x v="8"/>
    <s v="ERA 494 TR"/>
  </r>
  <r>
    <x v="6"/>
    <x v="8"/>
    <s v="ERA 495 TR"/>
  </r>
  <r>
    <x v="2"/>
    <x v="8"/>
    <s v="ERA 192 TR"/>
  </r>
  <r>
    <x v="1"/>
    <x v="9"/>
    <s v="ERA 205 TR"/>
  </r>
  <r>
    <x v="1"/>
    <x v="9"/>
    <s v="ERA 206 TR"/>
  </r>
  <r>
    <x v="3"/>
    <x v="9"/>
    <s v="ERA 242 TR"/>
  </r>
  <r>
    <x v="3"/>
    <x v="9"/>
    <s v="ERA 243 TR"/>
  </r>
  <r>
    <x v="3"/>
    <x v="9"/>
    <s v="ERA 244 TR"/>
  </r>
  <r>
    <x v="3"/>
    <x v="9"/>
    <s v="ERA 245 TR"/>
  </r>
  <r>
    <x v="3"/>
    <x v="9"/>
    <s v="ERA 246 T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DDE332-F613-40FD-A3E8-5E1FEA984A5C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4:H12" firstHeaderRow="1" firstDataRow="1" firstDataCol="1"/>
  <pivotFields count="3">
    <pivotField axis="axisRow" showAll="0">
      <items count="8">
        <item x="6"/>
        <item x="0"/>
        <item x="2"/>
        <item x="1"/>
        <item x="5"/>
        <item x="4"/>
        <item x="3"/>
        <item t="default"/>
      </items>
    </pivotField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Średnia z Przebieg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3FC9F3-F52D-4263-BC9C-0AC25985F000}" name="Tabela przestawna3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5:R14" firstHeaderRow="1" firstDataRow="2" firstDataCol="1"/>
  <pivotFields count="3">
    <pivotField axis="axisRow" showAll="0">
      <items count="8">
        <item x="6"/>
        <item x="0"/>
        <item x="2"/>
        <item x="1"/>
        <item x="5"/>
        <item x="4"/>
        <item x="3"/>
        <item t="default"/>
      </items>
    </pivotField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Liczba z Nr_rejestracyjny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port" connectionId="1" xr16:uid="{6E2E205F-6A03-4E41-B826-22650661A5F6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port" connectionId="2" xr16:uid="{7965B9C9-C630-44E6-9267-1B0444554826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port" connectionId="3" xr16:uid="{FCC49217-3532-49CA-ADC1-C31CA51FD279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port" connectionId="4" xr16:uid="{09A86C50-13E3-42D0-A8BC-7BB6C60CB90A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port" connectionId="5" xr16:uid="{29E1FF89-7A72-46A9-907D-E2816537049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5"/>
  <sheetViews>
    <sheetView workbookViewId="0"/>
  </sheetViews>
  <sheetFormatPr defaultRowHeight="15" x14ac:dyDescent="0.25"/>
  <cols>
    <col min="1" max="1" width="18" bestFit="1" customWidth="1"/>
    <col min="2" max="2" width="13.7109375" bestFit="1" customWidth="1"/>
    <col min="3" max="3" width="12.7109375" bestFit="1" customWidth="1"/>
    <col min="4" max="4" width="15.7109375" bestFit="1" customWidth="1"/>
    <col min="5" max="5" width="8.7109375" bestFit="1" customWidth="1"/>
    <col min="6" max="6" width="24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2006</v>
      </c>
      <c r="C2">
        <v>85900</v>
      </c>
      <c r="D2" t="s">
        <v>7</v>
      </c>
      <c r="E2">
        <v>1200655</v>
      </c>
      <c r="F2" s="1">
        <v>42035</v>
      </c>
    </row>
    <row r="3" spans="1:6" x14ac:dyDescent="0.25">
      <c r="A3" t="s">
        <v>6</v>
      </c>
      <c r="B3">
        <v>2006</v>
      </c>
      <c r="C3">
        <v>85900</v>
      </c>
      <c r="D3" t="s">
        <v>8</v>
      </c>
      <c r="E3">
        <v>1068570</v>
      </c>
      <c r="F3" s="1">
        <v>42029</v>
      </c>
    </row>
    <row r="4" spans="1:6" x14ac:dyDescent="0.25">
      <c r="A4" t="s">
        <v>6</v>
      </c>
      <c r="B4">
        <v>2006</v>
      </c>
      <c r="C4">
        <v>85900</v>
      </c>
      <c r="D4" t="s">
        <v>9</v>
      </c>
      <c r="E4">
        <v>998704</v>
      </c>
      <c r="F4" s="1">
        <v>42028</v>
      </c>
    </row>
    <row r="5" spans="1:6" x14ac:dyDescent="0.25">
      <c r="A5" t="s">
        <v>6</v>
      </c>
      <c r="B5">
        <v>2006</v>
      </c>
      <c r="C5">
        <v>85900</v>
      </c>
      <c r="D5" t="s">
        <v>10</v>
      </c>
      <c r="E5">
        <v>936780</v>
      </c>
      <c r="F5" s="1">
        <v>42028</v>
      </c>
    </row>
    <row r="6" spans="1:6" x14ac:dyDescent="0.25">
      <c r="A6" t="s">
        <v>6</v>
      </c>
      <c r="B6">
        <v>2006</v>
      </c>
      <c r="C6">
        <v>85900</v>
      </c>
      <c r="D6" t="s">
        <v>11</v>
      </c>
      <c r="E6">
        <v>870233</v>
      </c>
      <c r="F6" s="1">
        <v>42034</v>
      </c>
    </row>
    <row r="7" spans="1:6" x14ac:dyDescent="0.25">
      <c r="A7" t="s">
        <v>12</v>
      </c>
      <c r="B7">
        <v>2007</v>
      </c>
      <c r="C7">
        <v>205000</v>
      </c>
      <c r="D7" t="s">
        <v>13</v>
      </c>
      <c r="E7">
        <v>1260000</v>
      </c>
      <c r="F7" s="1">
        <v>42483</v>
      </c>
    </row>
    <row r="8" spans="1:6" x14ac:dyDescent="0.25">
      <c r="A8" t="s">
        <v>14</v>
      </c>
      <c r="B8">
        <v>2007</v>
      </c>
      <c r="C8">
        <v>198000</v>
      </c>
      <c r="D8" t="s">
        <v>15</v>
      </c>
      <c r="E8">
        <v>890200</v>
      </c>
      <c r="F8" s="1">
        <v>42520</v>
      </c>
    </row>
    <row r="9" spans="1:6" x14ac:dyDescent="0.25">
      <c r="A9" t="s">
        <v>16</v>
      </c>
      <c r="B9">
        <v>2008</v>
      </c>
      <c r="C9">
        <v>49411</v>
      </c>
      <c r="D9" t="s">
        <v>17</v>
      </c>
      <c r="E9">
        <v>186000</v>
      </c>
      <c r="F9" s="1">
        <v>42210</v>
      </c>
    </row>
    <row r="10" spans="1:6" x14ac:dyDescent="0.25">
      <c r="A10" t="s">
        <v>18</v>
      </c>
      <c r="B10">
        <v>2008</v>
      </c>
      <c r="C10">
        <v>58000</v>
      </c>
      <c r="D10" t="s">
        <v>19</v>
      </c>
      <c r="E10">
        <v>306000</v>
      </c>
      <c r="F10" s="1">
        <v>42271</v>
      </c>
    </row>
    <row r="11" spans="1:6" x14ac:dyDescent="0.25">
      <c r="A11" t="s">
        <v>20</v>
      </c>
      <c r="B11">
        <v>2008</v>
      </c>
      <c r="C11">
        <v>84000</v>
      </c>
      <c r="D11" t="s">
        <v>21</v>
      </c>
      <c r="E11">
        <v>266000</v>
      </c>
      <c r="F11" s="1">
        <v>42382</v>
      </c>
    </row>
    <row r="12" spans="1:6" x14ac:dyDescent="0.25">
      <c r="A12" t="s">
        <v>22</v>
      </c>
      <c r="B12">
        <v>2008</v>
      </c>
      <c r="C12">
        <v>89000</v>
      </c>
      <c r="D12" t="s">
        <v>23</v>
      </c>
      <c r="E12">
        <v>305000</v>
      </c>
      <c r="F12" s="1">
        <v>42075</v>
      </c>
    </row>
    <row r="13" spans="1:6" x14ac:dyDescent="0.25">
      <c r="A13" t="s">
        <v>16</v>
      </c>
      <c r="B13">
        <v>2009</v>
      </c>
      <c r="C13">
        <v>48411</v>
      </c>
      <c r="D13" t="s">
        <v>24</v>
      </c>
      <c r="E13">
        <v>190000</v>
      </c>
      <c r="F13" s="1">
        <v>42210</v>
      </c>
    </row>
    <row r="14" spans="1:6" x14ac:dyDescent="0.25">
      <c r="A14" t="s">
        <v>25</v>
      </c>
      <c r="B14">
        <v>2009</v>
      </c>
      <c r="C14">
        <v>68000</v>
      </c>
      <c r="D14" t="s">
        <v>26</v>
      </c>
      <c r="E14">
        <v>992600</v>
      </c>
      <c r="F14" s="1">
        <v>42157</v>
      </c>
    </row>
    <row r="15" spans="1:6" x14ac:dyDescent="0.25">
      <c r="A15" t="s">
        <v>16</v>
      </c>
      <c r="B15">
        <v>2009</v>
      </c>
      <c r="C15">
        <v>49411</v>
      </c>
      <c r="D15" t="s">
        <v>27</v>
      </c>
      <c r="E15">
        <v>186000</v>
      </c>
      <c r="F15" s="1">
        <v>42210</v>
      </c>
    </row>
    <row r="16" spans="1:6" x14ac:dyDescent="0.25">
      <c r="A16" t="s">
        <v>28</v>
      </c>
      <c r="B16">
        <v>2009</v>
      </c>
      <c r="C16">
        <v>67900</v>
      </c>
      <c r="D16" t="s">
        <v>29</v>
      </c>
      <c r="E16">
        <v>850000</v>
      </c>
      <c r="F16" s="1">
        <v>42194</v>
      </c>
    </row>
    <row r="17" spans="1:6" x14ac:dyDescent="0.25">
      <c r="A17" t="s">
        <v>16</v>
      </c>
      <c r="B17">
        <v>2009</v>
      </c>
      <c r="C17">
        <v>65000</v>
      </c>
      <c r="D17" t="s">
        <v>30</v>
      </c>
      <c r="E17">
        <v>740000</v>
      </c>
      <c r="F17" s="1">
        <v>42385</v>
      </c>
    </row>
    <row r="18" spans="1:6" x14ac:dyDescent="0.25">
      <c r="A18" t="s">
        <v>28</v>
      </c>
      <c r="B18">
        <v>2009</v>
      </c>
      <c r="C18">
        <v>68900</v>
      </c>
      <c r="D18" t="s">
        <v>31</v>
      </c>
      <c r="E18">
        <v>846000</v>
      </c>
      <c r="F18" s="1">
        <v>42194</v>
      </c>
    </row>
    <row r="19" spans="1:6" x14ac:dyDescent="0.25">
      <c r="A19" t="s">
        <v>18</v>
      </c>
      <c r="B19">
        <v>2009</v>
      </c>
      <c r="C19">
        <v>59000</v>
      </c>
      <c r="D19" t="s">
        <v>32</v>
      </c>
      <c r="E19">
        <v>302000</v>
      </c>
      <c r="F19" s="1">
        <v>42271</v>
      </c>
    </row>
    <row r="20" spans="1:6" x14ac:dyDescent="0.25">
      <c r="A20" t="s">
        <v>33</v>
      </c>
      <c r="B20">
        <v>2009</v>
      </c>
      <c r="C20">
        <v>77000</v>
      </c>
      <c r="D20" t="s">
        <v>34</v>
      </c>
      <c r="E20">
        <v>846000</v>
      </c>
      <c r="F20" s="1">
        <v>42376</v>
      </c>
    </row>
    <row r="21" spans="1:6" x14ac:dyDescent="0.25">
      <c r="A21" t="s">
        <v>35</v>
      </c>
      <c r="B21">
        <v>2009</v>
      </c>
      <c r="C21">
        <v>85000</v>
      </c>
      <c r="D21" t="s">
        <v>36</v>
      </c>
      <c r="E21">
        <v>946000</v>
      </c>
      <c r="F21" s="1">
        <v>42014</v>
      </c>
    </row>
    <row r="22" spans="1:6" x14ac:dyDescent="0.25">
      <c r="A22" t="s">
        <v>37</v>
      </c>
      <c r="B22">
        <v>2009</v>
      </c>
      <c r="C22">
        <v>79000</v>
      </c>
      <c r="D22" t="s">
        <v>38</v>
      </c>
      <c r="E22">
        <v>390000</v>
      </c>
      <c r="F22" s="1">
        <v>42379</v>
      </c>
    </row>
    <row r="23" spans="1:6" x14ac:dyDescent="0.25">
      <c r="A23" t="s">
        <v>37</v>
      </c>
      <c r="B23">
        <v>2009</v>
      </c>
      <c r="C23">
        <v>79000</v>
      </c>
      <c r="D23" t="s">
        <v>39</v>
      </c>
      <c r="E23">
        <v>390000</v>
      </c>
      <c r="F23" s="1">
        <v>42379</v>
      </c>
    </row>
    <row r="24" spans="1:6" x14ac:dyDescent="0.25">
      <c r="A24" t="s">
        <v>20</v>
      </c>
      <c r="B24">
        <v>2009</v>
      </c>
      <c r="C24">
        <v>83000</v>
      </c>
      <c r="D24" t="s">
        <v>40</v>
      </c>
      <c r="E24">
        <v>270000</v>
      </c>
      <c r="F24" s="1">
        <v>42382</v>
      </c>
    </row>
    <row r="25" spans="1:6" x14ac:dyDescent="0.25">
      <c r="A25" t="s">
        <v>41</v>
      </c>
      <c r="B25">
        <v>2009</v>
      </c>
      <c r="C25">
        <v>86133</v>
      </c>
      <c r="D25" t="s">
        <v>42</v>
      </c>
      <c r="E25">
        <v>380000</v>
      </c>
      <c r="F25" s="1">
        <v>42208</v>
      </c>
    </row>
    <row r="26" spans="1:6" x14ac:dyDescent="0.25">
      <c r="A26" t="s">
        <v>22</v>
      </c>
      <c r="B26">
        <v>2009</v>
      </c>
      <c r="C26">
        <v>90000</v>
      </c>
      <c r="D26" t="s">
        <v>43</v>
      </c>
      <c r="E26">
        <v>301000</v>
      </c>
      <c r="F26" s="1">
        <v>42075</v>
      </c>
    </row>
    <row r="27" spans="1:6" x14ac:dyDescent="0.25">
      <c r="A27" t="s">
        <v>35</v>
      </c>
      <c r="B27">
        <v>2009</v>
      </c>
      <c r="C27">
        <v>91000</v>
      </c>
      <c r="D27" t="s">
        <v>44</v>
      </c>
      <c r="E27">
        <v>360000</v>
      </c>
      <c r="F27" s="1">
        <v>42174</v>
      </c>
    </row>
    <row r="28" spans="1:6" x14ac:dyDescent="0.25">
      <c r="A28" t="s">
        <v>45</v>
      </c>
      <c r="B28">
        <v>2009</v>
      </c>
      <c r="C28">
        <v>114400</v>
      </c>
      <c r="D28" t="s">
        <v>46</v>
      </c>
      <c r="E28">
        <v>226000</v>
      </c>
      <c r="F28" s="1">
        <v>42073</v>
      </c>
    </row>
    <row r="29" spans="1:6" x14ac:dyDescent="0.25">
      <c r="A29" t="s">
        <v>47</v>
      </c>
      <c r="B29">
        <v>2009</v>
      </c>
      <c r="C29">
        <v>134000</v>
      </c>
      <c r="D29" t="s">
        <v>48</v>
      </c>
      <c r="E29">
        <v>482000</v>
      </c>
      <c r="F29" s="1">
        <v>42385</v>
      </c>
    </row>
    <row r="30" spans="1:6" x14ac:dyDescent="0.25">
      <c r="A30" t="s">
        <v>47</v>
      </c>
      <c r="B30">
        <v>2009</v>
      </c>
      <c r="C30">
        <v>135000</v>
      </c>
      <c r="D30" t="s">
        <v>49</v>
      </c>
      <c r="E30">
        <v>478000</v>
      </c>
      <c r="F30" s="1">
        <v>42385</v>
      </c>
    </row>
    <row r="31" spans="1:6" x14ac:dyDescent="0.25">
      <c r="A31" t="s">
        <v>50</v>
      </c>
      <c r="B31">
        <v>2009</v>
      </c>
      <c r="C31">
        <v>131780</v>
      </c>
      <c r="D31" t="s">
        <v>51</v>
      </c>
      <c r="E31">
        <v>306000</v>
      </c>
      <c r="F31" s="1">
        <v>42365</v>
      </c>
    </row>
    <row r="32" spans="1:6" x14ac:dyDescent="0.25">
      <c r="A32" t="s">
        <v>45</v>
      </c>
      <c r="B32">
        <v>2009</v>
      </c>
      <c r="C32">
        <v>159000</v>
      </c>
      <c r="D32" t="s">
        <v>52</v>
      </c>
      <c r="E32">
        <v>403000</v>
      </c>
      <c r="F32" s="1">
        <v>42681</v>
      </c>
    </row>
    <row r="33" spans="1:6" x14ac:dyDescent="0.25">
      <c r="A33" t="s">
        <v>33</v>
      </c>
      <c r="B33">
        <v>2009</v>
      </c>
      <c r="C33">
        <v>162800</v>
      </c>
      <c r="D33" t="s">
        <v>53</v>
      </c>
      <c r="E33">
        <v>370000</v>
      </c>
      <c r="F33" s="1">
        <v>42329</v>
      </c>
    </row>
    <row r="34" spans="1:6" x14ac:dyDescent="0.25">
      <c r="A34" t="s">
        <v>54</v>
      </c>
      <c r="B34">
        <v>2009</v>
      </c>
      <c r="C34">
        <v>168800</v>
      </c>
      <c r="D34" t="s">
        <v>55</v>
      </c>
      <c r="E34">
        <v>186300</v>
      </c>
      <c r="F34" s="1">
        <v>42272</v>
      </c>
    </row>
    <row r="35" spans="1:6" x14ac:dyDescent="0.25">
      <c r="A35" t="s">
        <v>56</v>
      </c>
      <c r="B35">
        <v>2009</v>
      </c>
      <c r="C35">
        <v>195370</v>
      </c>
      <c r="D35" t="s">
        <v>57</v>
      </c>
      <c r="E35">
        <v>290000</v>
      </c>
      <c r="F35" s="1">
        <v>42467</v>
      </c>
    </row>
    <row r="36" spans="1:6" x14ac:dyDescent="0.25">
      <c r="A36" t="s">
        <v>58</v>
      </c>
      <c r="B36">
        <v>2009</v>
      </c>
      <c r="C36">
        <v>195340</v>
      </c>
      <c r="D36" t="s">
        <v>59</v>
      </c>
      <c r="E36">
        <v>190000</v>
      </c>
      <c r="F36" s="1">
        <v>42278</v>
      </c>
    </row>
    <row r="37" spans="1:6" x14ac:dyDescent="0.25">
      <c r="A37" t="s">
        <v>60</v>
      </c>
      <c r="B37">
        <v>2009</v>
      </c>
      <c r="C37">
        <v>230000</v>
      </c>
      <c r="D37" t="s">
        <v>61</v>
      </c>
      <c r="E37">
        <v>305000</v>
      </c>
      <c r="F37" s="1">
        <v>42307</v>
      </c>
    </row>
    <row r="38" spans="1:6" x14ac:dyDescent="0.25">
      <c r="A38" t="s">
        <v>62</v>
      </c>
      <c r="B38">
        <v>2009</v>
      </c>
      <c r="C38">
        <v>291000</v>
      </c>
      <c r="D38" t="s">
        <v>63</v>
      </c>
      <c r="E38">
        <v>166000</v>
      </c>
      <c r="F38" s="1">
        <v>42297</v>
      </c>
    </row>
    <row r="39" spans="1:6" x14ac:dyDescent="0.25">
      <c r="A39" t="s">
        <v>50</v>
      </c>
      <c r="B39">
        <v>2010</v>
      </c>
      <c r="C39">
        <v>37000</v>
      </c>
      <c r="D39" t="s">
        <v>64</v>
      </c>
      <c r="E39">
        <v>978000</v>
      </c>
      <c r="F39" s="1">
        <v>42309</v>
      </c>
    </row>
    <row r="40" spans="1:6" x14ac:dyDescent="0.25">
      <c r="A40" t="s">
        <v>50</v>
      </c>
      <c r="B40">
        <v>2010</v>
      </c>
      <c r="C40">
        <v>40830</v>
      </c>
      <c r="D40" t="s">
        <v>65</v>
      </c>
      <c r="E40">
        <v>326000</v>
      </c>
      <c r="F40" s="1">
        <v>42062</v>
      </c>
    </row>
    <row r="41" spans="1:6" x14ac:dyDescent="0.25">
      <c r="A41" t="s">
        <v>16</v>
      </c>
      <c r="B41">
        <v>2010</v>
      </c>
      <c r="C41">
        <v>66000</v>
      </c>
      <c r="D41" t="s">
        <v>66</v>
      </c>
      <c r="E41">
        <v>736000</v>
      </c>
      <c r="F41" s="1">
        <v>42385</v>
      </c>
    </row>
    <row r="42" spans="1:6" x14ac:dyDescent="0.25">
      <c r="A42" t="s">
        <v>67</v>
      </c>
      <c r="B42">
        <v>2010</v>
      </c>
      <c r="C42">
        <v>60000</v>
      </c>
      <c r="D42" t="s">
        <v>68</v>
      </c>
      <c r="E42">
        <v>99250</v>
      </c>
      <c r="F42" s="1">
        <v>42226</v>
      </c>
    </row>
    <row r="43" spans="1:6" x14ac:dyDescent="0.25">
      <c r="A43" t="s">
        <v>35</v>
      </c>
      <c r="B43">
        <v>2010</v>
      </c>
      <c r="C43">
        <v>84000</v>
      </c>
      <c r="D43" t="s">
        <v>69</v>
      </c>
      <c r="E43">
        <v>950000</v>
      </c>
      <c r="F43" s="1">
        <v>42029</v>
      </c>
    </row>
    <row r="44" spans="1:6" x14ac:dyDescent="0.25">
      <c r="A44" t="s">
        <v>25</v>
      </c>
      <c r="B44">
        <v>2010</v>
      </c>
      <c r="C44">
        <v>67000</v>
      </c>
      <c r="D44" t="s">
        <v>70</v>
      </c>
      <c r="E44">
        <v>103260</v>
      </c>
      <c r="F44" s="1">
        <v>42157</v>
      </c>
    </row>
    <row r="45" spans="1:6" x14ac:dyDescent="0.25">
      <c r="A45" t="s">
        <v>71</v>
      </c>
      <c r="B45">
        <v>2010</v>
      </c>
      <c r="C45">
        <v>75300</v>
      </c>
      <c r="D45" t="s">
        <v>72</v>
      </c>
      <c r="E45">
        <v>302000</v>
      </c>
      <c r="F45" s="1">
        <v>42174</v>
      </c>
    </row>
    <row r="46" spans="1:6" x14ac:dyDescent="0.25">
      <c r="A46" t="s">
        <v>20</v>
      </c>
      <c r="B46">
        <v>2010</v>
      </c>
      <c r="C46">
        <v>84000</v>
      </c>
      <c r="D46" t="s">
        <v>73</v>
      </c>
      <c r="E46">
        <v>266000</v>
      </c>
      <c r="F46" s="1">
        <v>42382</v>
      </c>
    </row>
    <row r="47" spans="1:6" x14ac:dyDescent="0.25">
      <c r="A47" t="s">
        <v>35</v>
      </c>
      <c r="B47">
        <v>2010</v>
      </c>
      <c r="C47">
        <v>92000</v>
      </c>
      <c r="D47" t="s">
        <v>74</v>
      </c>
      <c r="E47">
        <v>356000</v>
      </c>
      <c r="F47" s="1">
        <v>42174</v>
      </c>
    </row>
    <row r="48" spans="1:6" x14ac:dyDescent="0.25">
      <c r="A48" t="s">
        <v>45</v>
      </c>
      <c r="B48">
        <v>2010</v>
      </c>
      <c r="C48">
        <v>89000</v>
      </c>
      <c r="D48" t="s">
        <v>75</v>
      </c>
      <c r="E48">
        <v>266000</v>
      </c>
      <c r="F48" s="1">
        <v>42382</v>
      </c>
    </row>
    <row r="49" spans="1:6" x14ac:dyDescent="0.25">
      <c r="A49" t="s">
        <v>76</v>
      </c>
      <c r="B49">
        <v>2010</v>
      </c>
      <c r="C49">
        <v>94000</v>
      </c>
      <c r="D49" t="s">
        <v>77</v>
      </c>
      <c r="E49">
        <v>91000</v>
      </c>
      <c r="F49" s="1">
        <v>42268</v>
      </c>
    </row>
    <row r="50" spans="1:6" x14ac:dyDescent="0.25">
      <c r="A50" t="s">
        <v>45</v>
      </c>
      <c r="B50">
        <v>2010</v>
      </c>
      <c r="C50">
        <v>113400</v>
      </c>
      <c r="D50" t="s">
        <v>78</v>
      </c>
      <c r="E50">
        <v>230000</v>
      </c>
      <c r="F50" s="1">
        <v>42073</v>
      </c>
    </row>
    <row r="51" spans="1:6" x14ac:dyDescent="0.25">
      <c r="A51" t="s">
        <v>79</v>
      </c>
      <c r="B51">
        <v>2010</v>
      </c>
      <c r="C51">
        <v>135000</v>
      </c>
      <c r="D51" t="s">
        <v>80</v>
      </c>
      <c r="E51">
        <v>251000</v>
      </c>
      <c r="F51" s="1">
        <v>42067</v>
      </c>
    </row>
    <row r="52" spans="1:6" x14ac:dyDescent="0.25">
      <c r="A52" t="s">
        <v>81</v>
      </c>
      <c r="B52">
        <v>2010</v>
      </c>
      <c r="C52">
        <v>160000</v>
      </c>
      <c r="D52" t="s">
        <v>82</v>
      </c>
      <c r="E52">
        <v>263000</v>
      </c>
      <c r="F52" s="1">
        <v>42028</v>
      </c>
    </row>
    <row r="53" spans="1:6" x14ac:dyDescent="0.25">
      <c r="A53" t="s">
        <v>83</v>
      </c>
      <c r="B53">
        <v>2010</v>
      </c>
      <c r="C53">
        <v>265000</v>
      </c>
      <c r="D53" t="s">
        <v>84</v>
      </c>
      <c r="E53">
        <v>930000</v>
      </c>
      <c r="F53" s="1">
        <v>42236</v>
      </c>
    </row>
    <row r="54" spans="1:6" x14ac:dyDescent="0.25">
      <c r="A54" t="s">
        <v>83</v>
      </c>
      <c r="B54">
        <v>2010</v>
      </c>
      <c r="C54">
        <v>265000</v>
      </c>
      <c r="D54" t="s">
        <v>85</v>
      </c>
      <c r="E54">
        <v>912000</v>
      </c>
      <c r="F54" s="1">
        <v>42236</v>
      </c>
    </row>
    <row r="55" spans="1:6" x14ac:dyDescent="0.25">
      <c r="A55" t="s">
        <v>83</v>
      </c>
      <c r="B55">
        <v>2010</v>
      </c>
      <c r="C55">
        <v>265000</v>
      </c>
      <c r="D55" t="s">
        <v>86</v>
      </c>
      <c r="E55">
        <v>856000</v>
      </c>
      <c r="F55" s="1">
        <v>42236</v>
      </c>
    </row>
    <row r="56" spans="1:6" x14ac:dyDescent="0.25">
      <c r="A56" t="s">
        <v>33</v>
      </c>
      <c r="B56">
        <v>2010</v>
      </c>
      <c r="C56">
        <v>230000</v>
      </c>
      <c r="D56" t="s">
        <v>87</v>
      </c>
      <c r="E56">
        <v>455000</v>
      </c>
      <c r="F56" s="1">
        <v>42439</v>
      </c>
    </row>
    <row r="57" spans="1:6" x14ac:dyDescent="0.25">
      <c r="A57" t="s">
        <v>60</v>
      </c>
      <c r="B57">
        <v>2010</v>
      </c>
      <c r="C57">
        <v>231000</v>
      </c>
      <c r="D57" t="s">
        <v>88</v>
      </c>
      <c r="E57">
        <v>301000</v>
      </c>
      <c r="F57" s="1">
        <v>42307</v>
      </c>
    </row>
    <row r="58" spans="1:6" x14ac:dyDescent="0.25">
      <c r="A58" t="s">
        <v>62</v>
      </c>
      <c r="B58">
        <v>2010</v>
      </c>
      <c r="C58">
        <v>257000</v>
      </c>
      <c r="D58" t="s">
        <v>89</v>
      </c>
      <c r="E58">
        <v>164700</v>
      </c>
      <c r="F58" s="1">
        <v>42286</v>
      </c>
    </row>
    <row r="59" spans="1:6" x14ac:dyDescent="0.25">
      <c r="A59" t="s">
        <v>50</v>
      </c>
      <c r="B59">
        <v>2011</v>
      </c>
      <c r="C59">
        <v>38000</v>
      </c>
      <c r="D59" t="s">
        <v>90</v>
      </c>
      <c r="E59">
        <v>574000</v>
      </c>
      <c r="F59" s="1">
        <v>42309</v>
      </c>
    </row>
    <row r="60" spans="1:6" x14ac:dyDescent="0.25">
      <c r="A60" t="s">
        <v>91</v>
      </c>
      <c r="B60">
        <v>2011</v>
      </c>
      <c r="C60">
        <v>56700</v>
      </c>
      <c r="D60" t="s">
        <v>92</v>
      </c>
      <c r="E60">
        <v>290000</v>
      </c>
      <c r="F60" s="1">
        <v>42236</v>
      </c>
    </row>
    <row r="61" spans="1:6" x14ac:dyDescent="0.25">
      <c r="A61" t="s">
        <v>91</v>
      </c>
      <c r="B61">
        <v>2011</v>
      </c>
      <c r="C61">
        <v>57700</v>
      </c>
      <c r="D61" t="s">
        <v>93</v>
      </c>
      <c r="E61">
        <v>286000</v>
      </c>
      <c r="F61" s="1">
        <v>42236</v>
      </c>
    </row>
    <row r="62" spans="1:6" x14ac:dyDescent="0.25">
      <c r="A62" t="s">
        <v>67</v>
      </c>
      <c r="B62">
        <v>2011</v>
      </c>
      <c r="C62">
        <v>59000</v>
      </c>
      <c r="D62" t="s">
        <v>94</v>
      </c>
      <c r="E62">
        <v>103250</v>
      </c>
      <c r="F62" s="1">
        <v>42226</v>
      </c>
    </row>
    <row r="63" spans="1:6" x14ac:dyDescent="0.25">
      <c r="A63" t="s">
        <v>71</v>
      </c>
      <c r="B63">
        <v>2011</v>
      </c>
      <c r="C63">
        <v>74300</v>
      </c>
      <c r="D63" t="s">
        <v>95</v>
      </c>
      <c r="E63">
        <v>306000</v>
      </c>
      <c r="F63" s="1">
        <v>42174</v>
      </c>
    </row>
    <row r="64" spans="1:6" x14ac:dyDescent="0.25">
      <c r="A64" t="s">
        <v>62</v>
      </c>
      <c r="B64">
        <v>2011</v>
      </c>
      <c r="C64">
        <v>210000</v>
      </c>
      <c r="D64" t="s">
        <v>96</v>
      </c>
      <c r="E64">
        <v>780000</v>
      </c>
      <c r="F64" s="1">
        <v>42481</v>
      </c>
    </row>
    <row r="65" spans="1:6" x14ac:dyDescent="0.25">
      <c r="A65" t="s">
        <v>62</v>
      </c>
      <c r="B65">
        <v>2011</v>
      </c>
      <c r="C65">
        <v>210000</v>
      </c>
      <c r="D65" t="s">
        <v>97</v>
      </c>
      <c r="E65">
        <v>760300</v>
      </c>
      <c r="F65" s="1">
        <v>42481</v>
      </c>
    </row>
    <row r="66" spans="1:6" x14ac:dyDescent="0.25">
      <c r="A66" t="s">
        <v>62</v>
      </c>
      <c r="B66">
        <v>2011</v>
      </c>
      <c r="C66">
        <v>210000</v>
      </c>
      <c r="D66" t="s">
        <v>98</v>
      </c>
      <c r="E66">
        <v>680000</v>
      </c>
      <c r="F66" s="1">
        <v>42481</v>
      </c>
    </row>
    <row r="67" spans="1:6" x14ac:dyDescent="0.25">
      <c r="A67" t="s">
        <v>62</v>
      </c>
      <c r="B67">
        <v>2011</v>
      </c>
      <c r="C67">
        <v>210000</v>
      </c>
      <c r="D67" t="s">
        <v>99</v>
      </c>
      <c r="E67">
        <v>655000</v>
      </c>
      <c r="F67" s="1">
        <v>42481</v>
      </c>
    </row>
    <row r="68" spans="1:6" x14ac:dyDescent="0.25">
      <c r="A68" t="s">
        <v>100</v>
      </c>
      <c r="B68">
        <v>2011</v>
      </c>
      <c r="C68">
        <v>220000</v>
      </c>
      <c r="D68" t="s">
        <v>101</v>
      </c>
      <c r="E68">
        <v>731000</v>
      </c>
      <c r="F68" s="1">
        <v>42236</v>
      </c>
    </row>
    <row r="69" spans="1:6" x14ac:dyDescent="0.25">
      <c r="A69" t="s">
        <v>100</v>
      </c>
      <c r="B69">
        <v>2011</v>
      </c>
      <c r="C69">
        <v>220000</v>
      </c>
      <c r="D69" t="s">
        <v>102</v>
      </c>
      <c r="E69">
        <v>685413</v>
      </c>
      <c r="F69" s="1">
        <v>42236</v>
      </c>
    </row>
    <row r="70" spans="1:6" x14ac:dyDescent="0.25">
      <c r="A70" t="s">
        <v>58</v>
      </c>
      <c r="B70">
        <v>2011</v>
      </c>
      <c r="C70">
        <v>196340</v>
      </c>
      <c r="D70" t="s">
        <v>103</v>
      </c>
      <c r="E70">
        <v>186000</v>
      </c>
      <c r="F70" s="1">
        <v>42278</v>
      </c>
    </row>
    <row r="71" spans="1:6" x14ac:dyDescent="0.25">
      <c r="A71" t="s">
        <v>104</v>
      </c>
      <c r="B71">
        <v>2011</v>
      </c>
      <c r="C71">
        <v>245000</v>
      </c>
      <c r="D71" t="s">
        <v>105</v>
      </c>
      <c r="E71">
        <v>720000</v>
      </c>
      <c r="F71" s="1">
        <v>42462</v>
      </c>
    </row>
    <row r="72" spans="1:6" x14ac:dyDescent="0.25">
      <c r="A72" t="s">
        <v>104</v>
      </c>
      <c r="B72">
        <v>2011</v>
      </c>
      <c r="C72">
        <v>245000</v>
      </c>
      <c r="D72" t="s">
        <v>106</v>
      </c>
      <c r="E72">
        <v>680000</v>
      </c>
      <c r="F72" s="1">
        <v>42462</v>
      </c>
    </row>
    <row r="73" spans="1:6" x14ac:dyDescent="0.25">
      <c r="A73" t="s">
        <v>104</v>
      </c>
      <c r="B73">
        <v>2011</v>
      </c>
      <c r="C73">
        <v>245000</v>
      </c>
      <c r="D73" t="s">
        <v>107</v>
      </c>
      <c r="E73">
        <v>660000</v>
      </c>
      <c r="F73" s="1">
        <v>42462</v>
      </c>
    </row>
    <row r="74" spans="1:6" x14ac:dyDescent="0.25">
      <c r="A74" t="s">
        <v>104</v>
      </c>
      <c r="B74">
        <v>2011</v>
      </c>
      <c r="C74">
        <v>245000</v>
      </c>
      <c r="D74" t="s">
        <v>108</v>
      </c>
      <c r="E74">
        <v>630000</v>
      </c>
      <c r="F74" s="1">
        <v>42462</v>
      </c>
    </row>
    <row r="75" spans="1:6" x14ac:dyDescent="0.25">
      <c r="A75" t="s">
        <v>104</v>
      </c>
      <c r="B75">
        <v>2011</v>
      </c>
      <c r="C75">
        <v>245000</v>
      </c>
      <c r="D75" t="s">
        <v>109</v>
      </c>
      <c r="E75">
        <v>655000</v>
      </c>
      <c r="F75" s="1">
        <v>42462</v>
      </c>
    </row>
    <row r="76" spans="1:6" x14ac:dyDescent="0.25">
      <c r="A76" t="s">
        <v>104</v>
      </c>
      <c r="B76">
        <v>2011</v>
      </c>
      <c r="C76">
        <v>245000</v>
      </c>
      <c r="D76" t="s">
        <v>110</v>
      </c>
      <c r="E76">
        <v>590000</v>
      </c>
      <c r="F76" s="1">
        <v>42462</v>
      </c>
    </row>
    <row r="77" spans="1:6" x14ac:dyDescent="0.25">
      <c r="A77" t="s">
        <v>50</v>
      </c>
      <c r="B77">
        <v>2012</v>
      </c>
      <c r="C77">
        <v>39830</v>
      </c>
      <c r="D77" t="s">
        <v>111</v>
      </c>
      <c r="E77">
        <v>330000</v>
      </c>
      <c r="F77" s="1">
        <v>42062</v>
      </c>
    </row>
    <row r="78" spans="1:6" x14ac:dyDescent="0.25">
      <c r="A78" t="s">
        <v>50</v>
      </c>
      <c r="B78">
        <v>2012</v>
      </c>
      <c r="C78">
        <v>48800</v>
      </c>
      <c r="D78" t="s">
        <v>112</v>
      </c>
      <c r="E78">
        <v>268650</v>
      </c>
      <c r="F78" s="1">
        <v>42117</v>
      </c>
    </row>
    <row r="79" spans="1:6" x14ac:dyDescent="0.25">
      <c r="A79" t="s">
        <v>18</v>
      </c>
      <c r="B79">
        <v>2012</v>
      </c>
      <c r="C79">
        <v>59000</v>
      </c>
      <c r="D79" t="s">
        <v>113</v>
      </c>
      <c r="E79">
        <v>302000</v>
      </c>
      <c r="F79" s="1">
        <v>42271</v>
      </c>
    </row>
    <row r="80" spans="1:6" x14ac:dyDescent="0.25">
      <c r="A80" t="s">
        <v>33</v>
      </c>
      <c r="B80">
        <v>2012</v>
      </c>
      <c r="C80">
        <v>76000</v>
      </c>
      <c r="D80" t="s">
        <v>114</v>
      </c>
      <c r="E80">
        <v>850000</v>
      </c>
      <c r="F80" s="1">
        <v>42376</v>
      </c>
    </row>
    <row r="81" spans="1:6" x14ac:dyDescent="0.25">
      <c r="A81" t="s">
        <v>41</v>
      </c>
      <c r="B81">
        <v>2012</v>
      </c>
      <c r="C81">
        <v>87133</v>
      </c>
      <c r="D81" t="s">
        <v>115</v>
      </c>
      <c r="E81">
        <v>376000</v>
      </c>
      <c r="F81" s="1">
        <v>42208</v>
      </c>
    </row>
    <row r="82" spans="1:6" x14ac:dyDescent="0.25">
      <c r="A82" t="s">
        <v>22</v>
      </c>
      <c r="B82">
        <v>2012</v>
      </c>
      <c r="C82">
        <v>110000</v>
      </c>
      <c r="D82" t="s">
        <v>116</v>
      </c>
      <c r="E82">
        <v>201000</v>
      </c>
      <c r="F82" s="1">
        <v>42075</v>
      </c>
    </row>
    <row r="83" spans="1:6" x14ac:dyDescent="0.25">
      <c r="A83" t="s">
        <v>50</v>
      </c>
      <c r="B83">
        <v>2012</v>
      </c>
      <c r="C83">
        <v>130780</v>
      </c>
      <c r="D83" t="s">
        <v>117</v>
      </c>
      <c r="E83">
        <v>310000</v>
      </c>
      <c r="F83" s="1">
        <v>42365</v>
      </c>
    </row>
    <row r="84" spans="1:6" x14ac:dyDescent="0.25">
      <c r="A84" t="s">
        <v>45</v>
      </c>
      <c r="B84">
        <v>2012</v>
      </c>
      <c r="C84">
        <v>135502</v>
      </c>
      <c r="D84" t="s">
        <v>118</v>
      </c>
      <c r="E84">
        <v>247000</v>
      </c>
      <c r="F84" s="1">
        <v>42476</v>
      </c>
    </row>
    <row r="85" spans="1:6" x14ac:dyDescent="0.25">
      <c r="A85" t="s">
        <v>119</v>
      </c>
      <c r="B85">
        <v>2012</v>
      </c>
      <c r="C85">
        <v>145000</v>
      </c>
      <c r="D85" t="s">
        <v>120</v>
      </c>
      <c r="E85">
        <v>386732</v>
      </c>
      <c r="F85" s="1">
        <v>42059</v>
      </c>
    </row>
    <row r="86" spans="1:6" x14ac:dyDescent="0.25">
      <c r="A86" t="s">
        <v>119</v>
      </c>
      <c r="B86">
        <v>2012</v>
      </c>
      <c r="C86">
        <v>145000</v>
      </c>
      <c r="D86" t="s">
        <v>121</v>
      </c>
      <c r="E86">
        <v>312680</v>
      </c>
      <c r="F86" s="1">
        <v>42059</v>
      </c>
    </row>
    <row r="87" spans="1:6" x14ac:dyDescent="0.25">
      <c r="A87" t="s">
        <v>33</v>
      </c>
      <c r="B87">
        <v>2012</v>
      </c>
      <c r="C87">
        <v>163800</v>
      </c>
      <c r="D87" t="s">
        <v>122</v>
      </c>
      <c r="E87">
        <v>366000</v>
      </c>
      <c r="F87" s="1">
        <v>42329</v>
      </c>
    </row>
    <row r="88" spans="1:6" x14ac:dyDescent="0.25">
      <c r="A88" t="s">
        <v>123</v>
      </c>
      <c r="B88">
        <v>2012</v>
      </c>
      <c r="C88">
        <v>183000</v>
      </c>
      <c r="D88" t="s">
        <v>124</v>
      </c>
      <c r="E88">
        <v>520000</v>
      </c>
      <c r="F88" s="1">
        <v>42444</v>
      </c>
    </row>
    <row r="89" spans="1:6" x14ac:dyDescent="0.25">
      <c r="A89" t="s">
        <v>123</v>
      </c>
      <c r="B89">
        <v>2012</v>
      </c>
      <c r="C89">
        <v>183000</v>
      </c>
      <c r="D89" t="s">
        <v>125</v>
      </c>
      <c r="E89">
        <v>530000</v>
      </c>
      <c r="F89" s="1">
        <v>42444</v>
      </c>
    </row>
    <row r="90" spans="1:6" x14ac:dyDescent="0.25">
      <c r="A90" t="s">
        <v>123</v>
      </c>
      <c r="B90">
        <v>2012</v>
      </c>
      <c r="C90">
        <v>183000</v>
      </c>
      <c r="D90" t="s">
        <v>126</v>
      </c>
      <c r="E90">
        <v>490000</v>
      </c>
      <c r="F90" s="1">
        <v>42444</v>
      </c>
    </row>
    <row r="91" spans="1:6" x14ac:dyDescent="0.25">
      <c r="A91" t="s">
        <v>123</v>
      </c>
      <c r="B91">
        <v>2012</v>
      </c>
      <c r="C91">
        <v>183000</v>
      </c>
      <c r="D91" t="s">
        <v>127</v>
      </c>
      <c r="E91">
        <v>481000</v>
      </c>
      <c r="F91" s="1">
        <v>42444</v>
      </c>
    </row>
    <row r="92" spans="1:6" x14ac:dyDescent="0.25">
      <c r="A92" t="s">
        <v>123</v>
      </c>
      <c r="B92">
        <v>2012</v>
      </c>
      <c r="C92">
        <v>183000</v>
      </c>
      <c r="D92" t="s">
        <v>128</v>
      </c>
      <c r="E92">
        <v>454000</v>
      </c>
      <c r="F92" s="1">
        <v>42444</v>
      </c>
    </row>
    <row r="93" spans="1:6" x14ac:dyDescent="0.25">
      <c r="A93" t="s">
        <v>129</v>
      </c>
      <c r="B93">
        <v>2012</v>
      </c>
      <c r="C93">
        <v>210000</v>
      </c>
      <c r="D93" t="s">
        <v>130</v>
      </c>
      <c r="E93">
        <v>517000</v>
      </c>
      <c r="F93" s="1">
        <v>42415</v>
      </c>
    </row>
    <row r="94" spans="1:6" x14ac:dyDescent="0.25">
      <c r="A94" t="s">
        <v>56</v>
      </c>
      <c r="B94">
        <v>2012</v>
      </c>
      <c r="C94">
        <v>196370</v>
      </c>
      <c r="D94" t="s">
        <v>131</v>
      </c>
      <c r="E94">
        <v>286000</v>
      </c>
      <c r="F94" s="1">
        <v>42467</v>
      </c>
    </row>
    <row r="95" spans="1:6" x14ac:dyDescent="0.25">
      <c r="A95" t="s">
        <v>129</v>
      </c>
      <c r="B95">
        <v>2012</v>
      </c>
      <c r="C95">
        <v>210000</v>
      </c>
      <c r="D95" t="s">
        <v>132</v>
      </c>
      <c r="E95">
        <v>435000</v>
      </c>
      <c r="F95" s="1">
        <v>42415</v>
      </c>
    </row>
    <row r="96" spans="1:6" x14ac:dyDescent="0.25">
      <c r="A96" t="s">
        <v>133</v>
      </c>
      <c r="B96">
        <v>2012</v>
      </c>
      <c r="C96">
        <v>210300</v>
      </c>
      <c r="D96" t="s">
        <v>134</v>
      </c>
      <c r="E96">
        <v>417671</v>
      </c>
      <c r="F96" s="1">
        <v>42520</v>
      </c>
    </row>
    <row r="97" spans="1:6" x14ac:dyDescent="0.25">
      <c r="A97" t="s">
        <v>33</v>
      </c>
      <c r="B97">
        <v>2012</v>
      </c>
      <c r="C97">
        <v>231000</v>
      </c>
      <c r="D97" t="s">
        <v>135</v>
      </c>
      <c r="E97">
        <v>451000</v>
      </c>
      <c r="F97" s="1">
        <v>42439</v>
      </c>
    </row>
    <row r="98" spans="1:6" x14ac:dyDescent="0.25">
      <c r="A98" t="s">
        <v>136</v>
      </c>
      <c r="B98">
        <v>2012</v>
      </c>
      <c r="C98">
        <v>240000</v>
      </c>
      <c r="D98" t="s">
        <v>137</v>
      </c>
      <c r="E98">
        <v>301344</v>
      </c>
      <c r="F98" s="1">
        <v>42185</v>
      </c>
    </row>
    <row r="99" spans="1:6" x14ac:dyDescent="0.25">
      <c r="A99" t="s">
        <v>136</v>
      </c>
      <c r="B99">
        <v>2012</v>
      </c>
      <c r="C99">
        <v>240000</v>
      </c>
      <c r="D99" t="s">
        <v>138</v>
      </c>
      <c r="E99">
        <v>315988</v>
      </c>
      <c r="F99" s="1">
        <v>42185</v>
      </c>
    </row>
    <row r="100" spans="1:6" x14ac:dyDescent="0.25">
      <c r="A100" t="s">
        <v>136</v>
      </c>
      <c r="B100">
        <v>2012</v>
      </c>
      <c r="C100">
        <v>240000</v>
      </c>
      <c r="D100" t="s">
        <v>139</v>
      </c>
      <c r="E100">
        <v>234760</v>
      </c>
      <c r="F100" s="1">
        <v>42185</v>
      </c>
    </row>
    <row r="101" spans="1:6" x14ac:dyDescent="0.25">
      <c r="A101" t="s">
        <v>136</v>
      </c>
      <c r="B101">
        <v>2012</v>
      </c>
      <c r="C101">
        <v>240000</v>
      </c>
      <c r="D101" t="s">
        <v>140</v>
      </c>
      <c r="E101">
        <v>210780</v>
      </c>
      <c r="F101" s="1">
        <v>42185</v>
      </c>
    </row>
    <row r="102" spans="1:6" x14ac:dyDescent="0.25">
      <c r="A102" t="s">
        <v>136</v>
      </c>
      <c r="B102">
        <v>2012</v>
      </c>
      <c r="C102">
        <v>240000</v>
      </c>
      <c r="D102" t="s">
        <v>141</v>
      </c>
      <c r="E102">
        <v>198240</v>
      </c>
      <c r="F102" s="1">
        <v>42185</v>
      </c>
    </row>
    <row r="103" spans="1:6" x14ac:dyDescent="0.25">
      <c r="A103" t="s">
        <v>62</v>
      </c>
      <c r="B103">
        <v>2012</v>
      </c>
      <c r="C103">
        <v>290000</v>
      </c>
      <c r="D103" t="s">
        <v>142</v>
      </c>
      <c r="E103">
        <v>170000</v>
      </c>
      <c r="F103" s="1">
        <v>42297</v>
      </c>
    </row>
    <row r="104" spans="1:6" x14ac:dyDescent="0.25">
      <c r="A104" t="s">
        <v>50</v>
      </c>
      <c r="B104">
        <v>2013</v>
      </c>
      <c r="C104">
        <v>47800</v>
      </c>
      <c r="D104" t="s">
        <v>143</v>
      </c>
      <c r="E104">
        <v>272650</v>
      </c>
      <c r="F104" s="1">
        <v>42117</v>
      </c>
    </row>
    <row r="105" spans="1:6" x14ac:dyDescent="0.25">
      <c r="A105" t="s">
        <v>37</v>
      </c>
      <c r="B105">
        <v>2013</v>
      </c>
      <c r="C105">
        <v>80000</v>
      </c>
      <c r="D105" t="s">
        <v>144</v>
      </c>
      <c r="E105">
        <v>350000</v>
      </c>
      <c r="F105" s="1">
        <v>42379</v>
      </c>
    </row>
    <row r="106" spans="1:6" x14ac:dyDescent="0.25">
      <c r="A106" t="s">
        <v>37</v>
      </c>
      <c r="B106">
        <v>2013</v>
      </c>
      <c r="C106">
        <v>80000</v>
      </c>
      <c r="D106" t="s">
        <v>145</v>
      </c>
      <c r="E106">
        <v>235000</v>
      </c>
      <c r="F106" s="1">
        <v>42379</v>
      </c>
    </row>
    <row r="107" spans="1:6" x14ac:dyDescent="0.25">
      <c r="A107" t="s">
        <v>76</v>
      </c>
      <c r="B107">
        <v>2013</v>
      </c>
      <c r="C107">
        <v>93000</v>
      </c>
      <c r="D107" t="s">
        <v>146</v>
      </c>
      <c r="E107">
        <v>195000</v>
      </c>
      <c r="F107" s="1">
        <v>42268</v>
      </c>
    </row>
    <row r="108" spans="1:6" x14ac:dyDescent="0.25">
      <c r="A108" t="s">
        <v>79</v>
      </c>
      <c r="B108">
        <v>2013</v>
      </c>
      <c r="C108">
        <v>136000</v>
      </c>
      <c r="D108" t="s">
        <v>147</v>
      </c>
      <c r="E108">
        <v>247000</v>
      </c>
      <c r="F108" s="1">
        <v>42067</v>
      </c>
    </row>
    <row r="109" spans="1:6" x14ac:dyDescent="0.25">
      <c r="A109" t="s">
        <v>45</v>
      </c>
      <c r="B109">
        <v>2013</v>
      </c>
      <c r="C109">
        <v>158000</v>
      </c>
      <c r="D109" t="s">
        <v>148</v>
      </c>
      <c r="E109">
        <v>407000</v>
      </c>
      <c r="F109" s="1">
        <v>42681</v>
      </c>
    </row>
    <row r="110" spans="1:6" x14ac:dyDescent="0.25">
      <c r="A110" t="s">
        <v>136</v>
      </c>
      <c r="B110">
        <v>2013</v>
      </c>
      <c r="C110">
        <v>240000</v>
      </c>
      <c r="D110" t="s">
        <v>149</v>
      </c>
      <c r="E110">
        <v>301232</v>
      </c>
      <c r="F110" s="1">
        <v>42719</v>
      </c>
    </row>
    <row r="111" spans="1:6" x14ac:dyDescent="0.25">
      <c r="A111" t="s">
        <v>136</v>
      </c>
      <c r="B111">
        <v>2013</v>
      </c>
      <c r="C111">
        <v>240000</v>
      </c>
      <c r="D111" t="s">
        <v>150</v>
      </c>
      <c r="E111">
        <v>289567</v>
      </c>
      <c r="F111" s="1">
        <v>42719</v>
      </c>
    </row>
    <row r="112" spans="1:6" x14ac:dyDescent="0.25">
      <c r="A112" t="s">
        <v>136</v>
      </c>
      <c r="B112">
        <v>2013</v>
      </c>
      <c r="C112">
        <v>240000</v>
      </c>
      <c r="D112" t="s">
        <v>151</v>
      </c>
      <c r="E112">
        <v>245211</v>
      </c>
      <c r="F112" s="1">
        <v>42719</v>
      </c>
    </row>
    <row r="113" spans="1:6" x14ac:dyDescent="0.25">
      <c r="A113" t="s">
        <v>136</v>
      </c>
      <c r="B113">
        <v>2013</v>
      </c>
      <c r="C113">
        <v>240000</v>
      </c>
      <c r="D113" t="s">
        <v>152</v>
      </c>
      <c r="E113">
        <v>200123</v>
      </c>
      <c r="F113" s="1">
        <v>42719</v>
      </c>
    </row>
    <row r="114" spans="1:6" x14ac:dyDescent="0.25">
      <c r="A114" t="s">
        <v>136</v>
      </c>
      <c r="B114">
        <v>2013</v>
      </c>
      <c r="C114">
        <v>240000</v>
      </c>
      <c r="D114" t="s">
        <v>153</v>
      </c>
      <c r="E114">
        <v>235811</v>
      </c>
      <c r="F114" s="1">
        <v>42719</v>
      </c>
    </row>
    <row r="115" spans="1:6" x14ac:dyDescent="0.25">
      <c r="A115" t="s">
        <v>136</v>
      </c>
      <c r="B115">
        <v>2013</v>
      </c>
      <c r="C115">
        <v>240000</v>
      </c>
      <c r="D115" t="s">
        <v>154</v>
      </c>
      <c r="E115">
        <v>250021</v>
      </c>
      <c r="F115" s="1">
        <v>42719</v>
      </c>
    </row>
    <row r="116" spans="1:6" x14ac:dyDescent="0.25">
      <c r="A116" t="s">
        <v>136</v>
      </c>
      <c r="B116">
        <v>2013</v>
      </c>
      <c r="C116">
        <v>240000</v>
      </c>
      <c r="D116" t="s">
        <v>155</v>
      </c>
      <c r="E116">
        <v>198340</v>
      </c>
      <c r="F116" s="1">
        <v>42719</v>
      </c>
    </row>
    <row r="117" spans="1:6" x14ac:dyDescent="0.25">
      <c r="A117" t="s">
        <v>136</v>
      </c>
      <c r="B117">
        <v>2013</v>
      </c>
      <c r="C117">
        <v>240000</v>
      </c>
      <c r="D117" t="s">
        <v>156</v>
      </c>
      <c r="E117">
        <v>189761</v>
      </c>
      <c r="F117" s="1">
        <v>42719</v>
      </c>
    </row>
    <row r="118" spans="1:6" x14ac:dyDescent="0.25">
      <c r="A118" t="s">
        <v>157</v>
      </c>
      <c r="B118">
        <v>2013</v>
      </c>
      <c r="C118">
        <v>271000</v>
      </c>
      <c r="D118" t="s">
        <v>158</v>
      </c>
      <c r="E118">
        <v>153000</v>
      </c>
      <c r="F118" s="1">
        <v>42334</v>
      </c>
    </row>
    <row r="119" spans="1:6" x14ac:dyDescent="0.25">
      <c r="A119" t="s">
        <v>157</v>
      </c>
      <c r="B119">
        <v>2013</v>
      </c>
      <c r="C119">
        <v>271000</v>
      </c>
      <c r="D119" t="s">
        <v>159</v>
      </c>
      <c r="E119">
        <v>123000</v>
      </c>
      <c r="F119" s="1">
        <v>42520</v>
      </c>
    </row>
    <row r="120" spans="1:6" x14ac:dyDescent="0.25">
      <c r="A120" t="s">
        <v>160</v>
      </c>
      <c r="B120">
        <v>2014</v>
      </c>
      <c r="C120">
        <v>98000</v>
      </c>
      <c r="D120" t="s">
        <v>161</v>
      </c>
      <c r="E120">
        <v>251000</v>
      </c>
      <c r="F120" s="1">
        <v>42344</v>
      </c>
    </row>
    <row r="121" spans="1:6" x14ac:dyDescent="0.25">
      <c r="A121" t="s">
        <v>160</v>
      </c>
      <c r="B121">
        <v>2014</v>
      </c>
      <c r="C121">
        <v>99000</v>
      </c>
      <c r="D121" t="s">
        <v>162</v>
      </c>
      <c r="E121">
        <v>247000</v>
      </c>
      <c r="F121" s="1">
        <v>42344</v>
      </c>
    </row>
    <row r="122" spans="1:6" x14ac:dyDescent="0.25">
      <c r="A122" t="s">
        <v>45</v>
      </c>
      <c r="B122">
        <v>2014</v>
      </c>
      <c r="C122">
        <v>136502</v>
      </c>
      <c r="D122" t="s">
        <v>163</v>
      </c>
      <c r="E122">
        <v>243000</v>
      </c>
      <c r="F122" s="1">
        <v>42476</v>
      </c>
    </row>
    <row r="123" spans="1:6" x14ac:dyDescent="0.25">
      <c r="A123" t="s">
        <v>54</v>
      </c>
      <c r="B123">
        <v>2014</v>
      </c>
      <c r="C123">
        <v>167800</v>
      </c>
      <c r="D123" t="s">
        <v>164</v>
      </c>
      <c r="E123">
        <v>190300</v>
      </c>
      <c r="F123" s="1">
        <v>42272</v>
      </c>
    </row>
    <row r="124" spans="1:6" x14ac:dyDescent="0.25">
      <c r="A124" t="s">
        <v>35</v>
      </c>
      <c r="B124">
        <v>2014</v>
      </c>
      <c r="C124">
        <v>219000</v>
      </c>
      <c r="D124" t="s">
        <v>165</v>
      </c>
      <c r="E124">
        <v>126290</v>
      </c>
      <c r="F124" s="1">
        <v>42083</v>
      </c>
    </row>
    <row r="125" spans="1:6" x14ac:dyDescent="0.25">
      <c r="A125" t="s">
        <v>136</v>
      </c>
      <c r="B125">
        <v>2014</v>
      </c>
      <c r="C125">
        <v>240000</v>
      </c>
      <c r="D125" t="s">
        <v>166</v>
      </c>
      <c r="E125">
        <v>183788</v>
      </c>
      <c r="F125" s="1">
        <v>42681</v>
      </c>
    </row>
    <row r="126" spans="1:6" x14ac:dyDescent="0.25">
      <c r="A126" t="s">
        <v>136</v>
      </c>
      <c r="B126">
        <v>2014</v>
      </c>
      <c r="C126">
        <v>240000</v>
      </c>
      <c r="D126" t="s">
        <v>167</v>
      </c>
      <c r="E126">
        <v>160198</v>
      </c>
      <c r="F126" s="1">
        <v>42681</v>
      </c>
    </row>
    <row r="127" spans="1:6" x14ac:dyDescent="0.25">
      <c r="A127" t="s">
        <v>136</v>
      </c>
      <c r="B127">
        <v>2014</v>
      </c>
      <c r="C127">
        <v>240000</v>
      </c>
      <c r="D127" t="s">
        <v>168</v>
      </c>
      <c r="E127">
        <v>156724</v>
      </c>
      <c r="F127" s="1">
        <v>42681</v>
      </c>
    </row>
    <row r="128" spans="1:6" x14ac:dyDescent="0.25">
      <c r="A128" t="s">
        <v>157</v>
      </c>
      <c r="B128">
        <v>2014</v>
      </c>
      <c r="C128">
        <v>270000</v>
      </c>
      <c r="D128" t="s">
        <v>169</v>
      </c>
      <c r="E128">
        <v>157000</v>
      </c>
      <c r="F128" s="1">
        <v>42334</v>
      </c>
    </row>
    <row r="129" spans="1:6" x14ac:dyDescent="0.25">
      <c r="A129" t="s">
        <v>35</v>
      </c>
      <c r="B129">
        <v>2015</v>
      </c>
      <c r="C129">
        <v>218000</v>
      </c>
      <c r="D129" t="s">
        <v>170</v>
      </c>
      <c r="E129">
        <v>130290</v>
      </c>
      <c r="F129" s="1">
        <v>42083</v>
      </c>
    </row>
    <row r="130" spans="1:6" x14ac:dyDescent="0.25">
      <c r="A130" t="s">
        <v>62</v>
      </c>
      <c r="B130">
        <v>2015</v>
      </c>
      <c r="C130">
        <v>258000</v>
      </c>
      <c r="D130" t="s">
        <v>171</v>
      </c>
      <c r="E130">
        <v>160700</v>
      </c>
      <c r="F130" s="1">
        <v>42286</v>
      </c>
    </row>
    <row r="131" spans="1:6" x14ac:dyDescent="0.25">
      <c r="A131" t="s">
        <v>172</v>
      </c>
      <c r="B131">
        <v>2015</v>
      </c>
      <c r="C131">
        <v>360000</v>
      </c>
      <c r="D131" t="s">
        <v>173</v>
      </c>
      <c r="E131">
        <v>100000</v>
      </c>
      <c r="F131" s="1">
        <v>42734</v>
      </c>
    </row>
    <row r="132" spans="1:6" x14ac:dyDescent="0.25">
      <c r="A132" t="s">
        <v>172</v>
      </c>
      <c r="B132">
        <v>2015</v>
      </c>
      <c r="C132">
        <v>360000</v>
      </c>
      <c r="D132" t="s">
        <v>174</v>
      </c>
      <c r="E132">
        <v>115000</v>
      </c>
      <c r="F132" s="1">
        <v>42734</v>
      </c>
    </row>
    <row r="133" spans="1:6" x14ac:dyDescent="0.25">
      <c r="A133" t="s">
        <v>172</v>
      </c>
      <c r="B133">
        <v>2015</v>
      </c>
      <c r="C133">
        <v>360000</v>
      </c>
      <c r="D133" t="s">
        <v>175</v>
      </c>
      <c r="E133">
        <v>132000</v>
      </c>
      <c r="F133" s="1">
        <v>42734</v>
      </c>
    </row>
    <row r="134" spans="1:6" x14ac:dyDescent="0.25">
      <c r="A134" t="s">
        <v>172</v>
      </c>
      <c r="B134">
        <v>2015</v>
      </c>
      <c r="C134">
        <v>360000</v>
      </c>
      <c r="D134" t="s">
        <v>176</v>
      </c>
      <c r="E134">
        <v>108000</v>
      </c>
      <c r="F134" s="1">
        <v>42734</v>
      </c>
    </row>
    <row r="135" spans="1:6" x14ac:dyDescent="0.25">
      <c r="A135" t="s">
        <v>172</v>
      </c>
      <c r="B135">
        <v>2015</v>
      </c>
      <c r="C135">
        <v>360000</v>
      </c>
      <c r="D135" t="s">
        <v>177</v>
      </c>
      <c r="E135">
        <v>140000</v>
      </c>
      <c r="F135" s="1">
        <v>42734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2E6C8-D3DF-474F-A158-9E748121C7FC}">
  <dimension ref="A1:Q135"/>
  <sheetViews>
    <sheetView tabSelected="1" topLeftCell="A22" workbookViewId="0">
      <selection activeCell="R29" sqref="R29"/>
    </sheetView>
  </sheetViews>
  <sheetFormatPr defaultRowHeight="15" x14ac:dyDescent="0.25"/>
  <cols>
    <col min="1" max="1" width="18" bestFit="1" customWidth="1"/>
    <col min="2" max="2" width="13.7109375" bestFit="1" customWidth="1"/>
    <col min="3" max="3" width="12.7109375" bestFit="1" customWidth="1"/>
    <col min="4" max="4" width="15.7109375" bestFit="1" customWidth="1"/>
    <col min="5" max="5" width="8.7109375" bestFit="1" customWidth="1"/>
    <col min="6" max="6" width="24.5703125" bestFit="1" customWidth="1"/>
    <col min="7" max="8" width="24.5703125" customWidth="1"/>
    <col min="15" max="15" width="8.85546875" bestFit="1" customWidth="1"/>
    <col min="16" max="16" width="10.42578125" bestFit="1" customWidth="1"/>
    <col min="17" max="17" width="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199</v>
      </c>
      <c r="H1" t="s">
        <v>198</v>
      </c>
      <c r="I1" t="s">
        <v>178</v>
      </c>
      <c r="J1" t="s">
        <v>179</v>
      </c>
      <c r="K1" t="s">
        <v>180</v>
      </c>
    </row>
    <row r="2" spans="1:14" x14ac:dyDescent="0.25">
      <c r="A2" t="s">
        <v>6</v>
      </c>
      <c r="B2">
        <v>2006</v>
      </c>
      <c r="C2">
        <v>85900</v>
      </c>
      <c r="D2" t="s">
        <v>7</v>
      </c>
      <c r="E2">
        <v>1200655</v>
      </c>
      <c r="F2" s="1">
        <v>42035</v>
      </c>
      <c r="G2" s="4">
        <f>ROUNDDOWN(E2/100000,0)</f>
        <v>12</v>
      </c>
      <c r="H2" s="4">
        <f>2017-B2</f>
        <v>11</v>
      </c>
      <c r="I2">
        <f>H2*5%*C2</f>
        <v>47245.000000000007</v>
      </c>
      <c r="J2">
        <f>G2* 2%*C2</f>
        <v>20616</v>
      </c>
      <c r="K2">
        <f t="shared" ref="K2:K11" si="0">C2-I2-J2</f>
        <v>18038.999999999993</v>
      </c>
      <c r="L2" t="str">
        <f>IF(K2=$N$2,"xxxxxxxxxxxxxxxxxxx","")</f>
        <v/>
      </c>
      <c r="N2">
        <f>MIN(K2:K135)</f>
        <v>17390</v>
      </c>
    </row>
    <row r="3" spans="1:14" x14ac:dyDescent="0.25">
      <c r="A3" t="s">
        <v>6</v>
      </c>
      <c r="B3">
        <v>2006</v>
      </c>
      <c r="C3">
        <v>85900</v>
      </c>
      <c r="D3" t="s">
        <v>8</v>
      </c>
      <c r="E3">
        <v>1068570</v>
      </c>
      <c r="F3" s="1">
        <v>42029</v>
      </c>
      <c r="G3" s="4">
        <f t="shared" ref="G3:G66" si="1">ROUNDDOWN(E3/100000,0)</f>
        <v>10</v>
      </c>
      <c r="H3" s="4">
        <f t="shared" ref="H3:H66" si="2">2017-B3</f>
        <v>11</v>
      </c>
      <c r="I3">
        <f t="shared" ref="I3:I66" si="3">H3*5%*C3</f>
        <v>47245.000000000007</v>
      </c>
      <c r="J3">
        <f t="shared" ref="J3:J66" si="4">G3* 2%*C3</f>
        <v>17180</v>
      </c>
      <c r="K3">
        <f t="shared" si="0"/>
        <v>21474.999999999993</v>
      </c>
      <c r="L3" t="str">
        <f t="shared" ref="L3:L66" si="5">IF(K3=$N$2,"xxxxxxxxxxxxxxxxxxx","")</f>
        <v/>
      </c>
    </row>
    <row r="4" spans="1:14" x14ac:dyDescent="0.25">
      <c r="A4" t="s">
        <v>6</v>
      </c>
      <c r="B4">
        <v>2006</v>
      </c>
      <c r="C4">
        <v>85900</v>
      </c>
      <c r="D4" t="s">
        <v>9</v>
      </c>
      <c r="E4">
        <v>998704</v>
      </c>
      <c r="F4" s="1">
        <v>42028</v>
      </c>
      <c r="G4" s="4">
        <f t="shared" si="1"/>
        <v>9</v>
      </c>
      <c r="H4" s="4">
        <f t="shared" si="2"/>
        <v>11</v>
      </c>
      <c r="I4">
        <f t="shared" si="3"/>
        <v>47245.000000000007</v>
      </c>
      <c r="J4">
        <f t="shared" si="4"/>
        <v>15462</v>
      </c>
      <c r="K4">
        <f t="shared" si="0"/>
        <v>23192.999999999993</v>
      </c>
      <c r="L4" t="str">
        <f t="shared" si="5"/>
        <v/>
      </c>
    </row>
    <row r="5" spans="1:14" x14ac:dyDescent="0.25">
      <c r="A5" t="s">
        <v>6</v>
      </c>
      <c r="B5">
        <v>2006</v>
      </c>
      <c r="C5">
        <v>85900</v>
      </c>
      <c r="D5" t="s">
        <v>10</v>
      </c>
      <c r="E5">
        <v>936780</v>
      </c>
      <c r="F5" s="1">
        <v>42028</v>
      </c>
      <c r="G5" s="4">
        <f t="shared" si="1"/>
        <v>9</v>
      </c>
      <c r="H5" s="4">
        <f t="shared" si="2"/>
        <v>11</v>
      </c>
      <c r="I5">
        <f t="shared" si="3"/>
        <v>47245.000000000007</v>
      </c>
      <c r="J5">
        <f t="shared" si="4"/>
        <v>15462</v>
      </c>
      <c r="K5">
        <f t="shared" si="0"/>
        <v>23192.999999999993</v>
      </c>
      <c r="L5" t="str">
        <f t="shared" si="5"/>
        <v/>
      </c>
    </row>
    <row r="6" spans="1:14" x14ac:dyDescent="0.25">
      <c r="A6" t="s">
        <v>6</v>
      </c>
      <c r="B6">
        <v>2006</v>
      </c>
      <c r="C6">
        <v>85900</v>
      </c>
      <c r="D6" t="s">
        <v>11</v>
      </c>
      <c r="E6">
        <v>870233</v>
      </c>
      <c r="F6" s="1">
        <v>42034</v>
      </c>
      <c r="G6" s="4">
        <f t="shared" si="1"/>
        <v>8</v>
      </c>
      <c r="H6" s="4">
        <f t="shared" si="2"/>
        <v>11</v>
      </c>
      <c r="I6">
        <f t="shared" si="3"/>
        <v>47245.000000000007</v>
      </c>
      <c r="J6">
        <f t="shared" si="4"/>
        <v>13744</v>
      </c>
      <c r="K6">
        <f t="shared" si="0"/>
        <v>24910.999999999993</v>
      </c>
      <c r="L6" t="str">
        <f t="shared" si="5"/>
        <v/>
      </c>
    </row>
    <row r="7" spans="1:14" x14ac:dyDescent="0.25">
      <c r="A7" t="s">
        <v>12</v>
      </c>
      <c r="B7">
        <v>2007</v>
      </c>
      <c r="C7">
        <v>205000</v>
      </c>
      <c r="D7" t="s">
        <v>13</v>
      </c>
      <c r="E7">
        <v>1260000</v>
      </c>
      <c r="F7" s="1">
        <v>42483</v>
      </c>
      <c r="G7" s="4">
        <f t="shared" si="1"/>
        <v>12</v>
      </c>
      <c r="H7" s="4">
        <f t="shared" si="2"/>
        <v>10</v>
      </c>
      <c r="I7">
        <f t="shared" si="3"/>
        <v>102500</v>
      </c>
      <c r="J7">
        <f t="shared" si="4"/>
        <v>49200</v>
      </c>
      <c r="K7">
        <f t="shared" si="0"/>
        <v>53300</v>
      </c>
      <c r="L7" t="str">
        <f t="shared" si="5"/>
        <v/>
      </c>
    </row>
    <row r="8" spans="1:14" x14ac:dyDescent="0.25">
      <c r="A8" t="s">
        <v>14</v>
      </c>
      <c r="B8">
        <v>2007</v>
      </c>
      <c r="C8">
        <v>198000</v>
      </c>
      <c r="D8" t="s">
        <v>15</v>
      </c>
      <c r="E8">
        <v>890200</v>
      </c>
      <c r="F8" s="1">
        <v>42520</v>
      </c>
      <c r="G8" s="4">
        <f t="shared" si="1"/>
        <v>8</v>
      </c>
      <c r="H8" s="4">
        <f t="shared" si="2"/>
        <v>10</v>
      </c>
      <c r="I8">
        <f t="shared" si="3"/>
        <v>99000</v>
      </c>
      <c r="J8">
        <f t="shared" si="4"/>
        <v>31680</v>
      </c>
      <c r="K8">
        <f t="shared" si="0"/>
        <v>67320</v>
      </c>
      <c r="L8" t="str">
        <f t="shared" si="5"/>
        <v/>
      </c>
    </row>
    <row r="9" spans="1:14" x14ac:dyDescent="0.25">
      <c r="A9" t="s">
        <v>16</v>
      </c>
      <c r="B9">
        <v>2008</v>
      </c>
      <c r="C9">
        <v>49411</v>
      </c>
      <c r="D9" t="s">
        <v>17</v>
      </c>
      <c r="E9">
        <v>186000</v>
      </c>
      <c r="F9" s="1">
        <v>42210</v>
      </c>
      <c r="G9" s="4">
        <f t="shared" si="1"/>
        <v>1</v>
      </c>
      <c r="H9" s="4">
        <f t="shared" si="2"/>
        <v>9</v>
      </c>
      <c r="I9">
        <f t="shared" si="3"/>
        <v>22234.95</v>
      </c>
      <c r="J9">
        <f t="shared" si="4"/>
        <v>988.22</v>
      </c>
      <c r="K9">
        <f t="shared" si="0"/>
        <v>26187.829999999998</v>
      </c>
      <c r="L9" t="str">
        <f t="shared" si="5"/>
        <v/>
      </c>
    </row>
    <row r="10" spans="1:14" x14ac:dyDescent="0.25">
      <c r="A10" t="s">
        <v>18</v>
      </c>
      <c r="B10">
        <v>2008</v>
      </c>
      <c r="C10">
        <v>58000</v>
      </c>
      <c r="D10" t="s">
        <v>19</v>
      </c>
      <c r="E10">
        <v>306000</v>
      </c>
      <c r="F10" s="1">
        <v>42271</v>
      </c>
      <c r="G10" s="4">
        <f t="shared" si="1"/>
        <v>3</v>
      </c>
      <c r="H10" s="4">
        <f t="shared" si="2"/>
        <v>9</v>
      </c>
      <c r="I10">
        <f t="shared" si="3"/>
        <v>26100</v>
      </c>
      <c r="J10">
        <f t="shared" si="4"/>
        <v>3480</v>
      </c>
      <c r="K10">
        <f t="shared" si="0"/>
        <v>28420</v>
      </c>
      <c r="L10" t="str">
        <f t="shared" si="5"/>
        <v/>
      </c>
    </row>
    <row r="11" spans="1:14" x14ac:dyDescent="0.25">
      <c r="A11" t="s">
        <v>20</v>
      </c>
      <c r="B11">
        <v>2008</v>
      </c>
      <c r="C11">
        <v>84000</v>
      </c>
      <c r="D11" t="s">
        <v>21</v>
      </c>
      <c r="E11">
        <v>266000</v>
      </c>
      <c r="F11" s="1">
        <v>42382</v>
      </c>
      <c r="G11" s="4">
        <f t="shared" si="1"/>
        <v>2</v>
      </c>
      <c r="H11" s="4">
        <f t="shared" si="2"/>
        <v>9</v>
      </c>
      <c r="I11">
        <f t="shared" si="3"/>
        <v>37800</v>
      </c>
      <c r="J11">
        <f t="shared" si="4"/>
        <v>3360</v>
      </c>
      <c r="K11">
        <f t="shared" si="0"/>
        <v>42840</v>
      </c>
      <c r="L11" t="str">
        <f t="shared" si="5"/>
        <v/>
      </c>
    </row>
    <row r="12" spans="1:14" x14ac:dyDescent="0.25">
      <c r="A12" t="s">
        <v>22</v>
      </c>
      <c r="B12">
        <v>2008</v>
      </c>
      <c r="C12">
        <v>89000</v>
      </c>
      <c r="D12" t="s">
        <v>23</v>
      </c>
      <c r="E12">
        <v>305000</v>
      </c>
      <c r="F12" s="1">
        <v>42075</v>
      </c>
      <c r="G12" s="4">
        <f t="shared" si="1"/>
        <v>3</v>
      </c>
      <c r="H12" s="4">
        <f t="shared" si="2"/>
        <v>9</v>
      </c>
      <c r="I12">
        <f t="shared" si="3"/>
        <v>40050</v>
      </c>
      <c r="J12">
        <f t="shared" si="4"/>
        <v>5340</v>
      </c>
      <c r="K12">
        <f>C12-I12-J12</f>
        <v>43610</v>
      </c>
      <c r="L12" t="str">
        <f t="shared" si="5"/>
        <v/>
      </c>
    </row>
    <row r="13" spans="1:14" x14ac:dyDescent="0.25">
      <c r="A13" t="s">
        <v>16</v>
      </c>
      <c r="B13">
        <v>2009</v>
      </c>
      <c r="C13">
        <v>48411</v>
      </c>
      <c r="D13" t="s">
        <v>24</v>
      </c>
      <c r="E13">
        <v>190000</v>
      </c>
      <c r="F13" s="1">
        <v>42210</v>
      </c>
      <c r="G13" s="4">
        <f t="shared" si="1"/>
        <v>1</v>
      </c>
      <c r="H13" s="4">
        <f t="shared" si="2"/>
        <v>8</v>
      </c>
      <c r="I13">
        <f t="shared" si="3"/>
        <v>19364.400000000001</v>
      </c>
      <c r="J13">
        <f t="shared" si="4"/>
        <v>968.22</v>
      </c>
      <c r="K13">
        <f t="shared" ref="K13:K76" si="6">C13-I13-J13</f>
        <v>28078.379999999997</v>
      </c>
      <c r="L13" t="str">
        <f t="shared" si="5"/>
        <v/>
      </c>
    </row>
    <row r="14" spans="1:14" x14ac:dyDescent="0.25">
      <c r="A14" t="s">
        <v>25</v>
      </c>
      <c r="B14">
        <v>2009</v>
      </c>
      <c r="C14">
        <v>68000</v>
      </c>
      <c r="D14" t="s">
        <v>26</v>
      </c>
      <c r="E14">
        <v>992600</v>
      </c>
      <c r="F14" s="1">
        <v>42157</v>
      </c>
      <c r="G14" s="4">
        <f t="shared" si="1"/>
        <v>9</v>
      </c>
      <c r="H14" s="4">
        <f t="shared" si="2"/>
        <v>8</v>
      </c>
      <c r="I14">
        <f t="shared" si="3"/>
        <v>27200</v>
      </c>
      <c r="J14">
        <f t="shared" si="4"/>
        <v>12240</v>
      </c>
      <c r="K14">
        <f t="shared" si="6"/>
        <v>28560</v>
      </c>
      <c r="L14" t="str">
        <f t="shared" si="5"/>
        <v/>
      </c>
    </row>
    <row r="15" spans="1:14" x14ac:dyDescent="0.25">
      <c r="A15" t="s">
        <v>16</v>
      </c>
      <c r="B15">
        <v>2009</v>
      </c>
      <c r="C15">
        <v>49411</v>
      </c>
      <c r="D15" t="s">
        <v>27</v>
      </c>
      <c r="E15">
        <v>186000</v>
      </c>
      <c r="F15" s="1">
        <v>42210</v>
      </c>
      <c r="G15" s="4">
        <f t="shared" si="1"/>
        <v>1</v>
      </c>
      <c r="H15" s="4">
        <f t="shared" si="2"/>
        <v>8</v>
      </c>
      <c r="I15">
        <f t="shared" si="3"/>
        <v>19764.400000000001</v>
      </c>
      <c r="J15">
        <f t="shared" si="4"/>
        <v>988.22</v>
      </c>
      <c r="K15">
        <f t="shared" si="6"/>
        <v>28658.379999999997</v>
      </c>
      <c r="L15" t="str">
        <f t="shared" si="5"/>
        <v/>
      </c>
    </row>
    <row r="16" spans="1:14" x14ac:dyDescent="0.25">
      <c r="A16" t="s">
        <v>28</v>
      </c>
      <c r="B16">
        <v>2009</v>
      </c>
      <c r="C16">
        <v>67900</v>
      </c>
      <c r="D16" t="s">
        <v>29</v>
      </c>
      <c r="E16">
        <v>850000</v>
      </c>
      <c r="F16" s="1">
        <v>42194</v>
      </c>
      <c r="G16" s="4">
        <f t="shared" si="1"/>
        <v>8</v>
      </c>
      <c r="H16" s="4">
        <f t="shared" si="2"/>
        <v>8</v>
      </c>
      <c r="I16">
        <f t="shared" si="3"/>
        <v>27160</v>
      </c>
      <c r="J16">
        <f t="shared" si="4"/>
        <v>10864</v>
      </c>
      <c r="K16">
        <f t="shared" si="6"/>
        <v>29876</v>
      </c>
      <c r="L16" t="str">
        <f t="shared" si="5"/>
        <v/>
      </c>
    </row>
    <row r="17" spans="1:12" x14ac:dyDescent="0.25">
      <c r="A17" t="s">
        <v>16</v>
      </c>
      <c r="B17">
        <v>2009</v>
      </c>
      <c r="C17">
        <v>65000</v>
      </c>
      <c r="D17" t="s">
        <v>30</v>
      </c>
      <c r="E17">
        <v>740000</v>
      </c>
      <c r="F17" s="1">
        <v>42385</v>
      </c>
      <c r="G17" s="4">
        <f t="shared" si="1"/>
        <v>7</v>
      </c>
      <c r="H17" s="4">
        <f t="shared" si="2"/>
        <v>8</v>
      </c>
      <c r="I17">
        <f t="shared" si="3"/>
        <v>26000</v>
      </c>
      <c r="J17">
        <f t="shared" si="4"/>
        <v>9100</v>
      </c>
      <c r="K17">
        <f t="shared" si="6"/>
        <v>29900</v>
      </c>
      <c r="L17" t="str">
        <f t="shared" si="5"/>
        <v/>
      </c>
    </row>
    <row r="18" spans="1:12" x14ac:dyDescent="0.25">
      <c r="A18" t="s">
        <v>28</v>
      </c>
      <c r="B18">
        <v>2009</v>
      </c>
      <c r="C18">
        <v>68900</v>
      </c>
      <c r="D18" t="s">
        <v>31</v>
      </c>
      <c r="E18">
        <v>846000</v>
      </c>
      <c r="F18" s="1">
        <v>42194</v>
      </c>
      <c r="G18" s="4">
        <f t="shared" si="1"/>
        <v>8</v>
      </c>
      <c r="H18" s="4">
        <f t="shared" si="2"/>
        <v>8</v>
      </c>
      <c r="I18">
        <f t="shared" si="3"/>
        <v>27560</v>
      </c>
      <c r="J18">
        <f t="shared" si="4"/>
        <v>11024</v>
      </c>
      <c r="K18">
        <f t="shared" si="6"/>
        <v>30316</v>
      </c>
      <c r="L18" t="str">
        <f t="shared" si="5"/>
        <v/>
      </c>
    </row>
    <row r="19" spans="1:12" x14ac:dyDescent="0.25">
      <c r="A19" t="s">
        <v>18</v>
      </c>
      <c r="B19">
        <v>2009</v>
      </c>
      <c r="C19">
        <v>59000</v>
      </c>
      <c r="D19" t="s">
        <v>32</v>
      </c>
      <c r="E19">
        <v>302000</v>
      </c>
      <c r="F19" s="1">
        <v>42271</v>
      </c>
      <c r="G19" s="4">
        <f t="shared" si="1"/>
        <v>3</v>
      </c>
      <c r="H19" s="4">
        <f t="shared" si="2"/>
        <v>8</v>
      </c>
      <c r="I19">
        <f t="shared" si="3"/>
        <v>23600</v>
      </c>
      <c r="J19">
        <f t="shared" si="4"/>
        <v>3540</v>
      </c>
      <c r="K19">
        <f t="shared" si="6"/>
        <v>31860</v>
      </c>
      <c r="L19" t="str">
        <f t="shared" si="5"/>
        <v/>
      </c>
    </row>
    <row r="20" spans="1:12" x14ac:dyDescent="0.25">
      <c r="A20" t="s">
        <v>33</v>
      </c>
      <c r="B20">
        <v>2009</v>
      </c>
      <c r="C20">
        <v>77000</v>
      </c>
      <c r="D20" t="s">
        <v>34</v>
      </c>
      <c r="E20">
        <v>846000</v>
      </c>
      <c r="F20" s="1">
        <v>42376</v>
      </c>
      <c r="G20" s="4">
        <f t="shared" si="1"/>
        <v>8</v>
      </c>
      <c r="H20" s="4">
        <f t="shared" si="2"/>
        <v>8</v>
      </c>
      <c r="I20">
        <f t="shared" si="3"/>
        <v>30800</v>
      </c>
      <c r="J20">
        <f t="shared" si="4"/>
        <v>12320</v>
      </c>
      <c r="K20">
        <f t="shared" si="6"/>
        <v>33880</v>
      </c>
      <c r="L20" t="str">
        <f t="shared" si="5"/>
        <v/>
      </c>
    </row>
    <row r="21" spans="1:12" x14ac:dyDescent="0.25">
      <c r="A21" t="s">
        <v>35</v>
      </c>
      <c r="B21">
        <v>2009</v>
      </c>
      <c r="C21">
        <v>85000</v>
      </c>
      <c r="D21" t="s">
        <v>36</v>
      </c>
      <c r="E21">
        <v>946000</v>
      </c>
      <c r="F21" s="1">
        <v>42014</v>
      </c>
      <c r="G21" s="4">
        <f t="shared" si="1"/>
        <v>9</v>
      </c>
      <c r="H21" s="4">
        <f t="shared" si="2"/>
        <v>8</v>
      </c>
      <c r="I21">
        <f t="shared" si="3"/>
        <v>34000</v>
      </c>
      <c r="J21">
        <f t="shared" si="4"/>
        <v>15300</v>
      </c>
      <c r="K21">
        <f t="shared" si="6"/>
        <v>35700</v>
      </c>
      <c r="L21" t="str">
        <f t="shared" si="5"/>
        <v/>
      </c>
    </row>
    <row r="22" spans="1:12" x14ac:dyDescent="0.25">
      <c r="A22" t="s">
        <v>37</v>
      </c>
      <c r="B22">
        <v>2009</v>
      </c>
      <c r="C22">
        <v>79000</v>
      </c>
      <c r="D22" t="s">
        <v>38</v>
      </c>
      <c r="E22">
        <v>390000</v>
      </c>
      <c r="F22" s="1">
        <v>42379</v>
      </c>
      <c r="G22" s="4">
        <f t="shared" si="1"/>
        <v>3</v>
      </c>
      <c r="H22" s="4">
        <f t="shared" si="2"/>
        <v>8</v>
      </c>
      <c r="I22">
        <f t="shared" si="3"/>
        <v>31600</v>
      </c>
      <c r="J22">
        <f t="shared" si="4"/>
        <v>4740</v>
      </c>
      <c r="K22">
        <f t="shared" si="6"/>
        <v>42660</v>
      </c>
      <c r="L22" t="str">
        <f t="shared" si="5"/>
        <v/>
      </c>
    </row>
    <row r="23" spans="1:12" x14ac:dyDescent="0.25">
      <c r="A23" t="s">
        <v>37</v>
      </c>
      <c r="B23">
        <v>2009</v>
      </c>
      <c r="C23">
        <v>79000</v>
      </c>
      <c r="D23" t="s">
        <v>39</v>
      </c>
      <c r="E23">
        <v>390000</v>
      </c>
      <c r="F23" s="1">
        <v>42379</v>
      </c>
      <c r="G23" s="4">
        <f t="shared" si="1"/>
        <v>3</v>
      </c>
      <c r="H23" s="4">
        <f t="shared" si="2"/>
        <v>8</v>
      </c>
      <c r="I23">
        <f t="shared" si="3"/>
        <v>31600</v>
      </c>
      <c r="J23">
        <f t="shared" si="4"/>
        <v>4740</v>
      </c>
      <c r="K23">
        <f t="shared" si="6"/>
        <v>42660</v>
      </c>
      <c r="L23" t="str">
        <f t="shared" si="5"/>
        <v/>
      </c>
    </row>
    <row r="24" spans="1:12" x14ac:dyDescent="0.25">
      <c r="A24" t="s">
        <v>20</v>
      </c>
      <c r="B24">
        <v>2009</v>
      </c>
      <c r="C24">
        <v>83000</v>
      </c>
      <c r="D24" t="s">
        <v>40</v>
      </c>
      <c r="E24">
        <v>270000</v>
      </c>
      <c r="F24" s="1">
        <v>42382</v>
      </c>
      <c r="G24" s="4">
        <f t="shared" si="1"/>
        <v>2</v>
      </c>
      <c r="H24" s="4">
        <f t="shared" si="2"/>
        <v>8</v>
      </c>
      <c r="I24">
        <f t="shared" si="3"/>
        <v>33200</v>
      </c>
      <c r="J24">
        <f t="shared" si="4"/>
        <v>3320</v>
      </c>
      <c r="K24">
        <f t="shared" si="6"/>
        <v>46480</v>
      </c>
      <c r="L24" t="str">
        <f t="shared" si="5"/>
        <v/>
      </c>
    </row>
    <row r="25" spans="1:12" x14ac:dyDescent="0.25">
      <c r="A25" t="s">
        <v>41</v>
      </c>
      <c r="B25">
        <v>2009</v>
      </c>
      <c r="C25">
        <v>86133</v>
      </c>
      <c r="D25" t="s">
        <v>42</v>
      </c>
      <c r="E25">
        <v>380000</v>
      </c>
      <c r="F25" s="1">
        <v>42208</v>
      </c>
      <c r="G25" s="4">
        <f t="shared" si="1"/>
        <v>3</v>
      </c>
      <c r="H25" s="4">
        <f t="shared" si="2"/>
        <v>8</v>
      </c>
      <c r="I25">
        <f t="shared" si="3"/>
        <v>34453.200000000004</v>
      </c>
      <c r="J25">
        <f t="shared" si="4"/>
        <v>5167.9799999999996</v>
      </c>
      <c r="K25">
        <f t="shared" si="6"/>
        <v>46511.819999999992</v>
      </c>
      <c r="L25" t="str">
        <f t="shared" si="5"/>
        <v/>
      </c>
    </row>
    <row r="26" spans="1:12" x14ac:dyDescent="0.25">
      <c r="A26" t="s">
        <v>22</v>
      </c>
      <c r="B26">
        <v>2009</v>
      </c>
      <c r="C26">
        <v>90000</v>
      </c>
      <c r="D26" t="s">
        <v>43</v>
      </c>
      <c r="E26">
        <v>301000</v>
      </c>
      <c r="F26" s="1">
        <v>42075</v>
      </c>
      <c r="G26" s="4">
        <f t="shared" si="1"/>
        <v>3</v>
      </c>
      <c r="H26" s="4">
        <f t="shared" si="2"/>
        <v>8</v>
      </c>
      <c r="I26">
        <f t="shared" si="3"/>
        <v>36000</v>
      </c>
      <c r="J26">
        <f t="shared" si="4"/>
        <v>5400</v>
      </c>
      <c r="K26">
        <f t="shared" si="6"/>
        <v>48600</v>
      </c>
      <c r="L26" t="str">
        <f t="shared" si="5"/>
        <v/>
      </c>
    </row>
    <row r="27" spans="1:12" x14ac:dyDescent="0.25">
      <c r="A27" t="s">
        <v>35</v>
      </c>
      <c r="B27">
        <v>2009</v>
      </c>
      <c r="C27">
        <v>91000</v>
      </c>
      <c r="D27" t="s">
        <v>44</v>
      </c>
      <c r="E27">
        <v>360000</v>
      </c>
      <c r="F27" s="1">
        <v>42174</v>
      </c>
      <c r="G27" s="4">
        <f t="shared" si="1"/>
        <v>3</v>
      </c>
      <c r="H27" s="4">
        <f t="shared" si="2"/>
        <v>8</v>
      </c>
      <c r="I27">
        <f t="shared" si="3"/>
        <v>36400</v>
      </c>
      <c r="J27">
        <f t="shared" si="4"/>
        <v>5460</v>
      </c>
      <c r="K27">
        <f t="shared" si="6"/>
        <v>49140</v>
      </c>
      <c r="L27" t="str">
        <f t="shared" si="5"/>
        <v/>
      </c>
    </row>
    <row r="28" spans="1:12" x14ac:dyDescent="0.25">
      <c r="A28" t="s">
        <v>45</v>
      </c>
      <c r="B28">
        <v>2009</v>
      </c>
      <c r="C28">
        <v>114400</v>
      </c>
      <c r="D28" t="s">
        <v>46</v>
      </c>
      <c r="E28">
        <v>226000</v>
      </c>
      <c r="F28" s="1">
        <v>42073</v>
      </c>
      <c r="G28" s="4">
        <f t="shared" si="1"/>
        <v>2</v>
      </c>
      <c r="H28" s="4">
        <f t="shared" si="2"/>
        <v>8</v>
      </c>
      <c r="I28">
        <f t="shared" si="3"/>
        <v>45760</v>
      </c>
      <c r="J28">
        <f t="shared" si="4"/>
        <v>4576</v>
      </c>
      <c r="K28">
        <f t="shared" si="6"/>
        <v>64064</v>
      </c>
      <c r="L28" t="str">
        <f t="shared" si="5"/>
        <v/>
      </c>
    </row>
    <row r="29" spans="1:12" x14ac:dyDescent="0.25">
      <c r="A29" t="s">
        <v>47</v>
      </c>
      <c r="B29">
        <v>2009</v>
      </c>
      <c r="C29">
        <v>134000</v>
      </c>
      <c r="D29" t="s">
        <v>48</v>
      </c>
      <c r="E29">
        <v>482000</v>
      </c>
      <c r="F29" s="1">
        <v>42385</v>
      </c>
      <c r="G29" s="4">
        <f t="shared" si="1"/>
        <v>4</v>
      </c>
      <c r="H29" s="4">
        <f t="shared" si="2"/>
        <v>8</v>
      </c>
      <c r="I29">
        <f t="shared" si="3"/>
        <v>53600</v>
      </c>
      <c r="J29">
        <f t="shared" si="4"/>
        <v>10720</v>
      </c>
      <c r="K29">
        <f t="shared" si="6"/>
        <v>69680</v>
      </c>
      <c r="L29" t="str">
        <f t="shared" si="5"/>
        <v/>
      </c>
    </row>
    <row r="30" spans="1:12" x14ac:dyDescent="0.25">
      <c r="A30" t="s">
        <v>47</v>
      </c>
      <c r="B30">
        <v>2009</v>
      </c>
      <c r="C30">
        <v>135000</v>
      </c>
      <c r="D30" t="s">
        <v>49</v>
      </c>
      <c r="E30">
        <v>478000</v>
      </c>
      <c r="F30" s="1">
        <v>42385</v>
      </c>
      <c r="G30" s="4">
        <f t="shared" si="1"/>
        <v>4</v>
      </c>
      <c r="H30" s="4">
        <f t="shared" si="2"/>
        <v>8</v>
      </c>
      <c r="I30">
        <f t="shared" si="3"/>
        <v>54000</v>
      </c>
      <c r="J30">
        <f t="shared" si="4"/>
        <v>10800</v>
      </c>
      <c r="K30">
        <f t="shared" si="6"/>
        <v>70200</v>
      </c>
      <c r="L30" t="str">
        <f t="shared" si="5"/>
        <v/>
      </c>
    </row>
    <row r="31" spans="1:12" x14ac:dyDescent="0.25">
      <c r="A31" t="s">
        <v>50</v>
      </c>
      <c r="B31">
        <v>2009</v>
      </c>
      <c r="C31">
        <v>131780</v>
      </c>
      <c r="D31" t="s">
        <v>51</v>
      </c>
      <c r="E31">
        <v>306000</v>
      </c>
      <c r="F31" s="1">
        <v>42365</v>
      </c>
      <c r="G31" s="4">
        <f t="shared" si="1"/>
        <v>3</v>
      </c>
      <c r="H31" s="4">
        <f t="shared" si="2"/>
        <v>8</v>
      </c>
      <c r="I31">
        <f t="shared" si="3"/>
        <v>52712</v>
      </c>
      <c r="J31">
        <f t="shared" si="4"/>
        <v>7906.7999999999993</v>
      </c>
      <c r="K31">
        <f t="shared" si="6"/>
        <v>71161.2</v>
      </c>
      <c r="L31" t="str">
        <f t="shared" si="5"/>
        <v/>
      </c>
    </row>
    <row r="32" spans="1:12" x14ac:dyDescent="0.25">
      <c r="A32" t="s">
        <v>45</v>
      </c>
      <c r="B32">
        <v>2009</v>
      </c>
      <c r="C32">
        <v>159000</v>
      </c>
      <c r="D32" t="s">
        <v>52</v>
      </c>
      <c r="E32">
        <v>403000</v>
      </c>
      <c r="F32" s="1">
        <v>42681</v>
      </c>
      <c r="G32" s="4">
        <f t="shared" si="1"/>
        <v>4</v>
      </c>
      <c r="H32" s="4">
        <f t="shared" si="2"/>
        <v>8</v>
      </c>
      <c r="I32">
        <f t="shared" si="3"/>
        <v>63600</v>
      </c>
      <c r="J32">
        <f t="shared" si="4"/>
        <v>12720</v>
      </c>
      <c r="K32">
        <f t="shared" si="6"/>
        <v>82680</v>
      </c>
      <c r="L32" t="str">
        <f t="shared" si="5"/>
        <v/>
      </c>
    </row>
    <row r="33" spans="1:17" x14ac:dyDescent="0.25">
      <c r="A33" t="s">
        <v>33</v>
      </c>
      <c r="B33">
        <v>2009</v>
      </c>
      <c r="C33">
        <v>162800</v>
      </c>
      <c r="D33" t="s">
        <v>53</v>
      </c>
      <c r="E33">
        <v>370000</v>
      </c>
      <c r="F33" s="1">
        <v>42329</v>
      </c>
      <c r="G33" s="4">
        <f t="shared" si="1"/>
        <v>3</v>
      </c>
      <c r="H33" s="4">
        <f t="shared" si="2"/>
        <v>8</v>
      </c>
      <c r="I33">
        <f t="shared" si="3"/>
        <v>65120</v>
      </c>
      <c r="J33">
        <f t="shared" si="4"/>
        <v>9768</v>
      </c>
      <c r="K33">
        <f t="shared" si="6"/>
        <v>87912</v>
      </c>
      <c r="L33" t="str">
        <f t="shared" si="5"/>
        <v/>
      </c>
    </row>
    <row r="34" spans="1:17" x14ac:dyDescent="0.25">
      <c r="A34" t="s">
        <v>54</v>
      </c>
      <c r="B34">
        <v>2009</v>
      </c>
      <c r="C34">
        <v>168800</v>
      </c>
      <c r="D34" t="s">
        <v>55</v>
      </c>
      <c r="E34">
        <v>186300</v>
      </c>
      <c r="F34" s="1">
        <v>42272</v>
      </c>
      <c r="G34" s="4">
        <f t="shared" si="1"/>
        <v>1</v>
      </c>
      <c r="H34" s="4">
        <f t="shared" si="2"/>
        <v>8</v>
      </c>
      <c r="I34">
        <f t="shared" si="3"/>
        <v>67520</v>
      </c>
      <c r="J34">
        <f t="shared" si="4"/>
        <v>3376</v>
      </c>
      <c r="K34">
        <f t="shared" si="6"/>
        <v>97904</v>
      </c>
      <c r="L34" t="str">
        <f t="shared" si="5"/>
        <v/>
      </c>
    </row>
    <row r="35" spans="1:17" x14ac:dyDescent="0.25">
      <c r="A35" t="s">
        <v>56</v>
      </c>
      <c r="B35">
        <v>2009</v>
      </c>
      <c r="C35">
        <v>195370</v>
      </c>
      <c r="D35" t="s">
        <v>57</v>
      </c>
      <c r="E35">
        <v>290000</v>
      </c>
      <c r="F35" s="1">
        <v>42467</v>
      </c>
      <c r="G35" s="4">
        <f t="shared" si="1"/>
        <v>2</v>
      </c>
      <c r="H35" s="4">
        <f t="shared" si="2"/>
        <v>8</v>
      </c>
      <c r="I35">
        <f t="shared" si="3"/>
        <v>78148</v>
      </c>
      <c r="J35">
        <f t="shared" si="4"/>
        <v>7814.8</v>
      </c>
      <c r="K35">
        <f t="shared" si="6"/>
        <v>109407.2</v>
      </c>
      <c r="L35" t="str">
        <f t="shared" si="5"/>
        <v/>
      </c>
    </row>
    <row r="36" spans="1:17" x14ac:dyDescent="0.25">
      <c r="A36" t="s">
        <v>58</v>
      </c>
      <c r="B36">
        <v>2009</v>
      </c>
      <c r="C36">
        <v>195340</v>
      </c>
      <c r="D36" t="s">
        <v>59</v>
      </c>
      <c r="E36">
        <v>190000</v>
      </c>
      <c r="F36" s="1">
        <v>42278</v>
      </c>
      <c r="G36" s="4">
        <f t="shared" si="1"/>
        <v>1</v>
      </c>
      <c r="H36" s="4">
        <f t="shared" si="2"/>
        <v>8</v>
      </c>
      <c r="I36">
        <f t="shared" si="3"/>
        <v>78136</v>
      </c>
      <c r="J36">
        <f t="shared" si="4"/>
        <v>3906.8</v>
      </c>
      <c r="K36">
        <f t="shared" si="6"/>
        <v>113297.2</v>
      </c>
      <c r="L36" t="str">
        <f t="shared" si="5"/>
        <v/>
      </c>
    </row>
    <row r="37" spans="1:17" x14ac:dyDescent="0.25">
      <c r="A37" t="s">
        <v>60</v>
      </c>
      <c r="B37">
        <v>2009</v>
      </c>
      <c r="C37">
        <v>230000</v>
      </c>
      <c r="D37" t="s">
        <v>61</v>
      </c>
      <c r="E37">
        <v>305000</v>
      </c>
      <c r="F37" s="1">
        <v>42307</v>
      </c>
      <c r="G37" s="4">
        <f t="shared" si="1"/>
        <v>3</v>
      </c>
      <c r="H37" s="4">
        <f t="shared" si="2"/>
        <v>8</v>
      </c>
      <c r="I37">
        <f t="shared" si="3"/>
        <v>92000</v>
      </c>
      <c r="J37">
        <f t="shared" si="4"/>
        <v>13800</v>
      </c>
      <c r="K37">
        <f t="shared" si="6"/>
        <v>124200</v>
      </c>
      <c r="L37" t="str">
        <f t="shared" si="5"/>
        <v/>
      </c>
    </row>
    <row r="38" spans="1:17" x14ac:dyDescent="0.25">
      <c r="A38" t="s">
        <v>62</v>
      </c>
      <c r="B38">
        <v>2009</v>
      </c>
      <c r="C38">
        <v>291000</v>
      </c>
      <c r="D38" t="s">
        <v>63</v>
      </c>
      <c r="E38">
        <v>166000</v>
      </c>
      <c r="F38" s="1">
        <v>42297</v>
      </c>
      <c r="G38" s="4">
        <f t="shared" si="1"/>
        <v>1</v>
      </c>
      <c r="H38" s="4">
        <f t="shared" si="2"/>
        <v>8</v>
      </c>
      <c r="I38">
        <f t="shared" si="3"/>
        <v>116400</v>
      </c>
      <c r="J38">
        <f t="shared" si="4"/>
        <v>5820</v>
      </c>
      <c r="K38">
        <f t="shared" si="6"/>
        <v>168780</v>
      </c>
      <c r="L38" t="str">
        <f t="shared" si="5"/>
        <v/>
      </c>
    </row>
    <row r="39" spans="1:17" x14ac:dyDescent="0.25">
      <c r="A39" t="s">
        <v>50</v>
      </c>
      <c r="B39">
        <v>2010</v>
      </c>
      <c r="C39">
        <v>37000</v>
      </c>
      <c r="D39" t="s">
        <v>64</v>
      </c>
      <c r="E39">
        <v>978000</v>
      </c>
      <c r="F39" s="1">
        <v>42309</v>
      </c>
      <c r="G39" s="4">
        <f t="shared" si="1"/>
        <v>9</v>
      </c>
      <c r="H39" s="4">
        <f t="shared" si="2"/>
        <v>7</v>
      </c>
      <c r="I39">
        <f t="shared" si="3"/>
        <v>12950.000000000002</v>
      </c>
      <c r="J39">
        <f t="shared" si="4"/>
        <v>6660</v>
      </c>
      <c r="K39">
        <f t="shared" si="6"/>
        <v>17390</v>
      </c>
      <c r="L39" t="str">
        <f t="shared" si="5"/>
        <v>xxxxxxxxxxxxxxxxxxx</v>
      </c>
      <c r="O39" t="s">
        <v>50</v>
      </c>
      <c r="P39" t="s">
        <v>64</v>
      </c>
      <c r="Q39">
        <v>17390</v>
      </c>
    </row>
    <row r="40" spans="1:17" x14ac:dyDescent="0.25">
      <c r="A40" t="s">
        <v>50</v>
      </c>
      <c r="B40">
        <v>2010</v>
      </c>
      <c r="C40">
        <v>40830</v>
      </c>
      <c r="D40" t="s">
        <v>65</v>
      </c>
      <c r="E40">
        <v>326000</v>
      </c>
      <c r="F40" s="1">
        <v>42062</v>
      </c>
      <c r="G40" s="4">
        <f t="shared" si="1"/>
        <v>3</v>
      </c>
      <c r="H40" s="4">
        <f t="shared" si="2"/>
        <v>7</v>
      </c>
      <c r="I40">
        <f t="shared" si="3"/>
        <v>14290.500000000002</v>
      </c>
      <c r="J40">
        <f t="shared" si="4"/>
        <v>2449.7999999999997</v>
      </c>
      <c r="K40">
        <f t="shared" si="6"/>
        <v>24089.7</v>
      </c>
      <c r="L40" t="str">
        <f t="shared" si="5"/>
        <v/>
      </c>
    </row>
    <row r="41" spans="1:17" x14ac:dyDescent="0.25">
      <c r="A41" t="s">
        <v>16</v>
      </c>
      <c r="B41">
        <v>2010</v>
      </c>
      <c r="C41">
        <v>66000</v>
      </c>
      <c r="D41" t="s">
        <v>66</v>
      </c>
      <c r="E41">
        <v>736000</v>
      </c>
      <c r="F41" s="1">
        <v>42385</v>
      </c>
      <c r="G41" s="4">
        <f t="shared" si="1"/>
        <v>7</v>
      </c>
      <c r="H41" s="4">
        <f t="shared" si="2"/>
        <v>7</v>
      </c>
      <c r="I41">
        <f t="shared" si="3"/>
        <v>23100.000000000004</v>
      </c>
      <c r="J41">
        <f t="shared" si="4"/>
        <v>9240</v>
      </c>
      <c r="K41">
        <f t="shared" si="6"/>
        <v>33660</v>
      </c>
      <c r="L41" t="str">
        <f t="shared" si="5"/>
        <v/>
      </c>
    </row>
    <row r="42" spans="1:17" x14ac:dyDescent="0.25">
      <c r="A42" t="s">
        <v>67</v>
      </c>
      <c r="B42">
        <v>2010</v>
      </c>
      <c r="C42">
        <v>60000</v>
      </c>
      <c r="D42" t="s">
        <v>68</v>
      </c>
      <c r="E42">
        <v>99250</v>
      </c>
      <c r="F42" s="1">
        <v>42226</v>
      </c>
      <c r="G42" s="4">
        <f t="shared" si="1"/>
        <v>0</v>
      </c>
      <c r="H42" s="4">
        <f t="shared" si="2"/>
        <v>7</v>
      </c>
      <c r="I42">
        <f t="shared" si="3"/>
        <v>21000.000000000004</v>
      </c>
      <c r="J42">
        <f t="shared" si="4"/>
        <v>0</v>
      </c>
      <c r="K42">
        <f t="shared" si="6"/>
        <v>39000</v>
      </c>
      <c r="L42" t="str">
        <f t="shared" si="5"/>
        <v/>
      </c>
    </row>
    <row r="43" spans="1:17" x14ac:dyDescent="0.25">
      <c r="A43" t="s">
        <v>35</v>
      </c>
      <c r="B43">
        <v>2010</v>
      </c>
      <c r="C43">
        <v>84000</v>
      </c>
      <c r="D43" t="s">
        <v>69</v>
      </c>
      <c r="E43">
        <v>950000</v>
      </c>
      <c r="F43" s="1">
        <v>42029</v>
      </c>
      <c r="G43" s="4">
        <f t="shared" si="1"/>
        <v>9</v>
      </c>
      <c r="H43" s="4">
        <f t="shared" si="2"/>
        <v>7</v>
      </c>
      <c r="I43">
        <f t="shared" si="3"/>
        <v>29400.000000000004</v>
      </c>
      <c r="J43">
        <f t="shared" si="4"/>
        <v>15120</v>
      </c>
      <c r="K43">
        <f t="shared" si="6"/>
        <v>39480</v>
      </c>
      <c r="L43" t="str">
        <f t="shared" si="5"/>
        <v/>
      </c>
    </row>
    <row r="44" spans="1:17" x14ac:dyDescent="0.25">
      <c r="A44" t="s">
        <v>25</v>
      </c>
      <c r="B44">
        <v>2010</v>
      </c>
      <c r="C44">
        <v>67000</v>
      </c>
      <c r="D44" t="s">
        <v>70</v>
      </c>
      <c r="E44">
        <v>103260</v>
      </c>
      <c r="F44" s="1">
        <v>42157</v>
      </c>
      <c r="G44" s="4">
        <f t="shared" si="1"/>
        <v>1</v>
      </c>
      <c r="H44" s="4">
        <f t="shared" si="2"/>
        <v>7</v>
      </c>
      <c r="I44">
        <f t="shared" si="3"/>
        <v>23450.000000000004</v>
      </c>
      <c r="J44">
        <f t="shared" si="4"/>
        <v>1340</v>
      </c>
      <c r="K44">
        <f t="shared" si="6"/>
        <v>42210</v>
      </c>
      <c r="L44" t="str">
        <f t="shared" si="5"/>
        <v/>
      </c>
    </row>
    <row r="45" spans="1:17" x14ac:dyDescent="0.25">
      <c r="A45" t="s">
        <v>71</v>
      </c>
      <c r="B45">
        <v>2010</v>
      </c>
      <c r="C45">
        <v>75300</v>
      </c>
      <c r="D45" t="s">
        <v>72</v>
      </c>
      <c r="E45">
        <v>302000</v>
      </c>
      <c r="F45" s="1">
        <v>42174</v>
      </c>
      <c r="G45" s="4">
        <f t="shared" si="1"/>
        <v>3</v>
      </c>
      <c r="H45" s="4">
        <f t="shared" si="2"/>
        <v>7</v>
      </c>
      <c r="I45">
        <f t="shared" si="3"/>
        <v>26355.000000000004</v>
      </c>
      <c r="J45">
        <f t="shared" si="4"/>
        <v>4518</v>
      </c>
      <c r="K45">
        <f t="shared" si="6"/>
        <v>44427</v>
      </c>
      <c r="L45" t="str">
        <f t="shared" si="5"/>
        <v/>
      </c>
    </row>
    <row r="46" spans="1:17" x14ac:dyDescent="0.25">
      <c r="A46" t="s">
        <v>20</v>
      </c>
      <c r="B46">
        <v>2010</v>
      </c>
      <c r="C46">
        <v>84000</v>
      </c>
      <c r="D46" t="s">
        <v>73</v>
      </c>
      <c r="E46">
        <v>266000</v>
      </c>
      <c r="F46" s="1">
        <v>42382</v>
      </c>
      <c r="G46" s="4">
        <f t="shared" si="1"/>
        <v>2</v>
      </c>
      <c r="H46" s="4">
        <f t="shared" si="2"/>
        <v>7</v>
      </c>
      <c r="I46">
        <f t="shared" si="3"/>
        <v>29400.000000000004</v>
      </c>
      <c r="J46">
        <f t="shared" si="4"/>
        <v>3360</v>
      </c>
      <c r="K46">
        <f t="shared" si="6"/>
        <v>51240</v>
      </c>
      <c r="L46" t="str">
        <f t="shared" si="5"/>
        <v/>
      </c>
    </row>
    <row r="47" spans="1:17" x14ac:dyDescent="0.25">
      <c r="A47" t="s">
        <v>35</v>
      </c>
      <c r="B47">
        <v>2010</v>
      </c>
      <c r="C47">
        <v>92000</v>
      </c>
      <c r="D47" t="s">
        <v>74</v>
      </c>
      <c r="E47">
        <v>356000</v>
      </c>
      <c r="F47" s="1">
        <v>42174</v>
      </c>
      <c r="G47" s="4">
        <f t="shared" si="1"/>
        <v>3</v>
      </c>
      <c r="H47" s="4">
        <f t="shared" si="2"/>
        <v>7</v>
      </c>
      <c r="I47">
        <f t="shared" si="3"/>
        <v>32200.000000000004</v>
      </c>
      <c r="J47">
        <f t="shared" si="4"/>
        <v>5520</v>
      </c>
      <c r="K47">
        <f t="shared" si="6"/>
        <v>54280</v>
      </c>
      <c r="L47" t="str">
        <f t="shared" si="5"/>
        <v/>
      </c>
    </row>
    <row r="48" spans="1:17" x14ac:dyDescent="0.25">
      <c r="A48" t="s">
        <v>45</v>
      </c>
      <c r="B48">
        <v>2010</v>
      </c>
      <c r="C48">
        <v>89000</v>
      </c>
      <c r="D48" t="s">
        <v>75</v>
      </c>
      <c r="E48">
        <v>266000</v>
      </c>
      <c r="F48" s="1">
        <v>42382</v>
      </c>
      <c r="G48" s="4">
        <f t="shared" si="1"/>
        <v>2</v>
      </c>
      <c r="H48" s="4">
        <f t="shared" si="2"/>
        <v>7</v>
      </c>
      <c r="I48">
        <f t="shared" si="3"/>
        <v>31150.000000000004</v>
      </c>
      <c r="J48">
        <f t="shared" si="4"/>
        <v>3560</v>
      </c>
      <c r="K48">
        <f t="shared" si="6"/>
        <v>54290</v>
      </c>
      <c r="L48" t="str">
        <f t="shared" si="5"/>
        <v/>
      </c>
    </row>
    <row r="49" spans="1:12" x14ac:dyDescent="0.25">
      <c r="A49" t="s">
        <v>76</v>
      </c>
      <c r="B49">
        <v>2010</v>
      </c>
      <c r="C49">
        <v>94000</v>
      </c>
      <c r="D49" t="s">
        <v>77</v>
      </c>
      <c r="E49">
        <v>91000</v>
      </c>
      <c r="F49" s="1">
        <v>42268</v>
      </c>
      <c r="G49" s="4">
        <f t="shared" si="1"/>
        <v>0</v>
      </c>
      <c r="H49" s="4">
        <f t="shared" si="2"/>
        <v>7</v>
      </c>
      <c r="I49">
        <f t="shared" si="3"/>
        <v>32900</v>
      </c>
      <c r="J49">
        <f t="shared" si="4"/>
        <v>0</v>
      </c>
      <c r="K49">
        <f t="shared" si="6"/>
        <v>61100</v>
      </c>
      <c r="L49" t="str">
        <f t="shared" si="5"/>
        <v/>
      </c>
    </row>
    <row r="50" spans="1:12" x14ac:dyDescent="0.25">
      <c r="A50" t="s">
        <v>45</v>
      </c>
      <c r="B50">
        <v>2010</v>
      </c>
      <c r="C50">
        <v>113400</v>
      </c>
      <c r="D50" t="s">
        <v>78</v>
      </c>
      <c r="E50">
        <v>230000</v>
      </c>
      <c r="F50" s="1">
        <v>42073</v>
      </c>
      <c r="G50" s="4">
        <f t="shared" si="1"/>
        <v>2</v>
      </c>
      <c r="H50" s="4">
        <f t="shared" si="2"/>
        <v>7</v>
      </c>
      <c r="I50">
        <f t="shared" si="3"/>
        <v>39690.000000000007</v>
      </c>
      <c r="J50">
        <f t="shared" si="4"/>
        <v>4536</v>
      </c>
      <c r="K50">
        <f t="shared" si="6"/>
        <v>69174</v>
      </c>
      <c r="L50" t="str">
        <f t="shared" si="5"/>
        <v/>
      </c>
    </row>
    <row r="51" spans="1:12" x14ac:dyDescent="0.25">
      <c r="A51" t="s">
        <v>79</v>
      </c>
      <c r="B51">
        <v>2010</v>
      </c>
      <c r="C51">
        <v>135000</v>
      </c>
      <c r="D51" t="s">
        <v>80</v>
      </c>
      <c r="E51">
        <v>251000</v>
      </c>
      <c r="F51" s="1">
        <v>42067</v>
      </c>
      <c r="G51" s="4">
        <f t="shared" si="1"/>
        <v>2</v>
      </c>
      <c r="H51" s="4">
        <f t="shared" si="2"/>
        <v>7</v>
      </c>
      <c r="I51">
        <f t="shared" si="3"/>
        <v>47250.000000000007</v>
      </c>
      <c r="J51">
        <f t="shared" si="4"/>
        <v>5400</v>
      </c>
      <c r="K51">
        <f t="shared" si="6"/>
        <v>82350</v>
      </c>
      <c r="L51" t="str">
        <f t="shared" si="5"/>
        <v/>
      </c>
    </row>
    <row r="52" spans="1:12" x14ac:dyDescent="0.25">
      <c r="A52" t="s">
        <v>81</v>
      </c>
      <c r="B52">
        <v>2010</v>
      </c>
      <c r="C52">
        <v>160000</v>
      </c>
      <c r="D52" t="s">
        <v>82</v>
      </c>
      <c r="E52">
        <v>263000</v>
      </c>
      <c r="F52" s="1">
        <v>42028</v>
      </c>
      <c r="G52" s="4">
        <f t="shared" si="1"/>
        <v>2</v>
      </c>
      <c r="H52" s="4">
        <f t="shared" si="2"/>
        <v>7</v>
      </c>
      <c r="I52">
        <f t="shared" si="3"/>
        <v>56000.000000000007</v>
      </c>
      <c r="J52">
        <f t="shared" si="4"/>
        <v>6400</v>
      </c>
      <c r="K52">
        <f t="shared" si="6"/>
        <v>97600</v>
      </c>
      <c r="L52" t="str">
        <f t="shared" si="5"/>
        <v/>
      </c>
    </row>
    <row r="53" spans="1:12" x14ac:dyDescent="0.25">
      <c r="A53" t="s">
        <v>83</v>
      </c>
      <c r="B53">
        <v>2010</v>
      </c>
      <c r="C53">
        <v>265000</v>
      </c>
      <c r="D53" t="s">
        <v>84</v>
      </c>
      <c r="E53">
        <v>930000</v>
      </c>
      <c r="F53" s="1">
        <v>42236</v>
      </c>
      <c r="G53" s="4">
        <f t="shared" si="1"/>
        <v>9</v>
      </c>
      <c r="H53" s="4">
        <f t="shared" si="2"/>
        <v>7</v>
      </c>
      <c r="I53">
        <f t="shared" si="3"/>
        <v>92750.000000000015</v>
      </c>
      <c r="J53">
        <f t="shared" si="4"/>
        <v>47700</v>
      </c>
      <c r="K53">
        <f t="shared" si="6"/>
        <v>124550</v>
      </c>
      <c r="L53" t="str">
        <f t="shared" si="5"/>
        <v/>
      </c>
    </row>
    <row r="54" spans="1:12" x14ac:dyDescent="0.25">
      <c r="A54" t="s">
        <v>83</v>
      </c>
      <c r="B54">
        <v>2010</v>
      </c>
      <c r="C54">
        <v>265000</v>
      </c>
      <c r="D54" t="s">
        <v>85</v>
      </c>
      <c r="E54">
        <v>912000</v>
      </c>
      <c r="F54" s="1">
        <v>42236</v>
      </c>
      <c r="G54" s="4">
        <f t="shared" si="1"/>
        <v>9</v>
      </c>
      <c r="H54" s="4">
        <f t="shared" si="2"/>
        <v>7</v>
      </c>
      <c r="I54">
        <f t="shared" si="3"/>
        <v>92750.000000000015</v>
      </c>
      <c r="J54">
        <f t="shared" si="4"/>
        <v>47700</v>
      </c>
      <c r="K54">
        <f t="shared" si="6"/>
        <v>124550</v>
      </c>
      <c r="L54" t="str">
        <f t="shared" si="5"/>
        <v/>
      </c>
    </row>
    <row r="55" spans="1:12" x14ac:dyDescent="0.25">
      <c r="A55" t="s">
        <v>83</v>
      </c>
      <c r="B55">
        <v>2010</v>
      </c>
      <c r="C55">
        <v>265000</v>
      </c>
      <c r="D55" t="s">
        <v>86</v>
      </c>
      <c r="E55">
        <v>856000</v>
      </c>
      <c r="F55" s="1">
        <v>42236</v>
      </c>
      <c r="G55" s="4">
        <f t="shared" si="1"/>
        <v>8</v>
      </c>
      <c r="H55" s="4">
        <f t="shared" si="2"/>
        <v>7</v>
      </c>
      <c r="I55">
        <f t="shared" si="3"/>
        <v>92750.000000000015</v>
      </c>
      <c r="J55">
        <f t="shared" si="4"/>
        <v>42400</v>
      </c>
      <c r="K55">
        <f t="shared" si="6"/>
        <v>129850</v>
      </c>
      <c r="L55" t="str">
        <f t="shared" si="5"/>
        <v/>
      </c>
    </row>
    <row r="56" spans="1:12" x14ac:dyDescent="0.25">
      <c r="A56" t="s">
        <v>33</v>
      </c>
      <c r="B56">
        <v>2010</v>
      </c>
      <c r="C56">
        <v>230000</v>
      </c>
      <c r="D56" t="s">
        <v>87</v>
      </c>
      <c r="E56">
        <v>455000</v>
      </c>
      <c r="F56" s="1">
        <v>42439</v>
      </c>
      <c r="G56" s="4">
        <f t="shared" si="1"/>
        <v>4</v>
      </c>
      <c r="H56" s="4">
        <f t="shared" si="2"/>
        <v>7</v>
      </c>
      <c r="I56">
        <f t="shared" si="3"/>
        <v>80500.000000000015</v>
      </c>
      <c r="J56">
        <f t="shared" si="4"/>
        <v>18400</v>
      </c>
      <c r="K56">
        <f t="shared" si="6"/>
        <v>131100</v>
      </c>
      <c r="L56" t="str">
        <f t="shared" si="5"/>
        <v/>
      </c>
    </row>
    <row r="57" spans="1:12" x14ac:dyDescent="0.25">
      <c r="A57" t="s">
        <v>60</v>
      </c>
      <c r="B57">
        <v>2010</v>
      </c>
      <c r="C57">
        <v>231000</v>
      </c>
      <c r="D57" t="s">
        <v>88</v>
      </c>
      <c r="E57">
        <v>301000</v>
      </c>
      <c r="F57" s="1">
        <v>42307</v>
      </c>
      <c r="G57" s="4">
        <f t="shared" si="1"/>
        <v>3</v>
      </c>
      <c r="H57" s="4">
        <f t="shared" si="2"/>
        <v>7</v>
      </c>
      <c r="I57">
        <f t="shared" si="3"/>
        <v>80850.000000000015</v>
      </c>
      <c r="J57">
        <f t="shared" si="4"/>
        <v>13860</v>
      </c>
      <c r="K57">
        <f t="shared" si="6"/>
        <v>136290</v>
      </c>
      <c r="L57" t="str">
        <f t="shared" si="5"/>
        <v/>
      </c>
    </row>
    <row r="58" spans="1:12" x14ac:dyDescent="0.25">
      <c r="A58" t="s">
        <v>62</v>
      </c>
      <c r="B58">
        <v>2010</v>
      </c>
      <c r="C58">
        <v>257000</v>
      </c>
      <c r="D58" t="s">
        <v>89</v>
      </c>
      <c r="E58">
        <v>164700</v>
      </c>
      <c r="F58" s="1">
        <v>42286</v>
      </c>
      <c r="G58" s="4">
        <f t="shared" si="1"/>
        <v>1</v>
      </c>
      <c r="H58" s="4">
        <f t="shared" si="2"/>
        <v>7</v>
      </c>
      <c r="I58">
        <f t="shared" si="3"/>
        <v>89950.000000000015</v>
      </c>
      <c r="J58">
        <f t="shared" si="4"/>
        <v>5140</v>
      </c>
      <c r="K58">
        <f t="shared" si="6"/>
        <v>161910</v>
      </c>
      <c r="L58" t="str">
        <f t="shared" si="5"/>
        <v/>
      </c>
    </row>
    <row r="59" spans="1:12" x14ac:dyDescent="0.25">
      <c r="A59" t="s">
        <v>50</v>
      </c>
      <c r="B59">
        <v>2011</v>
      </c>
      <c r="C59">
        <v>38000</v>
      </c>
      <c r="D59" t="s">
        <v>90</v>
      </c>
      <c r="E59">
        <v>574000</v>
      </c>
      <c r="F59" s="1">
        <v>42309</v>
      </c>
      <c r="G59" s="4">
        <f t="shared" si="1"/>
        <v>5</v>
      </c>
      <c r="H59" s="4">
        <f t="shared" si="2"/>
        <v>6</v>
      </c>
      <c r="I59">
        <f t="shared" si="3"/>
        <v>11400.000000000002</v>
      </c>
      <c r="J59">
        <f t="shared" si="4"/>
        <v>3800</v>
      </c>
      <c r="K59">
        <f t="shared" si="6"/>
        <v>22800</v>
      </c>
      <c r="L59" t="str">
        <f t="shared" si="5"/>
        <v/>
      </c>
    </row>
    <row r="60" spans="1:12" x14ac:dyDescent="0.25">
      <c r="A60" t="s">
        <v>91</v>
      </c>
      <c r="B60">
        <v>2011</v>
      </c>
      <c r="C60">
        <v>56700</v>
      </c>
      <c r="D60" t="s">
        <v>92</v>
      </c>
      <c r="E60">
        <v>290000</v>
      </c>
      <c r="F60" s="1">
        <v>42236</v>
      </c>
      <c r="G60" s="4">
        <f t="shared" si="1"/>
        <v>2</v>
      </c>
      <c r="H60" s="4">
        <f t="shared" si="2"/>
        <v>6</v>
      </c>
      <c r="I60">
        <f t="shared" si="3"/>
        <v>17010.000000000004</v>
      </c>
      <c r="J60">
        <f t="shared" si="4"/>
        <v>2268</v>
      </c>
      <c r="K60">
        <f t="shared" si="6"/>
        <v>37422</v>
      </c>
      <c r="L60" t="str">
        <f t="shared" si="5"/>
        <v/>
      </c>
    </row>
    <row r="61" spans="1:12" x14ac:dyDescent="0.25">
      <c r="A61" t="s">
        <v>91</v>
      </c>
      <c r="B61">
        <v>2011</v>
      </c>
      <c r="C61">
        <v>57700</v>
      </c>
      <c r="D61" t="s">
        <v>93</v>
      </c>
      <c r="E61">
        <v>286000</v>
      </c>
      <c r="F61" s="1">
        <v>42236</v>
      </c>
      <c r="G61" s="4">
        <f t="shared" si="1"/>
        <v>2</v>
      </c>
      <c r="H61" s="4">
        <f t="shared" si="2"/>
        <v>6</v>
      </c>
      <c r="I61">
        <f t="shared" si="3"/>
        <v>17310.000000000004</v>
      </c>
      <c r="J61">
        <f t="shared" si="4"/>
        <v>2308</v>
      </c>
      <c r="K61">
        <f t="shared" si="6"/>
        <v>38082</v>
      </c>
      <c r="L61" t="str">
        <f t="shared" si="5"/>
        <v/>
      </c>
    </row>
    <row r="62" spans="1:12" x14ac:dyDescent="0.25">
      <c r="A62" t="s">
        <v>67</v>
      </c>
      <c r="B62">
        <v>2011</v>
      </c>
      <c r="C62">
        <v>59000</v>
      </c>
      <c r="D62" t="s">
        <v>94</v>
      </c>
      <c r="E62">
        <v>103250</v>
      </c>
      <c r="F62" s="1">
        <v>42226</v>
      </c>
      <c r="G62" s="4">
        <f t="shared" si="1"/>
        <v>1</v>
      </c>
      <c r="H62" s="4">
        <f t="shared" si="2"/>
        <v>6</v>
      </c>
      <c r="I62">
        <f t="shared" si="3"/>
        <v>17700.000000000004</v>
      </c>
      <c r="J62">
        <f t="shared" si="4"/>
        <v>1180</v>
      </c>
      <c r="K62">
        <f t="shared" si="6"/>
        <v>40120</v>
      </c>
      <c r="L62" t="str">
        <f t="shared" si="5"/>
        <v/>
      </c>
    </row>
    <row r="63" spans="1:12" x14ac:dyDescent="0.25">
      <c r="A63" t="s">
        <v>71</v>
      </c>
      <c r="B63">
        <v>2011</v>
      </c>
      <c r="C63">
        <v>74300</v>
      </c>
      <c r="D63" t="s">
        <v>95</v>
      </c>
      <c r="E63">
        <v>306000</v>
      </c>
      <c r="F63" s="1">
        <v>42174</v>
      </c>
      <c r="G63" s="4">
        <f t="shared" si="1"/>
        <v>3</v>
      </c>
      <c r="H63" s="4">
        <f t="shared" si="2"/>
        <v>6</v>
      </c>
      <c r="I63">
        <f t="shared" si="3"/>
        <v>22290.000000000004</v>
      </c>
      <c r="J63">
        <f t="shared" si="4"/>
        <v>4458</v>
      </c>
      <c r="K63">
        <f t="shared" si="6"/>
        <v>47552</v>
      </c>
      <c r="L63" t="str">
        <f t="shared" si="5"/>
        <v/>
      </c>
    </row>
    <row r="64" spans="1:12" x14ac:dyDescent="0.25">
      <c r="A64" t="s">
        <v>62</v>
      </c>
      <c r="B64">
        <v>2011</v>
      </c>
      <c r="C64">
        <v>210000</v>
      </c>
      <c r="D64" t="s">
        <v>96</v>
      </c>
      <c r="E64">
        <v>780000</v>
      </c>
      <c r="F64" s="1">
        <v>42481</v>
      </c>
      <c r="G64" s="4">
        <f t="shared" si="1"/>
        <v>7</v>
      </c>
      <c r="H64" s="4">
        <f t="shared" si="2"/>
        <v>6</v>
      </c>
      <c r="I64">
        <f t="shared" si="3"/>
        <v>63000.000000000007</v>
      </c>
      <c r="J64">
        <f t="shared" si="4"/>
        <v>29400.000000000004</v>
      </c>
      <c r="K64">
        <f t="shared" si="6"/>
        <v>117600</v>
      </c>
      <c r="L64" t="str">
        <f t="shared" si="5"/>
        <v/>
      </c>
    </row>
    <row r="65" spans="1:12" x14ac:dyDescent="0.25">
      <c r="A65" t="s">
        <v>62</v>
      </c>
      <c r="B65">
        <v>2011</v>
      </c>
      <c r="C65">
        <v>210000</v>
      </c>
      <c r="D65" t="s">
        <v>97</v>
      </c>
      <c r="E65">
        <v>760300</v>
      </c>
      <c r="F65" s="1">
        <v>42481</v>
      </c>
      <c r="G65" s="4">
        <f t="shared" si="1"/>
        <v>7</v>
      </c>
      <c r="H65" s="4">
        <f t="shared" si="2"/>
        <v>6</v>
      </c>
      <c r="I65">
        <f t="shared" si="3"/>
        <v>63000.000000000007</v>
      </c>
      <c r="J65">
        <f t="shared" si="4"/>
        <v>29400.000000000004</v>
      </c>
      <c r="K65">
        <f t="shared" si="6"/>
        <v>117600</v>
      </c>
      <c r="L65" t="str">
        <f t="shared" si="5"/>
        <v/>
      </c>
    </row>
    <row r="66" spans="1:12" x14ac:dyDescent="0.25">
      <c r="A66" t="s">
        <v>62</v>
      </c>
      <c r="B66">
        <v>2011</v>
      </c>
      <c r="C66">
        <v>210000</v>
      </c>
      <c r="D66" t="s">
        <v>98</v>
      </c>
      <c r="E66">
        <v>680000</v>
      </c>
      <c r="F66" s="1">
        <v>42481</v>
      </c>
      <c r="G66" s="4">
        <f t="shared" si="1"/>
        <v>6</v>
      </c>
      <c r="H66" s="4">
        <f t="shared" si="2"/>
        <v>6</v>
      </c>
      <c r="I66">
        <f t="shared" si="3"/>
        <v>63000.000000000007</v>
      </c>
      <c r="J66">
        <f t="shared" si="4"/>
        <v>25200</v>
      </c>
      <c r="K66">
        <f t="shared" si="6"/>
        <v>121800</v>
      </c>
      <c r="L66" t="str">
        <f t="shared" si="5"/>
        <v/>
      </c>
    </row>
    <row r="67" spans="1:12" x14ac:dyDescent="0.25">
      <c r="A67" t="s">
        <v>62</v>
      </c>
      <c r="B67">
        <v>2011</v>
      </c>
      <c r="C67">
        <v>210000</v>
      </c>
      <c r="D67" t="s">
        <v>99</v>
      </c>
      <c r="E67">
        <v>655000</v>
      </c>
      <c r="F67" s="1">
        <v>42481</v>
      </c>
      <c r="G67" s="4">
        <f t="shared" ref="G67:G130" si="7">ROUNDDOWN(E67/100000,0)</f>
        <v>6</v>
      </c>
      <c r="H67" s="4">
        <f t="shared" ref="H67:H130" si="8">2017-B67</f>
        <v>6</v>
      </c>
      <c r="I67">
        <f t="shared" ref="I67:I130" si="9">H67*5%*C67</f>
        <v>63000.000000000007</v>
      </c>
      <c r="J67">
        <f t="shared" ref="J67:J130" si="10">G67* 2%*C67</f>
        <v>25200</v>
      </c>
      <c r="K67">
        <f t="shared" si="6"/>
        <v>121800</v>
      </c>
      <c r="L67" t="str">
        <f t="shared" ref="L67:L130" si="11">IF(K67=$N$2,"xxxxxxxxxxxxxxxxxxx","")</f>
        <v/>
      </c>
    </row>
    <row r="68" spans="1:12" x14ac:dyDescent="0.25">
      <c r="A68" t="s">
        <v>100</v>
      </c>
      <c r="B68">
        <v>2011</v>
      </c>
      <c r="C68">
        <v>220000</v>
      </c>
      <c r="D68" t="s">
        <v>101</v>
      </c>
      <c r="E68">
        <v>731000</v>
      </c>
      <c r="F68" s="1">
        <v>42236</v>
      </c>
      <c r="G68" s="4">
        <f t="shared" si="7"/>
        <v>7</v>
      </c>
      <c r="H68" s="4">
        <f t="shared" si="8"/>
        <v>6</v>
      </c>
      <c r="I68">
        <f t="shared" si="9"/>
        <v>66000.000000000015</v>
      </c>
      <c r="J68">
        <f t="shared" si="10"/>
        <v>30800.000000000004</v>
      </c>
      <c r="K68">
        <f t="shared" si="6"/>
        <v>123200</v>
      </c>
      <c r="L68" t="str">
        <f t="shared" si="11"/>
        <v/>
      </c>
    </row>
    <row r="69" spans="1:12" x14ac:dyDescent="0.25">
      <c r="A69" t="s">
        <v>100</v>
      </c>
      <c r="B69">
        <v>2011</v>
      </c>
      <c r="C69">
        <v>220000</v>
      </c>
      <c r="D69" t="s">
        <v>102</v>
      </c>
      <c r="E69">
        <v>685413</v>
      </c>
      <c r="F69" s="1">
        <v>42236</v>
      </c>
      <c r="G69" s="4">
        <f t="shared" si="7"/>
        <v>6</v>
      </c>
      <c r="H69" s="4">
        <f t="shared" si="8"/>
        <v>6</v>
      </c>
      <c r="I69">
        <f t="shared" si="9"/>
        <v>66000.000000000015</v>
      </c>
      <c r="J69">
        <f t="shared" si="10"/>
        <v>26400</v>
      </c>
      <c r="K69">
        <f t="shared" si="6"/>
        <v>127600</v>
      </c>
      <c r="L69" t="str">
        <f t="shared" si="11"/>
        <v/>
      </c>
    </row>
    <row r="70" spans="1:12" x14ac:dyDescent="0.25">
      <c r="A70" t="s">
        <v>58</v>
      </c>
      <c r="B70">
        <v>2011</v>
      </c>
      <c r="C70">
        <v>196340</v>
      </c>
      <c r="D70" t="s">
        <v>103</v>
      </c>
      <c r="E70">
        <v>186000</v>
      </c>
      <c r="F70" s="1">
        <v>42278</v>
      </c>
      <c r="G70" s="4">
        <f t="shared" si="7"/>
        <v>1</v>
      </c>
      <c r="H70" s="4">
        <f t="shared" si="8"/>
        <v>6</v>
      </c>
      <c r="I70">
        <f t="shared" si="9"/>
        <v>58902.000000000007</v>
      </c>
      <c r="J70">
        <f t="shared" si="10"/>
        <v>3926.8</v>
      </c>
      <c r="K70">
        <f t="shared" si="6"/>
        <v>133511.20000000001</v>
      </c>
      <c r="L70" t="str">
        <f t="shared" si="11"/>
        <v/>
      </c>
    </row>
    <row r="71" spans="1:12" x14ac:dyDescent="0.25">
      <c r="A71" t="s">
        <v>104</v>
      </c>
      <c r="B71">
        <v>2011</v>
      </c>
      <c r="C71">
        <v>245000</v>
      </c>
      <c r="D71" t="s">
        <v>105</v>
      </c>
      <c r="E71">
        <v>720000</v>
      </c>
      <c r="F71" s="1">
        <v>42462</v>
      </c>
      <c r="G71" s="4">
        <f t="shared" si="7"/>
        <v>7</v>
      </c>
      <c r="H71" s="4">
        <f t="shared" si="8"/>
        <v>6</v>
      </c>
      <c r="I71">
        <f t="shared" si="9"/>
        <v>73500.000000000015</v>
      </c>
      <c r="J71">
        <f t="shared" si="10"/>
        <v>34300</v>
      </c>
      <c r="K71">
        <f t="shared" si="6"/>
        <v>137200</v>
      </c>
      <c r="L71" t="str">
        <f t="shared" si="11"/>
        <v/>
      </c>
    </row>
    <row r="72" spans="1:12" x14ac:dyDescent="0.25">
      <c r="A72" t="s">
        <v>104</v>
      </c>
      <c r="B72">
        <v>2011</v>
      </c>
      <c r="C72">
        <v>245000</v>
      </c>
      <c r="D72" t="s">
        <v>106</v>
      </c>
      <c r="E72">
        <v>680000</v>
      </c>
      <c r="F72" s="1">
        <v>42462</v>
      </c>
      <c r="G72" s="4">
        <f t="shared" si="7"/>
        <v>6</v>
      </c>
      <c r="H72" s="4">
        <f t="shared" si="8"/>
        <v>6</v>
      </c>
      <c r="I72">
        <f t="shared" si="9"/>
        <v>73500.000000000015</v>
      </c>
      <c r="J72">
        <f t="shared" si="10"/>
        <v>29400</v>
      </c>
      <c r="K72">
        <f t="shared" si="6"/>
        <v>142100</v>
      </c>
      <c r="L72" t="str">
        <f t="shared" si="11"/>
        <v/>
      </c>
    </row>
    <row r="73" spans="1:12" x14ac:dyDescent="0.25">
      <c r="A73" t="s">
        <v>104</v>
      </c>
      <c r="B73">
        <v>2011</v>
      </c>
      <c r="C73">
        <v>245000</v>
      </c>
      <c r="D73" t="s">
        <v>107</v>
      </c>
      <c r="E73">
        <v>660000</v>
      </c>
      <c r="F73" s="1">
        <v>42462</v>
      </c>
      <c r="G73" s="4">
        <f t="shared" si="7"/>
        <v>6</v>
      </c>
      <c r="H73" s="4">
        <f t="shared" si="8"/>
        <v>6</v>
      </c>
      <c r="I73">
        <f t="shared" si="9"/>
        <v>73500.000000000015</v>
      </c>
      <c r="J73">
        <f t="shared" si="10"/>
        <v>29400</v>
      </c>
      <c r="K73">
        <f t="shared" si="6"/>
        <v>142100</v>
      </c>
      <c r="L73" t="str">
        <f t="shared" si="11"/>
        <v/>
      </c>
    </row>
    <row r="74" spans="1:12" x14ac:dyDescent="0.25">
      <c r="A74" t="s">
        <v>104</v>
      </c>
      <c r="B74">
        <v>2011</v>
      </c>
      <c r="C74">
        <v>245000</v>
      </c>
      <c r="D74" t="s">
        <v>108</v>
      </c>
      <c r="E74">
        <v>630000</v>
      </c>
      <c r="F74" s="1">
        <v>42462</v>
      </c>
      <c r="G74" s="4">
        <f t="shared" si="7"/>
        <v>6</v>
      </c>
      <c r="H74" s="4">
        <f t="shared" si="8"/>
        <v>6</v>
      </c>
      <c r="I74">
        <f t="shared" si="9"/>
        <v>73500.000000000015</v>
      </c>
      <c r="J74">
        <f t="shared" si="10"/>
        <v>29400</v>
      </c>
      <c r="K74">
        <f t="shared" si="6"/>
        <v>142100</v>
      </c>
      <c r="L74" t="str">
        <f t="shared" si="11"/>
        <v/>
      </c>
    </row>
    <row r="75" spans="1:12" x14ac:dyDescent="0.25">
      <c r="A75" t="s">
        <v>104</v>
      </c>
      <c r="B75">
        <v>2011</v>
      </c>
      <c r="C75">
        <v>245000</v>
      </c>
      <c r="D75" t="s">
        <v>109</v>
      </c>
      <c r="E75">
        <v>655000</v>
      </c>
      <c r="F75" s="1">
        <v>42462</v>
      </c>
      <c r="G75" s="4">
        <f t="shared" si="7"/>
        <v>6</v>
      </c>
      <c r="H75" s="4">
        <f t="shared" si="8"/>
        <v>6</v>
      </c>
      <c r="I75">
        <f t="shared" si="9"/>
        <v>73500.000000000015</v>
      </c>
      <c r="J75">
        <f t="shared" si="10"/>
        <v>29400</v>
      </c>
      <c r="K75">
        <f t="shared" si="6"/>
        <v>142100</v>
      </c>
      <c r="L75" t="str">
        <f t="shared" si="11"/>
        <v/>
      </c>
    </row>
    <row r="76" spans="1:12" x14ac:dyDescent="0.25">
      <c r="A76" t="s">
        <v>104</v>
      </c>
      <c r="B76">
        <v>2011</v>
      </c>
      <c r="C76">
        <v>245000</v>
      </c>
      <c r="D76" t="s">
        <v>110</v>
      </c>
      <c r="E76">
        <v>590000</v>
      </c>
      <c r="F76" s="1">
        <v>42462</v>
      </c>
      <c r="G76" s="4">
        <f t="shared" si="7"/>
        <v>5</v>
      </c>
      <c r="H76" s="4">
        <f t="shared" si="8"/>
        <v>6</v>
      </c>
      <c r="I76">
        <f t="shared" si="9"/>
        <v>73500.000000000015</v>
      </c>
      <c r="J76">
        <f t="shared" si="10"/>
        <v>24500</v>
      </c>
      <c r="K76">
        <f t="shared" si="6"/>
        <v>147000</v>
      </c>
      <c r="L76" t="str">
        <f t="shared" si="11"/>
        <v/>
      </c>
    </row>
    <row r="77" spans="1:12" x14ac:dyDescent="0.25">
      <c r="A77" t="s">
        <v>50</v>
      </c>
      <c r="B77">
        <v>2012</v>
      </c>
      <c r="C77">
        <v>39830</v>
      </c>
      <c r="D77" t="s">
        <v>111</v>
      </c>
      <c r="E77">
        <v>330000</v>
      </c>
      <c r="F77" s="1">
        <v>42062</v>
      </c>
      <c r="G77" s="4">
        <f t="shared" si="7"/>
        <v>3</v>
      </c>
      <c r="H77" s="4">
        <f t="shared" si="8"/>
        <v>5</v>
      </c>
      <c r="I77">
        <f t="shared" si="9"/>
        <v>9957.5</v>
      </c>
      <c r="J77">
        <f t="shared" si="10"/>
        <v>2389.7999999999997</v>
      </c>
      <c r="K77">
        <f t="shared" ref="K77:K135" si="12">C77-I77-J77</f>
        <v>27482.7</v>
      </c>
      <c r="L77" t="str">
        <f t="shared" si="11"/>
        <v/>
      </c>
    </row>
    <row r="78" spans="1:12" x14ac:dyDescent="0.25">
      <c r="A78" t="s">
        <v>50</v>
      </c>
      <c r="B78">
        <v>2012</v>
      </c>
      <c r="C78">
        <v>48800</v>
      </c>
      <c r="D78" t="s">
        <v>112</v>
      </c>
      <c r="E78">
        <v>268650</v>
      </c>
      <c r="F78" s="1">
        <v>42117</v>
      </c>
      <c r="G78" s="4">
        <f t="shared" si="7"/>
        <v>2</v>
      </c>
      <c r="H78" s="4">
        <f t="shared" si="8"/>
        <v>5</v>
      </c>
      <c r="I78">
        <f t="shared" si="9"/>
        <v>12200</v>
      </c>
      <c r="J78">
        <f t="shared" si="10"/>
        <v>1952</v>
      </c>
      <c r="K78">
        <f t="shared" si="12"/>
        <v>34648</v>
      </c>
      <c r="L78" t="str">
        <f t="shared" si="11"/>
        <v/>
      </c>
    </row>
    <row r="79" spans="1:12" x14ac:dyDescent="0.25">
      <c r="A79" t="s">
        <v>18</v>
      </c>
      <c r="B79">
        <v>2012</v>
      </c>
      <c r="C79">
        <v>59000</v>
      </c>
      <c r="D79" t="s">
        <v>113</v>
      </c>
      <c r="E79">
        <v>302000</v>
      </c>
      <c r="F79" s="1">
        <v>42271</v>
      </c>
      <c r="G79" s="4">
        <f t="shared" si="7"/>
        <v>3</v>
      </c>
      <c r="H79" s="4">
        <f t="shared" si="8"/>
        <v>5</v>
      </c>
      <c r="I79">
        <f t="shared" si="9"/>
        <v>14750</v>
      </c>
      <c r="J79">
        <f t="shared" si="10"/>
        <v>3540</v>
      </c>
      <c r="K79">
        <f t="shared" si="12"/>
        <v>40710</v>
      </c>
      <c r="L79" t="str">
        <f t="shared" si="11"/>
        <v/>
      </c>
    </row>
    <row r="80" spans="1:12" x14ac:dyDescent="0.25">
      <c r="A80" t="s">
        <v>33</v>
      </c>
      <c r="B80">
        <v>2012</v>
      </c>
      <c r="C80">
        <v>76000</v>
      </c>
      <c r="D80" t="s">
        <v>114</v>
      </c>
      <c r="E80">
        <v>850000</v>
      </c>
      <c r="F80" s="1">
        <v>42376</v>
      </c>
      <c r="G80" s="4">
        <f t="shared" si="7"/>
        <v>8</v>
      </c>
      <c r="H80" s="4">
        <f t="shared" si="8"/>
        <v>5</v>
      </c>
      <c r="I80">
        <f t="shared" si="9"/>
        <v>19000</v>
      </c>
      <c r="J80">
        <f t="shared" si="10"/>
        <v>12160</v>
      </c>
      <c r="K80">
        <f t="shared" si="12"/>
        <v>44840</v>
      </c>
      <c r="L80" t="str">
        <f t="shared" si="11"/>
        <v/>
      </c>
    </row>
    <row r="81" spans="1:12" x14ac:dyDescent="0.25">
      <c r="A81" t="s">
        <v>41</v>
      </c>
      <c r="B81">
        <v>2012</v>
      </c>
      <c r="C81">
        <v>87133</v>
      </c>
      <c r="D81" t="s">
        <v>115</v>
      </c>
      <c r="E81">
        <v>376000</v>
      </c>
      <c r="F81" s="1">
        <v>42208</v>
      </c>
      <c r="G81" s="4">
        <f t="shared" si="7"/>
        <v>3</v>
      </c>
      <c r="H81" s="4">
        <f t="shared" si="8"/>
        <v>5</v>
      </c>
      <c r="I81">
        <f t="shared" si="9"/>
        <v>21783.25</v>
      </c>
      <c r="J81">
        <f t="shared" si="10"/>
        <v>5227.9799999999996</v>
      </c>
      <c r="K81">
        <f t="shared" si="12"/>
        <v>60121.770000000004</v>
      </c>
      <c r="L81" t="str">
        <f t="shared" si="11"/>
        <v/>
      </c>
    </row>
    <row r="82" spans="1:12" x14ac:dyDescent="0.25">
      <c r="A82" t="s">
        <v>22</v>
      </c>
      <c r="B82">
        <v>2012</v>
      </c>
      <c r="C82">
        <v>110000</v>
      </c>
      <c r="D82" t="s">
        <v>116</v>
      </c>
      <c r="E82">
        <v>201000</v>
      </c>
      <c r="F82" s="1">
        <v>42075</v>
      </c>
      <c r="G82" s="4">
        <f t="shared" si="7"/>
        <v>2</v>
      </c>
      <c r="H82" s="4">
        <f t="shared" si="8"/>
        <v>5</v>
      </c>
      <c r="I82">
        <f t="shared" si="9"/>
        <v>27500</v>
      </c>
      <c r="J82">
        <f t="shared" si="10"/>
        <v>4400</v>
      </c>
      <c r="K82">
        <f t="shared" si="12"/>
        <v>78100</v>
      </c>
      <c r="L82" t="str">
        <f t="shared" si="11"/>
        <v/>
      </c>
    </row>
    <row r="83" spans="1:12" x14ac:dyDescent="0.25">
      <c r="A83" t="s">
        <v>50</v>
      </c>
      <c r="B83">
        <v>2012</v>
      </c>
      <c r="C83">
        <v>130780</v>
      </c>
      <c r="D83" t="s">
        <v>117</v>
      </c>
      <c r="E83">
        <v>310000</v>
      </c>
      <c r="F83" s="1">
        <v>42365</v>
      </c>
      <c r="G83" s="4">
        <f t="shared" si="7"/>
        <v>3</v>
      </c>
      <c r="H83" s="4">
        <f t="shared" si="8"/>
        <v>5</v>
      </c>
      <c r="I83">
        <f t="shared" si="9"/>
        <v>32695</v>
      </c>
      <c r="J83">
        <f t="shared" si="10"/>
        <v>7846.7999999999993</v>
      </c>
      <c r="K83">
        <f t="shared" si="12"/>
        <v>90238.2</v>
      </c>
      <c r="L83" t="str">
        <f t="shared" si="11"/>
        <v/>
      </c>
    </row>
    <row r="84" spans="1:12" x14ac:dyDescent="0.25">
      <c r="A84" t="s">
        <v>45</v>
      </c>
      <c r="B84">
        <v>2012</v>
      </c>
      <c r="C84">
        <v>135502</v>
      </c>
      <c r="D84" t="s">
        <v>118</v>
      </c>
      <c r="E84">
        <v>247000</v>
      </c>
      <c r="F84" s="1">
        <v>42476</v>
      </c>
      <c r="G84" s="4">
        <f t="shared" si="7"/>
        <v>2</v>
      </c>
      <c r="H84" s="4">
        <f t="shared" si="8"/>
        <v>5</v>
      </c>
      <c r="I84">
        <f t="shared" si="9"/>
        <v>33875.5</v>
      </c>
      <c r="J84">
        <f t="shared" si="10"/>
        <v>5420.08</v>
      </c>
      <c r="K84">
        <f t="shared" si="12"/>
        <v>96206.42</v>
      </c>
      <c r="L84" t="str">
        <f t="shared" si="11"/>
        <v/>
      </c>
    </row>
    <row r="85" spans="1:12" x14ac:dyDescent="0.25">
      <c r="A85" t="s">
        <v>119</v>
      </c>
      <c r="B85">
        <v>2012</v>
      </c>
      <c r="C85">
        <v>145000</v>
      </c>
      <c r="D85" t="s">
        <v>120</v>
      </c>
      <c r="E85">
        <v>386732</v>
      </c>
      <c r="F85" s="1">
        <v>42059</v>
      </c>
      <c r="G85" s="4">
        <f t="shared" si="7"/>
        <v>3</v>
      </c>
      <c r="H85" s="4">
        <f t="shared" si="8"/>
        <v>5</v>
      </c>
      <c r="I85">
        <f t="shared" si="9"/>
        <v>36250</v>
      </c>
      <c r="J85">
        <f t="shared" si="10"/>
        <v>8700</v>
      </c>
      <c r="K85">
        <f t="shared" si="12"/>
        <v>100050</v>
      </c>
      <c r="L85" t="str">
        <f t="shared" si="11"/>
        <v/>
      </c>
    </row>
    <row r="86" spans="1:12" x14ac:dyDescent="0.25">
      <c r="A86" t="s">
        <v>119</v>
      </c>
      <c r="B86">
        <v>2012</v>
      </c>
      <c r="C86">
        <v>145000</v>
      </c>
      <c r="D86" t="s">
        <v>121</v>
      </c>
      <c r="E86">
        <v>312680</v>
      </c>
      <c r="F86" s="1">
        <v>42059</v>
      </c>
      <c r="G86" s="4">
        <f t="shared" si="7"/>
        <v>3</v>
      </c>
      <c r="H86" s="4">
        <f t="shared" si="8"/>
        <v>5</v>
      </c>
      <c r="I86">
        <f t="shared" si="9"/>
        <v>36250</v>
      </c>
      <c r="J86">
        <f t="shared" si="10"/>
        <v>8700</v>
      </c>
      <c r="K86">
        <f t="shared" si="12"/>
        <v>100050</v>
      </c>
      <c r="L86" t="str">
        <f t="shared" si="11"/>
        <v/>
      </c>
    </row>
    <row r="87" spans="1:12" x14ac:dyDescent="0.25">
      <c r="A87" t="s">
        <v>33</v>
      </c>
      <c r="B87">
        <v>2012</v>
      </c>
      <c r="C87">
        <v>163800</v>
      </c>
      <c r="D87" t="s">
        <v>122</v>
      </c>
      <c r="E87">
        <v>366000</v>
      </c>
      <c r="F87" s="1">
        <v>42329</v>
      </c>
      <c r="G87" s="4">
        <f t="shared" si="7"/>
        <v>3</v>
      </c>
      <c r="H87" s="4">
        <f t="shared" si="8"/>
        <v>5</v>
      </c>
      <c r="I87">
        <f t="shared" si="9"/>
        <v>40950</v>
      </c>
      <c r="J87">
        <f t="shared" si="10"/>
        <v>9828</v>
      </c>
      <c r="K87">
        <f t="shared" si="12"/>
        <v>113022</v>
      </c>
      <c r="L87" t="str">
        <f t="shared" si="11"/>
        <v/>
      </c>
    </row>
    <row r="88" spans="1:12" x14ac:dyDescent="0.25">
      <c r="A88" t="s">
        <v>123</v>
      </c>
      <c r="B88">
        <v>2012</v>
      </c>
      <c r="C88">
        <v>183000</v>
      </c>
      <c r="D88" t="s">
        <v>124</v>
      </c>
      <c r="E88">
        <v>520000</v>
      </c>
      <c r="F88" s="1">
        <v>42444</v>
      </c>
      <c r="G88" s="4">
        <f t="shared" si="7"/>
        <v>5</v>
      </c>
      <c r="H88" s="4">
        <f t="shared" si="8"/>
        <v>5</v>
      </c>
      <c r="I88">
        <f t="shared" si="9"/>
        <v>45750</v>
      </c>
      <c r="J88">
        <f t="shared" si="10"/>
        <v>18300</v>
      </c>
      <c r="K88">
        <f t="shared" si="12"/>
        <v>118950</v>
      </c>
      <c r="L88" t="str">
        <f t="shared" si="11"/>
        <v/>
      </c>
    </row>
    <row r="89" spans="1:12" x14ac:dyDescent="0.25">
      <c r="A89" t="s">
        <v>123</v>
      </c>
      <c r="B89">
        <v>2012</v>
      </c>
      <c r="C89">
        <v>183000</v>
      </c>
      <c r="D89" t="s">
        <v>125</v>
      </c>
      <c r="E89">
        <v>530000</v>
      </c>
      <c r="F89" s="1">
        <v>42444</v>
      </c>
      <c r="G89" s="4">
        <f t="shared" si="7"/>
        <v>5</v>
      </c>
      <c r="H89" s="4">
        <f t="shared" si="8"/>
        <v>5</v>
      </c>
      <c r="I89">
        <f t="shared" si="9"/>
        <v>45750</v>
      </c>
      <c r="J89">
        <f t="shared" si="10"/>
        <v>18300</v>
      </c>
      <c r="K89">
        <f t="shared" si="12"/>
        <v>118950</v>
      </c>
      <c r="L89" t="str">
        <f t="shared" si="11"/>
        <v/>
      </c>
    </row>
    <row r="90" spans="1:12" x14ac:dyDescent="0.25">
      <c r="A90" t="s">
        <v>123</v>
      </c>
      <c r="B90">
        <v>2012</v>
      </c>
      <c r="C90">
        <v>183000</v>
      </c>
      <c r="D90" t="s">
        <v>126</v>
      </c>
      <c r="E90">
        <v>490000</v>
      </c>
      <c r="F90" s="1">
        <v>42444</v>
      </c>
      <c r="G90" s="4">
        <f t="shared" si="7"/>
        <v>4</v>
      </c>
      <c r="H90" s="4">
        <f t="shared" si="8"/>
        <v>5</v>
      </c>
      <c r="I90">
        <f t="shared" si="9"/>
        <v>45750</v>
      </c>
      <c r="J90">
        <f t="shared" si="10"/>
        <v>14640</v>
      </c>
      <c r="K90">
        <f t="shared" si="12"/>
        <v>122610</v>
      </c>
      <c r="L90" t="str">
        <f t="shared" si="11"/>
        <v/>
      </c>
    </row>
    <row r="91" spans="1:12" x14ac:dyDescent="0.25">
      <c r="A91" t="s">
        <v>123</v>
      </c>
      <c r="B91">
        <v>2012</v>
      </c>
      <c r="C91">
        <v>183000</v>
      </c>
      <c r="D91" t="s">
        <v>127</v>
      </c>
      <c r="E91">
        <v>481000</v>
      </c>
      <c r="F91" s="1">
        <v>42444</v>
      </c>
      <c r="G91" s="4">
        <f t="shared" si="7"/>
        <v>4</v>
      </c>
      <c r="H91" s="4">
        <f t="shared" si="8"/>
        <v>5</v>
      </c>
      <c r="I91">
        <f t="shared" si="9"/>
        <v>45750</v>
      </c>
      <c r="J91">
        <f t="shared" si="10"/>
        <v>14640</v>
      </c>
      <c r="K91">
        <f t="shared" si="12"/>
        <v>122610</v>
      </c>
      <c r="L91" t="str">
        <f t="shared" si="11"/>
        <v/>
      </c>
    </row>
    <row r="92" spans="1:12" x14ac:dyDescent="0.25">
      <c r="A92" t="s">
        <v>123</v>
      </c>
      <c r="B92">
        <v>2012</v>
      </c>
      <c r="C92">
        <v>183000</v>
      </c>
      <c r="D92" t="s">
        <v>128</v>
      </c>
      <c r="E92">
        <v>454000</v>
      </c>
      <c r="F92" s="1">
        <v>42444</v>
      </c>
      <c r="G92" s="4">
        <f t="shared" si="7"/>
        <v>4</v>
      </c>
      <c r="H92" s="4">
        <f t="shared" si="8"/>
        <v>5</v>
      </c>
      <c r="I92">
        <f t="shared" si="9"/>
        <v>45750</v>
      </c>
      <c r="J92">
        <f t="shared" si="10"/>
        <v>14640</v>
      </c>
      <c r="K92">
        <f t="shared" si="12"/>
        <v>122610</v>
      </c>
      <c r="L92" t="str">
        <f t="shared" si="11"/>
        <v/>
      </c>
    </row>
    <row r="93" spans="1:12" x14ac:dyDescent="0.25">
      <c r="A93" t="s">
        <v>129</v>
      </c>
      <c r="B93">
        <v>2012</v>
      </c>
      <c r="C93">
        <v>210000</v>
      </c>
      <c r="D93" t="s">
        <v>130</v>
      </c>
      <c r="E93">
        <v>517000</v>
      </c>
      <c r="F93" s="1">
        <v>42415</v>
      </c>
      <c r="G93" s="4">
        <f t="shared" si="7"/>
        <v>5</v>
      </c>
      <c r="H93" s="4">
        <f t="shared" si="8"/>
        <v>5</v>
      </c>
      <c r="I93">
        <f t="shared" si="9"/>
        <v>52500</v>
      </c>
      <c r="J93">
        <f t="shared" si="10"/>
        <v>21000</v>
      </c>
      <c r="K93">
        <f t="shared" si="12"/>
        <v>136500</v>
      </c>
      <c r="L93" t="str">
        <f t="shared" si="11"/>
        <v/>
      </c>
    </row>
    <row r="94" spans="1:12" x14ac:dyDescent="0.25">
      <c r="A94" t="s">
        <v>56</v>
      </c>
      <c r="B94">
        <v>2012</v>
      </c>
      <c r="C94">
        <v>196370</v>
      </c>
      <c r="D94" t="s">
        <v>131</v>
      </c>
      <c r="E94">
        <v>286000</v>
      </c>
      <c r="F94" s="1">
        <v>42467</v>
      </c>
      <c r="G94" s="4">
        <f t="shared" si="7"/>
        <v>2</v>
      </c>
      <c r="H94" s="4">
        <f t="shared" si="8"/>
        <v>5</v>
      </c>
      <c r="I94">
        <f t="shared" si="9"/>
        <v>49092.5</v>
      </c>
      <c r="J94">
        <f t="shared" si="10"/>
        <v>7854.8</v>
      </c>
      <c r="K94">
        <f t="shared" si="12"/>
        <v>139422.70000000001</v>
      </c>
      <c r="L94" t="str">
        <f t="shared" si="11"/>
        <v/>
      </c>
    </row>
    <row r="95" spans="1:12" x14ac:dyDescent="0.25">
      <c r="A95" t="s">
        <v>129</v>
      </c>
      <c r="B95">
        <v>2012</v>
      </c>
      <c r="C95">
        <v>210000</v>
      </c>
      <c r="D95" t="s">
        <v>132</v>
      </c>
      <c r="E95">
        <v>435000</v>
      </c>
      <c r="F95" s="1">
        <v>42415</v>
      </c>
      <c r="G95" s="4">
        <f t="shared" si="7"/>
        <v>4</v>
      </c>
      <c r="H95" s="4">
        <f t="shared" si="8"/>
        <v>5</v>
      </c>
      <c r="I95">
        <f t="shared" si="9"/>
        <v>52500</v>
      </c>
      <c r="J95">
        <f t="shared" si="10"/>
        <v>16800</v>
      </c>
      <c r="K95">
        <f t="shared" si="12"/>
        <v>140700</v>
      </c>
      <c r="L95" t="str">
        <f t="shared" si="11"/>
        <v/>
      </c>
    </row>
    <row r="96" spans="1:12" x14ac:dyDescent="0.25">
      <c r="A96" t="s">
        <v>133</v>
      </c>
      <c r="B96">
        <v>2012</v>
      </c>
      <c r="C96">
        <v>210300</v>
      </c>
      <c r="D96" t="s">
        <v>134</v>
      </c>
      <c r="E96">
        <v>417671</v>
      </c>
      <c r="F96" s="1">
        <v>42520</v>
      </c>
      <c r="G96" s="4">
        <f t="shared" si="7"/>
        <v>4</v>
      </c>
      <c r="H96" s="4">
        <f t="shared" si="8"/>
        <v>5</v>
      </c>
      <c r="I96">
        <f t="shared" si="9"/>
        <v>52575</v>
      </c>
      <c r="J96">
        <f t="shared" si="10"/>
        <v>16824</v>
      </c>
      <c r="K96">
        <f t="shared" si="12"/>
        <v>140901</v>
      </c>
      <c r="L96" t="str">
        <f t="shared" si="11"/>
        <v/>
      </c>
    </row>
    <row r="97" spans="1:12" x14ac:dyDescent="0.25">
      <c r="A97" t="s">
        <v>33</v>
      </c>
      <c r="B97">
        <v>2012</v>
      </c>
      <c r="C97">
        <v>231000</v>
      </c>
      <c r="D97" t="s">
        <v>135</v>
      </c>
      <c r="E97">
        <v>451000</v>
      </c>
      <c r="F97" s="1">
        <v>42439</v>
      </c>
      <c r="G97" s="4">
        <f t="shared" si="7"/>
        <v>4</v>
      </c>
      <c r="H97" s="4">
        <f t="shared" si="8"/>
        <v>5</v>
      </c>
      <c r="I97">
        <f t="shared" si="9"/>
        <v>57750</v>
      </c>
      <c r="J97">
        <f t="shared" si="10"/>
        <v>18480</v>
      </c>
      <c r="K97">
        <f t="shared" si="12"/>
        <v>154770</v>
      </c>
      <c r="L97" t="str">
        <f t="shared" si="11"/>
        <v/>
      </c>
    </row>
    <row r="98" spans="1:12" x14ac:dyDescent="0.25">
      <c r="A98" t="s">
        <v>136</v>
      </c>
      <c r="B98">
        <v>2012</v>
      </c>
      <c r="C98">
        <v>240000</v>
      </c>
      <c r="D98" t="s">
        <v>137</v>
      </c>
      <c r="E98">
        <v>301344</v>
      </c>
      <c r="F98" s="1">
        <v>42185</v>
      </c>
      <c r="G98" s="4">
        <f t="shared" si="7"/>
        <v>3</v>
      </c>
      <c r="H98" s="4">
        <f t="shared" si="8"/>
        <v>5</v>
      </c>
      <c r="I98">
        <f t="shared" si="9"/>
        <v>60000</v>
      </c>
      <c r="J98">
        <f t="shared" si="10"/>
        <v>14400</v>
      </c>
      <c r="K98">
        <f t="shared" si="12"/>
        <v>165600</v>
      </c>
      <c r="L98" t="str">
        <f t="shared" si="11"/>
        <v/>
      </c>
    </row>
    <row r="99" spans="1:12" x14ac:dyDescent="0.25">
      <c r="A99" t="s">
        <v>136</v>
      </c>
      <c r="B99">
        <v>2012</v>
      </c>
      <c r="C99">
        <v>240000</v>
      </c>
      <c r="D99" t="s">
        <v>138</v>
      </c>
      <c r="E99">
        <v>315988</v>
      </c>
      <c r="F99" s="1">
        <v>42185</v>
      </c>
      <c r="G99" s="4">
        <f t="shared" si="7"/>
        <v>3</v>
      </c>
      <c r="H99" s="4">
        <f t="shared" si="8"/>
        <v>5</v>
      </c>
      <c r="I99">
        <f t="shared" si="9"/>
        <v>60000</v>
      </c>
      <c r="J99">
        <f t="shared" si="10"/>
        <v>14400</v>
      </c>
      <c r="K99">
        <f t="shared" si="12"/>
        <v>165600</v>
      </c>
      <c r="L99" t="str">
        <f t="shared" si="11"/>
        <v/>
      </c>
    </row>
    <row r="100" spans="1:12" x14ac:dyDescent="0.25">
      <c r="A100" t="s">
        <v>136</v>
      </c>
      <c r="B100">
        <v>2012</v>
      </c>
      <c r="C100">
        <v>240000</v>
      </c>
      <c r="D100" t="s">
        <v>139</v>
      </c>
      <c r="E100">
        <v>234760</v>
      </c>
      <c r="F100" s="1">
        <v>42185</v>
      </c>
      <c r="G100" s="4">
        <f t="shared" si="7"/>
        <v>2</v>
      </c>
      <c r="H100" s="4">
        <f t="shared" si="8"/>
        <v>5</v>
      </c>
      <c r="I100">
        <f t="shared" si="9"/>
        <v>60000</v>
      </c>
      <c r="J100">
        <f t="shared" si="10"/>
        <v>9600</v>
      </c>
      <c r="K100">
        <f t="shared" si="12"/>
        <v>170400</v>
      </c>
      <c r="L100" t="str">
        <f t="shared" si="11"/>
        <v/>
      </c>
    </row>
    <row r="101" spans="1:12" x14ac:dyDescent="0.25">
      <c r="A101" t="s">
        <v>136</v>
      </c>
      <c r="B101">
        <v>2012</v>
      </c>
      <c r="C101">
        <v>240000</v>
      </c>
      <c r="D101" t="s">
        <v>140</v>
      </c>
      <c r="E101">
        <v>210780</v>
      </c>
      <c r="F101" s="1">
        <v>42185</v>
      </c>
      <c r="G101" s="4">
        <f t="shared" si="7"/>
        <v>2</v>
      </c>
      <c r="H101" s="4">
        <f t="shared" si="8"/>
        <v>5</v>
      </c>
      <c r="I101">
        <f t="shared" si="9"/>
        <v>60000</v>
      </c>
      <c r="J101">
        <f t="shared" si="10"/>
        <v>9600</v>
      </c>
      <c r="K101">
        <f t="shared" si="12"/>
        <v>170400</v>
      </c>
      <c r="L101" t="str">
        <f t="shared" si="11"/>
        <v/>
      </c>
    </row>
    <row r="102" spans="1:12" x14ac:dyDescent="0.25">
      <c r="A102" t="s">
        <v>136</v>
      </c>
      <c r="B102">
        <v>2012</v>
      </c>
      <c r="C102">
        <v>240000</v>
      </c>
      <c r="D102" t="s">
        <v>141</v>
      </c>
      <c r="E102">
        <v>198240</v>
      </c>
      <c r="F102" s="1">
        <v>42185</v>
      </c>
      <c r="G102" s="4">
        <f t="shared" si="7"/>
        <v>1</v>
      </c>
      <c r="H102" s="4">
        <f t="shared" si="8"/>
        <v>5</v>
      </c>
      <c r="I102">
        <f t="shared" si="9"/>
        <v>60000</v>
      </c>
      <c r="J102">
        <f t="shared" si="10"/>
        <v>4800</v>
      </c>
      <c r="K102">
        <f t="shared" si="12"/>
        <v>175200</v>
      </c>
      <c r="L102" t="str">
        <f t="shared" si="11"/>
        <v/>
      </c>
    </row>
    <row r="103" spans="1:12" x14ac:dyDescent="0.25">
      <c r="A103" t="s">
        <v>62</v>
      </c>
      <c r="B103">
        <v>2012</v>
      </c>
      <c r="C103">
        <v>290000</v>
      </c>
      <c r="D103" t="s">
        <v>142</v>
      </c>
      <c r="E103">
        <v>170000</v>
      </c>
      <c r="F103" s="1">
        <v>42297</v>
      </c>
      <c r="G103" s="4">
        <f t="shared" si="7"/>
        <v>1</v>
      </c>
      <c r="H103" s="4">
        <f t="shared" si="8"/>
        <v>5</v>
      </c>
      <c r="I103">
        <f t="shared" si="9"/>
        <v>72500</v>
      </c>
      <c r="J103">
        <f t="shared" si="10"/>
        <v>5800</v>
      </c>
      <c r="K103">
        <f t="shared" si="12"/>
        <v>211700</v>
      </c>
      <c r="L103" t="str">
        <f t="shared" si="11"/>
        <v/>
      </c>
    </row>
    <row r="104" spans="1:12" x14ac:dyDescent="0.25">
      <c r="A104" t="s">
        <v>50</v>
      </c>
      <c r="B104">
        <v>2013</v>
      </c>
      <c r="C104">
        <v>47800</v>
      </c>
      <c r="D104" t="s">
        <v>143</v>
      </c>
      <c r="E104">
        <v>272650</v>
      </c>
      <c r="F104" s="1">
        <v>42117</v>
      </c>
      <c r="G104" s="4">
        <f t="shared" si="7"/>
        <v>2</v>
      </c>
      <c r="H104" s="4">
        <f t="shared" si="8"/>
        <v>4</v>
      </c>
      <c r="I104">
        <f t="shared" si="9"/>
        <v>9560</v>
      </c>
      <c r="J104">
        <f t="shared" si="10"/>
        <v>1912</v>
      </c>
      <c r="K104">
        <f t="shared" si="12"/>
        <v>36328</v>
      </c>
      <c r="L104" t="str">
        <f t="shared" si="11"/>
        <v/>
      </c>
    </row>
    <row r="105" spans="1:12" x14ac:dyDescent="0.25">
      <c r="A105" t="s">
        <v>37</v>
      </c>
      <c r="B105">
        <v>2013</v>
      </c>
      <c r="C105">
        <v>80000</v>
      </c>
      <c r="D105" t="s">
        <v>144</v>
      </c>
      <c r="E105">
        <v>350000</v>
      </c>
      <c r="F105" s="1">
        <v>42379</v>
      </c>
      <c r="G105" s="4">
        <f t="shared" si="7"/>
        <v>3</v>
      </c>
      <c r="H105" s="4">
        <f t="shared" si="8"/>
        <v>4</v>
      </c>
      <c r="I105">
        <f t="shared" si="9"/>
        <v>16000</v>
      </c>
      <c r="J105">
        <f t="shared" si="10"/>
        <v>4800</v>
      </c>
      <c r="K105">
        <f t="shared" si="12"/>
        <v>59200</v>
      </c>
      <c r="L105" t="str">
        <f t="shared" si="11"/>
        <v/>
      </c>
    </row>
    <row r="106" spans="1:12" x14ac:dyDescent="0.25">
      <c r="A106" t="s">
        <v>37</v>
      </c>
      <c r="B106">
        <v>2013</v>
      </c>
      <c r="C106">
        <v>80000</v>
      </c>
      <c r="D106" t="s">
        <v>145</v>
      </c>
      <c r="E106">
        <v>235000</v>
      </c>
      <c r="F106" s="1">
        <v>42379</v>
      </c>
      <c r="G106" s="4">
        <f t="shared" si="7"/>
        <v>2</v>
      </c>
      <c r="H106" s="4">
        <f t="shared" si="8"/>
        <v>4</v>
      </c>
      <c r="I106">
        <f t="shared" si="9"/>
        <v>16000</v>
      </c>
      <c r="J106">
        <f t="shared" si="10"/>
        <v>3200</v>
      </c>
      <c r="K106">
        <f t="shared" si="12"/>
        <v>60800</v>
      </c>
      <c r="L106" t="str">
        <f t="shared" si="11"/>
        <v/>
      </c>
    </row>
    <row r="107" spans="1:12" x14ac:dyDescent="0.25">
      <c r="A107" t="s">
        <v>76</v>
      </c>
      <c r="B107">
        <v>2013</v>
      </c>
      <c r="C107">
        <v>93000</v>
      </c>
      <c r="D107" t="s">
        <v>146</v>
      </c>
      <c r="E107">
        <v>195000</v>
      </c>
      <c r="F107" s="1">
        <v>42268</v>
      </c>
      <c r="G107" s="4">
        <f t="shared" si="7"/>
        <v>1</v>
      </c>
      <c r="H107" s="4">
        <f t="shared" si="8"/>
        <v>4</v>
      </c>
      <c r="I107">
        <f t="shared" si="9"/>
        <v>18600</v>
      </c>
      <c r="J107">
        <f t="shared" si="10"/>
        <v>1860</v>
      </c>
      <c r="K107">
        <f t="shared" si="12"/>
        <v>72540</v>
      </c>
      <c r="L107" t="str">
        <f t="shared" si="11"/>
        <v/>
      </c>
    </row>
    <row r="108" spans="1:12" x14ac:dyDescent="0.25">
      <c r="A108" t="s">
        <v>79</v>
      </c>
      <c r="B108">
        <v>2013</v>
      </c>
      <c r="C108">
        <v>136000</v>
      </c>
      <c r="D108" t="s">
        <v>147</v>
      </c>
      <c r="E108">
        <v>247000</v>
      </c>
      <c r="F108" s="1">
        <v>42067</v>
      </c>
      <c r="G108" s="4">
        <f t="shared" si="7"/>
        <v>2</v>
      </c>
      <c r="H108" s="4">
        <f t="shared" si="8"/>
        <v>4</v>
      </c>
      <c r="I108">
        <f t="shared" si="9"/>
        <v>27200</v>
      </c>
      <c r="J108">
        <f t="shared" si="10"/>
        <v>5440</v>
      </c>
      <c r="K108">
        <f t="shared" si="12"/>
        <v>103360</v>
      </c>
      <c r="L108" t="str">
        <f t="shared" si="11"/>
        <v/>
      </c>
    </row>
    <row r="109" spans="1:12" x14ac:dyDescent="0.25">
      <c r="A109" t="s">
        <v>45</v>
      </c>
      <c r="B109">
        <v>2013</v>
      </c>
      <c r="C109">
        <v>158000</v>
      </c>
      <c r="D109" t="s">
        <v>148</v>
      </c>
      <c r="E109">
        <v>407000</v>
      </c>
      <c r="F109" s="1">
        <v>42681</v>
      </c>
      <c r="G109" s="4">
        <f t="shared" si="7"/>
        <v>4</v>
      </c>
      <c r="H109" s="4">
        <f t="shared" si="8"/>
        <v>4</v>
      </c>
      <c r="I109">
        <f t="shared" si="9"/>
        <v>31600</v>
      </c>
      <c r="J109">
        <f t="shared" si="10"/>
        <v>12640</v>
      </c>
      <c r="K109">
        <f t="shared" si="12"/>
        <v>113760</v>
      </c>
      <c r="L109" t="str">
        <f t="shared" si="11"/>
        <v/>
      </c>
    </row>
    <row r="110" spans="1:12" x14ac:dyDescent="0.25">
      <c r="A110" t="s">
        <v>136</v>
      </c>
      <c r="B110">
        <v>2013</v>
      </c>
      <c r="C110">
        <v>240000</v>
      </c>
      <c r="D110" t="s">
        <v>149</v>
      </c>
      <c r="E110">
        <v>301232</v>
      </c>
      <c r="F110" s="1">
        <v>42719</v>
      </c>
      <c r="G110" s="4">
        <f t="shared" si="7"/>
        <v>3</v>
      </c>
      <c r="H110" s="4">
        <f t="shared" si="8"/>
        <v>4</v>
      </c>
      <c r="I110">
        <f t="shared" si="9"/>
        <v>48000</v>
      </c>
      <c r="J110">
        <f t="shared" si="10"/>
        <v>14400</v>
      </c>
      <c r="K110">
        <f t="shared" si="12"/>
        <v>177600</v>
      </c>
      <c r="L110" t="str">
        <f t="shared" si="11"/>
        <v/>
      </c>
    </row>
    <row r="111" spans="1:12" x14ac:dyDescent="0.25">
      <c r="A111" t="s">
        <v>136</v>
      </c>
      <c r="B111">
        <v>2013</v>
      </c>
      <c r="C111">
        <v>240000</v>
      </c>
      <c r="D111" t="s">
        <v>150</v>
      </c>
      <c r="E111">
        <v>289567</v>
      </c>
      <c r="F111" s="1">
        <v>42719</v>
      </c>
      <c r="G111" s="4">
        <f t="shared" si="7"/>
        <v>2</v>
      </c>
      <c r="H111" s="4">
        <f t="shared" si="8"/>
        <v>4</v>
      </c>
      <c r="I111">
        <f t="shared" si="9"/>
        <v>48000</v>
      </c>
      <c r="J111">
        <f t="shared" si="10"/>
        <v>9600</v>
      </c>
      <c r="K111">
        <f t="shared" si="12"/>
        <v>182400</v>
      </c>
      <c r="L111" t="str">
        <f t="shared" si="11"/>
        <v/>
      </c>
    </row>
    <row r="112" spans="1:12" x14ac:dyDescent="0.25">
      <c r="A112" t="s">
        <v>136</v>
      </c>
      <c r="B112">
        <v>2013</v>
      </c>
      <c r="C112">
        <v>240000</v>
      </c>
      <c r="D112" t="s">
        <v>151</v>
      </c>
      <c r="E112">
        <v>245211</v>
      </c>
      <c r="F112" s="1">
        <v>42719</v>
      </c>
      <c r="G112" s="4">
        <f t="shared" si="7"/>
        <v>2</v>
      </c>
      <c r="H112" s="4">
        <f t="shared" si="8"/>
        <v>4</v>
      </c>
      <c r="I112">
        <f t="shared" si="9"/>
        <v>48000</v>
      </c>
      <c r="J112">
        <f t="shared" si="10"/>
        <v>9600</v>
      </c>
      <c r="K112">
        <f t="shared" si="12"/>
        <v>182400</v>
      </c>
      <c r="L112" t="str">
        <f t="shared" si="11"/>
        <v/>
      </c>
    </row>
    <row r="113" spans="1:12" x14ac:dyDescent="0.25">
      <c r="A113" t="s">
        <v>136</v>
      </c>
      <c r="B113">
        <v>2013</v>
      </c>
      <c r="C113">
        <v>240000</v>
      </c>
      <c r="D113" t="s">
        <v>152</v>
      </c>
      <c r="E113">
        <v>200123</v>
      </c>
      <c r="F113" s="1">
        <v>42719</v>
      </c>
      <c r="G113" s="4">
        <f t="shared" si="7"/>
        <v>2</v>
      </c>
      <c r="H113" s="4">
        <f t="shared" si="8"/>
        <v>4</v>
      </c>
      <c r="I113">
        <f t="shared" si="9"/>
        <v>48000</v>
      </c>
      <c r="J113">
        <f t="shared" si="10"/>
        <v>9600</v>
      </c>
      <c r="K113">
        <f t="shared" si="12"/>
        <v>182400</v>
      </c>
      <c r="L113" t="str">
        <f t="shared" si="11"/>
        <v/>
      </c>
    </row>
    <row r="114" spans="1:12" x14ac:dyDescent="0.25">
      <c r="A114" t="s">
        <v>136</v>
      </c>
      <c r="B114">
        <v>2013</v>
      </c>
      <c r="C114">
        <v>240000</v>
      </c>
      <c r="D114" t="s">
        <v>153</v>
      </c>
      <c r="E114">
        <v>235811</v>
      </c>
      <c r="F114" s="1">
        <v>42719</v>
      </c>
      <c r="G114" s="4">
        <f t="shared" si="7"/>
        <v>2</v>
      </c>
      <c r="H114" s="4">
        <f t="shared" si="8"/>
        <v>4</v>
      </c>
      <c r="I114">
        <f t="shared" si="9"/>
        <v>48000</v>
      </c>
      <c r="J114">
        <f t="shared" si="10"/>
        <v>9600</v>
      </c>
      <c r="K114">
        <f t="shared" si="12"/>
        <v>182400</v>
      </c>
      <c r="L114" t="str">
        <f t="shared" si="11"/>
        <v/>
      </c>
    </row>
    <row r="115" spans="1:12" x14ac:dyDescent="0.25">
      <c r="A115" t="s">
        <v>136</v>
      </c>
      <c r="B115">
        <v>2013</v>
      </c>
      <c r="C115">
        <v>240000</v>
      </c>
      <c r="D115" t="s">
        <v>154</v>
      </c>
      <c r="E115">
        <v>250021</v>
      </c>
      <c r="F115" s="1">
        <v>42719</v>
      </c>
      <c r="G115" s="4">
        <f t="shared" si="7"/>
        <v>2</v>
      </c>
      <c r="H115" s="4">
        <f t="shared" si="8"/>
        <v>4</v>
      </c>
      <c r="I115">
        <f t="shared" si="9"/>
        <v>48000</v>
      </c>
      <c r="J115">
        <f t="shared" si="10"/>
        <v>9600</v>
      </c>
      <c r="K115">
        <f t="shared" si="12"/>
        <v>182400</v>
      </c>
      <c r="L115" t="str">
        <f t="shared" si="11"/>
        <v/>
      </c>
    </row>
    <row r="116" spans="1:12" x14ac:dyDescent="0.25">
      <c r="A116" t="s">
        <v>136</v>
      </c>
      <c r="B116">
        <v>2013</v>
      </c>
      <c r="C116">
        <v>240000</v>
      </c>
      <c r="D116" t="s">
        <v>155</v>
      </c>
      <c r="E116">
        <v>198340</v>
      </c>
      <c r="F116" s="1">
        <v>42719</v>
      </c>
      <c r="G116" s="4">
        <f t="shared" si="7"/>
        <v>1</v>
      </c>
      <c r="H116" s="4">
        <f t="shared" si="8"/>
        <v>4</v>
      </c>
      <c r="I116">
        <f t="shared" si="9"/>
        <v>48000</v>
      </c>
      <c r="J116">
        <f t="shared" si="10"/>
        <v>4800</v>
      </c>
      <c r="K116">
        <f t="shared" si="12"/>
        <v>187200</v>
      </c>
      <c r="L116" t="str">
        <f t="shared" si="11"/>
        <v/>
      </c>
    </row>
    <row r="117" spans="1:12" x14ac:dyDescent="0.25">
      <c r="A117" t="s">
        <v>136</v>
      </c>
      <c r="B117">
        <v>2013</v>
      </c>
      <c r="C117">
        <v>240000</v>
      </c>
      <c r="D117" t="s">
        <v>156</v>
      </c>
      <c r="E117">
        <v>189761</v>
      </c>
      <c r="F117" s="1">
        <v>42719</v>
      </c>
      <c r="G117" s="4">
        <f t="shared" si="7"/>
        <v>1</v>
      </c>
      <c r="H117" s="4">
        <f t="shared" si="8"/>
        <v>4</v>
      </c>
      <c r="I117">
        <f t="shared" si="9"/>
        <v>48000</v>
      </c>
      <c r="J117">
        <f t="shared" si="10"/>
        <v>4800</v>
      </c>
      <c r="K117">
        <f t="shared" si="12"/>
        <v>187200</v>
      </c>
      <c r="L117" t="str">
        <f t="shared" si="11"/>
        <v/>
      </c>
    </row>
    <row r="118" spans="1:12" x14ac:dyDescent="0.25">
      <c r="A118" t="s">
        <v>157</v>
      </c>
      <c r="B118">
        <v>2013</v>
      </c>
      <c r="C118">
        <v>271000</v>
      </c>
      <c r="D118" t="s">
        <v>158</v>
      </c>
      <c r="E118">
        <v>153000</v>
      </c>
      <c r="F118" s="1">
        <v>42334</v>
      </c>
      <c r="G118" s="4">
        <f t="shared" si="7"/>
        <v>1</v>
      </c>
      <c r="H118" s="4">
        <f t="shared" si="8"/>
        <v>4</v>
      </c>
      <c r="I118">
        <f t="shared" si="9"/>
        <v>54200</v>
      </c>
      <c r="J118">
        <f t="shared" si="10"/>
        <v>5420</v>
      </c>
      <c r="K118">
        <f t="shared" si="12"/>
        <v>211380</v>
      </c>
      <c r="L118" t="str">
        <f t="shared" si="11"/>
        <v/>
      </c>
    </row>
    <row r="119" spans="1:12" x14ac:dyDescent="0.25">
      <c r="A119" t="s">
        <v>157</v>
      </c>
      <c r="B119">
        <v>2013</v>
      </c>
      <c r="C119">
        <v>271000</v>
      </c>
      <c r="D119" t="s">
        <v>159</v>
      </c>
      <c r="E119">
        <v>123000</v>
      </c>
      <c r="F119" s="1">
        <v>42520</v>
      </c>
      <c r="G119" s="4">
        <f t="shared" si="7"/>
        <v>1</v>
      </c>
      <c r="H119" s="4">
        <f t="shared" si="8"/>
        <v>4</v>
      </c>
      <c r="I119">
        <f t="shared" si="9"/>
        <v>54200</v>
      </c>
      <c r="J119">
        <f t="shared" si="10"/>
        <v>5420</v>
      </c>
      <c r="K119">
        <f t="shared" si="12"/>
        <v>211380</v>
      </c>
      <c r="L119" t="str">
        <f t="shared" si="11"/>
        <v/>
      </c>
    </row>
    <row r="120" spans="1:12" x14ac:dyDescent="0.25">
      <c r="A120" t="s">
        <v>160</v>
      </c>
      <c r="B120">
        <v>2014</v>
      </c>
      <c r="C120">
        <v>98000</v>
      </c>
      <c r="D120" t="s">
        <v>161</v>
      </c>
      <c r="E120">
        <v>251000</v>
      </c>
      <c r="F120" s="1">
        <v>42344</v>
      </c>
      <c r="G120" s="4">
        <f t="shared" si="7"/>
        <v>2</v>
      </c>
      <c r="H120" s="4">
        <f t="shared" si="8"/>
        <v>3</v>
      </c>
      <c r="I120">
        <f t="shared" si="9"/>
        <v>14700.000000000002</v>
      </c>
      <c r="J120">
        <f t="shared" si="10"/>
        <v>3920</v>
      </c>
      <c r="K120">
        <f t="shared" si="12"/>
        <v>79380</v>
      </c>
      <c r="L120" t="str">
        <f t="shared" si="11"/>
        <v/>
      </c>
    </row>
    <row r="121" spans="1:12" x14ac:dyDescent="0.25">
      <c r="A121" t="s">
        <v>160</v>
      </c>
      <c r="B121">
        <v>2014</v>
      </c>
      <c r="C121">
        <v>99000</v>
      </c>
      <c r="D121" t="s">
        <v>162</v>
      </c>
      <c r="E121">
        <v>247000</v>
      </c>
      <c r="F121" s="1">
        <v>42344</v>
      </c>
      <c r="G121" s="4">
        <f t="shared" si="7"/>
        <v>2</v>
      </c>
      <c r="H121" s="4">
        <f t="shared" si="8"/>
        <v>3</v>
      </c>
      <c r="I121">
        <f t="shared" si="9"/>
        <v>14850.000000000002</v>
      </c>
      <c r="J121">
        <f t="shared" si="10"/>
        <v>3960</v>
      </c>
      <c r="K121">
        <f t="shared" si="12"/>
        <v>80190</v>
      </c>
      <c r="L121" t="str">
        <f t="shared" si="11"/>
        <v/>
      </c>
    </row>
    <row r="122" spans="1:12" x14ac:dyDescent="0.25">
      <c r="A122" t="s">
        <v>45</v>
      </c>
      <c r="B122">
        <v>2014</v>
      </c>
      <c r="C122">
        <v>136502</v>
      </c>
      <c r="D122" t="s">
        <v>163</v>
      </c>
      <c r="E122">
        <v>243000</v>
      </c>
      <c r="F122" s="1">
        <v>42476</v>
      </c>
      <c r="G122" s="4">
        <f t="shared" si="7"/>
        <v>2</v>
      </c>
      <c r="H122" s="4">
        <f t="shared" si="8"/>
        <v>3</v>
      </c>
      <c r="I122">
        <f t="shared" si="9"/>
        <v>20475.300000000003</v>
      </c>
      <c r="J122">
        <f t="shared" si="10"/>
        <v>5460.08</v>
      </c>
      <c r="K122">
        <f t="shared" si="12"/>
        <v>110566.62</v>
      </c>
      <c r="L122" t="str">
        <f t="shared" si="11"/>
        <v/>
      </c>
    </row>
    <row r="123" spans="1:12" x14ac:dyDescent="0.25">
      <c r="A123" t="s">
        <v>54</v>
      </c>
      <c r="B123">
        <v>2014</v>
      </c>
      <c r="C123">
        <v>167800</v>
      </c>
      <c r="D123" t="s">
        <v>164</v>
      </c>
      <c r="E123">
        <v>190300</v>
      </c>
      <c r="F123" s="1">
        <v>42272</v>
      </c>
      <c r="G123" s="4">
        <f t="shared" si="7"/>
        <v>1</v>
      </c>
      <c r="H123" s="4">
        <f t="shared" si="8"/>
        <v>3</v>
      </c>
      <c r="I123">
        <f t="shared" si="9"/>
        <v>25170.000000000004</v>
      </c>
      <c r="J123">
        <f t="shared" si="10"/>
        <v>3356</v>
      </c>
      <c r="K123">
        <f t="shared" si="12"/>
        <v>139274</v>
      </c>
      <c r="L123" t="str">
        <f t="shared" si="11"/>
        <v/>
      </c>
    </row>
    <row r="124" spans="1:12" x14ac:dyDescent="0.25">
      <c r="A124" t="s">
        <v>35</v>
      </c>
      <c r="B124">
        <v>2014</v>
      </c>
      <c r="C124">
        <v>219000</v>
      </c>
      <c r="D124" t="s">
        <v>165</v>
      </c>
      <c r="E124">
        <v>126290</v>
      </c>
      <c r="F124" s="1">
        <v>42083</v>
      </c>
      <c r="G124" s="4">
        <f t="shared" si="7"/>
        <v>1</v>
      </c>
      <c r="H124" s="4">
        <f t="shared" si="8"/>
        <v>3</v>
      </c>
      <c r="I124">
        <f t="shared" si="9"/>
        <v>32850.000000000007</v>
      </c>
      <c r="J124">
        <f t="shared" si="10"/>
        <v>4380</v>
      </c>
      <c r="K124">
        <f t="shared" si="12"/>
        <v>181770</v>
      </c>
      <c r="L124" t="str">
        <f t="shared" si="11"/>
        <v/>
      </c>
    </row>
    <row r="125" spans="1:12" x14ac:dyDescent="0.25">
      <c r="A125" t="s">
        <v>136</v>
      </c>
      <c r="B125">
        <v>2014</v>
      </c>
      <c r="C125">
        <v>240000</v>
      </c>
      <c r="D125" t="s">
        <v>166</v>
      </c>
      <c r="E125">
        <v>183788</v>
      </c>
      <c r="F125" s="1">
        <v>42681</v>
      </c>
      <c r="G125" s="4">
        <f t="shared" si="7"/>
        <v>1</v>
      </c>
      <c r="H125" s="4">
        <f t="shared" si="8"/>
        <v>3</v>
      </c>
      <c r="I125">
        <f t="shared" si="9"/>
        <v>36000.000000000007</v>
      </c>
      <c r="J125">
        <f t="shared" si="10"/>
        <v>4800</v>
      </c>
      <c r="K125">
        <f t="shared" si="12"/>
        <v>199200</v>
      </c>
      <c r="L125" t="str">
        <f t="shared" si="11"/>
        <v/>
      </c>
    </row>
    <row r="126" spans="1:12" x14ac:dyDescent="0.25">
      <c r="A126" t="s">
        <v>136</v>
      </c>
      <c r="B126">
        <v>2014</v>
      </c>
      <c r="C126">
        <v>240000</v>
      </c>
      <c r="D126" t="s">
        <v>167</v>
      </c>
      <c r="E126">
        <v>160198</v>
      </c>
      <c r="F126" s="1">
        <v>42681</v>
      </c>
      <c r="G126" s="4">
        <f t="shared" si="7"/>
        <v>1</v>
      </c>
      <c r="H126" s="4">
        <f t="shared" si="8"/>
        <v>3</v>
      </c>
      <c r="I126">
        <f t="shared" si="9"/>
        <v>36000.000000000007</v>
      </c>
      <c r="J126">
        <f t="shared" si="10"/>
        <v>4800</v>
      </c>
      <c r="K126">
        <f t="shared" si="12"/>
        <v>199200</v>
      </c>
      <c r="L126" t="str">
        <f t="shared" si="11"/>
        <v/>
      </c>
    </row>
    <row r="127" spans="1:12" x14ac:dyDescent="0.25">
      <c r="A127" t="s">
        <v>136</v>
      </c>
      <c r="B127">
        <v>2014</v>
      </c>
      <c r="C127">
        <v>240000</v>
      </c>
      <c r="D127" t="s">
        <v>168</v>
      </c>
      <c r="E127">
        <v>156724</v>
      </c>
      <c r="F127" s="1">
        <v>42681</v>
      </c>
      <c r="G127" s="4">
        <f t="shared" si="7"/>
        <v>1</v>
      </c>
      <c r="H127" s="4">
        <f t="shared" si="8"/>
        <v>3</v>
      </c>
      <c r="I127">
        <f t="shared" si="9"/>
        <v>36000.000000000007</v>
      </c>
      <c r="J127">
        <f t="shared" si="10"/>
        <v>4800</v>
      </c>
      <c r="K127">
        <f t="shared" si="12"/>
        <v>199200</v>
      </c>
      <c r="L127" t="str">
        <f t="shared" si="11"/>
        <v/>
      </c>
    </row>
    <row r="128" spans="1:12" x14ac:dyDescent="0.25">
      <c r="A128" t="s">
        <v>157</v>
      </c>
      <c r="B128">
        <v>2014</v>
      </c>
      <c r="C128">
        <v>270000</v>
      </c>
      <c r="D128" t="s">
        <v>169</v>
      </c>
      <c r="E128">
        <v>157000</v>
      </c>
      <c r="F128" s="1">
        <v>42334</v>
      </c>
      <c r="G128" s="4">
        <f t="shared" si="7"/>
        <v>1</v>
      </c>
      <c r="H128" s="4">
        <f t="shared" si="8"/>
        <v>3</v>
      </c>
      <c r="I128">
        <f t="shared" si="9"/>
        <v>40500.000000000007</v>
      </c>
      <c r="J128">
        <f t="shared" si="10"/>
        <v>5400</v>
      </c>
      <c r="K128">
        <f t="shared" si="12"/>
        <v>224100</v>
      </c>
      <c r="L128" t="str">
        <f t="shared" si="11"/>
        <v/>
      </c>
    </row>
    <row r="129" spans="1:12" x14ac:dyDescent="0.25">
      <c r="A129" t="s">
        <v>35</v>
      </c>
      <c r="B129">
        <v>2015</v>
      </c>
      <c r="C129">
        <v>218000</v>
      </c>
      <c r="D129" t="s">
        <v>170</v>
      </c>
      <c r="E129">
        <v>130290</v>
      </c>
      <c r="F129" s="1">
        <v>42083</v>
      </c>
      <c r="G129" s="4">
        <f t="shared" si="7"/>
        <v>1</v>
      </c>
      <c r="H129" s="4">
        <f t="shared" si="8"/>
        <v>2</v>
      </c>
      <c r="I129">
        <f t="shared" si="9"/>
        <v>21800</v>
      </c>
      <c r="J129">
        <f t="shared" si="10"/>
        <v>4360</v>
      </c>
      <c r="K129">
        <f t="shared" si="12"/>
        <v>191840</v>
      </c>
      <c r="L129" t="str">
        <f t="shared" si="11"/>
        <v/>
      </c>
    </row>
    <row r="130" spans="1:12" x14ac:dyDescent="0.25">
      <c r="A130" t="s">
        <v>62</v>
      </c>
      <c r="B130">
        <v>2015</v>
      </c>
      <c r="C130">
        <v>258000</v>
      </c>
      <c r="D130" t="s">
        <v>171</v>
      </c>
      <c r="E130">
        <v>160700</v>
      </c>
      <c r="F130" s="1">
        <v>42286</v>
      </c>
      <c r="G130" s="4">
        <f t="shared" si="7"/>
        <v>1</v>
      </c>
      <c r="H130" s="4">
        <f t="shared" si="8"/>
        <v>2</v>
      </c>
      <c r="I130">
        <f t="shared" si="9"/>
        <v>25800</v>
      </c>
      <c r="J130">
        <f t="shared" si="10"/>
        <v>5160</v>
      </c>
      <c r="K130">
        <f t="shared" si="12"/>
        <v>227040</v>
      </c>
      <c r="L130" t="str">
        <f t="shared" si="11"/>
        <v/>
      </c>
    </row>
    <row r="131" spans="1:12" x14ac:dyDescent="0.25">
      <c r="A131" t="s">
        <v>172</v>
      </c>
      <c r="B131">
        <v>2015</v>
      </c>
      <c r="C131">
        <v>360000</v>
      </c>
      <c r="D131" t="s">
        <v>173</v>
      </c>
      <c r="E131">
        <v>100000</v>
      </c>
      <c r="F131" s="1">
        <v>42734</v>
      </c>
      <c r="G131" s="4">
        <f t="shared" ref="G131:G135" si="13">ROUNDDOWN(E131/100000,0)</f>
        <v>1</v>
      </c>
      <c r="H131" s="4">
        <f t="shared" ref="H131:H135" si="14">2017-B131</f>
        <v>2</v>
      </c>
      <c r="I131">
        <f t="shared" ref="I131:I135" si="15">H131*5%*C131</f>
        <v>36000</v>
      </c>
      <c r="J131">
        <f t="shared" ref="J131:J135" si="16">G131* 2%*C131</f>
        <v>7200</v>
      </c>
      <c r="K131">
        <f t="shared" si="12"/>
        <v>316800</v>
      </c>
      <c r="L131" t="str">
        <f t="shared" ref="L131:L135" si="17">IF(K131=$N$2,"xxxxxxxxxxxxxxxxxxx","")</f>
        <v/>
      </c>
    </row>
    <row r="132" spans="1:12" x14ac:dyDescent="0.25">
      <c r="A132" t="s">
        <v>172</v>
      </c>
      <c r="B132">
        <v>2015</v>
      </c>
      <c r="C132">
        <v>360000</v>
      </c>
      <c r="D132" t="s">
        <v>174</v>
      </c>
      <c r="E132">
        <v>115000</v>
      </c>
      <c r="F132" s="1">
        <v>42734</v>
      </c>
      <c r="G132" s="4">
        <f t="shared" si="13"/>
        <v>1</v>
      </c>
      <c r="H132" s="4">
        <f t="shared" si="14"/>
        <v>2</v>
      </c>
      <c r="I132">
        <f t="shared" si="15"/>
        <v>36000</v>
      </c>
      <c r="J132">
        <f t="shared" si="16"/>
        <v>7200</v>
      </c>
      <c r="K132">
        <f t="shared" si="12"/>
        <v>316800</v>
      </c>
      <c r="L132" t="str">
        <f t="shared" si="17"/>
        <v/>
      </c>
    </row>
    <row r="133" spans="1:12" x14ac:dyDescent="0.25">
      <c r="A133" t="s">
        <v>172</v>
      </c>
      <c r="B133">
        <v>2015</v>
      </c>
      <c r="C133">
        <v>360000</v>
      </c>
      <c r="D133" t="s">
        <v>175</v>
      </c>
      <c r="E133">
        <v>132000</v>
      </c>
      <c r="F133" s="1">
        <v>42734</v>
      </c>
      <c r="G133" s="4">
        <f t="shared" si="13"/>
        <v>1</v>
      </c>
      <c r="H133" s="4">
        <f t="shared" si="14"/>
        <v>2</v>
      </c>
      <c r="I133">
        <f t="shared" si="15"/>
        <v>36000</v>
      </c>
      <c r="J133">
        <f t="shared" si="16"/>
        <v>7200</v>
      </c>
      <c r="K133">
        <f t="shared" si="12"/>
        <v>316800</v>
      </c>
      <c r="L133" t="str">
        <f t="shared" si="17"/>
        <v/>
      </c>
    </row>
    <row r="134" spans="1:12" x14ac:dyDescent="0.25">
      <c r="A134" t="s">
        <v>172</v>
      </c>
      <c r="B134">
        <v>2015</v>
      </c>
      <c r="C134">
        <v>360000</v>
      </c>
      <c r="D134" t="s">
        <v>176</v>
      </c>
      <c r="E134">
        <v>108000</v>
      </c>
      <c r="F134" s="1">
        <v>42734</v>
      </c>
      <c r="G134" s="4">
        <f t="shared" si="13"/>
        <v>1</v>
      </c>
      <c r="H134" s="4">
        <f t="shared" si="14"/>
        <v>2</v>
      </c>
      <c r="I134">
        <f t="shared" si="15"/>
        <v>36000</v>
      </c>
      <c r="J134">
        <f t="shared" si="16"/>
        <v>7200</v>
      </c>
      <c r="K134">
        <f t="shared" si="12"/>
        <v>316800</v>
      </c>
      <c r="L134" t="str">
        <f t="shared" si="17"/>
        <v/>
      </c>
    </row>
    <row r="135" spans="1:12" x14ac:dyDescent="0.25">
      <c r="A135" t="s">
        <v>172</v>
      </c>
      <c r="B135">
        <v>2015</v>
      </c>
      <c r="C135">
        <v>360000</v>
      </c>
      <c r="D135" t="s">
        <v>177</v>
      </c>
      <c r="E135">
        <v>140000</v>
      </c>
      <c r="F135" s="1">
        <v>42734</v>
      </c>
      <c r="G135" s="4">
        <f t="shared" si="13"/>
        <v>1</v>
      </c>
      <c r="H135" s="4">
        <f t="shared" si="14"/>
        <v>2</v>
      </c>
      <c r="I135">
        <f t="shared" si="15"/>
        <v>36000</v>
      </c>
      <c r="J135">
        <f t="shared" si="16"/>
        <v>7200</v>
      </c>
      <c r="K135">
        <f t="shared" si="12"/>
        <v>316800</v>
      </c>
      <c r="L135" t="str">
        <f t="shared" si="17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FBED-C618-4DB7-AE56-B923DF1CA4FA}">
  <dimension ref="A1:I135"/>
  <sheetViews>
    <sheetView workbookViewId="0">
      <selection activeCell="Q30" sqref="Q30"/>
    </sheetView>
  </sheetViews>
  <sheetFormatPr defaultRowHeight="15" x14ac:dyDescent="0.25"/>
  <cols>
    <col min="1" max="1" width="18" bestFit="1" customWidth="1"/>
    <col min="2" max="2" width="15.7109375" bestFit="1" customWidth="1"/>
    <col min="3" max="3" width="8.7109375" bestFit="1" customWidth="1"/>
    <col min="4" max="4" width="24.5703125" bestFit="1" customWidth="1"/>
    <col min="7" max="7" width="17.7109375" bestFit="1" customWidth="1"/>
    <col min="8" max="8" width="17.42578125" bestFit="1" customWidth="1"/>
  </cols>
  <sheetData>
    <row r="1" spans="1:8" x14ac:dyDescent="0.25">
      <c r="A1" t="s">
        <v>184</v>
      </c>
      <c r="B1" t="s">
        <v>3</v>
      </c>
      <c r="C1" t="s">
        <v>4</v>
      </c>
    </row>
    <row r="2" spans="1:8" x14ac:dyDescent="0.25">
      <c r="A2" t="s">
        <v>181</v>
      </c>
      <c r="B2" t="s">
        <v>7</v>
      </c>
      <c r="C2">
        <v>1200655</v>
      </c>
      <c r="D2" s="1"/>
    </row>
    <row r="3" spans="1:8" x14ac:dyDescent="0.25">
      <c r="A3" t="s">
        <v>181</v>
      </c>
      <c r="B3" t="s">
        <v>8</v>
      </c>
      <c r="C3">
        <v>1068570</v>
      </c>
      <c r="D3" s="1"/>
    </row>
    <row r="4" spans="1:8" x14ac:dyDescent="0.25">
      <c r="A4" t="s">
        <v>181</v>
      </c>
      <c r="B4" t="s">
        <v>9</v>
      </c>
      <c r="C4">
        <v>998704</v>
      </c>
      <c r="D4" s="1"/>
      <c r="G4" s="2" t="s">
        <v>185</v>
      </c>
      <c r="H4" t="s">
        <v>192</v>
      </c>
    </row>
    <row r="5" spans="1:8" x14ac:dyDescent="0.25">
      <c r="A5" t="s">
        <v>181</v>
      </c>
      <c r="B5" t="s">
        <v>10</v>
      </c>
      <c r="C5">
        <v>936780</v>
      </c>
      <c r="D5" s="1"/>
      <c r="G5" s="3" t="s">
        <v>191</v>
      </c>
      <c r="H5">
        <v>273239.59999999998</v>
      </c>
    </row>
    <row r="6" spans="1:8" x14ac:dyDescent="0.25">
      <c r="A6" t="s">
        <v>181</v>
      </c>
      <c r="B6" t="s">
        <v>11</v>
      </c>
      <c r="C6">
        <v>870233</v>
      </c>
      <c r="D6" s="1"/>
      <c r="G6" s="3" t="s">
        <v>181</v>
      </c>
      <c r="H6">
        <v>657434.5</v>
      </c>
    </row>
    <row r="7" spans="1:8" x14ac:dyDescent="0.25">
      <c r="A7" t="s">
        <v>188</v>
      </c>
      <c r="B7" t="s">
        <v>13</v>
      </c>
      <c r="C7">
        <v>1260000</v>
      </c>
      <c r="D7" s="1"/>
      <c r="G7" s="3" t="s">
        <v>189</v>
      </c>
      <c r="H7">
        <v>289637.27777777775</v>
      </c>
    </row>
    <row r="8" spans="1:8" x14ac:dyDescent="0.25">
      <c r="A8" t="s">
        <v>189</v>
      </c>
      <c r="B8" t="s">
        <v>15</v>
      </c>
      <c r="C8">
        <v>890200</v>
      </c>
      <c r="D8" s="1"/>
      <c r="G8" s="3" t="s">
        <v>188</v>
      </c>
      <c r="H8">
        <v>486545.8823529412</v>
      </c>
    </row>
    <row r="9" spans="1:8" x14ac:dyDescent="0.25">
      <c r="A9" t="s">
        <v>182</v>
      </c>
      <c r="B9" t="s">
        <v>17</v>
      </c>
      <c r="C9">
        <v>186000</v>
      </c>
      <c r="D9" s="1"/>
      <c r="G9" s="3" t="s">
        <v>190</v>
      </c>
      <c r="H9">
        <v>519936.0588235294</v>
      </c>
    </row>
    <row r="10" spans="1:8" x14ac:dyDescent="0.25">
      <c r="A10" t="s">
        <v>182</v>
      </c>
      <c r="B10" t="s">
        <v>19</v>
      </c>
      <c r="C10">
        <v>306000</v>
      </c>
      <c r="D10" s="1"/>
      <c r="G10" s="3" t="s">
        <v>183</v>
      </c>
      <c r="H10">
        <v>557117.6470588235</v>
      </c>
    </row>
    <row r="11" spans="1:8" x14ac:dyDescent="0.25">
      <c r="A11" t="s">
        <v>182</v>
      </c>
      <c r="B11" t="s">
        <v>21</v>
      </c>
      <c r="C11">
        <v>266000</v>
      </c>
      <c r="D11" s="1"/>
      <c r="G11" s="3" t="s">
        <v>182</v>
      </c>
      <c r="H11">
        <v>307130.4347826087</v>
      </c>
    </row>
    <row r="12" spans="1:8" x14ac:dyDescent="0.25">
      <c r="A12" t="s">
        <v>182</v>
      </c>
      <c r="B12" t="s">
        <v>23</v>
      </c>
      <c r="C12">
        <v>305000</v>
      </c>
      <c r="D12" s="1"/>
      <c r="G12" s="3" t="s">
        <v>186</v>
      </c>
      <c r="H12">
        <v>410037.80597014923</v>
      </c>
    </row>
    <row r="13" spans="1:8" x14ac:dyDescent="0.25">
      <c r="A13" t="s">
        <v>182</v>
      </c>
      <c r="B13" t="s">
        <v>24</v>
      </c>
      <c r="C13">
        <v>190000</v>
      </c>
      <c r="D13" s="1"/>
    </row>
    <row r="14" spans="1:8" x14ac:dyDescent="0.25">
      <c r="A14" t="s">
        <v>181</v>
      </c>
      <c r="B14" t="s">
        <v>26</v>
      </c>
      <c r="C14">
        <v>992600</v>
      </c>
      <c r="D14" s="1"/>
    </row>
    <row r="15" spans="1:8" x14ac:dyDescent="0.25">
      <c r="A15" t="s">
        <v>182</v>
      </c>
      <c r="B15" t="s">
        <v>27</v>
      </c>
      <c r="C15">
        <v>186000</v>
      </c>
      <c r="D15" s="1"/>
    </row>
    <row r="16" spans="1:8" x14ac:dyDescent="0.25">
      <c r="A16" t="s">
        <v>183</v>
      </c>
      <c r="B16" t="s">
        <v>29</v>
      </c>
      <c r="C16">
        <v>850000</v>
      </c>
      <c r="D16" s="1"/>
    </row>
    <row r="17" spans="1:9" x14ac:dyDescent="0.25">
      <c r="A17" t="s">
        <v>182</v>
      </c>
      <c r="B17" t="s">
        <v>30</v>
      </c>
      <c r="C17">
        <v>740000</v>
      </c>
      <c r="D17" s="1"/>
      <c r="G17" s="3" t="s">
        <v>191</v>
      </c>
      <c r="H17">
        <v>273239.59999999998</v>
      </c>
      <c r="I17">
        <f>INT(H17)</f>
        <v>273239</v>
      </c>
    </row>
    <row r="18" spans="1:9" x14ac:dyDescent="0.25">
      <c r="A18" t="s">
        <v>183</v>
      </c>
      <c r="B18" t="s">
        <v>31</v>
      </c>
      <c r="C18">
        <v>846000</v>
      </c>
      <c r="D18" s="1"/>
      <c r="G18" s="3" t="s">
        <v>181</v>
      </c>
      <c r="H18">
        <v>657434.5</v>
      </c>
      <c r="I18">
        <f t="shared" ref="I18:I23" si="0">INT(H18)</f>
        <v>657434</v>
      </c>
    </row>
    <row r="19" spans="1:9" x14ac:dyDescent="0.25">
      <c r="A19" t="s">
        <v>182</v>
      </c>
      <c r="B19" t="s">
        <v>32</v>
      </c>
      <c r="C19">
        <v>302000</v>
      </c>
      <c r="D19" s="1"/>
      <c r="G19" s="3" t="s">
        <v>189</v>
      </c>
      <c r="H19">
        <v>289637.27777777775</v>
      </c>
      <c r="I19">
        <f t="shared" si="0"/>
        <v>289637</v>
      </c>
    </row>
    <row r="20" spans="1:9" x14ac:dyDescent="0.25">
      <c r="A20" t="s">
        <v>190</v>
      </c>
      <c r="B20" t="s">
        <v>34</v>
      </c>
      <c r="C20">
        <v>846000</v>
      </c>
      <c r="D20" s="1"/>
      <c r="G20" s="3" t="s">
        <v>188</v>
      </c>
      <c r="H20">
        <v>486545.8823529412</v>
      </c>
      <c r="I20">
        <f t="shared" si="0"/>
        <v>486545</v>
      </c>
    </row>
    <row r="21" spans="1:9" x14ac:dyDescent="0.25">
      <c r="A21" t="s">
        <v>188</v>
      </c>
      <c r="B21" t="s">
        <v>36</v>
      </c>
      <c r="C21">
        <v>946000</v>
      </c>
      <c r="D21" s="1"/>
      <c r="G21" s="3" t="s">
        <v>190</v>
      </c>
      <c r="H21">
        <v>519936.0588235294</v>
      </c>
      <c r="I21">
        <f t="shared" si="0"/>
        <v>519936</v>
      </c>
    </row>
    <row r="22" spans="1:9" x14ac:dyDescent="0.25">
      <c r="A22" t="s">
        <v>183</v>
      </c>
      <c r="B22" t="s">
        <v>38</v>
      </c>
      <c r="C22">
        <v>390000</v>
      </c>
      <c r="D22" s="1"/>
      <c r="G22" s="3" t="s">
        <v>183</v>
      </c>
      <c r="H22">
        <v>557117.6470588235</v>
      </c>
      <c r="I22">
        <f t="shared" si="0"/>
        <v>557117</v>
      </c>
    </row>
    <row r="23" spans="1:9" x14ac:dyDescent="0.25">
      <c r="A23" t="s">
        <v>183</v>
      </c>
      <c r="B23" t="s">
        <v>39</v>
      </c>
      <c r="C23">
        <v>390000</v>
      </c>
      <c r="D23" s="1"/>
      <c r="G23" s="3" t="s">
        <v>182</v>
      </c>
      <c r="H23">
        <v>307130.4347826087</v>
      </c>
      <c r="I23">
        <f t="shared" si="0"/>
        <v>307130</v>
      </c>
    </row>
    <row r="24" spans="1:9" x14ac:dyDescent="0.25">
      <c r="A24" t="s">
        <v>182</v>
      </c>
      <c r="B24" t="s">
        <v>40</v>
      </c>
      <c r="C24">
        <v>270000</v>
      </c>
      <c r="D24" s="1"/>
      <c r="G24" s="3" t="s">
        <v>184</v>
      </c>
      <c r="H24" t="s">
        <v>197</v>
      </c>
    </row>
    <row r="25" spans="1:9" x14ac:dyDescent="0.25">
      <c r="A25" t="s">
        <v>181</v>
      </c>
      <c r="B25" t="s">
        <v>42</v>
      </c>
      <c r="C25">
        <v>380000</v>
      </c>
      <c r="D25" s="1"/>
      <c r="G25" s="3" t="s">
        <v>191</v>
      </c>
      <c r="H25">
        <v>273239</v>
      </c>
    </row>
    <row r="26" spans="1:9" x14ac:dyDescent="0.25">
      <c r="A26" t="s">
        <v>182</v>
      </c>
      <c r="B26" t="s">
        <v>43</v>
      </c>
      <c r="C26">
        <v>301000</v>
      </c>
      <c r="D26" s="1"/>
      <c r="G26" s="3" t="s">
        <v>181</v>
      </c>
      <c r="H26">
        <v>657434</v>
      </c>
    </row>
    <row r="27" spans="1:9" x14ac:dyDescent="0.25">
      <c r="A27" t="s">
        <v>188</v>
      </c>
      <c r="B27" t="s">
        <v>44</v>
      </c>
      <c r="C27">
        <v>360000</v>
      </c>
      <c r="D27" s="1"/>
      <c r="G27" s="3" t="s">
        <v>189</v>
      </c>
      <c r="H27">
        <v>289637</v>
      </c>
    </row>
    <row r="28" spans="1:9" x14ac:dyDescent="0.25">
      <c r="A28" t="s">
        <v>189</v>
      </c>
      <c r="B28" t="s">
        <v>46</v>
      </c>
      <c r="C28">
        <v>226000</v>
      </c>
      <c r="D28" s="1"/>
      <c r="G28" s="3" t="s">
        <v>188</v>
      </c>
      <c r="H28">
        <v>486545</v>
      </c>
    </row>
    <row r="29" spans="1:9" x14ac:dyDescent="0.25">
      <c r="A29" t="s">
        <v>182</v>
      </c>
      <c r="B29" t="s">
        <v>48</v>
      </c>
      <c r="C29">
        <v>482000</v>
      </c>
      <c r="D29" s="1"/>
      <c r="G29" s="3" t="s">
        <v>190</v>
      </c>
      <c r="H29">
        <v>519936</v>
      </c>
    </row>
    <row r="30" spans="1:9" x14ac:dyDescent="0.25">
      <c r="A30" t="s">
        <v>182</v>
      </c>
      <c r="B30" t="s">
        <v>49</v>
      </c>
      <c r="C30">
        <v>478000</v>
      </c>
      <c r="D30" s="1"/>
      <c r="G30" s="3" t="s">
        <v>183</v>
      </c>
      <c r="H30">
        <v>557117</v>
      </c>
    </row>
    <row r="31" spans="1:9" x14ac:dyDescent="0.25">
      <c r="A31" t="s">
        <v>191</v>
      </c>
      <c r="B31" t="s">
        <v>51</v>
      </c>
      <c r="C31">
        <v>306000</v>
      </c>
      <c r="D31" s="1"/>
      <c r="G31" s="3" t="s">
        <v>182</v>
      </c>
      <c r="H31">
        <v>307130</v>
      </c>
    </row>
    <row r="32" spans="1:9" x14ac:dyDescent="0.25">
      <c r="A32" t="s">
        <v>189</v>
      </c>
      <c r="B32" t="s">
        <v>52</v>
      </c>
      <c r="C32">
        <v>403000</v>
      </c>
      <c r="D32" s="1"/>
    </row>
    <row r="33" spans="1:4" x14ac:dyDescent="0.25">
      <c r="A33" t="s">
        <v>190</v>
      </c>
      <c r="B33" t="s">
        <v>53</v>
      </c>
      <c r="C33">
        <v>370000</v>
      </c>
      <c r="D33" s="1"/>
    </row>
    <row r="34" spans="1:4" x14ac:dyDescent="0.25">
      <c r="A34" t="s">
        <v>189</v>
      </c>
      <c r="B34" t="s">
        <v>55</v>
      </c>
      <c r="C34">
        <v>186300</v>
      </c>
      <c r="D34" s="1"/>
    </row>
    <row r="35" spans="1:4" x14ac:dyDescent="0.25">
      <c r="A35" t="s">
        <v>189</v>
      </c>
      <c r="B35" t="s">
        <v>57</v>
      </c>
      <c r="C35">
        <v>290000</v>
      </c>
      <c r="D35" s="1"/>
    </row>
    <row r="36" spans="1:4" x14ac:dyDescent="0.25">
      <c r="A36" t="s">
        <v>191</v>
      </c>
      <c r="B36" t="s">
        <v>59</v>
      </c>
      <c r="C36">
        <v>190000</v>
      </c>
      <c r="D36" s="1"/>
    </row>
    <row r="37" spans="1:4" x14ac:dyDescent="0.25">
      <c r="A37" t="s">
        <v>188</v>
      </c>
      <c r="B37" t="s">
        <v>61</v>
      </c>
      <c r="C37">
        <v>305000</v>
      </c>
      <c r="D37" s="1"/>
    </row>
    <row r="38" spans="1:4" x14ac:dyDescent="0.25">
      <c r="A38" t="s">
        <v>188</v>
      </c>
      <c r="B38" t="s">
        <v>63</v>
      </c>
      <c r="C38">
        <v>166000</v>
      </c>
      <c r="D38" s="1"/>
    </row>
    <row r="39" spans="1:4" x14ac:dyDescent="0.25">
      <c r="A39" t="s">
        <v>191</v>
      </c>
      <c r="B39" t="s">
        <v>64</v>
      </c>
      <c r="C39">
        <v>978000</v>
      </c>
      <c r="D39" s="1"/>
    </row>
    <row r="40" spans="1:4" x14ac:dyDescent="0.25">
      <c r="A40" t="s">
        <v>191</v>
      </c>
      <c r="B40" t="s">
        <v>65</v>
      </c>
      <c r="C40">
        <v>326000</v>
      </c>
      <c r="D40" s="1"/>
    </row>
    <row r="41" spans="1:4" x14ac:dyDescent="0.25">
      <c r="A41" t="s">
        <v>182</v>
      </c>
      <c r="B41" t="s">
        <v>66</v>
      </c>
      <c r="C41">
        <v>736000</v>
      </c>
      <c r="D41" s="1"/>
    </row>
    <row r="42" spans="1:4" x14ac:dyDescent="0.25">
      <c r="A42" t="s">
        <v>190</v>
      </c>
      <c r="B42" t="s">
        <v>68</v>
      </c>
      <c r="C42">
        <v>99250</v>
      </c>
      <c r="D42" s="1"/>
    </row>
    <row r="43" spans="1:4" x14ac:dyDescent="0.25">
      <c r="A43" t="s">
        <v>188</v>
      </c>
      <c r="B43" t="s">
        <v>69</v>
      </c>
      <c r="C43">
        <v>950000</v>
      </c>
      <c r="D43" s="1"/>
    </row>
    <row r="44" spans="1:4" x14ac:dyDescent="0.25">
      <c r="A44" t="s">
        <v>181</v>
      </c>
      <c r="B44" t="s">
        <v>70</v>
      </c>
      <c r="C44">
        <v>103260</v>
      </c>
      <c r="D44" s="1"/>
    </row>
    <row r="45" spans="1:4" x14ac:dyDescent="0.25">
      <c r="A45" t="s">
        <v>190</v>
      </c>
      <c r="B45" t="s">
        <v>72</v>
      </c>
      <c r="C45">
        <v>302000</v>
      </c>
      <c r="D45" s="1"/>
    </row>
    <row r="46" spans="1:4" x14ac:dyDescent="0.25">
      <c r="A46" t="s">
        <v>182</v>
      </c>
      <c r="B46" t="s">
        <v>73</v>
      </c>
      <c r="C46">
        <v>266000</v>
      </c>
      <c r="D46" s="1"/>
    </row>
    <row r="47" spans="1:4" x14ac:dyDescent="0.25">
      <c r="A47" t="s">
        <v>188</v>
      </c>
      <c r="B47" t="s">
        <v>74</v>
      </c>
      <c r="C47">
        <v>356000</v>
      </c>
      <c r="D47" s="1"/>
    </row>
    <row r="48" spans="1:4" x14ac:dyDescent="0.25">
      <c r="A48" t="s">
        <v>189</v>
      </c>
      <c r="B48" t="s">
        <v>75</v>
      </c>
      <c r="C48">
        <v>266000</v>
      </c>
      <c r="D48" s="1"/>
    </row>
    <row r="49" spans="1:4" x14ac:dyDescent="0.25">
      <c r="A49" t="s">
        <v>191</v>
      </c>
      <c r="B49" t="s">
        <v>77</v>
      </c>
      <c r="C49">
        <v>91000</v>
      </c>
      <c r="D49" s="1"/>
    </row>
    <row r="50" spans="1:4" x14ac:dyDescent="0.25">
      <c r="A50" t="s">
        <v>189</v>
      </c>
      <c r="B50" t="s">
        <v>78</v>
      </c>
      <c r="C50">
        <v>230000</v>
      </c>
      <c r="D50" s="1"/>
    </row>
    <row r="51" spans="1:4" x14ac:dyDescent="0.25">
      <c r="A51" t="s">
        <v>191</v>
      </c>
      <c r="B51" t="s">
        <v>80</v>
      </c>
      <c r="C51">
        <v>251000</v>
      </c>
      <c r="D51" s="1"/>
    </row>
    <row r="52" spans="1:4" x14ac:dyDescent="0.25">
      <c r="A52" t="s">
        <v>181</v>
      </c>
      <c r="B52" t="s">
        <v>82</v>
      </c>
      <c r="C52">
        <v>263000</v>
      </c>
      <c r="D52" s="1"/>
    </row>
    <row r="53" spans="1:4" x14ac:dyDescent="0.25">
      <c r="A53" t="s">
        <v>190</v>
      </c>
      <c r="B53" t="s">
        <v>84</v>
      </c>
      <c r="C53">
        <v>930000</v>
      </c>
      <c r="D53" s="1"/>
    </row>
    <row r="54" spans="1:4" x14ac:dyDescent="0.25">
      <c r="A54" t="s">
        <v>190</v>
      </c>
      <c r="B54" t="s">
        <v>85</v>
      </c>
      <c r="C54">
        <v>912000</v>
      </c>
      <c r="D54" s="1"/>
    </row>
    <row r="55" spans="1:4" x14ac:dyDescent="0.25">
      <c r="A55" t="s">
        <v>190</v>
      </c>
      <c r="B55" t="s">
        <v>86</v>
      </c>
      <c r="C55">
        <v>856000</v>
      </c>
      <c r="D55" s="1"/>
    </row>
    <row r="56" spans="1:4" x14ac:dyDescent="0.25">
      <c r="A56" t="s">
        <v>190</v>
      </c>
      <c r="B56" t="s">
        <v>87</v>
      </c>
      <c r="C56">
        <v>455000</v>
      </c>
      <c r="D56" s="1"/>
    </row>
    <row r="57" spans="1:4" x14ac:dyDescent="0.25">
      <c r="A57" t="s">
        <v>188</v>
      </c>
      <c r="B57" t="s">
        <v>88</v>
      </c>
      <c r="C57">
        <v>301000</v>
      </c>
      <c r="D57" s="1"/>
    </row>
    <row r="58" spans="1:4" x14ac:dyDescent="0.25">
      <c r="A58" t="s">
        <v>188</v>
      </c>
      <c r="B58" t="s">
        <v>89</v>
      </c>
      <c r="C58">
        <v>164700</v>
      </c>
      <c r="D58" s="1"/>
    </row>
    <row r="59" spans="1:4" x14ac:dyDescent="0.25">
      <c r="A59" t="s">
        <v>191</v>
      </c>
      <c r="B59" t="s">
        <v>90</v>
      </c>
      <c r="C59">
        <v>574000</v>
      </c>
      <c r="D59" s="1"/>
    </row>
    <row r="60" spans="1:4" x14ac:dyDescent="0.25">
      <c r="A60" t="s">
        <v>190</v>
      </c>
      <c r="B60" t="s">
        <v>92</v>
      </c>
      <c r="C60">
        <v>290000</v>
      </c>
      <c r="D60" s="1"/>
    </row>
    <row r="61" spans="1:4" x14ac:dyDescent="0.25">
      <c r="A61" t="s">
        <v>190</v>
      </c>
      <c r="B61" t="s">
        <v>93</v>
      </c>
      <c r="C61">
        <v>286000</v>
      </c>
      <c r="D61" s="1"/>
    </row>
    <row r="62" spans="1:4" x14ac:dyDescent="0.25">
      <c r="A62" t="s">
        <v>190</v>
      </c>
      <c r="B62" t="s">
        <v>94</v>
      </c>
      <c r="C62">
        <v>103250</v>
      </c>
      <c r="D62" s="1"/>
    </row>
    <row r="63" spans="1:4" x14ac:dyDescent="0.25">
      <c r="A63" t="s">
        <v>190</v>
      </c>
      <c r="B63" t="s">
        <v>95</v>
      </c>
      <c r="C63">
        <v>306000</v>
      </c>
      <c r="D63" s="1"/>
    </row>
    <row r="64" spans="1:4" x14ac:dyDescent="0.25">
      <c r="A64" t="s">
        <v>188</v>
      </c>
      <c r="B64" t="s">
        <v>96</v>
      </c>
      <c r="C64">
        <v>780000</v>
      </c>
      <c r="D64" s="1"/>
    </row>
    <row r="65" spans="1:4" x14ac:dyDescent="0.25">
      <c r="A65" t="s">
        <v>188</v>
      </c>
      <c r="B65" t="s">
        <v>97</v>
      </c>
      <c r="C65">
        <v>760300</v>
      </c>
      <c r="D65" s="1"/>
    </row>
    <row r="66" spans="1:4" x14ac:dyDescent="0.25">
      <c r="A66" t="s">
        <v>188</v>
      </c>
      <c r="B66" t="s">
        <v>98</v>
      </c>
      <c r="C66">
        <v>680000</v>
      </c>
      <c r="D66" s="1"/>
    </row>
    <row r="67" spans="1:4" x14ac:dyDescent="0.25">
      <c r="A67" t="s">
        <v>188</v>
      </c>
      <c r="B67" t="s">
        <v>99</v>
      </c>
      <c r="C67">
        <v>655000</v>
      </c>
      <c r="D67" s="1"/>
    </row>
    <row r="68" spans="1:4" x14ac:dyDescent="0.25">
      <c r="A68" t="s">
        <v>190</v>
      </c>
      <c r="B68" t="s">
        <v>101</v>
      </c>
      <c r="C68">
        <v>731000</v>
      </c>
      <c r="D68" s="1"/>
    </row>
    <row r="69" spans="1:4" x14ac:dyDescent="0.25">
      <c r="A69" t="s">
        <v>190</v>
      </c>
      <c r="B69" t="s">
        <v>102</v>
      </c>
      <c r="C69">
        <v>685413</v>
      </c>
      <c r="D69" s="1"/>
    </row>
    <row r="70" spans="1:4" x14ac:dyDescent="0.25">
      <c r="A70" t="s">
        <v>191</v>
      </c>
      <c r="B70" t="s">
        <v>103</v>
      </c>
      <c r="C70">
        <v>186000</v>
      </c>
      <c r="D70" s="1"/>
    </row>
    <row r="71" spans="1:4" x14ac:dyDescent="0.25">
      <c r="A71" t="s">
        <v>183</v>
      </c>
      <c r="B71" t="s">
        <v>105</v>
      </c>
      <c r="C71">
        <v>720000</v>
      </c>
      <c r="D71" s="1"/>
    </row>
    <row r="72" spans="1:4" x14ac:dyDescent="0.25">
      <c r="A72" t="s">
        <v>183</v>
      </c>
      <c r="B72" t="s">
        <v>106</v>
      </c>
      <c r="C72">
        <v>680000</v>
      </c>
      <c r="D72" s="1"/>
    </row>
    <row r="73" spans="1:4" x14ac:dyDescent="0.25">
      <c r="A73" t="s">
        <v>183</v>
      </c>
      <c r="B73" t="s">
        <v>107</v>
      </c>
      <c r="C73">
        <v>660000</v>
      </c>
      <c r="D73" s="1"/>
    </row>
    <row r="74" spans="1:4" x14ac:dyDescent="0.25">
      <c r="A74" t="s">
        <v>183</v>
      </c>
      <c r="B74" t="s">
        <v>108</v>
      </c>
      <c r="C74">
        <v>630000</v>
      </c>
      <c r="D74" s="1"/>
    </row>
    <row r="75" spans="1:4" x14ac:dyDescent="0.25">
      <c r="A75" t="s">
        <v>183</v>
      </c>
      <c r="B75" t="s">
        <v>109</v>
      </c>
      <c r="C75">
        <v>655000</v>
      </c>
      <c r="D75" s="1"/>
    </row>
    <row r="76" spans="1:4" x14ac:dyDescent="0.25">
      <c r="A76" t="s">
        <v>183</v>
      </c>
      <c r="B76" t="s">
        <v>110</v>
      </c>
      <c r="C76">
        <v>590000</v>
      </c>
      <c r="D76" s="1"/>
    </row>
    <row r="77" spans="1:4" x14ac:dyDescent="0.25">
      <c r="A77" t="s">
        <v>191</v>
      </c>
      <c r="B77" t="s">
        <v>111</v>
      </c>
      <c r="C77">
        <v>330000</v>
      </c>
      <c r="D77" s="1"/>
    </row>
    <row r="78" spans="1:4" x14ac:dyDescent="0.25">
      <c r="A78" t="s">
        <v>191</v>
      </c>
      <c r="B78" t="s">
        <v>112</v>
      </c>
      <c r="C78">
        <v>268650</v>
      </c>
      <c r="D78" s="1"/>
    </row>
    <row r="79" spans="1:4" x14ac:dyDescent="0.25">
      <c r="A79" t="s">
        <v>182</v>
      </c>
      <c r="B79" t="s">
        <v>113</v>
      </c>
      <c r="C79">
        <v>302000</v>
      </c>
      <c r="D79" s="1"/>
    </row>
    <row r="80" spans="1:4" x14ac:dyDescent="0.25">
      <c r="A80" t="s">
        <v>190</v>
      </c>
      <c r="B80" t="s">
        <v>114</v>
      </c>
      <c r="C80">
        <v>850000</v>
      </c>
      <c r="D80" s="1"/>
    </row>
    <row r="81" spans="1:4" x14ac:dyDescent="0.25">
      <c r="A81" t="s">
        <v>181</v>
      </c>
      <c r="B81" t="s">
        <v>115</v>
      </c>
      <c r="C81">
        <v>376000</v>
      </c>
      <c r="D81" s="1"/>
    </row>
    <row r="82" spans="1:4" x14ac:dyDescent="0.25">
      <c r="A82" t="s">
        <v>182</v>
      </c>
      <c r="B82" t="s">
        <v>116</v>
      </c>
      <c r="C82">
        <v>201000</v>
      </c>
      <c r="D82" s="1"/>
    </row>
    <row r="83" spans="1:4" x14ac:dyDescent="0.25">
      <c r="A83" t="s">
        <v>191</v>
      </c>
      <c r="B83" t="s">
        <v>117</v>
      </c>
      <c r="C83">
        <v>310000</v>
      </c>
      <c r="D83" s="1"/>
    </row>
    <row r="84" spans="1:4" x14ac:dyDescent="0.25">
      <c r="A84" t="s">
        <v>189</v>
      </c>
      <c r="B84" t="s">
        <v>118</v>
      </c>
      <c r="C84">
        <v>247000</v>
      </c>
      <c r="D84" s="1"/>
    </row>
    <row r="85" spans="1:4" x14ac:dyDescent="0.25">
      <c r="A85" t="s">
        <v>181</v>
      </c>
      <c r="B85" t="s">
        <v>120</v>
      </c>
      <c r="C85">
        <v>386732</v>
      </c>
      <c r="D85" s="1"/>
    </row>
    <row r="86" spans="1:4" x14ac:dyDescent="0.25">
      <c r="A86" t="s">
        <v>181</v>
      </c>
      <c r="B86" t="s">
        <v>121</v>
      </c>
      <c r="C86">
        <v>312680</v>
      </c>
      <c r="D86" s="1"/>
    </row>
    <row r="87" spans="1:4" x14ac:dyDescent="0.25">
      <c r="A87" t="s">
        <v>190</v>
      </c>
      <c r="B87" t="s">
        <v>122</v>
      </c>
      <c r="C87">
        <v>366000</v>
      </c>
      <c r="D87" s="1"/>
    </row>
    <row r="88" spans="1:4" x14ac:dyDescent="0.25">
      <c r="A88" t="s">
        <v>183</v>
      </c>
      <c r="B88" t="s">
        <v>124</v>
      </c>
      <c r="C88">
        <v>520000</v>
      </c>
      <c r="D88" s="1"/>
    </row>
    <row r="89" spans="1:4" x14ac:dyDescent="0.25">
      <c r="A89" t="s">
        <v>183</v>
      </c>
      <c r="B89" t="s">
        <v>125</v>
      </c>
      <c r="C89">
        <v>530000</v>
      </c>
      <c r="D89" s="1"/>
    </row>
    <row r="90" spans="1:4" x14ac:dyDescent="0.25">
      <c r="A90" t="s">
        <v>183</v>
      </c>
      <c r="B90" t="s">
        <v>126</v>
      </c>
      <c r="C90">
        <v>490000</v>
      </c>
      <c r="D90" s="1"/>
    </row>
    <row r="91" spans="1:4" x14ac:dyDescent="0.25">
      <c r="A91" t="s">
        <v>183</v>
      </c>
      <c r="B91" t="s">
        <v>127</v>
      </c>
      <c r="C91">
        <v>481000</v>
      </c>
      <c r="D91" s="1"/>
    </row>
    <row r="92" spans="1:4" x14ac:dyDescent="0.25">
      <c r="A92" t="s">
        <v>183</v>
      </c>
      <c r="B92" t="s">
        <v>128</v>
      </c>
      <c r="C92">
        <v>454000</v>
      </c>
      <c r="D92" s="1"/>
    </row>
    <row r="93" spans="1:4" x14ac:dyDescent="0.25">
      <c r="A93" t="s">
        <v>182</v>
      </c>
      <c r="B93" t="s">
        <v>130</v>
      </c>
      <c r="C93">
        <v>517000</v>
      </c>
      <c r="D93" s="1"/>
    </row>
    <row r="94" spans="1:4" x14ac:dyDescent="0.25">
      <c r="A94" t="s">
        <v>189</v>
      </c>
      <c r="B94" t="s">
        <v>131</v>
      </c>
      <c r="C94">
        <v>286000</v>
      </c>
      <c r="D94" s="1"/>
    </row>
    <row r="95" spans="1:4" x14ac:dyDescent="0.25">
      <c r="A95" t="s">
        <v>182</v>
      </c>
      <c r="B95" t="s">
        <v>132</v>
      </c>
      <c r="C95">
        <v>435000</v>
      </c>
      <c r="D95" s="1"/>
    </row>
    <row r="96" spans="1:4" x14ac:dyDescent="0.25">
      <c r="A96" t="s">
        <v>189</v>
      </c>
      <c r="B96" t="s">
        <v>134</v>
      </c>
      <c r="C96">
        <v>417671</v>
      </c>
      <c r="D96" s="1"/>
    </row>
    <row r="97" spans="1:4" x14ac:dyDescent="0.25">
      <c r="A97" t="s">
        <v>190</v>
      </c>
      <c r="B97" t="s">
        <v>135</v>
      </c>
      <c r="C97">
        <v>451000</v>
      </c>
      <c r="D97" s="1"/>
    </row>
    <row r="98" spans="1:4" x14ac:dyDescent="0.25">
      <c r="A98" t="s">
        <v>191</v>
      </c>
      <c r="B98" t="s">
        <v>137</v>
      </c>
      <c r="C98">
        <v>301344</v>
      </c>
      <c r="D98" s="1"/>
    </row>
    <row r="99" spans="1:4" x14ac:dyDescent="0.25">
      <c r="A99" t="s">
        <v>191</v>
      </c>
      <c r="B99" t="s">
        <v>138</v>
      </c>
      <c r="C99">
        <v>315988</v>
      </c>
      <c r="D99" s="1"/>
    </row>
    <row r="100" spans="1:4" x14ac:dyDescent="0.25">
      <c r="A100" t="s">
        <v>191</v>
      </c>
      <c r="B100" t="s">
        <v>139</v>
      </c>
      <c r="C100">
        <v>234760</v>
      </c>
      <c r="D100" s="1"/>
    </row>
    <row r="101" spans="1:4" x14ac:dyDescent="0.25">
      <c r="A101" t="s">
        <v>191</v>
      </c>
      <c r="B101" t="s">
        <v>140</v>
      </c>
      <c r="C101">
        <v>210780</v>
      </c>
      <c r="D101" s="1"/>
    </row>
    <row r="102" spans="1:4" x14ac:dyDescent="0.25">
      <c r="A102" t="s">
        <v>191</v>
      </c>
      <c r="B102" t="s">
        <v>141</v>
      </c>
      <c r="C102">
        <v>198240</v>
      </c>
      <c r="D102" s="1"/>
    </row>
    <row r="103" spans="1:4" x14ac:dyDescent="0.25">
      <c r="A103" t="s">
        <v>188</v>
      </c>
      <c r="B103" t="s">
        <v>142</v>
      </c>
      <c r="C103">
        <v>170000</v>
      </c>
      <c r="D103" s="1"/>
    </row>
    <row r="104" spans="1:4" x14ac:dyDescent="0.25">
      <c r="A104" t="s">
        <v>191</v>
      </c>
      <c r="B104" t="s">
        <v>143</v>
      </c>
      <c r="C104">
        <v>272650</v>
      </c>
      <c r="D104" s="1"/>
    </row>
    <row r="105" spans="1:4" x14ac:dyDescent="0.25">
      <c r="A105" t="s">
        <v>183</v>
      </c>
      <c r="B105" t="s">
        <v>144</v>
      </c>
      <c r="C105">
        <v>350000</v>
      </c>
      <c r="D105" s="1"/>
    </row>
    <row r="106" spans="1:4" x14ac:dyDescent="0.25">
      <c r="A106" t="s">
        <v>183</v>
      </c>
      <c r="B106" t="s">
        <v>145</v>
      </c>
      <c r="C106">
        <v>235000</v>
      </c>
      <c r="D106" s="1"/>
    </row>
    <row r="107" spans="1:4" x14ac:dyDescent="0.25">
      <c r="A107" t="s">
        <v>191</v>
      </c>
      <c r="B107" t="s">
        <v>146</v>
      </c>
      <c r="C107">
        <v>195000</v>
      </c>
      <c r="D107" s="1"/>
    </row>
    <row r="108" spans="1:4" x14ac:dyDescent="0.25">
      <c r="A108" t="s">
        <v>191</v>
      </c>
      <c r="B108" t="s">
        <v>147</v>
      </c>
      <c r="C108">
        <v>247000</v>
      </c>
      <c r="D108" s="1"/>
    </row>
    <row r="109" spans="1:4" x14ac:dyDescent="0.25">
      <c r="A109" t="s">
        <v>189</v>
      </c>
      <c r="B109" t="s">
        <v>148</v>
      </c>
      <c r="C109">
        <v>407000</v>
      </c>
      <c r="D109" s="1"/>
    </row>
    <row r="110" spans="1:4" x14ac:dyDescent="0.25">
      <c r="A110" t="s">
        <v>191</v>
      </c>
      <c r="B110" t="s">
        <v>149</v>
      </c>
      <c r="C110">
        <v>301232</v>
      </c>
      <c r="D110" s="1"/>
    </row>
    <row r="111" spans="1:4" x14ac:dyDescent="0.25">
      <c r="A111" t="s">
        <v>191</v>
      </c>
      <c r="B111" t="s">
        <v>150</v>
      </c>
      <c r="C111">
        <v>289567</v>
      </c>
      <c r="D111" s="1"/>
    </row>
    <row r="112" spans="1:4" x14ac:dyDescent="0.25">
      <c r="A112" t="s">
        <v>191</v>
      </c>
      <c r="B112" t="s">
        <v>151</v>
      </c>
      <c r="C112">
        <v>245211</v>
      </c>
      <c r="D112" s="1"/>
    </row>
    <row r="113" spans="1:4" x14ac:dyDescent="0.25">
      <c r="A113" t="s">
        <v>191</v>
      </c>
      <c r="B113" t="s">
        <v>152</v>
      </c>
      <c r="C113">
        <v>200123</v>
      </c>
      <c r="D113" s="1"/>
    </row>
    <row r="114" spans="1:4" x14ac:dyDescent="0.25">
      <c r="A114" t="s">
        <v>191</v>
      </c>
      <c r="B114" t="s">
        <v>153</v>
      </c>
      <c r="C114">
        <v>235811</v>
      </c>
      <c r="D114" s="1"/>
    </row>
    <row r="115" spans="1:4" x14ac:dyDescent="0.25">
      <c r="A115" t="s">
        <v>191</v>
      </c>
      <c r="B115" t="s">
        <v>154</v>
      </c>
      <c r="C115">
        <v>250021</v>
      </c>
      <c r="D115" s="1"/>
    </row>
    <row r="116" spans="1:4" x14ac:dyDescent="0.25">
      <c r="A116" t="s">
        <v>191</v>
      </c>
      <c r="B116" t="s">
        <v>155</v>
      </c>
      <c r="C116">
        <v>198340</v>
      </c>
      <c r="D116" s="1"/>
    </row>
    <row r="117" spans="1:4" x14ac:dyDescent="0.25">
      <c r="A117" t="s">
        <v>191</v>
      </c>
      <c r="B117" t="s">
        <v>156</v>
      </c>
      <c r="C117">
        <v>189761</v>
      </c>
      <c r="D117" s="1"/>
    </row>
    <row r="118" spans="1:4" x14ac:dyDescent="0.25">
      <c r="A118" t="s">
        <v>189</v>
      </c>
      <c r="B118" t="s">
        <v>158</v>
      </c>
      <c r="C118">
        <v>153000</v>
      </c>
      <c r="D118" s="1"/>
    </row>
    <row r="119" spans="1:4" x14ac:dyDescent="0.25">
      <c r="A119" t="s">
        <v>189</v>
      </c>
      <c r="B119" t="s">
        <v>159</v>
      </c>
      <c r="C119">
        <v>123000</v>
      </c>
      <c r="D119" s="1"/>
    </row>
    <row r="120" spans="1:4" x14ac:dyDescent="0.25">
      <c r="A120" t="s">
        <v>189</v>
      </c>
      <c r="B120" t="s">
        <v>161</v>
      </c>
      <c r="C120">
        <v>251000</v>
      </c>
      <c r="D120" s="1"/>
    </row>
    <row r="121" spans="1:4" x14ac:dyDescent="0.25">
      <c r="A121" t="s">
        <v>189</v>
      </c>
      <c r="B121" t="s">
        <v>162</v>
      </c>
      <c r="C121">
        <v>247000</v>
      </c>
      <c r="D121" s="1"/>
    </row>
    <row r="122" spans="1:4" x14ac:dyDescent="0.25">
      <c r="A122" t="s">
        <v>189</v>
      </c>
      <c r="B122" t="s">
        <v>163</v>
      </c>
      <c r="C122">
        <v>243000</v>
      </c>
      <c r="D122" s="1"/>
    </row>
    <row r="123" spans="1:4" x14ac:dyDescent="0.25">
      <c r="A123" t="s">
        <v>189</v>
      </c>
      <c r="B123" t="s">
        <v>164</v>
      </c>
      <c r="C123">
        <v>190300</v>
      </c>
      <c r="D123" s="1"/>
    </row>
    <row r="124" spans="1:4" x14ac:dyDescent="0.25">
      <c r="A124" t="s">
        <v>188</v>
      </c>
      <c r="B124" t="s">
        <v>165</v>
      </c>
      <c r="C124">
        <v>126290</v>
      </c>
      <c r="D124" s="1"/>
    </row>
    <row r="125" spans="1:4" x14ac:dyDescent="0.25">
      <c r="A125" t="s">
        <v>191</v>
      </c>
      <c r="B125" t="s">
        <v>166</v>
      </c>
      <c r="C125">
        <v>183788</v>
      </c>
      <c r="D125" s="1"/>
    </row>
    <row r="126" spans="1:4" x14ac:dyDescent="0.25">
      <c r="A126" t="s">
        <v>191</v>
      </c>
      <c r="B126" t="s">
        <v>167</v>
      </c>
      <c r="C126">
        <v>160198</v>
      </c>
      <c r="D126" s="1"/>
    </row>
    <row r="127" spans="1:4" x14ac:dyDescent="0.25">
      <c r="A127" t="s">
        <v>191</v>
      </c>
      <c r="B127" t="s">
        <v>168</v>
      </c>
      <c r="C127">
        <v>156724</v>
      </c>
      <c r="D127" s="1"/>
    </row>
    <row r="128" spans="1:4" x14ac:dyDescent="0.25">
      <c r="A128" t="s">
        <v>189</v>
      </c>
      <c r="B128" t="s">
        <v>169</v>
      </c>
      <c r="C128">
        <v>157000</v>
      </c>
      <c r="D128" s="1"/>
    </row>
    <row r="129" spans="1:4" x14ac:dyDescent="0.25">
      <c r="A129" t="s">
        <v>188</v>
      </c>
      <c r="B129" t="s">
        <v>170</v>
      </c>
      <c r="C129">
        <v>130290</v>
      </c>
      <c r="D129" s="1"/>
    </row>
    <row r="130" spans="1:4" x14ac:dyDescent="0.25">
      <c r="A130" t="s">
        <v>188</v>
      </c>
      <c r="B130" t="s">
        <v>171</v>
      </c>
      <c r="C130">
        <v>160700</v>
      </c>
      <c r="D130" s="1"/>
    </row>
    <row r="131" spans="1:4" x14ac:dyDescent="0.25">
      <c r="A131" t="s">
        <v>182</v>
      </c>
      <c r="B131" t="s">
        <v>173</v>
      </c>
      <c r="C131">
        <v>100000</v>
      </c>
      <c r="D131" s="1"/>
    </row>
    <row r="132" spans="1:4" x14ac:dyDescent="0.25">
      <c r="A132" t="s">
        <v>182</v>
      </c>
      <c r="B132" t="s">
        <v>174</v>
      </c>
      <c r="C132">
        <v>115000</v>
      </c>
      <c r="D132" s="1"/>
    </row>
    <row r="133" spans="1:4" x14ac:dyDescent="0.25">
      <c r="A133" t="s">
        <v>182</v>
      </c>
      <c r="B133" t="s">
        <v>175</v>
      </c>
      <c r="C133">
        <v>132000</v>
      </c>
      <c r="D133" s="1"/>
    </row>
    <row r="134" spans="1:4" x14ac:dyDescent="0.25">
      <c r="A134" t="s">
        <v>182</v>
      </c>
      <c r="B134" t="s">
        <v>176</v>
      </c>
      <c r="C134">
        <v>108000</v>
      </c>
      <c r="D134" s="1"/>
    </row>
    <row r="135" spans="1:4" x14ac:dyDescent="0.25">
      <c r="A135" t="s">
        <v>182</v>
      </c>
      <c r="B135" t="s">
        <v>177</v>
      </c>
      <c r="C135">
        <v>140000</v>
      </c>
      <c r="D135" s="1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50130-D6AA-4D90-8396-FB2F4E396929}">
  <dimension ref="A1:R135"/>
  <sheetViews>
    <sheetView workbookViewId="0">
      <selection activeCell="G18" sqref="G18:Q25"/>
    </sheetView>
  </sheetViews>
  <sheetFormatPr defaultRowHeight="15" x14ac:dyDescent="0.25"/>
  <cols>
    <col min="1" max="1" width="18" bestFit="1" customWidth="1"/>
    <col min="2" max="2" width="13.7109375" bestFit="1" customWidth="1"/>
    <col min="3" max="3" width="15.7109375" bestFit="1" customWidth="1"/>
    <col min="4" max="4" width="8.7109375" bestFit="1" customWidth="1"/>
    <col min="5" max="5" width="24.5703125" bestFit="1" customWidth="1"/>
    <col min="7" max="7" width="23" bestFit="1" customWidth="1"/>
    <col min="8" max="8" width="17.7109375" bestFit="1" customWidth="1"/>
    <col min="9" max="17" width="5" bestFit="1" customWidth="1"/>
    <col min="18" max="18" width="14.28515625" bestFit="1" customWidth="1"/>
  </cols>
  <sheetData>
    <row r="1" spans="1:18" x14ac:dyDescent="0.25">
      <c r="A1" t="s">
        <v>184</v>
      </c>
      <c r="B1" t="s">
        <v>1</v>
      </c>
      <c r="C1" t="s">
        <v>3</v>
      </c>
    </row>
    <row r="2" spans="1:18" x14ac:dyDescent="0.25">
      <c r="A2" t="s">
        <v>181</v>
      </c>
      <c r="B2">
        <v>2006</v>
      </c>
      <c r="C2" t="s">
        <v>7</v>
      </c>
      <c r="E2" s="1"/>
    </row>
    <row r="3" spans="1:18" x14ac:dyDescent="0.25">
      <c r="A3" t="s">
        <v>181</v>
      </c>
      <c r="B3">
        <v>2006</v>
      </c>
      <c r="C3" t="s">
        <v>8</v>
      </c>
      <c r="E3" s="1"/>
    </row>
    <row r="4" spans="1:18" x14ac:dyDescent="0.25">
      <c r="A4" t="s">
        <v>181</v>
      </c>
      <c r="B4">
        <v>2006</v>
      </c>
      <c r="C4" t="s">
        <v>9</v>
      </c>
      <c r="E4" s="1"/>
    </row>
    <row r="5" spans="1:18" x14ac:dyDescent="0.25">
      <c r="A5" t="s">
        <v>181</v>
      </c>
      <c r="B5">
        <v>2006</v>
      </c>
      <c r="C5" t="s">
        <v>10</v>
      </c>
      <c r="E5" s="1"/>
      <c r="G5" s="2" t="s">
        <v>187</v>
      </c>
      <c r="H5" s="2" t="s">
        <v>193</v>
      </c>
    </row>
    <row r="6" spans="1:18" x14ac:dyDescent="0.25">
      <c r="A6" t="s">
        <v>181</v>
      </c>
      <c r="B6">
        <v>2006</v>
      </c>
      <c r="C6" t="s">
        <v>11</v>
      </c>
      <c r="E6" s="1"/>
      <c r="G6" s="2" t="s">
        <v>185</v>
      </c>
      <c r="H6">
        <v>2006</v>
      </c>
      <c r="I6">
        <v>2007</v>
      </c>
      <c r="J6">
        <v>2008</v>
      </c>
      <c r="K6">
        <v>2009</v>
      </c>
      <c r="L6">
        <v>2010</v>
      </c>
      <c r="M6">
        <v>2011</v>
      </c>
      <c r="N6">
        <v>2012</v>
      </c>
      <c r="O6">
        <v>2013</v>
      </c>
      <c r="P6">
        <v>2014</v>
      </c>
      <c r="Q6">
        <v>2015</v>
      </c>
      <c r="R6" t="s">
        <v>186</v>
      </c>
    </row>
    <row r="7" spans="1:18" x14ac:dyDescent="0.25">
      <c r="A7" t="s">
        <v>188</v>
      </c>
      <c r="B7">
        <v>2007</v>
      </c>
      <c r="C7" t="s">
        <v>13</v>
      </c>
      <c r="E7" s="1"/>
      <c r="G7" s="3" t="s">
        <v>191</v>
      </c>
      <c r="K7">
        <v>2</v>
      </c>
      <c r="L7">
        <v>4</v>
      </c>
      <c r="M7">
        <v>2</v>
      </c>
      <c r="N7">
        <v>8</v>
      </c>
      <c r="O7">
        <v>11</v>
      </c>
      <c r="P7">
        <v>3</v>
      </c>
      <c r="R7">
        <v>30</v>
      </c>
    </row>
    <row r="8" spans="1:18" x14ac:dyDescent="0.25">
      <c r="A8" t="s">
        <v>189</v>
      </c>
      <c r="B8">
        <v>2007</v>
      </c>
      <c r="C8" t="s">
        <v>15</v>
      </c>
      <c r="E8" s="1"/>
      <c r="G8" s="3" t="s">
        <v>181</v>
      </c>
      <c r="H8">
        <v>5</v>
      </c>
      <c r="K8">
        <v>2</v>
      </c>
      <c r="L8">
        <v>2</v>
      </c>
      <c r="N8">
        <v>3</v>
      </c>
      <c r="R8">
        <v>12</v>
      </c>
    </row>
    <row r="9" spans="1:18" x14ac:dyDescent="0.25">
      <c r="A9" t="s">
        <v>182</v>
      </c>
      <c r="B9">
        <v>2008</v>
      </c>
      <c r="C9" t="s">
        <v>17</v>
      </c>
      <c r="E9" s="1"/>
      <c r="G9" s="3" t="s">
        <v>189</v>
      </c>
      <c r="I9">
        <v>1</v>
      </c>
      <c r="K9">
        <v>4</v>
      </c>
      <c r="L9">
        <v>2</v>
      </c>
      <c r="N9">
        <v>3</v>
      </c>
      <c r="O9">
        <v>3</v>
      </c>
      <c r="P9">
        <v>5</v>
      </c>
      <c r="R9">
        <v>18</v>
      </c>
    </row>
    <row r="10" spans="1:18" x14ac:dyDescent="0.25">
      <c r="A10" t="s">
        <v>182</v>
      </c>
      <c r="B10">
        <v>2008</v>
      </c>
      <c r="C10" t="s">
        <v>19</v>
      </c>
      <c r="E10" s="1"/>
      <c r="G10" s="3" t="s">
        <v>188</v>
      </c>
      <c r="I10">
        <v>1</v>
      </c>
      <c r="K10">
        <v>4</v>
      </c>
      <c r="L10">
        <v>4</v>
      </c>
      <c r="M10">
        <v>4</v>
      </c>
      <c r="N10">
        <v>1</v>
      </c>
      <c r="P10">
        <v>1</v>
      </c>
      <c r="Q10">
        <v>2</v>
      </c>
      <c r="R10">
        <v>17</v>
      </c>
    </row>
    <row r="11" spans="1:18" x14ac:dyDescent="0.25">
      <c r="A11" t="s">
        <v>182</v>
      </c>
      <c r="B11">
        <v>2008</v>
      </c>
      <c r="C11" t="s">
        <v>21</v>
      </c>
      <c r="E11" s="1"/>
      <c r="G11" s="3" t="s">
        <v>190</v>
      </c>
      <c r="K11">
        <v>2</v>
      </c>
      <c r="L11">
        <v>6</v>
      </c>
      <c r="M11">
        <v>6</v>
      </c>
      <c r="N11">
        <v>3</v>
      </c>
      <c r="R11">
        <v>17</v>
      </c>
    </row>
    <row r="12" spans="1:18" x14ac:dyDescent="0.25">
      <c r="A12" t="s">
        <v>182</v>
      </c>
      <c r="B12">
        <v>2008</v>
      </c>
      <c r="C12" t="s">
        <v>23</v>
      </c>
      <c r="E12" s="1"/>
      <c r="G12" s="3" t="s">
        <v>183</v>
      </c>
      <c r="K12">
        <v>4</v>
      </c>
      <c r="M12">
        <v>6</v>
      </c>
      <c r="N12">
        <v>5</v>
      </c>
      <c r="O12">
        <v>2</v>
      </c>
      <c r="R12">
        <v>17</v>
      </c>
    </row>
    <row r="13" spans="1:18" x14ac:dyDescent="0.25">
      <c r="A13" t="s">
        <v>182</v>
      </c>
      <c r="B13">
        <v>2009</v>
      </c>
      <c r="C13" t="s">
        <v>24</v>
      </c>
      <c r="E13" s="1"/>
      <c r="G13" s="3" t="s">
        <v>182</v>
      </c>
      <c r="J13">
        <v>4</v>
      </c>
      <c r="K13">
        <v>8</v>
      </c>
      <c r="L13">
        <v>2</v>
      </c>
      <c r="N13">
        <v>4</v>
      </c>
      <c r="Q13">
        <v>5</v>
      </c>
      <c r="R13">
        <v>23</v>
      </c>
    </row>
    <row r="14" spans="1:18" x14ac:dyDescent="0.25">
      <c r="A14" t="s">
        <v>181</v>
      </c>
      <c r="B14">
        <v>2009</v>
      </c>
      <c r="C14" t="s">
        <v>26</v>
      </c>
      <c r="E14" s="1"/>
      <c r="G14" s="3" t="s">
        <v>186</v>
      </c>
      <c r="H14">
        <v>5</v>
      </c>
      <c r="I14">
        <v>2</v>
      </c>
      <c r="J14">
        <v>4</v>
      </c>
      <c r="K14">
        <v>26</v>
      </c>
      <c r="L14">
        <v>20</v>
      </c>
      <c r="M14">
        <v>18</v>
      </c>
      <c r="N14">
        <v>27</v>
      </c>
      <c r="O14">
        <v>16</v>
      </c>
      <c r="P14">
        <v>9</v>
      </c>
      <c r="Q14">
        <v>7</v>
      </c>
      <c r="R14">
        <v>134</v>
      </c>
    </row>
    <row r="15" spans="1:18" x14ac:dyDescent="0.25">
      <c r="A15" t="s">
        <v>182</v>
      </c>
      <c r="B15">
        <v>2009</v>
      </c>
      <c r="C15" t="s">
        <v>27</v>
      </c>
      <c r="E15" s="1"/>
    </row>
    <row r="16" spans="1:18" x14ac:dyDescent="0.25">
      <c r="A16" t="s">
        <v>183</v>
      </c>
      <c r="B16">
        <v>2009</v>
      </c>
      <c r="C16" t="s">
        <v>29</v>
      </c>
      <c r="E16" s="1"/>
    </row>
    <row r="17" spans="1:17" x14ac:dyDescent="0.25">
      <c r="A17" t="s">
        <v>182</v>
      </c>
      <c r="B17">
        <v>2009</v>
      </c>
      <c r="C17" t="s">
        <v>30</v>
      </c>
      <c r="E17" s="1"/>
    </row>
    <row r="18" spans="1:17" x14ac:dyDescent="0.25">
      <c r="A18" t="s">
        <v>183</v>
      </c>
      <c r="B18">
        <v>2009</v>
      </c>
      <c r="C18" t="s">
        <v>31</v>
      </c>
      <c r="E18" s="1"/>
      <c r="G18" t="s">
        <v>194</v>
      </c>
      <c r="H18">
        <v>2006</v>
      </c>
      <c r="I18">
        <v>2007</v>
      </c>
      <c r="J18">
        <v>2008</v>
      </c>
      <c r="K18">
        <v>2009</v>
      </c>
      <c r="L18">
        <v>2010</v>
      </c>
      <c r="M18">
        <v>2011</v>
      </c>
      <c r="N18">
        <v>2012</v>
      </c>
      <c r="O18">
        <v>2013</v>
      </c>
      <c r="P18">
        <v>2014</v>
      </c>
      <c r="Q18">
        <v>2015</v>
      </c>
    </row>
    <row r="19" spans="1:17" x14ac:dyDescent="0.25">
      <c r="A19" t="s">
        <v>182</v>
      </c>
      <c r="B19">
        <v>2009</v>
      </c>
      <c r="C19" t="s">
        <v>32</v>
      </c>
      <c r="E19" s="1"/>
      <c r="G19" t="s">
        <v>191</v>
      </c>
      <c r="H19">
        <v>0</v>
      </c>
      <c r="I19">
        <v>0</v>
      </c>
      <c r="J19">
        <v>0</v>
      </c>
      <c r="K19">
        <v>2</v>
      </c>
      <c r="L19">
        <v>4</v>
      </c>
      <c r="M19">
        <v>2</v>
      </c>
      <c r="N19">
        <v>8</v>
      </c>
      <c r="O19">
        <v>11</v>
      </c>
      <c r="P19">
        <v>3</v>
      </c>
      <c r="Q19">
        <v>0</v>
      </c>
    </row>
    <row r="20" spans="1:17" x14ac:dyDescent="0.25">
      <c r="A20" t="s">
        <v>190</v>
      </c>
      <c r="B20">
        <v>2009</v>
      </c>
      <c r="C20" t="s">
        <v>34</v>
      </c>
      <c r="E20" s="1"/>
      <c r="G20" t="s">
        <v>181</v>
      </c>
      <c r="H20">
        <v>5</v>
      </c>
      <c r="I20">
        <v>0</v>
      </c>
      <c r="J20">
        <v>0</v>
      </c>
      <c r="K20">
        <v>2</v>
      </c>
      <c r="L20">
        <v>2</v>
      </c>
      <c r="M20">
        <v>0</v>
      </c>
      <c r="N20">
        <v>3</v>
      </c>
      <c r="O20">
        <v>0</v>
      </c>
      <c r="P20">
        <v>0</v>
      </c>
      <c r="Q20">
        <v>0</v>
      </c>
    </row>
    <row r="21" spans="1:17" x14ac:dyDescent="0.25">
      <c r="A21" t="s">
        <v>188</v>
      </c>
      <c r="B21">
        <v>2009</v>
      </c>
      <c r="C21" t="s">
        <v>36</v>
      </c>
      <c r="E21" s="1"/>
      <c r="G21" t="s">
        <v>189</v>
      </c>
      <c r="H21">
        <v>0</v>
      </c>
      <c r="I21">
        <v>1</v>
      </c>
      <c r="J21">
        <v>0</v>
      </c>
      <c r="K21">
        <v>4</v>
      </c>
      <c r="L21">
        <v>2</v>
      </c>
      <c r="M21">
        <v>0</v>
      </c>
      <c r="N21">
        <v>3</v>
      </c>
      <c r="O21">
        <v>3</v>
      </c>
      <c r="P21">
        <v>5</v>
      </c>
      <c r="Q21">
        <v>0</v>
      </c>
    </row>
    <row r="22" spans="1:17" x14ac:dyDescent="0.25">
      <c r="A22" t="s">
        <v>183</v>
      </c>
      <c r="B22">
        <v>2009</v>
      </c>
      <c r="C22" t="s">
        <v>38</v>
      </c>
      <c r="E22" s="1"/>
      <c r="G22" t="s">
        <v>188</v>
      </c>
      <c r="H22">
        <v>0</v>
      </c>
      <c r="I22">
        <v>1</v>
      </c>
      <c r="J22">
        <v>0</v>
      </c>
      <c r="K22">
        <v>4</v>
      </c>
      <c r="L22">
        <v>4</v>
      </c>
      <c r="M22">
        <v>4</v>
      </c>
      <c r="N22">
        <v>1</v>
      </c>
      <c r="O22">
        <v>0</v>
      </c>
      <c r="P22">
        <v>1</v>
      </c>
      <c r="Q22">
        <v>2</v>
      </c>
    </row>
    <row r="23" spans="1:17" x14ac:dyDescent="0.25">
      <c r="A23" t="s">
        <v>183</v>
      </c>
      <c r="B23">
        <v>2009</v>
      </c>
      <c r="C23" t="s">
        <v>39</v>
      </c>
      <c r="E23" s="1"/>
      <c r="G23" t="s">
        <v>190</v>
      </c>
      <c r="H23">
        <v>0</v>
      </c>
      <c r="I23">
        <v>0</v>
      </c>
      <c r="J23">
        <v>0</v>
      </c>
      <c r="K23">
        <v>2</v>
      </c>
      <c r="L23">
        <v>6</v>
      </c>
      <c r="M23">
        <v>6</v>
      </c>
      <c r="N23">
        <v>3</v>
      </c>
      <c r="O23">
        <v>0</v>
      </c>
      <c r="P23">
        <v>0</v>
      </c>
      <c r="Q23">
        <v>0</v>
      </c>
    </row>
    <row r="24" spans="1:17" x14ac:dyDescent="0.25">
      <c r="A24" t="s">
        <v>182</v>
      </c>
      <c r="B24">
        <v>2009</v>
      </c>
      <c r="C24" t="s">
        <v>40</v>
      </c>
      <c r="E24" s="1"/>
      <c r="G24" t="s">
        <v>183</v>
      </c>
      <c r="H24">
        <v>0</v>
      </c>
      <c r="I24">
        <v>0</v>
      </c>
      <c r="J24">
        <v>0</v>
      </c>
      <c r="K24">
        <v>4</v>
      </c>
      <c r="L24">
        <v>0</v>
      </c>
      <c r="M24">
        <v>6</v>
      </c>
      <c r="N24">
        <v>5</v>
      </c>
      <c r="O24">
        <v>2</v>
      </c>
      <c r="P24">
        <v>0</v>
      </c>
      <c r="Q24">
        <v>0</v>
      </c>
    </row>
    <row r="25" spans="1:17" x14ac:dyDescent="0.25">
      <c r="A25" t="s">
        <v>181</v>
      </c>
      <c r="B25">
        <v>2009</v>
      </c>
      <c r="C25" t="s">
        <v>42</v>
      </c>
      <c r="E25" s="1"/>
      <c r="G25" t="s">
        <v>182</v>
      </c>
      <c r="H25">
        <v>0</v>
      </c>
      <c r="I25">
        <v>0</v>
      </c>
      <c r="J25">
        <v>4</v>
      </c>
      <c r="K25">
        <v>8</v>
      </c>
      <c r="L25">
        <v>2</v>
      </c>
      <c r="M25">
        <v>0</v>
      </c>
      <c r="N25">
        <v>4</v>
      </c>
      <c r="O25">
        <v>0</v>
      </c>
      <c r="P25">
        <v>0</v>
      </c>
      <c r="Q25">
        <v>5</v>
      </c>
    </row>
    <row r="26" spans="1:17" x14ac:dyDescent="0.25">
      <c r="A26" t="s">
        <v>182</v>
      </c>
      <c r="B26">
        <v>2009</v>
      </c>
      <c r="C26" t="s">
        <v>43</v>
      </c>
      <c r="E26" s="1"/>
    </row>
    <row r="27" spans="1:17" x14ac:dyDescent="0.25">
      <c r="A27" t="s">
        <v>188</v>
      </c>
      <c r="B27">
        <v>2009</v>
      </c>
      <c r="C27" t="s">
        <v>44</v>
      </c>
      <c r="E27" s="1"/>
    </row>
    <row r="28" spans="1:17" x14ac:dyDescent="0.25">
      <c r="A28" t="s">
        <v>189</v>
      </c>
      <c r="B28">
        <v>2009</v>
      </c>
      <c r="C28" t="s">
        <v>46</v>
      </c>
      <c r="E28" s="1"/>
    </row>
    <row r="29" spans="1:17" x14ac:dyDescent="0.25">
      <c r="A29" t="s">
        <v>182</v>
      </c>
      <c r="B29">
        <v>2009</v>
      </c>
      <c r="C29" t="s">
        <v>48</v>
      </c>
      <c r="E29" s="1"/>
    </row>
    <row r="30" spans="1:17" x14ac:dyDescent="0.25">
      <c r="A30" t="s">
        <v>182</v>
      </c>
      <c r="B30">
        <v>2009</v>
      </c>
      <c r="C30" t="s">
        <v>49</v>
      </c>
      <c r="E30" s="1"/>
    </row>
    <row r="31" spans="1:17" x14ac:dyDescent="0.25">
      <c r="A31" t="s">
        <v>191</v>
      </c>
      <c r="B31">
        <v>2009</v>
      </c>
      <c r="C31" t="s">
        <v>51</v>
      </c>
      <c r="E31" s="1"/>
    </row>
    <row r="32" spans="1:17" x14ac:dyDescent="0.25">
      <c r="A32" t="s">
        <v>189</v>
      </c>
      <c r="B32">
        <v>2009</v>
      </c>
      <c r="C32" t="s">
        <v>52</v>
      </c>
      <c r="E32" s="1"/>
    </row>
    <row r="33" spans="1:5" x14ac:dyDescent="0.25">
      <c r="A33" t="s">
        <v>190</v>
      </c>
      <c r="B33">
        <v>2009</v>
      </c>
      <c r="C33" t="s">
        <v>53</v>
      </c>
      <c r="E33" s="1"/>
    </row>
    <row r="34" spans="1:5" x14ac:dyDescent="0.25">
      <c r="A34" t="s">
        <v>189</v>
      </c>
      <c r="B34">
        <v>2009</v>
      </c>
      <c r="C34" t="s">
        <v>55</v>
      </c>
      <c r="E34" s="1"/>
    </row>
    <row r="35" spans="1:5" x14ac:dyDescent="0.25">
      <c r="A35" t="s">
        <v>189</v>
      </c>
      <c r="B35">
        <v>2009</v>
      </c>
      <c r="C35" t="s">
        <v>57</v>
      </c>
      <c r="E35" s="1"/>
    </row>
    <row r="36" spans="1:5" x14ac:dyDescent="0.25">
      <c r="A36" t="s">
        <v>191</v>
      </c>
      <c r="B36">
        <v>2009</v>
      </c>
      <c r="C36" t="s">
        <v>59</v>
      </c>
      <c r="E36" s="1"/>
    </row>
    <row r="37" spans="1:5" x14ac:dyDescent="0.25">
      <c r="A37" t="s">
        <v>188</v>
      </c>
      <c r="B37">
        <v>2009</v>
      </c>
      <c r="C37" t="s">
        <v>61</v>
      </c>
      <c r="E37" s="1"/>
    </row>
    <row r="38" spans="1:5" x14ac:dyDescent="0.25">
      <c r="A38" t="s">
        <v>188</v>
      </c>
      <c r="B38">
        <v>2009</v>
      </c>
      <c r="C38" t="s">
        <v>63</v>
      </c>
      <c r="E38" s="1"/>
    </row>
    <row r="39" spans="1:5" x14ac:dyDescent="0.25">
      <c r="A39" t="s">
        <v>191</v>
      </c>
      <c r="B39">
        <v>2010</v>
      </c>
      <c r="C39" t="s">
        <v>64</v>
      </c>
      <c r="E39" s="1"/>
    </row>
    <row r="40" spans="1:5" x14ac:dyDescent="0.25">
      <c r="A40" t="s">
        <v>191</v>
      </c>
      <c r="B40">
        <v>2010</v>
      </c>
      <c r="C40" t="s">
        <v>65</v>
      </c>
      <c r="E40" s="1"/>
    </row>
    <row r="41" spans="1:5" x14ac:dyDescent="0.25">
      <c r="A41" t="s">
        <v>182</v>
      </c>
      <c r="B41">
        <v>2010</v>
      </c>
      <c r="C41" t="s">
        <v>66</v>
      </c>
      <c r="E41" s="1"/>
    </row>
    <row r="42" spans="1:5" x14ac:dyDescent="0.25">
      <c r="A42" t="s">
        <v>190</v>
      </c>
      <c r="B42">
        <v>2010</v>
      </c>
      <c r="C42" t="s">
        <v>68</v>
      </c>
      <c r="E42" s="1"/>
    </row>
    <row r="43" spans="1:5" x14ac:dyDescent="0.25">
      <c r="A43" t="s">
        <v>188</v>
      </c>
      <c r="B43">
        <v>2010</v>
      </c>
      <c r="C43" t="s">
        <v>69</v>
      </c>
      <c r="E43" s="1"/>
    </row>
    <row r="44" spans="1:5" x14ac:dyDescent="0.25">
      <c r="A44" t="s">
        <v>181</v>
      </c>
      <c r="B44">
        <v>2010</v>
      </c>
      <c r="C44" t="s">
        <v>70</v>
      </c>
      <c r="E44" s="1"/>
    </row>
    <row r="45" spans="1:5" x14ac:dyDescent="0.25">
      <c r="A45" t="s">
        <v>190</v>
      </c>
      <c r="B45">
        <v>2010</v>
      </c>
      <c r="C45" t="s">
        <v>72</v>
      </c>
      <c r="E45" s="1"/>
    </row>
    <row r="46" spans="1:5" x14ac:dyDescent="0.25">
      <c r="A46" t="s">
        <v>182</v>
      </c>
      <c r="B46">
        <v>2010</v>
      </c>
      <c r="C46" t="s">
        <v>73</v>
      </c>
      <c r="E46" s="1"/>
    </row>
    <row r="47" spans="1:5" x14ac:dyDescent="0.25">
      <c r="A47" t="s">
        <v>188</v>
      </c>
      <c r="B47">
        <v>2010</v>
      </c>
      <c r="C47" t="s">
        <v>74</v>
      </c>
      <c r="E47" s="1"/>
    </row>
    <row r="48" spans="1:5" x14ac:dyDescent="0.25">
      <c r="A48" t="s">
        <v>189</v>
      </c>
      <c r="B48">
        <v>2010</v>
      </c>
      <c r="C48" t="s">
        <v>75</v>
      </c>
      <c r="E48" s="1"/>
    </row>
    <row r="49" spans="1:5" x14ac:dyDescent="0.25">
      <c r="A49" t="s">
        <v>191</v>
      </c>
      <c r="B49">
        <v>2010</v>
      </c>
      <c r="C49" t="s">
        <v>77</v>
      </c>
      <c r="E49" s="1"/>
    </row>
    <row r="50" spans="1:5" x14ac:dyDescent="0.25">
      <c r="A50" t="s">
        <v>189</v>
      </c>
      <c r="B50">
        <v>2010</v>
      </c>
      <c r="C50" t="s">
        <v>78</v>
      </c>
      <c r="E50" s="1"/>
    </row>
    <row r="51" spans="1:5" x14ac:dyDescent="0.25">
      <c r="A51" t="s">
        <v>191</v>
      </c>
      <c r="B51">
        <v>2010</v>
      </c>
      <c r="C51" t="s">
        <v>80</v>
      </c>
      <c r="E51" s="1"/>
    </row>
    <row r="52" spans="1:5" x14ac:dyDescent="0.25">
      <c r="A52" t="s">
        <v>181</v>
      </c>
      <c r="B52">
        <v>2010</v>
      </c>
      <c r="C52" t="s">
        <v>82</v>
      </c>
      <c r="E52" s="1"/>
    </row>
    <row r="53" spans="1:5" x14ac:dyDescent="0.25">
      <c r="A53" t="s">
        <v>190</v>
      </c>
      <c r="B53">
        <v>2010</v>
      </c>
      <c r="C53" t="s">
        <v>84</v>
      </c>
      <c r="E53" s="1"/>
    </row>
    <row r="54" spans="1:5" x14ac:dyDescent="0.25">
      <c r="A54" t="s">
        <v>190</v>
      </c>
      <c r="B54">
        <v>2010</v>
      </c>
      <c r="C54" t="s">
        <v>85</v>
      </c>
      <c r="E54" s="1"/>
    </row>
    <row r="55" spans="1:5" x14ac:dyDescent="0.25">
      <c r="A55" t="s">
        <v>190</v>
      </c>
      <c r="B55">
        <v>2010</v>
      </c>
      <c r="C55" t="s">
        <v>86</v>
      </c>
      <c r="E55" s="1"/>
    </row>
    <row r="56" spans="1:5" x14ac:dyDescent="0.25">
      <c r="A56" t="s">
        <v>190</v>
      </c>
      <c r="B56">
        <v>2010</v>
      </c>
      <c r="C56" t="s">
        <v>87</v>
      </c>
      <c r="E56" s="1"/>
    </row>
    <row r="57" spans="1:5" x14ac:dyDescent="0.25">
      <c r="A57" t="s">
        <v>188</v>
      </c>
      <c r="B57">
        <v>2010</v>
      </c>
      <c r="C57" t="s">
        <v>88</v>
      </c>
      <c r="E57" s="1"/>
    </row>
    <row r="58" spans="1:5" x14ac:dyDescent="0.25">
      <c r="A58" t="s">
        <v>188</v>
      </c>
      <c r="B58">
        <v>2010</v>
      </c>
      <c r="C58" t="s">
        <v>89</v>
      </c>
      <c r="E58" s="1"/>
    </row>
    <row r="59" spans="1:5" x14ac:dyDescent="0.25">
      <c r="A59" t="s">
        <v>191</v>
      </c>
      <c r="B59">
        <v>2011</v>
      </c>
      <c r="C59" t="s">
        <v>90</v>
      </c>
      <c r="E59" s="1"/>
    </row>
    <row r="60" spans="1:5" x14ac:dyDescent="0.25">
      <c r="A60" t="s">
        <v>190</v>
      </c>
      <c r="B60">
        <v>2011</v>
      </c>
      <c r="C60" t="s">
        <v>92</v>
      </c>
      <c r="E60" s="1"/>
    </row>
    <row r="61" spans="1:5" x14ac:dyDescent="0.25">
      <c r="A61" t="s">
        <v>190</v>
      </c>
      <c r="B61">
        <v>2011</v>
      </c>
      <c r="C61" t="s">
        <v>93</v>
      </c>
      <c r="E61" s="1"/>
    </row>
    <row r="62" spans="1:5" x14ac:dyDescent="0.25">
      <c r="A62" t="s">
        <v>190</v>
      </c>
      <c r="B62">
        <v>2011</v>
      </c>
      <c r="C62" t="s">
        <v>94</v>
      </c>
      <c r="E62" s="1"/>
    </row>
    <row r="63" spans="1:5" x14ac:dyDescent="0.25">
      <c r="A63" t="s">
        <v>190</v>
      </c>
      <c r="B63">
        <v>2011</v>
      </c>
      <c r="C63" t="s">
        <v>95</v>
      </c>
      <c r="E63" s="1"/>
    </row>
    <row r="64" spans="1:5" x14ac:dyDescent="0.25">
      <c r="A64" t="s">
        <v>188</v>
      </c>
      <c r="B64">
        <v>2011</v>
      </c>
      <c r="C64" t="s">
        <v>96</v>
      </c>
      <c r="E64" s="1"/>
    </row>
    <row r="65" spans="1:5" x14ac:dyDescent="0.25">
      <c r="A65" t="s">
        <v>188</v>
      </c>
      <c r="B65">
        <v>2011</v>
      </c>
      <c r="C65" t="s">
        <v>97</v>
      </c>
      <c r="E65" s="1"/>
    </row>
    <row r="66" spans="1:5" x14ac:dyDescent="0.25">
      <c r="A66" t="s">
        <v>188</v>
      </c>
      <c r="B66">
        <v>2011</v>
      </c>
      <c r="C66" t="s">
        <v>98</v>
      </c>
      <c r="E66" s="1"/>
    </row>
    <row r="67" spans="1:5" x14ac:dyDescent="0.25">
      <c r="A67" t="s">
        <v>188</v>
      </c>
      <c r="B67">
        <v>2011</v>
      </c>
      <c r="C67" t="s">
        <v>99</v>
      </c>
      <c r="E67" s="1"/>
    </row>
    <row r="68" spans="1:5" x14ac:dyDescent="0.25">
      <c r="A68" t="s">
        <v>190</v>
      </c>
      <c r="B68">
        <v>2011</v>
      </c>
      <c r="C68" t="s">
        <v>101</v>
      </c>
      <c r="E68" s="1"/>
    </row>
    <row r="69" spans="1:5" x14ac:dyDescent="0.25">
      <c r="A69" t="s">
        <v>190</v>
      </c>
      <c r="B69">
        <v>2011</v>
      </c>
      <c r="C69" t="s">
        <v>102</v>
      </c>
      <c r="E69" s="1"/>
    </row>
    <row r="70" spans="1:5" x14ac:dyDescent="0.25">
      <c r="A70" t="s">
        <v>191</v>
      </c>
      <c r="B70">
        <v>2011</v>
      </c>
      <c r="C70" t="s">
        <v>103</v>
      </c>
      <c r="E70" s="1"/>
    </row>
    <row r="71" spans="1:5" x14ac:dyDescent="0.25">
      <c r="A71" t="s">
        <v>183</v>
      </c>
      <c r="B71">
        <v>2011</v>
      </c>
      <c r="C71" t="s">
        <v>105</v>
      </c>
      <c r="E71" s="1"/>
    </row>
    <row r="72" spans="1:5" x14ac:dyDescent="0.25">
      <c r="A72" t="s">
        <v>183</v>
      </c>
      <c r="B72">
        <v>2011</v>
      </c>
      <c r="C72" t="s">
        <v>106</v>
      </c>
      <c r="E72" s="1"/>
    </row>
    <row r="73" spans="1:5" x14ac:dyDescent="0.25">
      <c r="A73" t="s">
        <v>183</v>
      </c>
      <c r="B73">
        <v>2011</v>
      </c>
      <c r="C73" t="s">
        <v>107</v>
      </c>
      <c r="E73" s="1"/>
    </row>
    <row r="74" spans="1:5" x14ac:dyDescent="0.25">
      <c r="A74" t="s">
        <v>183</v>
      </c>
      <c r="B74">
        <v>2011</v>
      </c>
      <c r="C74" t="s">
        <v>108</v>
      </c>
      <c r="E74" s="1"/>
    </row>
    <row r="75" spans="1:5" x14ac:dyDescent="0.25">
      <c r="A75" t="s">
        <v>183</v>
      </c>
      <c r="B75">
        <v>2011</v>
      </c>
      <c r="C75" t="s">
        <v>109</v>
      </c>
      <c r="E75" s="1"/>
    </row>
    <row r="76" spans="1:5" x14ac:dyDescent="0.25">
      <c r="A76" t="s">
        <v>183</v>
      </c>
      <c r="B76">
        <v>2011</v>
      </c>
      <c r="C76" t="s">
        <v>110</v>
      </c>
      <c r="E76" s="1"/>
    </row>
    <row r="77" spans="1:5" x14ac:dyDescent="0.25">
      <c r="A77" t="s">
        <v>191</v>
      </c>
      <c r="B77">
        <v>2012</v>
      </c>
      <c r="C77" t="s">
        <v>111</v>
      </c>
      <c r="E77" s="1"/>
    </row>
    <row r="78" spans="1:5" x14ac:dyDescent="0.25">
      <c r="A78" t="s">
        <v>191</v>
      </c>
      <c r="B78">
        <v>2012</v>
      </c>
      <c r="C78" t="s">
        <v>112</v>
      </c>
      <c r="E78" s="1"/>
    </row>
    <row r="79" spans="1:5" x14ac:dyDescent="0.25">
      <c r="A79" t="s">
        <v>182</v>
      </c>
      <c r="B79">
        <v>2012</v>
      </c>
      <c r="C79" t="s">
        <v>113</v>
      </c>
      <c r="E79" s="1"/>
    </row>
    <row r="80" spans="1:5" x14ac:dyDescent="0.25">
      <c r="A80" t="s">
        <v>190</v>
      </c>
      <c r="B80">
        <v>2012</v>
      </c>
      <c r="C80" t="s">
        <v>114</v>
      </c>
      <c r="E80" s="1"/>
    </row>
    <row r="81" spans="1:5" x14ac:dyDescent="0.25">
      <c r="A81" t="s">
        <v>181</v>
      </c>
      <c r="B81">
        <v>2012</v>
      </c>
      <c r="C81" t="s">
        <v>115</v>
      </c>
      <c r="E81" s="1"/>
    </row>
    <row r="82" spans="1:5" x14ac:dyDescent="0.25">
      <c r="A82" t="s">
        <v>182</v>
      </c>
      <c r="B82">
        <v>2012</v>
      </c>
      <c r="C82" t="s">
        <v>116</v>
      </c>
      <c r="E82" s="1"/>
    </row>
    <row r="83" spans="1:5" x14ac:dyDescent="0.25">
      <c r="A83" t="s">
        <v>191</v>
      </c>
      <c r="B83">
        <v>2012</v>
      </c>
      <c r="C83" t="s">
        <v>117</v>
      </c>
      <c r="E83" s="1"/>
    </row>
    <row r="84" spans="1:5" x14ac:dyDescent="0.25">
      <c r="A84" t="s">
        <v>189</v>
      </c>
      <c r="B84">
        <v>2012</v>
      </c>
      <c r="C84" t="s">
        <v>118</v>
      </c>
      <c r="E84" s="1"/>
    </row>
    <row r="85" spans="1:5" x14ac:dyDescent="0.25">
      <c r="A85" t="s">
        <v>181</v>
      </c>
      <c r="B85">
        <v>2012</v>
      </c>
      <c r="C85" t="s">
        <v>120</v>
      </c>
      <c r="E85" s="1"/>
    </row>
    <row r="86" spans="1:5" x14ac:dyDescent="0.25">
      <c r="A86" t="s">
        <v>181</v>
      </c>
      <c r="B86">
        <v>2012</v>
      </c>
      <c r="C86" t="s">
        <v>121</v>
      </c>
      <c r="E86" s="1"/>
    </row>
    <row r="87" spans="1:5" x14ac:dyDescent="0.25">
      <c r="A87" t="s">
        <v>190</v>
      </c>
      <c r="B87">
        <v>2012</v>
      </c>
      <c r="C87" t="s">
        <v>122</v>
      </c>
      <c r="E87" s="1"/>
    </row>
    <row r="88" spans="1:5" x14ac:dyDescent="0.25">
      <c r="A88" t="s">
        <v>183</v>
      </c>
      <c r="B88">
        <v>2012</v>
      </c>
      <c r="C88" t="s">
        <v>124</v>
      </c>
      <c r="E88" s="1"/>
    </row>
    <row r="89" spans="1:5" x14ac:dyDescent="0.25">
      <c r="A89" t="s">
        <v>183</v>
      </c>
      <c r="B89">
        <v>2012</v>
      </c>
      <c r="C89" t="s">
        <v>125</v>
      </c>
      <c r="E89" s="1"/>
    </row>
    <row r="90" spans="1:5" x14ac:dyDescent="0.25">
      <c r="A90" t="s">
        <v>183</v>
      </c>
      <c r="B90">
        <v>2012</v>
      </c>
      <c r="C90" t="s">
        <v>126</v>
      </c>
      <c r="E90" s="1"/>
    </row>
    <row r="91" spans="1:5" x14ac:dyDescent="0.25">
      <c r="A91" t="s">
        <v>183</v>
      </c>
      <c r="B91">
        <v>2012</v>
      </c>
      <c r="C91" t="s">
        <v>127</v>
      </c>
      <c r="E91" s="1"/>
    </row>
    <row r="92" spans="1:5" x14ac:dyDescent="0.25">
      <c r="A92" t="s">
        <v>183</v>
      </c>
      <c r="B92">
        <v>2012</v>
      </c>
      <c r="C92" t="s">
        <v>128</v>
      </c>
      <c r="E92" s="1"/>
    </row>
    <row r="93" spans="1:5" x14ac:dyDescent="0.25">
      <c r="A93" t="s">
        <v>182</v>
      </c>
      <c r="B93">
        <v>2012</v>
      </c>
      <c r="C93" t="s">
        <v>130</v>
      </c>
      <c r="E93" s="1"/>
    </row>
    <row r="94" spans="1:5" x14ac:dyDescent="0.25">
      <c r="A94" t="s">
        <v>189</v>
      </c>
      <c r="B94">
        <v>2012</v>
      </c>
      <c r="C94" t="s">
        <v>131</v>
      </c>
      <c r="E94" s="1"/>
    </row>
    <row r="95" spans="1:5" x14ac:dyDescent="0.25">
      <c r="A95" t="s">
        <v>182</v>
      </c>
      <c r="B95">
        <v>2012</v>
      </c>
      <c r="C95" t="s">
        <v>132</v>
      </c>
      <c r="E95" s="1"/>
    </row>
    <row r="96" spans="1:5" x14ac:dyDescent="0.25">
      <c r="A96" t="s">
        <v>189</v>
      </c>
      <c r="B96">
        <v>2012</v>
      </c>
      <c r="C96" t="s">
        <v>134</v>
      </c>
      <c r="E96" s="1"/>
    </row>
    <row r="97" spans="1:5" x14ac:dyDescent="0.25">
      <c r="A97" t="s">
        <v>190</v>
      </c>
      <c r="B97">
        <v>2012</v>
      </c>
      <c r="C97" t="s">
        <v>135</v>
      </c>
      <c r="E97" s="1"/>
    </row>
    <row r="98" spans="1:5" x14ac:dyDescent="0.25">
      <c r="A98" t="s">
        <v>191</v>
      </c>
      <c r="B98">
        <v>2012</v>
      </c>
      <c r="C98" t="s">
        <v>137</v>
      </c>
      <c r="E98" s="1"/>
    </row>
    <row r="99" spans="1:5" x14ac:dyDescent="0.25">
      <c r="A99" t="s">
        <v>191</v>
      </c>
      <c r="B99">
        <v>2012</v>
      </c>
      <c r="C99" t="s">
        <v>138</v>
      </c>
      <c r="E99" s="1"/>
    </row>
    <row r="100" spans="1:5" x14ac:dyDescent="0.25">
      <c r="A100" t="s">
        <v>191</v>
      </c>
      <c r="B100">
        <v>2012</v>
      </c>
      <c r="C100" t="s">
        <v>139</v>
      </c>
      <c r="E100" s="1"/>
    </row>
    <row r="101" spans="1:5" x14ac:dyDescent="0.25">
      <c r="A101" t="s">
        <v>191</v>
      </c>
      <c r="B101">
        <v>2012</v>
      </c>
      <c r="C101" t="s">
        <v>140</v>
      </c>
      <c r="E101" s="1"/>
    </row>
    <row r="102" spans="1:5" x14ac:dyDescent="0.25">
      <c r="A102" t="s">
        <v>191</v>
      </c>
      <c r="B102">
        <v>2012</v>
      </c>
      <c r="C102" t="s">
        <v>141</v>
      </c>
      <c r="E102" s="1"/>
    </row>
    <row r="103" spans="1:5" x14ac:dyDescent="0.25">
      <c r="A103" t="s">
        <v>188</v>
      </c>
      <c r="B103">
        <v>2012</v>
      </c>
      <c r="C103" t="s">
        <v>142</v>
      </c>
      <c r="E103" s="1"/>
    </row>
    <row r="104" spans="1:5" x14ac:dyDescent="0.25">
      <c r="A104" t="s">
        <v>191</v>
      </c>
      <c r="B104">
        <v>2013</v>
      </c>
      <c r="C104" t="s">
        <v>143</v>
      </c>
      <c r="E104" s="1"/>
    </row>
    <row r="105" spans="1:5" x14ac:dyDescent="0.25">
      <c r="A105" t="s">
        <v>183</v>
      </c>
      <c r="B105">
        <v>2013</v>
      </c>
      <c r="C105" t="s">
        <v>144</v>
      </c>
      <c r="E105" s="1"/>
    </row>
    <row r="106" spans="1:5" x14ac:dyDescent="0.25">
      <c r="A106" t="s">
        <v>183</v>
      </c>
      <c r="B106">
        <v>2013</v>
      </c>
      <c r="C106" t="s">
        <v>145</v>
      </c>
      <c r="E106" s="1"/>
    </row>
    <row r="107" spans="1:5" x14ac:dyDescent="0.25">
      <c r="A107" t="s">
        <v>191</v>
      </c>
      <c r="B107">
        <v>2013</v>
      </c>
      <c r="C107" t="s">
        <v>146</v>
      </c>
      <c r="E107" s="1"/>
    </row>
    <row r="108" spans="1:5" x14ac:dyDescent="0.25">
      <c r="A108" t="s">
        <v>191</v>
      </c>
      <c r="B108">
        <v>2013</v>
      </c>
      <c r="C108" t="s">
        <v>147</v>
      </c>
      <c r="E108" s="1"/>
    </row>
    <row r="109" spans="1:5" x14ac:dyDescent="0.25">
      <c r="A109" t="s">
        <v>189</v>
      </c>
      <c r="B109">
        <v>2013</v>
      </c>
      <c r="C109" t="s">
        <v>148</v>
      </c>
      <c r="E109" s="1"/>
    </row>
    <row r="110" spans="1:5" x14ac:dyDescent="0.25">
      <c r="A110" t="s">
        <v>191</v>
      </c>
      <c r="B110">
        <v>2013</v>
      </c>
      <c r="C110" t="s">
        <v>149</v>
      </c>
      <c r="E110" s="1"/>
    </row>
    <row r="111" spans="1:5" x14ac:dyDescent="0.25">
      <c r="A111" t="s">
        <v>191</v>
      </c>
      <c r="B111">
        <v>2013</v>
      </c>
      <c r="C111" t="s">
        <v>150</v>
      </c>
      <c r="E111" s="1"/>
    </row>
    <row r="112" spans="1:5" x14ac:dyDescent="0.25">
      <c r="A112" t="s">
        <v>191</v>
      </c>
      <c r="B112">
        <v>2013</v>
      </c>
      <c r="C112" t="s">
        <v>151</v>
      </c>
      <c r="E112" s="1"/>
    </row>
    <row r="113" spans="1:5" x14ac:dyDescent="0.25">
      <c r="A113" t="s">
        <v>191</v>
      </c>
      <c r="B113">
        <v>2013</v>
      </c>
      <c r="C113" t="s">
        <v>152</v>
      </c>
      <c r="E113" s="1"/>
    </row>
    <row r="114" spans="1:5" x14ac:dyDescent="0.25">
      <c r="A114" t="s">
        <v>191</v>
      </c>
      <c r="B114">
        <v>2013</v>
      </c>
      <c r="C114" t="s">
        <v>153</v>
      </c>
      <c r="E114" s="1"/>
    </row>
    <row r="115" spans="1:5" x14ac:dyDescent="0.25">
      <c r="A115" t="s">
        <v>191</v>
      </c>
      <c r="B115">
        <v>2013</v>
      </c>
      <c r="C115" t="s">
        <v>154</v>
      </c>
      <c r="E115" s="1"/>
    </row>
    <row r="116" spans="1:5" x14ac:dyDescent="0.25">
      <c r="A116" t="s">
        <v>191</v>
      </c>
      <c r="B116">
        <v>2013</v>
      </c>
      <c r="C116" t="s">
        <v>155</v>
      </c>
      <c r="E116" s="1"/>
    </row>
    <row r="117" spans="1:5" x14ac:dyDescent="0.25">
      <c r="A117" t="s">
        <v>191</v>
      </c>
      <c r="B117">
        <v>2013</v>
      </c>
      <c r="C117" t="s">
        <v>156</v>
      </c>
      <c r="E117" s="1"/>
    </row>
    <row r="118" spans="1:5" x14ac:dyDescent="0.25">
      <c r="A118" t="s">
        <v>189</v>
      </c>
      <c r="B118">
        <v>2013</v>
      </c>
      <c r="C118" t="s">
        <v>158</v>
      </c>
      <c r="E118" s="1"/>
    </row>
    <row r="119" spans="1:5" x14ac:dyDescent="0.25">
      <c r="A119" t="s">
        <v>189</v>
      </c>
      <c r="B119">
        <v>2013</v>
      </c>
      <c r="C119" t="s">
        <v>159</v>
      </c>
      <c r="E119" s="1"/>
    </row>
    <row r="120" spans="1:5" x14ac:dyDescent="0.25">
      <c r="A120" t="s">
        <v>189</v>
      </c>
      <c r="B120">
        <v>2014</v>
      </c>
      <c r="C120" t="s">
        <v>161</v>
      </c>
      <c r="E120" s="1"/>
    </row>
    <row r="121" spans="1:5" x14ac:dyDescent="0.25">
      <c r="A121" t="s">
        <v>189</v>
      </c>
      <c r="B121">
        <v>2014</v>
      </c>
      <c r="C121" t="s">
        <v>162</v>
      </c>
      <c r="E121" s="1"/>
    </row>
    <row r="122" spans="1:5" x14ac:dyDescent="0.25">
      <c r="A122" t="s">
        <v>189</v>
      </c>
      <c r="B122">
        <v>2014</v>
      </c>
      <c r="C122" t="s">
        <v>163</v>
      </c>
      <c r="E122" s="1"/>
    </row>
    <row r="123" spans="1:5" x14ac:dyDescent="0.25">
      <c r="A123" t="s">
        <v>189</v>
      </c>
      <c r="B123">
        <v>2014</v>
      </c>
      <c r="C123" t="s">
        <v>164</v>
      </c>
      <c r="E123" s="1"/>
    </row>
    <row r="124" spans="1:5" x14ac:dyDescent="0.25">
      <c r="A124" t="s">
        <v>188</v>
      </c>
      <c r="B124">
        <v>2014</v>
      </c>
      <c r="C124" t="s">
        <v>165</v>
      </c>
      <c r="E124" s="1"/>
    </row>
    <row r="125" spans="1:5" x14ac:dyDescent="0.25">
      <c r="A125" t="s">
        <v>191</v>
      </c>
      <c r="B125">
        <v>2014</v>
      </c>
      <c r="C125" t="s">
        <v>166</v>
      </c>
      <c r="E125" s="1"/>
    </row>
    <row r="126" spans="1:5" x14ac:dyDescent="0.25">
      <c r="A126" t="s">
        <v>191</v>
      </c>
      <c r="B126">
        <v>2014</v>
      </c>
      <c r="C126" t="s">
        <v>167</v>
      </c>
      <c r="E126" s="1"/>
    </row>
    <row r="127" spans="1:5" x14ac:dyDescent="0.25">
      <c r="A127" t="s">
        <v>191</v>
      </c>
      <c r="B127">
        <v>2014</v>
      </c>
      <c r="C127" t="s">
        <v>168</v>
      </c>
      <c r="E127" s="1"/>
    </row>
    <row r="128" spans="1:5" x14ac:dyDescent="0.25">
      <c r="A128" t="s">
        <v>189</v>
      </c>
      <c r="B128">
        <v>2014</v>
      </c>
      <c r="C128" t="s">
        <v>169</v>
      </c>
      <c r="E128" s="1"/>
    </row>
    <row r="129" spans="1:5" x14ac:dyDescent="0.25">
      <c r="A129" t="s">
        <v>188</v>
      </c>
      <c r="B129">
        <v>2015</v>
      </c>
      <c r="C129" t="s">
        <v>170</v>
      </c>
      <c r="E129" s="1"/>
    </row>
    <row r="130" spans="1:5" x14ac:dyDescent="0.25">
      <c r="A130" t="s">
        <v>188</v>
      </c>
      <c r="B130">
        <v>2015</v>
      </c>
      <c r="C130" t="s">
        <v>171</v>
      </c>
      <c r="E130" s="1"/>
    </row>
    <row r="131" spans="1:5" x14ac:dyDescent="0.25">
      <c r="A131" t="s">
        <v>182</v>
      </c>
      <c r="B131">
        <v>2015</v>
      </c>
      <c r="C131" t="s">
        <v>173</v>
      </c>
      <c r="E131" s="1"/>
    </row>
    <row r="132" spans="1:5" x14ac:dyDescent="0.25">
      <c r="A132" t="s">
        <v>182</v>
      </c>
      <c r="B132">
        <v>2015</v>
      </c>
      <c r="C132" t="s">
        <v>174</v>
      </c>
      <c r="E132" s="1"/>
    </row>
    <row r="133" spans="1:5" x14ac:dyDescent="0.25">
      <c r="A133" t="s">
        <v>182</v>
      </c>
      <c r="B133">
        <v>2015</v>
      </c>
      <c r="C133" t="s">
        <v>175</v>
      </c>
      <c r="E133" s="1"/>
    </row>
    <row r="134" spans="1:5" x14ac:dyDescent="0.25">
      <c r="A134" t="s">
        <v>182</v>
      </c>
      <c r="B134">
        <v>2015</v>
      </c>
      <c r="C134" t="s">
        <v>176</v>
      </c>
      <c r="E134" s="1"/>
    </row>
    <row r="135" spans="1:5" x14ac:dyDescent="0.25">
      <c r="A135" t="s">
        <v>182</v>
      </c>
      <c r="B135">
        <v>2015</v>
      </c>
      <c r="C135" t="s">
        <v>177</v>
      </c>
      <c r="E13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3A5E5-DE57-43F3-8E37-5B58F119B2D3}">
  <dimension ref="A1:I135"/>
  <sheetViews>
    <sheetView workbookViewId="0">
      <selection activeCell="G11" sqref="G11"/>
    </sheetView>
  </sheetViews>
  <sheetFormatPr defaultRowHeight="15" x14ac:dyDescent="0.25"/>
  <cols>
    <col min="1" max="1" width="18" bestFit="1" customWidth="1"/>
    <col min="2" max="2" width="15.7109375" bestFit="1" customWidth="1"/>
    <col min="3" max="3" width="24.5703125" bestFit="1" customWidth="1"/>
    <col min="4" max="4" width="14" bestFit="1" customWidth="1"/>
    <col min="7" max="7" width="15.5703125" bestFit="1" customWidth="1"/>
    <col min="8" max="8" width="15.7109375" bestFit="1" customWidth="1"/>
  </cols>
  <sheetData>
    <row r="1" spans="1:9" x14ac:dyDescent="0.25">
      <c r="A1" t="s">
        <v>0</v>
      </c>
      <c r="B1" t="s">
        <v>3</v>
      </c>
      <c r="C1" t="s">
        <v>5</v>
      </c>
      <c r="D1" t="s">
        <v>195</v>
      </c>
      <c r="E1" t="s">
        <v>196</v>
      </c>
      <c r="G1" t="s">
        <v>0</v>
      </c>
      <c r="H1" t="s">
        <v>3</v>
      </c>
      <c r="I1" t="s">
        <v>196</v>
      </c>
    </row>
    <row r="2" spans="1:9" x14ac:dyDescent="0.25">
      <c r="A2" t="s">
        <v>35</v>
      </c>
      <c r="B2" t="s">
        <v>36</v>
      </c>
      <c r="C2" s="1">
        <v>42014</v>
      </c>
      <c r="D2" s="1">
        <v>42736</v>
      </c>
      <c r="E2">
        <f t="shared" ref="E2:E33" si="0">D2-C2</f>
        <v>722</v>
      </c>
      <c r="G2" t="s">
        <v>35</v>
      </c>
      <c r="H2" t="s">
        <v>36</v>
      </c>
      <c r="I2">
        <v>722</v>
      </c>
    </row>
    <row r="3" spans="1:9" x14ac:dyDescent="0.25">
      <c r="A3" t="s">
        <v>6</v>
      </c>
      <c r="B3" t="s">
        <v>9</v>
      </c>
      <c r="C3" s="1">
        <v>42028</v>
      </c>
      <c r="D3" s="1">
        <v>42736</v>
      </c>
      <c r="E3">
        <f t="shared" si="0"/>
        <v>708</v>
      </c>
      <c r="G3" t="s">
        <v>6</v>
      </c>
      <c r="H3" t="s">
        <v>9</v>
      </c>
      <c r="I3">
        <v>708</v>
      </c>
    </row>
    <row r="4" spans="1:9" x14ac:dyDescent="0.25">
      <c r="A4" t="s">
        <v>6</v>
      </c>
      <c r="B4" t="s">
        <v>10</v>
      </c>
      <c r="C4" s="1">
        <v>42028</v>
      </c>
      <c r="D4" s="1">
        <v>42736</v>
      </c>
      <c r="E4">
        <f t="shared" si="0"/>
        <v>708</v>
      </c>
      <c r="G4" t="s">
        <v>6</v>
      </c>
      <c r="H4" t="s">
        <v>10</v>
      </c>
      <c r="I4">
        <v>708</v>
      </c>
    </row>
    <row r="5" spans="1:9" x14ac:dyDescent="0.25">
      <c r="A5" t="s">
        <v>81</v>
      </c>
      <c r="B5" t="s">
        <v>82</v>
      </c>
      <c r="C5" s="1">
        <v>42028</v>
      </c>
      <c r="D5" s="1">
        <v>42736</v>
      </c>
      <c r="E5">
        <f t="shared" si="0"/>
        <v>708</v>
      </c>
    </row>
    <row r="6" spans="1:9" x14ac:dyDescent="0.25">
      <c r="A6" t="s">
        <v>6</v>
      </c>
      <c r="B6" t="s">
        <v>8</v>
      </c>
      <c r="C6" s="1">
        <v>42029</v>
      </c>
      <c r="D6" s="1">
        <v>42736</v>
      </c>
      <c r="E6">
        <f t="shared" si="0"/>
        <v>707</v>
      </c>
    </row>
    <row r="7" spans="1:9" x14ac:dyDescent="0.25">
      <c r="A7" t="s">
        <v>35</v>
      </c>
      <c r="B7" t="s">
        <v>69</v>
      </c>
      <c r="C7" s="1">
        <v>42029</v>
      </c>
      <c r="D7" s="1">
        <v>42736</v>
      </c>
      <c r="E7">
        <f t="shared" si="0"/>
        <v>707</v>
      </c>
    </row>
    <row r="8" spans="1:9" x14ac:dyDescent="0.25">
      <c r="A8" t="s">
        <v>6</v>
      </c>
      <c r="B8" t="s">
        <v>11</v>
      </c>
      <c r="C8" s="1">
        <v>42034</v>
      </c>
      <c r="D8" s="1">
        <v>42736</v>
      </c>
      <c r="E8">
        <f t="shared" si="0"/>
        <v>702</v>
      </c>
    </row>
    <row r="9" spans="1:9" x14ac:dyDescent="0.25">
      <c r="A9" t="s">
        <v>6</v>
      </c>
      <c r="B9" t="s">
        <v>7</v>
      </c>
      <c r="C9" s="1">
        <v>42035</v>
      </c>
      <c r="D9" s="1">
        <v>42736</v>
      </c>
      <c r="E9">
        <f t="shared" si="0"/>
        <v>701</v>
      </c>
    </row>
    <row r="10" spans="1:9" x14ac:dyDescent="0.25">
      <c r="A10" t="s">
        <v>119</v>
      </c>
      <c r="B10" t="s">
        <v>120</v>
      </c>
      <c r="C10" s="1">
        <v>42059</v>
      </c>
      <c r="D10" s="1">
        <v>42736</v>
      </c>
      <c r="E10">
        <f t="shared" si="0"/>
        <v>677</v>
      </c>
    </row>
    <row r="11" spans="1:9" x14ac:dyDescent="0.25">
      <c r="A11" t="s">
        <v>119</v>
      </c>
      <c r="B11" t="s">
        <v>121</v>
      </c>
      <c r="C11" s="1">
        <v>42059</v>
      </c>
      <c r="D11" s="1">
        <v>42736</v>
      </c>
      <c r="E11">
        <f t="shared" si="0"/>
        <v>677</v>
      </c>
    </row>
    <row r="12" spans="1:9" x14ac:dyDescent="0.25">
      <c r="A12" t="s">
        <v>50</v>
      </c>
      <c r="B12" t="s">
        <v>65</v>
      </c>
      <c r="C12" s="1">
        <v>42062</v>
      </c>
      <c r="D12" s="1">
        <v>42736</v>
      </c>
      <c r="E12">
        <f t="shared" si="0"/>
        <v>674</v>
      </c>
    </row>
    <row r="13" spans="1:9" x14ac:dyDescent="0.25">
      <c r="A13" t="s">
        <v>50</v>
      </c>
      <c r="B13" t="s">
        <v>111</v>
      </c>
      <c r="C13" s="1">
        <v>42062</v>
      </c>
      <c r="D13" s="1">
        <v>42736</v>
      </c>
      <c r="E13">
        <f t="shared" si="0"/>
        <v>674</v>
      </c>
    </row>
    <row r="14" spans="1:9" x14ac:dyDescent="0.25">
      <c r="A14" t="s">
        <v>79</v>
      </c>
      <c r="B14" t="s">
        <v>80</v>
      </c>
      <c r="C14" s="1">
        <v>42067</v>
      </c>
      <c r="D14" s="1">
        <v>42736</v>
      </c>
      <c r="E14">
        <f t="shared" si="0"/>
        <v>669</v>
      </c>
    </row>
    <row r="15" spans="1:9" x14ac:dyDescent="0.25">
      <c r="A15" t="s">
        <v>79</v>
      </c>
      <c r="B15" t="s">
        <v>147</v>
      </c>
      <c r="C15" s="1">
        <v>42067</v>
      </c>
      <c r="D15" s="1">
        <v>42736</v>
      </c>
      <c r="E15">
        <f t="shared" si="0"/>
        <v>669</v>
      </c>
    </row>
    <row r="16" spans="1:9" x14ac:dyDescent="0.25">
      <c r="A16" t="s">
        <v>45</v>
      </c>
      <c r="B16" t="s">
        <v>46</v>
      </c>
      <c r="C16" s="1">
        <v>42073</v>
      </c>
      <c r="D16" s="1">
        <v>42736</v>
      </c>
      <c r="E16">
        <f t="shared" si="0"/>
        <v>663</v>
      </c>
    </row>
    <row r="17" spans="1:5" x14ac:dyDescent="0.25">
      <c r="A17" t="s">
        <v>45</v>
      </c>
      <c r="B17" t="s">
        <v>78</v>
      </c>
      <c r="C17" s="1">
        <v>42073</v>
      </c>
      <c r="D17" s="1">
        <v>42736</v>
      </c>
      <c r="E17">
        <f t="shared" si="0"/>
        <v>663</v>
      </c>
    </row>
    <row r="18" spans="1:5" x14ac:dyDescent="0.25">
      <c r="A18" t="s">
        <v>22</v>
      </c>
      <c r="B18" t="s">
        <v>23</v>
      </c>
      <c r="C18" s="1">
        <v>42075</v>
      </c>
      <c r="D18" s="1">
        <v>42736</v>
      </c>
      <c r="E18">
        <f t="shared" si="0"/>
        <v>661</v>
      </c>
    </row>
    <row r="19" spans="1:5" x14ac:dyDescent="0.25">
      <c r="A19" t="s">
        <v>22</v>
      </c>
      <c r="B19" t="s">
        <v>43</v>
      </c>
      <c r="C19" s="1">
        <v>42075</v>
      </c>
      <c r="D19" s="1">
        <v>42736</v>
      </c>
      <c r="E19">
        <f t="shared" si="0"/>
        <v>661</v>
      </c>
    </row>
    <row r="20" spans="1:5" x14ac:dyDescent="0.25">
      <c r="A20" t="s">
        <v>22</v>
      </c>
      <c r="B20" t="s">
        <v>116</v>
      </c>
      <c r="C20" s="1">
        <v>42075</v>
      </c>
      <c r="D20" s="1">
        <v>42736</v>
      </c>
      <c r="E20">
        <f t="shared" si="0"/>
        <v>661</v>
      </c>
    </row>
    <row r="21" spans="1:5" x14ac:dyDescent="0.25">
      <c r="A21" t="s">
        <v>35</v>
      </c>
      <c r="B21" t="s">
        <v>165</v>
      </c>
      <c r="C21" s="1">
        <v>42083</v>
      </c>
      <c r="D21" s="1">
        <v>42736</v>
      </c>
      <c r="E21">
        <f t="shared" si="0"/>
        <v>653</v>
      </c>
    </row>
    <row r="22" spans="1:5" x14ac:dyDescent="0.25">
      <c r="A22" t="s">
        <v>35</v>
      </c>
      <c r="B22" t="s">
        <v>170</v>
      </c>
      <c r="C22" s="1">
        <v>42083</v>
      </c>
      <c r="D22" s="1">
        <v>42736</v>
      </c>
      <c r="E22">
        <f t="shared" si="0"/>
        <v>653</v>
      </c>
    </row>
    <row r="23" spans="1:5" x14ac:dyDescent="0.25">
      <c r="A23" t="s">
        <v>50</v>
      </c>
      <c r="B23" t="s">
        <v>112</v>
      </c>
      <c r="C23" s="1">
        <v>42117</v>
      </c>
      <c r="D23" s="1">
        <v>42736</v>
      </c>
      <c r="E23">
        <f t="shared" si="0"/>
        <v>619</v>
      </c>
    </row>
    <row r="24" spans="1:5" x14ac:dyDescent="0.25">
      <c r="A24" t="s">
        <v>50</v>
      </c>
      <c r="B24" t="s">
        <v>143</v>
      </c>
      <c r="C24" s="1">
        <v>42117</v>
      </c>
      <c r="D24" s="1">
        <v>42736</v>
      </c>
      <c r="E24">
        <f t="shared" si="0"/>
        <v>619</v>
      </c>
    </row>
    <row r="25" spans="1:5" x14ac:dyDescent="0.25">
      <c r="A25" t="s">
        <v>25</v>
      </c>
      <c r="B25" t="s">
        <v>26</v>
      </c>
      <c r="C25" s="1">
        <v>42157</v>
      </c>
      <c r="D25" s="1">
        <v>42736</v>
      </c>
      <c r="E25">
        <f t="shared" si="0"/>
        <v>579</v>
      </c>
    </row>
    <row r="26" spans="1:5" x14ac:dyDescent="0.25">
      <c r="A26" t="s">
        <v>25</v>
      </c>
      <c r="B26" t="s">
        <v>70</v>
      </c>
      <c r="C26" s="1">
        <v>42157</v>
      </c>
      <c r="D26" s="1">
        <v>42736</v>
      </c>
      <c r="E26">
        <f t="shared" si="0"/>
        <v>579</v>
      </c>
    </row>
    <row r="27" spans="1:5" x14ac:dyDescent="0.25">
      <c r="A27" t="s">
        <v>35</v>
      </c>
      <c r="B27" t="s">
        <v>44</v>
      </c>
      <c r="C27" s="1">
        <v>42174</v>
      </c>
      <c r="D27" s="1">
        <v>42736</v>
      </c>
      <c r="E27">
        <f t="shared" si="0"/>
        <v>562</v>
      </c>
    </row>
    <row r="28" spans="1:5" x14ac:dyDescent="0.25">
      <c r="A28" t="s">
        <v>71</v>
      </c>
      <c r="B28" t="s">
        <v>72</v>
      </c>
      <c r="C28" s="1">
        <v>42174</v>
      </c>
      <c r="D28" s="1">
        <v>42736</v>
      </c>
      <c r="E28">
        <f t="shared" si="0"/>
        <v>562</v>
      </c>
    </row>
    <row r="29" spans="1:5" x14ac:dyDescent="0.25">
      <c r="A29" t="s">
        <v>35</v>
      </c>
      <c r="B29" t="s">
        <v>74</v>
      </c>
      <c r="C29" s="1">
        <v>42174</v>
      </c>
      <c r="D29" s="1">
        <v>42736</v>
      </c>
      <c r="E29">
        <f t="shared" si="0"/>
        <v>562</v>
      </c>
    </row>
    <row r="30" spans="1:5" x14ac:dyDescent="0.25">
      <c r="A30" t="s">
        <v>71</v>
      </c>
      <c r="B30" t="s">
        <v>95</v>
      </c>
      <c r="C30" s="1">
        <v>42174</v>
      </c>
      <c r="D30" s="1">
        <v>42736</v>
      </c>
      <c r="E30">
        <f t="shared" si="0"/>
        <v>562</v>
      </c>
    </row>
    <row r="31" spans="1:5" x14ac:dyDescent="0.25">
      <c r="A31" t="s">
        <v>136</v>
      </c>
      <c r="B31" t="s">
        <v>137</v>
      </c>
      <c r="C31" s="1">
        <v>42185</v>
      </c>
      <c r="D31" s="1">
        <v>42736</v>
      </c>
      <c r="E31">
        <f t="shared" si="0"/>
        <v>551</v>
      </c>
    </row>
    <row r="32" spans="1:5" x14ac:dyDescent="0.25">
      <c r="A32" t="s">
        <v>136</v>
      </c>
      <c r="B32" t="s">
        <v>138</v>
      </c>
      <c r="C32" s="1">
        <v>42185</v>
      </c>
      <c r="D32" s="1">
        <v>42736</v>
      </c>
      <c r="E32">
        <f t="shared" si="0"/>
        <v>551</v>
      </c>
    </row>
    <row r="33" spans="1:5" x14ac:dyDescent="0.25">
      <c r="A33" t="s">
        <v>136</v>
      </c>
      <c r="B33" t="s">
        <v>139</v>
      </c>
      <c r="C33" s="1">
        <v>42185</v>
      </c>
      <c r="D33" s="1">
        <v>42736</v>
      </c>
      <c r="E33">
        <f t="shared" si="0"/>
        <v>551</v>
      </c>
    </row>
    <row r="34" spans="1:5" x14ac:dyDescent="0.25">
      <c r="A34" t="s">
        <v>136</v>
      </c>
      <c r="B34" t="s">
        <v>140</v>
      </c>
      <c r="C34" s="1">
        <v>42185</v>
      </c>
      <c r="D34" s="1">
        <v>42736</v>
      </c>
      <c r="E34">
        <f t="shared" ref="E34:E65" si="1">D34-C34</f>
        <v>551</v>
      </c>
    </row>
    <row r="35" spans="1:5" x14ac:dyDescent="0.25">
      <c r="A35" t="s">
        <v>136</v>
      </c>
      <c r="B35" t="s">
        <v>141</v>
      </c>
      <c r="C35" s="1">
        <v>42185</v>
      </c>
      <c r="D35" s="1">
        <v>42736</v>
      </c>
      <c r="E35">
        <f t="shared" si="1"/>
        <v>551</v>
      </c>
    </row>
    <row r="36" spans="1:5" x14ac:dyDescent="0.25">
      <c r="A36" t="s">
        <v>28</v>
      </c>
      <c r="B36" t="s">
        <v>29</v>
      </c>
      <c r="C36" s="1">
        <v>42194</v>
      </c>
      <c r="D36" s="1">
        <v>42736</v>
      </c>
      <c r="E36">
        <f t="shared" si="1"/>
        <v>542</v>
      </c>
    </row>
    <row r="37" spans="1:5" x14ac:dyDescent="0.25">
      <c r="A37" t="s">
        <v>28</v>
      </c>
      <c r="B37" t="s">
        <v>31</v>
      </c>
      <c r="C37" s="1">
        <v>42194</v>
      </c>
      <c r="D37" s="1">
        <v>42736</v>
      </c>
      <c r="E37">
        <f t="shared" si="1"/>
        <v>542</v>
      </c>
    </row>
    <row r="38" spans="1:5" x14ac:dyDescent="0.25">
      <c r="A38" t="s">
        <v>41</v>
      </c>
      <c r="B38" t="s">
        <v>42</v>
      </c>
      <c r="C38" s="1">
        <v>42208</v>
      </c>
      <c r="D38" s="1">
        <v>42736</v>
      </c>
      <c r="E38">
        <f t="shared" si="1"/>
        <v>528</v>
      </c>
    </row>
    <row r="39" spans="1:5" x14ac:dyDescent="0.25">
      <c r="A39" t="s">
        <v>41</v>
      </c>
      <c r="B39" t="s">
        <v>115</v>
      </c>
      <c r="C39" s="1">
        <v>42208</v>
      </c>
      <c r="D39" s="1">
        <v>42736</v>
      </c>
      <c r="E39">
        <f t="shared" si="1"/>
        <v>528</v>
      </c>
    </row>
    <row r="40" spans="1:5" x14ac:dyDescent="0.25">
      <c r="A40" t="s">
        <v>16</v>
      </c>
      <c r="B40" t="s">
        <v>17</v>
      </c>
      <c r="C40" s="1">
        <v>42210</v>
      </c>
      <c r="D40" s="1">
        <v>42736</v>
      </c>
      <c r="E40">
        <f t="shared" si="1"/>
        <v>526</v>
      </c>
    </row>
    <row r="41" spans="1:5" x14ac:dyDescent="0.25">
      <c r="A41" t="s">
        <v>16</v>
      </c>
      <c r="B41" t="s">
        <v>24</v>
      </c>
      <c r="C41" s="1">
        <v>42210</v>
      </c>
      <c r="D41" s="1">
        <v>42736</v>
      </c>
      <c r="E41">
        <f t="shared" si="1"/>
        <v>526</v>
      </c>
    </row>
    <row r="42" spans="1:5" x14ac:dyDescent="0.25">
      <c r="A42" t="s">
        <v>16</v>
      </c>
      <c r="B42" t="s">
        <v>27</v>
      </c>
      <c r="C42" s="1">
        <v>42210</v>
      </c>
      <c r="D42" s="1">
        <v>42736</v>
      </c>
      <c r="E42">
        <f t="shared" si="1"/>
        <v>526</v>
      </c>
    </row>
    <row r="43" spans="1:5" x14ac:dyDescent="0.25">
      <c r="A43" t="s">
        <v>67</v>
      </c>
      <c r="B43" t="s">
        <v>68</v>
      </c>
      <c r="C43" s="1">
        <v>42226</v>
      </c>
      <c r="D43" s="1">
        <v>42736</v>
      </c>
      <c r="E43">
        <f t="shared" si="1"/>
        <v>510</v>
      </c>
    </row>
    <row r="44" spans="1:5" x14ac:dyDescent="0.25">
      <c r="A44" t="s">
        <v>67</v>
      </c>
      <c r="B44" t="s">
        <v>94</v>
      </c>
      <c r="C44" s="1">
        <v>42226</v>
      </c>
      <c r="D44" s="1">
        <v>42736</v>
      </c>
      <c r="E44">
        <f t="shared" si="1"/>
        <v>510</v>
      </c>
    </row>
    <row r="45" spans="1:5" x14ac:dyDescent="0.25">
      <c r="A45" t="s">
        <v>83</v>
      </c>
      <c r="B45" t="s">
        <v>84</v>
      </c>
      <c r="C45" s="1">
        <v>42236</v>
      </c>
      <c r="D45" s="1">
        <v>42736</v>
      </c>
      <c r="E45">
        <f t="shared" si="1"/>
        <v>500</v>
      </c>
    </row>
    <row r="46" spans="1:5" x14ac:dyDescent="0.25">
      <c r="A46" t="s">
        <v>83</v>
      </c>
      <c r="B46" t="s">
        <v>85</v>
      </c>
      <c r="C46" s="1">
        <v>42236</v>
      </c>
      <c r="D46" s="1">
        <v>42736</v>
      </c>
      <c r="E46">
        <f t="shared" si="1"/>
        <v>500</v>
      </c>
    </row>
    <row r="47" spans="1:5" x14ac:dyDescent="0.25">
      <c r="A47" t="s">
        <v>83</v>
      </c>
      <c r="B47" t="s">
        <v>86</v>
      </c>
      <c r="C47" s="1">
        <v>42236</v>
      </c>
      <c r="D47" s="1">
        <v>42736</v>
      </c>
      <c r="E47">
        <f t="shared" si="1"/>
        <v>500</v>
      </c>
    </row>
    <row r="48" spans="1:5" x14ac:dyDescent="0.25">
      <c r="A48" t="s">
        <v>91</v>
      </c>
      <c r="B48" t="s">
        <v>92</v>
      </c>
      <c r="C48" s="1">
        <v>42236</v>
      </c>
      <c r="D48" s="1">
        <v>42736</v>
      </c>
      <c r="E48">
        <f t="shared" si="1"/>
        <v>500</v>
      </c>
    </row>
    <row r="49" spans="1:5" x14ac:dyDescent="0.25">
      <c r="A49" t="s">
        <v>91</v>
      </c>
      <c r="B49" t="s">
        <v>93</v>
      </c>
      <c r="C49" s="1">
        <v>42236</v>
      </c>
      <c r="D49" s="1">
        <v>42736</v>
      </c>
      <c r="E49">
        <f t="shared" si="1"/>
        <v>500</v>
      </c>
    </row>
    <row r="50" spans="1:5" x14ac:dyDescent="0.25">
      <c r="A50" t="s">
        <v>100</v>
      </c>
      <c r="B50" t="s">
        <v>101</v>
      </c>
      <c r="C50" s="1">
        <v>42236</v>
      </c>
      <c r="D50" s="1">
        <v>42736</v>
      </c>
      <c r="E50">
        <f t="shared" si="1"/>
        <v>500</v>
      </c>
    </row>
    <row r="51" spans="1:5" x14ac:dyDescent="0.25">
      <c r="A51" t="s">
        <v>100</v>
      </c>
      <c r="B51" t="s">
        <v>102</v>
      </c>
      <c r="C51" s="1">
        <v>42236</v>
      </c>
      <c r="D51" s="1">
        <v>42736</v>
      </c>
      <c r="E51">
        <f t="shared" si="1"/>
        <v>500</v>
      </c>
    </row>
    <row r="52" spans="1:5" x14ac:dyDescent="0.25">
      <c r="A52" t="s">
        <v>76</v>
      </c>
      <c r="B52" t="s">
        <v>77</v>
      </c>
      <c r="C52" s="1">
        <v>42268</v>
      </c>
      <c r="D52" s="1">
        <v>42736</v>
      </c>
      <c r="E52">
        <f t="shared" si="1"/>
        <v>468</v>
      </c>
    </row>
    <row r="53" spans="1:5" x14ac:dyDescent="0.25">
      <c r="A53" t="s">
        <v>76</v>
      </c>
      <c r="B53" t="s">
        <v>146</v>
      </c>
      <c r="C53" s="1">
        <v>42268</v>
      </c>
      <c r="D53" s="1">
        <v>42736</v>
      </c>
      <c r="E53">
        <f t="shared" si="1"/>
        <v>468</v>
      </c>
    </row>
    <row r="54" spans="1:5" x14ac:dyDescent="0.25">
      <c r="A54" t="s">
        <v>18</v>
      </c>
      <c r="B54" t="s">
        <v>19</v>
      </c>
      <c r="C54" s="1">
        <v>42271</v>
      </c>
      <c r="D54" s="1">
        <v>42736</v>
      </c>
      <c r="E54">
        <f t="shared" si="1"/>
        <v>465</v>
      </c>
    </row>
    <row r="55" spans="1:5" x14ac:dyDescent="0.25">
      <c r="A55" t="s">
        <v>18</v>
      </c>
      <c r="B55" t="s">
        <v>32</v>
      </c>
      <c r="C55" s="1">
        <v>42271</v>
      </c>
      <c r="D55" s="1">
        <v>42736</v>
      </c>
      <c r="E55">
        <f t="shared" si="1"/>
        <v>465</v>
      </c>
    </row>
    <row r="56" spans="1:5" x14ac:dyDescent="0.25">
      <c r="A56" t="s">
        <v>18</v>
      </c>
      <c r="B56" t="s">
        <v>113</v>
      </c>
      <c r="C56" s="1">
        <v>42271</v>
      </c>
      <c r="D56" s="1">
        <v>42736</v>
      </c>
      <c r="E56">
        <f t="shared" si="1"/>
        <v>465</v>
      </c>
    </row>
    <row r="57" spans="1:5" x14ac:dyDescent="0.25">
      <c r="A57" t="s">
        <v>54</v>
      </c>
      <c r="B57" t="s">
        <v>55</v>
      </c>
      <c r="C57" s="1">
        <v>42272</v>
      </c>
      <c r="D57" s="1">
        <v>42736</v>
      </c>
      <c r="E57">
        <f t="shared" si="1"/>
        <v>464</v>
      </c>
    </row>
    <row r="58" spans="1:5" x14ac:dyDescent="0.25">
      <c r="A58" t="s">
        <v>54</v>
      </c>
      <c r="B58" t="s">
        <v>164</v>
      </c>
      <c r="C58" s="1">
        <v>42272</v>
      </c>
      <c r="D58" s="1">
        <v>42736</v>
      </c>
      <c r="E58">
        <f t="shared" si="1"/>
        <v>464</v>
      </c>
    </row>
    <row r="59" spans="1:5" x14ac:dyDescent="0.25">
      <c r="A59" t="s">
        <v>58</v>
      </c>
      <c r="B59" t="s">
        <v>59</v>
      </c>
      <c r="C59" s="1">
        <v>42278</v>
      </c>
      <c r="D59" s="1">
        <v>42736</v>
      </c>
      <c r="E59">
        <f t="shared" si="1"/>
        <v>458</v>
      </c>
    </row>
    <row r="60" spans="1:5" x14ac:dyDescent="0.25">
      <c r="A60" t="s">
        <v>58</v>
      </c>
      <c r="B60" t="s">
        <v>103</v>
      </c>
      <c r="C60" s="1">
        <v>42278</v>
      </c>
      <c r="D60" s="1">
        <v>42736</v>
      </c>
      <c r="E60">
        <f t="shared" si="1"/>
        <v>458</v>
      </c>
    </row>
    <row r="61" spans="1:5" x14ac:dyDescent="0.25">
      <c r="A61" t="s">
        <v>62</v>
      </c>
      <c r="B61" t="s">
        <v>89</v>
      </c>
      <c r="C61" s="1">
        <v>42286</v>
      </c>
      <c r="D61" s="1">
        <v>42736</v>
      </c>
      <c r="E61">
        <f t="shared" si="1"/>
        <v>450</v>
      </c>
    </row>
    <row r="62" spans="1:5" x14ac:dyDescent="0.25">
      <c r="A62" t="s">
        <v>62</v>
      </c>
      <c r="B62" t="s">
        <v>171</v>
      </c>
      <c r="C62" s="1">
        <v>42286</v>
      </c>
      <c r="D62" s="1">
        <v>42736</v>
      </c>
      <c r="E62">
        <f t="shared" si="1"/>
        <v>450</v>
      </c>
    </row>
    <row r="63" spans="1:5" x14ac:dyDescent="0.25">
      <c r="A63" t="s">
        <v>62</v>
      </c>
      <c r="B63" t="s">
        <v>63</v>
      </c>
      <c r="C63" s="1">
        <v>42297</v>
      </c>
      <c r="D63" s="1">
        <v>42736</v>
      </c>
      <c r="E63">
        <f t="shared" si="1"/>
        <v>439</v>
      </c>
    </row>
    <row r="64" spans="1:5" x14ac:dyDescent="0.25">
      <c r="A64" t="s">
        <v>62</v>
      </c>
      <c r="B64" t="s">
        <v>142</v>
      </c>
      <c r="C64" s="1">
        <v>42297</v>
      </c>
      <c r="D64" s="1">
        <v>42736</v>
      </c>
      <c r="E64">
        <f t="shared" si="1"/>
        <v>439</v>
      </c>
    </row>
    <row r="65" spans="1:5" x14ac:dyDescent="0.25">
      <c r="A65" t="s">
        <v>60</v>
      </c>
      <c r="B65" t="s">
        <v>61</v>
      </c>
      <c r="C65" s="1">
        <v>42307</v>
      </c>
      <c r="D65" s="1">
        <v>42736</v>
      </c>
      <c r="E65">
        <f t="shared" si="1"/>
        <v>429</v>
      </c>
    </row>
    <row r="66" spans="1:5" x14ac:dyDescent="0.25">
      <c r="A66" t="s">
        <v>60</v>
      </c>
      <c r="B66" t="s">
        <v>88</v>
      </c>
      <c r="C66" s="1">
        <v>42307</v>
      </c>
      <c r="D66" s="1">
        <v>42736</v>
      </c>
      <c r="E66">
        <f t="shared" ref="E66:E97" si="2">D66-C66</f>
        <v>429</v>
      </c>
    </row>
    <row r="67" spans="1:5" x14ac:dyDescent="0.25">
      <c r="A67" t="s">
        <v>50</v>
      </c>
      <c r="B67" t="s">
        <v>64</v>
      </c>
      <c r="C67" s="1">
        <v>42309</v>
      </c>
      <c r="D67" s="1">
        <v>42736</v>
      </c>
      <c r="E67">
        <f t="shared" si="2"/>
        <v>427</v>
      </c>
    </row>
    <row r="68" spans="1:5" x14ac:dyDescent="0.25">
      <c r="A68" t="s">
        <v>50</v>
      </c>
      <c r="B68" t="s">
        <v>90</v>
      </c>
      <c r="C68" s="1">
        <v>42309</v>
      </c>
      <c r="D68" s="1">
        <v>42736</v>
      </c>
      <c r="E68">
        <f t="shared" si="2"/>
        <v>427</v>
      </c>
    </row>
    <row r="69" spans="1:5" x14ac:dyDescent="0.25">
      <c r="A69" t="s">
        <v>33</v>
      </c>
      <c r="B69" t="s">
        <v>53</v>
      </c>
      <c r="C69" s="1">
        <v>42329</v>
      </c>
      <c r="D69" s="1">
        <v>42736</v>
      </c>
      <c r="E69">
        <f t="shared" si="2"/>
        <v>407</v>
      </c>
    </row>
    <row r="70" spans="1:5" x14ac:dyDescent="0.25">
      <c r="A70" t="s">
        <v>33</v>
      </c>
      <c r="B70" t="s">
        <v>122</v>
      </c>
      <c r="C70" s="1">
        <v>42329</v>
      </c>
      <c r="D70" s="1">
        <v>42736</v>
      </c>
      <c r="E70">
        <f t="shared" si="2"/>
        <v>407</v>
      </c>
    </row>
    <row r="71" spans="1:5" x14ac:dyDescent="0.25">
      <c r="A71" t="s">
        <v>157</v>
      </c>
      <c r="B71" t="s">
        <v>158</v>
      </c>
      <c r="C71" s="1">
        <v>42334</v>
      </c>
      <c r="D71" s="1">
        <v>42736</v>
      </c>
      <c r="E71">
        <f t="shared" si="2"/>
        <v>402</v>
      </c>
    </row>
    <row r="72" spans="1:5" x14ac:dyDescent="0.25">
      <c r="A72" t="s">
        <v>157</v>
      </c>
      <c r="B72" t="s">
        <v>169</v>
      </c>
      <c r="C72" s="1">
        <v>42334</v>
      </c>
      <c r="D72" s="1">
        <v>42736</v>
      </c>
      <c r="E72">
        <f t="shared" si="2"/>
        <v>402</v>
      </c>
    </row>
    <row r="73" spans="1:5" x14ac:dyDescent="0.25">
      <c r="A73" t="s">
        <v>160</v>
      </c>
      <c r="B73" t="s">
        <v>161</v>
      </c>
      <c r="C73" s="1">
        <v>42344</v>
      </c>
      <c r="D73" s="1">
        <v>42736</v>
      </c>
      <c r="E73">
        <f t="shared" si="2"/>
        <v>392</v>
      </c>
    </row>
    <row r="74" spans="1:5" x14ac:dyDescent="0.25">
      <c r="A74" t="s">
        <v>160</v>
      </c>
      <c r="B74" t="s">
        <v>162</v>
      </c>
      <c r="C74" s="1">
        <v>42344</v>
      </c>
      <c r="D74" s="1">
        <v>42736</v>
      </c>
      <c r="E74">
        <f t="shared" si="2"/>
        <v>392</v>
      </c>
    </row>
    <row r="75" spans="1:5" x14ac:dyDescent="0.25">
      <c r="A75" t="s">
        <v>50</v>
      </c>
      <c r="B75" t="s">
        <v>51</v>
      </c>
      <c r="C75" s="1">
        <v>42365</v>
      </c>
      <c r="D75" s="1">
        <v>42736</v>
      </c>
      <c r="E75">
        <f t="shared" si="2"/>
        <v>371</v>
      </c>
    </row>
    <row r="76" spans="1:5" x14ac:dyDescent="0.25">
      <c r="A76" t="s">
        <v>50</v>
      </c>
      <c r="B76" t="s">
        <v>117</v>
      </c>
      <c r="C76" s="1">
        <v>42365</v>
      </c>
      <c r="D76" s="1">
        <v>42736</v>
      </c>
      <c r="E76">
        <f t="shared" si="2"/>
        <v>371</v>
      </c>
    </row>
    <row r="77" spans="1:5" x14ac:dyDescent="0.25">
      <c r="A77" t="s">
        <v>33</v>
      </c>
      <c r="B77" t="s">
        <v>34</v>
      </c>
      <c r="C77" s="1">
        <v>42376</v>
      </c>
      <c r="D77" s="1">
        <v>42736</v>
      </c>
      <c r="E77">
        <f t="shared" si="2"/>
        <v>360</v>
      </c>
    </row>
    <row r="78" spans="1:5" x14ac:dyDescent="0.25">
      <c r="A78" t="s">
        <v>33</v>
      </c>
      <c r="B78" t="s">
        <v>114</v>
      </c>
      <c r="C78" s="1">
        <v>42376</v>
      </c>
      <c r="D78" s="1">
        <v>42736</v>
      </c>
      <c r="E78">
        <f t="shared" si="2"/>
        <v>360</v>
      </c>
    </row>
    <row r="79" spans="1:5" x14ac:dyDescent="0.25">
      <c r="A79" t="s">
        <v>37</v>
      </c>
      <c r="B79" t="s">
        <v>38</v>
      </c>
      <c r="C79" s="1">
        <v>42379</v>
      </c>
      <c r="D79" s="1">
        <v>42736</v>
      </c>
      <c r="E79">
        <f t="shared" si="2"/>
        <v>357</v>
      </c>
    </row>
    <row r="80" spans="1:5" x14ac:dyDescent="0.25">
      <c r="A80" t="s">
        <v>37</v>
      </c>
      <c r="B80" t="s">
        <v>39</v>
      </c>
      <c r="C80" s="1">
        <v>42379</v>
      </c>
      <c r="D80" s="1">
        <v>42736</v>
      </c>
      <c r="E80">
        <f t="shared" si="2"/>
        <v>357</v>
      </c>
    </row>
    <row r="81" spans="1:5" x14ac:dyDescent="0.25">
      <c r="A81" t="s">
        <v>37</v>
      </c>
      <c r="B81" t="s">
        <v>144</v>
      </c>
      <c r="C81" s="1">
        <v>42379</v>
      </c>
      <c r="D81" s="1">
        <v>42736</v>
      </c>
      <c r="E81">
        <f t="shared" si="2"/>
        <v>357</v>
      </c>
    </row>
    <row r="82" spans="1:5" x14ac:dyDescent="0.25">
      <c r="A82" t="s">
        <v>37</v>
      </c>
      <c r="B82" t="s">
        <v>145</v>
      </c>
      <c r="C82" s="1">
        <v>42379</v>
      </c>
      <c r="D82" s="1">
        <v>42736</v>
      </c>
      <c r="E82">
        <f t="shared" si="2"/>
        <v>357</v>
      </c>
    </row>
    <row r="83" spans="1:5" x14ac:dyDescent="0.25">
      <c r="A83" t="s">
        <v>20</v>
      </c>
      <c r="B83" t="s">
        <v>21</v>
      </c>
      <c r="C83" s="1">
        <v>42382</v>
      </c>
      <c r="D83" s="1">
        <v>42736</v>
      </c>
      <c r="E83">
        <f t="shared" si="2"/>
        <v>354</v>
      </c>
    </row>
    <row r="84" spans="1:5" x14ac:dyDescent="0.25">
      <c r="A84" t="s">
        <v>20</v>
      </c>
      <c r="B84" t="s">
        <v>40</v>
      </c>
      <c r="C84" s="1">
        <v>42382</v>
      </c>
      <c r="D84" s="1">
        <v>42736</v>
      </c>
      <c r="E84">
        <f t="shared" si="2"/>
        <v>354</v>
      </c>
    </row>
    <row r="85" spans="1:5" x14ac:dyDescent="0.25">
      <c r="A85" t="s">
        <v>20</v>
      </c>
      <c r="B85" t="s">
        <v>73</v>
      </c>
      <c r="C85" s="1">
        <v>42382</v>
      </c>
      <c r="D85" s="1">
        <v>42736</v>
      </c>
      <c r="E85">
        <f t="shared" si="2"/>
        <v>354</v>
      </c>
    </row>
    <row r="86" spans="1:5" x14ac:dyDescent="0.25">
      <c r="A86" t="s">
        <v>45</v>
      </c>
      <c r="B86" t="s">
        <v>75</v>
      </c>
      <c r="C86" s="1">
        <v>42382</v>
      </c>
      <c r="D86" s="1">
        <v>42736</v>
      </c>
      <c r="E86">
        <f t="shared" si="2"/>
        <v>354</v>
      </c>
    </row>
    <row r="87" spans="1:5" x14ac:dyDescent="0.25">
      <c r="A87" t="s">
        <v>16</v>
      </c>
      <c r="B87" t="s">
        <v>30</v>
      </c>
      <c r="C87" s="1">
        <v>42385</v>
      </c>
      <c r="D87" s="1">
        <v>42736</v>
      </c>
      <c r="E87">
        <f t="shared" si="2"/>
        <v>351</v>
      </c>
    </row>
    <row r="88" spans="1:5" x14ac:dyDescent="0.25">
      <c r="A88" t="s">
        <v>47</v>
      </c>
      <c r="B88" t="s">
        <v>48</v>
      </c>
      <c r="C88" s="1">
        <v>42385</v>
      </c>
      <c r="D88" s="1">
        <v>42736</v>
      </c>
      <c r="E88">
        <f t="shared" si="2"/>
        <v>351</v>
      </c>
    </row>
    <row r="89" spans="1:5" x14ac:dyDescent="0.25">
      <c r="A89" t="s">
        <v>47</v>
      </c>
      <c r="B89" t="s">
        <v>49</v>
      </c>
      <c r="C89" s="1">
        <v>42385</v>
      </c>
      <c r="D89" s="1">
        <v>42736</v>
      </c>
      <c r="E89">
        <f t="shared" si="2"/>
        <v>351</v>
      </c>
    </row>
    <row r="90" spans="1:5" x14ac:dyDescent="0.25">
      <c r="A90" t="s">
        <v>16</v>
      </c>
      <c r="B90" t="s">
        <v>66</v>
      </c>
      <c r="C90" s="1">
        <v>42385</v>
      </c>
      <c r="D90" s="1">
        <v>42736</v>
      </c>
      <c r="E90">
        <f t="shared" si="2"/>
        <v>351</v>
      </c>
    </row>
    <row r="91" spans="1:5" x14ac:dyDescent="0.25">
      <c r="A91" t="s">
        <v>129</v>
      </c>
      <c r="B91" t="s">
        <v>130</v>
      </c>
      <c r="C91" s="1">
        <v>42415</v>
      </c>
      <c r="D91" s="1">
        <v>42736</v>
      </c>
      <c r="E91">
        <f t="shared" si="2"/>
        <v>321</v>
      </c>
    </row>
    <row r="92" spans="1:5" x14ac:dyDescent="0.25">
      <c r="A92" t="s">
        <v>129</v>
      </c>
      <c r="B92" t="s">
        <v>132</v>
      </c>
      <c r="C92" s="1">
        <v>42415</v>
      </c>
      <c r="D92" s="1">
        <v>42736</v>
      </c>
      <c r="E92">
        <f t="shared" si="2"/>
        <v>321</v>
      </c>
    </row>
    <row r="93" spans="1:5" x14ac:dyDescent="0.25">
      <c r="A93" t="s">
        <v>33</v>
      </c>
      <c r="B93" t="s">
        <v>87</v>
      </c>
      <c r="C93" s="1">
        <v>42439</v>
      </c>
      <c r="D93" s="1">
        <v>42736</v>
      </c>
      <c r="E93">
        <f t="shared" si="2"/>
        <v>297</v>
      </c>
    </row>
    <row r="94" spans="1:5" x14ac:dyDescent="0.25">
      <c r="A94" t="s">
        <v>33</v>
      </c>
      <c r="B94" t="s">
        <v>135</v>
      </c>
      <c r="C94" s="1">
        <v>42439</v>
      </c>
      <c r="D94" s="1">
        <v>42736</v>
      </c>
      <c r="E94">
        <f t="shared" si="2"/>
        <v>297</v>
      </c>
    </row>
    <row r="95" spans="1:5" x14ac:dyDescent="0.25">
      <c r="A95" t="s">
        <v>123</v>
      </c>
      <c r="B95" t="s">
        <v>124</v>
      </c>
      <c r="C95" s="1">
        <v>42444</v>
      </c>
      <c r="D95" s="1">
        <v>42736</v>
      </c>
      <c r="E95">
        <f t="shared" si="2"/>
        <v>292</v>
      </c>
    </row>
    <row r="96" spans="1:5" x14ac:dyDescent="0.25">
      <c r="A96" t="s">
        <v>123</v>
      </c>
      <c r="B96" t="s">
        <v>125</v>
      </c>
      <c r="C96" s="1">
        <v>42444</v>
      </c>
      <c r="D96" s="1">
        <v>42736</v>
      </c>
      <c r="E96">
        <f t="shared" si="2"/>
        <v>292</v>
      </c>
    </row>
    <row r="97" spans="1:5" x14ac:dyDescent="0.25">
      <c r="A97" t="s">
        <v>123</v>
      </c>
      <c r="B97" t="s">
        <v>126</v>
      </c>
      <c r="C97" s="1">
        <v>42444</v>
      </c>
      <c r="D97" s="1">
        <v>42736</v>
      </c>
      <c r="E97">
        <f t="shared" si="2"/>
        <v>292</v>
      </c>
    </row>
    <row r="98" spans="1:5" x14ac:dyDescent="0.25">
      <c r="A98" t="s">
        <v>123</v>
      </c>
      <c r="B98" t="s">
        <v>127</v>
      </c>
      <c r="C98" s="1">
        <v>42444</v>
      </c>
      <c r="D98" s="1">
        <v>42736</v>
      </c>
      <c r="E98">
        <f t="shared" ref="E98:E129" si="3">D98-C98</f>
        <v>292</v>
      </c>
    </row>
    <row r="99" spans="1:5" x14ac:dyDescent="0.25">
      <c r="A99" t="s">
        <v>123</v>
      </c>
      <c r="B99" t="s">
        <v>128</v>
      </c>
      <c r="C99" s="1">
        <v>42444</v>
      </c>
      <c r="D99" s="1">
        <v>42736</v>
      </c>
      <c r="E99">
        <f t="shared" si="3"/>
        <v>292</v>
      </c>
    </row>
    <row r="100" spans="1:5" x14ac:dyDescent="0.25">
      <c r="A100" t="s">
        <v>104</v>
      </c>
      <c r="B100" t="s">
        <v>105</v>
      </c>
      <c r="C100" s="1">
        <v>42462</v>
      </c>
      <c r="D100" s="1">
        <v>42736</v>
      </c>
      <c r="E100">
        <f t="shared" si="3"/>
        <v>274</v>
      </c>
    </row>
    <row r="101" spans="1:5" x14ac:dyDescent="0.25">
      <c r="A101" t="s">
        <v>104</v>
      </c>
      <c r="B101" t="s">
        <v>106</v>
      </c>
      <c r="C101" s="1">
        <v>42462</v>
      </c>
      <c r="D101" s="1">
        <v>42736</v>
      </c>
      <c r="E101">
        <f t="shared" si="3"/>
        <v>274</v>
      </c>
    </row>
    <row r="102" spans="1:5" x14ac:dyDescent="0.25">
      <c r="A102" t="s">
        <v>104</v>
      </c>
      <c r="B102" t="s">
        <v>107</v>
      </c>
      <c r="C102" s="1">
        <v>42462</v>
      </c>
      <c r="D102" s="1">
        <v>42736</v>
      </c>
      <c r="E102">
        <f t="shared" si="3"/>
        <v>274</v>
      </c>
    </row>
    <row r="103" spans="1:5" x14ac:dyDescent="0.25">
      <c r="A103" t="s">
        <v>104</v>
      </c>
      <c r="B103" t="s">
        <v>108</v>
      </c>
      <c r="C103" s="1">
        <v>42462</v>
      </c>
      <c r="D103" s="1">
        <v>42736</v>
      </c>
      <c r="E103">
        <f t="shared" si="3"/>
        <v>274</v>
      </c>
    </row>
    <row r="104" spans="1:5" x14ac:dyDescent="0.25">
      <c r="A104" t="s">
        <v>104</v>
      </c>
      <c r="B104" t="s">
        <v>109</v>
      </c>
      <c r="C104" s="1">
        <v>42462</v>
      </c>
      <c r="D104" s="1">
        <v>42736</v>
      </c>
      <c r="E104">
        <f t="shared" si="3"/>
        <v>274</v>
      </c>
    </row>
    <row r="105" spans="1:5" x14ac:dyDescent="0.25">
      <c r="A105" t="s">
        <v>104</v>
      </c>
      <c r="B105" t="s">
        <v>110</v>
      </c>
      <c r="C105" s="1">
        <v>42462</v>
      </c>
      <c r="D105" s="1">
        <v>42736</v>
      </c>
      <c r="E105">
        <f t="shared" si="3"/>
        <v>274</v>
      </c>
    </row>
    <row r="106" spans="1:5" x14ac:dyDescent="0.25">
      <c r="A106" t="s">
        <v>56</v>
      </c>
      <c r="B106" t="s">
        <v>57</v>
      </c>
      <c r="C106" s="1">
        <v>42467</v>
      </c>
      <c r="D106" s="1">
        <v>42736</v>
      </c>
      <c r="E106">
        <f t="shared" si="3"/>
        <v>269</v>
      </c>
    </row>
    <row r="107" spans="1:5" x14ac:dyDescent="0.25">
      <c r="A107" t="s">
        <v>56</v>
      </c>
      <c r="B107" t="s">
        <v>131</v>
      </c>
      <c r="C107" s="1">
        <v>42467</v>
      </c>
      <c r="D107" s="1">
        <v>42736</v>
      </c>
      <c r="E107">
        <f t="shared" si="3"/>
        <v>269</v>
      </c>
    </row>
    <row r="108" spans="1:5" x14ac:dyDescent="0.25">
      <c r="A108" t="s">
        <v>45</v>
      </c>
      <c r="B108" t="s">
        <v>118</v>
      </c>
      <c r="C108" s="1">
        <v>42476</v>
      </c>
      <c r="D108" s="1">
        <v>42736</v>
      </c>
      <c r="E108">
        <f t="shared" si="3"/>
        <v>260</v>
      </c>
    </row>
    <row r="109" spans="1:5" x14ac:dyDescent="0.25">
      <c r="A109" t="s">
        <v>45</v>
      </c>
      <c r="B109" t="s">
        <v>163</v>
      </c>
      <c r="C109" s="1">
        <v>42476</v>
      </c>
      <c r="D109" s="1">
        <v>42736</v>
      </c>
      <c r="E109">
        <f t="shared" si="3"/>
        <v>260</v>
      </c>
    </row>
    <row r="110" spans="1:5" x14ac:dyDescent="0.25">
      <c r="A110" t="s">
        <v>62</v>
      </c>
      <c r="B110" t="s">
        <v>96</v>
      </c>
      <c r="C110" s="1">
        <v>42481</v>
      </c>
      <c r="D110" s="1">
        <v>42736</v>
      </c>
      <c r="E110">
        <f t="shared" si="3"/>
        <v>255</v>
      </c>
    </row>
    <row r="111" spans="1:5" x14ac:dyDescent="0.25">
      <c r="A111" t="s">
        <v>62</v>
      </c>
      <c r="B111" t="s">
        <v>97</v>
      </c>
      <c r="C111" s="1">
        <v>42481</v>
      </c>
      <c r="D111" s="1">
        <v>42736</v>
      </c>
      <c r="E111">
        <f t="shared" si="3"/>
        <v>255</v>
      </c>
    </row>
    <row r="112" spans="1:5" x14ac:dyDescent="0.25">
      <c r="A112" t="s">
        <v>62</v>
      </c>
      <c r="B112" t="s">
        <v>98</v>
      </c>
      <c r="C112" s="1">
        <v>42481</v>
      </c>
      <c r="D112" s="1">
        <v>42736</v>
      </c>
      <c r="E112">
        <f t="shared" si="3"/>
        <v>255</v>
      </c>
    </row>
    <row r="113" spans="1:5" x14ac:dyDescent="0.25">
      <c r="A113" t="s">
        <v>62</v>
      </c>
      <c r="B113" t="s">
        <v>99</v>
      </c>
      <c r="C113" s="1">
        <v>42481</v>
      </c>
      <c r="D113" s="1">
        <v>42736</v>
      </c>
      <c r="E113">
        <f t="shared" si="3"/>
        <v>255</v>
      </c>
    </row>
    <row r="114" spans="1:5" x14ac:dyDescent="0.25">
      <c r="A114" t="s">
        <v>12</v>
      </c>
      <c r="B114" t="s">
        <v>13</v>
      </c>
      <c r="C114" s="1">
        <v>42483</v>
      </c>
      <c r="D114" s="1">
        <v>42736</v>
      </c>
      <c r="E114">
        <f t="shared" si="3"/>
        <v>253</v>
      </c>
    </row>
    <row r="115" spans="1:5" x14ac:dyDescent="0.25">
      <c r="A115" t="s">
        <v>14</v>
      </c>
      <c r="B115" t="s">
        <v>15</v>
      </c>
      <c r="C115" s="1">
        <v>42520</v>
      </c>
      <c r="D115" s="1">
        <v>42736</v>
      </c>
      <c r="E115">
        <f t="shared" si="3"/>
        <v>216</v>
      </c>
    </row>
    <row r="116" spans="1:5" x14ac:dyDescent="0.25">
      <c r="A116" t="s">
        <v>133</v>
      </c>
      <c r="B116" t="s">
        <v>134</v>
      </c>
      <c r="C116" s="1">
        <v>42520</v>
      </c>
      <c r="D116" s="1">
        <v>42736</v>
      </c>
      <c r="E116">
        <f t="shared" si="3"/>
        <v>216</v>
      </c>
    </row>
    <row r="117" spans="1:5" x14ac:dyDescent="0.25">
      <c r="A117" t="s">
        <v>157</v>
      </c>
      <c r="B117" t="s">
        <v>159</v>
      </c>
      <c r="C117" s="1">
        <v>42520</v>
      </c>
      <c r="D117" s="1">
        <v>42736</v>
      </c>
      <c r="E117">
        <f t="shared" si="3"/>
        <v>216</v>
      </c>
    </row>
    <row r="118" spans="1:5" x14ac:dyDescent="0.25">
      <c r="A118" t="s">
        <v>45</v>
      </c>
      <c r="B118" t="s">
        <v>52</v>
      </c>
      <c r="C118" s="1">
        <v>42681</v>
      </c>
      <c r="D118" s="1">
        <v>42736</v>
      </c>
      <c r="E118">
        <f t="shared" si="3"/>
        <v>55</v>
      </c>
    </row>
    <row r="119" spans="1:5" x14ac:dyDescent="0.25">
      <c r="A119" t="s">
        <v>45</v>
      </c>
      <c r="B119" t="s">
        <v>148</v>
      </c>
      <c r="C119" s="1">
        <v>42681</v>
      </c>
      <c r="D119" s="1">
        <v>42736</v>
      </c>
      <c r="E119">
        <f t="shared" si="3"/>
        <v>55</v>
      </c>
    </row>
    <row r="120" spans="1:5" x14ac:dyDescent="0.25">
      <c r="A120" t="s">
        <v>136</v>
      </c>
      <c r="B120" t="s">
        <v>166</v>
      </c>
      <c r="C120" s="1">
        <v>42681</v>
      </c>
      <c r="D120" s="1">
        <v>42736</v>
      </c>
      <c r="E120">
        <f t="shared" si="3"/>
        <v>55</v>
      </c>
    </row>
    <row r="121" spans="1:5" x14ac:dyDescent="0.25">
      <c r="A121" t="s">
        <v>136</v>
      </c>
      <c r="B121" t="s">
        <v>167</v>
      </c>
      <c r="C121" s="1">
        <v>42681</v>
      </c>
      <c r="D121" s="1">
        <v>42736</v>
      </c>
      <c r="E121">
        <f t="shared" si="3"/>
        <v>55</v>
      </c>
    </row>
    <row r="122" spans="1:5" x14ac:dyDescent="0.25">
      <c r="A122" t="s">
        <v>136</v>
      </c>
      <c r="B122" t="s">
        <v>168</v>
      </c>
      <c r="C122" s="1">
        <v>42681</v>
      </c>
      <c r="D122" s="1">
        <v>42736</v>
      </c>
      <c r="E122">
        <f t="shared" si="3"/>
        <v>55</v>
      </c>
    </row>
    <row r="123" spans="1:5" x14ac:dyDescent="0.25">
      <c r="A123" t="s">
        <v>136</v>
      </c>
      <c r="B123" t="s">
        <v>149</v>
      </c>
      <c r="C123" s="1">
        <v>42719</v>
      </c>
      <c r="D123" s="1">
        <v>42736</v>
      </c>
      <c r="E123">
        <f t="shared" si="3"/>
        <v>17</v>
      </c>
    </row>
    <row r="124" spans="1:5" x14ac:dyDescent="0.25">
      <c r="A124" t="s">
        <v>136</v>
      </c>
      <c r="B124" t="s">
        <v>150</v>
      </c>
      <c r="C124" s="1">
        <v>42719</v>
      </c>
      <c r="D124" s="1">
        <v>42736</v>
      </c>
      <c r="E124">
        <f t="shared" si="3"/>
        <v>17</v>
      </c>
    </row>
    <row r="125" spans="1:5" x14ac:dyDescent="0.25">
      <c r="A125" t="s">
        <v>136</v>
      </c>
      <c r="B125" t="s">
        <v>151</v>
      </c>
      <c r="C125" s="1">
        <v>42719</v>
      </c>
      <c r="D125" s="1">
        <v>42736</v>
      </c>
      <c r="E125">
        <f t="shared" si="3"/>
        <v>17</v>
      </c>
    </row>
    <row r="126" spans="1:5" x14ac:dyDescent="0.25">
      <c r="A126" t="s">
        <v>136</v>
      </c>
      <c r="B126" t="s">
        <v>152</v>
      </c>
      <c r="C126" s="1">
        <v>42719</v>
      </c>
      <c r="D126" s="1">
        <v>42736</v>
      </c>
      <c r="E126">
        <f t="shared" si="3"/>
        <v>17</v>
      </c>
    </row>
    <row r="127" spans="1:5" x14ac:dyDescent="0.25">
      <c r="A127" t="s">
        <v>136</v>
      </c>
      <c r="B127" t="s">
        <v>153</v>
      </c>
      <c r="C127" s="1">
        <v>42719</v>
      </c>
      <c r="D127" s="1">
        <v>42736</v>
      </c>
      <c r="E127">
        <f t="shared" si="3"/>
        <v>17</v>
      </c>
    </row>
    <row r="128" spans="1:5" x14ac:dyDescent="0.25">
      <c r="A128" t="s">
        <v>136</v>
      </c>
      <c r="B128" t="s">
        <v>154</v>
      </c>
      <c r="C128" s="1">
        <v>42719</v>
      </c>
      <c r="D128" s="1">
        <v>42736</v>
      </c>
      <c r="E128">
        <f t="shared" si="3"/>
        <v>17</v>
      </c>
    </row>
    <row r="129" spans="1:5" x14ac:dyDescent="0.25">
      <c r="A129" t="s">
        <v>136</v>
      </c>
      <c r="B129" t="s">
        <v>155</v>
      </c>
      <c r="C129" s="1">
        <v>42719</v>
      </c>
      <c r="D129" s="1">
        <v>42736</v>
      </c>
      <c r="E129">
        <f t="shared" si="3"/>
        <v>17</v>
      </c>
    </row>
    <row r="130" spans="1:5" x14ac:dyDescent="0.25">
      <c r="A130" t="s">
        <v>136</v>
      </c>
      <c r="B130" t="s">
        <v>156</v>
      </c>
      <c r="C130" s="1">
        <v>42719</v>
      </c>
      <c r="D130" s="1">
        <v>42736</v>
      </c>
      <c r="E130">
        <f t="shared" ref="E130:E161" si="4">D130-C130</f>
        <v>17</v>
      </c>
    </row>
    <row r="131" spans="1:5" x14ac:dyDescent="0.25">
      <c r="A131" t="s">
        <v>172</v>
      </c>
      <c r="B131" t="s">
        <v>173</v>
      </c>
      <c r="C131" s="1">
        <v>42734</v>
      </c>
      <c r="D131" s="1">
        <v>42736</v>
      </c>
      <c r="E131">
        <f t="shared" si="4"/>
        <v>2</v>
      </c>
    </row>
    <row r="132" spans="1:5" x14ac:dyDescent="0.25">
      <c r="A132" t="s">
        <v>172</v>
      </c>
      <c r="B132" t="s">
        <v>174</v>
      </c>
      <c r="C132" s="1">
        <v>42734</v>
      </c>
      <c r="D132" s="1">
        <v>42736</v>
      </c>
      <c r="E132">
        <f t="shared" si="4"/>
        <v>2</v>
      </c>
    </row>
    <row r="133" spans="1:5" x14ac:dyDescent="0.25">
      <c r="A133" t="s">
        <v>172</v>
      </c>
      <c r="B133" t="s">
        <v>175</v>
      </c>
      <c r="C133" s="1">
        <v>42734</v>
      </c>
      <c r="D133" s="1">
        <v>42736</v>
      </c>
      <c r="E133">
        <f t="shared" si="4"/>
        <v>2</v>
      </c>
    </row>
    <row r="134" spans="1:5" x14ac:dyDescent="0.25">
      <c r="A134" t="s">
        <v>172</v>
      </c>
      <c r="B134" t="s">
        <v>176</v>
      </c>
      <c r="C134" s="1">
        <v>42734</v>
      </c>
      <c r="D134" s="1">
        <v>42736</v>
      </c>
      <c r="E134">
        <f t="shared" si="4"/>
        <v>2</v>
      </c>
    </row>
    <row r="135" spans="1:5" x14ac:dyDescent="0.25">
      <c r="A135" t="s">
        <v>172</v>
      </c>
      <c r="B135" t="s">
        <v>177</v>
      </c>
      <c r="C135" s="1">
        <v>42734</v>
      </c>
      <c r="D135" s="1">
        <v>42736</v>
      </c>
      <c r="E135">
        <f t="shared" si="4"/>
        <v>2</v>
      </c>
    </row>
  </sheetData>
  <sortState xmlns:xlrd2="http://schemas.microsoft.com/office/spreadsheetml/2017/richdata2" ref="A2:E135">
    <sortCondition descending="1" ref="E2:E1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Nazwane zakresy</vt:lpstr>
      </vt:variant>
      <vt:variant>
        <vt:i4>5</vt:i4>
      </vt:variant>
    </vt:vector>
  </HeadingPairs>
  <TitlesOfParts>
    <vt:vector size="10" baseType="lpstr">
      <vt:lpstr>Dane</vt:lpstr>
      <vt:lpstr>1</vt:lpstr>
      <vt:lpstr>2</vt:lpstr>
      <vt:lpstr>3</vt:lpstr>
      <vt:lpstr>4</vt:lpstr>
      <vt:lpstr>'1'!transport</vt:lpstr>
      <vt:lpstr>'2'!transport</vt:lpstr>
      <vt:lpstr>'3'!transport</vt:lpstr>
      <vt:lpstr>'4'!transport</vt:lpstr>
      <vt:lpstr>Dane!transport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Domański</dc:creator>
  <cp:lastModifiedBy>Adam Domański</cp:lastModifiedBy>
  <dcterms:created xsi:type="dcterms:W3CDTF">2015-06-05T18:19:34Z</dcterms:created>
  <dcterms:modified xsi:type="dcterms:W3CDTF">2024-04-18T14:56:56Z</dcterms:modified>
</cp:coreProperties>
</file>